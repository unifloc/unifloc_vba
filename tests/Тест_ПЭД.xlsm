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3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Тесты\"/>
    </mc:Choice>
  </mc:AlternateContent>
  <xr:revisionPtr revIDLastSave="0" documentId="13_ncr:1_{56D39798-B2A2-42D8-BA0A-43281B92F5A4}" xr6:coauthVersionLast="41" xr6:coauthVersionMax="41" xr10:uidLastSave="{00000000-0000-0000-0000-000000000000}"/>
  <bookViews>
    <workbookView xWindow="-103" yWindow="-103" windowWidth="22149" windowHeight="12103" firstSheet="2" activeTab="2" xr2:uid="{E4A7F079-77F4-4089-893C-7FFCC1AAC6CE}"/>
  </bookViews>
  <sheets>
    <sheet name="U коррекция" sheetId="3" r:id="rId1"/>
    <sheet name="Новомет 117" sheetId="2" r:id="rId2"/>
    <sheet name="Лист1" sheetId="1" r:id="rId3"/>
  </sheets>
  <externalReferences>
    <externalReference r:id="rId4"/>
    <externalReference r:id="rId5"/>
  </externalReferences>
  <definedNames>
    <definedName name="cos_phi_nom">[1]Лист1!$C$9</definedName>
    <definedName name="Effnom_d">[1]Лист1!$C$8</definedName>
    <definedName name="f_Hz_">Лист1!$D$10</definedName>
    <definedName name="fn_">Лист1!$D$6</definedName>
    <definedName name="ID_">Лист1!$D$3</definedName>
    <definedName name="In_">Лист1!$D$5</definedName>
    <definedName name="Inom_A">[1]Лист1!$C$7</definedName>
    <definedName name="Nnom_kW">[1]Лист1!$C$5</definedName>
    <definedName name="numPts">Лист1!$A$13</definedName>
    <definedName name="Pnom_">Лист1!$D$7</definedName>
    <definedName name="root3">Лист1!$K$7</definedName>
    <definedName name="U_V_">Лист1!$D$9</definedName>
    <definedName name="Un_V_">Лист1!$D$4</definedName>
    <definedName name="Unom_V">[1]Лист1!$C$6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D116" i="2" l="1"/>
  <c r="AB116" i="2"/>
  <c r="Z116" i="2"/>
  <c r="X116" i="2"/>
  <c r="AD115" i="2"/>
  <c r="AB115" i="2"/>
  <c r="Z115" i="2"/>
  <c r="X115" i="2"/>
  <c r="AD114" i="2"/>
  <c r="AB114" i="2"/>
  <c r="Z114" i="2"/>
  <c r="X114" i="2"/>
  <c r="AD113" i="2"/>
  <c r="AB113" i="2"/>
  <c r="Z113" i="2"/>
  <c r="X113" i="2"/>
  <c r="AD112" i="2"/>
  <c r="AB112" i="2"/>
  <c r="Z112" i="2"/>
  <c r="X112" i="2"/>
  <c r="AD111" i="2"/>
  <c r="AB111" i="2"/>
  <c r="Z111" i="2"/>
  <c r="X111" i="2"/>
  <c r="AD110" i="2"/>
  <c r="AB110" i="2"/>
  <c r="Z110" i="2"/>
  <c r="X110" i="2"/>
  <c r="AD109" i="2"/>
  <c r="AB109" i="2"/>
  <c r="Z109" i="2"/>
  <c r="X109" i="2"/>
  <c r="AD108" i="2"/>
  <c r="AB108" i="2"/>
  <c r="Z108" i="2"/>
  <c r="X108" i="2"/>
  <c r="AD107" i="2"/>
  <c r="AB107" i="2"/>
  <c r="Z107" i="2"/>
  <c r="X107" i="2"/>
  <c r="AD106" i="2"/>
  <c r="AB106" i="2"/>
  <c r="Z106" i="2"/>
  <c r="X106" i="2"/>
  <c r="AD105" i="2"/>
  <c r="AB105" i="2"/>
  <c r="Z105" i="2"/>
  <c r="X105" i="2"/>
  <c r="AD104" i="2"/>
  <c r="AB104" i="2"/>
  <c r="Z104" i="2"/>
  <c r="X104" i="2"/>
  <c r="AD103" i="2"/>
  <c r="AB103" i="2"/>
  <c r="Z103" i="2"/>
  <c r="X103" i="2"/>
  <c r="AD102" i="2"/>
  <c r="AB102" i="2"/>
  <c r="Z102" i="2"/>
  <c r="X102" i="2"/>
  <c r="AD101" i="2"/>
  <c r="AB101" i="2"/>
  <c r="Z101" i="2"/>
  <c r="X101" i="2"/>
  <c r="AD100" i="2"/>
  <c r="AB100" i="2"/>
  <c r="Z100" i="2"/>
  <c r="X100" i="2"/>
  <c r="AD99" i="2"/>
  <c r="AB99" i="2"/>
  <c r="Z99" i="2"/>
  <c r="X99" i="2"/>
  <c r="AD98" i="2"/>
  <c r="AB98" i="2"/>
  <c r="Z98" i="2"/>
  <c r="X98" i="2"/>
  <c r="AD97" i="2"/>
  <c r="AB97" i="2"/>
  <c r="Z97" i="2"/>
  <c r="X97" i="2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D84" i="1"/>
  <c r="D81" i="1"/>
  <c r="D79" i="1"/>
  <c r="D76" i="1"/>
  <c r="D73" i="1"/>
  <c r="D70" i="1"/>
  <c r="D67" i="1"/>
  <c r="D64" i="1"/>
  <c r="D61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D7" i="1"/>
  <c r="D85" i="1"/>
  <c r="D82" i="1"/>
  <c r="D78" i="1"/>
  <c r="D75" i="1"/>
  <c r="D72" i="1"/>
  <c r="D69" i="1"/>
  <c r="D66" i="1"/>
  <c r="D63" i="1"/>
  <c r="D60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D83" i="1"/>
  <c r="D80" i="1"/>
  <c r="D77" i="1"/>
  <c r="D74" i="1"/>
  <c r="D71" i="1"/>
  <c r="D68" i="1"/>
  <c r="D65" i="1"/>
  <c r="D62" i="1"/>
  <c r="D59" i="1"/>
  <c r="S47" i="3" l="1" a="1"/>
  <c r="W47" i="3" s="1"/>
  <c r="S42" i="3" a="1"/>
  <c r="T42" i="3" s="1"/>
  <c r="S37" i="3" a="1"/>
  <c r="T37" i="3" s="1"/>
  <c r="S32" i="3" a="1"/>
  <c r="V32" i="3" s="1"/>
  <c r="U27" i="3"/>
  <c r="S27" i="3" a="1"/>
  <c r="T27" i="3" s="1"/>
  <c r="X15" i="3"/>
  <c r="W15" i="3"/>
  <c r="V15" i="3"/>
  <c r="X14" i="3"/>
  <c r="W14" i="3"/>
  <c r="V14" i="3"/>
  <c r="X13" i="3"/>
  <c r="W13" i="3"/>
  <c r="V13" i="3"/>
  <c r="X12" i="3"/>
  <c r="W12" i="3"/>
  <c r="V12" i="3"/>
  <c r="X11" i="3"/>
  <c r="W11" i="3"/>
  <c r="V11" i="3"/>
  <c r="X10" i="3"/>
  <c r="W10" i="3"/>
  <c r="V10" i="3"/>
  <c r="X9" i="3"/>
  <c r="W9" i="3"/>
  <c r="V9" i="3"/>
  <c r="T32" i="3" l="1"/>
  <c r="V27" i="3"/>
  <c r="U32" i="3"/>
  <c r="S37" i="3"/>
  <c r="S42" i="3"/>
  <c r="S27" i="3"/>
  <c r="S32" i="3"/>
  <c r="W32" i="3"/>
  <c r="U37" i="3"/>
  <c r="U42" i="3"/>
  <c r="T47" i="3"/>
  <c r="V42" i="3"/>
  <c r="U47" i="3"/>
  <c r="V47" i="3"/>
  <c r="S47" i="3"/>
  <c r="AE16" i="3" l="1"/>
  <c r="AE19" i="3"/>
  <c r="AE15" i="3"/>
  <c r="AE14" i="3"/>
  <c r="AE13" i="3"/>
  <c r="AE12" i="3"/>
  <c r="AE11" i="3"/>
  <c r="AE10" i="3"/>
  <c r="AE9" i="3"/>
  <c r="AE8" i="3"/>
  <c r="AE18" i="3"/>
  <c r="AE7" i="3"/>
  <c r="AE17" i="3"/>
  <c r="AD17" i="3"/>
  <c r="AD16" i="3"/>
  <c r="AD19" i="3"/>
  <c r="AD15" i="3"/>
  <c r="AD14" i="3"/>
  <c r="AD13" i="3"/>
  <c r="AD12" i="3"/>
  <c r="AD11" i="3"/>
  <c r="AD10" i="3"/>
  <c r="AD9" i="3"/>
  <c r="AD8" i="3"/>
  <c r="AD18" i="3"/>
  <c r="AD7" i="3"/>
  <c r="AF19" i="3"/>
  <c r="AF15" i="3"/>
  <c r="AF14" i="3"/>
  <c r="AF13" i="3"/>
  <c r="AF12" i="3"/>
  <c r="AF11" i="3"/>
  <c r="AF10" i="3"/>
  <c r="AF9" i="3"/>
  <c r="AF8" i="3"/>
  <c r="AF18" i="3"/>
  <c r="AF7" i="3"/>
  <c r="AF17" i="3"/>
  <c r="AF16" i="3"/>
  <c r="AC18" i="3"/>
  <c r="AC7" i="3"/>
  <c r="AC17" i="3"/>
  <c r="AC16" i="3"/>
  <c r="AC19" i="3"/>
  <c r="AC15" i="3"/>
  <c r="AC14" i="3"/>
  <c r="AC13" i="3"/>
  <c r="AC12" i="3"/>
  <c r="AC11" i="3"/>
  <c r="AC10" i="3"/>
  <c r="AC9" i="3"/>
  <c r="AC8" i="3"/>
  <c r="AB19" i="3"/>
  <c r="AB15" i="3"/>
  <c r="AB14" i="3"/>
  <c r="AB13" i="3"/>
  <c r="AB12" i="3"/>
  <c r="AB11" i="3"/>
  <c r="AB10" i="3"/>
  <c r="AB9" i="3"/>
  <c r="AB8" i="3"/>
  <c r="AB18" i="3"/>
  <c r="AB7" i="3"/>
  <c r="AB17" i="3"/>
  <c r="AB16" i="3"/>
  <c r="K7" i="1" l="1"/>
  <c r="S3" i="2" l="1" a="1"/>
  <c r="S3" i="2" s="1"/>
  <c r="P10" i="2"/>
  <c r="P11" i="2"/>
  <c r="P12" i="2"/>
  <c r="P13" i="2"/>
  <c r="P14" i="2"/>
  <c r="P15" i="2"/>
  <c r="P16" i="2"/>
  <c r="P17" i="2"/>
  <c r="P18" i="2"/>
  <c r="P19" i="2"/>
  <c r="P20" i="2"/>
  <c r="P21" i="2"/>
  <c r="P47" i="2"/>
  <c r="L48" i="2"/>
  <c r="P48" i="2"/>
  <c r="L49" i="2"/>
  <c r="P49" i="2" s="1"/>
  <c r="L50" i="2"/>
  <c r="P50" i="2"/>
  <c r="L51" i="2"/>
  <c r="P51" i="2" s="1"/>
  <c r="L52" i="2"/>
  <c r="P52" i="2"/>
  <c r="L53" i="2"/>
  <c r="P53" i="2" s="1"/>
  <c r="L54" i="2"/>
  <c r="P54" i="2"/>
  <c r="L55" i="2"/>
  <c r="P55" i="2" s="1"/>
  <c r="L56" i="2"/>
  <c r="P56" i="2"/>
  <c r="L57" i="2"/>
  <c r="P57" i="2" s="1"/>
  <c r="L58" i="2"/>
  <c r="P58" i="2"/>
  <c r="L59" i="2"/>
  <c r="P59" i="2" s="1"/>
  <c r="L84" i="2" a="1"/>
  <c r="L84" i="2" s="1"/>
  <c r="N84" i="2"/>
  <c r="R84" i="2" a="1"/>
  <c r="R84" i="2" s="1"/>
  <c r="L85" i="2" a="1"/>
  <c r="M85" i="2" s="1"/>
  <c r="L85" i="2"/>
  <c r="L86" i="2" a="1"/>
  <c r="M86" i="2" s="1"/>
  <c r="L86" i="2"/>
  <c r="P86" i="2"/>
  <c r="L87" i="2" a="1"/>
  <c r="L87" i="2" s="1"/>
  <c r="O87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P110" i="2"/>
  <c r="P111" i="2"/>
  <c r="P112" i="2"/>
  <c r="P113" i="2"/>
  <c r="P114" i="2"/>
  <c r="P115" i="2"/>
  <c r="P116" i="2"/>
  <c r="T107" i="2" l="1"/>
  <c r="AC107" i="2" s="1"/>
  <c r="O86" i="2"/>
  <c r="T109" i="2" s="1"/>
  <c r="AC109" i="2" s="1"/>
  <c r="N86" i="2"/>
  <c r="T105" i="2" s="1"/>
  <c r="AC105" i="2" s="1"/>
  <c r="P85" i="2"/>
  <c r="T111" i="2"/>
  <c r="AC111" i="2" s="1"/>
  <c r="Q86" i="2"/>
  <c r="O85" i="2"/>
  <c r="O84" i="2"/>
  <c r="D40" i="1"/>
  <c r="D44" i="1"/>
  <c r="D48" i="1"/>
  <c r="D39" i="1"/>
  <c r="D47" i="1"/>
  <c r="D41" i="1"/>
  <c r="D45" i="1"/>
  <c r="D49" i="1"/>
  <c r="D43" i="1"/>
  <c r="D42" i="1"/>
  <c r="D46" i="1"/>
  <c r="D50" i="1"/>
  <c r="D51" i="1"/>
  <c r="C29" i="1"/>
  <c r="C14" i="1"/>
  <c r="C18" i="1"/>
  <c r="C22" i="1"/>
  <c r="C26" i="1"/>
  <c r="C16" i="1"/>
  <c r="C20" i="1"/>
  <c r="C28" i="1"/>
  <c r="C17" i="1"/>
  <c r="C21" i="1"/>
  <c r="C13" i="1"/>
  <c r="C30" i="1"/>
  <c r="C15" i="1"/>
  <c r="C19" i="1"/>
  <c r="C23" i="1"/>
  <c r="C27" i="1"/>
  <c r="C31" i="1"/>
  <c r="C24" i="1"/>
  <c r="C32" i="1"/>
  <c r="C25" i="1"/>
  <c r="N87" i="2"/>
  <c r="U84" i="2"/>
  <c r="V3" i="2"/>
  <c r="S115" i="2"/>
  <c r="Y115" i="2" s="1"/>
  <c r="Q87" i="2"/>
  <c r="M87" i="2"/>
  <c r="U101" i="2" s="1"/>
  <c r="AE101" i="2" s="1"/>
  <c r="T84" i="2"/>
  <c r="Q84" i="2"/>
  <c r="M84" i="2"/>
  <c r="Y3" i="2"/>
  <c r="U3" i="2"/>
  <c r="P87" i="2"/>
  <c r="N85" i="2"/>
  <c r="S105" i="2" s="1"/>
  <c r="Y105" i="2" s="1"/>
  <c r="W84" i="2"/>
  <c r="S84" i="2"/>
  <c r="P84" i="2"/>
  <c r="M99" i="2" s="1"/>
  <c r="X3" i="2"/>
  <c r="T3" i="2"/>
  <c r="Q85" i="2"/>
  <c r="V84" i="2"/>
  <c r="W3" i="2"/>
  <c r="E40" i="1"/>
  <c r="I40" i="1"/>
  <c r="F40" i="1"/>
  <c r="G40" i="1"/>
  <c r="H40" i="1"/>
  <c r="F47" i="1"/>
  <c r="H47" i="1"/>
  <c r="G47" i="1"/>
  <c r="E47" i="1"/>
  <c r="I47" i="1"/>
  <c r="G43" i="1"/>
  <c r="F43" i="1"/>
  <c r="H43" i="1"/>
  <c r="E43" i="1"/>
  <c r="I43" i="1"/>
  <c r="G51" i="1"/>
  <c r="H51" i="1"/>
  <c r="F51" i="1"/>
  <c r="E51" i="1"/>
  <c r="I51" i="1"/>
  <c r="I22" i="1"/>
  <c r="F22" i="1"/>
  <c r="G22" i="1"/>
  <c r="E22" i="1"/>
  <c r="H22" i="1"/>
  <c r="G28" i="1"/>
  <c r="H28" i="1"/>
  <c r="E28" i="1"/>
  <c r="I28" i="1"/>
  <c r="F28" i="1"/>
  <c r="F30" i="1"/>
  <c r="I30" i="1"/>
  <c r="G30" i="1"/>
  <c r="E30" i="1"/>
  <c r="H30" i="1"/>
  <c r="H27" i="1"/>
  <c r="I27" i="1"/>
  <c r="E27" i="1"/>
  <c r="F27" i="1"/>
  <c r="G27" i="1"/>
  <c r="G25" i="1"/>
  <c r="H25" i="1"/>
  <c r="F25" i="1"/>
  <c r="E25" i="1"/>
  <c r="I25" i="1"/>
  <c r="H49" i="1"/>
  <c r="I49" i="1"/>
  <c r="F49" i="1"/>
  <c r="E49" i="1"/>
  <c r="G49" i="1"/>
  <c r="G20" i="1"/>
  <c r="H20" i="1"/>
  <c r="E20" i="1"/>
  <c r="I20" i="1"/>
  <c r="F20" i="1"/>
  <c r="H32" i="1"/>
  <c r="E32" i="1"/>
  <c r="I32" i="1"/>
  <c r="G32" i="1"/>
  <c r="F32" i="1"/>
  <c r="I44" i="1"/>
  <c r="F44" i="1"/>
  <c r="G44" i="1"/>
  <c r="E44" i="1"/>
  <c r="H44" i="1"/>
  <c r="E41" i="1"/>
  <c r="F41" i="1"/>
  <c r="H41" i="1"/>
  <c r="I41" i="1"/>
  <c r="G41" i="1"/>
  <c r="G42" i="1"/>
  <c r="H42" i="1"/>
  <c r="E42" i="1"/>
  <c r="I42" i="1"/>
  <c r="F42" i="1"/>
  <c r="F29" i="1"/>
  <c r="H29" i="1"/>
  <c r="G29" i="1"/>
  <c r="E29" i="1"/>
  <c r="I29" i="1"/>
  <c r="E26" i="1"/>
  <c r="G26" i="1"/>
  <c r="I26" i="1"/>
  <c r="F26" i="1"/>
  <c r="H26" i="1"/>
  <c r="F17" i="1"/>
  <c r="G17" i="1"/>
  <c r="H17" i="1"/>
  <c r="E17" i="1"/>
  <c r="I17" i="1"/>
  <c r="I15" i="1"/>
  <c r="H15" i="1"/>
  <c r="E15" i="1"/>
  <c r="F15" i="1"/>
  <c r="G15" i="1"/>
  <c r="H31" i="1"/>
  <c r="E31" i="1"/>
  <c r="F31" i="1"/>
  <c r="I31" i="1"/>
  <c r="G31" i="1"/>
  <c r="F39" i="1"/>
  <c r="H39" i="1"/>
  <c r="G39" i="1"/>
  <c r="E39" i="1"/>
  <c r="I39" i="1"/>
  <c r="F18" i="1"/>
  <c r="E18" i="1"/>
  <c r="I18" i="1"/>
  <c r="G18" i="1"/>
  <c r="H18" i="1"/>
  <c r="F13" i="1"/>
  <c r="G13" i="1"/>
  <c r="H13" i="1"/>
  <c r="E13" i="1"/>
  <c r="I13" i="1"/>
  <c r="F48" i="1"/>
  <c r="E48" i="1"/>
  <c r="G48" i="1"/>
  <c r="I48" i="1"/>
  <c r="H48" i="1"/>
  <c r="I45" i="1"/>
  <c r="H45" i="1"/>
  <c r="F45" i="1"/>
  <c r="E45" i="1"/>
  <c r="G45" i="1"/>
  <c r="H46" i="1"/>
  <c r="E46" i="1"/>
  <c r="I46" i="1"/>
  <c r="G46" i="1"/>
  <c r="F46" i="1"/>
  <c r="E14" i="1"/>
  <c r="G14" i="1"/>
  <c r="I14" i="1"/>
  <c r="F14" i="1"/>
  <c r="H14" i="1"/>
  <c r="E16" i="1"/>
  <c r="I16" i="1"/>
  <c r="G16" i="1"/>
  <c r="H16" i="1"/>
  <c r="F16" i="1"/>
  <c r="F21" i="1"/>
  <c r="H21" i="1"/>
  <c r="G21" i="1"/>
  <c r="E21" i="1"/>
  <c r="I21" i="1"/>
  <c r="E19" i="1"/>
  <c r="F19" i="1"/>
  <c r="H19" i="1"/>
  <c r="I19" i="1"/>
  <c r="G19" i="1"/>
  <c r="G24" i="1"/>
  <c r="H24" i="1"/>
  <c r="E24" i="1"/>
  <c r="I24" i="1"/>
  <c r="F24" i="1"/>
  <c r="H50" i="1"/>
  <c r="G50" i="1"/>
  <c r="E50" i="1"/>
  <c r="I50" i="1"/>
  <c r="F50" i="1"/>
  <c r="E23" i="1"/>
  <c r="H23" i="1"/>
  <c r="F23" i="1"/>
  <c r="I23" i="1"/>
  <c r="G23" i="1"/>
  <c r="T116" i="2" l="1"/>
  <c r="AC116" i="2" s="1"/>
  <c r="T97" i="2"/>
  <c r="AC97" i="2" s="1"/>
  <c r="T115" i="2"/>
  <c r="AC115" i="2" s="1"/>
  <c r="T99" i="2"/>
  <c r="AC99" i="2" s="1"/>
  <c r="T100" i="2"/>
  <c r="AC100" i="2" s="1"/>
  <c r="T103" i="2"/>
  <c r="AC103" i="2" s="1"/>
  <c r="T110" i="2"/>
  <c r="AC110" i="2" s="1"/>
  <c r="N103" i="2"/>
  <c r="U105" i="2"/>
  <c r="AE105" i="2" s="1"/>
  <c r="R103" i="2"/>
  <c r="AA103" i="2" s="1"/>
  <c r="S97" i="2"/>
  <c r="Y97" i="2" s="1"/>
  <c r="T102" i="2"/>
  <c r="AC102" i="2" s="1"/>
  <c r="T106" i="2"/>
  <c r="AC106" i="2" s="1"/>
  <c r="T104" i="2"/>
  <c r="AC104" i="2" s="1"/>
  <c r="T108" i="2"/>
  <c r="AC108" i="2" s="1"/>
  <c r="T101" i="2"/>
  <c r="AC101" i="2" s="1"/>
  <c r="T98" i="2"/>
  <c r="AC98" i="2" s="1"/>
  <c r="S106" i="2"/>
  <c r="Y106" i="2" s="1"/>
  <c r="S116" i="2"/>
  <c r="Y116" i="2" s="1"/>
  <c r="S98" i="2"/>
  <c r="Y98" i="2" s="1"/>
  <c r="S99" i="2"/>
  <c r="Y99" i="2" s="1"/>
  <c r="T114" i="2"/>
  <c r="AC114" i="2" s="1"/>
  <c r="T113" i="2"/>
  <c r="AC113" i="2" s="1"/>
  <c r="T112" i="2"/>
  <c r="AC112" i="2" s="1"/>
  <c r="K49" i="1"/>
  <c r="K45" i="1"/>
  <c r="K42" i="1"/>
  <c r="K41" i="1"/>
  <c r="K44" i="1"/>
  <c r="K50" i="1"/>
  <c r="K39" i="1"/>
  <c r="K46" i="1"/>
  <c r="K48" i="1"/>
  <c r="K51" i="1"/>
  <c r="K43" i="1"/>
  <c r="K47" i="1"/>
  <c r="K40" i="1"/>
  <c r="K28" i="1"/>
  <c r="M28" i="1" s="1"/>
  <c r="K27" i="1"/>
  <c r="M27" i="1" s="1"/>
  <c r="K25" i="1"/>
  <c r="M25" i="1" s="1"/>
  <c r="K18" i="1"/>
  <c r="M18" i="1" s="1"/>
  <c r="K24" i="1"/>
  <c r="M24" i="1" s="1"/>
  <c r="K19" i="1"/>
  <c r="M19" i="1" s="1"/>
  <c r="K21" i="1"/>
  <c r="M21" i="1" s="1"/>
  <c r="K16" i="1"/>
  <c r="M16" i="1" s="1"/>
  <c r="K14" i="1"/>
  <c r="M14" i="1" s="1"/>
  <c r="K30" i="1"/>
  <c r="M30" i="1" s="1"/>
  <c r="K22" i="1"/>
  <c r="M22" i="1" s="1"/>
  <c r="K32" i="1"/>
  <c r="M32" i="1" s="1"/>
  <c r="K23" i="1"/>
  <c r="M23" i="1" s="1"/>
  <c r="K20" i="1"/>
  <c r="M20" i="1" s="1"/>
  <c r="K31" i="1"/>
  <c r="M31" i="1" s="1"/>
  <c r="K15" i="1"/>
  <c r="M15" i="1" s="1"/>
  <c r="K17" i="1"/>
  <c r="M17" i="1" s="1"/>
  <c r="K26" i="1"/>
  <c r="M26" i="1" s="1"/>
  <c r="K29" i="1"/>
  <c r="M29" i="1" s="1"/>
  <c r="K13" i="1"/>
  <c r="M13" i="1" s="1"/>
  <c r="D25" i="1"/>
  <c r="D27" i="1"/>
  <c r="D30" i="1"/>
  <c r="D28" i="1"/>
  <c r="D22" i="1"/>
  <c r="D32" i="1"/>
  <c r="D23" i="1"/>
  <c r="D13" i="1"/>
  <c r="D20" i="1"/>
  <c r="D18" i="1"/>
  <c r="D24" i="1"/>
  <c r="D19" i="1"/>
  <c r="D21" i="1"/>
  <c r="D16" i="1"/>
  <c r="D14" i="1"/>
  <c r="D31" i="1"/>
  <c r="D15" i="1"/>
  <c r="D17" i="1"/>
  <c r="D26" i="1"/>
  <c r="D29" i="1"/>
  <c r="R100" i="2"/>
  <c r="AA100" i="2" s="1"/>
  <c r="M106" i="2"/>
  <c r="M98" i="2"/>
  <c r="M107" i="2"/>
  <c r="N102" i="2"/>
  <c r="N104" i="2"/>
  <c r="U99" i="2"/>
  <c r="AE99" i="2" s="1"/>
  <c r="U104" i="2"/>
  <c r="AE104" i="2" s="1"/>
  <c r="N110" i="2"/>
  <c r="N109" i="2"/>
  <c r="N101" i="2"/>
  <c r="N97" i="2"/>
  <c r="N105" i="2"/>
  <c r="S102" i="2"/>
  <c r="Y102" i="2" s="1"/>
  <c r="S109" i="2"/>
  <c r="Y109" i="2" s="1"/>
  <c r="M105" i="2"/>
  <c r="M97" i="2"/>
  <c r="R105" i="2"/>
  <c r="AA105" i="2" s="1"/>
  <c r="R97" i="2"/>
  <c r="AA97" i="2" s="1"/>
  <c r="R106" i="2"/>
  <c r="AA106" i="2" s="1"/>
  <c r="R98" i="2"/>
  <c r="AA98" i="2" s="1"/>
  <c r="N98" i="2"/>
  <c r="N99" i="2"/>
  <c r="N100" i="2"/>
  <c r="U113" i="2"/>
  <c r="AE113" i="2" s="1"/>
  <c r="U100" i="2"/>
  <c r="AE100" i="2" s="1"/>
  <c r="S103" i="2"/>
  <c r="Y103" i="2" s="1"/>
  <c r="M100" i="2"/>
  <c r="S107" i="2"/>
  <c r="Y107" i="2" s="1"/>
  <c r="U115" i="2"/>
  <c r="AE115" i="2" s="1"/>
  <c r="U98" i="2"/>
  <c r="AE98" i="2" s="1"/>
  <c r="U106" i="2"/>
  <c r="AE106" i="2" s="1"/>
  <c r="U110" i="2"/>
  <c r="AE110" i="2" s="1"/>
  <c r="U116" i="2"/>
  <c r="AE116" i="2" s="1"/>
  <c r="U102" i="2"/>
  <c r="AE102" i="2" s="1"/>
  <c r="S104" i="2"/>
  <c r="Y104" i="2" s="1"/>
  <c r="R104" i="2"/>
  <c r="AA104" i="2" s="1"/>
  <c r="M110" i="2"/>
  <c r="M102" i="2"/>
  <c r="M111" i="2"/>
  <c r="M103" i="2"/>
  <c r="N111" i="2"/>
  <c r="N112" i="2"/>
  <c r="U107" i="2"/>
  <c r="AE107" i="2" s="1"/>
  <c r="U112" i="2"/>
  <c r="AE112" i="2" s="1"/>
  <c r="U114" i="2"/>
  <c r="AE114" i="2" s="1"/>
  <c r="U97" i="2"/>
  <c r="AE97" i="2" s="1"/>
  <c r="M109" i="2"/>
  <c r="M108" i="2"/>
  <c r="R108" i="2"/>
  <c r="AA108" i="2" s="1"/>
  <c r="S100" i="2"/>
  <c r="Y100" i="2" s="1"/>
  <c r="S112" i="2"/>
  <c r="Y112" i="2" s="1"/>
  <c r="S114" i="2"/>
  <c r="Y114" i="2" s="1"/>
  <c r="S108" i="2"/>
  <c r="Y108" i="2" s="1"/>
  <c r="S113" i="2"/>
  <c r="Y113" i="2" s="1"/>
  <c r="S111" i="2"/>
  <c r="Y111" i="2" s="1"/>
  <c r="R107" i="2"/>
  <c r="AA107" i="2" s="1"/>
  <c r="R111" i="2"/>
  <c r="AA111" i="2" s="1"/>
  <c r="M112" i="2"/>
  <c r="M104" i="2"/>
  <c r="R99" i="2"/>
  <c r="AA99" i="2" s="1"/>
  <c r="S110" i="2"/>
  <c r="Y110" i="2" s="1"/>
  <c r="U111" i="2"/>
  <c r="AE111" i="2" s="1"/>
  <c r="R112" i="2"/>
  <c r="AA112" i="2" s="1"/>
  <c r="M101" i="2"/>
  <c r="R109" i="2"/>
  <c r="AA109" i="2" s="1"/>
  <c r="R101" i="2"/>
  <c r="AA101" i="2" s="1"/>
  <c r="R110" i="2"/>
  <c r="AA110" i="2" s="1"/>
  <c r="R102" i="2"/>
  <c r="AA102" i="2" s="1"/>
  <c r="S101" i="2"/>
  <c r="Y101" i="2" s="1"/>
  <c r="N106" i="2"/>
  <c r="N107" i="2"/>
  <c r="N108" i="2"/>
  <c r="U103" i="2"/>
  <c r="AE103" i="2" s="1"/>
  <c r="U108" i="2"/>
  <c r="AE108" i="2" s="1"/>
  <c r="U109" i="2"/>
  <c r="AE109" i="2" s="1"/>
</calcChain>
</file>

<file path=xl/sharedStrings.xml><?xml version="1.0" encoding="utf-8"?>
<sst xmlns="http://schemas.openxmlformats.org/spreadsheetml/2006/main" count="88" uniqueCount="52">
  <si>
    <t>коэф мощ</t>
  </si>
  <si>
    <t>КПД</t>
  </si>
  <si>
    <t>обороты</t>
  </si>
  <si>
    <t>ток</t>
  </si>
  <si>
    <t>Ток 60</t>
  </si>
  <si>
    <t>Коэф мощ</t>
  </si>
  <si>
    <t>Ток</t>
  </si>
  <si>
    <t>Обороты</t>
  </si>
  <si>
    <t>Загрузка</t>
  </si>
  <si>
    <t>Обороты б/р</t>
  </si>
  <si>
    <t>на основе характеристик Новомет, ПЭД условный габарит 103</t>
  </si>
  <si>
    <t>Форма расчета характеристик ПЭД для Унифлок</t>
  </si>
  <si>
    <t>Unom</t>
  </si>
  <si>
    <t>Inom</t>
  </si>
  <si>
    <t>fnom</t>
  </si>
  <si>
    <t>Pnom</t>
  </si>
  <si>
    <t>№</t>
  </si>
  <si>
    <t>Момент</t>
  </si>
  <si>
    <t>Тип ПЭД</t>
  </si>
  <si>
    <t>Uраб</t>
  </si>
  <si>
    <t>fраб</t>
  </si>
  <si>
    <t>Расчет характеристик ПЭД</t>
  </si>
  <si>
    <t>кВт</t>
  </si>
  <si>
    <t>Мощн вал</t>
  </si>
  <si>
    <t>Cos phi</t>
  </si>
  <si>
    <t>S</t>
  </si>
  <si>
    <t>P</t>
  </si>
  <si>
    <t>Напр</t>
  </si>
  <si>
    <t>s</t>
  </si>
  <si>
    <t>M</t>
  </si>
  <si>
    <t>I</t>
  </si>
  <si>
    <t>Cos Phi</t>
  </si>
  <si>
    <t>Eff</t>
  </si>
  <si>
    <t>Анализ кривых зависимости параметров ПЭД от напряжения</t>
  </si>
  <si>
    <t>Оценка параметром полинома для коррекции значений при изменении напряжения питания ПЭД</t>
  </si>
  <si>
    <t>Подобранные вручную значения параметров ПЭД при изменении напряжения</t>
  </si>
  <si>
    <t>Проверка значений</t>
  </si>
  <si>
    <t>Prec voltage</t>
  </si>
  <si>
    <t>kW</t>
  </si>
  <si>
    <t>AMP</t>
  </si>
  <si>
    <t>EFF</t>
  </si>
  <si>
    <t>RPM</t>
  </si>
  <si>
    <t>PF</t>
  </si>
  <si>
    <t>EFF%</t>
  </si>
  <si>
    <t>RPM%</t>
  </si>
  <si>
    <t>PF%</t>
  </si>
  <si>
    <t>Подбор параметром полинома коррекции</t>
  </si>
  <si>
    <t>выбран тренд полиномом 3 степени</t>
  </si>
  <si>
    <t>коэффициенты полинома</t>
  </si>
  <si>
    <t>выбран тренд полиномом 4 степени</t>
  </si>
  <si>
    <t>выбран тренд полиномом 2 степени</t>
  </si>
  <si>
    <t>Электромеханическая характеристика ПЭД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</si>
</sst>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1" fontId="0" fillId="0" borderId="0" xfId="0" applyNumberFormat="1"/>
    <xf numFmtId="2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/>
    <xf numFmtId="1" fontId="0" fillId="0" borderId="0" xfId="0" applyNumberFormat="1" applyAlignment="1">
      <alignment horizontal="center"/>
    </xf>
    <xf numFmtId="9" fontId="0" fillId="0" borderId="0" xfId="1" applyFont="1"/>
    <xf numFmtId="9" fontId="0" fillId="0" borderId="0" xfId="1" applyFont="1" applyAlignment="1">
      <alignment horizontal="center"/>
    </xf>
    <xf numFmtId="1" fontId="0" fillId="0" borderId="0" xfId="1" applyNumberFormat="1" applyFont="1"/>
    <xf numFmtId="0" fontId="2" fillId="0" borderId="0" xfId="0" applyFont="1"/>
    <xf numFmtId="10" fontId="0" fillId="2" borderId="0" xfId="1" applyNumberFormat="1" applyFont="1" applyFill="1"/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коррекция'!$T$6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8.3053938176902726E-3"/>
                  <c:y val="0.1965240742705361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коррекция'!$T$7:$T$17</c:f>
              <c:numCache>
                <c:formatCode>General</c:formatCode>
                <c:ptCount val="11"/>
                <c:pt idx="2">
                  <c:v>104.2</c:v>
                </c:pt>
                <c:pt idx="3">
                  <c:v>102.6</c:v>
                </c:pt>
                <c:pt idx="4">
                  <c:v>101.3</c:v>
                </c:pt>
                <c:pt idx="5">
                  <c:v>100.4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E1-415D-B7A7-877BF581B986}"/>
            </c:ext>
          </c:extLst>
        </c:ser>
        <c:ser>
          <c:idx val="1"/>
          <c:order val="1"/>
          <c:tx>
            <c:strRef>
              <c:f>'U коррекция'!$U$6</c:f>
              <c:strCache>
                <c:ptCount val="1"/>
                <c:pt idx="0">
                  <c:v>AMP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коррекция'!$U$7:$U$17</c:f>
              <c:numCache>
                <c:formatCode>General</c:formatCode>
                <c:ptCount val="11"/>
                <c:pt idx="2">
                  <c:v>117.5</c:v>
                </c:pt>
                <c:pt idx="3">
                  <c:v>108.6</c:v>
                </c:pt>
                <c:pt idx="4">
                  <c:v>103.8</c:v>
                </c:pt>
                <c:pt idx="5">
                  <c:v>101.4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E1-415D-B7A7-877BF581B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82944"/>
        <c:axId val="723636912"/>
      </c:scatterChart>
      <c:valAx>
        <c:axId val="709082944"/>
        <c:scaling>
          <c:orientation val="minMax"/>
          <c:max val="12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36912"/>
        <c:crosses val="autoZero"/>
        <c:crossBetween val="midCat"/>
      </c:valAx>
      <c:valAx>
        <c:axId val="723636912"/>
        <c:scaling>
          <c:orientation val="minMax"/>
          <c:max val="120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0829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коррекция'!$V$6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0.20534255647950547"/>
                  <c:y val="5.68831396075490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коррекция'!$V$7:$V$17</c:f>
              <c:numCache>
                <c:formatCode>General</c:formatCode>
                <c:ptCount val="11"/>
                <c:pt idx="2">
                  <c:v>82</c:v>
                </c:pt>
                <c:pt idx="3">
                  <c:v>83.5</c:v>
                </c:pt>
                <c:pt idx="4">
                  <c:v>84.4</c:v>
                </c:pt>
                <c:pt idx="5">
                  <c:v>84.95</c:v>
                </c:pt>
                <c:pt idx="6">
                  <c:v>85.05</c:v>
                </c:pt>
                <c:pt idx="7">
                  <c:v>84.7</c:v>
                </c:pt>
                <c:pt idx="8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328-4B7C-B0A6-A99E5CF140CD}"/>
            </c:ext>
          </c:extLst>
        </c:ser>
        <c:ser>
          <c:idx val="1"/>
          <c:order val="1"/>
          <c:tx>
            <c:strRef>
              <c:f>'U коррекция'!$W$6</c:f>
              <c:strCache>
                <c:ptCount val="1"/>
                <c:pt idx="0">
                  <c:v>RPM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33630828856673289"/>
                  <c:y val="-1.681539807524059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коррекция'!$W$7:$W$17</c:f>
              <c:numCache>
                <c:formatCode>General</c:formatCode>
                <c:ptCount val="11"/>
                <c:pt idx="2">
                  <c:v>86.5</c:v>
                </c:pt>
                <c:pt idx="3">
                  <c:v>90.7</c:v>
                </c:pt>
                <c:pt idx="4">
                  <c:v>93.9</c:v>
                </c:pt>
                <c:pt idx="5">
                  <c:v>96</c:v>
                </c:pt>
                <c:pt idx="6">
                  <c:v>98</c:v>
                </c:pt>
                <c:pt idx="7">
                  <c:v>99.199999999999989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28-4B7C-B0A6-A99E5CF140CD}"/>
            </c:ext>
          </c:extLst>
        </c:ser>
        <c:ser>
          <c:idx val="2"/>
          <c:order val="2"/>
          <c:tx>
            <c:strRef>
              <c:f>'U коррекция'!$X$6</c:f>
              <c:strCache>
                <c:ptCount val="1"/>
                <c:pt idx="0">
                  <c:v>PF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  <a:lumOff val="40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4"/>
            <c:dispRSqr val="0"/>
            <c:dispEq val="1"/>
            <c:trendlineLbl>
              <c:layout>
                <c:manualLayout>
                  <c:x val="-2.7741555670027229E-2"/>
                  <c:y val="3.0313210848643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коррекция'!$X$7:$X$17</c:f>
              <c:numCache>
                <c:formatCode>General</c:formatCode>
                <c:ptCount val="11"/>
                <c:pt idx="2">
                  <c:v>90.5</c:v>
                </c:pt>
                <c:pt idx="3">
                  <c:v>89.9</c:v>
                </c:pt>
                <c:pt idx="4">
                  <c:v>88</c:v>
                </c:pt>
                <c:pt idx="5">
                  <c:v>85.999999999999986</c:v>
                </c:pt>
                <c:pt idx="6">
                  <c:v>82.8</c:v>
                </c:pt>
                <c:pt idx="7">
                  <c:v>79</c:v>
                </c:pt>
                <c:pt idx="8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328-4B7C-B0A6-A99E5CF140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09082944"/>
        <c:axId val="723636912"/>
      </c:scatterChart>
      <c:valAx>
        <c:axId val="709082944"/>
        <c:scaling>
          <c:orientation val="minMax"/>
          <c:max val="120"/>
          <c:min val="7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3636912"/>
        <c:crosses val="autoZero"/>
        <c:crossBetween val="midCat"/>
      </c:valAx>
      <c:valAx>
        <c:axId val="723636912"/>
        <c:scaling>
          <c:orientation val="minMax"/>
          <c:max val="110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908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коррекция'!$T$6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коррекция'!$T$7:$T$17</c:f>
              <c:numCache>
                <c:formatCode>General</c:formatCode>
                <c:ptCount val="11"/>
                <c:pt idx="2">
                  <c:v>104.2</c:v>
                </c:pt>
                <c:pt idx="3">
                  <c:v>102.6</c:v>
                </c:pt>
                <c:pt idx="4">
                  <c:v>101.3</c:v>
                </c:pt>
                <c:pt idx="5">
                  <c:v>100.4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2B-4B2D-AC87-D3FB5C76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коррекция'!$AB$6</c:f>
              <c:strCache>
                <c:ptCount val="1"/>
                <c:pt idx="0">
                  <c:v>kW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коррекция'!$AB$7:$AB$19</c:f>
              <c:numCache>
                <c:formatCode>General</c:formatCode>
                <c:ptCount val="13"/>
                <c:pt idx="0">
                  <c:v>107.9285714285715</c:v>
                </c:pt>
                <c:pt idx="1">
                  <c:v>106.02857142857145</c:v>
                </c:pt>
                <c:pt idx="2">
                  <c:v>104.2095238095238</c:v>
                </c:pt>
                <c:pt idx="3">
                  <c:v>102.58809523809521</c:v>
                </c:pt>
                <c:pt idx="4">
                  <c:v>101.28095238095236</c:v>
                </c:pt>
                <c:pt idx="5">
                  <c:v>100.4047619047619</c:v>
                </c:pt>
                <c:pt idx="6">
                  <c:v>100.07619047619042</c:v>
                </c:pt>
                <c:pt idx="7">
                  <c:v>100.41190476190474</c:v>
                </c:pt>
                <c:pt idx="8">
                  <c:v>101.52857142857141</c:v>
                </c:pt>
                <c:pt idx="9">
                  <c:v>103.54285714285714</c:v>
                </c:pt>
                <c:pt idx="10">
                  <c:v>106.57142857142847</c:v>
                </c:pt>
                <c:pt idx="11">
                  <c:v>110.73095238095226</c:v>
                </c:pt>
                <c:pt idx="12">
                  <c:v>116.13809523809499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2B-4B2D-AC87-D3FB5C76E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коррекция'!$U$6</c:f>
              <c:strCache>
                <c:ptCount val="1"/>
                <c:pt idx="0">
                  <c:v>AMP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коррекция'!$U$7:$U$17</c:f>
              <c:numCache>
                <c:formatCode>General</c:formatCode>
                <c:ptCount val="11"/>
                <c:pt idx="2">
                  <c:v>117.5</c:v>
                </c:pt>
                <c:pt idx="3">
                  <c:v>108.6</c:v>
                </c:pt>
                <c:pt idx="4">
                  <c:v>103.8</c:v>
                </c:pt>
                <c:pt idx="5">
                  <c:v>101.4</c:v>
                </c:pt>
                <c:pt idx="6">
                  <c:v>100</c:v>
                </c:pt>
                <c:pt idx="7">
                  <c:v>100.5</c:v>
                </c:pt>
                <c:pt idx="8">
                  <c:v>101.5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C4-49B5-AAD2-691E3000F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коррекция'!$AC$6</c:f>
              <c:strCache>
                <c:ptCount val="1"/>
                <c:pt idx="0">
                  <c:v>AMP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коррекция'!$AC$7:$AC$19</c:f>
              <c:numCache>
                <c:formatCode>General</c:formatCode>
                <c:ptCount val="13"/>
                <c:pt idx="0">
                  <c:v>154.89999999998099</c:v>
                </c:pt>
                <c:pt idx="1">
                  <c:v>132.07142857142344</c:v>
                </c:pt>
                <c:pt idx="2">
                  <c:v>117.4761904761931</c:v>
                </c:pt>
                <c:pt idx="3">
                  <c:v>108.68095238095839</c:v>
                </c:pt>
                <c:pt idx="4">
                  <c:v>103.75238095238774</c:v>
                </c:pt>
                <c:pt idx="5">
                  <c:v>101.25714285714594</c:v>
                </c:pt>
                <c:pt idx="6">
                  <c:v>100.26190476190595</c:v>
                </c:pt>
                <c:pt idx="7">
                  <c:v>100.3333333333353</c:v>
                </c:pt>
                <c:pt idx="8">
                  <c:v>101.53809523809605</c:v>
                </c:pt>
                <c:pt idx="9">
                  <c:v>104.44285714285752</c:v>
                </c:pt>
                <c:pt idx="10">
                  <c:v>110.11428571427632</c:v>
                </c:pt>
                <c:pt idx="11">
                  <c:v>120.1190476190236</c:v>
                </c:pt>
                <c:pt idx="12">
                  <c:v>136.52380952376143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C4-49B5-AAD2-691E3000F1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коррекция'!$V$6</c:f>
              <c:strCache>
                <c:ptCount val="1"/>
                <c:pt idx="0">
                  <c:v>EFF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коррекция'!$V$7:$V$17</c:f>
              <c:numCache>
                <c:formatCode>General</c:formatCode>
                <c:ptCount val="11"/>
                <c:pt idx="2">
                  <c:v>82</c:v>
                </c:pt>
                <c:pt idx="3">
                  <c:v>83.5</c:v>
                </c:pt>
                <c:pt idx="4">
                  <c:v>84.4</c:v>
                </c:pt>
                <c:pt idx="5">
                  <c:v>84.95</c:v>
                </c:pt>
                <c:pt idx="6">
                  <c:v>85.05</c:v>
                </c:pt>
                <c:pt idx="7">
                  <c:v>84.7</c:v>
                </c:pt>
                <c:pt idx="8">
                  <c:v>83.9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EB-4F8C-A236-1CC288E9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коррекция'!$AD$6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коррекция'!$AD$7:$AD$19</c:f>
              <c:numCache>
                <c:formatCode>General</c:formatCode>
                <c:ptCount val="13"/>
                <c:pt idx="0">
                  <c:v>77.846428571428561</c:v>
                </c:pt>
                <c:pt idx="1">
                  <c:v>80.157142857142844</c:v>
                </c:pt>
                <c:pt idx="2">
                  <c:v>82.023809523809504</c:v>
                </c:pt>
                <c:pt idx="3">
                  <c:v>83.446428571428555</c:v>
                </c:pt>
                <c:pt idx="4">
                  <c:v>84.424999999999969</c:v>
                </c:pt>
                <c:pt idx="5">
                  <c:v>84.959523809523802</c:v>
                </c:pt>
                <c:pt idx="6">
                  <c:v>85.049999999999983</c:v>
                </c:pt>
                <c:pt idx="7">
                  <c:v>84.696428571428569</c:v>
                </c:pt>
                <c:pt idx="8">
                  <c:v>83.898809523809533</c:v>
                </c:pt>
                <c:pt idx="9">
                  <c:v>82.65714285714283</c:v>
                </c:pt>
                <c:pt idx="10">
                  <c:v>80.971428571428532</c:v>
                </c:pt>
                <c:pt idx="11">
                  <c:v>78.84166666666664</c:v>
                </c:pt>
                <c:pt idx="12">
                  <c:v>76.267857142857125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EB-4F8C-A236-1CC288E951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коррекция'!$W$6</c:f>
              <c:strCache>
                <c:ptCount val="1"/>
                <c:pt idx="0">
                  <c:v>RPM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коррекция'!$W$7:$W$17</c:f>
              <c:numCache>
                <c:formatCode>General</c:formatCode>
                <c:ptCount val="11"/>
                <c:pt idx="2">
                  <c:v>86.5</c:v>
                </c:pt>
                <c:pt idx="3">
                  <c:v>90.7</c:v>
                </c:pt>
                <c:pt idx="4">
                  <c:v>93.9</c:v>
                </c:pt>
                <c:pt idx="5">
                  <c:v>96</c:v>
                </c:pt>
                <c:pt idx="6">
                  <c:v>98</c:v>
                </c:pt>
                <c:pt idx="7">
                  <c:v>99.199999999999989</c:v>
                </c:pt>
                <c:pt idx="8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CB-44D5-94BB-5D397201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коррекция'!$AE$6</c:f>
              <c:strCache>
                <c:ptCount val="1"/>
                <c:pt idx="0">
                  <c:v>RPM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коррекция'!$AE$7:$AE$19</c:f>
              <c:numCache>
                <c:formatCode>General</c:formatCode>
                <c:ptCount val="13"/>
                <c:pt idx="0">
                  <c:v>74.850000000000122</c:v>
                </c:pt>
                <c:pt idx="1">
                  <c:v>81.314285714285731</c:v>
                </c:pt>
                <c:pt idx="2">
                  <c:v>86.530952380952272</c:v>
                </c:pt>
                <c:pt idx="3">
                  <c:v>90.649999999999977</c:v>
                </c:pt>
                <c:pt idx="4">
                  <c:v>93.821428571428456</c:v>
                </c:pt>
                <c:pt idx="5">
                  <c:v>96.195238095238039</c:v>
                </c:pt>
                <c:pt idx="6">
                  <c:v>97.921428571428606</c:v>
                </c:pt>
                <c:pt idx="7">
                  <c:v>99.149999999999963</c:v>
                </c:pt>
                <c:pt idx="8">
                  <c:v>100.03095238095241</c:v>
                </c:pt>
                <c:pt idx="9">
                  <c:v>100.71428571428581</c:v>
                </c:pt>
                <c:pt idx="10">
                  <c:v>101.34999999999997</c:v>
                </c:pt>
                <c:pt idx="11">
                  <c:v>102.08809523809511</c:v>
                </c:pt>
                <c:pt idx="12">
                  <c:v>103.07857142857122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CB-44D5-94BB-5D397201C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'U коррекция'!$X$6</c:f>
              <c:strCache>
                <c:ptCount val="1"/>
                <c:pt idx="0">
                  <c:v>PF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 коррекция'!$S$7:$S$17</c:f>
              <c:numCache>
                <c:formatCode>General</c:formatCode>
                <c:ptCount val="11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</c:numCache>
            </c:numRef>
          </c:xVal>
          <c:yVal>
            <c:numRef>
              <c:f>'U коррекция'!$X$7:$X$17</c:f>
              <c:numCache>
                <c:formatCode>General</c:formatCode>
                <c:ptCount val="11"/>
                <c:pt idx="2">
                  <c:v>90.5</c:v>
                </c:pt>
                <c:pt idx="3">
                  <c:v>89.9</c:v>
                </c:pt>
                <c:pt idx="4">
                  <c:v>88</c:v>
                </c:pt>
                <c:pt idx="5">
                  <c:v>85.999999999999986</c:v>
                </c:pt>
                <c:pt idx="6">
                  <c:v>82.8</c:v>
                </c:pt>
                <c:pt idx="7">
                  <c:v>79</c:v>
                </c:pt>
                <c:pt idx="8">
                  <c:v>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BF-45FF-B8E6-3CC953D6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scatterChart>
        <c:scatterStyle val="smoothMarker"/>
        <c:varyColors val="0"/>
        <c:ser>
          <c:idx val="1"/>
          <c:order val="1"/>
          <c:tx>
            <c:strRef>
              <c:f>'U коррекция'!$AF$6</c:f>
              <c:strCache>
                <c:ptCount val="1"/>
                <c:pt idx="0">
                  <c:v>PF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'U коррекция'!$S$7:$S$19</c:f>
              <c:numCache>
                <c:formatCode>General</c:formatCode>
                <c:ptCount val="13"/>
                <c:pt idx="0">
                  <c:v>70</c:v>
                </c:pt>
                <c:pt idx="1">
                  <c:v>75</c:v>
                </c:pt>
                <c:pt idx="2">
                  <c:v>80</c:v>
                </c:pt>
                <c:pt idx="3">
                  <c:v>85</c:v>
                </c:pt>
                <c:pt idx="4">
                  <c:v>90</c:v>
                </c:pt>
                <c:pt idx="5">
                  <c:v>95</c:v>
                </c:pt>
                <c:pt idx="6">
                  <c:v>100</c:v>
                </c:pt>
                <c:pt idx="7">
                  <c:v>105</c:v>
                </c:pt>
                <c:pt idx="8">
                  <c:v>110</c:v>
                </c:pt>
                <c:pt idx="9">
                  <c:v>115</c:v>
                </c:pt>
                <c:pt idx="10">
                  <c:v>120</c:v>
                </c:pt>
                <c:pt idx="11">
                  <c:v>125</c:v>
                </c:pt>
                <c:pt idx="12">
                  <c:v>130</c:v>
                </c:pt>
              </c:numCache>
            </c:numRef>
          </c:xVal>
          <c:yVal>
            <c:numRef>
              <c:f>'U коррекция'!$AF$7:$AF$19</c:f>
              <c:numCache>
                <c:formatCode>General</c:formatCode>
                <c:ptCount val="13"/>
                <c:pt idx="0">
                  <c:v>90.357142857129148</c:v>
                </c:pt>
                <c:pt idx="1">
                  <c:v>90.657142857138695</c:v>
                </c:pt>
                <c:pt idx="2">
                  <c:v>90.531385281385113</c:v>
                </c:pt>
                <c:pt idx="3">
                  <c:v>89.761688311688815</c:v>
                </c:pt>
                <c:pt idx="4">
                  <c:v>88.22077922077959</c:v>
                </c:pt>
                <c:pt idx="5">
                  <c:v>85.872294372293766</c:v>
                </c:pt>
                <c:pt idx="6">
                  <c:v>82.770779220779104</c:v>
                </c:pt>
                <c:pt idx="7">
                  <c:v>79.061688311688485</c:v>
                </c:pt>
                <c:pt idx="8">
                  <c:v>74.981385281385016</c:v>
                </c:pt>
                <c:pt idx="9">
                  <c:v>70.85714285713938</c:v>
                </c:pt>
                <c:pt idx="10">
                  <c:v>67.107142857130768</c:v>
                </c:pt>
                <c:pt idx="11">
                  <c:v>64.240476190447424</c:v>
                </c:pt>
                <c:pt idx="12">
                  <c:v>62.857142857084924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BF-45FF-B8E6-3CC953D6EB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6750464"/>
        <c:axId val="594090672"/>
      </c:scatterChart>
      <c:valAx>
        <c:axId val="466750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090672"/>
        <c:crosses val="autoZero"/>
        <c:crossBetween val="midCat"/>
      </c:valAx>
      <c:valAx>
        <c:axId val="594090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667504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18670560766028377"/>
                  <c:y val="3.29820381435569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117'!$L$10:$L$21</c:f>
              <c:numCache>
                <c:formatCode>0</c:formatCode>
                <c:ptCount val="12"/>
                <c:pt idx="0">
                  <c:v>2980</c:v>
                </c:pt>
                <c:pt idx="1">
                  <c:v>2962</c:v>
                </c:pt>
                <c:pt idx="2">
                  <c:v>2943</c:v>
                </c:pt>
                <c:pt idx="3">
                  <c:v>2922</c:v>
                </c:pt>
                <c:pt idx="4">
                  <c:v>2900</c:v>
                </c:pt>
                <c:pt idx="5">
                  <c:v>2878</c:v>
                </c:pt>
                <c:pt idx="6">
                  <c:v>2855</c:v>
                </c:pt>
                <c:pt idx="7">
                  <c:v>2830</c:v>
                </c:pt>
                <c:pt idx="8">
                  <c:v>2803</c:v>
                </c:pt>
                <c:pt idx="9">
                  <c:v>2778</c:v>
                </c:pt>
                <c:pt idx="10">
                  <c:v>2750</c:v>
                </c:pt>
                <c:pt idx="11">
                  <c:v>2720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2C9-43FF-B101-C5F440394CA8}"/>
            </c:ext>
          </c:extLst>
        </c:ser>
        <c:ser>
          <c:idx val="1"/>
          <c:order val="1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117'!$L$48:$L$59</c:f>
              <c:numCache>
                <c:formatCode>0</c:formatCode>
                <c:ptCount val="12"/>
                <c:pt idx="0">
                  <c:v>3570</c:v>
                </c:pt>
                <c:pt idx="1">
                  <c:v>3552</c:v>
                </c:pt>
                <c:pt idx="2">
                  <c:v>3533</c:v>
                </c:pt>
                <c:pt idx="3">
                  <c:v>3512</c:v>
                </c:pt>
                <c:pt idx="4">
                  <c:v>3490</c:v>
                </c:pt>
                <c:pt idx="5">
                  <c:v>3468</c:v>
                </c:pt>
                <c:pt idx="6">
                  <c:v>3445</c:v>
                </c:pt>
                <c:pt idx="7">
                  <c:v>3420</c:v>
                </c:pt>
                <c:pt idx="8">
                  <c:v>3393</c:v>
                </c:pt>
                <c:pt idx="9">
                  <c:v>3368</c:v>
                </c:pt>
                <c:pt idx="10">
                  <c:v>3340</c:v>
                </c:pt>
                <c:pt idx="11">
                  <c:v>3310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2C9-43FF-B101-C5F440394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8565161793950428"/>
                  <c:y val="5.9693925876765565E-2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117'!$M$10:$M$21</c:f>
              <c:numCache>
                <c:formatCode>General</c:formatCode>
                <c:ptCount val="12"/>
                <c:pt idx="0">
                  <c:v>44.5</c:v>
                </c:pt>
                <c:pt idx="1">
                  <c:v>48.9</c:v>
                </c:pt>
                <c:pt idx="2">
                  <c:v>54.3</c:v>
                </c:pt>
                <c:pt idx="3">
                  <c:v>60.3</c:v>
                </c:pt>
                <c:pt idx="4">
                  <c:v>66.899999999999991</c:v>
                </c:pt>
                <c:pt idx="5">
                  <c:v>74.399999999999991</c:v>
                </c:pt>
                <c:pt idx="6">
                  <c:v>82.399999999999991</c:v>
                </c:pt>
                <c:pt idx="7">
                  <c:v>91.399999999999991</c:v>
                </c:pt>
                <c:pt idx="8">
                  <c:v>100</c:v>
                </c:pt>
                <c:pt idx="9">
                  <c:v>109.39999999999999</c:v>
                </c:pt>
                <c:pt idx="10">
                  <c:v>118.39999999999999</c:v>
                </c:pt>
                <c:pt idx="11">
                  <c:v>127.39999999999999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B11-45D0-9896-4536BC06BA5F}"/>
            </c:ext>
          </c:extLst>
        </c:ser>
        <c:ser>
          <c:idx val="1"/>
          <c:order val="1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117'!$M$48:$M$59</c:f>
              <c:numCache>
                <c:formatCode>General</c:formatCode>
                <c:ptCount val="12"/>
                <c:pt idx="0">
                  <c:v>46</c:v>
                </c:pt>
                <c:pt idx="1">
                  <c:v>50</c:v>
                </c:pt>
                <c:pt idx="2">
                  <c:v>55.1</c:v>
                </c:pt>
                <c:pt idx="3">
                  <c:v>61.5</c:v>
                </c:pt>
                <c:pt idx="4">
                  <c:v>68</c:v>
                </c:pt>
                <c:pt idx="5">
                  <c:v>75</c:v>
                </c:pt>
                <c:pt idx="6">
                  <c:v>82.9</c:v>
                </c:pt>
                <c:pt idx="7">
                  <c:v>91.5</c:v>
                </c:pt>
                <c:pt idx="8">
                  <c:v>100</c:v>
                </c:pt>
                <c:pt idx="9">
                  <c:v>109.2</c:v>
                </c:pt>
                <c:pt idx="10">
                  <c:v>118</c:v>
                </c:pt>
                <c:pt idx="1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B11-45D0-9896-4536BC06BA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5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117'!$N$10:$N$21</c:f>
              <c:numCache>
                <c:formatCode>General</c:formatCode>
                <c:ptCount val="12"/>
                <c:pt idx="0">
                  <c:v>64</c:v>
                </c:pt>
                <c:pt idx="1">
                  <c:v>74.2</c:v>
                </c:pt>
                <c:pt idx="2">
                  <c:v>79.2</c:v>
                </c:pt>
                <c:pt idx="3">
                  <c:v>81.3</c:v>
                </c:pt>
                <c:pt idx="4">
                  <c:v>82</c:v>
                </c:pt>
                <c:pt idx="5">
                  <c:v>82.2</c:v>
                </c:pt>
                <c:pt idx="6">
                  <c:v>82.1</c:v>
                </c:pt>
                <c:pt idx="7">
                  <c:v>81.7</c:v>
                </c:pt>
                <c:pt idx="8">
                  <c:v>81.2</c:v>
                </c:pt>
                <c:pt idx="9">
                  <c:v>80.5</c:v>
                </c:pt>
                <c:pt idx="10">
                  <c:v>79.3</c:v>
                </c:pt>
                <c:pt idx="11">
                  <c:v>77.5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ACE-4C2E-A534-7529FFAFA071}"/>
            </c:ext>
          </c:extLst>
        </c:ser>
        <c:ser>
          <c:idx val="1"/>
          <c:order val="1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117'!$N$48:$N$59</c:f>
              <c:numCache>
                <c:formatCode>General</c:formatCode>
                <c:ptCount val="12"/>
                <c:pt idx="0">
                  <c:v>51</c:v>
                </c:pt>
                <c:pt idx="1">
                  <c:v>66</c:v>
                </c:pt>
                <c:pt idx="2">
                  <c:v>75</c:v>
                </c:pt>
                <c:pt idx="3">
                  <c:v>79</c:v>
                </c:pt>
                <c:pt idx="4">
                  <c:v>81</c:v>
                </c:pt>
                <c:pt idx="5">
                  <c:v>82</c:v>
                </c:pt>
                <c:pt idx="6">
                  <c:v>82.1</c:v>
                </c:pt>
                <c:pt idx="7">
                  <c:v>82</c:v>
                </c:pt>
                <c:pt idx="8">
                  <c:v>81.8</c:v>
                </c:pt>
                <c:pt idx="9">
                  <c:v>81.7</c:v>
                </c:pt>
                <c:pt idx="10">
                  <c:v>81.599999999999994</c:v>
                </c:pt>
                <c:pt idx="1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ACE-4C2E-A534-7529FFAFA0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117'!$O$10:$O$21</c:f>
              <c:numCache>
                <c:formatCode>General</c:formatCode>
                <c:ptCount val="12"/>
                <c:pt idx="0">
                  <c:v>39</c:v>
                </c:pt>
                <c:pt idx="1">
                  <c:v>52</c:v>
                </c:pt>
                <c:pt idx="2">
                  <c:v>62</c:v>
                </c:pt>
                <c:pt idx="3">
                  <c:v>69.3</c:v>
                </c:pt>
                <c:pt idx="4">
                  <c:v>74.5</c:v>
                </c:pt>
                <c:pt idx="5">
                  <c:v>78</c:v>
                </c:pt>
                <c:pt idx="6">
                  <c:v>80.599999999999994</c:v>
                </c:pt>
                <c:pt idx="7">
                  <c:v>82.5</c:v>
                </c:pt>
                <c:pt idx="8">
                  <c:v>83.7</c:v>
                </c:pt>
                <c:pt idx="9">
                  <c:v>84.8</c:v>
                </c:pt>
                <c:pt idx="10">
                  <c:v>85.5</c:v>
                </c:pt>
                <c:pt idx="11">
                  <c:v>86.3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431-49BE-8C4C-1E461A34E55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117'!$O$48:$O$59</c:f>
              <c:numCache>
                <c:formatCode>General</c:formatCode>
                <c:ptCount val="12"/>
                <c:pt idx="0">
                  <c:v>37</c:v>
                </c:pt>
                <c:pt idx="1">
                  <c:v>52</c:v>
                </c:pt>
                <c:pt idx="2">
                  <c:v>62</c:v>
                </c:pt>
                <c:pt idx="3">
                  <c:v>68.599999999999994</c:v>
                </c:pt>
                <c:pt idx="4">
                  <c:v>73.400000000000006</c:v>
                </c:pt>
                <c:pt idx="5">
                  <c:v>77.2</c:v>
                </c:pt>
                <c:pt idx="6">
                  <c:v>80.2</c:v>
                </c:pt>
                <c:pt idx="7">
                  <c:v>82.2</c:v>
                </c:pt>
                <c:pt idx="8">
                  <c:v>83.8</c:v>
                </c:pt>
                <c:pt idx="9">
                  <c:v>85</c:v>
                </c:pt>
                <c:pt idx="10">
                  <c:v>85.8</c:v>
                </c:pt>
                <c:pt idx="1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431-49BE-8C4C-1E461A34E5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117'!$O$7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117'!$O$48:$O$59</c:f>
              <c:numCache>
                <c:formatCode>General</c:formatCode>
                <c:ptCount val="12"/>
                <c:pt idx="0">
                  <c:v>37</c:v>
                </c:pt>
                <c:pt idx="1">
                  <c:v>52</c:v>
                </c:pt>
                <c:pt idx="2">
                  <c:v>62</c:v>
                </c:pt>
                <c:pt idx="3">
                  <c:v>68.599999999999994</c:v>
                </c:pt>
                <c:pt idx="4">
                  <c:v>73.400000000000006</c:v>
                </c:pt>
                <c:pt idx="5">
                  <c:v>77.2</c:v>
                </c:pt>
                <c:pt idx="6">
                  <c:v>80.2</c:v>
                </c:pt>
                <c:pt idx="7">
                  <c:v>82.2</c:v>
                </c:pt>
                <c:pt idx="8">
                  <c:v>83.8</c:v>
                </c:pt>
                <c:pt idx="9">
                  <c:v>85</c:v>
                </c:pt>
                <c:pt idx="10">
                  <c:v>85.8</c:v>
                </c:pt>
                <c:pt idx="11">
                  <c:v>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78-4D45-A136-D1AB08E645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3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429622462277135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6802368117509351"/>
                  <c:y val="-0.14234373856533827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117'!$N$48:$N$59</c:f>
              <c:numCache>
                <c:formatCode>General</c:formatCode>
                <c:ptCount val="12"/>
                <c:pt idx="0">
                  <c:v>51</c:v>
                </c:pt>
                <c:pt idx="1">
                  <c:v>66</c:v>
                </c:pt>
                <c:pt idx="2">
                  <c:v>75</c:v>
                </c:pt>
                <c:pt idx="3">
                  <c:v>79</c:v>
                </c:pt>
                <c:pt idx="4">
                  <c:v>81</c:v>
                </c:pt>
                <c:pt idx="5">
                  <c:v>82</c:v>
                </c:pt>
                <c:pt idx="6">
                  <c:v>82.1</c:v>
                </c:pt>
                <c:pt idx="7">
                  <c:v>82</c:v>
                </c:pt>
                <c:pt idx="8">
                  <c:v>81.8</c:v>
                </c:pt>
                <c:pt idx="9">
                  <c:v>81.7</c:v>
                </c:pt>
                <c:pt idx="10">
                  <c:v>81.599999999999994</c:v>
                </c:pt>
                <c:pt idx="11">
                  <c:v>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256-4047-8853-48FDBD2288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2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8.3477037023780454E-2"/>
                  <c:y val="3.208160469670416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117'!$L$48:$L$59</c:f>
              <c:numCache>
                <c:formatCode>0</c:formatCode>
                <c:ptCount val="12"/>
                <c:pt idx="0">
                  <c:v>3570</c:v>
                </c:pt>
                <c:pt idx="1">
                  <c:v>3552</c:v>
                </c:pt>
                <c:pt idx="2">
                  <c:v>3533</c:v>
                </c:pt>
                <c:pt idx="3">
                  <c:v>3512</c:v>
                </c:pt>
                <c:pt idx="4">
                  <c:v>3490</c:v>
                </c:pt>
                <c:pt idx="5">
                  <c:v>3468</c:v>
                </c:pt>
                <c:pt idx="6">
                  <c:v>3445</c:v>
                </c:pt>
                <c:pt idx="7">
                  <c:v>3420</c:v>
                </c:pt>
                <c:pt idx="8">
                  <c:v>3393</c:v>
                </c:pt>
                <c:pt idx="9">
                  <c:v>3368</c:v>
                </c:pt>
                <c:pt idx="10">
                  <c:v>3340</c:v>
                </c:pt>
                <c:pt idx="11">
                  <c:v>3310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3C9-4ABF-B7F1-EDD4D13DA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4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9.1914329164754519E-2"/>
          <c:y val="8.3607507096385245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28565161793950428"/>
                  <c:y val="5.9693925876765565E-2"/>
                </c:manualLayout>
              </c:layout>
              <c:numFmt formatCode="General" sourceLinked="0"/>
              <c:spPr>
                <a:solidFill>
                  <a:schemeClr val="accent5">
                    <a:lumMod val="40000"/>
                    <a:lumOff val="6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117'!$K$48:$K$59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117'!$M$48:$M$59</c:f>
              <c:numCache>
                <c:formatCode>General</c:formatCode>
                <c:ptCount val="12"/>
                <c:pt idx="0">
                  <c:v>46</c:v>
                </c:pt>
                <c:pt idx="1">
                  <c:v>50</c:v>
                </c:pt>
                <c:pt idx="2">
                  <c:v>55.1</c:v>
                </c:pt>
                <c:pt idx="3">
                  <c:v>61.5</c:v>
                </c:pt>
                <c:pt idx="4">
                  <c:v>68</c:v>
                </c:pt>
                <c:pt idx="5">
                  <c:v>75</c:v>
                </c:pt>
                <c:pt idx="6">
                  <c:v>82.9</c:v>
                </c:pt>
                <c:pt idx="7">
                  <c:v>91.5</c:v>
                </c:pt>
                <c:pt idx="8">
                  <c:v>100</c:v>
                </c:pt>
                <c:pt idx="9">
                  <c:v>109.2</c:v>
                </c:pt>
                <c:pt idx="10">
                  <c:v>118</c:v>
                </c:pt>
                <c:pt idx="11">
                  <c:v>128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7A2-4B12-B1A6-FB586981A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  <c:max val="11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93313722831588E-2"/>
          <c:y val="5.7505778547078008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117'!$M$7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0"/>
          </c:trendline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117'!$M$97:$M$112</c:f>
              <c:numCache>
                <c:formatCode>General</c:formatCode>
                <c:ptCount val="16"/>
                <c:pt idx="0">
                  <c:v>36.762237762238591</c:v>
                </c:pt>
                <c:pt idx="1">
                  <c:v>40.454545454545723</c:v>
                </c:pt>
                <c:pt idx="2">
                  <c:v>44.464932126696858</c:v>
                </c:pt>
                <c:pt idx="3">
                  <c:v>49.01092143150963</c:v>
                </c:pt>
                <c:pt idx="4">
                  <c:v>54.234903331962123</c:v>
                </c:pt>
                <c:pt idx="5">
                  <c:v>60.211373920197438</c:v>
                </c:pt>
                <c:pt idx="6">
                  <c:v>66.954175236528187</c:v>
                </c:pt>
                <c:pt idx="7">
                  <c:v>74.423735088440964</c:v>
                </c:pt>
                <c:pt idx="8">
                  <c:v>82.534306869600968</c:v>
                </c:pt>
                <c:pt idx="9">
                  <c:v>91.161209378856412</c:v>
                </c:pt>
                <c:pt idx="10">
                  <c:v>100.1480666392431</c:v>
                </c:pt>
                <c:pt idx="11">
                  <c:v>109.31404771698888</c:v>
                </c:pt>
                <c:pt idx="12">
                  <c:v>118.46110654051833</c:v>
                </c:pt>
                <c:pt idx="13">
                  <c:v>127.38122171945702</c:v>
                </c:pt>
                <c:pt idx="14">
                  <c:v>135.86363636363618</c:v>
                </c:pt>
                <c:pt idx="15">
                  <c:v>143.70209790209725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1B-4095-91FD-CB9A4E9ED15D}"/>
            </c:ext>
          </c:extLst>
        </c:ser>
        <c:ser>
          <c:idx val="1"/>
          <c:order val="1"/>
          <c:tx>
            <c:strRef>
              <c:f>'Новомет 117'!$N$7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117'!$N$97:$N$112</c:f>
              <c:numCache>
                <c:formatCode>General</c:formatCode>
                <c:ptCount val="16"/>
                <c:pt idx="0">
                  <c:v>41.10874125874129</c:v>
                </c:pt>
                <c:pt idx="1">
                  <c:v>42.904545454545428</c:v>
                </c:pt>
                <c:pt idx="2">
                  <c:v>45.946945701357436</c:v>
                </c:pt>
                <c:pt idx="3">
                  <c:v>50.099681201151768</c:v>
                </c:pt>
                <c:pt idx="4">
                  <c:v>55.228866721513775</c:v>
                </c:pt>
                <c:pt idx="5">
                  <c:v>61.205707527766357</c:v>
                </c:pt>
                <c:pt idx="6">
                  <c:v>67.909214315096676</c:v>
                </c:pt>
                <c:pt idx="7">
                  <c:v>75.22891814068285</c:v>
                </c:pt>
                <c:pt idx="8">
                  <c:v>83.067585355820654</c:v>
                </c:pt>
                <c:pt idx="9">
                  <c:v>91.343932538050183</c:v>
                </c:pt>
                <c:pt idx="10">
                  <c:v>99.995341423282611</c:v>
                </c:pt>
                <c:pt idx="11">
                  <c:v>108.9805738379268</c:v>
                </c:pt>
                <c:pt idx="12">
                  <c:v>118.28248663101607</c:v>
                </c:pt>
                <c:pt idx="13">
                  <c:v>127.91074660633485</c:v>
                </c:pt>
                <c:pt idx="14">
                  <c:v>137.90454545454537</c:v>
                </c:pt>
                <c:pt idx="15">
                  <c:v>148.33531468531447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1B-4095-91FD-CB9A4E9ED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>
        <a:lumMod val="40000"/>
        <a:lumOff val="6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93313722831588E-2"/>
          <c:y val="5.7505778547078008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117'!$R$7</c:f>
              <c:strCache>
                <c:ptCount val="1"/>
                <c:pt idx="0">
                  <c:v>Ток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117'!$R$97:$R$112</c:f>
              <c:numCache>
                <c:formatCode>General</c:formatCode>
                <c:ptCount val="16"/>
                <c:pt idx="0">
                  <c:v>36.762237762238591</c:v>
                </c:pt>
                <c:pt idx="1">
                  <c:v>40.454545454545723</c:v>
                </c:pt>
                <c:pt idx="2">
                  <c:v>44.464932126696858</c:v>
                </c:pt>
                <c:pt idx="3">
                  <c:v>49.01092143150963</c:v>
                </c:pt>
                <c:pt idx="4">
                  <c:v>54.234903331962123</c:v>
                </c:pt>
                <c:pt idx="5">
                  <c:v>60.211373920197438</c:v>
                </c:pt>
                <c:pt idx="6">
                  <c:v>66.954175236528187</c:v>
                </c:pt>
                <c:pt idx="7">
                  <c:v>74.423735088440964</c:v>
                </c:pt>
                <c:pt idx="8">
                  <c:v>82.534306869600968</c:v>
                </c:pt>
                <c:pt idx="9">
                  <c:v>91.161209378856412</c:v>
                </c:pt>
                <c:pt idx="10">
                  <c:v>100.1480666392431</c:v>
                </c:pt>
                <c:pt idx="11">
                  <c:v>109.31404771698888</c:v>
                </c:pt>
                <c:pt idx="12">
                  <c:v>118.46110654051833</c:v>
                </c:pt>
                <c:pt idx="13">
                  <c:v>127.38122171945702</c:v>
                </c:pt>
                <c:pt idx="14">
                  <c:v>135.86363636363618</c:v>
                </c:pt>
                <c:pt idx="15">
                  <c:v>143.70209790209725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60-4E48-A288-59D119B338D8}"/>
            </c:ext>
          </c:extLst>
        </c:ser>
        <c:ser>
          <c:idx val="2"/>
          <c:order val="2"/>
          <c:tx>
            <c:strRef>
              <c:f>'Новомет 117'!$T$7</c:f>
              <c:strCache>
                <c:ptCount val="1"/>
                <c:pt idx="0">
                  <c:v>КПД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117'!$T$97:$T$112</c:f>
              <c:numCache>
                <c:formatCode>General</c:formatCode>
                <c:ptCount val="16"/>
                <c:pt idx="0">
                  <c:v>16.133216783225308</c:v>
                </c:pt>
                <c:pt idx="1">
                  <c:v>45.986363636366725</c:v>
                </c:pt>
                <c:pt idx="2">
                  <c:v>64.029524886878363</c:v>
                </c:pt>
                <c:pt idx="3">
                  <c:v>74.125925545042833</c:v>
                </c:pt>
                <c:pt idx="4">
                  <c:v>79.202190456601784</c:v>
                </c:pt>
                <c:pt idx="5">
                  <c:v>81.37209995886441</c:v>
                </c:pt>
                <c:pt idx="6">
                  <c:v>82.060345536816058</c:v>
                </c:pt>
                <c:pt idx="7">
                  <c:v>82.126285479226667</c:v>
                </c:pt>
                <c:pt idx="8">
                  <c:v>81.987700534759327</c:v>
                </c:pt>
                <c:pt idx="9">
                  <c:v>81.744549568078881</c:v>
                </c:pt>
                <c:pt idx="10">
                  <c:v>81.302725215960393</c:v>
                </c:pt>
                <c:pt idx="11">
                  <c:v>80.497809543397992</c:v>
                </c:pt>
                <c:pt idx="12">
                  <c:v>79.218829699712515</c:v>
                </c:pt>
                <c:pt idx="13">
                  <c:v>77.532013574660837</c:v>
                </c:pt>
                <c:pt idx="14">
                  <c:v>75.804545454545078</c:v>
                </c:pt>
                <c:pt idx="15">
                  <c:v>74.828321678318858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60-4E48-A288-59D119B338D8}"/>
            </c:ext>
          </c:extLst>
        </c:ser>
        <c:ser>
          <c:idx val="3"/>
          <c:order val="3"/>
          <c:tx>
            <c:strRef>
              <c:f>'Новомет 117'!$U$7</c:f>
              <c:strCache>
                <c:ptCount val="1"/>
                <c:pt idx="0">
                  <c:v>Коэф мощ</c:v>
                </c:pt>
              </c:strCache>
            </c:strRef>
          </c:tx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117'!$U$97:$U$112</c:f>
              <c:numCache>
                <c:formatCode>General</c:formatCode>
                <c:ptCount val="16"/>
                <c:pt idx="0">
                  <c:v>0.39440559440718381</c:v>
                </c:pt>
                <c:pt idx="1">
                  <c:v>21.972727272727845</c:v>
                </c:pt>
                <c:pt idx="2">
                  <c:v>38.970361990950316</c:v>
                </c:pt>
                <c:pt idx="3">
                  <c:v>52.083710407239742</c:v>
                </c:pt>
                <c:pt idx="4">
                  <c:v>61.969909502262361</c:v>
                </c:pt>
                <c:pt idx="5">
                  <c:v>69.240271493212632</c:v>
                </c:pt>
                <c:pt idx="6">
                  <c:v>74.453722747840388</c:v>
                </c:pt>
                <c:pt idx="7">
                  <c:v>78.11024269847799</c:v>
                </c:pt>
                <c:pt idx="8">
                  <c:v>80.644302756067475</c:v>
                </c:pt>
                <c:pt idx="9">
                  <c:v>82.418305224187563</c:v>
                </c:pt>
                <c:pt idx="10">
                  <c:v>83.716022213081047</c:v>
                </c:pt>
                <c:pt idx="11">
                  <c:v>84.736034553681648</c:v>
                </c:pt>
                <c:pt idx="12">
                  <c:v>85.585170711641339</c:v>
                </c:pt>
                <c:pt idx="13">
                  <c:v>86.271945701357467</c:v>
                </c:pt>
                <c:pt idx="14">
                  <c:v>86.699999999999804</c:v>
                </c:pt>
                <c:pt idx="15">
                  <c:v>86.661538461537688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60-4E48-A288-59D119B3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scatterChart>
        <c:scatterStyle val="lineMarker"/>
        <c:varyColors val="0"/>
        <c:ser>
          <c:idx val="1"/>
          <c:order val="1"/>
          <c:tx>
            <c:strRef>
              <c:f>'Новомет 117'!$S$7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'Новомет 117'!$K$97:$K$112</c:f>
              <c:numCache>
                <c:formatCode>General</c:formatCode>
                <c:ptCount val="16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</c:numCache>
            </c:numRef>
          </c:xVal>
          <c:yVal>
            <c:numRef>
              <c:f>'Новомет 117'!$S$97:$S$112</c:f>
              <c:numCache>
                <c:formatCode>General</c:formatCode>
                <c:ptCount val="16"/>
                <c:pt idx="0">
                  <c:v>3012.6643356643362</c:v>
                </c:pt>
                <c:pt idx="1">
                  <c:v>2996.909090909091</c:v>
                </c:pt>
                <c:pt idx="2">
                  <c:v>2980.0520361990953</c:v>
                </c:pt>
                <c:pt idx="3">
                  <c:v>2961.983545865899</c:v>
                </c:pt>
                <c:pt idx="4">
                  <c:v>2942.6801727684083</c:v>
                </c:pt>
                <c:pt idx="5">
                  <c:v>2922.1797614150555</c:v>
                </c:pt>
                <c:pt idx="6">
                  <c:v>2900.556561085973</c:v>
                </c:pt>
                <c:pt idx="7">
                  <c:v>2877.8963389551627</c:v>
                </c:pt>
                <c:pt idx="8">
                  <c:v>2854.2714932126696</c:v>
                </c:pt>
                <c:pt idx="9">
                  <c:v>2829.7161661867544</c:v>
                </c:pt>
                <c:pt idx="10">
                  <c:v>2804.2013574660637</c:v>
                </c:pt>
                <c:pt idx="11">
                  <c:v>2777.6100370218019</c:v>
                </c:pt>
                <c:pt idx="12">
                  <c:v>2749.7122583299056</c:v>
                </c:pt>
                <c:pt idx="13">
                  <c:v>2720.1402714932128</c:v>
                </c:pt>
                <c:pt idx="14">
                  <c:v>2688.3636363636365</c:v>
                </c:pt>
                <c:pt idx="15">
                  <c:v>2653.6643356643353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60-4E48-A288-59D119B338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8388160"/>
        <c:axId val="65916976"/>
      </c:scatterChart>
      <c:valAx>
        <c:axId val="4931570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valAx>
        <c:axId val="65916976"/>
        <c:scaling>
          <c:orientation val="minMax"/>
          <c:min val="0"/>
        </c:scaling>
        <c:delete val="0"/>
        <c:axPos val="r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8388160"/>
        <c:crosses val="max"/>
        <c:crossBetween val="midCat"/>
      </c:valAx>
      <c:valAx>
        <c:axId val="728388160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5916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5334001165391054"/>
          <c:y val="0.83473710470296048"/>
          <c:w val="0.68503589069915782"/>
          <c:h val="4.489038183237564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6502803979644147E-2"/>
          <c:y val="8.1613657030673664E-2"/>
          <c:w val="0.87205897454580472"/>
          <c:h val="0.87830159865055291"/>
        </c:manualLayout>
      </c:layout>
      <c:scatterChart>
        <c:scatterStyle val="lineMarker"/>
        <c:varyColors val="0"/>
        <c:ser>
          <c:idx val="0"/>
          <c:order val="0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0"/>
            <c:dispEq val="1"/>
            <c:trendlineLbl>
              <c:layout>
                <c:manualLayout>
                  <c:x val="-0.18670560766028377"/>
                  <c:y val="3.298203814355690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117'!$P$10:$P$21</c:f>
              <c:numCache>
                <c:formatCode>General</c:formatCode>
                <c:ptCount val="12"/>
                <c:pt idx="0">
                  <c:v>0.99333333333333329</c:v>
                </c:pt>
                <c:pt idx="1">
                  <c:v>0.98733333333333329</c:v>
                </c:pt>
                <c:pt idx="2">
                  <c:v>0.98099999999999998</c:v>
                </c:pt>
                <c:pt idx="3">
                  <c:v>0.97399999999999998</c:v>
                </c:pt>
                <c:pt idx="4">
                  <c:v>0.96666666666666667</c:v>
                </c:pt>
                <c:pt idx="5">
                  <c:v>0.95933333333333337</c:v>
                </c:pt>
                <c:pt idx="6">
                  <c:v>0.95166666666666666</c:v>
                </c:pt>
                <c:pt idx="7">
                  <c:v>0.94333333333333336</c:v>
                </c:pt>
                <c:pt idx="8">
                  <c:v>0.93433333333333335</c:v>
                </c:pt>
                <c:pt idx="9">
                  <c:v>0.92600000000000005</c:v>
                </c:pt>
                <c:pt idx="10">
                  <c:v>0.91666666666666663</c:v>
                </c:pt>
                <c:pt idx="11">
                  <c:v>0.90666666666666662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0F3-481B-A8B9-6B3E84BCCE93}"/>
            </c:ext>
          </c:extLst>
        </c:ser>
        <c:ser>
          <c:idx val="1"/>
          <c:order val="1"/>
          <c:tx>
            <c:strRef>
              <c:f>'Новомет 117'!$L$7</c:f>
              <c:strCache>
                <c:ptCount val="1"/>
                <c:pt idx="0">
                  <c:v>Обороты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'Новомет 117'!$K$10:$K$21</c:f>
              <c:numCache>
                <c:formatCode>General</c:formatCode>
                <c:ptCount val="12"/>
                <c:pt idx="0">
                  <c:v>20</c:v>
                </c:pt>
                <c:pt idx="1">
                  <c:v>30</c:v>
                </c:pt>
                <c:pt idx="2">
                  <c:v>40</c:v>
                </c:pt>
                <c:pt idx="3">
                  <c:v>50</c:v>
                </c:pt>
                <c:pt idx="4">
                  <c:v>60</c:v>
                </c:pt>
                <c:pt idx="5">
                  <c:v>70</c:v>
                </c:pt>
                <c:pt idx="6">
                  <c:v>80</c:v>
                </c:pt>
                <c:pt idx="7">
                  <c:v>90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130</c:v>
                </c:pt>
              </c:numCache>
            </c:numRef>
          </c:xVal>
          <c:yVal>
            <c:numRef>
              <c:f>'Новомет 117'!$P$48:$P$59</c:f>
              <c:numCache>
                <c:formatCode>General</c:formatCode>
                <c:ptCount val="12"/>
                <c:pt idx="0">
                  <c:v>0.9916666666666667</c:v>
                </c:pt>
                <c:pt idx="1">
                  <c:v>0.98666666666666669</c:v>
                </c:pt>
                <c:pt idx="2">
                  <c:v>0.98138888888888887</c:v>
                </c:pt>
                <c:pt idx="3">
                  <c:v>0.97555555555555551</c:v>
                </c:pt>
                <c:pt idx="4">
                  <c:v>0.96944444444444444</c:v>
                </c:pt>
                <c:pt idx="5">
                  <c:v>0.96333333333333337</c:v>
                </c:pt>
                <c:pt idx="6">
                  <c:v>0.95694444444444449</c:v>
                </c:pt>
                <c:pt idx="7">
                  <c:v>0.95</c:v>
                </c:pt>
                <c:pt idx="8">
                  <c:v>0.9425</c:v>
                </c:pt>
                <c:pt idx="9">
                  <c:v>0.93555555555555558</c:v>
                </c:pt>
                <c:pt idx="10">
                  <c:v>0.92777777777777781</c:v>
                </c:pt>
                <c:pt idx="11">
                  <c:v>0.9194444444444444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0F3-481B-A8B9-6B3E84BCCE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3157088"/>
        <c:axId val="1916333856"/>
      </c:scatterChart>
      <c:valAx>
        <c:axId val="493157088"/>
        <c:scaling>
          <c:orientation val="minMax"/>
          <c:max val="120"/>
          <c:min val="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916333856"/>
        <c:crosses val="autoZero"/>
        <c:crossBetween val="midCat"/>
      </c:valAx>
      <c:valAx>
        <c:axId val="191633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931570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Лист1!$F$12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Лист1!$F$13:$F$32</c:f>
              <c:numCache>
                <c:formatCode>0.0</c:formatCode>
                <c:ptCount val="20"/>
                <c:pt idx="0">
                  <c:v>12.768005570596255</c:v>
                </c:pt>
                <c:pt idx="1">
                  <c:v>13.103529888893238</c:v>
                </c:pt>
                <c:pt idx="2">
                  <c:v>13.523610080021554</c:v>
                </c:pt>
                <c:pt idx="3">
                  <c:v>14.01783976334819</c:v>
                </c:pt>
                <c:pt idx="4">
                  <c:v>14.589592647427398</c:v>
                </c:pt>
                <c:pt idx="5">
                  <c:v>15.22782525535213</c:v>
                </c:pt>
                <c:pt idx="6">
                  <c:v>15.932336839023927</c:v>
                </c:pt>
                <c:pt idx="7">
                  <c:v>16.690811613308178</c:v>
                </c:pt>
                <c:pt idx="8">
                  <c:v>17.50400873684454</c:v>
                </c:pt>
                <c:pt idx="9">
                  <c:v>18.374011994175287</c:v>
                </c:pt>
                <c:pt idx="10">
                  <c:v>19.288867688559293</c:v>
                </c:pt>
                <c:pt idx="11">
                  <c:v>20.243731004273872</c:v>
                </c:pt>
                <c:pt idx="12">
                  <c:v>21.249389872441117</c:v>
                </c:pt>
                <c:pt idx="13">
                  <c:v>22.294222646476669</c:v>
                </c:pt>
                <c:pt idx="14">
                  <c:v>23.381930242053372</c:v>
                </c:pt>
                <c:pt idx="15">
                  <c:v>24.516335428310111</c:v>
                </c:pt>
                <c:pt idx="16">
                  <c:v>25.68579705995235</c:v>
                </c:pt>
                <c:pt idx="17">
                  <c:v>26.901675867176174</c:v>
                </c:pt>
                <c:pt idx="18">
                  <c:v>28.167255863176624</c:v>
                </c:pt>
                <c:pt idx="19">
                  <c:v>29.470434533211613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52-460D-9F63-84749CA2A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Лист1!$G$12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Лист1!$G$13:$G$32</c:f>
              <c:numCache>
                <c:formatCode>0.00</c:formatCode>
                <c:ptCount val="20"/>
                <c:pt idx="0">
                  <c:v>0.27844035034302017</c:v>
                </c:pt>
                <c:pt idx="1">
                  <c:v>0.43455304964891017</c:v>
                </c:pt>
                <c:pt idx="2">
                  <c:v>0.53317629298102642</c:v>
                </c:pt>
                <c:pt idx="3">
                  <c:v>0.59990525921902371</c:v>
                </c:pt>
                <c:pt idx="4">
                  <c:v>0.64832494220801584</c:v>
                </c:pt>
                <c:pt idx="5">
                  <c:v>0.68431848664200667</c:v>
                </c:pt>
                <c:pt idx="6">
                  <c:v>0.71197923463272594</c:v>
                </c:pt>
                <c:pt idx="7">
                  <c:v>0.73340665614695733</c:v>
                </c:pt>
                <c:pt idx="8">
                  <c:v>0.75034765642748968</c:v>
                </c:pt>
                <c:pt idx="9">
                  <c:v>0.76391788306154551</c:v>
                </c:pt>
                <c:pt idx="10">
                  <c:v>0.77470348871436612</c:v>
                </c:pt>
                <c:pt idx="11">
                  <c:v>0.7832548950618059</c:v>
                </c:pt>
                <c:pt idx="12">
                  <c:v>0.79007505945693191</c:v>
                </c:pt>
                <c:pt idx="13">
                  <c:v>0.79537847311123244</c:v>
                </c:pt>
                <c:pt idx="14">
                  <c:v>0.7994202678417105</c:v>
                </c:pt>
                <c:pt idx="15">
                  <c:v>0.80237953629072412</c:v>
                </c:pt>
                <c:pt idx="16">
                  <c:v>0.80436305563330046</c:v>
                </c:pt>
                <c:pt idx="17">
                  <c:v>0.80549784728499185</c:v>
                </c:pt>
                <c:pt idx="18">
                  <c:v>0.80585659991467262</c:v>
                </c:pt>
                <c:pt idx="19" formatCode="0.0">
                  <c:v>0.80549845795921626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922-42C7-B9B4-783C3B0592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Лист1!$H$12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Лист1!$H$13:$H$32</c:f>
              <c:numCache>
                <c:formatCode>0.00</c:formatCode>
                <c:ptCount val="20"/>
                <c:pt idx="0">
                  <c:v>0.2664374236677492</c:v>
                </c:pt>
                <c:pt idx="1">
                  <c:v>0.33375584424931132</c:v>
                </c:pt>
                <c:pt idx="2">
                  <c:v>0.39591193485290721</c:v>
                </c:pt>
                <c:pt idx="3">
                  <c:v>0.45183667639222513</c:v>
                </c:pt>
                <c:pt idx="4">
                  <c:v>0.50241068957096191</c:v>
                </c:pt>
                <c:pt idx="5">
                  <c:v>0.5471650931808304</c:v>
                </c:pt>
                <c:pt idx="6">
                  <c:v>0.58673930825219323</c:v>
                </c:pt>
                <c:pt idx="7">
                  <c:v>0.62115021754108479</c:v>
                </c:pt>
                <c:pt idx="8">
                  <c:v>0.65115263348076879</c:v>
                </c:pt>
                <c:pt idx="9">
                  <c:v>0.67736450451222374</c:v>
                </c:pt>
                <c:pt idx="10">
                  <c:v>0.69995173943991496</c:v>
                </c:pt>
                <c:pt idx="11">
                  <c:v>0.7193413275800622</c:v>
                </c:pt>
                <c:pt idx="12">
                  <c:v>0.73616077302917027</c:v>
                </c:pt>
                <c:pt idx="13">
                  <c:v>0.75055114087062735</c:v>
                </c:pt>
                <c:pt idx="14">
                  <c:v>0.76287455201498289</c:v>
                </c:pt>
                <c:pt idx="15">
                  <c:v>0.773407252092707</c:v>
                </c:pt>
                <c:pt idx="16">
                  <c:v>0.78225596812762621</c:v>
                </c:pt>
                <c:pt idx="17">
                  <c:v>0.78968802248530756</c:v>
                </c:pt>
                <c:pt idx="18">
                  <c:v>0.79584651848320698</c:v>
                </c:pt>
                <c:pt idx="19">
                  <c:v>0.80079137519408417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35-4323-A107-75D47E9C5A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Лист1!$I$12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Лист1!$I$13:$I$32</c:f>
              <c:numCache>
                <c:formatCode>0%</c:formatCode>
                <c:ptCount val="20"/>
                <c:pt idx="0">
                  <c:v>2.6220703124999996E-3</c:v>
                </c:pt>
                <c:pt idx="1">
                  <c:v>4.1015625000000002E-3</c:v>
                </c:pt>
                <c:pt idx="2">
                  <c:v>5.6103515624999992E-3</c:v>
                </c:pt>
                <c:pt idx="3">
                  <c:v>7.1337890624999997E-3</c:v>
                </c:pt>
                <c:pt idx="4">
                  <c:v>8.7011718750000001E-3</c:v>
                </c:pt>
                <c:pt idx="5">
                  <c:v>1.0297851562499998E-2</c:v>
                </c:pt>
                <c:pt idx="6">
                  <c:v>1.1938476562500001E-2</c:v>
                </c:pt>
                <c:pt idx="7">
                  <c:v>1.3608398437499999E-2</c:v>
                </c:pt>
                <c:pt idx="8">
                  <c:v>1.5322265625E-2</c:v>
                </c:pt>
                <c:pt idx="9">
                  <c:v>1.7094726562500002E-2</c:v>
                </c:pt>
                <c:pt idx="10">
                  <c:v>1.8911132812500002E-2</c:v>
                </c:pt>
                <c:pt idx="11">
                  <c:v>2.0771484374999996E-2</c:v>
                </c:pt>
                <c:pt idx="12">
                  <c:v>2.2705078125E-2</c:v>
                </c:pt>
                <c:pt idx="13">
                  <c:v>2.4697265624999999E-2</c:v>
                </c:pt>
                <c:pt idx="14">
                  <c:v>2.6762695312500001E-2</c:v>
                </c:pt>
                <c:pt idx="15">
                  <c:v>2.8916015624999999E-2</c:v>
                </c:pt>
                <c:pt idx="16">
                  <c:v>3.1142578125000001E-2</c:v>
                </c:pt>
                <c:pt idx="17">
                  <c:v>3.3471679687500006E-2</c:v>
                </c:pt>
                <c:pt idx="18">
                  <c:v>3.5917968750000001E-2</c:v>
                </c:pt>
                <c:pt idx="19">
                  <c:v>3.8466796875000001E-2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DF9-49C8-A8D0-FB58DB4DC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  <c:max val="0.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Лист1!$E$12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Лист1!$E$13:$E$32</c:f>
              <c:numCache>
                <c:formatCode>0.0</c:formatCode>
                <c:ptCount val="20"/>
                <c:pt idx="0">
                  <c:v>6.7889805986373064</c:v>
                </c:pt>
                <c:pt idx="1">
                  <c:v>13.621159922656535</c:v>
                </c:pt>
                <c:pt idx="2">
                  <c:v>20.460496682990097</c:v>
                </c:pt>
                <c:pt idx="3">
                  <c:v>27.233242172208776</c:v>
                </c:pt>
                <c:pt idx="4">
                  <c:v>34.060331798425061</c:v>
                </c:pt>
                <c:pt idx="5">
                  <c:v>40.866613211197986</c:v>
                </c:pt>
                <c:pt idx="6">
                  <c:v>47.703044607168984</c:v>
                </c:pt>
                <c:pt idx="7">
                  <c:v>54.49705717429277</c:v>
                </c:pt>
                <c:pt idx="8">
                  <c:v>61.2966810751373</c:v>
                </c:pt>
                <c:pt idx="9">
                  <c:v>68.14393589891786</c:v>
                </c:pt>
                <c:pt idx="10">
                  <c:v>74.966019214300687</c:v>
                </c:pt>
                <c:pt idx="11">
                  <c:v>81.749065094608227</c:v>
                </c:pt>
                <c:pt idx="12">
                  <c:v>88.581207527972779</c:v>
                </c:pt>
                <c:pt idx="13">
                  <c:v>95.38949795464822</c:v>
                </c:pt>
                <c:pt idx="14">
                  <c:v>102.20278966822099</c:v>
                </c:pt>
                <c:pt idx="15">
                  <c:v>109.04298853971029</c:v>
                </c:pt>
                <c:pt idx="16">
                  <c:v>115.83722750083682</c:v>
                </c:pt>
                <c:pt idx="17">
                  <c:v>122.64599691047151</c:v>
                </c:pt>
                <c:pt idx="18">
                  <c:v>129.47494453081606</c:v>
                </c:pt>
                <c:pt idx="19">
                  <c:v>136.2463093025188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55-48BE-95C1-D6F6A38300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Лист1!$C$12</c:f>
              <c:strCache>
                <c:ptCount val="1"/>
                <c:pt idx="0">
                  <c:v>Мощн вал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Лист1!$C$13:$C$32</c:f>
              <c:numCache>
                <c:formatCode>0.00</c:formatCode>
                <c:ptCount val="20"/>
                <c:pt idx="0">
                  <c:v>2.1404900386287133</c:v>
                </c:pt>
                <c:pt idx="1">
                  <c:v>4.2809800772574267</c:v>
                </c:pt>
                <c:pt idx="2">
                  <c:v>6.42147011588614</c:v>
                </c:pt>
                <c:pt idx="3">
                  <c:v>8.5619601545148534</c:v>
                </c:pt>
                <c:pt idx="4">
                  <c:v>10.702450193143566</c:v>
                </c:pt>
                <c:pt idx="5">
                  <c:v>12.84294023177228</c:v>
                </c:pt>
                <c:pt idx="6">
                  <c:v>14.983430270400994</c:v>
                </c:pt>
                <c:pt idx="7">
                  <c:v>17.123920309029707</c:v>
                </c:pt>
                <c:pt idx="8">
                  <c:v>19.264410347658419</c:v>
                </c:pt>
                <c:pt idx="9">
                  <c:v>21.404900386287132</c:v>
                </c:pt>
                <c:pt idx="10">
                  <c:v>23.545390424915848</c:v>
                </c:pt>
                <c:pt idx="11">
                  <c:v>25.68588046354456</c:v>
                </c:pt>
                <c:pt idx="12">
                  <c:v>27.826370502173273</c:v>
                </c:pt>
                <c:pt idx="13">
                  <c:v>29.966860540801989</c:v>
                </c:pt>
                <c:pt idx="14">
                  <c:v>32.107350579430701</c:v>
                </c:pt>
                <c:pt idx="15">
                  <c:v>34.247840618059413</c:v>
                </c:pt>
                <c:pt idx="16">
                  <c:v>36.388330656688126</c:v>
                </c:pt>
                <c:pt idx="17">
                  <c:v>38.528820695316838</c:v>
                </c:pt>
                <c:pt idx="18">
                  <c:v>40.669310733945551</c:v>
                </c:pt>
                <c:pt idx="19">
                  <c:v>42.809800772574263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0E0-47AB-9555-16473432369C}"/>
            </c:ext>
          </c:extLst>
        </c:ser>
        <c:ser>
          <c:idx val="1"/>
          <c:order val="1"/>
          <c:tx>
            <c:strRef>
              <c:f>Лист1!$K$12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Лист1!$D$13:$D$32</c:f>
              <c:numCache>
                <c:formatCode>0%</c:formatCode>
                <c:ptCount val="20"/>
                <c:pt idx="0">
                  <c:v>6.25E-2</c:v>
                </c:pt>
                <c:pt idx="1">
                  <c:v>0.125</c:v>
                </c:pt>
                <c:pt idx="2">
                  <c:v>0.1875</c:v>
                </c:pt>
                <c:pt idx="3">
                  <c:v>0.25</c:v>
                </c:pt>
                <c:pt idx="4">
                  <c:v>0.3125</c:v>
                </c:pt>
                <c:pt idx="5">
                  <c:v>0.375</c:v>
                </c:pt>
                <c:pt idx="6">
                  <c:v>0.4375</c:v>
                </c:pt>
                <c:pt idx="7">
                  <c:v>0.5</c:v>
                </c:pt>
                <c:pt idx="8">
                  <c:v>0.5625</c:v>
                </c:pt>
                <c:pt idx="9">
                  <c:v>0.625</c:v>
                </c:pt>
                <c:pt idx="10">
                  <c:v>0.6875</c:v>
                </c:pt>
                <c:pt idx="11">
                  <c:v>0.75</c:v>
                </c:pt>
                <c:pt idx="12">
                  <c:v>0.8125</c:v>
                </c:pt>
                <c:pt idx="13">
                  <c:v>0.875</c:v>
                </c:pt>
                <c:pt idx="14">
                  <c:v>0.9375</c:v>
                </c:pt>
                <c:pt idx="15">
                  <c:v>1</c:v>
                </c:pt>
                <c:pt idx="16">
                  <c:v>1.0625</c:v>
                </c:pt>
                <c:pt idx="17">
                  <c:v>1.125</c:v>
                </c:pt>
                <c:pt idx="18">
                  <c:v>1.1875</c:v>
                </c:pt>
                <c:pt idx="19">
                  <c:v>1.25</c:v>
                </c:pt>
              </c:numCache>
            </c:numRef>
          </c:xVal>
          <c:yVal>
            <c:numRef>
              <c:f>Лист1!$K$13:$K$32</c:f>
              <c:numCache>
                <c:formatCode>General</c:formatCode>
                <c:ptCount val="20"/>
                <c:pt idx="0">
                  <c:v>2.1328211574042575</c:v>
                </c:pt>
                <c:pt idx="1">
                  <c:v>4.2792135946389438</c:v>
                </c:pt>
                <c:pt idx="2">
                  <c:v>6.4278546068079958</c:v>
                </c:pt>
                <c:pt idx="3">
                  <c:v>8.5555753541642758</c:v>
                </c:pt>
                <c:pt idx="4">
                  <c:v>10.700368815676287</c:v>
                </c:pt>
                <c:pt idx="5">
                  <c:v>12.838625184139506</c:v>
                </c:pt>
                <c:pt idx="6">
                  <c:v>14.986353449174814</c:v>
                </c:pt>
                <c:pt idx="7">
                  <c:v>17.120755446102088</c:v>
                </c:pt>
                <c:pt idx="8">
                  <c:v>19.256920295508763</c:v>
                </c:pt>
                <c:pt idx="9">
                  <c:v>21.408048840673391</c:v>
                </c:pt>
                <c:pt idx="10">
                  <c:v>23.551269523251801</c:v>
                </c:pt>
                <c:pt idx="11">
                  <c:v>25.682226233905467</c:v>
                </c:pt>
                <c:pt idx="12">
                  <c:v>27.828607081599191</c:v>
                </c:pt>
                <c:pt idx="13">
                  <c:v>29.967494600394108</c:v>
                </c:pt>
                <c:pt idx="14">
                  <c:v>32.107953319806548</c:v>
                </c:pt>
                <c:pt idx="15">
                  <c:v>34.256865172182962</c:v>
                </c:pt>
                <c:pt idx="16">
                  <c:v>36.391338292883809</c:v>
                </c:pt>
                <c:pt idx="17">
                  <c:v>38.530376288613333</c:v>
                </c:pt>
                <c:pt idx="18">
                  <c:v>40.675753456195729</c:v>
                </c:pt>
                <c:pt idx="19">
                  <c:v>42.803040438351545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0E0-47AB-9555-164734323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2684831"/>
        <c:axId val="172653135"/>
      </c:scatterChart>
      <c:valAx>
        <c:axId val="18268483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Загрузка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2653135"/>
        <c:crosses val="autoZero"/>
        <c:crossBetween val="midCat"/>
      </c:valAx>
      <c:valAx>
        <c:axId val="172653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Ток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2684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 orientation="portrait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yVal>
            <c:numRef>
              <c:f>Лист1!$M$13:$M$32</c:f>
              <c:numCache>
                <c:formatCode>0.00</c:formatCode>
                <c:ptCount val="20"/>
                <c:pt idx="0">
                  <c:v>-7.6688812244558591E-3</c:v>
                </c:pt>
                <c:pt idx="1">
                  <c:v>-1.7664826184828897E-3</c:v>
                </c:pt>
                <c:pt idx="2">
                  <c:v>6.3844909218557788E-3</c:v>
                </c:pt>
                <c:pt idx="3">
                  <c:v>-6.3848003505775353E-3</c:v>
                </c:pt>
                <c:pt idx="4">
                  <c:v>-2.0813774672792107E-3</c:v>
                </c:pt>
                <c:pt idx="5">
                  <c:v>-4.3150476327742382E-3</c:v>
                </c:pt>
                <c:pt idx="6">
                  <c:v>2.9231787738197568E-3</c:v>
                </c:pt>
                <c:pt idx="7">
                  <c:v>-3.1648629276190832E-3</c:v>
                </c:pt>
                <c:pt idx="8">
                  <c:v>-7.4900521496559236E-3</c:v>
                </c:pt>
                <c:pt idx="9">
                  <c:v>3.1484543862596581E-3</c:v>
                </c:pt>
                <c:pt idx="10">
                  <c:v>5.8790983359529037E-3</c:v>
                </c:pt>
                <c:pt idx="11">
                  <c:v>-3.6542296390926765E-3</c:v>
                </c:pt>
                <c:pt idx="12">
                  <c:v>2.2365794259187055E-3</c:v>
                </c:pt>
                <c:pt idx="13">
                  <c:v>6.3405959211948471E-4</c:v>
                </c:pt>
                <c:pt idx="14">
                  <c:v>6.027403758466221E-4</c:v>
                </c:pt>
                <c:pt idx="15">
                  <c:v>9.0245541235489668E-3</c:v>
                </c:pt>
                <c:pt idx="16">
                  <c:v>3.0076361956830056E-3</c:v>
                </c:pt>
                <c:pt idx="17">
                  <c:v>1.5555932964943509E-3</c:v>
                </c:pt>
                <c:pt idx="18">
                  <c:v>6.4427222501777237E-3</c:v>
                </c:pt>
                <c:pt idx="19">
                  <c:v>-6.7603342227187113E-3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1B6-4A4F-BD23-73344C3485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4552223"/>
        <c:axId val="780767215"/>
      </c:scatterChart>
      <c:valAx>
        <c:axId val="13645522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67215"/>
        <c:crosses val="autoZero"/>
        <c:crossBetween val="midCat"/>
      </c:valAx>
      <c:valAx>
        <c:axId val="780767215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455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3"/>
          <c:order val="0"/>
          <c:tx>
            <c:strRef>
              <c:f>Лист1!$G$38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Лист1!$G$39:$G$51</c:f>
              <c:numCache>
                <c:formatCode>0.0</c:formatCode>
                <c:ptCount val="13"/>
                <c:pt idx="0">
                  <c:v>0.77633849938532862</c:v>
                </c:pt>
                <c:pt idx="1">
                  <c:v>0.78029400049040909</c:v>
                </c:pt>
                <c:pt idx="2">
                  <c:v>0.7881359960594525</c:v>
                </c:pt>
                <c:pt idx="3">
                  <c:v>0.79990196697349703</c:v>
                </c:pt>
                <c:pt idx="4">
                  <c:v>0.80490217559207478</c:v>
                </c:pt>
                <c:pt idx="5">
                  <c:v>0.80534574313373031</c:v>
                </c:pt>
                <c:pt idx="6">
                  <c:v>0.80237953629072412</c:v>
                </c:pt>
                <c:pt idx="7">
                  <c:v>0.79666612874722464</c:v>
                </c:pt>
                <c:pt idx="8">
                  <c:v>0.78868818540742358</c:v>
                </c:pt>
                <c:pt idx="9">
                  <c:v>0.7787392697867459</c:v>
                </c:pt>
                <c:pt idx="10">
                  <c:v>0.76712041122479357</c:v>
                </c:pt>
                <c:pt idx="11">
                  <c:v>0.75405864878598461</c:v>
                </c:pt>
                <c:pt idx="12">
                  <c:v>0.73971288964782922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662-4908-83CC-8E9790D73F1A}"/>
            </c:ext>
          </c:extLst>
        </c:ser>
        <c:ser>
          <c:idx val="4"/>
          <c:order val="1"/>
          <c:tx>
            <c:strRef>
              <c:f>Лист1!$H$38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Лист1!$H$39:$H$51</c:f>
              <c:numCache>
                <c:formatCode>0.0</c:formatCode>
                <c:ptCount val="13"/>
                <c:pt idx="0">
                  <c:v>0.86026348136320285</c:v>
                </c:pt>
                <c:pt idx="1">
                  <c:v>0.85167585005393942</c:v>
                </c:pt>
                <c:pt idx="2">
                  <c:v>0.84616729106551447</c:v>
                </c:pt>
                <c:pt idx="3">
                  <c:v>0.83932955355679695</c:v>
                </c:pt>
                <c:pt idx="4">
                  <c:v>0.82358784121578643</c:v>
                </c:pt>
                <c:pt idx="5">
                  <c:v>0.80118869780028479</c:v>
                </c:pt>
                <c:pt idx="6">
                  <c:v>0.773407252092707</c:v>
                </c:pt>
                <c:pt idx="7">
                  <c:v>0.74145194972955109</c:v>
                </c:pt>
                <c:pt idx="8">
                  <c:v>0.70662654241632439</c:v>
                </c:pt>
                <c:pt idx="9">
                  <c:v>0.67001939055790682</c:v>
                </c:pt>
                <c:pt idx="10">
                  <c:v>0.63286082679579569</c:v>
                </c:pt>
                <c:pt idx="11">
                  <c:v>0.59612545049815535</c:v>
                </c:pt>
                <c:pt idx="12">
                  <c:v>0.56050599757672359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662-4908-83CC-8E9790D73F1A}"/>
            </c:ext>
          </c:extLst>
        </c:ser>
        <c:ser>
          <c:idx val="5"/>
          <c:order val="2"/>
          <c:tx>
            <c:strRef>
              <c:f>Лист1!$I$38</c:f>
              <c:strCache>
                <c:ptCount val="1"/>
                <c:pt idx="0">
                  <c:v>S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Лист1!$I$39:$I$51</c:f>
              <c:numCache>
                <c:formatCode>0%</c:formatCode>
                <c:ptCount val="13"/>
                <c:pt idx="0">
                  <c:v>5.9999084472656249E-2</c:v>
                </c:pt>
                <c:pt idx="1">
                  <c:v>5.9999084472656249E-2</c:v>
                </c:pt>
                <c:pt idx="2">
                  <c:v>5.5664062499999993E-2</c:v>
                </c:pt>
                <c:pt idx="3">
                  <c:v>4.5439453125000001E-2</c:v>
                </c:pt>
                <c:pt idx="4">
                  <c:v>3.8320312499999995E-2</c:v>
                </c:pt>
                <c:pt idx="5">
                  <c:v>3.3046875000000003E-2</c:v>
                </c:pt>
                <c:pt idx="6">
                  <c:v>2.8916015624999999E-2</c:v>
                </c:pt>
                <c:pt idx="7">
                  <c:v>2.5590820312499998E-2</c:v>
                </c:pt>
                <c:pt idx="8">
                  <c:v>2.2866210937499999E-2</c:v>
                </c:pt>
                <c:pt idx="9">
                  <c:v>2.0581054687499996E-2</c:v>
                </c:pt>
                <c:pt idx="10">
                  <c:v>1.8647460937499999E-2</c:v>
                </c:pt>
                <c:pt idx="11">
                  <c:v>1.6992187500000002E-2</c:v>
                </c:pt>
                <c:pt idx="12">
                  <c:v>1.5556640625E-2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662-4908-83CC-8E9790D73F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Лист1!$K$38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Лист1!$K$39:$K$51</c:f>
              <c:numCache>
                <c:formatCode>General</c:formatCode>
                <c:ptCount val="13"/>
                <c:pt idx="0">
                  <c:v>26.921571303178368</c:v>
                </c:pt>
                <c:pt idx="1">
                  <c:v>31.166065147353613</c:v>
                </c:pt>
                <c:pt idx="2">
                  <c:v>34.240539430533246</c:v>
                </c:pt>
                <c:pt idx="3">
                  <c:v>34.248921710164339</c:v>
                </c:pt>
                <c:pt idx="4">
                  <c:v>34.238398203282792</c:v>
                </c:pt>
                <c:pt idx="5">
                  <c:v>34.255823218352845</c:v>
                </c:pt>
                <c:pt idx="6">
                  <c:v>34.256865172182962</c:v>
                </c:pt>
                <c:pt idx="7">
                  <c:v>34.251608029615966</c:v>
                </c:pt>
                <c:pt idx="8">
                  <c:v>34.255968726117977</c:v>
                </c:pt>
                <c:pt idx="9">
                  <c:v>34.24952729650375</c:v>
                </c:pt>
                <c:pt idx="10">
                  <c:v>34.248113962294688</c:v>
                </c:pt>
                <c:pt idx="11">
                  <c:v>34.251155731692997</c:v>
                </c:pt>
                <c:pt idx="12">
                  <c:v>34.248729906666611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92-427D-A0CF-EB7CF158DF78}"/>
            </c:ext>
          </c:extLst>
        </c:ser>
        <c:ser>
          <c:idx val="1"/>
          <c:order val="1"/>
          <c:tx>
            <c:strRef>
              <c:f>Лист1!$E$38</c:f>
              <c:strCache>
                <c:ptCount val="1"/>
                <c:pt idx="0">
                  <c:v>Момент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Лист1!$E$39:$E$51</c:f>
              <c:numCache>
                <c:formatCode>0.0</c:formatCode>
                <c:ptCount val="13"/>
                <c:pt idx="0">
                  <c:v>85.694022974035221</c:v>
                </c:pt>
                <c:pt idx="1">
                  <c:v>99.204666498507436</c:v>
                </c:pt>
                <c:pt idx="2">
                  <c:v>108.99102209004644</c:v>
                </c:pt>
                <c:pt idx="3">
                  <c:v>109.01770371479979</c:v>
                </c:pt>
                <c:pt idx="4">
                  <c:v>108.9842063520226</c:v>
                </c:pt>
                <c:pt idx="5">
                  <c:v>109.0396718976596</c:v>
                </c:pt>
                <c:pt idx="6">
                  <c:v>109.04298853971029</c:v>
                </c:pt>
                <c:pt idx="7">
                  <c:v>109.0262545351888</c:v>
                </c:pt>
                <c:pt idx="8">
                  <c:v>109.04013506326122</c:v>
                </c:pt>
                <c:pt idx="9">
                  <c:v>109.01963135598754</c:v>
                </c:pt>
                <c:pt idx="10">
                  <c:v>109.01513257347527</c:v>
                </c:pt>
                <c:pt idx="11">
                  <c:v>109.02481482618501</c:v>
                </c:pt>
                <c:pt idx="12">
                  <c:v>109.01709318530446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F92-427D-A0CF-EB7CF158DF78}"/>
            </c:ext>
          </c:extLst>
        </c:ser>
        <c:ser>
          <c:idx val="2"/>
          <c:order val="2"/>
          <c:tx>
            <c:strRef>
              <c:f>Лист1!$F$38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Лист1!$F$39:$F$51</c:f>
              <c:numCache>
                <c:formatCode>0.0</c:formatCode>
                <c:ptCount val="13"/>
                <c:pt idx="0">
                  <c:v>25.575007725572224</c:v>
                </c:pt>
                <c:pt idx="1">
                  <c:v>27.770527594079255</c:v>
                </c:pt>
                <c:pt idx="2">
                  <c:v>28.502912173769577</c:v>
                </c:pt>
                <c:pt idx="3">
                  <c:v>26.653528902887398</c:v>
                </c:pt>
                <c:pt idx="4">
                  <c:v>25.486718477308365</c:v>
                </c:pt>
                <c:pt idx="5">
                  <c:v>24.819306492060964</c:v>
                </c:pt>
                <c:pt idx="6">
                  <c:v>24.516335428310111</c:v>
                </c:pt>
                <c:pt idx="7">
                  <c:v>24.526090254624997</c:v>
                </c:pt>
                <c:pt idx="8">
                  <c:v>24.816715792547608</c:v>
                </c:pt>
                <c:pt idx="9">
                  <c:v>25.34972864142129</c:v>
                </c:pt>
                <c:pt idx="10">
                  <c:v>26.108365357805759</c:v>
                </c:pt>
                <c:pt idx="11">
                  <c:v>27.071882012546418</c:v>
                </c:pt>
                <c:pt idx="12">
                  <c:v>28.219784187396066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F92-427D-A0CF-EB7CF158DF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Лист1!$K$38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Лист1!$K$39:$K$51</c:f>
              <c:numCache>
                <c:formatCode>General</c:formatCode>
                <c:ptCount val="13"/>
                <c:pt idx="0">
                  <c:v>26.921571303178368</c:v>
                </c:pt>
                <c:pt idx="1">
                  <c:v>31.166065147353613</c:v>
                </c:pt>
                <c:pt idx="2">
                  <c:v>34.240539430533246</c:v>
                </c:pt>
                <c:pt idx="3">
                  <c:v>34.248921710164339</c:v>
                </c:pt>
                <c:pt idx="4">
                  <c:v>34.238398203282792</c:v>
                </c:pt>
                <c:pt idx="5">
                  <c:v>34.255823218352845</c:v>
                </c:pt>
                <c:pt idx="6">
                  <c:v>34.256865172182962</c:v>
                </c:pt>
                <c:pt idx="7">
                  <c:v>34.251608029615966</c:v>
                </c:pt>
                <c:pt idx="8">
                  <c:v>34.255968726117977</c:v>
                </c:pt>
                <c:pt idx="9">
                  <c:v>34.24952729650375</c:v>
                </c:pt>
                <c:pt idx="10">
                  <c:v>34.248113962294688</c:v>
                </c:pt>
                <c:pt idx="11">
                  <c:v>34.251155731692997</c:v>
                </c:pt>
                <c:pt idx="12">
                  <c:v>34.248729906666611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A1-4ECF-AE15-BC3B2119F887}"/>
            </c:ext>
          </c:extLst>
        </c:ser>
        <c:ser>
          <c:idx val="2"/>
          <c:order val="1"/>
          <c:tx>
            <c:strRef>
              <c:f>Лист1!$F$38</c:f>
              <c:strCache>
                <c:ptCount val="1"/>
                <c:pt idx="0">
                  <c:v>Ток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Лист1!$C$39:$C$51</c:f>
              <c:numCache>
                <c:formatCode>General</c:formatCode>
                <c:ptCount val="13"/>
                <c:pt idx="0">
                  <c:v>0.7</c:v>
                </c:pt>
                <c:pt idx="1">
                  <c:v>0.75</c:v>
                </c:pt>
                <c:pt idx="2">
                  <c:v>0.8</c:v>
                </c:pt>
                <c:pt idx="3">
                  <c:v>0.85</c:v>
                </c:pt>
                <c:pt idx="4">
                  <c:v>0.9</c:v>
                </c:pt>
                <c:pt idx="5">
                  <c:v>0.95</c:v>
                </c:pt>
                <c:pt idx="6">
                  <c:v>1</c:v>
                </c:pt>
                <c:pt idx="7">
                  <c:v>1.05</c:v>
                </c:pt>
                <c:pt idx="8">
                  <c:v>1.1000000000000001</c:v>
                </c:pt>
                <c:pt idx="9">
                  <c:v>1.1499999999999999</c:v>
                </c:pt>
                <c:pt idx="10">
                  <c:v>1.2</c:v>
                </c:pt>
                <c:pt idx="11">
                  <c:v>1.25</c:v>
                </c:pt>
                <c:pt idx="12">
                  <c:v>1.3</c:v>
                </c:pt>
              </c:numCache>
            </c:numRef>
          </c:xVal>
          <c:yVal>
            <c:numRef>
              <c:f>Лист1!$F$39:$F$51</c:f>
              <c:numCache>
                <c:formatCode>0.0</c:formatCode>
                <c:ptCount val="13"/>
                <c:pt idx="0">
                  <c:v>25.575007725572224</c:v>
                </c:pt>
                <c:pt idx="1">
                  <c:v>27.770527594079255</c:v>
                </c:pt>
                <c:pt idx="2">
                  <c:v>28.502912173769577</c:v>
                </c:pt>
                <c:pt idx="3">
                  <c:v>26.653528902887398</c:v>
                </c:pt>
                <c:pt idx="4">
                  <c:v>25.486718477308365</c:v>
                </c:pt>
                <c:pt idx="5">
                  <c:v>24.819306492060964</c:v>
                </c:pt>
                <c:pt idx="6">
                  <c:v>24.516335428310111</c:v>
                </c:pt>
                <c:pt idx="7">
                  <c:v>24.526090254624997</c:v>
                </c:pt>
                <c:pt idx="8">
                  <c:v>24.816715792547608</c:v>
                </c:pt>
                <c:pt idx="9">
                  <c:v>25.34972864142129</c:v>
                </c:pt>
                <c:pt idx="10">
                  <c:v>26.108365357805759</c:v>
                </c:pt>
                <c:pt idx="11">
                  <c:v>27.071882012546418</c:v>
                </c:pt>
                <c:pt idx="12">
                  <c:v>28.219784187396066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A1-4ECF-AE15-BC3B2119F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6498831"/>
        <c:axId val="780781775"/>
      </c:scatterChart>
      <c:valAx>
        <c:axId val="1296498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0781775"/>
        <c:crosses val="autoZero"/>
        <c:crossBetween val="midCat"/>
      </c:valAx>
      <c:valAx>
        <c:axId val="780781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64988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Лист1!$D$58</c:f>
              <c:strCache>
                <c:ptCount val="1"/>
                <c:pt idx="0">
                  <c:v>M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Лист1!$D$59:$D$85</c:f>
              <c:numCache>
                <c:formatCode>General</c:formatCode>
                <c:ptCount val="27"/>
                <c:pt idx="0">
                  <c:v>39.608358906199349</c:v>
                </c:pt>
                <c:pt idx="1">
                  <c:v>78.961166678075585</c:v>
                </c:pt>
                <c:pt idx="2">
                  <c:v>112.38583762036191</c:v>
                </c:pt>
                <c:pt idx="3">
                  <c:v>140.15400739194988</c:v>
                </c:pt>
                <c:pt idx="4">
                  <c:v>162.7430361524367</c:v>
                </c:pt>
                <c:pt idx="5">
                  <c:v>180.73586758391954</c:v>
                </c:pt>
                <c:pt idx="6">
                  <c:v>194.7467379562822</c:v>
                </c:pt>
                <c:pt idx="7">
                  <c:v>205.37186498482885</c:v>
                </c:pt>
                <c:pt idx="8">
                  <c:v>213.16055550199957</c:v>
                </c:pt>
                <c:pt idx="9">
                  <c:v>218.60122757186335</c:v>
                </c:pt>
                <c:pt idx="10">
                  <c:v>223.32317340673291</c:v>
                </c:pt>
                <c:pt idx="11">
                  <c:v>210.69763444962697</c:v>
                </c:pt>
                <c:pt idx="12">
                  <c:v>193.72077665178944</c:v>
                </c:pt>
                <c:pt idx="13">
                  <c:v>176.87432934911769</c:v>
                </c:pt>
                <c:pt idx="14">
                  <c:v>161.53818949891476</c:v>
                </c:pt>
                <c:pt idx="15">
                  <c:v>147.99285845856082</c:v>
                </c:pt>
                <c:pt idx="16">
                  <c:v>136.14543247007438</c:v>
                </c:pt>
                <c:pt idx="17">
                  <c:v>125.79462110196265</c:v>
                </c:pt>
                <c:pt idx="18">
                  <c:v>116.72644833773566</c:v>
                </c:pt>
                <c:pt idx="19">
                  <c:v>108.74642265459835</c:v>
                </c:pt>
                <c:pt idx="20">
                  <c:v>101.68775317776881</c:v>
                </c:pt>
                <c:pt idx="21">
                  <c:v>95.410828175509394</c:v>
                </c:pt>
                <c:pt idx="22">
                  <c:v>89.799882710322919</c:v>
                </c:pt>
                <c:pt idx="23">
                  <c:v>84.759134117880279</c:v>
                </c:pt>
                <c:pt idx="24">
                  <c:v>80.209206232685219</c:v>
                </c:pt>
                <c:pt idx="25">
                  <c:v>76.084081734269972</c:v>
                </c:pt>
                <c:pt idx="26">
                  <c:v>72.328597883669957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F87-4493-9E5D-27D28D29E020}"/>
            </c:ext>
          </c:extLst>
        </c:ser>
        <c:ser>
          <c:idx val="1"/>
          <c:order val="1"/>
          <c:tx>
            <c:strRef>
              <c:f>Лист1!$E$58</c:f>
              <c:strCache>
                <c:ptCount val="1"/>
                <c:pt idx="0">
                  <c:v>I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Лист1!$E$59:$E$85</c:f>
              <c:numCache>
                <c:formatCode>General</c:formatCode>
                <c:ptCount val="27"/>
                <c:pt idx="0">
                  <c:v>15.104941214199561</c:v>
                </c:pt>
                <c:pt idx="1">
                  <c:v>19.845934678933901</c:v>
                </c:pt>
                <c:pt idx="2">
                  <c:v>25.086347343148255</c:v>
                </c:pt>
                <c:pt idx="3">
                  <c:v>30.245716265644699</c:v>
                </c:pt>
                <c:pt idx="4">
                  <c:v>35.116409416292868</c:v>
                </c:pt>
                <c:pt idx="5">
                  <c:v>39.62754312774674</c:v>
                </c:pt>
                <c:pt idx="6">
                  <c:v>43.764532591570777</c:v>
                </c:pt>
                <c:pt idx="7">
                  <c:v>47.538130915440121</c:v>
                </c:pt>
                <c:pt idx="8">
                  <c:v>50.970680889366683</c:v>
                </c:pt>
                <c:pt idx="9">
                  <c:v>54.089325549223155</c:v>
                </c:pt>
                <c:pt idx="10">
                  <c:v>65.927194912721205</c:v>
                </c:pt>
                <c:pt idx="11">
                  <c:v>73.50096208136182</c:v>
                </c:pt>
                <c:pt idx="12">
                  <c:v>78.591655554324802</c:v>
                </c:pt>
                <c:pt idx="13">
                  <c:v>82.180136269816401</c:v>
                </c:pt>
                <c:pt idx="14">
                  <c:v>84.8151893504795</c:v>
                </c:pt>
                <c:pt idx="15">
                  <c:v>86.817152865901875</c:v>
                </c:pt>
                <c:pt idx="16">
                  <c:v>88.381733421379252</c:v>
                </c:pt>
                <c:pt idx="17">
                  <c:v>89.633667709409409</c:v>
                </c:pt>
                <c:pt idx="18">
                  <c:v>90.655507511120277</c:v>
                </c:pt>
                <c:pt idx="19">
                  <c:v>91.503716827630726</c:v>
                </c:pt>
                <c:pt idx="20">
                  <c:v>92.218043532610011</c:v>
                </c:pt>
                <c:pt idx="21">
                  <c:v>92.827181463336657</c:v>
                </c:pt>
                <c:pt idx="22">
                  <c:v>93.352307704856983</c:v>
                </c:pt>
                <c:pt idx="23">
                  <c:v>93.809359767998018</c:v>
                </c:pt>
                <c:pt idx="24">
                  <c:v>94.210541498230256</c:v>
                </c:pt>
                <c:pt idx="25">
                  <c:v>94.565343243712292</c:v>
                </c:pt>
                <c:pt idx="26">
                  <c:v>94.881248110555049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F87-4493-9E5D-27D28D29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925855"/>
        <c:axId val="1291504127"/>
      </c:scatterChart>
      <c:scatterChart>
        <c:scatterStyle val="smoothMarker"/>
        <c:varyColors val="0"/>
        <c:ser>
          <c:idx val="2"/>
          <c:order val="2"/>
          <c:tx>
            <c:strRef>
              <c:f>Лист1!$F$58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Лист1!$F$59:$F$85</c:f>
              <c:numCache>
                <c:formatCode>General</c:formatCode>
                <c:ptCount val="27"/>
                <c:pt idx="0">
                  <c:v>0.53930529516342196</c:v>
                </c:pt>
                <c:pt idx="1">
                  <c:v>0.71171709073689249</c:v>
                </c:pt>
                <c:pt idx="2">
                  <c:v>0.77795010022972988</c:v>
                </c:pt>
                <c:pt idx="3">
                  <c:v>0.80315656676324543</c:v>
                </c:pt>
                <c:pt idx="4">
                  <c:v>0.8105111937087619</c:v>
                </c:pt>
                <c:pt idx="5">
                  <c:v>0.80904472953418249</c:v>
                </c:pt>
                <c:pt idx="6">
                  <c:v>0.80281963854201122</c:v>
                </c:pt>
                <c:pt idx="7">
                  <c:v>0.79390778831755127</c:v>
                </c:pt>
                <c:pt idx="8">
                  <c:v>0.78347335192939771</c:v>
                </c:pt>
                <c:pt idx="9">
                  <c:v>0.77221769132038309</c:v>
                </c:pt>
                <c:pt idx="10">
                  <c:v>0.71472601648232958</c:v>
                </c:pt>
                <c:pt idx="11">
                  <c:v>0.66489870732990719</c:v>
                </c:pt>
                <c:pt idx="12">
                  <c:v>0.62460974003737102</c:v>
                </c:pt>
                <c:pt idx="13">
                  <c:v>0.59226957614643272</c:v>
                </c:pt>
                <c:pt idx="14">
                  <c:v>0.56607898340877727</c:v>
                </c:pt>
                <c:pt idx="15">
                  <c:v>0.54458720710936326</c:v>
                </c:pt>
                <c:pt idx="16">
                  <c:v>0.5267080135593859</c:v>
                </c:pt>
                <c:pt idx="17">
                  <c:v>0.51164058968040782</c:v>
                </c:pt>
                <c:pt idx="18">
                  <c:v>0.49879229685296572</c:v>
                </c:pt>
                <c:pt idx="19">
                  <c:v>0.48771976547797347</c:v>
                </c:pt>
                <c:pt idx="20">
                  <c:v>0.47808686595023964</c:v>
                </c:pt>
                <c:pt idx="21">
                  <c:v>0.46963524515964844</c:v>
                </c:pt>
                <c:pt idx="22">
                  <c:v>0.46216366001721754</c:v>
                </c:pt>
                <c:pt idx="23">
                  <c:v>0.45551336214522847</c:v>
                </c:pt>
                <c:pt idx="24">
                  <c:v>0.44955764318742869</c:v>
                </c:pt>
                <c:pt idx="25">
                  <c:v>0.44419426131249323</c:v>
                </c:pt>
                <c:pt idx="26">
                  <c:v>0.4393398840283923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F87-4493-9E5D-27D28D29E020}"/>
            </c:ext>
          </c:extLst>
        </c:ser>
        <c:ser>
          <c:idx val="3"/>
          <c:order val="3"/>
          <c:tx>
            <c:strRef>
              <c:f>Лист1!$G$58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Лист1!$G$59:$G$85</c:f>
              <c:numCache>
                <c:formatCode>General</c:formatCode>
                <c:ptCount val="27"/>
                <c:pt idx="0">
                  <c:v>0.67838934453247857</c:v>
                </c:pt>
                <c:pt idx="1">
                  <c:v>0.77997466666664861</c:v>
                </c:pt>
                <c:pt idx="2">
                  <c:v>0.80346748730462503</c:v>
                </c:pt>
                <c:pt idx="3">
                  <c:v>0.8049841414689457</c:v>
                </c:pt>
                <c:pt idx="4">
                  <c:v>0.79777272862267268</c:v>
                </c:pt>
                <c:pt idx="5">
                  <c:v>0.78653954181474228</c:v>
                </c:pt>
                <c:pt idx="6">
                  <c:v>0.77334948873197407</c:v>
                </c:pt>
                <c:pt idx="7">
                  <c:v>0.75923229867090569</c:v>
                </c:pt>
                <c:pt idx="8">
                  <c:v>0.74474581552188734</c:v>
                </c:pt>
                <c:pt idx="9">
                  <c:v>0.73020899138938566</c:v>
                </c:pt>
                <c:pt idx="10">
                  <c:v>0.66126493649747031</c:v>
                </c:pt>
                <c:pt idx="11">
                  <c:v>0.6015296518680664</c:v>
                </c:pt>
                <c:pt idx="12">
                  <c:v>0.5506008847306072</c:v>
                </c:pt>
                <c:pt idx="13">
                  <c:v>0.50701921422493879</c:v>
                </c:pt>
                <c:pt idx="14">
                  <c:v>0.46942956337323916</c:v>
                </c:pt>
                <c:pt idx="15">
                  <c:v>0.43673065529052202</c:v>
                </c:pt>
                <c:pt idx="16">
                  <c:v>0.40805295554366355</c:v>
                </c:pt>
                <c:pt idx="17">
                  <c:v>0.38271175865894175</c:v>
                </c:pt>
                <c:pt idx="18">
                  <c:v>0.36016477297962607</c:v>
                </c:pt>
                <c:pt idx="19">
                  <c:v>0.33997875622062429</c:v>
                </c:pt>
                <c:pt idx="20">
                  <c:v>0.32180428864202743</c:v>
                </c:pt>
                <c:pt idx="21">
                  <c:v>0.30535688186405624</c:v>
                </c:pt>
                <c:pt idx="22">
                  <c:v>0.29040280724140505</c:v>
                </c:pt>
                <c:pt idx="23">
                  <c:v>0.27674839523045131</c:v>
                </c:pt>
                <c:pt idx="24">
                  <c:v>0.26423188668278136</c:v>
                </c:pt>
                <c:pt idx="25">
                  <c:v>0.25271717010974837</c:v>
                </c:pt>
                <c:pt idx="26">
                  <c:v>0.24208892348937669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F87-4493-9E5D-27D28D29E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02629999"/>
        <c:axId val="1502630415"/>
      </c:scatterChart>
      <c:valAx>
        <c:axId val="136992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504127"/>
        <c:crosses val="autoZero"/>
        <c:crossBetween val="midCat"/>
      </c:valAx>
      <c:valAx>
        <c:axId val="12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9925855"/>
        <c:crosses val="autoZero"/>
        <c:crossBetween val="midCat"/>
      </c:valAx>
      <c:valAx>
        <c:axId val="150263041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502629999"/>
        <c:crosses val="max"/>
        <c:crossBetween val="midCat"/>
      </c:valAx>
      <c:valAx>
        <c:axId val="1502629999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50263041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2"/>
          <c:order val="0"/>
          <c:tx>
            <c:strRef>
              <c:f>Лист1!$F$58</c:f>
              <c:strCache>
                <c:ptCount val="1"/>
                <c:pt idx="0">
                  <c:v>Cos Phi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Лист1!$F$59:$F$85</c:f>
              <c:numCache>
                <c:formatCode>General</c:formatCode>
                <c:ptCount val="27"/>
                <c:pt idx="0">
                  <c:v>0.53930529516342196</c:v>
                </c:pt>
                <c:pt idx="1">
                  <c:v>0.71171709073689249</c:v>
                </c:pt>
                <c:pt idx="2">
                  <c:v>0.77795010022972988</c:v>
                </c:pt>
                <c:pt idx="3">
                  <c:v>0.80315656676324543</c:v>
                </c:pt>
                <c:pt idx="4">
                  <c:v>0.8105111937087619</c:v>
                </c:pt>
                <c:pt idx="5">
                  <c:v>0.80904472953418249</c:v>
                </c:pt>
                <c:pt idx="6">
                  <c:v>0.80281963854201122</c:v>
                </c:pt>
                <c:pt idx="7">
                  <c:v>0.79390778831755127</c:v>
                </c:pt>
                <c:pt idx="8">
                  <c:v>0.78347335192939771</c:v>
                </c:pt>
                <c:pt idx="9">
                  <c:v>0.77221769132038309</c:v>
                </c:pt>
                <c:pt idx="10">
                  <c:v>0.71472601648232958</c:v>
                </c:pt>
                <c:pt idx="11">
                  <c:v>0.66489870732990719</c:v>
                </c:pt>
                <c:pt idx="12">
                  <c:v>0.62460974003737102</c:v>
                </c:pt>
                <c:pt idx="13">
                  <c:v>0.59226957614643272</c:v>
                </c:pt>
                <c:pt idx="14">
                  <c:v>0.56607898340877727</c:v>
                </c:pt>
                <c:pt idx="15">
                  <c:v>0.54458720710936326</c:v>
                </c:pt>
                <c:pt idx="16">
                  <c:v>0.5267080135593859</c:v>
                </c:pt>
                <c:pt idx="17">
                  <c:v>0.51164058968040782</c:v>
                </c:pt>
                <c:pt idx="18">
                  <c:v>0.49879229685296572</c:v>
                </c:pt>
                <c:pt idx="19">
                  <c:v>0.48771976547797347</c:v>
                </c:pt>
                <c:pt idx="20">
                  <c:v>0.47808686595023964</c:v>
                </c:pt>
                <c:pt idx="21">
                  <c:v>0.46963524515964844</c:v>
                </c:pt>
                <c:pt idx="22">
                  <c:v>0.46216366001721754</c:v>
                </c:pt>
                <c:pt idx="23">
                  <c:v>0.45551336214522847</c:v>
                </c:pt>
                <c:pt idx="24">
                  <c:v>0.44955764318742869</c:v>
                </c:pt>
                <c:pt idx="25">
                  <c:v>0.44419426131249323</c:v>
                </c:pt>
                <c:pt idx="26">
                  <c:v>0.4393398840283923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02-48EF-9FFF-8653C834CFD9}"/>
            </c:ext>
          </c:extLst>
        </c:ser>
        <c:ser>
          <c:idx val="3"/>
          <c:order val="1"/>
          <c:tx>
            <c:strRef>
              <c:f>Лист1!$G$58</c:f>
              <c:strCache>
                <c:ptCount val="1"/>
                <c:pt idx="0">
                  <c:v>Eff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Лист1!$C$59:$C$85</c:f>
              <c:numCache>
                <c:formatCode>General</c:formatCode>
                <c:ptCount val="27"/>
                <c:pt idx="0">
                  <c:v>0.01</c:v>
                </c:pt>
                <c:pt idx="1">
                  <c:v>0.02</c:v>
                </c:pt>
                <c:pt idx="2">
                  <c:v>0.03</c:v>
                </c:pt>
                <c:pt idx="3">
                  <c:v>0.04</c:v>
                </c:pt>
                <c:pt idx="4">
                  <c:v>0.05</c:v>
                </c:pt>
                <c:pt idx="5">
                  <c:v>0.06</c:v>
                </c:pt>
                <c:pt idx="6">
                  <c:v>7.0000000000000007E-2</c:v>
                </c:pt>
                <c:pt idx="7">
                  <c:v>0.08</c:v>
                </c:pt>
                <c:pt idx="8">
                  <c:v>0.09</c:v>
                </c:pt>
                <c:pt idx="9">
                  <c:v>0.1</c:v>
                </c:pt>
                <c:pt idx="10">
                  <c:v>0.15</c:v>
                </c:pt>
                <c:pt idx="11">
                  <c:v>0.2</c:v>
                </c:pt>
                <c:pt idx="12">
                  <c:v>0.25</c:v>
                </c:pt>
                <c:pt idx="13">
                  <c:v>0.3</c:v>
                </c:pt>
                <c:pt idx="14">
                  <c:v>0.35</c:v>
                </c:pt>
                <c:pt idx="15">
                  <c:v>0.4</c:v>
                </c:pt>
                <c:pt idx="16">
                  <c:v>0.45</c:v>
                </c:pt>
                <c:pt idx="17">
                  <c:v>0.5</c:v>
                </c:pt>
                <c:pt idx="18">
                  <c:v>0.55000000000000004</c:v>
                </c:pt>
                <c:pt idx="19">
                  <c:v>0.6</c:v>
                </c:pt>
                <c:pt idx="20">
                  <c:v>0.65</c:v>
                </c:pt>
                <c:pt idx="21">
                  <c:v>0.7</c:v>
                </c:pt>
                <c:pt idx="22">
                  <c:v>0.75</c:v>
                </c:pt>
                <c:pt idx="23">
                  <c:v>0.8</c:v>
                </c:pt>
                <c:pt idx="24">
                  <c:v>0.85</c:v>
                </c:pt>
                <c:pt idx="25">
                  <c:v>0.9</c:v>
                </c:pt>
                <c:pt idx="26">
                  <c:v>0.95</c:v>
                </c:pt>
              </c:numCache>
            </c:numRef>
          </c:xVal>
          <c:yVal>
            <c:numRef>
              <c:f>Лист1!$G$59:$G$85</c:f>
              <c:numCache>
                <c:formatCode>General</c:formatCode>
                <c:ptCount val="27"/>
                <c:pt idx="0">
                  <c:v>0.67838934453247857</c:v>
                </c:pt>
                <c:pt idx="1">
                  <c:v>0.77997466666664861</c:v>
                </c:pt>
                <c:pt idx="2">
                  <c:v>0.80346748730462503</c:v>
                </c:pt>
                <c:pt idx="3">
                  <c:v>0.8049841414689457</c:v>
                </c:pt>
                <c:pt idx="4">
                  <c:v>0.79777272862267268</c:v>
                </c:pt>
                <c:pt idx="5">
                  <c:v>0.78653954181474228</c:v>
                </c:pt>
                <c:pt idx="6">
                  <c:v>0.77334948873197407</c:v>
                </c:pt>
                <c:pt idx="7">
                  <c:v>0.75923229867090569</c:v>
                </c:pt>
                <c:pt idx="8">
                  <c:v>0.74474581552188734</c:v>
                </c:pt>
                <c:pt idx="9">
                  <c:v>0.73020899138938566</c:v>
                </c:pt>
                <c:pt idx="10">
                  <c:v>0.66126493649747031</c:v>
                </c:pt>
                <c:pt idx="11">
                  <c:v>0.6015296518680664</c:v>
                </c:pt>
                <c:pt idx="12">
                  <c:v>0.5506008847306072</c:v>
                </c:pt>
                <c:pt idx="13">
                  <c:v>0.50701921422493879</c:v>
                </c:pt>
                <c:pt idx="14">
                  <c:v>0.46942956337323916</c:v>
                </c:pt>
                <c:pt idx="15">
                  <c:v>0.43673065529052202</c:v>
                </c:pt>
                <c:pt idx="16">
                  <c:v>0.40805295554366355</c:v>
                </c:pt>
                <c:pt idx="17">
                  <c:v>0.38271175865894175</c:v>
                </c:pt>
                <c:pt idx="18">
                  <c:v>0.36016477297962607</c:v>
                </c:pt>
                <c:pt idx="19">
                  <c:v>0.33997875622062429</c:v>
                </c:pt>
                <c:pt idx="20">
                  <c:v>0.32180428864202743</c:v>
                </c:pt>
                <c:pt idx="21">
                  <c:v>0.30535688186405624</c:v>
                </c:pt>
                <c:pt idx="22">
                  <c:v>0.29040280724140505</c:v>
                </c:pt>
                <c:pt idx="23">
                  <c:v>0.27674839523045131</c:v>
                </c:pt>
                <c:pt idx="24">
                  <c:v>0.26423188668278136</c:v>
                </c:pt>
                <c:pt idx="25">
                  <c:v>0.25271717010974837</c:v>
                </c:pt>
                <c:pt idx="26">
                  <c:v>0.24208892348937669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002-48EF-9FFF-8653C834C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9925855"/>
        <c:axId val="1291504127"/>
      </c:scatterChart>
      <c:valAx>
        <c:axId val="13699258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291504127"/>
        <c:crosses val="autoZero"/>
        <c:crossBetween val="midCat"/>
      </c:valAx>
      <c:valAx>
        <c:axId val="129150412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699258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3.xml"/><Relationship Id="rId13" Type="http://schemas.openxmlformats.org/officeDocument/2006/relationships/chart" Target="../charts/chart18.xml"/><Relationship Id="rId3" Type="http://schemas.openxmlformats.org/officeDocument/2006/relationships/chart" Target="../charts/chart9.xml"/><Relationship Id="rId7" Type="http://schemas.openxmlformats.org/officeDocument/2006/relationships/chart" Target="../charts/chart12.xml"/><Relationship Id="rId12" Type="http://schemas.openxmlformats.org/officeDocument/2006/relationships/chart" Target="../charts/chart17.xml"/><Relationship Id="rId2" Type="http://schemas.openxmlformats.org/officeDocument/2006/relationships/chart" Target="../charts/chart8.xml"/><Relationship Id="rId1" Type="http://schemas.openxmlformats.org/officeDocument/2006/relationships/image" Target="../media/image2.png"/><Relationship Id="rId6" Type="http://schemas.openxmlformats.org/officeDocument/2006/relationships/image" Target="../media/image3.png"/><Relationship Id="rId11" Type="http://schemas.openxmlformats.org/officeDocument/2006/relationships/chart" Target="../charts/chart16.xml"/><Relationship Id="rId5" Type="http://schemas.openxmlformats.org/officeDocument/2006/relationships/chart" Target="../charts/chart11.xml"/><Relationship Id="rId10" Type="http://schemas.openxmlformats.org/officeDocument/2006/relationships/chart" Target="../charts/chart15.xml"/><Relationship Id="rId4" Type="http://schemas.openxmlformats.org/officeDocument/2006/relationships/chart" Target="../charts/chart10.xml"/><Relationship Id="rId9" Type="http://schemas.openxmlformats.org/officeDocument/2006/relationships/chart" Target="../charts/chart1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6.xml"/><Relationship Id="rId3" Type="http://schemas.openxmlformats.org/officeDocument/2006/relationships/chart" Target="../charts/chart21.xml"/><Relationship Id="rId7" Type="http://schemas.openxmlformats.org/officeDocument/2006/relationships/chart" Target="../charts/chart25.xml"/><Relationship Id="rId12" Type="http://schemas.openxmlformats.org/officeDocument/2006/relationships/chart" Target="../charts/chart30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Relationship Id="rId6" Type="http://schemas.openxmlformats.org/officeDocument/2006/relationships/chart" Target="../charts/chart24.xml"/><Relationship Id="rId11" Type="http://schemas.openxmlformats.org/officeDocument/2006/relationships/chart" Target="../charts/chart29.xml"/><Relationship Id="rId5" Type="http://schemas.openxmlformats.org/officeDocument/2006/relationships/chart" Target="../charts/chart23.xml"/><Relationship Id="rId10" Type="http://schemas.openxmlformats.org/officeDocument/2006/relationships/chart" Target="../charts/chart28.xml"/><Relationship Id="rId4" Type="http://schemas.openxmlformats.org/officeDocument/2006/relationships/chart" Target="../charts/chart22.xml"/><Relationship Id="rId9" Type="http://schemas.openxmlformats.org/officeDocument/2006/relationships/chart" Target="../charts/chart2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226219</xdr:colOff>
      <xdr:row>32</xdr:row>
      <xdr:rowOff>26194</xdr:rowOff>
    </xdr:from>
    <xdr:to>
      <xdr:col>14</xdr:col>
      <xdr:colOff>460620</xdr:colOff>
      <xdr:row>60</xdr:row>
      <xdr:rowOff>121444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AEE15A19-2295-456A-A645-24C3B4987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6219" y="6122194"/>
          <a:ext cx="8768801" cy="5429250"/>
        </a:xfrm>
        <a:prstGeom prst="rect">
          <a:avLst/>
        </a:prstGeom>
      </xdr:spPr>
    </xdr:pic>
    <xdr:clientData/>
  </xdr:twoCellAnchor>
  <xdr:twoCellAnchor editAs="oneCell">
    <xdr:from>
      <xdr:col>0</xdr:col>
      <xdr:colOff>269082</xdr:colOff>
      <xdr:row>2</xdr:row>
      <xdr:rowOff>176213</xdr:rowOff>
    </xdr:from>
    <xdr:to>
      <xdr:col>14</xdr:col>
      <xdr:colOff>503483</xdr:colOff>
      <xdr:row>31</xdr:row>
      <xdr:rowOff>80963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4398440F-CFA0-4D59-AFB1-075B12BDA7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9082" y="557213"/>
          <a:ext cx="8768801" cy="5429250"/>
        </a:xfrm>
        <a:prstGeom prst="rect">
          <a:avLst/>
        </a:prstGeom>
      </xdr:spPr>
    </xdr:pic>
    <xdr:clientData/>
  </xdr:twoCellAnchor>
  <xdr:twoCellAnchor>
    <xdr:from>
      <xdr:col>4</xdr:col>
      <xdr:colOff>63275</xdr:colOff>
      <xdr:row>41</xdr:row>
      <xdr:rowOff>3400</xdr:rowOff>
    </xdr:from>
    <xdr:to>
      <xdr:col>10</xdr:col>
      <xdr:colOff>479654</xdr:colOff>
      <xdr:row>56</xdr:row>
      <xdr:rowOff>190499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B3202433-EE82-43A2-B252-4397FA3565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92697</xdr:colOff>
      <xdr:row>4</xdr:row>
      <xdr:rowOff>47625</xdr:rowOff>
    </xdr:from>
    <xdr:to>
      <xdr:col>10</xdr:col>
      <xdr:colOff>511797</xdr:colOff>
      <xdr:row>25</xdr:row>
      <xdr:rowOff>47625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143E0B3C-C765-4359-AC48-0AD0EC430D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600074</xdr:colOff>
      <xdr:row>19</xdr:row>
      <xdr:rowOff>4762</xdr:rowOff>
    </xdr:from>
    <xdr:to>
      <xdr:col>31</xdr:col>
      <xdr:colOff>590549</xdr:colOff>
      <xdr:row>27</xdr:row>
      <xdr:rowOff>171450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6866DFB8-7D4F-4550-BFF3-76072C0BA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609599</xdr:colOff>
      <xdr:row>27</xdr:row>
      <xdr:rowOff>171450</xdr:rowOff>
    </xdr:from>
    <xdr:to>
      <xdr:col>31</xdr:col>
      <xdr:colOff>600075</xdr:colOff>
      <xdr:row>36</xdr:row>
      <xdr:rowOff>38100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64D574DB-9CD7-4A2B-8A75-07A7BB4A70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600075</xdr:colOff>
      <xdr:row>44</xdr:row>
      <xdr:rowOff>47625</xdr:rowOff>
    </xdr:from>
    <xdr:to>
      <xdr:col>31</xdr:col>
      <xdr:colOff>581025</xdr:colOff>
      <xdr:row>52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8C017CD7-5679-4658-A9B4-5F5ADFF7046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19050</xdr:colOff>
      <xdr:row>36</xdr:row>
      <xdr:rowOff>57150</xdr:rowOff>
    </xdr:from>
    <xdr:to>
      <xdr:col>31</xdr:col>
      <xdr:colOff>590550</xdr:colOff>
      <xdr:row>44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5B62CF2F-9B66-4633-8AF1-CFDE5A194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590550</xdr:colOff>
      <xdr:row>52</xdr:row>
      <xdr:rowOff>28575</xdr:rowOff>
    </xdr:from>
    <xdr:to>
      <xdr:col>31</xdr:col>
      <xdr:colOff>590550</xdr:colOff>
      <xdr:row>59</xdr:row>
      <xdr:rowOff>57150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30B3AC8A-CFC5-4FA9-9918-FE9097D05A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340470</xdr:colOff>
      <xdr:row>2</xdr:row>
      <xdr:rowOff>159139</xdr:rowOff>
    </xdr:from>
    <xdr:ext cx="5601604" cy="7293234"/>
    <xdr:pic>
      <xdr:nvPicPr>
        <xdr:cNvPr id="2" name="Рисунок 1">
          <a:extLst>
            <a:ext uri="{FF2B5EF4-FFF2-40B4-BE49-F238E27FC236}">
              <a16:creationId xmlns:a16="http://schemas.microsoft.com/office/drawing/2014/main" id="{2CA2183A-DD8A-4221-B978-5A1F7F5AAB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40470" y="540139"/>
          <a:ext cx="5601604" cy="7293234"/>
        </a:xfrm>
        <a:prstGeom prst="rect">
          <a:avLst/>
        </a:prstGeom>
      </xdr:spPr>
    </xdr:pic>
    <xdr:clientData/>
  </xdr:oneCellAnchor>
  <xdr:twoCellAnchor>
    <xdr:from>
      <xdr:col>27</xdr:col>
      <xdr:colOff>171358</xdr:colOff>
      <xdr:row>8</xdr:row>
      <xdr:rowOff>43016</xdr:rowOff>
    </xdr:from>
    <xdr:to>
      <xdr:col>34</xdr:col>
      <xdr:colOff>320259</xdr:colOff>
      <xdr:row>42</xdr:row>
      <xdr:rowOff>89671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129E2853-D771-4AE9-858D-BB8D1AF3BD8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51403</xdr:colOff>
      <xdr:row>7</xdr:row>
      <xdr:rowOff>164796</xdr:rowOff>
    </xdr:from>
    <xdr:to>
      <xdr:col>26</xdr:col>
      <xdr:colOff>635731</xdr:colOff>
      <xdr:row>42</xdr:row>
      <xdr:rowOff>27753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549D86F-9B48-4B13-89D8-97DC520ABD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472755</xdr:colOff>
      <xdr:row>8</xdr:row>
      <xdr:rowOff>45488</xdr:rowOff>
    </xdr:from>
    <xdr:to>
      <xdr:col>41</xdr:col>
      <xdr:colOff>594441</xdr:colOff>
      <xdr:row>42</xdr:row>
      <xdr:rowOff>100500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DC071EBF-B0C3-4F48-82ED-15CA80E42D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42</xdr:col>
      <xdr:colOff>3027</xdr:colOff>
      <xdr:row>8</xdr:row>
      <xdr:rowOff>35681</xdr:rowOff>
    </xdr:from>
    <xdr:to>
      <xdr:col>49</xdr:col>
      <xdr:colOff>124712</xdr:colOff>
      <xdr:row>42</xdr:row>
      <xdr:rowOff>99765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4BB85F63-5B57-48ED-A67E-2077634BDF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484717</xdr:colOff>
      <xdr:row>42</xdr:row>
      <xdr:rowOff>64509</xdr:rowOff>
    </xdr:from>
    <xdr:ext cx="5508169" cy="7357734"/>
    <xdr:pic>
      <xdr:nvPicPr>
        <xdr:cNvPr id="7" name="Рисунок 6">
          <a:extLst>
            <a:ext uri="{FF2B5EF4-FFF2-40B4-BE49-F238E27FC236}">
              <a16:creationId xmlns:a16="http://schemas.microsoft.com/office/drawing/2014/main" id="{6C8539D5-DE9C-4C45-B713-790773AFF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84717" y="7836909"/>
          <a:ext cx="5508169" cy="7357734"/>
        </a:xfrm>
        <a:prstGeom prst="rect">
          <a:avLst/>
        </a:prstGeom>
      </xdr:spPr>
    </xdr:pic>
    <xdr:clientData/>
  </xdr:oneCellAnchor>
  <xdr:twoCellAnchor>
    <xdr:from>
      <xdr:col>41</xdr:col>
      <xdr:colOff>633315</xdr:colOff>
      <xdr:row>44</xdr:row>
      <xdr:rowOff>122076</xdr:rowOff>
    </xdr:from>
    <xdr:to>
      <xdr:col>49</xdr:col>
      <xdr:colOff>101858</xdr:colOff>
      <xdr:row>78</xdr:row>
      <xdr:rowOff>182270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30265AC2-E45C-45D9-A766-4833BD00FF3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34</xdr:col>
      <xdr:colOff>402297</xdr:colOff>
      <xdr:row>44</xdr:row>
      <xdr:rowOff>149808</xdr:rowOff>
    </xdr:from>
    <xdr:to>
      <xdr:col>41</xdr:col>
      <xdr:colOff>523982</xdr:colOff>
      <xdr:row>79</xdr:row>
      <xdr:rowOff>23390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ED6A6728-FD38-4F5B-AA70-752B163B8B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27</xdr:col>
      <xdr:colOff>171449</xdr:colOff>
      <xdr:row>44</xdr:row>
      <xdr:rowOff>115207</xdr:rowOff>
    </xdr:from>
    <xdr:to>
      <xdr:col>34</xdr:col>
      <xdr:colOff>320350</xdr:colOff>
      <xdr:row>78</xdr:row>
      <xdr:rowOff>167306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52FC0EF5-53DD-4A49-A812-F02C91503E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11793</xdr:colOff>
      <xdr:row>44</xdr:row>
      <xdr:rowOff>163284</xdr:rowOff>
    </xdr:from>
    <xdr:to>
      <xdr:col>26</xdr:col>
      <xdr:colOff>596121</xdr:colOff>
      <xdr:row>79</xdr:row>
      <xdr:rowOff>35312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7EE42F72-75D7-402A-9DBC-23226BCFAB7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13</xdr:col>
      <xdr:colOff>672192</xdr:colOff>
      <xdr:row>118</xdr:row>
      <xdr:rowOff>54429</xdr:rowOff>
    </xdr:from>
    <xdr:to>
      <xdr:col>18</xdr:col>
      <xdr:colOff>178834</xdr:colOff>
      <xdr:row>137</xdr:row>
      <xdr:rowOff>157780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F5FC536F-0F22-423F-BF40-A13030798D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101081</xdr:colOff>
      <xdr:row>119</xdr:row>
      <xdr:rowOff>38877</xdr:rowOff>
    </xdr:from>
    <xdr:to>
      <xdr:col>25</xdr:col>
      <xdr:colOff>124409</xdr:colOff>
      <xdr:row>144</xdr:row>
      <xdr:rowOff>147734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A66F7497-3D0D-494A-BC50-8528403A5E4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12</xdr:col>
      <xdr:colOff>754223</xdr:colOff>
      <xdr:row>22</xdr:row>
      <xdr:rowOff>124406</xdr:rowOff>
    </xdr:from>
    <xdr:to>
      <xdr:col>17</xdr:col>
      <xdr:colOff>660918</xdr:colOff>
      <xdr:row>43</xdr:row>
      <xdr:rowOff>54428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C7115F52-1A68-4C36-B467-5395AD8BDD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530040</xdr:colOff>
      <xdr:row>8</xdr:row>
      <xdr:rowOff>105054</xdr:rowOff>
    </xdr:from>
    <xdr:to>
      <xdr:col>19</xdr:col>
      <xdr:colOff>510990</xdr:colOff>
      <xdr:row>32</xdr:row>
      <xdr:rowOff>5043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4321630-F4F7-4704-94E6-F3CD1FA863F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588870</xdr:colOff>
      <xdr:row>8</xdr:row>
      <xdr:rowOff>90768</xdr:rowOff>
    </xdr:from>
    <xdr:to>
      <xdr:col>25</xdr:col>
      <xdr:colOff>569820</xdr:colOff>
      <xdr:row>31</xdr:row>
      <xdr:rowOff>181257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A47A6AB4-FC3F-4AA1-BE2E-1C83E3C7EF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29696</xdr:colOff>
      <xdr:row>8</xdr:row>
      <xdr:rowOff>79562</xdr:rowOff>
    </xdr:from>
    <xdr:to>
      <xdr:col>32</xdr:col>
      <xdr:colOff>10646</xdr:colOff>
      <xdr:row>31</xdr:row>
      <xdr:rowOff>170051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5A938651-1FF3-4CD1-937D-067ACF2D85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49867</xdr:colOff>
      <xdr:row>8</xdr:row>
      <xdr:rowOff>81243</xdr:rowOff>
    </xdr:from>
    <xdr:to>
      <xdr:col>38</xdr:col>
      <xdr:colOff>30817</xdr:colOff>
      <xdr:row>31</xdr:row>
      <xdr:rowOff>171732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6298A4D-F64C-4B44-A84C-A3F2664AF3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38</xdr:col>
      <xdr:colOff>117662</xdr:colOff>
      <xdr:row>8</xdr:row>
      <xdr:rowOff>75080</xdr:rowOff>
    </xdr:from>
    <xdr:to>
      <xdr:col>44</xdr:col>
      <xdr:colOff>98613</xdr:colOff>
      <xdr:row>31</xdr:row>
      <xdr:rowOff>165569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98375CE4-777F-4790-B228-A0077292EA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44</xdr:col>
      <xdr:colOff>168089</xdr:colOff>
      <xdr:row>8</xdr:row>
      <xdr:rowOff>42582</xdr:rowOff>
    </xdr:from>
    <xdr:to>
      <xdr:col>50</xdr:col>
      <xdr:colOff>403412</xdr:colOff>
      <xdr:row>32</xdr:row>
      <xdr:rowOff>11206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B5D52C57-BBC9-425B-952A-3C3A4C0E0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37</xdr:col>
      <xdr:colOff>510428</xdr:colOff>
      <xdr:row>37</xdr:row>
      <xdr:rowOff>163325</xdr:rowOff>
    </xdr:from>
    <xdr:to>
      <xdr:col>49</xdr:col>
      <xdr:colOff>481852</xdr:colOff>
      <xdr:row>48</xdr:row>
      <xdr:rowOff>91888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820BA680-EBDB-4E17-9021-B9A25442DE8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21850</xdr:colOff>
      <xdr:row>34</xdr:row>
      <xdr:rowOff>107296</xdr:rowOff>
    </xdr:from>
    <xdr:to>
      <xdr:col>37</xdr:col>
      <xdr:colOff>426943</xdr:colOff>
      <xdr:row>53</xdr:row>
      <xdr:rowOff>67235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B99BF51-81DE-41F0-A00C-23C45A48A8F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13</xdr:col>
      <xdr:colOff>498103</xdr:colOff>
      <xdr:row>34</xdr:row>
      <xdr:rowOff>73959</xdr:rowOff>
    </xdr:from>
    <xdr:to>
      <xdr:col>21</xdr:col>
      <xdr:colOff>140634</xdr:colOff>
      <xdr:row>53</xdr:row>
      <xdr:rowOff>35859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6EFD0F17-1CB9-42DA-ADA7-81733F4A5B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222997</xdr:colOff>
      <xdr:row>34</xdr:row>
      <xdr:rowOff>85164</xdr:rowOff>
    </xdr:from>
    <xdr:to>
      <xdr:col>28</xdr:col>
      <xdr:colOff>466165</xdr:colOff>
      <xdr:row>53</xdr:row>
      <xdr:rowOff>47064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AE2200CF-5858-42B3-9C7A-6FF4271F3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10</xdr:col>
      <xdr:colOff>172570</xdr:colOff>
      <xdr:row>58</xdr:row>
      <xdr:rowOff>185816</xdr:rowOff>
    </xdr:from>
    <xdr:to>
      <xdr:col>25</xdr:col>
      <xdr:colOff>100853</xdr:colOff>
      <xdr:row>81</xdr:row>
      <xdr:rowOff>114379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E9A8C2C3-335D-454F-BA4D-49DC7464517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26</xdr:col>
      <xdr:colOff>437030</xdr:colOff>
      <xdr:row>58</xdr:row>
      <xdr:rowOff>134470</xdr:rowOff>
    </xdr:from>
    <xdr:to>
      <xdr:col>35</xdr:col>
      <xdr:colOff>556373</xdr:colOff>
      <xdr:row>81</xdr:row>
      <xdr:rowOff>63033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4135BAB8-6991-4416-8C6D-B076A304329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&#1058;&#1077;&#1089;&#1090;_&#1055;&#1069;&#1044;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</sheetNames>
    <sheetDataSet>
      <sheetData sheetId="0">
        <row r="5">
          <cell r="C5">
            <v>32</v>
          </cell>
        </row>
        <row r="6">
          <cell r="C6">
            <v>1000</v>
          </cell>
        </row>
        <row r="7">
          <cell r="C7">
            <v>30</v>
          </cell>
        </row>
        <row r="8">
          <cell r="C8">
            <v>0.81</v>
          </cell>
        </row>
        <row r="9">
          <cell r="C9">
            <v>0.8</v>
          </cell>
        </row>
      </sheetData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otor_cosphi_default_d"/>
      <definedName name="motor_current_default_d"/>
      <definedName name="motor_eff_default_d"/>
      <definedName name="motor_rot_speed_default_rmp"/>
      <definedName name="MotorCosPhi_d"/>
      <definedName name="MotorCosPhi_slip"/>
      <definedName name="MotorEff_d"/>
      <definedName name="MotorEff_slip"/>
      <definedName name="MotorI_A"/>
      <definedName name="MotorI_slip_A"/>
      <definedName name="MotorM_Nm"/>
      <definedName name="MotorM_slip_Nm"/>
      <definedName name="MotorPnom_kW"/>
      <definedName name="MotorS_d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04E38-C094-42C0-B3DF-CFF29B017789}">
  <sheetPr codeName="Лист3"/>
  <dimension ref="B1:AF47"/>
  <sheetViews>
    <sheetView zoomScaleNormal="100" workbookViewId="0">
      <selection activeCell="Q54" sqref="Q54"/>
    </sheetView>
  </sheetViews>
  <sheetFormatPr defaultRowHeight="14.6" x14ac:dyDescent="0.4"/>
  <cols>
    <col min="19" max="19" width="12.15234375" bestFit="1" customWidth="1"/>
    <col min="20" max="20" width="12.69140625" bestFit="1" customWidth="1"/>
    <col min="21" max="23" width="9.3046875" bestFit="1" customWidth="1"/>
    <col min="25" max="25" width="9.53515625" bestFit="1" customWidth="1"/>
  </cols>
  <sheetData>
    <row r="1" spans="2:32" x14ac:dyDescent="0.4">
      <c r="B1" t="s">
        <v>33</v>
      </c>
    </row>
    <row r="2" spans="2:32" x14ac:dyDescent="0.4">
      <c r="B2" s="11" t="s">
        <v>34</v>
      </c>
    </row>
    <row r="4" spans="2:32" x14ac:dyDescent="0.4">
      <c r="S4" s="11" t="s">
        <v>35</v>
      </c>
      <c r="AB4" s="11" t="s">
        <v>36</v>
      </c>
    </row>
    <row r="5" spans="2:32" x14ac:dyDescent="0.4">
      <c r="V5">
        <v>85.05</v>
      </c>
      <c r="W5">
        <v>98</v>
      </c>
      <c r="X5">
        <v>82.8</v>
      </c>
    </row>
    <row r="6" spans="2:32" x14ac:dyDescent="0.4">
      <c r="S6" t="s">
        <v>37</v>
      </c>
      <c r="T6" s="1" t="s">
        <v>38</v>
      </c>
      <c r="U6" s="1" t="s">
        <v>39</v>
      </c>
      <c r="V6" t="s">
        <v>40</v>
      </c>
      <c r="W6" t="s">
        <v>41</v>
      </c>
      <c r="X6" t="s">
        <v>42</v>
      </c>
      <c r="Y6" s="1" t="s">
        <v>43</v>
      </c>
      <c r="Z6" s="1" t="s">
        <v>44</v>
      </c>
      <c r="AA6" s="1" t="s">
        <v>45</v>
      </c>
      <c r="AB6" t="s">
        <v>38</v>
      </c>
      <c r="AC6" t="s">
        <v>39</v>
      </c>
      <c r="AD6" t="s">
        <v>40</v>
      </c>
      <c r="AE6" t="s">
        <v>41</v>
      </c>
      <c r="AF6" t="s">
        <v>42</v>
      </c>
    </row>
    <row r="7" spans="2:32" x14ac:dyDescent="0.4">
      <c r="S7">
        <v>70</v>
      </c>
      <c r="T7" s="1"/>
      <c r="U7" s="1"/>
      <c r="Y7" s="1"/>
      <c r="Z7" s="1"/>
      <c r="AA7" s="1"/>
      <c r="AB7">
        <f t="shared" ref="AB7:AB19" si="0">$S$27*S7^3+$T$27*S7^2+$U$27*S7+$V$27</f>
        <v>107.9285714285715</v>
      </c>
      <c r="AC7">
        <f t="shared" ref="AC7:AC19" si="1">$S$32*S7^4+$T$32*S7^3+$U$32*S7^2+$V$32*S7+$W$32</f>
        <v>154.89999999998099</v>
      </c>
      <c r="AD7">
        <f t="shared" ref="AD7:AD19" si="2">($S$37*S7^2+$T$37*S7+$U$37)*$V$5</f>
        <v>77.846428571428561</v>
      </c>
      <c r="AE7">
        <f t="shared" ref="AE7:AE19" si="3">($S$42*S7^3+$T$42*S7^2+$U$42*S7+$V$42)*$W$5</f>
        <v>74.850000000000122</v>
      </c>
      <c r="AF7">
        <f t="shared" ref="AF7:AF19" si="4">(+$S$47*S7^4+$T$47*S7^3+$U$47*S7^2+$V$47*S7+$W$47)*$X$5</f>
        <v>90.357142857129148</v>
      </c>
    </row>
    <row r="8" spans="2:32" x14ac:dyDescent="0.4">
      <c r="S8">
        <v>75</v>
      </c>
      <c r="T8" s="1"/>
      <c r="U8" s="1"/>
      <c r="Y8" s="1"/>
      <c r="Z8" s="1"/>
      <c r="AA8" s="1"/>
      <c r="AB8">
        <f t="shared" si="0"/>
        <v>106.02857142857145</v>
      </c>
      <c r="AC8">
        <f t="shared" si="1"/>
        <v>132.07142857142344</v>
      </c>
      <c r="AD8">
        <f t="shared" si="2"/>
        <v>80.157142857142844</v>
      </c>
      <c r="AE8">
        <f t="shared" si="3"/>
        <v>81.314285714285731</v>
      </c>
      <c r="AF8">
        <f t="shared" si="4"/>
        <v>90.657142857138695</v>
      </c>
    </row>
    <row r="9" spans="2:32" x14ac:dyDescent="0.4">
      <c r="S9">
        <v>80</v>
      </c>
      <c r="T9" s="1">
        <v>104.2</v>
      </c>
      <c r="U9" s="1">
        <v>117.5</v>
      </c>
      <c r="V9">
        <f>$V$5*Y9</f>
        <v>82</v>
      </c>
      <c r="W9">
        <f>$W$5*Z9</f>
        <v>86.5</v>
      </c>
      <c r="X9">
        <f>$X$5*AA9</f>
        <v>90.5</v>
      </c>
      <c r="Y9" s="12">
        <v>0.96413874191651971</v>
      </c>
      <c r="Z9" s="12">
        <v>0.88265306122448983</v>
      </c>
      <c r="AA9" s="12">
        <v>1.0929951690821256</v>
      </c>
      <c r="AB9">
        <f t="shared" si="0"/>
        <v>104.2095238095238</v>
      </c>
      <c r="AC9">
        <f t="shared" si="1"/>
        <v>117.4761904761931</v>
      </c>
      <c r="AD9">
        <f t="shared" si="2"/>
        <v>82.023809523809504</v>
      </c>
      <c r="AE9">
        <f t="shared" si="3"/>
        <v>86.530952380952272</v>
      </c>
      <c r="AF9">
        <f t="shared" si="4"/>
        <v>90.531385281385113</v>
      </c>
    </row>
    <row r="10" spans="2:32" x14ac:dyDescent="0.4">
      <c r="S10">
        <v>85</v>
      </c>
      <c r="T10" s="1">
        <v>102.6</v>
      </c>
      <c r="U10" s="1">
        <v>108.6</v>
      </c>
      <c r="V10">
        <f t="shared" ref="V10:V15" si="5">$V$5*Y10</f>
        <v>83.5</v>
      </c>
      <c r="W10">
        <f t="shared" ref="W10:W15" si="6">$W$5*Z10</f>
        <v>90.7</v>
      </c>
      <c r="X10">
        <f t="shared" ref="X10:X15" si="7">$X$5*AA10</f>
        <v>89.9</v>
      </c>
      <c r="Y10" s="12">
        <v>0.98177542621987068</v>
      </c>
      <c r="Z10" s="12">
        <v>0.92551020408163265</v>
      </c>
      <c r="AA10" s="12">
        <v>1.0857487922705316</v>
      </c>
      <c r="AB10">
        <f t="shared" si="0"/>
        <v>102.58809523809521</v>
      </c>
      <c r="AC10">
        <f t="shared" si="1"/>
        <v>108.68095238095839</v>
      </c>
      <c r="AD10">
        <f t="shared" si="2"/>
        <v>83.446428571428555</v>
      </c>
      <c r="AE10">
        <f t="shared" si="3"/>
        <v>90.649999999999977</v>
      </c>
      <c r="AF10">
        <f t="shared" si="4"/>
        <v>89.761688311688815</v>
      </c>
    </row>
    <row r="11" spans="2:32" x14ac:dyDescent="0.4">
      <c r="S11">
        <v>90</v>
      </c>
      <c r="T11" s="1">
        <v>101.3</v>
      </c>
      <c r="U11" s="1">
        <v>103.8</v>
      </c>
      <c r="V11">
        <f t="shared" si="5"/>
        <v>84.4</v>
      </c>
      <c r="W11">
        <f t="shared" si="6"/>
        <v>93.9</v>
      </c>
      <c r="X11">
        <f t="shared" si="7"/>
        <v>88</v>
      </c>
      <c r="Y11" s="12">
        <v>0.99235743680188138</v>
      </c>
      <c r="Z11" s="12">
        <v>0.9581632653061225</v>
      </c>
      <c r="AA11" s="12">
        <v>1.0628019323671498</v>
      </c>
      <c r="AB11">
        <f t="shared" si="0"/>
        <v>101.28095238095236</v>
      </c>
      <c r="AC11">
        <f t="shared" si="1"/>
        <v>103.75238095238774</v>
      </c>
      <c r="AD11">
        <f t="shared" si="2"/>
        <v>84.424999999999969</v>
      </c>
      <c r="AE11">
        <f t="shared" si="3"/>
        <v>93.821428571428456</v>
      </c>
      <c r="AF11">
        <f t="shared" si="4"/>
        <v>88.22077922077959</v>
      </c>
    </row>
    <row r="12" spans="2:32" x14ac:dyDescent="0.4">
      <c r="S12">
        <v>95</v>
      </c>
      <c r="T12" s="1">
        <v>100.4</v>
      </c>
      <c r="U12" s="1">
        <v>101.4</v>
      </c>
      <c r="V12">
        <f t="shared" si="5"/>
        <v>84.95</v>
      </c>
      <c r="W12">
        <f t="shared" si="6"/>
        <v>96</v>
      </c>
      <c r="X12">
        <f t="shared" si="7"/>
        <v>85.999999999999986</v>
      </c>
      <c r="Y12" s="12">
        <v>0.99882422104644331</v>
      </c>
      <c r="Z12" s="12">
        <v>0.97959183673469385</v>
      </c>
      <c r="AA12" s="12">
        <v>1.038647342995169</v>
      </c>
      <c r="AB12">
        <f t="shared" si="0"/>
        <v>100.4047619047619</v>
      </c>
      <c r="AC12">
        <f t="shared" si="1"/>
        <v>101.25714285714594</v>
      </c>
      <c r="AD12">
        <f t="shared" si="2"/>
        <v>84.959523809523802</v>
      </c>
      <c r="AE12">
        <f t="shared" si="3"/>
        <v>96.195238095238039</v>
      </c>
      <c r="AF12">
        <f t="shared" si="4"/>
        <v>85.872294372293766</v>
      </c>
    </row>
    <row r="13" spans="2:32" x14ac:dyDescent="0.4">
      <c r="S13">
        <v>100</v>
      </c>
      <c r="T13" s="1">
        <v>100</v>
      </c>
      <c r="U13" s="1">
        <v>100</v>
      </c>
      <c r="V13">
        <f t="shared" si="5"/>
        <v>85.05</v>
      </c>
      <c r="W13">
        <f t="shared" si="6"/>
        <v>98</v>
      </c>
      <c r="X13">
        <f t="shared" si="7"/>
        <v>82.8</v>
      </c>
      <c r="Y13" s="12">
        <v>1</v>
      </c>
      <c r="Z13" s="12">
        <v>1</v>
      </c>
      <c r="AA13" s="12">
        <v>1</v>
      </c>
      <c r="AB13">
        <f t="shared" si="0"/>
        <v>100.07619047619042</v>
      </c>
      <c r="AC13">
        <f t="shared" si="1"/>
        <v>100.26190476190595</v>
      </c>
      <c r="AD13">
        <f t="shared" si="2"/>
        <v>85.049999999999983</v>
      </c>
      <c r="AE13">
        <f t="shared" si="3"/>
        <v>97.921428571428606</v>
      </c>
      <c r="AF13">
        <f t="shared" si="4"/>
        <v>82.770779220779104</v>
      </c>
    </row>
    <row r="14" spans="2:32" x14ac:dyDescent="0.4">
      <c r="S14">
        <v>105</v>
      </c>
      <c r="T14" s="1">
        <v>100.5</v>
      </c>
      <c r="U14" s="1">
        <v>100.5</v>
      </c>
      <c r="V14">
        <f t="shared" si="5"/>
        <v>84.7</v>
      </c>
      <c r="W14">
        <f t="shared" si="6"/>
        <v>99.199999999999989</v>
      </c>
      <c r="X14">
        <f t="shared" si="7"/>
        <v>79</v>
      </c>
      <c r="Y14" s="12">
        <v>0.99588477366255146</v>
      </c>
      <c r="Z14" s="12">
        <v>1.0122448979591836</v>
      </c>
      <c r="AA14" s="12">
        <v>0.95410628019323673</v>
      </c>
      <c r="AB14">
        <f t="shared" si="0"/>
        <v>100.41190476190474</v>
      </c>
      <c r="AC14">
        <f t="shared" si="1"/>
        <v>100.3333333333353</v>
      </c>
      <c r="AD14">
        <f t="shared" si="2"/>
        <v>84.696428571428569</v>
      </c>
      <c r="AE14">
        <f t="shared" si="3"/>
        <v>99.149999999999963</v>
      </c>
      <c r="AF14">
        <f t="shared" si="4"/>
        <v>79.061688311688485</v>
      </c>
    </row>
    <row r="15" spans="2:32" x14ac:dyDescent="0.4">
      <c r="S15">
        <v>110</v>
      </c>
      <c r="T15" s="1">
        <v>101.5</v>
      </c>
      <c r="U15" s="1">
        <v>101.5</v>
      </c>
      <c r="V15">
        <f t="shared" si="5"/>
        <v>83.9</v>
      </c>
      <c r="W15">
        <f t="shared" si="6"/>
        <v>100</v>
      </c>
      <c r="X15">
        <f t="shared" si="7"/>
        <v>75</v>
      </c>
      <c r="Y15" s="12">
        <v>0.98647854203409768</v>
      </c>
      <c r="Z15" s="12">
        <v>1.0204081632653061</v>
      </c>
      <c r="AA15" s="12">
        <v>0.90579710144927539</v>
      </c>
      <c r="AB15">
        <f t="shared" si="0"/>
        <v>101.52857142857141</v>
      </c>
      <c r="AC15">
        <f t="shared" si="1"/>
        <v>101.53809523809605</v>
      </c>
      <c r="AD15">
        <f t="shared" si="2"/>
        <v>83.898809523809533</v>
      </c>
      <c r="AE15">
        <f t="shared" si="3"/>
        <v>100.03095238095241</v>
      </c>
      <c r="AF15">
        <f t="shared" si="4"/>
        <v>74.981385281385016</v>
      </c>
    </row>
    <row r="16" spans="2:32" x14ac:dyDescent="0.4">
      <c r="S16">
        <v>115</v>
      </c>
      <c r="T16" s="1"/>
      <c r="U16" s="1"/>
      <c r="Y16" s="1"/>
      <c r="Z16" s="1"/>
      <c r="AA16" s="1"/>
      <c r="AB16">
        <f t="shared" si="0"/>
        <v>103.54285714285714</v>
      </c>
      <c r="AC16">
        <f t="shared" si="1"/>
        <v>104.44285714285752</v>
      </c>
      <c r="AD16">
        <f t="shared" si="2"/>
        <v>82.65714285714283</v>
      </c>
      <c r="AE16">
        <f t="shared" si="3"/>
        <v>100.71428571428581</v>
      </c>
      <c r="AF16">
        <f t="shared" si="4"/>
        <v>70.85714285713938</v>
      </c>
    </row>
    <row r="17" spans="19:32" x14ac:dyDescent="0.4">
      <c r="S17">
        <v>120</v>
      </c>
      <c r="T17" s="1"/>
      <c r="U17" s="1"/>
      <c r="Y17" s="1"/>
      <c r="Z17" s="1"/>
      <c r="AA17" s="1"/>
      <c r="AB17">
        <f t="shared" si="0"/>
        <v>106.57142857142847</v>
      </c>
      <c r="AC17">
        <f t="shared" si="1"/>
        <v>110.11428571427632</v>
      </c>
      <c r="AD17">
        <f t="shared" si="2"/>
        <v>80.971428571428532</v>
      </c>
      <c r="AE17">
        <f t="shared" si="3"/>
        <v>101.34999999999997</v>
      </c>
      <c r="AF17">
        <f t="shared" si="4"/>
        <v>67.107142857130768</v>
      </c>
    </row>
    <row r="18" spans="19:32" x14ac:dyDescent="0.4">
      <c r="S18">
        <v>125</v>
      </c>
      <c r="T18" s="1"/>
      <c r="U18" s="1"/>
      <c r="Y18" s="1"/>
      <c r="Z18" s="1"/>
      <c r="AA18" s="1"/>
      <c r="AB18">
        <f t="shared" si="0"/>
        <v>110.73095238095226</v>
      </c>
      <c r="AC18">
        <f t="shared" si="1"/>
        <v>120.1190476190236</v>
      </c>
      <c r="AD18">
        <f t="shared" si="2"/>
        <v>78.84166666666664</v>
      </c>
      <c r="AE18">
        <f t="shared" si="3"/>
        <v>102.08809523809511</v>
      </c>
      <c r="AF18">
        <f t="shared" si="4"/>
        <v>64.240476190447424</v>
      </c>
    </row>
    <row r="19" spans="19:32" x14ac:dyDescent="0.4">
      <c r="S19">
        <v>130</v>
      </c>
      <c r="T19" s="1"/>
      <c r="U19" s="1"/>
      <c r="Y19" s="1"/>
      <c r="Z19" s="1"/>
      <c r="AA19" s="1"/>
      <c r="AB19">
        <f t="shared" si="0"/>
        <v>116.13809523809499</v>
      </c>
      <c r="AC19">
        <f t="shared" si="1"/>
        <v>136.52380952376143</v>
      </c>
      <c r="AD19">
        <f t="shared" si="2"/>
        <v>76.267857142857125</v>
      </c>
      <c r="AE19">
        <f t="shared" si="3"/>
        <v>103.07857142857122</v>
      </c>
      <c r="AF19">
        <f t="shared" si="4"/>
        <v>62.857142857084924</v>
      </c>
    </row>
    <row r="22" spans="19:32" x14ac:dyDescent="0.4">
      <c r="S22" s="11" t="s">
        <v>46</v>
      </c>
    </row>
    <row r="24" spans="19:32" x14ac:dyDescent="0.4">
      <c r="S24" t="s">
        <v>38</v>
      </c>
    </row>
    <row r="25" spans="19:32" x14ac:dyDescent="0.4">
      <c r="S25" t="s">
        <v>47</v>
      </c>
    </row>
    <row r="26" spans="19:32" x14ac:dyDescent="0.4">
      <c r="S26" t="s">
        <v>48</v>
      </c>
    </row>
    <row r="27" spans="19:32" x14ac:dyDescent="0.4">
      <c r="S27">
        <f t="array" ref="S27:V27">LINEST(T9:T15,S9:S15^COLUMN(A:C))</f>
        <v>1.5555555555554751E-4</v>
      </c>
      <c r="T27">
        <v>-3.3380952380950041E-2</v>
      </c>
      <c r="U27">
        <v>2.0063492063489816</v>
      </c>
      <c r="V27">
        <v>77.695238095245202</v>
      </c>
    </row>
    <row r="29" spans="19:32" x14ac:dyDescent="0.4">
      <c r="S29" t="s">
        <v>39</v>
      </c>
    </row>
    <row r="30" spans="19:32" x14ac:dyDescent="0.4">
      <c r="S30" t="s">
        <v>49</v>
      </c>
    </row>
    <row r="31" spans="19:32" x14ac:dyDescent="0.4">
      <c r="S31" t="s">
        <v>48</v>
      </c>
    </row>
    <row r="32" spans="19:32" x14ac:dyDescent="0.4">
      <c r="S32">
        <f t="array" ref="S32:W32">LINEST(U9:U15,S9:S15^COLUMN(A:D))</f>
        <v>3.3333333333280094E-5</v>
      </c>
      <c r="T32">
        <v>-1.3577777777756922E-2</v>
      </c>
      <c r="U32">
        <v>2.0938333333302785</v>
      </c>
      <c r="V32">
        <v>-144.85293650773838</v>
      </c>
      <c r="W32">
        <v>3891.6666666618726</v>
      </c>
    </row>
    <row r="34" spans="19:23" x14ac:dyDescent="0.4">
      <c r="S34" t="s">
        <v>40</v>
      </c>
    </row>
    <row r="35" spans="19:23" x14ac:dyDescent="0.4">
      <c r="S35" t="s">
        <v>50</v>
      </c>
    </row>
    <row r="36" spans="19:23" x14ac:dyDescent="0.4">
      <c r="S36" t="s">
        <v>48</v>
      </c>
    </row>
    <row r="37" spans="19:23" x14ac:dyDescent="0.4">
      <c r="S37">
        <f t="array" ref="S37:U37">LINEST(Y9:Y15,S9:S15^COLUMN(A:B))</f>
        <v>-1.0442036897063344E-4</v>
      </c>
      <c r="T37">
        <v>2.0574731950393312E-2</v>
      </c>
      <c r="U37">
        <v>-1.3269505332996867E-2</v>
      </c>
    </row>
    <row r="39" spans="19:23" x14ac:dyDescent="0.4">
      <c r="S39" t="s">
        <v>41</v>
      </c>
    </row>
    <row r="40" spans="19:23" x14ac:dyDescent="0.4">
      <c r="S40" t="s">
        <v>47</v>
      </c>
    </row>
    <row r="41" spans="19:23" x14ac:dyDescent="0.4">
      <c r="S41" t="s">
        <v>48</v>
      </c>
    </row>
    <row r="42" spans="19:23" x14ac:dyDescent="0.4">
      <c r="S42">
        <f t="array" ref="S42:V42">LINEST(Z9:Z15,S9:S15^COLUMN(A:C))</f>
        <v>2.0408163265305037E-6</v>
      </c>
      <c r="T42">
        <v>-7.1379980563650856E-4</v>
      </c>
      <c r="U42">
        <v>8.4499514091347774E-2</v>
      </c>
      <c r="V42">
        <v>-2.3535714285713327</v>
      </c>
    </row>
    <row r="44" spans="19:23" x14ac:dyDescent="0.4">
      <c r="S44" t="s">
        <v>42</v>
      </c>
    </row>
    <row r="45" spans="19:23" x14ac:dyDescent="0.4">
      <c r="S45" t="s">
        <v>49</v>
      </c>
    </row>
    <row r="46" spans="19:23" x14ac:dyDescent="0.4">
      <c r="S46" t="s">
        <v>48</v>
      </c>
    </row>
    <row r="47" spans="19:23" x14ac:dyDescent="0.4">
      <c r="S47">
        <f t="array" ref="S47:W47">LINEST(AA9:AA15,S9:S15^COLUMN(A:D))</f>
        <v>7.3195725369036662E-8</v>
      </c>
      <c r="T47">
        <v>-2.6204069682100685E-5</v>
      </c>
      <c r="U47">
        <v>3.3208900599877005E-3</v>
      </c>
      <c r="V47">
        <v>-0.17914104816071666</v>
      </c>
      <c r="W47">
        <v>4.5893484534300741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6AFDC8-FF39-49B9-9E07-66DFB57E03DA}">
  <sheetPr codeName="Лист2"/>
  <dimension ref="C1:AE116"/>
  <sheetViews>
    <sheetView zoomScale="80" zoomScaleNormal="80" workbookViewId="0">
      <selection activeCell="L85" sqref="L85"/>
    </sheetView>
  </sheetViews>
  <sheetFormatPr defaultRowHeight="14.6" x14ac:dyDescent="0.4"/>
  <cols>
    <col min="12" max="12" width="13.15234375" bestFit="1" customWidth="1"/>
    <col min="13" max="14" width="12.53515625" bestFit="1" customWidth="1"/>
    <col min="15" max="17" width="9.3828125" bestFit="1" customWidth="1"/>
    <col min="18" max="18" width="12.3828125" bestFit="1" customWidth="1"/>
    <col min="19" max="19" width="12.84375" bestFit="1" customWidth="1"/>
    <col min="20" max="20" width="13" bestFit="1" customWidth="1"/>
    <col min="21" max="21" width="11.3828125" bestFit="1" customWidth="1"/>
    <col min="22" max="23" width="9.53515625" bestFit="1" customWidth="1"/>
    <col min="24" max="25" width="9.3828125" bestFit="1" customWidth="1"/>
    <col min="27" max="27" width="12.3828125" bestFit="1" customWidth="1"/>
    <col min="29" max="29" width="12.3828125" bestFit="1" customWidth="1"/>
    <col min="31" max="31" width="12.3828125" bestFit="1" customWidth="1"/>
  </cols>
  <sheetData>
    <row r="1" spans="3:25" x14ac:dyDescent="0.4">
      <c r="C1" t="s">
        <v>11</v>
      </c>
    </row>
    <row r="2" spans="3:25" x14ac:dyDescent="0.4">
      <c r="C2" t="s">
        <v>10</v>
      </c>
    </row>
    <row r="3" spans="3:25" x14ac:dyDescent="0.4">
      <c r="S3">
        <f t="array" ref="S3:Y3">LINEST(M10:M21,K10:K21^COLUMN($A:$E))</f>
        <v>6.0331825037636387E-10</v>
      </c>
      <c r="T3">
        <v>-3.7338886603565336E-7</v>
      </c>
      <c r="U3">
        <v>5.7148978472468945E-5</v>
      </c>
      <c r="V3">
        <v>1.2824797751526958E-4</v>
      </c>
      <c r="W3">
        <v>0.36260074729184555</v>
      </c>
      <c r="X3">
        <v>36.762237762238591</v>
      </c>
      <c r="Y3" t="e">
        <v>#N/A</v>
      </c>
    </row>
    <row r="7" spans="3:25" x14ac:dyDescent="0.4">
      <c r="K7" t="s">
        <v>8</v>
      </c>
      <c r="L7" t="s">
        <v>7</v>
      </c>
      <c r="M7" t="s">
        <v>6</v>
      </c>
      <c r="N7" t="s">
        <v>1</v>
      </c>
      <c r="O7" t="s">
        <v>5</v>
      </c>
      <c r="P7" t="s">
        <v>9</v>
      </c>
      <c r="R7" t="s">
        <v>6</v>
      </c>
      <c r="S7" t="s">
        <v>7</v>
      </c>
      <c r="T7" t="s">
        <v>1</v>
      </c>
      <c r="U7" t="s">
        <v>5</v>
      </c>
    </row>
    <row r="9" spans="3:25" x14ac:dyDescent="0.4">
      <c r="L9" s="2"/>
    </row>
    <row r="10" spans="3:25" x14ac:dyDescent="0.4">
      <c r="K10">
        <v>20</v>
      </c>
      <c r="L10" s="2">
        <v>2980</v>
      </c>
      <c r="M10">
        <v>44.5</v>
      </c>
      <c r="N10">
        <v>64</v>
      </c>
      <c r="O10">
        <v>39</v>
      </c>
      <c r="P10">
        <f t="shared" ref="P10:P21" si="0">L10/3000</f>
        <v>0.99333333333333329</v>
      </c>
    </row>
    <row r="11" spans="3:25" x14ac:dyDescent="0.4">
      <c r="K11">
        <v>30</v>
      </c>
      <c r="L11" s="2">
        <v>2962</v>
      </c>
      <c r="M11">
        <v>48.9</v>
      </c>
      <c r="N11">
        <v>74.2</v>
      </c>
      <c r="O11">
        <v>52</v>
      </c>
      <c r="P11">
        <f t="shared" si="0"/>
        <v>0.98733333333333329</v>
      </c>
    </row>
    <row r="12" spans="3:25" x14ac:dyDescent="0.4">
      <c r="K12">
        <v>40</v>
      </c>
      <c r="L12" s="2">
        <v>2943</v>
      </c>
      <c r="M12">
        <v>54.3</v>
      </c>
      <c r="N12">
        <v>79.2</v>
      </c>
      <c r="O12">
        <v>62</v>
      </c>
      <c r="P12">
        <f t="shared" si="0"/>
        <v>0.98099999999999998</v>
      </c>
    </row>
    <row r="13" spans="3:25" x14ac:dyDescent="0.4">
      <c r="K13">
        <v>50</v>
      </c>
      <c r="L13" s="2">
        <v>2922</v>
      </c>
      <c r="M13">
        <v>60.3</v>
      </c>
      <c r="N13">
        <v>81.3</v>
      </c>
      <c r="O13">
        <v>69.3</v>
      </c>
      <c r="P13">
        <f t="shared" si="0"/>
        <v>0.97399999999999998</v>
      </c>
    </row>
    <row r="14" spans="3:25" x14ac:dyDescent="0.4">
      <c r="K14">
        <v>60</v>
      </c>
      <c r="L14" s="2">
        <v>2900</v>
      </c>
      <c r="M14">
        <v>66.899999999999991</v>
      </c>
      <c r="N14">
        <v>82</v>
      </c>
      <c r="O14">
        <v>74.5</v>
      </c>
      <c r="P14">
        <f t="shared" si="0"/>
        <v>0.96666666666666667</v>
      </c>
    </row>
    <row r="15" spans="3:25" x14ac:dyDescent="0.4">
      <c r="K15">
        <v>70</v>
      </c>
      <c r="L15" s="2">
        <v>2878</v>
      </c>
      <c r="M15">
        <v>74.399999999999991</v>
      </c>
      <c r="N15">
        <v>82.2</v>
      </c>
      <c r="O15">
        <v>78</v>
      </c>
      <c r="P15">
        <f t="shared" si="0"/>
        <v>0.95933333333333337</v>
      </c>
    </row>
    <row r="16" spans="3:25" x14ac:dyDescent="0.4">
      <c r="K16">
        <v>80</v>
      </c>
      <c r="L16" s="2">
        <v>2855</v>
      </c>
      <c r="M16">
        <v>82.399999999999991</v>
      </c>
      <c r="N16">
        <v>82.1</v>
      </c>
      <c r="O16">
        <v>80.599999999999994</v>
      </c>
      <c r="P16">
        <f t="shared" si="0"/>
        <v>0.95166666666666666</v>
      </c>
    </row>
    <row r="17" spans="11:16" x14ac:dyDescent="0.4">
      <c r="K17">
        <v>90</v>
      </c>
      <c r="L17" s="2">
        <v>2830</v>
      </c>
      <c r="M17">
        <v>91.399999999999991</v>
      </c>
      <c r="N17">
        <v>81.7</v>
      </c>
      <c r="O17">
        <v>82.5</v>
      </c>
      <c r="P17">
        <f t="shared" si="0"/>
        <v>0.94333333333333336</v>
      </c>
    </row>
    <row r="18" spans="11:16" x14ac:dyDescent="0.4">
      <c r="K18">
        <v>100</v>
      </c>
      <c r="L18" s="2">
        <v>2803</v>
      </c>
      <c r="M18">
        <v>100</v>
      </c>
      <c r="N18">
        <v>81.2</v>
      </c>
      <c r="O18">
        <v>83.7</v>
      </c>
      <c r="P18">
        <f t="shared" si="0"/>
        <v>0.93433333333333335</v>
      </c>
    </row>
    <row r="19" spans="11:16" x14ac:dyDescent="0.4">
      <c r="K19">
        <v>110</v>
      </c>
      <c r="L19" s="2">
        <v>2778</v>
      </c>
      <c r="M19">
        <v>109.39999999999999</v>
      </c>
      <c r="N19">
        <v>80.5</v>
      </c>
      <c r="O19">
        <v>84.8</v>
      </c>
      <c r="P19">
        <f t="shared" si="0"/>
        <v>0.92600000000000005</v>
      </c>
    </row>
    <row r="20" spans="11:16" x14ac:dyDescent="0.4">
      <c r="K20">
        <v>120</v>
      </c>
      <c r="L20" s="2">
        <v>2750</v>
      </c>
      <c r="M20">
        <v>118.39999999999999</v>
      </c>
      <c r="N20">
        <v>79.3</v>
      </c>
      <c r="O20">
        <v>85.5</v>
      </c>
      <c r="P20">
        <f t="shared" si="0"/>
        <v>0.91666666666666663</v>
      </c>
    </row>
    <row r="21" spans="11:16" x14ac:dyDescent="0.4">
      <c r="K21">
        <v>130</v>
      </c>
      <c r="L21" s="2">
        <v>2720</v>
      </c>
      <c r="M21">
        <v>127.39999999999999</v>
      </c>
      <c r="N21">
        <v>77.5</v>
      </c>
      <c r="O21">
        <v>86.3</v>
      </c>
      <c r="P21">
        <f t="shared" si="0"/>
        <v>0.90666666666666662</v>
      </c>
    </row>
    <row r="47" spans="11:16" x14ac:dyDescent="0.4">
      <c r="K47" t="s">
        <v>8</v>
      </c>
      <c r="L47" t="s">
        <v>7</v>
      </c>
      <c r="M47" t="s">
        <v>6</v>
      </c>
      <c r="N47" t="s">
        <v>1</v>
      </c>
      <c r="O47" t="s">
        <v>5</v>
      </c>
      <c r="P47" t="str">
        <f>P7</f>
        <v>Обороты б/р</v>
      </c>
    </row>
    <row r="48" spans="11:16" x14ac:dyDescent="0.4">
      <c r="K48">
        <v>20</v>
      </c>
      <c r="L48" s="2">
        <f t="shared" ref="L48:L59" si="1">L10+590</f>
        <v>3570</v>
      </c>
      <c r="M48">
        <v>46</v>
      </c>
      <c r="N48">
        <v>51</v>
      </c>
      <c r="O48">
        <v>37</v>
      </c>
      <c r="P48">
        <f t="shared" ref="P48:P59" si="2">L48/3600</f>
        <v>0.9916666666666667</v>
      </c>
    </row>
    <row r="49" spans="11:16" x14ac:dyDescent="0.4">
      <c r="K49">
        <v>30</v>
      </c>
      <c r="L49" s="2">
        <f t="shared" si="1"/>
        <v>3552</v>
      </c>
      <c r="M49">
        <v>50</v>
      </c>
      <c r="N49">
        <v>66</v>
      </c>
      <c r="O49">
        <v>52</v>
      </c>
      <c r="P49">
        <f t="shared" si="2"/>
        <v>0.98666666666666669</v>
      </c>
    </row>
    <row r="50" spans="11:16" x14ac:dyDescent="0.4">
      <c r="K50">
        <v>40</v>
      </c>
      <c r="L50" s="2">
        <f t="shared" si="1"/>
        <v>3533</v>
      </c>
      <c r="M50">
        <v>55.1</v>
      </c>
      <c r="N50">
        <v>75</v>
      </c>
      <c r="O50">
        <v>62</v>
      </c>
      <c r="P50">
        <f t="shared" si="2"/>
        <v>0.98138888888888887</v>
      </c>
    </row>
    <row r="51" spans="11:16" x14ac:dyDescent="0.4">
      <c r="K51">
        <v>50</v>
      </c>
      <c r="L51" s="2">
        <f t="shared" si="1"/>
        <v>3512</v>
      </c>
      <c r="M51">
        <v>61.5</v>
      </c>
      <c r="N51">
        <v>79</v>
      </c>
      <c r="O51">
        <v>68.599999999999994</v>
      </c>
      <c r="P51">
        <f t="shared" si="2"/>
        <v>0.97555555555555551</v>
      </c>
    </row>
    <row r="52" spans="11:16" x14ac:dyDescent="0.4">
      <c r="K52">
        <v>60</v>
      </c>
      <c r="L52" s="2">
        <f t="shared" si="1"/>
        <v>3490</v>
      </c>
      <c r="M52">
        <v>68</v>
      </c>
      <c r="N52">
        <v>81</v>
      </c>
      <c r="O52">
        <v>73.400000000000006</v>
      </c>
      <c r="P52">
        <f t="shared" si="2"/>
        <v>0.96944444444444444</v>
      </c>
    </row>
    <row r="53" spans="11:16" x14ac:dyDescent="0.4">
      <c r="K53">
        <v>70</v>
      </c>
      <c r="L53" s="2">
        <f t="shared" si="1"/>
        <v>3468</v>
      </c>
      <c r="M53">
        <v>75</v>
      </c>
      <c r="N53">
        <v>82</v>
      </c>
      <c r="O53">
        <v>77.2</v>
      </c>
      <c r="P53">
        <f t="shared" si="2"/>
        <v>0.96333333333333337</v>
      </c>
    </row>
    <row r="54" spans="11:16" x14ac:dyDescent="0.4">
      <c r="K54">
        <v>80</v>
      </c>
      <c r="L54" s="2">
        <f t="shared" si="1"/>
        <v>3445</v>
      </c>
      <c r="M54">
        <v>82.9</v>
      </c>
      <c r="N54">
        <v>82.1</v>
      </c>
      <c r="O54">
        <v>80.2</v>
      </c>
      <c r="P54">
        <f t="shared" si="2"/>
        <v>0.95694444444444449</v>
      </c>
    </row>
    <row r="55" spans="11:16" x14ac:dyDescent="0.4">
      <c r="K55">
        <v>90</v>
      </c>
      <c r="L55" s="2">
        <f t="shared" si="1"/>
        <v>3420</v>
      </c>
      <c r="M55">
        <v>91.5</v>
      </c>
      <c r="N55">
        <v>82</v>
      </c>
      <c r="O55">
        <v>82.2</v>
      </c>
      <c r="P55">
        <f t="shared" si="2"/>
        <v>0.95</v>
      </c>
    </row>
    <row r="56" spans="11:16" x14ac:dyDescent="0.4">
      <c r="K56">
        <v>100</v>
      </c>
      <c r="L56" s="2">
        <f t="shared" si="1"/>
        <v>3393</v>
      </c>
      <c r="M56">
        <v>100</v>
      </c>
      <c r="N56">
        <v>81.8</v>
      </c>
      <c r="O56">
        <v>83.8</v>
      </c>
      <c r="P56">
        <f t="shared" si="2"/>
        <v>0.9425</v>
      </c>
    </row>
    <row r="57" spans="11:16" x14ac:dyDescent="0.4">
      <c r="K57">
        <v>110</v>
      </c>
      <c r="L57" s="2">
        <f t="shared" si="1"/>
        <v>3368</v>
      </c>
      <c r="M57">
        <v>109.2</v>
      </c>
      <c r="N57">
        <v>81.7</v>
      </c>
      <c r="O57">
        <v>85</v>
      </c>
      <c r="P57">
        <f t="shared" si="2"/>
        <v>0.93555555555555558</v>
      </c>
    </row>
    <row r="58" spans="11:16" x14ac:dyDescent="0.4">
      <c r="K58">
        <v>120</v>
      </c>
      <c r="L58" s="2">
        <f t="shared" si="1"/>
        <v>3340</v>
      </c>
      <c r="M58">
        <v>118</v>
      </c>
      <c r="N58">
        <v>81.599999999999994</v>
      </c>
      <c r="O58">
        <v>85.8</v>
      </c>
      <c r="P58">
        <f t="shared" si="2"/>
        <v>0.92777777777777781</v>
      </c>
    </row>
    <row r="59" spans="11:16" x14ac:dyDescent="0.4">
      <c r="K59">
        <v>130</v>
      </c>
      <c r="L59" s="2">
        <f t="shared" si="1"/>
        <v>3310</v>
      </c>
      <c r="M59">
        <v>128</v>
      </c>
      <c r="N59">
        <v>79</v>
      </c>
      <c r="O59">
        <v>86</v>
      </c>
      <c r="P59">
        <f t="shared" si="2"/>
        <v>0.9194444444444444</v>
      </c>
    </row>
    <row r="83" spans="11:23" x14ac:dyDescent="0.4">
      <c r="R83" t="s">
        <v>4</v>
      </c>
    </row>
    <row r="84" spans="11:23" x14ac:dyDescent="0.4">
      <c r="K84" t="s">
        <v>3</v>
      </c>
      <c r="L84">
        <f t="array" ref="L84:Q84">LINEST(M10:M21,K10:K21^COLUMN($A:$E))</f>
        <v>6.0331825037636387E-10</v>
      </c>
      <c r="M84">
        <v>-3.7338886603565336E-7</v>
      </c>
      <c r="N84">
        <v>5.7148978472468945E-5</v>
      </c>
      <c r="O84">
        <v>1.2824797751526958E-4</v>
      </c>
      <c r="P84">
        <v>0.36260074729184555</v>
      </c>
      <c r="Q84">
        <v>36.762237762238591</v>
      </c>
      <c r="R84" s="1">
        <f t="array" ref="R84:W84">LINEST(M48:M59,K48:K59^COLUMN($A:$E))</f>
        <v>2.2624434389121589E-10</v>
      </c>
      <c r="S84" s="1">
        <v>-1.27262443438263E-8</v>
      </c>
      <c r="T84" s="1">
        <v>-2.251216920335386E-5</v>
      </c>
      <c r="U84" s="1">
        <v>6.9138600370222446E-3</v>
      </c>
      <c r="V84" s="1">
        <v>0.11270349993143194</v>
      </c>
      <c r="W84" s="1">
        <v>41.10874125874129</v>
      </c>
    </row>
    <row r="85" spans="11:23" x14ac:dyDescent="0.4">
      <c r="K85" t="s">
        <v>2</v>
      </c>
      <c r="L85">
        <f t="array" ref="L85:Q85">LINEST(L10:L21,K10:K21^COLUMN($A:$E))</f>
        <v>-2.0739064856715134E-9</v>
      </c>
      <c r="M85">
        <v>5.6646784587973671E-7</v>
      </c>
      <c r="N85">
        <v>-4.707424928015027E-5</v>
      </c>
      <c r="O85">
        <v>-4.4622411901810814E-3</v>
      </c>
      <c r="P85">
        <v>-1.5267403674757023</v>
      </c>
      <c r="Q85">
        <v>3012.6643356643362</v>
      </c>
    </row>
    <row r="86" spans="11:23" x14ac:dyDescent="0.4">
      <c r="K86" t="s">
        <v>1</v>
      </c>
      <c r="L86">
        <f t="array" ref="L86:Q86">LINEST(N10:N21,K10:K21^COLUMN($A:$E))</f>
        <v>1.0312971342377973E-8</v>
      </c>
      <c r="M86">
        <v>-4.9337978198251676E-6</v>
      </c>
      <c r="N86">
        <v>9.1411627588066735E-4</v>
      </c>
      <c r="O86">
        <v>-8.3174452385826977E-2</v>
      </c>
      <c r="P86">
        <v>3.730478249690746</v>
      </c>
      <c r="Q86">
        <v>16.133216783225308</v>
      </c>
    </row>
    <row r="87" spans="11:23" x14ac:dyDescent="0.4">
      <c r="K87" t="s">
        <v>0</v>
      </c>
      <c r="L87">
        <f t="array" ref="L87:Q87">LINEST(O10:O21,K10:K21^COLUMN($A:$E))</f>
        <v>-5.4675716440522909E-10</v>
      </c>
      <c r="M87">
        <v>-1.0892293980489404E-7</v>
      </c>
      <c r="N87">
        <v>1.2396904566016207E-4</v>
      </c>
      <c r="O87">
        <v>-2.6538058754966266E-2</v>
      </c>
      <c r="P87">
        <v>2.4109302413271614</v>
      </c>
      <c r="Q87">
        <v>0.39440559440718381</v>
      </c>
    </row>
    <row r="97" spans="11:31" x14ac:dyDescent="0.4">
      <c r="K97">
        <v>0</v>
      </c>
      <c r="M97">
        <f t="shared" ref="M97:M112" si="3">$L$84*K97^5+$M$84*K97^4+$N$84*K97^3+$O$84*K97^2+$P$84*K97+$Q$84</f>
        <v>36.762237762238591</v>
      </c>
      <c r="N97">
        <f t="shared" ref="N97:N112" si="4">$R$84*K97^5+$S$84*K97^4+$T$84*K97^3+$U$84*K97^2+$V$84*K97+$W$84</f>
        <v>41.10874125874129</v>
      </c>
      <c r="P97">
        <f t="shared" ref="P97:P116" si="5">K97</f>
        <v>0</v>
      </c>
      <c r="R97">
        <f t="shared" ref="R97:R112" si="6">$L$84*P97^5+$M$84*P97^4+$N$84*P97^3+$O$84*P97^2+$P$84*P97+$Q$84</f>
        <v>36.762237762238591</v>
      </c>
      <c r="S97">
        <f t="shared" ref="S97:S116" si="7">$L$85*P97^5+$M$85*P97^4+$N$85*P97^3+$O$85*P97^2+$P$85*P97+$Q$85</f>
        <v>3012.6643356643362</v>
      </c>
      <c r="T97">
        <f t="shared" ref="T97:T116" si="8">$L$86*P97^5+$M$86*P97^4+$N$86*P97^3+$O$86*P97^2+$P$86*P97+$Q$86</f>
        <v>16.133216783225308</v>
      </c>
      <c r="U97">
        <f t="shared" ref="U97:U116" si="9">$L$87*P97^5+$M$87*P97^4+$N$87*P97^3+$O$87*P97^2+$P$87*P97+$Q$87</f>
        <v>0.39440559440718381</v>
      </c>
      <c r="X97" t="e">
        <f ca="1">[2]!motor_rot_speed_default_rmp(P97,50)</f>
        <v>#NAME?</v>
      </c>
      <c r="Y97" t="e">
        <f t="shared" ref="Y97:Y116" ca="1" si="10">X97-S97</f>
        <v>#NAME?</v>
      </c>
      <c r="Z97" t="e">
        <f ca="1">[2]!motor_current_default_d(K97)</f>
        <v>#NAME?</v>
      </c>
      <c r="AA97" t="e">
        <f t="shared" ref="AA97:AA112" ca="1" si="11">Z97-R97/100</f>
        <v>#NAME?</v>
      </c>
      <c r="AB97" t="e">
        <f ca="1">[2]!motor_eff_default_d(P97)</f>
        <v>#NAME?</v>
      </c>
      <c r="AC97" t="e">
        <f t="shared" ref="AC97:AC116" ca="1" si="12">AB97-T97/100</f>
        <v>#NAME?</v>
      </c>
      <c r="AD97" t="e">
        <f ca="1">[2]!motor_cosphi_default_d(P97)</f>
        <v>#NAME?</v>
      </c>
      <c r="AE97" t="e">
        <f t="shared" ref="AE97:AE116" ca="1" si="13">AD97-U97</f>
        <v>#NAME?</v>
      </c>
    </row>
    <row r="98" spans="11:31" x14ac:dyDescent="0.4">
      <c r="K98">
        <v>10</v>
      </c>
      <c r="M98">
        <f t="shared" si="3"/>
        <v>40.454545454545723</v>
      </c>
      <c r="N98">
        <f t="shared" si="4"/>
        <v>42.904545454545428</v>
      </c>
      <c r="P98">
        <f t="shared" si="5"/>
        <v>10</v>
      </c>
      <c r="R98">
        <f t="shared" si="6"/>
        <v>40.454545454545723</v>
      </c>
      <c r="S98">
        <f t="shared" si="7"/>
        <v>2996.909090909091</v>
      </c>
      <c r="T98">
        <f t="shared" si="8"/>
        <v>45.986363636366725</v>
      </c>
      <c r="U98">
        <f t="shared" si="9"/>
        <v>21.972727272727845</v>
      </c>
      <c r="X98" t="e">
        <f ca="1">[2]!motor_rot_speed_default_rmp(P98,50)</f>
        <v>#NAME?</v>
      </c>
      <c r="Y98" t="e">
        <f t="shared" ca="1" si="10"/>
        <v>#NAME?</v>
      </c>
      <c r="Z98" t="e">
        <f ca="1">[2]!motor_current_default_d(K98)</f>
        <v>#NAME?</v>
      </c>
      <c r="AA98" t="e">
        <f t="shared" ca="1" si="11"/>
        <v>#NAME?</v>
      </c>
      <c r="AB98" t="e">
        <f ca="1">[2]!motor_eff_default_d(P98)</f>
        <v>#NAME?</v>
      </c>
      <c r="AC98" t="e">
        <f t="shared" ca="1" si="12"/>
        <v>#NAME?</v>
      </c>
      <c r="AD98" t="e">
        <f ca="1">[2]!motor_cosphi_default_d(P98)</f>
        <v>#NAME?</v>
      </c>
      <c r="AE98" t="e">
        <f t="shared" ca="1" si="13"/>
        <v>#NAME?</v>
      </c>
    </row>
    <row r="99" spans="11:31" x14ac:dyDescent="0.4">
      <c r="K99">
        <v>20</v>
      </c>
      <c r="M99">
        <f t="shared" si="3"/>
        <v>44.464932126696858</v>
      </c>
      <c r="N99">
        <f t="shared" si="4"/>
        <v>45.946945701357436</v>
      </c>
      <c r="P99">
        <f t="shared" si="5"/>
        <v>20</v>
      </c>
      <c r="R99">
        <f t="shared" si="6"/>
        <v>44.464932126696858</v>
      </c>
      <c r="S99">
        <f t="shared" si="7"/>
        <v>2980.0520361990953</v>
      </c>
      <c r="T99">
        <f t="shared" si="8"/>
        <v>64.029524886878363</v>
      </c>
      <c r="U99">
        <f t="shared" si="9"/>
        <v>38.970361990950316</v>
      </c>
      <c r="X99" t="e">
        <f ca="1">[2]!motor_rot_speed_default_rmp(P99,50)</f>
        <v>#NAME?</v>
      </c>
      <c r="Y99" t="e">
        <f t="shared" ca="1" si="10"/>
        <v>#NAME?</v>
      </c>
      <c r="Z99" t="e">
        <f ca="1">[2]!motor_current_default_d(K99)</f>
        <v>#NAME?</v>
      </c>
      <c r="AA99" t="e">
        <f t="shared" ca="1" si="11"/>
        <v>#NAME?</v>
      </c>
      <c r="AB99" t="e">
        <f ca="1">[2]!motor_eff_default_d(P99)</f>
        <v>#NAME?</v>
      </c>
      <c r="AC99" t="e">
        <f t="shared" ca="1" si="12"/>
        <v>#NAME?</v>
      </c>
      <c r="AD99" t="e">
        <f ca="1">[2]!motor_cosphi_default_d(P99)</f>
        <v>#NAME?</v>
      </c>
      <c r="AE99" t="e">
        <f t="shared" ca="1" si="13"/>
        <v>#NAME?</v>
      </c>
    </row>
    <row r="100" spans="11:31" x14ac:dyDescent="0.4">
      <c r="K100">
        <v>30</v>
      </c>
      <c r="M100">
        <f t="shared" si="3"/>
        <v>49.01092143150963</v>
      </c>
      <c r="N100">
        <f t="shared" si="4"/>
        <v>50.099681201151768</v>
      </c>
      <c r="P100">
        <f t="shared" si="5"/>
        <v>30</v>
      </c>
      <c r="R100">
        <f t="shared" si="6"/>
        <v>49.01092143150963</v>
      </c>
      <c r="S100">
        <f t="shared" si="7"/>
        <v>2961.983545865899</v>
      </c>
      <c r="T100">
        <f t="shared" si="8"/>
        <v>74.125925545042833</v>
      </c>
      <c r="U100">
        <f t="shared" si="9"/>
        <v>52.083710407239742</v>
      </c>
      <c r="X100" t="e">
        <f ca="1">[2]!motor_rot_speed_default_rmp(P100,50)</f>
        <v>#NAME?</v>
      </c>
      <c r="Y100" t="e">
        <f t="shared" ca="1" si="10"/>
        <v>#NAME?</v>
      </c>
      <c r="Z100" t="e">
        <f ca="1">[2]!motor_current_default_d(K100)</f>
        <v>#NAME?</v>
      </c>
      <c r="AA100" t="e">
        <f t="shared" ca="1" si="11"/>
        <v>#NAME?</v>
      </c>
      <c r="AB100" t="e">
        <f ca="1">[2]!motor_eff_default_d(P100)</f>
        <v>#NAME?</v>
      </c>
      <c r="AC100" t="e">
        <f t="shared" ca="1" si="12"/>
        <v>#NAME?</v>
      </c>
      <c r="AD100" t="e">
        <f ca="1">[2]!motor_cosphi_default_d(P100)</f>
        <v>#NAME?</v>
      </c>
      <c r="AE100" t="e">
        <f t="shared" ca="1" si="13"/>
        <v>#NAME?</v>
      </c>
    </row>
    <row r="101" spans="11:31" x14ac:dyDescent="0.4">
      <c r="K101">
        <v>40</v>
      </c>
      <c r="M101">
        <f t="shared" si="3"/>
        <v>54.234903331962123</v>
      </c>
      <c r="N101">
        <f t="shared" si="4"/>
        <v>55.228866721513775</v>
      </c>
      <c r="P101">
        <f t="shared" si="5"/>
        <v>40</v>
      </c>
      <c r="R101">
        <f t="shared" si="6"/>
        <v>54.234903331962123</v>
      </c>
      <c r="S101">
        <f t="shared" si="7"/>
        <v>2942.6801727684083</v>
      </c>
      <c r="T101">
        <f t="shared" si="8"/>
        <v>79.202190456601784</v>
      </c>
      <c r="U101">
        <f t="shared" si="9"/>
        <v>61.969909502262361</v>
      </c>
      <c r="X101" t="e">
        <f ca="1">[2]!motor_rot_speed_default_rmp(P101,50)</f>
        <v>#NAME?</v>
      </c>
      <c r="Y101" t="e">
        <f t="shared" ca="1" si="10"/>
        <v>#NAME?</v>
      </c>
      <c r="Z101" t="e">
        <f ca="1">[2]!motor_current_default_d(K101)</f>
        <v>#NAME?</v>
      </c>
      <c r="AA101" t="e">
        <f t="shared" ca="1" si="11"/>
        <v>#NAME?</v>
      </c>
      <c r="AB101" t="e">
        <f ca="1">[2]!motor_eff_default_d(P101)</f>
        <v>#NAME?</v>
      </c>
      <c r="AC101" t="e">
        <f t="shared" ca="1" si="12"/>
        <v>#NAME?</v>
      </c>
      <c r="AD101" t="e">
        <f ca="1">[2]!motor_cosphi_default_d(P101)</f>
        <v>#NAME?</v>
      </c>
      <c r="AE101" t="e">
        <f t="shared" ca="1" si="13"/>
        <v>#NAME?</v>
      </c>
    </row>
    <row r="102" spans="11:31" x14ac:dyDescent="0.4">
      <c r="K102">
        <v>50</v>
      </c>
      <c r="M102">
        <f t="shared" si="3"/>
        <v>60.211373920197438</v>
      </c>
      <c r="N102">
        <f t="shared" si="4"/>
        <v>61.205707527766357</v>
      </c>
      <c r="P102">
        <f t="shared" si="5"/>
        <v>50</v>
      </c>
      <c r="R102">
        <f t="shared" si="6"/>
        <v>60.211373920197438</v>
      </c>
      <c r="S102">
        <f t="shared" si="7"/>
        <v>2922.1797614150555</v>
      </c>
      <c r="T102">
        <f t="shared" si="8"/>
        <v>81.37209995886441</v>
      </c>
      <c r="U102">
        <f t="shared" si="9"/>
        <v>69.240271493212632</v>
      </c>
      <c r="X102" t="e">
        <f ca="1">[2]!motor_rot_speed_default_rmp(P102,50)</f>
        <v>#NAME?</v>
      </c>
      <c r="Y102" t="e">
        <f t="shared" ca="1" si="10"/>
        <v>#NAME?</v>
      </c>
      <c r="Z102" t="e">
        <f ca="1">[2]!motor_current_default_d(K102)</f>
        <v>#NAME?</v>
      </c>
      <c r="AA102" t="e">
        <f t="shared" ca="1" si="11"/>
        <v>#NAME?</v>
      </c>
      <c r="AB102" t="e">
        <f ca="1">[2]!motor_eff_default_d(P102)</f>
        <v>#NAME?</v>
      </c>
      <c r="AC102" t="e">
        <f t="shared" ca="1" si="12"/>
        <v>#NAME?</v>
      </c>
      <c r="AD102" t="e">
        <f ca="1">[2]!motor_cosphi_default_d(P102)</f>
        <v>#NAME?</v>
      </c>
      <c r="AE102" t="e">
        <f t="shared" ca="1" si="13"/>
        <v>#NAME?</v>
      </c>
    </row>
    <row r="103" spans="11:31" x14ac:dyDescent="0.4">
      <c r="K103">
        <v>60</v>
      </c>
      <c r="M103">
        <f t="shared" si="3"/>
        <v>66.954175236528187</v>
      </c>
      <c r="N103">
        <f t="shared" si="4"/>
        <v>67.909214315096676</v>
      </c>
      <c r="P103">
        <f t="shared" si="5"/>
        <v>60</v>
      </c>
      <c r="R103">
        <f t="shared" si="6"/>
        <v>66.954175236528187</v>
      </c>
      <c r="S103">
        <f t="shared" si="7"/>
        <v>2900.556561085973</v>
      </c>
      <c r="T103">
        <f t="shared" si="8"/>
        <v>82.060345536816058</v>
      </c>
      <c r="U103">
        <f t="shared" si="9"/>
        <v>74.453722747840388</v>
      </c>
      <c r="X103" t="e">
        <f ca="1">[2]!motor_rot_speed_default_rmp(P103,50)</f>
        <v>#NAME?</v>
      </c>
      <c r="Y103" t="e">
        <f t="shared" ca="1" si="10"/>
        <v>#NAME?</v>
      </c>
      <c r="Z103" t="e">
        <f ca="1">[2]!motor_current_default_d(K103)</f>
        <v>#NAME?</v>
      </c>
      <c r="AA103" t="e">
        <f t="shared" ca="1" si="11"/>
        <v>#NAME?</v>
      </c>
      <c r="AB103" t="e">
        <f ca="1">[2]!motor_eff_default_d(P103)</f>
        <v>#NAME?</v>
      </c>
      <c r="AC103" t="e">
        <f t="shared" ca="1" si="12"/>
        <v>#NAME?</v>
      </c>
      <c r="AD103" t="e">
        <f ca="1">[2]!motor_cosphi_default_d(P103)</f>
        <v>#NAME?</v>
      </c>
      <c r="AE103" t="e">
        <f t="shared" ca="1" si="13"/>
        <v>#NAME?</v>
      </c>
    </row>
    <row r="104" spans="11:31" x14ac:dyDescent="0.4">
      <c r="K104">
        <v>70</v>
      </c>
      <c r="M104">
        <f t="shared" si="3"/>
        <v>74.423735088440964</v>
      </c>
      <c r="N104">
        <f t="shared" si="4"/>
        <v>75.22891814068285</v>
      </c>
      <c r="P104">
        <f t="shared" si="5"/>
        <v>70</v>
      </c>
      <c r="R104">
        <f t="shared" si="6"/>
        <v>74.423735088440964</v>
      </c>
      <c r="S104">
        <f t="shared" si="7"/>
        <v>2877.8963389551627</v>
      </c>
      <c r="T104">
        <f t="shared" si="8"/>
        <v>82.126285479226667</v>
      </c>
      <c r="U104">
        <f t="shared" si="9"/>
        <v>78.11024269847799</v>
      </c>
      <c r="X104" t="e">
        <f ca="1">[2]!motor_rot_speed_default_rmp(P104,50)</f>
        <v>#NAME?</v>
      </c>
      <c r="Y104" t="e">
        <f t="shared" ca="1" si="10"/>
        <v>#NAME?</v>
      </c>
      <c r="Z104" t="e">
        <f ca="1">[2]!motor_current_default_d(K104)</f>
        <v>#NAME?</v>
      </c>
      <c r="AA104" t="e">
        <f t="shared" ca="1" si="11"/>
        <v>#NAME?</v>
      </c>
      <c r="AB104" t="e">
        <f ca="1">[2]!motor_eff_default_d(P104)</f>
        <v>#NAME?</v>
      </c>
      <c r="AC104" t="e">
        <f t="shared" ca="1" si="12"/>
        <v>#NAME?</v>
      </c>
      <c r="AD104" t="e">
        <f ca="1">[2]!motor_cosphi_default_d(P104)</f>
        <v>#NAME?</v>
      </c>
      <c r="AE104" t="e">
        <f t="shared" ca="1" si="13"/>
        <v>#NAME?</v>
      </c>
    </row>
    <row r="105" spans="11:31" x14ac:dyDescent="0.4">
      <c r="K105">
        <v>80</v>
      </c>
      <c r="M105">
        <f t="shared" si="3"/>
        <v>82.534306869600968</v>
      </c>
      <c r="N105">
        <f t="shared" si="4"/>
        <v>83.067585355820654</v>
      </c>
      <c r="P105">
        <f t="shared" si="5"/>
        <v>80</v>
      </c>
      <c r="R105">
        <f t="shared" si="6"/>
        <v>82.534306869600968</v>
      </c>
      <c r="S105">
        <f t="shared" si="7"/>
        <v>2854.2714932126696</v>
      </c>
      <c r="T105">
        <f t="shared" si="8"/>
        <v>81.987700534759327</v>
      </c>
      <c r="U105">
        <f t="shared" si="9"/>
        <v>80.644302756067475</v>
      </c>
      <c r="X105" t="e">
        <f ca="1">[2]!motor_rot_speed_default_rmp(P105,50)</f>
        <v>#NAME?</v>
      </c>
      <c r="Y105" t="e">
        <f t="shared" ca="1" si="10"/>
        <v>#NAME?</v>
      </c>
      <c r="Z105" t="e">
        <f ca="1">[2]!motor_current_default_d(K105)</f>
        <v>#NAME?</v>
      </c>
      <c r="AA105" t="e">
        <f t="shared" ca="1" si="11"/>
        <v>#NAME?</v>
      </c>
      <c r="AB105" t="e">
        <f ca="1">[2]!motor_eff_default_d(P105)</f>
        <v>#NAME?</v>
      </c>
      <c r="AC105" t="e">
        <f t="shared" ca="1" si="12"/>
        <v>#NAME?</v>
      </c>
      <c r="AD105" t="e">
        <f ca="1">[2]!motor_cosphi_default_d(P105)</f>
        <v>#NAME?</v>
      </c>
      <c r="AE105" t="e">
        <f t="shared" ca="1" si="13"/>
        <v>#NAME?</v>
      </c>
    </row>
    <row r="106" spans="11:31" x14ac:dyDescent="0.4">
      <c r="K106">
        <v>90</v>
      </c>
      <c r="M106">
        <f t="shared" si="3"/>
        <v>91.161209378856412</v>
      </c>
      <c r="N106">
        <f t="shared" si="4"/>
        <v>91.343932538050183</v>
      </c>
      <c r="P106">
        <f t="shared" si="5"/>
        <v>90</v>
      </c>
      <c r="R106">
        <f t="shared" si="6"/>
        <v>91.161209378856412</v>
      </c>
      <c r="S106">
        <f t="shared" si="7"/>
        <v>2829.7161661867544</v>
      </c>
      <c r="T106">
        <f t="shared" si="8"/>
        <v>81.744549568078881</v>
      </c>
      <c r="U106">
        <f t="shared" si="9"/>
        <v>82.418305224187563</v>
      </c>
      <c r="X106" t="e">
        <f ca="1">[2]!motor_rot_speed_default_rmp(P106,50)</f>
        <v>#NAME?</v>
      </c>
      <c r="Y106" t="e">
        <f t="shared" ca="1" si="10"/>
        <v>#NAME?</v>
      </c>
      <c r="Z106" t="e">
        <f ca="1">[2]!motor_current_default_d(K106)</f>
        <v>#NAME?</v>
      </c>
      <c r="AA106" t="e">
        <f t="shared" ca="1" si="11"/>
        <v>#NAME?</v>
      </c>
      <c r="AB106" t="e">
        <f ca="1">[2]!motor_eff_default_d(P106)</f>
        <v>#NAME?</v>
      </c>
      <c r="AC106" t="e">
        <f t="shared" ca="1" si="12"/>
        <v>#NAME?</v>
      </c>
      <c r="AD106" t="e">
        <f ca="1">[2]!motor_cosphi_default_d(P106)</f>
        <v>#NAME?</v>
      </c>
      <c r="AE106" t="e">
        <f t="shared" ca="1" si="13"/>
        <v>#NAME?</v>
      </c>
    </row>
    <row r="107" spans="11:31" x14ac:dyDescent="0.4">
      <c r="K107">
        <v>100</v>
      </c>
      <c r="M107">
        <f t="shared" si="3"/>
        <v>100.1480666392431</v>
      </c>
      <c r="N107">
        <f t="shared" si="4"/>
        <v>99.995341423282611</v>
      </c>
      <c r="P107">
        <f t="shared" si="5"/>
        <v>100</v>
      </c>
      <c r="R107">
        <f t="shared" si="6"/>
        <v>100.1480666392431</v>
      </c>
      <c r="S107">
        <f t="shared" si="7"/>
        <v>2804.2013574660637</v>
      </c>
      <c r="T107">
        <f t="shared" si="8"/>
        <v>81.302725215960393</v>
      </c>
      <c r="U107">
        <f t="shared" si="9"/>
        <v>83.716022213081047</v>
      </c>
      <c r="X107" t="e">
        <f ca="1">[2]!motor_rot_speed_default_rmp(P107,50)</f>
        <v>#NAME?</v>
      </c>
      <c r="Y107" t="e">
        <f t="shared" ca="1" si="10"/>
        <v>#NAME?</v>
      </c>
      <c r="Z107" t="e">
        <f ca="1">[2]!motor_current_default_d(K107)</f>
        <v>#NAME?</v>
      </c>
      <c r="AA107" t="e">
        <f t="shared" ca="1" si="11"/>
        <v>#NAME?</v>
      </c>
      <c r="AB107" t="e">
        <f ca="1">[2]!motor_eff_default_d(P107)</f>
        <v>#NAME?</v>
      </c>
      <c r="AC107" t="e">
        <f t="shared" ca="1" si="12"/>
        <v>#NAME?</v>
      </c>
      <c r="AD107" t="e">
        <f ca="1">[2]!motor_cosphi_default_d(P107)</f>
        <v>#NAME?</v>
      </c>
      <c r="AE107" t="e">
        <f t="shared" ca="1" si="13"/>
        <v>#NAME?</v>
      </c>
    </row>
    <row r="108" spans="11:31" x14ac:dyDescent="0.4">
      <c r="K108">
        <v>110</v>
      </c>
      <c r="M108">
        <f t="shared" si="3"/>
        <v>109.31404771698888</v>
      </c>
      <c r="N108">
        <f t="shared" si="4"/>
        <v>108.9805738379268</v>
      </c>
      <c r="P108">
        <f t="shared" si="5"/>
        <v>110</v>
      </c>
      <c r="R108">
        <f t="shared" si="6"/>
        <v>109.31404771698888</v>
      </c>
      <c r="S108">
        <f t="shared" si="7"/>
        <v>2777.6100370218019</v>
      </c>
      <c r="T108">
        <f t="shared" si="8"/>
        <v>80.497809543397992</v>
      </c>
      <c r="U108">
        <f t="shared" si="9"/>
        <v>84.736034553681648</v>
      </c>
      <c r="X108" t="e">
        <f ca="1">[2]!motor_rot_speed_default_rmp(P108,50)</f>
        <v>#NAME?</v>
      </c>
      <c r="Y108" t="e">
        <f t="shared" ca="1" si="10"/>
        <v>#NAME?</v>
      </c>
      <c r="Z108" t="e">
        <f ca="1">[2]!motor_current_default_d(K108)</f>
        <v>#NAME?</v>
      </c>
      <c r="AA108" t="e">
        <f t="shared" ca="1" si="11"/>
        <v>#NAME?</v>
      </c>
      <c r="AB108" t="e">
        <f ca="1">[2]!motor_eff_default_d(P108)</f>
        <v>#NAME?</v>
      </c>
      <c r="AC108" t="e">
        <f t="shared" ca="1" si="12"/>
        <v>#NAME?</v>
      </c>
      <c r="AD108" t="e">
        <f ca="1">[2]!motor_cosphi_default_d(P108)</f>
        <v>#NAME?</v>
      </c>
      <c r="AE108" t="e">
        <f t="shared" ca="1" si="13"/>
        <v>#NAME?</v>
      </c>
    </row>
    <row r="109" spans="11:31" x14ac:dyDescent="0.4">
      <c r="K109">
        <v>120</v>
      </c>
      <c r="M109">
        <f t="shared" si="3"/>
        <v>118.46110654051833</v>
      </c>
      <c r="N109">
        <f t="shared" si="4"/>
        <v>118.28248663101607</v>
      </c>
      <c r="P109">
        <f t="shared" si="5"/>
        <v>120</v>
      </c>
      <c r="R109">
        <f t="shared" si="6"/>
        <v>118.46110654051833</v>
      </c>
      <c r="S109">
        <f t="shared" si="7"/>
        <v>2749.7122583299056</v>
      </c>
      <c r="T109">
        <f t="shared" si="8"/>
        <v>79.218829699712515</v>
      </c>
      <c r="U109">
        <f t="shared" si="9"/>
        <v>85.585170711641339</v>
      </c>
      <c r="X109" t="e">
        <f ca="1">[2]!motor_rot_speed_default_rmp(P109,50)</f>
        <v>#NAME?</v>
      </c>
      <c r="Y109" t="e">
        <f t="shared" ca="1" si="10"/>
        <v>#NAME?</v>
      </c>
      <c r="Z109" t="e">
        <f ca="1">[2]!motor_current_default_d(K109)</f>
        <v>#NAME?</v>
      </c>
      <c r="AA109" t="e">
        <f t="shared" ca="1" si="11"/>
        <v>#NAME?</v>
      </c>
      <c r="AB109" t="e">
        <f ca="1">[2]!motor_eff_default_d(P109)</f>
        <v>#NAME?</v>
      </c>
      <c r="AC109" t="e">
        <f t="shared" ca="1" si="12"/>
        <v>#NAME?</v>
      </c>
      <c r="AD109" t="e">
        <f ca="1">[2]!motor_cosphi_default_d(P109)</f>
        <v>#NAME?</v>
      </c>
      <c r="AE109" t="e">
        <f t="shared" ca="1" si="13"/>
        <v>#NAME?</v>
      </c>
    </row>
    <row r="110" spans="11:31" x14ac:dyDescent="0.4">
      <c r="K110">
        <v>130</v>
      </c>
      <c r="M110">
        <f t="shared" si="3"/>
        <v>127.38122171945702</v>
      </c>
      <c r="N110">
        <f t="shared" si="4"/>
        <v>127.91074660633485</v>
      </c>
      <c r="P110">
        <f t="shared" si="5"/>
        <v>130</v>
      </c>
      <c r="R110">
        <f t="shared" si="6"/>
        <v>127.38122171945702</v>
      </c>
      <c r="S110">
        <f t="shared" si="7"/>
        <v>2720.1402714932128</v>
      </c>
      <c r="T110">
        <f t="shared" si="8"/>
        <v>77.532013574660837</v>
      </c>
      <c r="U110">
        <f t="shared" si="9"/>
        <v>86.271945701357467</v>
      </c>
      <c r="X110" t="e">
        <f ca="1">[2]!motor_rot_speed_default_rmp(P110,50)</f>
        <v>#NAME?</v>
      </c>
      <c r="Y110" t="e">
        <f t="shared" ca="1" si="10"/>
        <v>#NAME?</v>
      </c>
      <c r="Z110" t="e">
        <f ca="1">[2]!motor_current_default_d(K110)</f>
        <v>#NAME?</v>
      </c>
      <c r="AA110" t="e">
        <f t="shared" ca="1" si="11"/>
        <v>#NAME?</v>
      </c>
      <c r="AB110" t="e">
        <f ca="1">[2]!motor_eff_default_d(P110)</f>
        <v>#NAME?</v>
      </c>
      <c r="AC110" t="e">
        <f t="shared" ca="1" si="12"/>
        <v>#NAME?</v>
      </c>
      <c r="AD110" t="e">
        <f ca="1">[2]!motor_cosphi_default_d(P110)</f>
        <v>#NAME?</v>
      </c>
      <c r="AE110" t="e">
        <f t="shared" ca="1" si="13"/>
        <v>#NAME?</v>
      </c>
    </row>
    <row r="111" spans="11:31" x14ac:dyDescent="0.4">
      <c r="K111">
        <v>140</v>
      </c>
      <c r="M111">
        <f t="shared" si="3"/>
        <v>135.86363636363618</v>
      </c>
      <c r="N111">
        <f t="shared" si="4"/>
        <v>137.90454545454537</v>
      </c>
      <c r="P111">
        <f t="shared" si="5"/>
        <v>140</v>
      </c>
      <c r="R111">
        <f t="shared" si="6"/>
        <v>135.86363636363618</v>
      </c>
      <c r="S111">
        <f t="shared" si="7"/>
        <v>2688.3636363636365</v>
      </c>
      <c r="T111">
        <f t="shared" si="8"/>
        <v>75.804545454545078</v>
      </c>
      <c r="U111">
        <f t="shared" si="9"/>
        <v>86.699999999999804</v>
      </c>
      <c r="X111" t="e">
        <f ca="1">[2]!motor_rot_speed_default_rmp(P111,50)</f>
        <v>#NAME?</v>
      </c>
      <c r="Y111" t="e">
        <f t="shared" ca="1" si="10"/>
        <v>#NAME?</v>
      </c>
      <c r="Z111" t="e">
        <f ca="1">[2]!motor_current_default_d(K111)</f>
        <v>#NAME?</v>
      </c>
      <c r="AA111" t="e">
        <f t="shared" ca="1" si="11"/>
        <v>#NAME?</v>
      </c>
      <c r="AB111" t="e">
        <f ca="1">[2]!motor_eff_default_d(P111)</f>
        <v>#NAME?</v>
      </c>
      <c r="AC111" t="e">
        <f t="shared" ca="1" si="12"/>
        <v>#NAME?</v>
      </c>
      <c r="AD111" t="e">
        <f ca="1">[2]!motor_cosphi_default_d(P111)</f>
        <v>#NAME?</v>
      </c>
      <c r="AE111" t="e">
        <f t="shared" ca="1" si="13"/>
        <v>#NAME?</v>
      </c>
    </row>
    <row r="112" spans="11:31" x14ac:dyDescent="0.4">
      <c r="K112">
        <v>150</v>
      </c>
      <c r="M112">
        <f t="shared" si="3"/>
        <v>143.70209790209725</v>
      </c>
      <c r="N112">
        <f t="shared" si="4"/>
        <v>148.33531468531447</v>
      </c>
      <c r="P112">
        <f t="shared" si="5"/>
        <v>150</v>
      </c>
      <c r="R112">
        <f t="shared" si="6"/>
        <v>143.70209790209725</v>
      </c>
      <c r="S112">
        <f t="shared" si="7"/>
        <v>2653.6643356643353</v>
      </c>
      <c r="T112">
        <f t="shared" si="8"/>
        <v>74.828321678318858</v>
      </c>
      <c r="U112">
        <f t="shared" si="9"/>
        <v>86.661538461537688</v>
      </c>
      <c r="X112" t="e">
        <f ca="1">[2]!motor_rot_speed_default_rmp(P112,50)</f>
        <v>#NAME?</v>
      </c>
      <c r="Y112" t="e">
        <f t="shared" ca="1" si="10"/>
        <v>#NAME?</v>
      </c>
      <c r="Z112" t="e">
        <f ca="1">[2]!motor_current_default_d(K112)</f>
        <v>#NAME?</v>
      </c>
      <c r="AA112" t="e">
        <f t="shared" ca="1" si="11"/>
        <v>#NAME?</v>
      </c>
      <c r="AB112" t="e">
        <f ca="1">[2]!motor_eff_default_d(P112)</f>
        <v>#NAME?</v>
      </c>
      <c r="AC112" t="e">
        <f t="shared" ca="1" si="12"/>
        <v>#NAME?</v>
      </c>
      <c r="AD112" t="e">
        <f ca="1">[2]!motor_cosphi_default_d(P112)</f>
        <v>#NAME?</v>
      </c>
      <c r="AE112" t="e">
        <f t="shared" ca="1" si="13"/>
        <v>#NAME?</v>
      </c>
    </row>
    <row r="113" spans="11:31" x14ac:dyDescent="0.4">
      <c r="K113">
        <v>160</v>
      </c>
      <c r="P113">
        <f t="shared" si="5"/>
        <v>160</v>
      </c>
      <c r="S113">
        <f t="shared" si="7"/>
        <v>2615.1118881118878</v>
      </c>
      <c r="T113">
        <f t="shared" si="8"/>
        <v>75.943706293698042</v>
      </c>
      <c r="U113">
        <f t="shared" si="9"/>
        <v>85.830769230767359</v>
      </c>
      <c r="X113" t="e">
        <f ca="1">[2]!motor_rot_speed_default_rmp(P113,50)</f>
        <v>#NAME?</v>
      </c>
      <c r="Y113" t="e">
        <f t="shared" ca="1" si="10"/>
        <v>#NAME?</v>
      </c>
      <c r="Z113" t="e">
        <f ca="1">[2]!motor_current_default_d(K113)</f>
        <v>#NAME?</v>
      </c>
      <c r="AB113" t="e">
        <f ca="1">[2]!motor_eff_default_d(P113)</f>
        <v>#NAME?</v>
      </c>
      <c r="AC113" t="e">
        <f t="shared" ca="1" si="12"/>
        <v>#NAME?</v>
      </c>
      <c r="AD113" t="e">
        <f ca="1">[2]!motor_cosphi_default_d(P113)</f>
        <v>#NAME?</v>
      </c>
      <c r="AE113" t="e">
        <f t="shared" ca="1" si="13"/>
        <v>#NAME?</v>
      </c>
    </row>
    <row r="114" spans="11:31" x14ac:dyDescent="0.4">
      <c r="K114">
        <v>170</v>
      </c>
      <c r="P114">
        <f t="shared" si="5"/>
        <v>170</v>
      </c>
      <c r="S114">
        <f t="shared" si="7"/>
        <v>2571.5384615384605</v>
      </c>
      <c r="T114">
        <f t="shared" si="8"/>
        <v>81.1632867132695</v>
      </c>
      <c r="U114">
        <f t="shared" si="9"/>
        <v>83.757342657338697</v>
      </c>
      <c r="X114" t="e">
        <f ca="1">[2]!motor_rot_speed_default_rmp(P114,50)</f>
        <v>#NAME?</v>
      </c>
      <c r="Y114" t="e">
        <f t="shared" ca="1" si="10"/>
        <v>#NAME?</v>
      </c>
      <c r="Z114" t="e">
        <f ca="1">[2]!motor_current_default_d(K114)</f>
        <v>#NAME?</v>
      </c>
      <c r="AB114" t="e">
        <f ca="1">[2]!motor_eff_default_d(P114)</f>
        <v>#NAME?</v>
      </c>
      <c r="AC114" t="e">
        <f t="shared" ca="1" si="12"/>
        <v>#NAME?</v>
      </c>
      <c r="AD114" t="e">
        <f ca="1">[2]!motor_cosphi_default_d(P114)</f>
        <v>#NAME?</v>
      </c>
      <c r="AE114" t="e">
        <f t="shared" ca="1" si="13"/>
        <v>#NAME?</v>
      </c>
    </row>
    <row r="115" spans="11:31" x14ac:dyDescent="0.4">
      <c r="K115">
        <v>180</v>
      </c>
      <c r="P115">
        <f t="shared" si="5"/>
        <v>180</v>
      </c>
      <c r="S115">
        <f t="shared" si="7"/>
        <v>2521.5139860139839</v>
      </c>
      <c r="T115">
        <f t="shared" si="8"/>
        <v>93.295629370595648</v>
      </c>
      <c r="U115">
        <f t="shared" si="9"/>
        <v>79.859790209782872</v>
      </c>
      <c r="X115" t="e">
        <f ca="1">[2]!motor_rot_speed_default_rmp(P115,50)</f>
        <v>#NAME?</v>
      </c>
      <c r="Y115" t="e">
        <f t="shared" ca="1" si="10"/>
        <v>#NAME?</v>
      </c>
      <c r="Z115" t="e">
        <f ca="1">[2]!motor_current_default_d(K115)</f>
        <v>#NAME?</v>
      </c>
      <c r="AB115" t="e">
        <f ca="1">[2]!motor_eff_default_d(P115)</f>
        <v>#NAME?</v>
      </c>
      <c r="AC115" t="e">
        <f t="shared" ca="1" si="12"/>
        <v>#NAME?</v>
      </c>
      <c r="AD115" t="e">
        <f ca="1">[2]!motor_cosphi_default_d(P115)</f>
        <v>#NAME?</v>
      </c>
      <c r="AE115" t="e">
        <f t="shared" ca="1" si="13"/>
        <v>#NAME?</v>
      </c>
    </row>
    <row r="116" spans="11:31" x14ac:dyDescent="0.4">
      <c r="K116">
        <v>190</v>
      </c>
      <c r="P116">
        <f t="shared" si="5"/>
        <v>190</v>
      </c>
      <c r="S116">
        <f t="shared" si="7"/>
        <v>2463.3212669683217</v>
      </c>
      <c r="T116">
        <f t="shared" si="8"/>
        <v>116.06903537632878</v>
      </c>
      <c r="U116">
        <f t="shared" si="9"/>
        <v>73.41896338953903</v>
      </c>
      <c r="X116" t="e">
        <f ca="1">[2]!motor_rot_speed_default_rmp(P116,50)</f>
        <v>#NAME?</v>
      </c>
      <c r="Y116" t="e">
        <f t="shared" ca="1" si="10"/>
        <v>#NAME?</v>
      </c>
      <c r="Z116" t="e">
        <f ca="1">[2]!motor_current_default_d(K116)</f>
        <v>#NAME?</v>
      </c>
      <c r="AB116" t="e">
        <f ca="1">[2]!motor_eff_default_d(P116)</f>
        <v>#NAME?</v>
      </c>
      <c r="AC116" t="e">
        <f t="shared" ca="1" si="12"/>
        <v>#NAME?</v>
      </c>
      <c r="AD116" t="e">
        <f ca="1">[2]!motor_cosphi_default_d(P116)</f>
        <v>#NAME?</v>
      </c>
      <c r="AE116" t="e">
        <f t="shared" ca="1" si="13"/>
        <v>#NAME?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2897A-FC66-4C58-B4CC-5CFD2AC4943C}">
  <sheetPr codeName="Лист1"/>
  <dimension ref="A1:M85"/>
  <sheetViews>
    <sheetView tabSelected="1" zoomScale="85" zoomScaleNormal="85" workbookViewId="0">
      <selection activeCell="N57" sqref="N57"/>
    </sheetView>
  </sheetViews>
  <sheetFormatPr defaultRowHeight="14.6" x14ac:dyDescent="0.4"/>
  <sheetData>
    <row r="1" spans="1:13" x14ac:dyDescent="0.4">
      <c r="B1" t="s">
        <v>21</v>
      </c>
    </row>
    <row r="3" spans="1:13" x14ac:dyDescent="0.4">
      <c r="C3" t="s">
        <v>18</v>
      </c>
      <c r="D3" s="4">
        <v>0</v>
      </c>
      <c r="E3" s="4"/>
    </row>
    <row r="4" spans="1:13" x14ac:dyDescent="0.4">
      <c r="C4" t="s">
        <v>12</v>
      </c>
      <c r="D4" s="4">
        <v>1300</v>
      </c>
      <c r="E4" s="4"/>
    </row>
    <row r="5" spans="1:13" x14ac:dyDescent="0.4">
      <c r="C5" t="s">
        <v>13</v>
      </c>
      <c r="D5" s="4">
        <v>25</v>
      </c>
      <c r="E5" s="4"/>
    </row>
    <row r="6" spans="1:13" x14ac:dyDescent="0.4">
      <c r="C6" t="s">
        <v>14</v>
      </c>
      <c r="D6" s="4">
        <v>50</v>
      </c>
      <c r="E6" s="4"/>
    </row>
    <row r="7" spans="1:13" x14ac:dyDescent="0.4">
      <c r="C7" t="s">
        <v>15</v>
      </c>
      <c r="D7" s="7">
        <f>[2]!MotorPnom_kW(Un_V_,In_,fn_,ID_)</f>
        <v>34.247840618059413</v>
      </c>
      <c r="E7" s="4" t="s">
        <v>22</v>
      </c>
      <c r="K7">
        <f>3^0.5</f>
        <v>1.7320508075688772</v>
      </c>
    </row>
    <row r="9" spans="1:13" x14ac:dyDescent="0.4">
      <c r="C9" t="s">
        <v>19</v>
      </c>
      <c r="D9" s="4">
        <v>1300</v>
      </c>
    </row>
    <row r="10" spans="1:13" x14ac:dyDescent="0.4">
      <c r="C10" t="s">
        <v>20</v>
      </c>
      <c r="D10" s="4">
        <v>50</v>
      </c>
    </row>
    <row r="12" spans="1:13" x14ac:dyDescent="0.4">
      <c r="B12" t="s">
        <v>16</v>
      </c>
      <c r="C12" t="s">
        <v>23</v>
      </c>
      <c r="D12" t="s">
        <v>8</v>
      </c>
      <c r="E12" t="s">
        <v>17</v>
      </c>
      <c r="F12" t="s">
        <v>6</v>
      </c>
      <c r="G12" t="s">
        <v>1</v>
      </c>
      <c r="H12" t="s">
        <v>24</v>
      </c>
      <c r="I12" t="s">
        <v>25</v>
      </c>
      <c r="K12" t="s">
        <v>26</v>
      </c>
    </row>
    <row r="13" spans="1:13" x14ac:dyDescent="0.4">
      <c r="A13">
        <v>16</v>
      </c>
      <c r="B13" s="4">
        <v>1</v>
      </c>
      <c r="C13" s="3">
        <f t="shared" ref="C13:C32" si="0">B13/numPts*Pnom_</f>
        <v>2.1404900386287133</v>
      </c>
      <c r="D13" s="8">
        <f t="shared" ref="D13:D32" si="1">C13/Pnom_</f>
        <v>6.25E-2</v>
      </c>
      <c r="E13" s="5">
        <f>[2]!MotorM_Nm(C13,f_Hz_,U_V_,Un_V_,In_,fn_,ID_)</f>
        <v>6.7889805986373064</v>
      </c>
      <c r="F13" s="5">
        <f>[2]!MotorI_A(C13,f_Hz_,U_V_,Un_V_,In_,fn_,ID_)</f>
        <v>12.768005570596255</v>
      </c>
      <c r="G13" s="3">
        <f>[2]!MotorEff_d(C13,f_Hz_,U_V_,Un_V_,In_,fn_,ID_)</f>
        <v>0.27844035034302017</v>
      </c>
      <c r="H13" s="3">
        <f>[2]!MotorCosPhi_d(C13,f_Hz_,U_V_,Un_V_,In_,fn_,ID_)</f>
        <v>0.2664374236677492</v>
      </c>
      <c r="I13" s="9">
        <f>[2]!MotorS_d(C13,f_Hz_,U_V_,Un_V_,In_,fn_,ID_)</f>
        <v>2.6220703124999996E-3</v>
      </c>
      <c r="J13" s="5"/>
      <c r="K13">
        <f t="shared" ref="K13:K32" si="2">root3*U_V_*F13*G13*H13/1000</f>
        <v>2.1328211574042575</v>
      </c>
      <c r="M13" s="6">
        <f>K13-C13</f>
        <v>-7.6688812244558591E-3</v>
      </c>
    </row>
    <row r="14" spans="1:13" x14ac:dyDescent="0.4">
      <c r="B14" s="4">
        <v>2</v>
      </c>
      <c r="C14" s="3">
        <f t="shared" si="0"/>
        <v>4.2809800772574267</v>
      </c>
      <c r="D14" s="8">
        <f t="shared" si="1"/>
        <v>0.125</v>
      </c>
      <c r="E14" s="5">
        <f>[2]!MotorM_Nm(C14,f_Hz_,U_V_,Un_V_,In_,fn_,ID_)</f>
        <v>13.621159922656535</v>
      </c>
      <c r="F14" s="5">
        <f>[2]!MotorI_A(C14,f_Hz_,U_V_,Un_V_,In_,fn_,ID_)</f>
        <v>13.103529888893238</v>
      </c>
      <c r="G14" s="3">
        <f>[2]!MotorEff_d(C14,f_Hz_,U_V_,Un_V_,In_,fn_,ID_)</f>
        <v>0.43455304964891017</v>
      </c>
      <c r="H14" s="3">
        <f>[2]!MotorCosPhi_d(C14,f_Hz_,U_V_,Un_V_,In_,fn_,ID_)</f>
        <v>0.33375584424931132</v>
      </c>
      <c r="I14" s="9">
        <f>[2]!MotorS_d(C14,f_Hz_,U_V_,Un_V_,In_,fn_,ID_)</f>
        <v>4.1015625000000002E-3</v>
      </c>
      <c r="K14">
        <f t="shared" si="2"/>
        <v>4.2792135946389438</v>
      </c>
      <c r="M14" s="6">
        <f t="shared" ref="M14:M32" si="3">K14-C14</f>
        <v>-1.7664826184828897E-3</v>
      </c>
    </row>
    <row r="15" spans="1:13" x14ac:dyDescent="0.4">
      <c r="B15" s="4">
        <v>3</v>
      </c>
      <c r="C15" s="3">
        <f t="shared" si="0"/>
        <v>6.42147011588614</v>
      </c>
      <c r="D15" s="8">
        <f t="shared" si="1"/>
        <v>0.1875</v>
      </c>
      <c r="E15" s="5">
        <f>[2]!MotorM_Nm(C15,f_Hz_,U_V_,Un_V_,In_,fn_,ID_)</f>
        <v>20.460496682990097</v>
      </c>
      <c r="F15" s="5">
        <f>[2]!MotorI_A(C15,f_Hz_,U_V_,Un_V_,In_,fn_,ID_)</f>
        <v>13.523610080021554</v>
      </c>
      <c r="G15" s="3">
        <f>[2]!MotorEff_d(C15,f_Hz_,U_V_,Un_V_,In_,fn_,ID_)</f>
        <v>0.53317629298102642</v>
      </c>
      <c r="H15" s="3">
        <f>[2]!MotorCosPhi_d(C15,f_Hz_,U_V_,Un_V_,In_,fn_,ID_)</f>
        <v>0.39591193485290721</v>
      </c>
      <c r="I15" s="9">
        <f>[2]!MotorS_d(C15,f_Hz_,U_V_,Un_V_,In_,fn_,ID_)</f>
        <v>5.6103515624999992E-3</v>
      </c>
      <c r="K15">
        <f t="shared" si="2"/>
        <v>6.4278546068079958</v>
      </c>
      <c r="M15" s="6">
        <f t="shared" si="3"/>
        <v>6.3844909218557788E-3</v>
      </c>
    </row>
    <row r="16" spans="1:13" x14ac:dyDescent="0.4">
      <c r="B16" s="4">
        <v>4</v>
      </c>
      <c r="C16" s="3">
        <f t="shared" si="0"/>
        <v>8.5619601545148534</v>
      </c>
      <c r="D16" s="8">
        <f t="shared" si="1"/>
        <v>0.25</v>
      </c>
      <c r="E16" s="5">
        <f>[2]!MotorM_Nm(C16,f_Hz_,U_V_,Un_V_,In_,fn_,ID_)</f>
        <v>27.233242172208776</v>
      </c>
      <c r="F16" s="5">
        <f>[2]!MotorI_A(C16,f_Hz_,U_V_,Un_V_,In_,fn_,ID_)</f>
        <v>14.01783976334819</v>
      </c>
      <c r="G16" s="3">
        <f>[2]!MotorEff_d(C16,f_Hz_,U_V_,Un_V_,In_,fn_,ID_)</f>
        <v>0.59990525921902371</v>
      </c>
      <c r="H16" s="3">
        <f>[2]!MotorCosPhi_d(C16,f_Hz_,U_V_,Un_V_,In_,fn_,ID_)</f>
        <v>0.45183667639222513</v>
      </c>
      <c r="I16" s="9">
        <f>[2]!MotorS_d(C16,f_Hz_,U_V_,Un_V_,In_,fn_,ID_)</f>
        <v>7.1337890624999997E-3</v>
      </c>
      <c r="K16">
        <f t="shared" si="2"/>
        <v>8.5555753541642758</v>
      </c>
      <c r="M16" s="6">
        <f t="shared" si="3"/>
        <v>-6.3848003505775353E-3</v>
      </c>
    </row>
    <row r="17" spans="2:13" x14ac:dyDescent="0.4">
      <c r="B17" s="4">
        <v>5</v>
      </c>
      <c r="C17" s="3">
        <f t="shared" si="0"/>
        <v>10.702450193143566</v>
      </c>
      <c r="D17" s="8">
        <f t="shared" si="1"/>
        <v>0.3125</v>
      </c>
      <c r="E17" s="5">
        <f>[2]!MotorM_Nm(C17,f_Hz_,U_V_,Un_V_,In_,fn_,ID_)</f>
        <v>34.060331798425061</v>
      </c>
      <c r="F17" s="5">
        <f>[2]!MotorI_A(C17,f_Hz_,U_V_,Un_V_,In_,fn_,ID_)</f>
        <v>14.589592647427398</v>
      </c>
      <c r="G17" s="3">
        <f>[2]!MotorEff_d(C17,f_Hz_,U_V_,Un_V_,In_,fn_,ID_)</f>
        <v>0.64832494220801584</v>
      </c>
      <c r="H17" s="3">
        <f>[2]!MotorCosPhi_d(C17,f_Hz_,U_V_,Un_V_,In_,fn_,ID_)</f>
        <v>0.50241068957096191</v>
      </c>
      <c r="I17" s="9">
        <f>[2]!MotorS_d(C17,f_Hz_,U_V_,Un_V_,In_,fn_,ID_)</f>
        <v>8.7011718750000001E-3</v>
      </c>
      <c r="K17">
        <f t="shared" si="2"/>
        <v>10.700368815676287</v>
      </c>
      <c r="M17" s="6">
        <f t="shared" si="3"/>
        <v>-2.0813774672792107E-3</v>
      </c>
    </row>
    <row r="18" spans="2:13" x14ac:dyDescent="0.4">
      <c r="B18" s="4">
        <v>6</v>
      </c>
      <c r="C18" s="3">
        <f t="shared" si="0"/>
        <v>12.84294023177228</v>
      </c>
      <c r="D18" s="8">
        <f t="shared" si="1"/>
        <v>0.375</v>
      </c>
      <c r="E18" s="5">
        <f>[2]!MotorM_Nm(C18,f_Hz_,U_V_,Un_V_,In_,fn_,ID_)</f>
        <v>40.866613211197986</v>
      </c>
      <c r="F18" s="5">
        <f>[2]!MotorI_A(C18,f_Hz_,U_V_,Un_V_,In_,fn_,ID_)</f>
        <v>15.22782525535213</v>
      </c>
      <c r="G18" s="3">
        <f>[2]!MotorEff_d(C18,f_Hz_,U_V_,Un_V_,In_,fn_,ID_)</f>
        <v>0.68431848664200667</v>
      </c>
      <c r="H18" s="3">
        <f>[2]!MotorCosPhi_d(C18,f_Hz_,U_V_,Un_V_,In_,fn_,ID_)</f>
        <v>0.5471650931808304</v>
      </c>
      <c r="I18" s="9">
        <f>[2]!MotorS_d(C18,f_Hz_,U_V_,Un_V_,In_,fn_,ID_)</f>
        <v>1.0297851562499998E-2</v>
      </c>
      <c r="K18">
        <f t="shared" si="2"/>
        <v>12.838625184139506</v>
      </c>
      <c r="M18" s="6">
        <f t="shared" si="3"/>
        <v>-4.3150476327742382E-3</v>
      </c>
    </row>
    <row r="19" spans="2:13" x14ac:dyDescent="0.4">
      <c r="B19" s="4">
        <v>7</v>
      </c>
      <c r="C19" s="3">
        <f t="shared" si="0"/>
        <v>14.983430270400994</v>
      </c>
      <c r="D19" s="8">
        <f t="shared" si="1"/>
        <v>0.4375</v>
      </c>
      <c r="E19" s="5">
        <f>[2]!MotorM_Nm(C19,f_Hz_,U_V_,Un_V_,In_,fn_,ID_)</f>
        <v>47.703044607168984</v>
      </c>
      <c r="F19" s="5">
        <f>[2]!MotorI_A(C19,f_Hz_,U_V_,Un_V_,In_,fn_,ID_)</f>
        <v>15.932336839023927</v>
      </c>
      <c r="G19" s="3">
        <f>[2]!MotorEff_d(C19,f_Hz_,U_V_,Un_V_,In_,fn_,ID_)</f>
        <v>0.71197923463272594</v>
      </c>
      <c r="H19" s="3">
        <f>[2]!MotorCosPhi_d(C19,f_Hz_,U_V_,Un_V_,In_,fn_,ID_)</f>
        <v>0.58673930825219323</v>
      </c>
      <c r="I19" s="9">
        <f>[2]!MotorS_d(C19,f_Hz_,U_V_,Un_V_,In_,fn_,ID_)</f>
        <v>1.1938476562500001E-2</v>
      </c>
      <c r="K19">
        <f t="shared" si="2"/>
        <v>14.986353449174814</v>
      </c>
      <c r="M19" s="6">
        <f t="shared" si="3"/>
        <v>2.9231787738197568E-3</v>
      </c>
    </row>
    <row r="20" spans="2:13" x14ac:dyDescent="0.4">
      <c r="B20" s="4">
        <v>8</v>
      </c>
      <c r="C20" s="3">
        <f t="shared" si="0"/>
        <v>17.123920309029707</v>
      </c>
      <c r="D20" s="8">
        <f t="shared" si="1"/>
        <v>0.5</v>
      </c>
      <c r="E20" s="5">
        <f>[2]!MotorM_Nm(C20,f_Hz_,U_V_,Un_V_,In_,fn_,ID_)</f>
        <v>54.49705717429277</v>
      </c>
      <c r="F20" s="5">
        <f>[2]!MotorI_A(C20,f_Hz_,U_V_,Un_V_,In_,fn_,ID_)</f>
        <v>16.690811613308178</v>
      </c>
      <c r="G20" s="3">
        <f>[2]!MotorEff_d(C20,f_Hz_,U_V_,Un_V_,In_,fn_,ID_)</f>
        <v>0.73340665614695733</v>
      </c>
      <c r="H20" s="3">
        <f>[2]!MotorCosPhi_d(C20,f_Hz_,U_V_,Un_V_,In_,fn_,ID_)</f>
        <v>0.62115021754108479</v>
      </c>
      <c r="I20" s="9">
        <f>[2]!MotorS_d(C20,f_Hz_,U_V_,Un_V_,In_,fn_,ID_)</f>
        <v>1.3608398437499999E-2</v>
      </c>
      <c r="K20">
        <f t="shared" si="2"/>
        <v>17.120755446102088</v>
      </c>
      <c r="M20" s="6">
        <f t="shared" si="3"/>
        <v>-3.1648629276190832E-3</v>
      </c>
    </row>
    <row r="21" spans="2:13" x14ac:dyDescent="0.4">
      <c r="B21" s="4">
        <v>9</v>
      </c>
      <c r="C21" s="3">
        <f t="shared" si="0"/>
        <v>19.264410347658419</v>
      </c>
      <c r="D21" s="8">
        <f t="shared" si="1"/>
        <v>0.5625</v>
      </c>
      <c r="E21" s="5">
        <f>[2]!MotorM_Nm(C21,f_Hz_,U_V_,Un_V_,In_,fn_,ID_)</f>
        <v>61.2966810751373</v>
      </c>
      <c r="F21" s="5">
        <f>[2]!MotorI_A(C21,f_Hz_,U_V_,Un_V_,In_,fn_,ID_)</f>
        <v>17.50400873684454</v>
      </c>
      <c r="G21" s="3">
        <f>[2]!MotorEff_d(C21,f_Hz_,U_V_,Un_V_,In_,fn_,ID_)</f>
        <v>0.75034765642748968</v>
      </c>
      <c r="H21" s="3">
        <f>[2]!MotorCosPhi_d(C21,f_Hz_,U_V_,Un_V_,In_,fn_,ID_)</f>
        <v>0.65115263348076879</v>
      </c>
      <c r="I21" s="9">
        <f>[2]!MotorS_d(C21,f_Hz_,U_V_,Un_V_,In_,fn_,ID_)</f>
        <v>1.5322265625E-2</v>
      </c>
      <c r="K21">
        <f t="shared" si="2"/>
        <v>19.256920295508763</v>
      </c>
      <c r="M21" s="6">
        <f t="shared" si="3"/>
        <v>-7.4900521496559236E-3</v>
      </c>
    </row>
    <row r="22" spans="2:13" x14ac:dyDescent="0.4">
      <c r="B22" s="4">
        <v>10</v>
      </c>
      <c r="C22" s="3">
        <f t="shared" si="0"/>
        <v>21.404900386287132</v>
      </c>
      <c r="D22" s="8">
        <f t="shared" si="1"/>
        <v>0.625</v>
      </c>
      <c r="E22" s="5">
        <f>[2]!MotorM_Nm(C22,f_Hz_,U_V_,Un_V_,In_,fn_,ID_)</f>
        <v>68.14393589891786</v>
      </c>
      <c r="F22" s="5">
        <f>[2]!MotorI_A(C22,f_Hz_,U_V_,Un_V_,In_,fn_,ID_)</f>
        <v>18.374011994175287</v>
      </c>
      <c r="G22" s="3">
        <f>[2]!MotorEff_d(C22,f_Hz_,U_V_,Un_V_,In_,fn_,ID_)</f>
        <v>0.76391788306154551</v>
      </c>
      <c r="H22" s="3">
        <f>[2]!MotorCosPhi_d(C22,f_Hz_,U_V_,Un_V_,In_,fn_,ID_)</f>
        <v>0.67736450451222374</v>
      </c>
      <c r="I22" s="9">
        <f>[2]!MotorS_d(C22,f_Hz_,U_V_,Un_V_,In_,fn_,ID_)</f>
        <v>1.7094726562500002E-2</v>
      </c>
      <c r="K22">
        <f t="shared" si="2"/>
        <v>21.408048840673391</v>
      </c>
      <c r="M22" s="6">
        <f t="shared" si="3"/>
        <v>3.1484543862596581E-3</v>
      </c>
    </row>
    <row r="23" spans="2:13" x14ac:dyDescent="0.4">
      <c r="B23" s="4">
        <v>11</v>
      </c>
      <c r="C23" s="3">
        <f t="shared" si="0"/>
        <v>23.545390424915848</v>
      </c>
      <c r="D23" s="8">
        <f t="shared" si="1"/>
        <v>0.6875</v>
      </c>
      <c r="E23" s="5">
        <f>[2]!MotorM_Nm(C23,f_Hz_,U_V_,Un_V_,In_,fn_,ID_)</f>
        <v>74.966019214300687</v>
      </c>
      <c r="F23" s="5">
        <f>[2]!MotorI_A(C23,f_Hz_,U_V_,Un_V_,In_,fn_,ID_)</f>
        <v>19.288867688559293</v>
      </c>
      <c r="G23" s="3">
        <f>[2]!MotorEff_d(C23,f_Hz_,U_V_,Un_V_,In_,fn_,ID_)</f>
        <v>0.77470348871436612</v>
      </c>
      <c r="H23" s="3">
        <f>[2]!MotorCosPhi_d(C23,f_Hz_,U_V_,Un_V_,In_,fn_,ID_)</f>
        <v>0.69995173943991496</v>
      </c>
      <c r="I23" s="9">
        <f>[2]!MotorS_d(C23,f_Hz_,U_V_,Un_V_,In_,fn_,ID_)</f>
        <v>1.8911132812500002E-2</v>
      </c>
      <c r="K23">
        <f t="shared" si="2"/>
        <v>23.551269523251801</v>
      </c>
      <c r="M23" s="6">
        <f t="shared" si="3"/>
        <v>5.8790983359529037E-3</v>
      </c>
    </row>
    <row r="24" spans="2:13" x14ac:dyDescent="0.4">
      <c r="B24" s="4">
        <v>12</v>
      </c>
      <c r="C24" s="3">
        <f t="shared" si="0"/>
        <v>25.68588046354456</v>
      </c>
      <c r="D24" s="8">
        <f t="shared" si="1"/>
        <v>0.75</v>
      </c>
      <c r="E24" s="5">
        <f>[2]!MotorM_Nm(C24,f_Hz_,U_V_,Un_V_,In_,fn_,ID_)</f>
        <v>81.749065094608227</v>
      </c>
      <c r="F24" s="5">
        <f>[2]!MotorI_A(C24,f_Hz_,U_V_,Un_V_,In_,fn_,ID_)</f>
        <v>20.243731004273872</v>
      </c>
      <c r="G24" s="3">
        <f>[2]!MotorEff_d(C24,f_Hz_,U_V_,Un_V_,In_,fn_,ID_)</f>
        <v>0.7832548950618059</v>
      </c>
      <c r="H24" s="3">
        <f>[2]!MotorCosPhi_d(C24,f_Hz_,U_V_,Un_V_,In_,fn_,ID_)</f>
        <v>0.7193413275800622</v>
      </c>
      <c r="I24" s="9">
        <f>[2]!MotorS_d(C24,f_Hz_,U_V_,Un_V_,In_,fn_,ID_)</f>
        <v>2.0771484374999996E-2</v>
      </c>
      <c r="K24">
        <f t="shared" si="2"/>
        <v>25.682226233905467</v>
      </c>
      <c r="M24" s="6">
        <f t="shared" si="3"/>
        <v>-3.6542296390926765E-3</v>
      </c>
    </row>
    <row r="25" spans="2:13" x14ac:dyDescent="0.4">
      <c r="B25" s="4">
        <v>13</v>
      </c>
      <c r="C25" s="3">
        <f t="shared" si="0"/>
        <v>27.826370502173273</v>
      </c>
      <c r="D25" s="8">
        <f t="shared" si="1"/>
        <v>0.8125</v>
      </c>
      <c r="E25" s="5">
        <f>[2]!MotorM_Nm(C25,f_Hz_,U_V_,Un_V_,In_,fn_,ID_)</f>
        <v>88.581207527972779</v>
      </c>
      <c r="F25" s="5">
        <f>[2]!MotorI_A(C25,f_Hz_,U_V_,Un_V_,In_,fn_,ID_)</f>
        <v>21.249389872441117</v>
      </c>
      <c r="G25" s="3">
        <f>[2]!MotorEff_d(C25,f_Hz_,U_V_,Un_V_,In_,fn_,ID_)</f>
        <v>0.79007505945693191</v>
      </c>
      <c r="H25" s="3">
        <f>[2]!MotorCosPhi_d(C25,f_Hz_,U_V_,Un_V_,In_,fn_,ID_)</f>
        <v>0.73616077302917027</v>
      </c>
      <c r="I25" s="9">
        <f>[2]!MotorS_d(C25,f_Hz_,U_V_,Un_V_,In_,fn_,ID_)</f>
        <v>2.2705078125E-2</v>
      </c>
      <c r="K25">
        <f t="shared" si="2"/>
        <v>27.828607081599191</v>
      </c>
      <c r="M25" s="6">
        <f t="shared" si="3"/>
        <v>2.2365794259187055E-3</v>
      </c>
    </row>
    <row r="26" spans="2:13" x14ac:dyDescent="0.4">
      <c r="B26" s="4">
        <v>14</v>
      </c>
      <c r="C26" s="3">
        <f t="shared" si="0"/>
        <v>29.966860540801989</v>
      </c>
      <c r="D26" s="8">
        <f t="shared" si="1"/>
        <v>0.875</v>
      </c>
      <c r="E26" s="5">
        <f>[2]!MotorM_Nm(C26,f_Hz_,U_V_,Un_V_,In_,fn_,ID_)</f>
        <v>95.38949795464822</v>
      </c>
      <c r="F26" s="5">
        <f>[2]!MotorI_A(C26,f_Hz_,U_V_,Un_V_,In_,fn_,ID_)</f>
        <v>22.294222646476669</v>
      </c>
      <c r="G26" s="3">
        <f>[2]!MotorEff_d(C26,f_Hz_,U_V_,Un_V_,In_,fn_,ID_)</f>
        <v>0.79537847311123244</v>
      </c>
      <c r="H26" s="3">
        <f>[2]!MotorCosPhi_d(C26,f_Hz_,U_V_,Un_V_,In_,fn_,ID_)</f>
        <v>0.75055114087062735</v>
      </c>
      <c r="I26" s="9">
        <f>[2]!MotorS_d(C26,f_Hz_,U_V_,Un_V_,In_,fn_,ID_)</f>
        <v>2.4697265624999999E-2</v>
      </c>
      <c r="K26">
        <f t="shared" si="2"/>
        <v>29.967494600394108</v>
      </c>
      <c r="M26" s="6">
        <f t="shared" si="3"/>
        <v>6.3405959211948471E-4</v>
      </c>
    </row>
    <row r="27" spans="2:13" x14ac:dyDescent="0.4">
      <c r="B27" s="4">
        <v>15</v>
      </c>
      <c r="C27" s="3">
        <f t="shared" si="0"/>
        <v>32.107350579430701</v>
      </c>
      <c r="D27" s="8">
        <f t="shared" si="1"/>
        <v>0.9375</v>
      </c>
      <c r="E27" s="5">
        <f>[2]!MotorM_Nm(C27,f_Hz_,U_V_,Un_V_,In_,fn_,ID_)</f>
        <v>102.20278966822099</v>
      </c>
      <c r="F27" s="5">
        <f>[2]!MotorI_A(C27,f_Hz_,U_V_,Un_V_,In_,fn_,ID_)</f>
        <v>23.381930242053372</v>
      </c>
      <c r="G27" s="3">
        <f>[2]!MotorEff_d(C27,f_Hz_,U_V_,Un_V_,In_,fn_,ID_)</f>
        <v>0.7994202678417105</v>
      </c>
      <c r="H27" s="3">
        <f>[2]!MotorCosPhi_d(C27,f_Hz_,U_V_,Un_V_,In_,fn_,ID_)</f>
        <v>0.76287455201498289</v>
      </c>
      <c r="I27" s="9">
        <f>[2]!MotorS_d(C27,f_Hz_,U_V_,Un_V_,In_,fn_,ID_)</f>
        <v>2.6762695312500001E-2</v>
      </c>
      <c r="K27">
        <f t="shared" si="2"/>
        <v>32.107953319806548</v>
      </c>
      <c r="M27" s="6">
        <f t="shared" si="3"/>
        <v>6.027403758466221E-4</v>
      </c>
    </row>
    <row r="28" spans="2:13" x14ac:dyDescent="0.4">
      <c r="B28" s="4">
        <v>16</v>
      </c>
      <c r="C28" s="3">
        <f t="shared" si="0"/>
        <v>34.247840618059413</v>
      </c>
      <c r="D28" s="8">
        <f t="shared" si="1"/>
        <v>1</v>
      </c>
      <c r="E28" s="5">
        <f>[2]!MotorM_Nm(C28,f_Hz_,U_V_,Un_V_,In_,fn_,ID_)</f>
        <v>109.04298853971029</v>
      </c>
      <c r="F28" s="5">
        <f>[2]!MotorI_A(C28,f_Hz_,U_V_,Un_V_,In_,fn_,ID_)</f>
        <v>24.516335428310111</v>
      </c>
      <c r="G28" s="3">
        <f>[2]!MotorEff_d(C28,f_Hz_,U_V_,Un_V_,In_,fn_,ID_)</f>
        <v>0.80237953629072412</v>
      </c>
      <c r="H28" s="3">
        <f>[2]!MotorCosPhi_d(C28,f_Hz_,U_V_,Un_V_,In_,fn_,ID_)</f>
        <v>0.773407252092707</v>
      </c>
      <c r="I28" s="9">
        <f>[2]!MotorS_d(C28,f_Hz_,U_V_,Un_V_,In_,fn_,ID_)</f>
        <v>2.8916015624999999E-2</v>
      </c>
      <c r="K28">
        <f t="shared" si="2"/>
        <v>34.256865172182962</v>
      </c>
      <c r="M28" s="6">
        <f t="shared" si="3"/>
        <v>9.0245541235489668E-3</v>
      </c>
    </row>
    <row r="29" spans="2:13" x14ac:dyDescent="0.4">
      <c r="B29" s="4">
        <v>17</v>
      </c>
      <c r="C29" s="3">
        <f t="shared" si="0"/>
        <v>36.388330656688126</v>
      </c>
      <c r="D29" s="8">
        <f t="shared" si="1"/>
        <v>1.0625</v>
      </c>
      <c r="E29" s="5">
        <f>[2]!MotorM_Nm(C29,f_Hz_,U_V_,Un_V_,In_,fn_,ID_)</f>
        <v>115.83722750083682</v>
      </c>
      <c r="F29" s="5">
        <f>[2]!MotorI_A(C29,f_Hz_,U_V_,Un_V_,In_,fn_,ID_)</f>
        <v>25.68579705995235</v>
      </c>
      <c r="G29" s="3">
        <f>[2]!MotorEff_d(C29,f_Hz_,U_V_,Un_V_,In_,fn_,ID_)</f>
        <v>0.80436305563330046</v>
      </c>
      <c r="H29" s="3">
        <f>[2]!MotorCosPhi_d(C29,f_Hz_,U_V_,Un_V_,In_,fn_,ID_)</f>
        <v>0.78225596812762621</v>
      </c>
      <c r="I29" s="9">
        <f>[2]!MotorS_d(C29,f_Hz_,U_V_,Un_V_,In_,fn_,ID_)</f>
        <v>3.1142578125000001E-2</v>
      </c>
      <c r="K29">
        <f t="shared" si="2"/>
        <v>36.391338292883809</v>
      </c>
      <c r="M29" s="6">
        <f t="shared" si="3"/>
        <v>3.0076361956830056E-3</v>
      </c>
    </row>
    <row r="30" spans="2:13" x14ac:dyDescent="0.4">
      <c r="B30" s="4">
        <v>18</v>
      </c>
      <c r="C30" s="3">
        <f t="shared" si="0"/>
        <v>38.528820695316838</v>
      </c>
      <c r="D30" s="8">
        <f t="shared" si="1"/>
        <v>1.125</v>
      </c>
      <c r="E30" s="5">
        <f>[2]!MotorM_Nm(C30,f_Hz_,U_V_,Un_V_,In_,fn_,ID_)</f>
        <v>122.64599691047151</v>
      </c>
      <c r="F30" s="5">
        <f>[2]!MotorI_A(C30,f_Hz_,U_V_,Un_V_,In_,fn_,ID_)</f>
        <v>26.901675867176174</v>
      </c>
      <c r="G30" s="3">
        <f>[2]!MotorEff_d(C30,f_Hz_,U_V_,Un_V_,In_,fn_,ID_)</f>
        <v>0.80549784728499185</v>
      </c>
      <c r="H30" s="3">
        <f>[2]!MotorCosPhi_d(C30,f_Hz_,U_V_,Un_V_,In_,fn_,ID_)</f>
        <v>0.78968802248530756</v>
      </c>
      <c r="I30" s="9">
        <f>[2]!MotorS_d(C30,f_Hz_,U_V_,Un_V_,In_,fn_,ID_)</f>
        <v>3.3471679687500006E-2</v>
      </c>
      <c r="K30">
        <f t="shared" si="2"/>
        <v>38.530376288613333</v>
      </c>
      <c r="M30" s="6">
        <f t="shared" si="3"/>
        <v>1.5555932964943509E-3</v>
      </c>
    </row>
    <row r="31" spans="2:13" x14ac:dyDescent="0.4">
      <c r="B31" s="4">
        <v>19</v>
      </c>
      <c r="C31" s="3">
        <f t="shared" si="0"/>
        <v>40.669310733945551</v>
      </c>
      <c r="D31" s="8">
        <f t="shared" si="1"/>
        <v>1.1875</v>
      </c>
      <c r="E31" s="5">
        <f>[2]!MotorM_Nm(C31,f_Hz_,U_V_,Un_V_,In_,fn_,ID_)</f>
        <v>129.47494453081606</v>
      </c>
      <c r="F31" s="5">
        <f>[2]!MotorI_A(C31,f_Hz_,U_V_,Un_V_,In_,fn_,ID_)</f>
        <v>28.167255863176624</v>
      </c>
      <c r="G31" s="3">
        <f>[2]!MotorEff_d(C31,f_Hz_,U_V_,Un_V_,In_,fn_,ID_)</f>
        <v>0.80585659991467262</v>
      </c>
      <c r="H31" s="3">
        <f>[2]!MotorCosPhi_d(C31,f_Hz_,U_V_,Un_V_,In_,fn_,ID_)</f>
        <v>0.79584651848320698</v>
      </c>
      <c r="I31" s="9">
        <f>[2]!MotorS_d(C31,f_Hz_,U_V_,Un_V_,In_,fn_,ID_)</f>
        <v>3.5917968750000001E-2</v>
      </c>
      <c r="K31">
        <f t="shared" si="2"/>
        <v>40.675753456195729</v>
      </c>
      <c r="M31" s="6">
        <f t="shared" si="3"/>
        <v>6.4427222501777237E-3</v>
      </c>
    </row>
    <row r="32" spans="2:13" x14ac:dyDescent="0.4">
      <c r="B32" s="4">
        <v>20</v>
      </c>
      <c r="C32" s="3">
        <f t="shared" si="0"/>
        <v>42.809800772574263</v>
      </c>
      <c r="D32" s="8">
        <f t="shared" si="1"/>
        <v>1.25</v>
      </c>
      <c r="E32" s="5">
        <f>[2]!MotorM_Nm(C32,f_Hz_,U_V_,Un_V_,In_,fn_,ID_)</f>
        <v>136.2463093025188</v>
      </c>
      <c r="F32" s="5">
        <f>[2]!MotorI_A(C32,f_Hz_,U_V_,Un_V_,In_,fn_,ID_)</f>
        <v>29.470434533211613</v>
      </c>
      <c r="G32" s="5">
        <f>[2]!MotorEff_d(C32,f_Hz_,U_V_,Un_V_,In_,fn_,ID_)</f>
        <v>0.80549845795921626</v>
      </c>
      <c r="H32" s="3">
        <f>[2]!MotorCosPhi_d(C32,f_Hz_,U_V_,Un_V_,In_,fn_,ID_)</f>
        <v>0.80079137519408417</v>
      </c>
      <c r="I32" s="9">
        <f>[2]!MotorS_d(C32,f_Hz_,U_V_,Un_V_,In_,fn_,ID_)</f>
        <v>3.8466796875000001E-2</v>
      </c>
      <c r="K32">
        <f t="shared" si="2"/>
        <v>42.803040438351545</v>
      </c>
      <c r="M32" s="6">
        <f t="shared" si="3"/>
        <v>-6.7603342227187113E-3</v>
      </c>
    </row>
    <row r="36" spans="3:11" x14ac:dyDescent="0.4">
      <c r="D36">
        <v>1</v>
      </c>
    </row>
    <row r="38" spans="3:11" x14ac:dyDescent="0.4">
      <c r="C38" t="s">
        <v>27</v>
      </c>
      <c r="D38" t="s">
        <v>8</v>
      </c>
      <c r="E38" t="s">
        <v>17</v>
      </c>
      <c r="F38" t="s">
        <v>6</v>
      </c>
      <c r="G38" t="s">
        <v>1</v>
      </c>
      <c r="H38" t="s">
        <v>24</v>
      </c>
      <c r="I38" t="s">
        <v>25</v>
      </c>
      <c r="K38" t="s">
        <v>26</v>
      </c>
    </row>
    <row r="39" spans="3:11" x14ac:dyDescent="0.4">
      <c r="C39">
        <v>0.7</v>
      </c>
      <c r="D39" s="10">
        <f t="shared" ref="D39:D51" si="4">Pnom_</f>
        <v>34.247840618059413</v>
      </c>
      <c r="E39" s="5">
        <f>[2]!MotorM_Nm(D39,f_Hz_,U_V_*C39,Un_V_,In_,fn_,ID_)</f>
        <v>85.694022974035221</v>
      </c>
      <c r="F39" s="5">
        <f>[2]!MotorI_A(D39,f_Hz_,U_V_*C39,Un_V_,In_,fn_,ID_)</f>
        <v>25.575007725572224</v>
      </c>
      <c r="G39" s="5">
        <f>[2]!MotorEff_d(D39,f_Hz_,U_V_*C39,Un_V_,In_,fn_,ID_)</f>
        <v>0.77633849938532862</v>
      </c>
      <c r="H39" s="5">
        <f>[2]!MotorCosPhi_d(D39,f_Hz_,U_V_*C39,Un_V_,In_,fn_,ID_)</f>
        <v>0.86026348136320285</v>
      </c>
      <c r="I39" s="9">
        <f>[2]!MotorS_d(D39,f_Hz_,U_V_*C39,Un_V_,In_,fn_,ID_)</f>
        <v>5.9999084472656249E-2</v>
      </c>
      <c r="J39" s="5"/>
      <c r="K39">
        <f t="shared" ref="K39:K51" si="5">root3*U_V_*C39*F39*G39*H39/1000</f>
        <v>26.921571303178368</v>
      </c>
    </row>
    <row r="40" spans="3:11" x14ac:dyDescent="0.4">
      <c r="C40">
        <v>0.75</v>
      </c>
      <c r="D40" s="10">
        <f t="shared" si="4"/>
        <v>34.247840618059413</v>
      </c>
      <c r="E40" s="5">
        <f>[2]!MotorM_Nm(D40,f_Hz_,U_V_*C40,Un_V_,In_,fn_,ID_)</f>
        <v>99.204666498507436</v>
      </c>
      <c r="F40" s="5">
        <f>[2]!MotorI_A(D40,f_Hz_,U_V_*C40,Un_V_,In_,fn_,ID_)</f>
        <v>27.770527594079255</v>
      </c>
      <c r="G40" s="5">
        <f>[2]!MotorEff_d(D40,f_Hz_,U_V_*C40,Un_V_,In_,fn_,ID_)</f>
        <v>0.78029400049040909</v>
      </c>
      <c r="H40" s="5">
        <f>[2]!MotorCosPhi_d(D40,f_Hz_,U_V_*C40,Un_V_,In_,fn_,ID_)</f>
        <v>0.85167585005393942</v>
      </c>
      <c r="I40" s="9">
        <f>[2]!MotorS_d(D40,f_Hz_,U_V_*C40,Un_V_,In_,fn_,ID_)</f>
        <v>5.9999084472656249E-2</v>
      </c>
      <c r="J40" s="5"/>
      <c r="K40">
        <f t="shared" si="5"/>
        <v>31.166065147353613</v>
      </c>
    </row>
    <row r="41" spans="3:11" x14ac:dyDescent="0.4">
      <c r="C41">
        <v>0.8</v>
      </c>
      <c r="D41" s="10">
        <f t="shared" si="4"/>
        <v>34.247840618059413</v>
      </c>
      <c r="E41" s="5">
        <f>[2]!MotorM_Nm(D41,f_Hz_,U_V_*C41,Un_V_,In_,fn_,ID_)</f>
        <v>108.99102209004644</v>
      </c>
      <c r="F41" s="5">
        <f>[2]!MotorI_A(D41,f_Hz_,U_V_*C41,Un_V_,In_,fn_,ID_)</f>
        <v>28.502912173769577</v>
      </c>
      <c r="G41" s="5">
        <f>[2]!MotorEff_d(D41,f_Hz_,U_V_*C41,Un_V_,In_,fn_,ID_)</f>
        <v>0.7881359960594525</v>
      </c>
      <c r="H41" s="5">
        <f>[2]!MotorCosPhi_d(D41,f_Hz_,U_V_*C41,Un_V_,In_,fn_,ID_)</f>
        <v>0.84616729106551447</v>
      </c>
      <c r="I41" s="9">
        <f>[2]!MotorS_d(D41,f_Hz_,U_V_*C41,Un_V_,In_,fn_,ID_)</f>
        <v>5.5664062499999993E-2</v>
      </c>
      <c r="J41" s="5"/>
      <c r="K41">
        <f t="shared" si="5"/>
        <v>34.240539430533246</v>
      </c>
    </row>
    <row r="42" spans="3:11" x14ac:dyDescent="0.4">
      <c r="C42">
        <v>0.85</v>
      </c>
      <c r="D42" s="10">
        <f t="shared" si="4"/>
        <v>34.247840618059413</v>
      </c>
      <c r="E42" s="5">
        <f>[2]!MotorM_Nm(D42,f_Hz_,U_V_*C42,Un_V_,In_,fn_,ID_)</f>
        <v>109.01770371479979</v>
      </c>
      <c r="F42" s="5">
        <f>[2]!MotorI_A(D42,f_Hz_,U_V_*C42,Un_V_,In_,fn_,ID_)</f>
        <v>26.653528902887398</v>
      </c>
      <c r="G42" s="5">
        <f>[2]!MotorEff_d(D42,f_Hz_,U_V_*C42,Un_V_,In_,fn_,ID_)</f>
        <v>0.79990196697349703</v>
      </c>
      <c r="H42" s="5">
        <f>[2]!MotorCosPhi_d(D42,f_Hz_,U_V_*C42,Un_V_,In_,fn_,ID_)</f>
        <v>0.83932955355679695</v>
      </c>
      <c r="I42" s="9">
        <f>[2]!MotorS_d(D42,f_Hz_,U_V_*C42,Un_V_,In_,fn_,ID_)</f>
        <v>4.5439453125000001E-2</v>
      </c>
      <c r="J42" s="5"/>
      <c r="K42">
        <f t="shared" si="5"/>
        <v>34.248921710164339</v>
      </c>
    </row>
    <row r="43" spans="3:11" x14ac:dyDescent="0.4">
      <c r="C43">
        <v>0.9</v>
      </c>
      <c r="D43" s="10">
        <f t="shared" si="4"/>
        <v>34.247840618059413</v>
      </c>
      <c r="E43" s="5">
        <f>[2]!MotorM_Nm(D43,f_Hz_,U_V_*C43,Un_V_,In_,fn_,ID_)</f>
        <v>108.9842063520226</v>
      </c>
      <c r="F43" s="5">
        <f>[2]!MotorI_A(D43,f_Hz_,U_V_*C43,Un_V_,In_,fn_,ID_)</f>
        <v>25.486718477308365</v>
      </c>
      <c r="G43" s="5">
        <f>[2]!MotorEff_d(D43,f_Hz_,U_V_*C43,Un_V_,In_,fn_,ID_)</f>
        <v>0.80490217559207478</v>
      </c>
      <c r="H43" s="5">
        <f>[2]!MotorCosPhi_d(D43,f_Hz_,U_V_*C43,Un_V_,In_,fn_,ID_)</f>
        <v>0.82358784121578643</v>
      </c>
      <c r="I43" s="9">
        <f>[2]!MotorS_d(D43,f_Hz_,U_V_*C43,Un_V_,In_,fn_,ID_)</f>
        <v>3.8320312499999995E-2</v>
      </c>
      <c r="J43" s="5"/>
      <c r="K43">
        <f t="shared" si="5"/>
        <v>34.238398203282792</v>
      </c>
    </row>
    <row r="44" spans="3:11" x14ac:dyDescent="0.4">
      <c r="C44">
        <v>0.95</v>
      </c>
      <c r="D44" s="10">
        <f t="shared" si="4"/>
        <v>34.247840618059413</v>
      </c>
      <c r="E44" s="5">
        <f>[2]!MotorM_Nm(D44,f_Hz_,U_V_*C44,Un_V_,In_,fn_,ID_)</f>
        <v>109.0396718976596</v>
      </c>
      <c r="F44" s="5">
        <f>[2]!MotorI_A(D44,f_Hz_,U_V_*C44,Un_V_,In_,fn_,ID_)</f>
        <v>24.819306492060964</v>
      </c>
      <c r="G44" s="5">
        <f>[2]!MotorEff_d(D44,f_Hz_,U_V_*C44,Un_V_,In_,fn_,ID_)</f>
        <v>0.80534574313373031</v>
      </c>
      <c r="H44" s="5">
        <f>[2]!MotorCosPhi_d(D44,f_Hz_,U_V_*C44,Un_V_,In_,fn_,ID_)</f>
        <v>0.80118869780028479</v>
      </c>
      <c r="I44" s="9">
        <f>[2]!MotorS_d(D44,f_Hz_,U_V_*C44,Un_V_,In_,fn_,ID_)</f>
        <v>3.3046875000000003E-2</v>
      </c>
      <c r="J44" s="5"/>
      <c r="K44">
        <f t="shared" si="5"/>
        <v>34.255823218352845</v>
      </c>
    </row>
    <row r="45" spans="3:11" x14ac:dyDescent="0.4">
      <c r="C45">
        <v>1</v>
      </c>
      <c r="D45" s="10">
        <f t="shared" si="4"/>
        <v>34.247840618059413</v>
      </c>
      <c r="E45" s="5">
        <f>[2]!MotorM_Nm(D45,f_Hz_,U_V_*C45,Un_V_,In_,fn_,ID_)</f>
        <v>109.04298853971029</v>
      </c>
      <c r="F45" s="5">
        <f>[2]!MotorI_A(D45,f_Hz_,U_V_*C45,Un_V_,In_,fn_,ID_)</f>
        <v>24.516335428310111</v>
      </c>
      <c r="G45" s="5">
        <f>[2]!MotorEff_d(D45,f_Hz_,U_V_*C45,Un_V_,In_,fn_,ID_)</f>
        <v>0.80237953629072412</v>
      </c>
      <c r="H45" s="5">
        <f>[2]!MotorCosPhi_d(D45,f_Hz_,U_V_*C45,Un_V_,In_,fn_,ID_)</f>
        <v>0.773407252092707</v>
      </c>
      <c r="I45" s="9">
        <f>[2]!MotorS_d(D45,f_Hz_,U_V_*C45,Un_V_,In_,fn_,ID_)</f>
        <v>2.8916015624999999E-2</v>
      </c>
      <c r="J45" s="5"/>
      <c r="K45">
        <f t="shared" si="5"/>
        <v>34.256865172182962</v>
      </c>
    </row>
    <row r="46" spans="3:11" x14ac:dyDescent="0.4">
      <c r="C46">
        <v>1.05</v>
      </c>
      <c r="D46" s="10">
        <f t="shared" si="4"/>
        <v>34.247840618059413</v>
      </c>
      <c r="E46" s="5">
        <f>[2]!MotorM_Nm(D46,f_Hz_,U_V_*C46,Un_V_,In_,fn_,ID_)</f>
        <v>109.0262545351888</v>
      </c>
      <c r="F46" s="5">
        <f>[2]!MotorI_A(D46,f_Hz_,U_V_*C46,Un_V_,In_,fn_,ID_)</f>
        <v>24.526090254624997</v>
      </c>
      <c r="G46" s="5">
        <f>[2]!MotorEff_d(D46,f_Hz_,U_V_*C46,Un_V_,In_,fn_,ID_)</f>
        <v>0.79666612874722464</v>
      </c>
      <c r="H46" s="5">
        <f>[2]!MotorCosPhi_d(D46,f_Hz_,U_V_*C46,Un_V_,In_,fn_,ID_)</f>
        <v>0.74145194972955109</v>
      </c>
      <c r="I46" s="9">
        <f>[2]!MotorS_d(D46,f_Hz_,U_V_*C46,Un_V_,In_,fn_,ID_)</f>
        <v>2.5590820312499998E-2</v>
      </c>
      <c r="J46" s="5"/>
      <c r="K46">
        <f t="shared" si="5"/>
        <v>34.251608029615966</v>
      </c>
    </row>
    <row r="47" spans="3:11" x14ac:dyDescent="0.4">
      <c r="C47">
        <v>1.1000000000000001</v>
      </c>
      <c r="D47" s="10">
        <f t="shared" si="4"/>
        <v>34.247840618059413</v>
      </c>
      <c r="E47" s="5">
        <f>[2]!MotorM_Nm(D47,f_Hz_,U_V_*C47,Un_V_,In_,fn_,ID_)</f>
        <v>109.04013506326122</v>
      </c>
      <c r="F47" s="5">
        <f>[2]!MotorI_A(D47,f_Hz_,U_V_*C47,Un_V_,In_,fn_,ID_)</f>
        <v>24.816715792547608</v>
      </c>
      <c r="G47" s="5">
        <f>[2]!MotorEff_d(D47,f_Hz_,U_V_*C47,Un_V_,In_,fn_,ID_)</f>
        <v>0.78868818540742358</v>
      </c>
      <c r="H47" s="5">
        <f>[2]!MotorCosPhi_d(D47,f_Hz_,U_V_*C47,Un_V_,In_,fn_,ID_)</f>
        <v>0.70662654241632439</v>
      </c>
      <c r="I47" s="9">
        <f>[2]!MotorS_d(D47,f_Hz_,U_V_*C47,Un_V_,In_,fn_,ID_)</f>
        <v>2.2866210937499999E-2</v>
      </c>
      <c r="J47" s="5"/>
      <c r="K47">
        <f t="shared" si="5"/>
        <v>34.255968726117977</v>
      </c>
    </row>
    <row r="48" spans="3:11" x14ac:dyDescent="0.4">
      <c r="C48">
        <v>1.1499999999999999</v>
      </c>
      <c r="D48" s="10">
        <f t="shared" si="4"/>
        <v>34.247840618059413</v>
      </c>
      <c r="E48" s="5">
        <f>[2]!MotorM_Nm(D48,f_Hz_,U_V_*C48,Un_V_,In_,fn_,ID_)</f>
        <v>109.01963135598754</v>
      </c>
      <c r="F48" s="5">
        <f>[2]!MotorI_A(D48,f_Hz_,U_V_*C48,Un_V_,In_,fn_,ID_)</f>
        <v>25.34972864142129</v>
      </c>
      <c r="G48" s="5">
        <f>[2]!MotorEff_d(D48,f_Hz_,U_V_*C48,Un_V_,In_,fn_,ID_)</f>
        <v>0.7787392697867459</v>
      </c>
      <c r="H48" s="5">
        <f>[2]!MotorCosPhi_d(D48,f_Hz_,U_V_*C48,Un_V_,In_,fn_,ID_)</f>
        <v>0.67001939055790682</v>
      </c>
      <c r="I48" s="9">
        <f>[2]!MotorS_d(D48,f_Hz_,U_V_*C48,Un_V_,In_,fn_,ID_)</f>
        <v>2.0581054687499996E-2</v>
      </c>
      <c r="J48" s="5"/>
      <c r="K48">
        <f t="shared" si="5"/>
        <v>34.24952729650375</v>
      </c>
    </row>
    <row r="49" spans="2:11" x14ac:dyDescent="0.4">
      <c r="C49">
        <v>1.2</v>
      </c>
      <c r="D49" s="10">
        <f t="shared" si="4"/>
        <v>34.247840618059413</v>
      </c>
      <c r="E49" s="5">
        <f>[2]!MotorM_Nm(D49,f_Hz_,U_V_*C49,Un_V_,In_,fn_,ID_)</f>
        <v>109.01513257347527</v>
      </c>
      <c r="F49" s="5">
        <f>[2]!MotorI_A(D49,f_Hz_,U_V_*C49,Un_V_,In_,fn_,ID_)</f>
        <v>26.108365357805759</v>
      </c>
      <c r="G49" s="5">
        <f>[2]!MotorEff_d(D49,f_Hz_,U_V_*C49,Un_V_,In_,fn_,ID_)</f>
        <v>0.76712041122479357</v>
      </c>
      <c r="H49" s="5">
        <f>[2]!MotorCosPhi_d(D49,f_Hz_,U_V_*C49,Un_V_,In_,fn_,ID_)</f>
        <v>0.63286082679579569</v>
      </c>
      <c r="I49" s="9">
        <f>[2]!MotorS_d(D49,f_Hz_,U_V_*C49,Un_V_,In_,fn_,ID_)</f>
        <v>1.8647460937499999E-2</v>
      </c>
      <c r="J49" s="5"/>
      <c r="K49">
        <f t="shared" si="5"/>
        <v>34.248113962294688</v>
      </c>
    </row>
    <row r="50" spans="2:11" x14ac:dyDescent="0.4">
      <c r="C50">
        <v>1.25</v>
      </c>
      <c r="D50" s="10">
        <f t="shared" si="4"/>
        <v>34.247840618059413</v>
      </c>
      <c r="E50" s="5">
        <f>[2]!MotorM_Nm(D50,f_Hz_,U_V_*C50,Un_V_,In_,fn_,ID_)</f>
        <v>109.02481482618501</v>
      </c>
      <c r="F50" s="5">
        <f>[2]!MotorI_A(D50,f_Hz_,U_V_*C50,Un_V_,In_,fn_,ID_)</f>
        <v>27.071882012546418</v>
      </c>
      <c r="G50" s="5">
        <f>[2]!MotorEff_d(D50,f_Hz_,U_V_*C50,Un_V_,In_,fn_,ID_)</f>
        <v>0.75405864878598461</v>
      </c>
      <c r="H50" s="5">
        <f>[2]!MotorCosPhi_d(D50,f_Hz_,U_V_*C50,Un_V_,In_,fn_,ID_)</f>
        <v>0.59612545049815535</v>
      </c>
      <c r="I50" s="9">
        <f>[2]!MotorS_d(D50,f_Hz_,U_V_*C50,Un_V_,In_,fn_,ID_)</f>
        <v>1.6992187500000002E-2</v>
      </c>
      <c r="J50" s="5"/>
      <c r="K50">
        <f t="shared" si="5"/>
        <v>34.251155731692997</v>
      </c>
    </row>
    <row r="51" spans="2:11" x14ac:dyDescent="0.4">
      <c r="C51">
        <v>1.3</v>
      </c>
      <c r="D51" s="10">
        <f t="shared" si="4"/>
        <v>34.247840618059413</v>
      </c>
      <c r="E51" s="5">
        <f>[2]!MotorM_Nm(D51,f_Hz_,U_V_*C51,Un_V_,In_,fn_,ID_)</f>
        <v>109.01709318530446</v>
      </c>
      <c r="F51" s="5">
        <f>[2]!MotorI_A(D51,f_Hz_,U_V_*C51,Un_V_,In_,fn_,ID_)</f>
        <v>28.219784187396066</v>
      </c>
      <c r="G51" s="5">
        <f>[2]!MotorEff_d(D51,f_Hz_,U_V_*C51,Un_V_,In_,fn_,ID_)</f>
        <v>0.73971288964782922</v>
      </c>
      <c r="H51" s="5">
        <f>[2]!MotorCosPhi_d(D51,f_Hz_,U_V_*C51,Un_V_,In_,fn_,ID_)</f>
        <v>0.56050599757672359</v>
      </c>
      <c r="I51" s="9">
        <f>[2]!MotorS_d(D51,f_Hz_,U_V_*C51,Un_V_,In_,fn_,ID_)</f>
        <v>1.5556640625E-2</v>
      </c>
      <c r="J51" s="5"/>
      <c r="K51">
        <f t="shared" si="5"/>
        <v>34.248729906666611</v>
      </c>
    </row>
    <row r="56" spans="2:11" x14ac:dyDescent="0.4">
      <c r="B56" t="s">
        <v>51</v>
      </c>
    </row>
    <row r="58" spans="2:11" x14ac:dyDescent="0.4">
      <c r="C58" t="s">
        <v>28</v>
      </c>
      <c r="D58" t="s">
        <v>29</v>
      </c>
      <c r="E58" t="s">
        <v>30</v>
      </c>
      <c r="F58" t="s">
        <v>31</v>
      </c>
      <c r="G58" t="s">
        <v>32</v>
      </c>
    </row>
    <row r="59" spans="2:11" x14ac:dyDescent="0.4">
      <c r="C59">
        <v>0.01</v>
      </c>
      <c r="D59">
        <f>[2]!MotorM_slip_Nm(C59,f_Hz_,U_V_,Un_V_,In_,fn_,ID_)</f>
        <v>39.608358906199349</v>
      </c>
      <c r="E59">
        <f>[2]!MotorI_slip_A(C59,f_Hz_,U_V_,Un_V_,In_,fn_,ID_)</f>
        <v>15.104941214199561</v>
      </c>
      <c r="F59">
        <f>[2]!MotorCosPhi_slip(C59,f_Hz_,U_V_,Un_V_,In_,fn_,ID_)</f>
        <v>0.53930529516342196</v>
      </c>
      <c r="G59">
        <f>[2]!MotorEff_slip(C59,f_Hz_,U_V_,Un_V_,In_,fn_,ID_)</f>
        <v>0.67838934453247857</v>
      </c>
    </row>
    <row r="60" spans="2:11" x14ac:dyDescent="0.4">
      <c r="C60">
        <v>0.02</v>
      </c>
      <c r="D60">
        <f>[2]!MotorM_slip_Nm(C60,f_Hz_,U_V_,Un_V_,In_,fn_,ID_)</f>
        <v>78.961166678075585</v>
      </c>
      <c r="E60">
        <f>[2]!MotorI_slip_A(C60,f_Hz_,U_V_,Un_V_,In_,fn_,ID_)</f>
        <v>19.845934678933901</v>
      </c>
      <c r="F60">
        <f>[2]!MotorCosPhi_slip(C60,f_Hz_,U_V_,Un_V_,In_,fn_,ID_)</f>
        <v>0.71171709073689249</v>
      </c>
      <c r="G60">
        <f>[2]!MotorEff_slip(C60,f_Hz_,U_V_,Un_V_,In_,fn_,ID_)</f>
        <v>0.77997466666664861</v>
      </c>
    </row>
    <row r="61" spans="2:11" x14ac:dyDescent="0.4">
      <c r="C61">
        <v>0.03</v>
      </c>
      <c r="D61">
        <f>[2]!MotorM_slip_Nm(C61,f_Hz_,U_V_,Un_V_,In_,fn_,ID_)</f>
        <v>112.38583762036191</v>
      </c>
      <c r="E61">
        <f>[2]!MotorI_slip_A(C61,f_Hz_,U_V_,Un_V_,In_,fn_,ID_)</f>
        <v>25.086347343148255</v>
      </c>
      <c r="F61">
        <f>[2]!MotorCosPhi_slip(C61,f_Hz_,U_V_,Un_V_,In_,fn_,ID_)</f>
        <v>0.77795010022972988</v>
      </c>
      <c r="G61">
        <f>[2]!MotorEff_slip(C61,f_Hz_,U_V_,Un_V_,In_,fn_,ID_)</f>
        <v>0.80346748730462503</v>
      </c>
    </row>
    <row r="62" spans="2:11" x14ac:dyDescent="0.4">
      <c r="C62">
        <v>0.04</v>
      </c>
      <c r="D62">
        <f>[2]!MotorM_slip_Nm(C62,f_Hz_,U_V_,Un_V_,In_,fn_,ID_)</f>
        <v>140.15400739194988</v>
      </c>
      <c r="E62">
        <f>[2]!MotorI_slip_A(C62,f_Hz_,U_V_,Un_V_,In_,fn_,ID_)</f>
        <v>30.245716265644699</v>
      </c>
      <c r="F62">
        <f>[2]!MotorCosPhi_slip(C62,f_Hz_,U_V_,Un_V_,In_,fn_,ID_)</f>
        <v>0.80315656676324543</v>
      </c>
      <c r="G62">
        <f>[2]!MotorEff_slip(C62,f_Hz_,U_V_,Un_V_,In_,fn_,ID_)</f>
        <v>0.8049841414689457</v>
      </c>
    </row>
    <row r="63" spans="2:11" x14ac:dyDescent="0.4">
      <c r="C63">
        <v>0.05</v>
      </c>
      <c r="D63">
        <f>[2]!MotorM_slip_Nm(C63,f_Hz_,U_V_,Un_V_,In_,fn_,ID_)</f>
        <v>162.7430361524367</v>
      </c>
      <c r="E63">
        <f>[2]!MotorI_slip_A(C63,f_Hz_,U_V_,Un_V_,In_,fn_,ID_)</f>
        <v>35.116409416292868</v>
      </c>
      <c r="F63">
        <f>[2]!MotorCosPhi_slip(C63,f_Hz_,U_V_,Un_V_,In_,fn_,ID_)</f>
        <v>0.8105111937087619</v>
      </c>
      <c r="G63">
        <f>[2]!MotorEff_slip(C63,f_Hz_,U_V_,Un_V_,In_,fn_,ID_)</f>
        <v>0.79777272862267268</v>
      </c>
    </row>
    <row r="64" spans="2:11" x14ac:dyDescent="0.4">
      <c r="C64">
        <v>0.06</v>
      </c>
      <c r="D64">
        <f>[2]!MotorM_slip_Nm(C64,f_Hz_,U_V_,Un_V_,In_,fn_,ID_)</f>
        <v>180.73586758391954</v>
      </c>
      <c r="E64">
        <f>[2]!MotorI_slip_A(C64,f_Hz_,U_V_,Un_V_,In_,fn_,ID_)</f>
        <v>39.62754312774674</v>
      </c>
      <c r="F64">
        <f>[2]!MotorCosPhi_slip(C64,f_Hz_,U_V_,Un_V_,In_,fn_,ID_)</f>
        <v>0.80904472953418249</v>
      </c>
      <c r="G64">
        <f>[2]!MotorEff_slip(C64,f_Hz_,U_V_,Un_V_,In_,fn_,ID_)</f>
        <v>0.78653954181474228</v>
      </c>
    </row>
    <row r="65" spans="3:7" x14ac:dyDescent="0.4">
      <c r="C65">
        <v>7.0000000000000007E-2</v>
      </c>
      <c r="D65">
        <f>[2]!MotorM_slip_Nm(C65,f_Hz_,U_V_,Un_V_,In_,fn_,ID_)</f>
        <v>194.7467379562822</v>
      </c>
      <c r="E65">
        <f>[2]!MotorI_slip_A(C65,f_Hz_,U_V_,Un_V_,In_,fn_,ID_)</f>
        <v>43.764532591570777</v>
      </c>
      <c r="F65">
        <f>[2]!MotorCosPhi_slip(C65,f_Hz_,U_V_,Un_V_,In_,fn_,ID_)</f>
        <v>0.80281963854201122</v>
      </c>
      <c r="G65">
        <f>[2]!MotorEff_slip(C65,f_Hz_,U_V_,Un_V_,In_,fn_,ID_)</f>
        <v>0.77334948873197407</v>
      </c>
    </row>
    <row r="66" spans="3:7" x14ac:dyDescent="0.4">
      <c r="C66">
        <v>0.08</v>
      </c>
      <c r="D66">
        <f>[2]!MotorM_slip_Nm(C66,f_Hz_,U_V_,Un_V_,In_,fn_,ID_)</f>
        <v>205.37186498482885</v>
      </c>
      <c r="E66">
        <f>[2]!MotorI_slip_A(C66,f_Hz_,U_V_,Un_V_,In_,fn_,ID_)</f>
        <v>47.538130915440121</v>
      </c>
      <c r="F66">
        <f>[2]!MotorCosPhi_slip(C66,f_Hz_,U_V_,Un_V_,In_,fn_,ID_)</f>
        <v>0.79390778831755127</v>
      </c>
      <c r="G66">
        <f>[2]!MotorEff_slip(C66,f_Hz_,U_V_,Un_V_,In_,fn_,ID_)</f>
        <v>0.75923229867090569</v>
      </c>
    </row>
    <row r="67" spans="3:7" x14ac:dyDescent="0.4">
      <c r="C67">
        <v>0.09</v>
      </c>
      <c r="D67">
        <f>[2]!MotorM_slip_Nm(C67,f_Hz_,U_V_,Un_V_,In_,fn_,ID_)</f>
        <v>213.16055550199957</v>
      </c>
      <c r="E67">
        <f>[2]!MotorI_slip_A(C67,f_Hz_,U_V_,Un_V_,In_,fn_,ID_)</f>
        <v>50.970680889366683</v>
      </c>
      <c r="F67">
        <f>[2]!MotorCosPhi_slip(C67,f_Hz_,U_V_,Un_V_,In_,fn_,ID_)</f>
        <v>0.78347335192939771</v>
      </c>
      <c r="G67">
        <f>[2]!MotorEff_slip(C67,f_Hz_,U_V_,Un_V_,In_,fn_,ID_)</f>
        <v>0.74474581552188734</v>
      </c>
    </row>
    <row r="68" spans="3:7" x14ac:dyDescent="0.4">
      <c r="C68">
        <v>0.1</v>
      </c>
      <c r="D68">
        <f>[2]!MotorM_slip_Nm(C68,f_Hz_,U_V_,Un_V_,In_,fn_,ID_)</f>
        <v>218.60122757186335</v>
      </c>
      <c r="E68">
        <f>[2]!MotorI_slip_A(C68,f_Hz_,U_V_,Un_V_,In_,fn_,ID_)</f>
        <v>54.089325549223155</v>
      </c>
      <c r="F68">
        <f>[2]!MotorCosPhi_slip(C68,f_Hz_,U_V_,Un_V_,In_,fn_,ID_)</f>
        <v>0.77221769132038309</v>
      </c>
      <c r="G68">
        <f>[2]!MotorEff_slip(C68,f_Hz_,U_V_,Un_V_,In_,fn_,ID_)</f>
        <v>0.73020899138938566</v>
      </c>
    </row>
    <row r="69" spans="3:7" x14ac:dyDescent="0.4">
      <c r="C69">
        <v>0.15</v>
      </c>
      <c r="D69">
        <f>[2]!MotorM_slip_Nm(C69,f_Hz_,U_V_,Un_V_,In_,fn_,ID_)</f>
        <v>223.32317340673291</v>
      </c>
      <c r="E69">
        <f>[2]!MotorI_slip_A(C69,f_Hz_,U_V_,Un_V_,In_,fn_,ID_)</f>
        <v>65.927194912721205</v>
      </c>
      <c r="F69">
        <f>[2]!MotorCosPhi_slip(C69,f_Hz_,U_V_,Un_V_,In_,fn_,ID_)</f>
        <v>0.71472601648232958</v>
      </c>
      <c r="G69">
        <f>[2]!MotorEff_slip(C69,f_Hz_,U_V_,Un_V_,In_,fn_,ID_)</f>
        <v>0.66126493649747031</v>
      </c>
    </row>
    <row r="70" spans="3:7" x14ac:dyDescent="0.4">
      <c r="C70">
        <v>0.2</v>
      </c>
      <c r="D70">
        <f>[2]!MotorM_slip_Nm(C70,f_Hz_,U_V_,Un_V_,In_,fn_,ID_)</f>
        <v>210.69763444962697</v>
      </c>
      <c r="E70">
        <f>[2]!MotorI_slip_A(C70,f_Hz_,U_V_,Un_V_,In_,fn_,ID_)</f>
        <v>73.50096208136182</v>
      </c>
      <c r="F70">
        <f>[2]!MotorCosPhi_slip(C70,f_Hz_,U_V_,Un_V_,In_,fn_,ID_)</f>
        <v>0.66489870732990719</v>
      </c>
      <c r="G70">
        <f>[2]!MotorEff_slip(C70,f_Hz_,U_V_,Un_V_,In_,fn_,ID_)</f>
        <v>0.6015296518680664</v>
      </c>
    </row>
    <row r="71" spans="3:7" x14ac:dyDescent="0.4">
      <c r="C71">
        <v>0.25</v>
      </c>
      <c r="D71">
        <f>[2]!MotorM_slip_Nm(C71,f_Hz_,U_V_,Un_V_,In_,fn_,ID_)</f>
        <v>193.72077665178944</v>
      </c>
      <c r="E71">
        <f>[2]!MotorI_slip_A(C71,f_Hz_,U_V_,Un_V_,In_,fn_,ID_)</f>
        <v>78.591655554324802</v>
      </c>
      <c r="F71">
        <f>[2]!MotorCosPhi_slip(C71,f_Hz_,U_V_,Un_V_,In_,fn_,ID_)</f>
        <v>0.62460974003737102</v>
      </c>
      <c r="G71">
        <f>[2]!MotorEff_slip(C71,f_Hz_,U_V_,Un_V_,In_,fn_,ID_)</f>
        <v>0.5506008847306072</v>
      </c>
    </row>
    <row r="72" spans="3:7" x14ac:dyDescent="0.4">
      <c r="C72">
        <v>0.3</v>
      </c>
      <c r="D72">
        <f>[2]!MotorM_slip_Nm(C72,f_Hz_,U_V_,Un_V_,In_,fn_,ID_)</f>
        <v>176.87432934911769</v>
      </c>
      <c r="E72">
        <f>[2]!MotorI_slip_A(C72,f_Hz_,U_V_,Un_V_,In_,fn_,ID_)</f>
        <v>82.180136269816401</v>
      </c>
      <c r="F72">
        <f>[2]!MotorCosPhi_slip(C72,f_Hz_,U_V_,Un_V_,In_,fn_,ID_)</f>
        <v>0.59226957614643272</v>
      </c>
      <c r="G72">
        <f>[2]!MotorEff_slip(C72,f_Hz_,U_V_,Un_V_,In_,fn_,ID_)</f>
        <v>0.50701921422493879</v>
      </c>
    </row>
    <row r="73" spans="3:7" x14ac:dyDescent="0.4">
      <c r="C73">
        <v>0.35</v>
      </c>
      <c r="D73">
        <f>[2]!MotorM_slip_Nm(C73,f_Hz_,U_V_,Un_V_,In_,fn_,ID_)</f>
        <v>161.53818949891476</v>
      </c>
      <c r="E73">
        <f>[2]!MotorI_slip_A(C73,f_Hz_,U_V_,Un_V_,In_,fn_,ID_)</f>
        <v>84.8151893504795</v>
      </c>
      <c r="F73">
        <f>[2]!MotorCosPhi_slip(C73,f_Hz_,U_V_,Un_V_,In_,fn_,ID_)</f>
        <v>0.56607898340877727</v>
      </c>
      <c r="G73">
        <f>[2]!MotorEff_slip(C73,f_Hz_,U_V_,Un_V_,In_,fn_,ID_)</f>
        <v>0.46942956337323916</v>
      </c>
    </row>
    <row r="74" spans="3:7" x14ac:dyDescent="0.4">
      <c r="C74">
        <v>0.4</v>
      </c>
      <c r="D74">
        <f>[2]!MotorM_slip_Nm(C74,f_Hz_,U_V_,Un_V_,In_,fn_,ID_)</f>
        <v>147.99285845856082</v>
      </c>
      <c r="E74">
        <f>[2]!MotorI_slip_A(C74,f_Hz_,U_V_,Un_V_,In_,fn_,ID_)</f>
        <v>86.817152865901875</v>
      </c>
      <c r="F74">
        <f>[2]!MotorCosPhi_slip(C74,f_Hz_,U_V_,Un_V_,In_,fn_,ID_)</f>
        <v>0.54458720710936326</v>
      </c>
      <c r="G74">
        <f>[2]!MotorEff_slip(C74,f_Hz_,U_V_,Un_V_,In_,fn_,ID_)</f>
        <v>0.43673065529052202</v>
      </c>
    </row>
    <row r="75" spans="3:7" x14ac:dyDescent="0.4">
      <c r="C75">
        <v>0.45</v>
      </c>
      <c r="D75">
        <f>[2]!MotorM_slip_Nm(C75,f_Hz_,U_V_,Un_V_,In_,fn_,ID_)</f>
        <v>136.14543247007438</v>
      </c>
      <c r="E75">
        <f>[2]!MotorI_slip_A(C75,f_Hz_,U_V_,Un_V_,In_,fn_,ID_)</f>
        <v>88.381733421379252</v>
      </c>
      <c r="F75">
        <f>[2]!MotorCosPhi_slip(C75,f_Hz_,U_V_,Un_V_,In_,fn_,ID_)</f>
        <v>0.5267080135593859</v>
      </c>
      <c r="G75">
        <f>[2]!MotorEff_slip(C75,f_Hz_,U_V_,Un_V_,In_,fn_,ID_)</f>
        <v>0.40805295554366355</v>
      </c>
    </row>
    <row r="76" spans="3:7" x14ac:dyDescent="0.4">
      <c r="C76">
        <v>0.5</v>
      </c>
      <c r="D76">
        <f>[2]!MotorM_slip_Nm(C76,f_Hz_,U_V_,Un_V_,In_,fn_,ID_)</f>
        <v>125.79462110196265</v>
      </c>
      <c r="E76">
        <f>[2]!MotorI_slip_A(C76,f_Hz_,U_V_,Un_V_,In_,fn_,ID_)</f>
        <v>89.633667709409409</v>
      </c>
      <c r="F76">
        <f>[2]!MotorCosPhi_slip(C76,f_Hz_,U_V_,Un_V_,In_,fn_,ID_)</f>
        <v>0.51164058968040782</v>
      </c>
      <c r="G76">
        <f>[2]!MotorEff_slip(C76,f_Hz_,U_V_,Un_V_,In_,fn_,ID_)</f>
        <v>0.38271175865894175</v>
      </c>
    </row>
    <row r="77" spans="3:7" x14ac:dyDescent="0.4">
      <c r="C77">
        <v>0.55000000000000004</v>
      </c>
      <c r="D77">
        <f>[2]!MotorM_slip_Nm(C77,f_Hz_,U_V_,Un_V_,In_,fn_,ID_)</f>
        <v>116.72644833773566</v>
      </c>
      <c r="E77">
        <f>[2]!MotorI_slip_A(C77,f_Hz_,U_V_,Un_V_,In_,fn_,ID_)</f>
        <v>90.655507511120277</v>
      </c>
      <c r="F77">
        <f>[2]!MotorCosPhi_slip(C77,f_Hz_,U_V_,Un_V_,In_,fn_,ID_)</f>
        <v>0.49879229685296572</v>
      </c>
      <c r="G77">
        <f>[2]!MotorEff_slip(C77,f_Hz_,U_V_,Un_V_,In_,fn_,ID_)</f>
        <v>0.36016477297962607</v>
      </c>
    </row>
    <row r="78" spans="3:7" x14ac:dyDescent="0.4">
      <c r="C78">
        <v>0.6</v>
      </c>
      <c r="D78">
        <f>[2]!MotorM_slip_Nm(C78,f_Hz_,U_V_,Un_V_,In_,fn_,ID_)</f>
        <v>108.74642265459835</v>
      </c>
      <c r="E78">
        <f>[2]!MotorI_slip_A(C78,f_Hz_,U_V_,Un_V_,In_,fn_,ID_)</f>
        <v>91.503716827630726</v>
      </c>
      <c r="F78">
        <f>[2]!MotorCosPhi_slip(C78,f_Hz_,U_V_,Un_V_,In_,fn_,ID_)</f>
        <v>0.48771976547797347</v>
      </c>
      <c r="G78">
        <f>[2]!MotorEff_slip(C78,f_Hz_,U_V_,Un_V_,In_,fn_,ID_)</f>
        <v>0.33997875622062429</v>
      </c>
    </row>
    <row r="79" spans="3:7" x14ac:dyDescent="0.4">
      <c r="C79">
        <v>0.65</v>
      </c>
      <c r="D79">
        <f>[2]!MotorM_slip_Nm(C79,f_Hz_,U_V_,Un_V_,In_,fn_,ID_)</f>
        <v>101.68775317776881</v>
      </c>
      <c r="E79">
        <f>[2]!MotorI_slip_A(C79,f_Hz_,U_V_,Un_V_,In_,fn_,ID_)</f>
        <v>92.218043532610011</v>
      </c>
      <c r="F79">
        <f>[2]!MotorCosPhi_slip(C79,f_Hz_,U_V_,Un_V_,In_,fn_,ID_)</f>
        <v>0.47808686595023964</v>
      </c>
      <c r="G79">
        <f>[2]!MotorEff_slip(C79,f_Hz_,U_V_,Un_V_,In_,fn_,ID_)</f>
        <v>0.32180428864202743</v>
      </c>
    </row>
    <row r="80" spans="3:7" x14ac:dyDescent="0.4">
      <c r="C80">
        <v>0.7</v>
      </c>
      <c r="D80">
        <f>[2]!MotorM_slip_Nm(C80,f_Hz_,U_V_,Un_V_,In_,fn_,ID_)</f>
        <v>95.410828175509394</v>
      </c>
      <c r="E80">
        <f>[2]!MotorI_slip_A(C80,f_Hz_,U_V_,Un_V_,In_,fn_,ID_)</f>
        <v>92.827181463336657</v>
      </c>
      <c r="F80">
        <f>[2]!MotorCosPhi_slip(C80,f_Hz_,U_V_,Un_V_,In_,fn_,ID_)</f>
        <v>0.46963524515964844</v>
      </c>
      <c r="G80">
        <f>[2]!MotorEff_slip(C80,f_Hz_,U_V_,Un_V_,In_,fn_,ID_)</f>
        <v>0.30535688186405624</v>
      </c>
    </row>
    <row r="81" spans="3:7" x14ac:dyDescent="0.4">
      <c r="C81">
        <v>0.75</v>
      </c>
      <c r="D81">
        <f>[2]!MotorM_slip_Nm(C81,f_Hz_,U_V_,Un_V_,In_,fn_,ID_)</f>
        <v>89.799882710322919</v>
      </c>
      <c r="E81">
        <f>[2]!MotorI_slip_A(C81,f_Hz_,U_V_,Un_V_,In_,fn_,ID_)</f>
        <v>93.352307704856983</v>
      </c>
      <c r="F81">
        <f>[2]!MotorCosPhi_slip(C81,f_Hz_,U_V_,Un_V_,In_,fn_,ID_)</f>
        <v>0.46216366001721754</v>
      </c>
      <c r="G81">
        <f>[2]!MotorEff_slip(C81,f_Hz_,U_V_,Un_V_,In_,fn_,ID_)</f>
        <v>0.29040280724140505</v>
      </c>
    </row>
    <row r="82" spans="3:7" x14ac:dyDescent="0.4">
      <c r="C82">
        <v>0.8</v>
      </c>
      <c r="D82">
        <f>[2]!MotorM_slip_Nm(C82,f_Hz_,U_V_,Un_V_,In_,fn_,ID_)</f>
        <v>84.759134117880279</v>
      </c>
      <c r="E82">
        <f>[2]!MotorI_slip_A(C82,f_Hz_,U_V_,Un_V_,In_,fn_,ID_)</f>
        <v>93.809359767998018</v>
      </c>
      <c r="F82">
        <f>[2]!MotorCosPhi_slip(C82,f_Hz_,U_V_,Un_V_,In_,fn_,ID_)</f>
        <v>0.45551336214522847</v>
      </c>
      <c r="G82">
        <f>[2]!MotorEff_slip(C82,f_Hz_,U_V_,Un_V_,In_,fn_,ID_)</f>
        <v>0.27674839523045131</v>
      </c>
    </row>
    <row r="83" spans="3:7" x14ac:dyDescent="0.4">
      <c r="C83">
        <v>0.85</v>
      </c>
      <c r="D83">
        <f>[2]!MotorM_slip_Nm(C83,f_Hz_,U_V_,Un_V_,In_,fn_,ID_)</f>
        <v>80.209206232685219</v>
      </c>
      <c r="E83">
        <f>[2]!MotorI_slip_A(C83,f_Hz_,U_V_,Un_V_,In_,fn_,ID_)</f>
        <v>94.210541498230256</v>
      </c>
      <c r="F83">
        <f>[2]!MotorCosPhi_slip(C83,f_Hz_,U_V_,Un_V_,In_,fn_,ID_)</f>
        <v>0.44955764318742869</v>
      </c>
      <c r="G83">
        <f>[2]!MotorEff_slip(C83,f_Hz_,U_V_,Un_V_,In_,fn_,ID_)</f>
        <v>0.26423188668278136</v>
      </c>
    </row>
    <row r="84" spans="3:7" x14ac:dyDescent="0.4">
      <c r="C84">
        <v>0.9</v>
      </c>
      <c r="D84">
        <f>[2]!MotorM_slip_Nm(C84,f_Hz_,U_V_,Un_V_,In_,fn_,ID_)</f>
        <v>76.084081734269972</v>
      </c>
      <c r="E84">
        <f>[2]!MotorI_slip_A(C84,f_Hz_,U_V_,Un_V_,In_,fn_,ID_)</f>
        <v>94.565343243712292</v>
      </c>
      <c r="F84">
        <f>[2]!MotorCosPhi_slip(C84,f_Hz_,U_V_,Un_V_,In_,fn_,ID_)</f>
        <v>0.44419426131249323</v>
      </c>
      <c r="G84">
        <f>[2]!MotorEff_slip(C84,f_Hz_,U_V_,Un_V_,In_,fn_,ID_)</f>
        <v>0.25271717010974837</v>
      </c>
    </row>
    <row r="85" spans="3:7" x14ac:dyDescent="0.4">
      <c r="C85">
        <v>0.95</v>
      </c>
      <c r="D85">
        <f>[2]!MotorM_slip_Nm(C85,f_Hz_,U_V_,Un_V_,In_,fn_,ID_)</f>
        <v>72.328597883669957</v>
      </c>
      <c r="E85">
        <f>[2]!MotorI_slip_A(C85,f_Hz_,U_V_,Un_V_,In_,fn_,ID_)</f>
        <v>94.881248110555049</v>
      </c>
      <c r="F85">
        <f>[2]!MotorCosPhi_slip(C85,f_Hz_,U_V_,Un_V_,In_,fn_,ID_)</f>
        <v>0.4393398840283923</v>
      </c>
      <c r="G85">
        <f>[2]!MotorEff_slip(C85,f_Hz_,U_V_,Un_V_,In_,fn_,ID_)</f>
        <v>0.24208892348937669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9</vt:i4>
      </vt:variant>
    </vt:vector>
  </HeadingPairs>
  <TitlesOfParts>
    <vt:vector size="12" baseType="lpstr">
      <vt:lpstr>U коррекция</vt:lpstr>
      <vt:lpstr>Новомет 117</vt:lpstr>
      <vt:lpstr>Лист1</vt:lpstr>
      <vt:lpstr>f_Hz_</vt:lpstr>
      <vt:lpstr>fn_</vt:lpstr>
      <vt:lpstr>ID_</vt:lpstr>
      <vt:lpstr>In_</vt:lpstr>
      <vt:lpstr>numPts</vt:lpstr>
      <vt:lpstr>Pnom_</vt:lpstr>
      <vt:lpstr>root3</vt:lpstr>
      <vt:lpstr>U_V_</vt:lpstr>
      <vt:lpstr>Un_V_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2018-07-06T18:53:56Z</dcterms:created>
  <dcterms:modified xsi:type="dcterms:W3CDTF">2019-03-17T13:05:19Z</dcterms:modified>
</cp:coreProperties>
</file>