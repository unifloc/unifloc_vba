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"/>
    </mc:Choice>
  </mc:AlternateContent>
  <xr:revisionPtr revIDLastSave="0" documentId="13_ncr:1_{2F0414F7-8735-4D64-862F-BEC41F5E3DCB}" xr6:coauthVersionLast="33" xr6:coauthVersionMax="33" xr10:uidLastSave="{00000000-0000-0000-0000-000000000000}"/>
  <bookViews>
    <workbookView xWindow="0" yWindow="0" windowWidth="25600" windowHeight="10400" tabRatio="264" firstSheet="1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T33" i="4"/>
  <c r="C2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3" i="4"/>
  <c r="I33" i="4"/>
  <c r="M33" i="4"/>
  <c r="E35" i="4"/>
  <c r="M36" i="4"/>
  <c r="M32" i="4"/>
  <c r="C28" i="4"/>
  <c r="I34" i="4"/>
  <c r="C36" i="4"/>
  <c r="E33" i="4"/>
  <c r="C37" i="4"/>
  <c r="V33" i="4"/>
  <c r="M37" i="4"/>
  <c r="C26" i="4"/>
  <c r="T35" i="4"/>
  <c r="C35" i="4"/>
  <c r="E36" i="4"/>
  <c r="I37" i="4"/>
  <c r="C34" i="4"/>
  <c r="M35" i="4"/>
  <c r="E34" i="4"/>
  <c r="C33" i="4"/>
  <c r="E37" i="4"/>
  <c r="C45" i="4"/>
  <c r="C27" i="4"/>
  <c r="I36" i="4"/>
  <c r="G23" i="4"/>
  <c r="I35" i="4"/>
  <c r="V34" i="4"/>
  <c r="E32" i="4"/>
  <c r="T34" i="4"/>
  <c r="I32" i="4"/>
  <c r="C44" i="4"/>
  <c r="C32" i="4"/>
  <c r="U34" i="4" l="1"/>
  <c r="AA33" i="4" s="1"/>
  <c r="W34" i="4"/>
  <c r="AB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V35" i="4"/>
  <c r="T36" i="4"/>
  <c r="V36" i="4"/>
  <c r="W35" i="4" l="1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<sst xmlns="http://schemas.openxmlformats.org/spreadsheetml/2006/main" count="267" uniqueCount="177">
  <si>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</si>
  <si>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</si>
  <si>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</si>
  <si>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</si>
  <si>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</si>
  <si>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</si>
  <si>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</si>
  <si>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</si>
  <si>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</si>
  <si>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</si>
  <si>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</si>
  <si>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</si>
  <si>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</si>
  <si>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</si>
  <si>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</si>
  <si>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</si>
  <si>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</si>
  <si>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</si>
  <si>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</si>
  <si>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</si>
  <si>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</si>
  <si>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</si>
  <si>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</si>
  <si>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</si>
  <si>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</si>
  <si>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</si>
  <si>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</si>
  <si>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</si>
  <si>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</si>
  <si>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</si>
  <si>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</si>
  <si>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</si>
  <si>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</si>
  <si>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</si>
  <si>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</si>
  <si>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</si>
  <si>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</si>
  <si>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</si>
  <si>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</si>
  <si>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</si>
  <si>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</si>
  <si>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</si>
  <si>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</si>
  <si>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</si>
  <si>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</si>
  <si>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</si>
  <si>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</si>
  <si>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</si>
  <si>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</si>
  <si>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</si>
  <si>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</si>
  <si>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</si>
  <si>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</si>
  <si>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</si>
  <si>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</si>
  <si>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</si>
  <si>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</si>
  <si>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</si>
  <si>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</si>
  <si>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</si>
  <si>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</si>
  <si>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</si>
  <si>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</si>
  <si>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</si>
  <si>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</si>
  <si>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</si>
  <si>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</si>
  <si>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</si>
  <si>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</si>
  <si>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</si>
  <si>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</si>
  <si>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</si>
  <si>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</si>
  <si>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</si>
  <si>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</si>
  <si>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</si>
  <si>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</si>
  <si>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</si>
  <si>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</si>
  <si>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</si>
  <si>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</si>
  <si>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</si>
  <si>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</si>
  <si>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</si>
  <si>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</si>
  <si>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</si>
  <si>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</si>
  <si>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</si>
  <si>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</si>
  <si>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</si>
  <si>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</si>
  <si>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</si>
  <si>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</si>
  <si>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</si>
  <si>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</si>
  <si>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</si>
  <si>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</si>
  <si>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</si>
  <si>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</si>
  <si>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</si>
  <si>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</si>
  <si>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</si>
  <si>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</si>
  <si>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</si>
  <si>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</si>
  <si>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</si>
  <si>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</si>
  <si>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</si>
  <si>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</si>
  <si>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</si>
  <si>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</si>
  <si>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</si>
  <si>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</si>
  <si>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</si>
  <si>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</si>
  <si>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</si>
  <si>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</si>
  <si>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</si>
  <si>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</si>
  <si>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</si>
  <si>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</si>
  <si>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</si>
  <si>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</si>
  <si>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</si>
  <si>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</si>
  <si>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</si>
  <si>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</si>
  <si>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</si>
  <si>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</si>
  <si>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</si>
  <si>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</si>
  <si>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</si>
  <si>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</si>
  <si>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</si>
  <si>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</si>
  <si>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</si>
  <si>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</si>
  <si>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</si>
  <si>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</si>
  <si>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</si>
  <si>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</si>
  <si>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</si>
  <si>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</si>
  <si>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</si>
  <si>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</si>
  <si>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</si>
  <si>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</si>
  <si>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</si>
  <si>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</si>
  <si>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</si>
  <si>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</si>
  <si>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</si>
  <si>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</si>
  <si>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</si>
  <si>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</si>
  <si>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</si>
  <si>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</si>
  <si>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</si>
  <si>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</si>
  <si>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</si>
  <si>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</si>
  <si>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hmes ptub</t>
  </si>
  <si>
    <t>Ptub</t>
  </si>
  <si>
    <t>Ttub</t>
  </si>
  <si>
    <t>Hl</t>
  </si>
  <si>
    <t>Tamb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</si>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</sst>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0.7529672135631339</c:v>
                </c:pt>
                <c:pt idx="1">
                  <c:v>0.78246585509503408</c:v>
                </c:pt>
                <c:pt idx="2">
                  <c:v>0.83055501862493808</c:v>
                </c:pt>
                <c:pt idx="3">
                  <c:v>0.87834189134973395</c:v>
                </c:pt>
                <c:pt idx="4">
                  <c:v>0.9233046880365503</c:v>
                </c:pt>
                <c:pt idx="5">
                  <c:v>0.96540148033445405</c:v>
                </c:pt>
                <c:pt idx="6">
                  <c:v>0.99693856490432609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97.914613872702645</c:v>
                </c:pt>
                <c:pt idx="1">
                  <c:v>112.48392165737415</c:v>
                </c:pt>
                <c:pt idx="2">
                  <c:v>127.66335087023843</c:v>
                </c:pt>
                <c:pt idx="3">
                  <c:v>143.57910313170819</c:v>
                </c:pt>
                <c:pt idx="4">
                  <c:v>160.16902742805533</c:v>
                </c:pt>
                <c:pt idx="5">
                  <c:v>177.24188386955453</c:v>
                </c:pt>
                <c:pt idx="6">
                  <c:v>194.18666436290218</c:v>
                </c:pt>
                <c:pt idx="7">
                  <c:v>210.57045185509634</c:v>
                </c:pt>
                <c:pt idx="8">
                  <c:v>226.31814135257093</c:v>
                </c:pt>
                <c:pt idx="9">
                  <c:v>241.43395592020008</c:v>
                </c:pt>
                <c:pt idx="10">
                  <c:v>255.91364470203382</c:v>
                </c:pt>
                <c:pt idx="11">
                  <c:v>269.75402967104066</c:v>
                </c:pt>
                <c:pt idx="12">
                  <c:v>282.95278940660512</c:v>
                </c:pt>
                <c:pt idx="13">
                  <c:v>295.4982067221776</c:v>
                </c:pt>
                <c:pt idx="14">
                  <c:v>302.37794551884548</c:v>
                </c:pt>
                <c:pt idx="15">
                  <c:v>307.32327474708063</c:v>
                </c:pt>
                <c:pt idx="16">
                  <c:v>316.92862999481895</c:v>
                </c:pt>
                <c:pt idx="17">
                  <c:v>319.43946929506626</c:v>
                </c:pt>
                <c:pt idx="18">
                  <c:v>320.96178250974532</c:v>
                </c:pt>
                <c:pt idx="19">
                  <c:v>322.48195911932436</c:v>
                </c:pt>
                <c:pt idx="20">
                  <c:v>324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00BBCD3-6887-4ABE-BAE1-C53587799164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5CE3EB1-04DD-4EC7-A2F7-D604E8C2C0D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FA15339-2234-45C7-8382-FBFA89DB322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EDBC87-2836-436B-B978-73E090E5EED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FE0822-1F66-47B6-8B92-D4B318265935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0D552A-B452-4436-BF3F-281853701AE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1</c:v>
                </c:pt>
                <c:pt idx="1">
                  <c:v>97.914613872702645</c:v>
                </c:pt>
                <c:pt idx="2">
                  <c:v>324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60.000000000000291</c:v>
                </c:pt>
                <c:pt idx="1">
                  <c:v>61.578947368421353</c:v>
                </c:pt>
                <c:pt idx="2">
                  <c:v>63.157894736842408</c:v>
                </c:pt>
                <c:pt idx="3">
                  <c:v>64.736842105263463</c:v>
                </c:pt>
                <c:pt idx="4">
                  <c:v>66.31578947368449</c:v>
                </c:pt>
                <c:pt idx="5">
                  <c:v>67.89473684210553</c:v>
                </c:pt>
                <c:pt idx="6">
                  <c:v>69.473684210526557</c:v>
                </c:pt>
                <c:pt idx="7">
                  <c:v>71.052631578947597</c:v>
                </c:pt>
                <c:pt idx="8">
                  <c:v>72.631578947368624</c:v>
                </c:pt>
                <c:pt idx="9">
                  <c:v>74.210526315789664</c:v>
                </c:pt>
                <c:pt idx="10">
                  <c:v>75.789473684210691</c:v>
                </c:pt>
                <c:pt idx="11">
                  <c:v>77.368421052631732</c:v>
                </c:pt>
                <c:pt idx="12">
                  <c:v>78.947368421052758</c:v>
                </c:pt>
                <c:pt idx="13">
                  <c:v>80.526315789473799</c:v>
                </c:pt>
                <c:pt idx="14">
                  <c:v>81.42857142857153</c:v>
                </c:pt>
                <c:pt idx="15">
                  <c:v>82.105263157894825</c:v>
                </c:pt>
                <c:pt idx="16">
                  <c:v>83.684210526315866</c:v>
                </c:pt>
                <c:pt idx="17">
                  <c:v>85.263157894736892</c:v>
                </c:pt>
                <c:pt idx="18">
                  <c:v>86.842105263157933</c:v>
                </c:pt>
                <c:pt idx="19">
                  <c:v>88.421052631578974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60.000000000000291</c:v>
                </c:pt>
                <c:pt idx="1">
                  <c:v>61.578947368421353</c:v>
                </c:pt>
                <c:pt idx="2">
                  <c:v>63.157894736842408</c:v>
                </c:pt>
                <c:pt idx="3">
                  <c:v>64.736842105263463</c:v>
                </c:pt>
                <c:pt idx="4">
                  <c:v>66.31578947368449</c:v>
                </c:pt>
                <c:pt idx="5">
                  <c:v>67.89473684210553</c:v>
                </c:pt>
                <c:pt idx="6">
                  <c:v>69.473684210526557</c:v>
                </c:pt>
                <c:pt idx="7">
                  <c:v>71.052631578947597</c:v>
                </c:pt>
                <c:pt idx="8">
                  <c:v>72.631578947368624</c:v>
                </c:pt>
                <c:pt idx="9">
                  <c:v>74.210526315789664</c:v>
                </c:pt>
                <c:pt idx="10">
                  <c:v>75.789473684210691</c:v>
                </c:pt>
                <c:pt idx="11">
                  <c:v>77.368421052631732</c:v>
                </c:pt>
                <c:pt idx="12">
                  <c:v>78.947368421052758</c:v>
                </c:pt>
                <c:pt idx="13">
                  <c:v>80.526315789473799</c:v>
                </c:pt>
                <c:pt idx="14">
                  <c:v>81.42857142857153</c:v>
                </c:pt>
                <c:pt idx="15">
                  <c:v>82.105263157894825</c:v>
                </c:pt>
                <c:pt idx="16">
                  <c:v>83.684210526315866</c:v>
                </c:pt>
                <c:pt idx="17">
                  <c:v>85.263157894736892</c:v>
                </c:pt>
                <c:pt idx="18">
                  <c:v>86.842105263157933</c:v>
                </c:pt>
                <c:pt idx="19">
                  <c:v>88.421052631578974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2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184150</xdr:rowOff>
        </xdr:from>
        <xdr:to>
          <xdr:col>20</xdr:col>
          <xdr:colOff>603250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88900</xdr:rowOff>
        </xdr:from>
        <xdr:to>
          <xdr:col>20</xdr:col>
          <xdr:colOff>603250</xdr:colOff>
          <xdr:row>14</xdr:row>
          <xdr:rowOff>12700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31750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107950</xdr:rowOff>
        </xdr:from>
        <xdr:to>
          <xdr:col>21</xdr:col>
          <xdr:colOff>279400</xdr:colOff>
          <xdr:row>58</xdr:row>
          <xdr:rowOff>50800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0.0%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69850</xdr:rowOff>
        </xdr:from>
        <xdr:to>
          <xdr:col>18</xdr:col>
          <xdr:colOff>285750</xdr:colOff>
          <xdr:row>14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38100</xdr:rowOff>
        </xdr:from>
        <xdr:to>
          <xdr:col>3</xdr:col>
          <xdr:colOff>603250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4.5" x14ac:dyDescent="0.35"/>
  <sheetData>
    <row r="1" spans="1:5" x14ac:dyDescent="0.35">
      <c r="A1" t="str">
        <f>"вер "&amp;B1</f>
        <v>вер 7.21</v>
      </c>
      <c r="B1" s="18">
        <v>7.21</v>
      </c>
    </row>
    <row r="2" spans="1:5" x14ac:dyDescent="0.35">
      <c r="A2" t="s">
        <v>166</v>
      </c>
    </row>
    <row r="4" spans="1:5" x14ac:dyDescent="0.35">
      <c r="A4" s="63" t="str">
        <f>"Унифлок "&amp;версия_номер_</f>
        <v>Унифлок 7.21</v>
      </c>
      <c r="B4" s="63"/>
      <c r="C4" s="63"/>
      <c r="D4" s="63"/>
      <c r="E4" s="6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="85" zoomScaleNormal="85" workbookViewId="0">
      <selection activeCell="AF18" sqref="AF18"/>
    </sheetView>
  </sheetViews>
  <sheetFormatPr defaultRowHeight="14.5" outlineLevelRow="1" x14ac:dyDescent="0.35"/>
  <cols>
    <col min="1" max="1" width="7.26953125" style="11" customWidth="1"/>
    <col min="2" max="2" width="12.26953125" customWidth="1"/>
    <col min="4" max="4" width="10.1796875" customWidth="1"/>
    <col min="7" max="7" width="12.26953125" style="1" customWidth="1"/>
    <col min="8" max="8" width="13.1796875" customWidth="1"/>
    <col min="9" max="9" width="11" customWidth="1"/>
    <col min="13" max="13" width="10" customWidth="1"/>
    <col min="14" max="14" width="10.1796875" customWidth="1"/>
  </cols>
  <sheetData>
    <row r="1" spans="1:17" x14ac:dyDescent="0.35">
      <c r="A1" s="11" t="str">
        <f>версия_</f>
        <v>вер 7.21</v>
      </c>
      <c r="J1" s="2" t="s">
        <v>23</v>
      </c>
      <c r="K1" s="2"/>
      <c r="L1" s="2"/>
    </row>
    <row r="2" spans="1:17" ht="16.5" x14ac:dyDescent="0.35">
      <c r="A2" s="63" t="s">
        <v>0</v>
      </c>
      <c r="B2" s="63"/>
      <c r="C2" s="63"/>
      <c r="D2" s="63"/>
      <c r="E2" s="63"/>
      <c r="J2" s="6" t="s">
        <v>26</v>
      </c>
      <c r="K2" s="9">
        <v>1</v>
      </c>
      <c r="L2" s="5" t="s">
        <v>6</v>
      </c>
    </row>
    <row r="3" spans="1:17" ht="18" customHeight="1" x14ac:dyDescent="0.35">
      <c r="F3" s="64" t="s">
        <v>74</v>
      </c>
      <c r="G3" s="64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3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3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5" t="s">
        <v>28</v>
      </c>
      <c r="O7" s="65"/>
      <c r="P7" s="65"/>
      <c r="Q7" s="65"/>
    </row>
    <row r="8" spans="1:17" ht="16.5" x14ac:dyDescent="0.3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6.5" x14ac:dyDescent="0.35">
      <c r="B9" s="21" t="s">
        <v>11</v>
      </c>
      <c r="C9" s="9">
        <v>80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6.5" x14ac:dyDescent="0.35">
      <c r="F10" s="5" t="s">
        <v>14</v>
      </c>
      <c r="G10" s="9">
        <v>1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6.5" x14ac:dyDescent="0.3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6.5" x14ac:dyDescent="0.3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35">
      <c r="G13"/>
    </row>
    <row r="14" spans="1:17" x14ac:dyDescent="0.35">
      <c r="F14" s="2" t="s">
        <v>5</v>
      </c>
      <c r="G14" s="2"/>
      <c r="H14" s="2"/>
    </row>
    <row r="15" spans="1:17" ht="16.5" x14ac:dyDescent="0.35">
      <c r="F15" s="5" t="s">
        <v>20</v>
      </c>
      <c r="G15" s="9">
        <v>0</v>
      </c>
      <c r="H15" s="5" t="s">
        <v>2</v>
      </c>
    </row>
    <row r="16" spans="1:17" ht="16.5" x14ac:dyDescent="0.35">
      <c r="F16" s="7" t="s">
        <v>21</v>
      </c>
      <c r="G16" s="9"/>
      <c r="H16" s="5" t="s">
        <v>17</v>
      </c>
    </row>
    <row r="17" spans="2:33" ht="16.5" x14ac:dyDescent="0.35">
      <c r="F17" s="8" t="s">
        <v>22</v>
      </c>
      <c r="G17" s="9"/>
      <c r="H17" s="5" t="s">
        <v>7</v>
      </c>
    </row>
    <row r="20" spans="2:33" x14ac:dyDescent="0.3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35"/>
    <row r="22" spans="2:33" outlineLevel="1" x14ac:dyDescent="0.3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6.5" outlineLevel="1" x14ac:dyDescent="0.35">
      <c r="B23" s="5" t="s">
        <v>79</v>
      </c>
      <c r="C23" s="26">
        <f>[1]!PVT_Pb_atma(Tres_C_,gamma_gas_,gamma_oil_,gamma_w_,Rsb_m3m3_,,Pb_atma_,Tres_C_,Bob_m3m3_,mu_cP_,PVT_correlation_,Ksep_,Psep_atma_,Tsep_C_)</f>
        <v>197.15675134060768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197.15675134060768</v>
      </c>
      <c r="H23" s="2"/>
    </row>
    <row r="24" spans="2:33" ht="16.5" outlineLevel="1" x14ac:dyDescent="0.3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80</v>
      </c>
      <c r="H24" s="2"/>
    </row>
    <row r="25" spans="2:33" ht="16.5" outlineLevel="1" x14ac:dyDescent="0.3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6.5" outlineLevel="1" x14ac:dyDescent="0.35">
      <c r="B26" s="7" t="s">
        <v>80</v>
      </c>
      <c r="C26" s="30">
        <f>[1]!PVT_Bo_m3m3(C23,Tres_C_,gamma_gas_,gamma_oil_,gamma_w_,Rsb_m3m3_,,Pb_atma_,Tres_C_,Bob_m3m3_,mu_cP_,PVT_correlation_,Ksep_,Psep_atma_,Tsep_C_)</f>
        <v>1.4178781917098293</v>
      </c>
      <c r="D26" s="5" t="s">
        <v>17</v>
      </c>
      <c r="E26" s="2"/>
      <c r="F26" s="2"/>
      <c r="G26" s="10"/>
      <c r="H26" s="2"/>
    </row>
    <row r="27" spans="2:33" ht="16.5" outlineLevel="1" x14ac:dyDescent="0.35">
      <c r="B27" s="8" t="s">
        <v>81</v>
      </c>
      <c r="C27" s="26">
        <f>[1]!PVT_Rhoo_kgm3(C23,Tres_C_,gamma_gas_,gamma_oil_,gamma_w_,Rsb_m3m3_,,Pb_atma_,Tres_C_,Bob_m3m3_,mu_cP_,PVT_correlation_,Ksep_,Psep_atma_,Tsep_C_)</f>
        <v>695.60705986356982</v>
      </c>
      <c r="D27" s="5" t="s">
        <v>82</v>
      </c>
      <c r="E27" s="2"/>
      <c r="F27" s="2"/>
      <c r="G27" s="10"/>
      <c r="H27" s="2"/>
    </row>
    <row r="28" spans="2:33" ht="16.5" outlineLevel="1" x14ac:dyDescent="0.35">
      <c r="B28" s="8" t="s">
        <v>83</v>
      </c>
      <c r="C28" s="31">
        <f>[1]!PVT_Muo_cP(C23,Tres_C_,gamma_gas_,gamma_oil_,gamma_w_,Rsb_m3m3_,,Pb_atma_,Tres_C_,Bob_m3m3_,mu_cP_,PVT_correlation_,Ksep_,Psep_atma_,Tsep_C_)</f>
        <v>0.58283717373881139</v>
      </c>
      <c r="D28" s="5" t="s">
        <v>7</v>
      </c>
      <c r="E28" s="2"/>
      <c r="F28" s="2"/>
      <c r="G28" s="10"/>
      <c r="H28" s="2"/>
    </row>
    <row r="29" spans="2:33" outlineLevel="1" x14ac:dyDescent="0.35"/>
    <row r="30" spans="2:33" outlineLevel="1" x14ac:dyDescent="0.35"/>
    <row r="31" spans="2:33" outlineLevel="1" x14ac:dyDescent="0.3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6.5" outlineLevel="1" x14ac:dyDescent="0.45">
      <c r="B32" s="5" t="s">
        <v>89</v>
      </c>
      <c r="C32" s="26">
        <f>[1]!PVT_Rhoo_kgm3(Psc_atma_,Tsc_C_,gamma_gas_,gamma_oil_,gamma_w_,Rsb_m3m3_,,Pb_atma_,Tres_C_,Bob_m3m3_,mu_cP_,PVT_correlation_,Ksep_,Psep_atma_,Tsep_C_)</f>
        <v>864.32768283801556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0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0.99328178176718174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1000.3400421663305</v>
      </c>
      <c r="N32" s="5" t="s">
        <v>82</v>
      </c>
      <c r="Q32" s="37" t="s">
        <v>92</v>
      </c>
      <c r="R32" s="38">
        <v>0.86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</v>
      </c>
      <c r="AB32" s="40">
        <f>ABS(Pb_diff_)</f>
        <v>0</v>
      </c>
      <c r="AD32" s="33" t="str">
        <f>Q34&amp; " = "&amp;IFERROR(TEXT(gamma_gas_diff_total_*100,"0.0") &amp; "%",TEXT(gamma_gas_diff_total_*100,"0,0") &amp; "%")</f>
        <v>Сумм откл = 0.0%</v>
      </c>
      <c r="AE32" s="33"/>
      <c r="AF32" s="2"/>
      <c r="AG32" s="2"/>
    </row>
    <row r="33" spans="2:33" ht="16.5" outlineLevel="1" x14ac:dyDescent="0.35">
      <c r="B33" s="5" t="s">
        <v>96</v>
      </c>
      <c r="C33" s="31">
        <f>[1]!PVT_Muo_cP(Psc_atma_,Tsc_C_,gamma_gas_,gamma_oil_,gamma_w_,Rsb_m3m3_,,Pb_atma_,Tres_C_,Bob_m3m3_,mu_cP_,PVT_correlation_,Ksep_,Psep_atma_,Tsep_C_)</f>
        <v>106.32463765574272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9.8176385576621353E-3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1.1439045251512716</v>
      </c>
      <c r="N33" s="5" t="s">
        <v>7</v>
      </c>
      <c r="Q33" s="37" t="s">
        <v>99</v>
      </c>
      <c r="R33" s="41">
        <v>0.8</v>
      </c>
      <c r="S33" s="5" t="s">
        <v>79</v>
      </c>
      <c r="T33" s="34">
        <f>[1]!PVT_Pb_atma(Tres_C_,gamma_gas_,gamma_oil_,gamma_w_,Rsb_m3m3_,,,Tres_C_,,,PVT_correlation_,Ksep_,Psep_atma_,Tsep_C_)</f>
        <v>197.15675134060768</v>
      </c>
      <c r="U33" s="35">
        <f>(T33-C23)/T33</f>
        <v>0</v>
      </c>
      <c r="V33" s="42">
        <f>[1]!PVT_Pb_atma(Tres_C_,gamma_gas_new_,gamma_oil_new_,gamma_w_,Rsb_m3m3_,,,Tres_C_,,,PVT_correlation_,Ksep_,Psep_atma_,Tsep_C_)</f>
        <v>197.15675134060768</v>
      </c>
      <c r="W33" s="43">
        <f>(V33-C23)/V33</f>
        <v>0</v>
      </c>
      <c r="X33" s="33">
        <v>2</v>
      </c>
      <c r="Z33" s="7" t="s">
        <v>80</v>
      </c>
      <c r="AA33" s="39">
        <f>ABS(U34)</f>
        <v>0</v>
      </c>
      <c r="AB33" s="39">
        <f>ABS(W34)</f>
        <v>0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6.5" outlineLevel="1" x14ac:dyDescent="0.35">
      <c r="B34" s="5" t="s">
        <v>100</v>
      </c>
      <c r="C34" s="31">
        <f>[1]!PVT_Rs_m3m3(P_atma_,T_C_,gamma_gas_,gamma_oil_,gamma_w_,Rsb_m3m3_,,Pb_atma_,Tres_C_,Bob_m3m3_,mu_cP_,PVT_correlation_,Ksep_,Psep_atma_,Tsep_C_)</f>
        <v>43.618229781930921</v>
      </c>
      <c r="D34" s="5" t="s">
        <v>17</v>
      </c>
      <c r="E34" s="34">
        <f>[1]!PVT_Rs_m3m3(P_atma_,T_C_,gamma_gas_,gamma_oil_,gamma_w_,Rsb_m3m3_,,,,,,PVT_correlation_,Ksep_,Psep_atma_,Tsep_C_)</f>
        <v>43.618229781930921</v>
      </c>
      <c r="F34" s="35">
        <f t="shared" si="0"/>
        <v>0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0.94399080811572067</v>
      </c>
      <c r="J34" s="5"/>
      <c r="L34" s="5" t="s">
        <v>102</v>
      </c>
      <c r="M34" s="26"/>
      <c r="N34" s="5"/>
      <c r="Q34" s="44" t="s">
        <v>103</v>
      </c>
      <c r="R34" s="45">
        <f>((X33*W33^2+X34*W34^2+X35*W35^2+X36*W36^2+X37*W37^2+X38*W38^2)/SUM(X33:X38))^0.5</f>
        <v>0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</v>
      </c>
      <c r="V34" s="47">
        <f>[1]!PVT_Bo_m3m3(V33,Tres_C_,gamma_gas_new_,gamma_oil_new_,gamma_w_,Rsb_m3m3_,,,,,,PVT_correlation_,Ksep_,Psep_atma_,Tsep_C_)</f>
        <v>1.4178781917098293</v>
      </c>
      <c r="W34" s="43">
        <f>(V34-C26)/(V34-1)</f>
        <v>0</v>
      </c>
      <c r="X34" s="33">
        <v>2</v>
      </c>
      <c r="Z34" s="8" t="s">
        <v>83</v>
      </c>
      <c r="AA34" s="39">
        <f>ABS(U36)</f>
        <v>0</v>
      </c>
      <c r="AB34" s="39">
        <f>ABS(W36)</f>
        <v>0</v>
      </c>
      <c r="AD34" s="33" t="str">
        <f>Q33&amp;" = "&amp;IFERROR(TEXT(gamma_gas_new_,"0.00"),TEXT(gamma_gas_new_,"0,00"))&amp;",  "&amp;Q32&amp;" = "&amp;IFERROR(TEXT(gamma_oil_new_,"0.00"),TEXT(gamma_oil_new_,"0,00"))</f>
        <v>γg new  = 0.80,  γo new  = 0.86</v>
      </c>
      <c r="AE34" s="33"/>
      <c r="AF34" s="2"/>
      <c r="AG34" s="2"/>
    </row>
    <row r="35" spans="2:33" ht="16.5" outlineLevel="1" x14ac:dyDescent="0.35">
      <c r="B35" s="5" t="s">
        <v>104</v>
      </c>
      <c r="C35" s="30">
        <f>[1]!PVT_Bo_m3m3(P_atma_,T_C_,gamma_gas_,gamma_oil_,gamma_w_,Rsb_m3m3_,,Pb_atma_,Tres_C_,Bob_m3m3_,mu_cP_,PVT_correlation_,Ksep_,Psep_atma_,Tsep_C_)</f>
        <v>1.1674365030581872</v>
      </c>
      <c r="D35" s="5" t="s">
        <v>17</v>
      </c>
      <c r="E35" s="34">
        <f>[1]!PVT_Bo_m3m3(P_atma_,T_C_,gamma_gas_,gamma_oil_,gamma_w_,Rsb_m3m3_,,,,,,PVT_correlation_,Ksep_,Psep_atma_,Tsep_C_)</f>
        <v>1.1674365030581872</v>
      </c>
      <c r="F35" s="35">
        <f t="shared" si="0"/>
        <v>0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1.427383276623008E-2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1.0291228915097659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695.60705986356982</v>
      </c>
      <c r="U35" s="35">
        <f>(T35-C27)/T35</f>
        <v>0</v>
      </c>
      <c r="V35" s="42">
        <f>[1]!PVT_Rhoo_kgm3(G23,Tres_C_,gamma_gas_new_,gamma_oil_new_,gamma_w_,Rsb_m3m3_,,,,,,PVT_correlation_,Ksep_,Psep_atma_,Tsep_C_)</f>
        <v>695.60705986356982</v>
      </c>
      <c r="W35" s="43">
        <f>(V35-C27)/V35</f>
        <v>0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0</v>
      </c>
    </row>
    <row r="36" spans="2:33" ht="16.5" outlineLevel="1" x14ac:dyDescent="0.35">
      <c r="B36" s="5" t="s">
        <v>107</v>
      </c>
      <c r="C36" s="26">
        <f>[1]!PVT_Rhoo_kgm3(P_atma_,T_C_,gamma_gas_,gamma_oil_,gamma_w_,Rsb_m3m3_,,Pb_atma_,Tres_C_,Bob_m3m3_,mu_cP_,PVT_correlation_,Ksep_,Psep_atma_,Tsep_C_)</f>
        <v>773.17328239708058</v>
      </c>
      <c r="D36" s="5" t="s">
        <v>82</v>
      </c>
      <c r="E36" s="34">
        <f>[1]!PVT_Rhoo_kgm3(P_atma_,T_C_,gamma_gas_,gamma_oil_,gamma_w_,Rsb_m3m3_,,,,,,PVT_correlation_,Ksep_,Psep_atma_,Tsep_C_)</f>
        <v>773.17328239708058</v>
      </c>
      <c r="F36" s="35">
        <f t="shared" si="0"/>
        <v>0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68.472148721841492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971.70124991871342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0</v>
      </c>
      <c r="V36" s="49">
        <f>[1]!PVT_Muo_cP(V33,Tres_C_,gamma_gas_new_,gamma_oil_new_,gamma_w_,Rsb_m3m3_,,,,,,PVT_correlation_,Ksep_,Psep_atma_,Tsep_C_)</f>
        <v>0.58283717373881139</v>
      </c>
      <c r="W36" s="43">
        <f>(V36-C28)/V36</f>
        <v>0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</v>
      </c>
    </row>
    <row r="37" spans="2:33" ht="16.5" outlineLevel="1" x14ac:dyDescent="0.35">
      <c r="B37" s="5" t="s">
        <v>111</v>
      </c>
      <c r="C37" s="31">
        <f>[1]!PVT_Muo_cP(P_atma_,T_C_,gamma_gas_,gamma_oil_,gamma_w_,Rsb_m3m3_,,Pb_atma_,Tres_C_,Bob_m3m3_,mu_cP_,PVT_correlation_,Ksep_,Psep_atma_,Tsep_C_)</f>
        <v>1.081753847325162</v>
      </c>
      <c r="D37" s="5" t="s">
        <v>7</v>
      </c>
      <c r="E37" s="34">
        <f>[1]!PVT_Muo_cP(P_atma_,T_C_,gamma_gas_,gamma_oil_,gamma_w_,Rsb_m3m3_,,,,,,PVT_correlation_,Ksep_,Psep_atma_,Tsep_C_)</f>
        <v>1.081753847325162</v>
      </c>
      <c r="F37" s="35">
        <f t="shared" si="0"/>
        <v>0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1.4281265311255864E-2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0.3501871209218988</v>
      </c>
      <c r="N37" s="5" t="s">
        <v>7</v>
      </c>
      <c r="S37" s="6" t="s">
        <v>12</v>
      </c>
      <c r="W37" s="43">
        <f>(R32-G8)/R32</f>
        <v>0</v>
      </c>
      <c r="X37" s="33">
        <v>2</v>
      </c>
    </row>
    <row r="38" spans="2:33" ht="16.5" outlineLevel="1" x14ac:dyDescent="0.3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0</v>
      </c>
      <c r="X38" s="33">
        <v>2</v>
      </c>
      <c r="Z38" s="8" t="s">
        <v>81</v>
      </c>
      <c r="AA38" s="39">
        <f>ABS(U35)</f>
        <v>0</v>
      </c>
      <c r="AB38" s="39">
        <f>ABS(W35)</f>
        <v>0</v>
      </c>
    </row>
    <row r="39" spans="2:33" ht="16.5" outlineLevel="1" x14ac:dyDescent="0.3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35">
      <c r="L40" s="36"/>
    </row>
    <row r="41" spans="2:33" outlineLevel="1" x14ac:dyDescent="0.35">
      <c r="L41" s="36"/>
    </row>
    <row r="42" spans="2:33" outlineLevel="1" x14ac:dyDescent="0.35">
      <c r="B42" s="25" t="s">
        <v>120</v>
      </c>
      <c r="C42" s="2"/>
      <c r="D42" s="2"/>
      <c r="E42" s="32"/>
      <c r="F42" s="36"/>
      <c r="L42" s="36"/>
    </row>
    <row r="43" spans="2:33" ht="16.5" outlineLevel="1" x14ac:dyDescent="0.35">
      <c r="B43" s="7" t="s">
        <v>121</v>
      </c>
      <c r="C43" s="51">
        <f>[1]!PVT_Qmix_m3day(Ql_scm3day_,wc_perc_,P_atma_,T_C_,gamma_gas_,gamma_oil_,gamma_w_,Rsb_m3m3_,Rp_m3m3_,Pb_atma_,Tres_C_,Bob_m3m3_,mu_cP_,PVT_correlation_,Ksep_,Psep_atma_,Tsep_C_)</f>
        <v>223.58779387587731</v>
      </c>
      <c r="D43" s="5" t="s">
        <v>33</v>
      </c>
      <c r="E43" s="32"/>
      <c r="F43" s="36"/>
      <c r="L43" s="36"/>
    </row>
    <row r="44" spans="2:33" ht="16.5" outlineLevel="1" x14ac:dyDescent="0.35">
      <c r="B44" s="5" t="s">
        <v>122</v>
      </c>
      <c r="C44" s="51">
        <f>[1]!PVT_Rhomix_kgm3(Ql_scm3day_,wc_perc_,P_atma_,T_C_,gamma_gas_,gamma_oil_,gamma_w_,Rsb_m3m3_,Rp_m3m3_,Pb_atma_,Tres_C_,Bob_m3m3_,mu_cP_,PVT_correlation_,Ksep_,Psep_atma_,Tsep_C_)</f>
        <v>443.45429144561052</v>
      </c>
      <c r="D44" s="5" t="s">
        <v>82</v>
      </c>
      <c r="E44" s="32"/>
      <c r="F44" s="36"/>
      <c r="X44">
        <f>gamma_gas_</f>
        <v>0.8</v>
      </c>
    </row>
    <row r="45" spans="2:33" ht="16.5" outlineLevel="1" x14ac:dyDescent="0.35">
      <c r="B45" s="5" t="s">
        <v>123</v>
      </c>
      <c r="C45" s="51">
        <f>[1]!PVT_Mumix_cP(Ql_scm3day_,wc_perc_,P_atma_,T_C_,gamma_gas_,gamma_oil_,gamma_w_,Rsb_m3m3_,Rp_m3m3_,Pb_atma_,Tres_C_,Bob_m3m3_,mu_cP_,PVT_correlation_,Ksep_,Psep_atma_,Tsep_C_)</f>
        <v>0.52373841258114229</v>
      </c>
      <c r="D45" s="5" t="s">
        <v>7</v>
      </c>
      <c r="E45" s="32"/>
      <c r="F45" s="36"/>
    </row>
    <row r="46" spans="2:33" ht="16.5" outlineLevel="1" x14ac:dyDescent="0.35">
      <c r="B46" s="5" t="s">
        <v>124</v>
      </c>
      <c r="E46" s="36"/>
      <c r="F46" s="36"/>
    </row>
    <row r="47" spans="2:33" ht="16.5" outlineLevel="1" x14ac:dyDescent="0.35">
      <c r="B47" s="5" t="s">
        <v>125</v>
      </c>
      <c r="E47" s="36"/>
      <c r="F47" s="36"/>
    </row>
    <row r="48" spans="2:33" ht="16.5" outlineLevel="1" x14ac:dyDescent="0.35">
      <c r="B48" s="5" t="s">
        <v>126</v>
      </c>
      <c r="E48" s="36"/>
      <c r="F48" s="36"/>
    </row>
    <row r="49" spans="1:29" outlineLevel="1" x14ac:dyDescent="0.35">
      <c r="E49" s="36"/>
      <c r="F49" s="36"/>
    </row>
    <row r="50" spans="1:29" outlineLevel="1" x14ac:dyDescent="0.35">
      <c r="E50" s="36"/>
      <c r="F50" s="36"/>
    </row>
    <row r="51" spans="1:29" outlineLevel="1" x14ac:dyDescent="0.35">
      <c r="E51" s="36"/>
      <c r="F51" s="36"/>
    </row>
    <row r="52" spans="1:29" outlineLevel="1" x14ac:dyDescent="0.35"/>
    <row r="53" spans="1:29" outlineLevel="1" x14ac:dyDescent="0.35"/>
    <row r="54" spans="1:29" x14ac:dyDescent="0.35">
      <c r="L54" s="36"/>
    </row>
    <row r="55" spans="1:29" x14ac:dyDescent="0.3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35">
      <c r="B56" t="str">
        <f>"Температура = " &amp;T_C_&amp;" °С"</f>
        <v>Температура = 80 °С</v>
      </c>
      <c r="L56" s="36"/>
      <c r="M56" s="36"/>
    </row>
    <row r="57" spans="1:29" outlineLevel="1" x14ac:dyDescent="0.35">
      <c r="L57" s="36"/>
      <c r="M57" s="36"/>
    </row>
    <row r="58" spans="1:29" ht="16.5" outlineLevel="1" x14ac:dyDescent="0.3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167</v>
      </c>
      <c r="G58" s="5" t="s">
        <v>104</v>
      </c>
      <c r="H58" s="5" t="s">
        <v>130</v>
      </c>
      <c r="I58" s="5" t="s">
        <v>168</v>
      </c>
      <c r="J58" s="5" t="s">
        <v>107</v>
      </c>
      <c r="K58" s="5" t="s">
        <v>131</v>
      </c>
      <c r="L58" s="5" t="s">
        <v>169</v>
      </c>
      <c r="M58" s="5" t="s">
        <v>111</v>
      </c>
      <c r="N58" s="5" t="s">
        <v>132</v>
      </c>
      <c r="O58" s="5" t="s">
        <v>170</v>
      </c>
      <c r="P58" s="61" t="s">
        <v>171</v>
      </c>
      <c r="Q58" s="61" t="s">
        <v>172</v>
      </c>
      <c r="R58" s="61" t="s">
        <v>173</v>
      </c>
    </row>
    <row r="59" spans="1:29" outlineLevel="1" x14ac:dyDescent="0.3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0.99242413862489898</v>
      </c>
      <c r="Q59">
        <v>0.99242413862489898</v>
      </c>
      <c r="R59">
        <v>0.99242413862489898</v>
      </c>
    </row>
    <row r="60" spans="1:29" outlineLevel="1" x14ac:dyDescent="0.35">
      <c r="A60" s="55">
        <v>2</v>
      </c>
      <c r="B60" s="57">
        <f>($B$79-$B$59)/($A$79-$A$59)+B59</f>
        <v>10.807837567030385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0.91963355084877951</v>
      </c>
      <c r="Q60">
        <v>0.91963355084877951</v>
      </c>
      <c r="R60">
        <v>0.91963355084877951</v>
      </c>
    </row>
    <row r="61" spans="1:29" outlineLevel="1" x14ac:dyDescent="0.35">
      <c r="A61" s="55">
        <v>3</v>
      </c>
      <c r="B61" s="57">
        <f t="shared" ref="B61:B78" si="1">($B$79-$B$59)/($A$79-$A$59)+B60</f>
        <v>20.615675134060769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0.84858475186116866</v>
      </c>
      <c r="Q61">
        <v>0.84858475186116866</v>
      </c>
      <c r="R61">
        <v>0.84858475186116866</v>
      </c>
    </row>
    <row r="62" spans="1:29" outlineLevel="1" x14ac:dyDescent="0.35">
      <c r="A62" s="55">
        <v>4</v>
      </c>
      <c r="B62" s="57">
        <f t="shared" si="1"/>
        <v>30.423512701091155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0.77893634485265029</v>
      </c>
      <c r="Q62">
        <v>0.77893634485265029</v>
      </c>
      <c r="R62">
        <v>0.77893634485265029</v>
      </c>
    </row>
    <row r="63" spans="1:29" outlineLevel="1" x14ac:dyDescent="0.35">
      <c r="A63" s="55">
        <v>5</v>
      </c>
      <c r="B63" s="57">
        <f t="shared" si="1"/>
        <v>40.231350268121538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0.71079676937425829</v>
      </c>
      <c r="Q63">
        <v>0.71079676937425829</v>
      </c>
      <c r="R63">
        <v>0.71079676937425829</v>
      </c>
    </row>
    <row r="64" spans="1:29" outlineLevel="1" x14ac:dyDescent="0.35">
      <c r="A64" s="55">
        <v>6</v>
      </c>
      <c r="B64" s="57">
        <f t="shared" si="1"/>
        <v>50.039187835151921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0.64445973208372009</v>
      </c>
      <c r="Q64">
        <v>0.64445973208372009</v>
      </c>
      <c r="R64">
        <v>0.64445973208372009</v>
      </c>
    </row>
    <row r="65" spans="1:18" outlineLevel="1" x14ac:dyDescent="0.35">
      <c r="A65" s="55">
        <v>7</v>
      </c>
      <c r="B65" s="57">
        <f t="shared" si="1"/>
        <v>59.847025402182304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0.58030264347215255</v>
      </c>
      <c r="Q65">
        <v>0.58030264347215255</v>
      </c>
      <c r="R65">
        <v>0.58030264347215255</v>
      </c>
    </row>
    <row r="66" spans="1:18" outlineLevel="1" x14ac:dyDescent="0.35">
      <c r="A66" s="55">
        <v>8</v>
      </c>
      <c r="B66" s="57">
        <f t="shared" si="1"/>
        <v>69.654862969212687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0.51872573222718543</v>
      </c>
      <c r="Q66">
        <v>0.51872573222718543</v>
      </c>
      <c r="R66">
        <v>0.51872573222718543</v>
      </c>
    </row>
    <row r="67" spans="1:18" outlineLevel="1" x14ac:dyDescent="0.35">
      <c r="A67" s="55">
        <v>9</v>
      </c>
      <c r="B67" s="57">
        <f t="shared" si="1"/>
        <v>79.462700536243076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0.46010282054704699</v>
      </c>
      <c r="Q67">
        <v>0.46010282054704699</v>
      </c>
      <c r="R67">
        <v>0.46010282054704699</v>
      </c>
    </row>
    <row r="68" spans="1:18" outlineLevel="1" x14ac:dyDescent="0.35">
      <c r="A68" s="55">
        <v>10</v>
      </c>
      <c r="B68" s="57">
        <f t="shared" si="1"/>
        <v>89.270538103273466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0.40474135273449474</v>
      </c>
      <c r="Q68">
        <v>0.40474135273449474</v>
      </c>
      <c r="R68">
        <v>0.40474135273449474</v>
      </c>
    </row>
    <row r="69" spans="1:18" outlineLevel="1" x14ac:dyDescent="0.35">
      <c r="A69" s="55">
        <v>11</v>
      </c>
      <c r="B69" s="57">
        <f t="shared" si="1"/>
        <v>99.078375670303856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0.35285379058758987</v>
      </c>
      <c r="Q69">
        <v>0.35285379058758987</v>
      </c>
      <c r="R69">
        <v>0.35285379058758987</v>
      </c>
    </row>
    <row r="70" spans="1:18" outlineLevel="1" x14ac:dyDescent="0.35">
      <c r="A70" s="55">
        <v>12</v>
      </c>
      <c r="B70" s="57">
        <f t="shared" si="1"/>
        <v>108.88621323733425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0.30453642969633793</v>
      </c>
      <c r="Q70">
        <v>0.30453642969633793</v>
      </c>
      <c r="R70">
        <v>0.30453642969633793</v>
      </c>
    </row>
    <row r="71" spans="1:18" outlineLevel="1" x14ac:dyDescent="0.35">
      <c r="A71" s="55">
        <v>13</v>
      </c>
      <c r="B71" s="57">
        <f t="shared" si="1"/>
        <v>118.69405080436464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0.25976682555308184</v>
      </c>
      <c r="Q71">
        <v>0.25976682555308184</v>
      </c>
      <c r="R71">
        <v>0.25976682555308184</v>
      </c>
    </row>
    <row r="72" spans="1:18" outlineLevel="1" x14ac:dyDescent="0.35">
      <c r="A72" s="55">
        <v>14</v>
      </c>
      <c r="B72" s="57">
        <f t="shared" si="1"/>
        <v>128.50188837139501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0.21841411353396012</v>
      </c>
      <c r="Q72">
        <v>0.21841411353396012</v>
      </c>
      <c r="R72">
        <v>0.21841411353396012</v>
      </c>
    </row>
    <row r="73" spans="1:18" outlineLevel="1" x14ac:dyDescent="0.35">
      <c r="A73" s="55">
        <v>15</v>
      </c>
      <c r="B73" s="57">
        <f t="shared" si="1"/>
        <v>138.3097259384254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0.18026030276346877</v>
      </c>
      <c r="Q73">
        <v>0.18026030276346877</v>
      </c>
      <c r="R73">
        <v>0.18026030276346877</v>
      </c>
    </row>
    <row r="74" spans="1:18" outlineLevel="1" x14ac:dyDescent="0.35">
      <c r="A74" s="55">
        <v>16</v>
      </c>
      <c r="B74" s="57">
        <f t="shared" si="1"/>
        <v>148.11756350545579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0.14503189655381118</v>
      </c>
      <c r="Q74">
        <v>0.14503189655381118</v>
      </c>
      <c r="R74">
        <v>0.14503189655381118</v>
      </c>
    </row>
    <row r="75" spans="1:18" outlineLevel="1" x14ac:dyDescent="0.35">
      <c r="A75" s="55">
        <v>17</v>
      </c>
      <c r="B75" s="57">
        <f t="shared" si="1"/>
        <v>157.92540107248618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0.11242748919507413</v>
      </c>
      <c r="Q75">
        <v>0.11242748919507413</v>
      </c>
      <c r="R75">
        <v>0.11242748919507413</v>
      </c>
    </row>
    <row r="76" spans="1:18" outlineLevel="1" x14ac:dyDescent="0.35">
      <c r="A76" s="55">
        <v>18</v>
      </c>
      <c r="B76" s="57">
        <f t="shared" si="1"/>
        <v>167.73323863951657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8.2143746122380526E-2</v>
      </c>
      <c r="Q76">
        <v>8.2143746122380526E-2</v>
      </c>
      <c r="R76">
        <v>8.2143746122380526E-2</v>
      </c>
    </row>
    <row r="77" spans="1:18" outlineLevel="1" x14ac:dyDescent="0.35">
      <c r="A77" s="55">
        <v>19</v>
      </c>
      <c r="B77" s="57">
        <f t="shared" si="1"/>
        <v>177.54107620654696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5.389195218409297E-2</v>
      </c>
      <c r="Q77">
        <v>5.389195218409297E-2</v>
      </c>
      <c r="R77">
        <v>5.389195218409297E-2</v>
      </c>
    </row>
    <row r="78" spans="1:18" outlineLevel="1" x14ac:dyDescent="0.35">
      <c r="A78" s="55">
        <v>20</v>
      </c>
      <c r="B78" s="57">
        <f t="shared" si="1"/>
        <v>187.34891377357735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2.7409223989761256E-2</v>
      </c>
      <c r="Q78">
        <v>2.7409223989761256E-2</v>
      </c>
      <c r="R78">
        <v>2.7409223989761256E-2</v>
      </c>
    </row>
    <row r="79" spans="1:18" outlineLevel="1" x14ac:dyDescent="0.35">
      <c r="A79" s="55">
        <v>21</v>
      </c>
      <c r="B79" s="58">
        <f>G23</f>
        <v>197.15675134060768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2.462640565054991E-3</v>
      </c>
      <c r="Q79">
        <v>2.462640565054991E-3</v>
      </c>
      <c r="R79">
        <v>2.462640565054991E-3</v>
      </c>
    </row>
    <row r="80" spans="1:18" outlineLevel="1" x14ac:dyDescent="0.35">
      <c r="A80" s="55">
        <v>22</v>
      </c>
      <c r="B80" s="57">
        <f t="shared" ref="B80:B98" si="2">($B$99-$B$79)/($A$99-$A$79)+B79</f>
        <v>202.29891377357731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35">
      <c r="A81" s="55">
        <v>23</v>
      </c>
      <c r="B81" s="57">
        <f t="shared" si="2"/>
        <v>207.44107620654694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35">
      <c r="A82" s="55">
        <v>24</v>
      </c>
      <c r="B82" s="57">
        <f t="shared" si="2"/>
        <v>212.58323863951657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35">
      <c r="A83" s="55">
        <v>25</v>
      </c>
      <c r="B83" s="57">
        <f t="shared" si="2"/>
        <v>217.72540107248619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35">
      <c r="A84" s="55">
        <v>26</v>
      </c>
      <c r="B84" s="57">
        <f t="shared" si="2"/>
        <v>222.86756350545582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35">
      <c r="A85" s="55">
        <v>27</v>
      </c>
      <c r="B85" s="57">
        <f t="shared" si="2"/>
        <v>228.00972593842545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35">
      <c r="A86" s="55">
        <v>28</v>
      </c>
      <c r="B86" s="57">
        <f t="shared" si="2"/>
        <v>233.15188837139507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35">
      <c r="A87" s="55">
        <v>29</v>
      </c>
      <c r="B87" s="57">
        <f t="shared" si="2"/>
        <v>238.2940508043647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35">
      <c r="A88" s="55">
        <v>30</v>
      </c>
      <c r="B88" s="57">
        <f t="shared" si="2"/>
        <v>243.43621323733433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35">
      <c r="A89" s="55">
        <v>31</v>
      </c>
      <c r="B89" s="57">
        <f t="shared" si="2"/>
        <v>248.57837567030396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35">
      <c r="A90" s="55">
        <v>32</v>
      </c>
      <c r="B90" s="57">
        <f t="shared" si="2"/>
        <v>253.72053810327358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35">
      <c r="A91" s="55">
        <v>33</v>
      </c>
      <c r="B91" s="57">
        <f t="shared" si="2"/>
        <v>258.86270053624321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35">
      <c r="A92" s="55">
        <v>34</v>
      </c>
      <c r="B92" s="57">
        <f t="shared" si="2"/>
        <v>264.00486296921281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35">
      <c r="A93" s="55">
        <v>35</v>
      </c>
      <c r="B93" s="57">
        <f t="shared" si="2"/>
        <v>269.14702540218241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35">
      <c r="A94" s="55">
        <v>36</v>
      </c>
      <c r="B94" s="57">
        <f t="shared" si="2"/>
        <v>274.28918783515201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35">
      <c r="A95" s="55">
        <v>37</v>
      </c>
      <c r="B95" s="57">
        <f t="shared" si="2"/>
        <v>279.43135026812161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35">
      <c r="A96" s="55">
        <v>38</v>
      </c>
      <c r="B96" s="57">
        <f t="shared" si="2"/>
        <v>284.5735127010912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35">
      <c r="A97" s="55">
        <v>39</v>
      </c>
      <c r="B97" s="57">
        <f t="shared" si="2"/>
        <v>289.7156751340608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35">
      <c r="A98" s="55">
        <v>40</v>
      </c>
      <c r="B98" s="57">
        <f t="shared" si="2"/>
        <v>294.8578375670304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3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35"/>
    <row r="101" spans="1:18" outlineLevel="1" x14ac:dyDescent="0.3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146050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184150</xdr:rowOff>
                  </from>
                  <to>
                    <xdr:col>20</xdr:col>
                    <xdr:colOff>603250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88900</xdr:rowOff>
                  </from>
                  <to>
                    <xdr:col>20</xdr:col>
                    <xdr:colOff>603250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31750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107950</xdr:rowOff>
                  </from>
                  <to>
                    <xdr:col>21</xdr:col>
                    <xdr:colOff>279400</xdr:colOff>
                    <xdr:row>58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topLeftCell="A25" zoomScale="115" zoomScaleNormal="115" workbookViewId="0">
      <selection activeCell="C14" sqref="C14"/>
    </sheetView>
  </sheetViews>
  <sheetFormatPr defaultRowHeight="14.5" x14ac:dyDescent="0.35"/>
  <sheetData>
    <row r="1" spans="1:16" x14ac:dyDescent="0.35">
      <c r="A1" t="str">
        <f>версия_</f>
        <v>вер 7.21</v>
      </c>
    </row>
    <row r="6" spans="1:16" x14ac:dyDescent="0.35">
      <c r="A6" s="11"/>
      <c r="B6" t="s">
        <v>37</v>
      </c>
      <c r="G6" s="1"/>
    </row>
    <row r="7" spans="1:16" x14ac:dyDescent="0.35">
      <c r="A7" s="11"/>
      <c r="G7" s="1"/>
    </row>
    <row r="8" spans="1:16" x14ac:dyDescent="0.35">
      <c r="A8" s="11"/>
      <c r="B8" s="19" t="s">
        <v>52</v>
      </c>
      <c r="C8" s="2"/>
      <c r="D8" s="2"/>
      <c r="G8" s="1"/>
    </row>
    <row r="9" spans="1:16" ht="16.5" x14ac:dyDescent="0.45">
      <c r="A9" s="11"/>
      <c r="B9" s="14" t="s">
        <v>39</v>
      </c>
      <c r="C9" s="9">
        <v>3500</v>
      </c>
      <c r="D9" s="5" t="s">
        <v>38</v>
      </c>
      <c r="G9" s="1"/>
    </row>
    <row r="10" spans="1:16" ht="16.5" x14ac:dyDescent="0.45">
      <c r="A10" s="11"/>
      <c r="B10" s="14" t="s">
        <v>40</v>
      </c>
      <c r="C10" s="9">
        <v>2500</v>
      </c>
      <c r="D10" s="5" t="s">
        <v>25</v>
      </c>
      <c r="G10" s="1"/>
    </row>
    <row r="11" spans="1:16" ht="16.5" x14ac:dyDescent="0.45">
      <c r="A11" s="11"/>
      <c r="B11" s="14" t="s">
        <v>49</v>
      </c>
      <c r="C11" s="9">
        <v>140</v>
      </c>
      <c r="D11" s="5" t="s">
        <v>41</v>
      </c>
      <c r="G11" s="1"/>
    </row>
    <row r="12" spans="1:16" ht="16.5" x14ac:dyDescent="0.45">
      <c r="A12" s="11"/>
      <c r="B12" s="14" t="s">
        <v>50</v>
      </c>
      <c r="C12" s="9">
        <v>65</v>
      </c>
      <c r="D12" s="5" t="s">
        <v>41</v>
      </c>
      <c r="G12" s="1"/>
    </row>
    <row r="13" spans="1:16" ht="16.5" x14ac:dyDescent="0.45">
      <c r="A13" s="11"/>
      <c r="B13" s="15" t="s">
        <v>48</v>
      </c>
      <c r="C13" s="9">
        <v>5</v>
      </c>
      <c r="D13" s="5" t="s">
        <v>41</v>
      </c>
      <c r="G13" s="1"/>
    </row>
    <row r="14" spans="1:16" x14ac:dyDescent="0.35">
      <c r="A14" s="11"/>
      <c r="G14" s="1"/>
    </row>
    <row r="15" spans="1:16" x14ac:dyDescent="0.35">
      <c r="A15" s="11"/>
      <c r="G15" s="1"/>
    </row>
    <row r="16" spans="1:16" x14ac:dyDescent="0.3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6.5" x14ac:dyDescent="0.4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3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3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3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3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3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3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3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3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3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3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3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3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3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3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3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3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3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3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3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3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3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35">
      <c r="A39" s="11"/>
      <c r="B39" s="9">
        <v>3500</v>
      </c>
      <c r="C39" s="9">
        <v>2500</v>
      </c>
      <c r="G39" s="1"/>
      <c r="M39" s="16"/>
      <c r="N39" s="16"/>
    </row>
    <row r="40" spans="1:29" x14ac:dyDescent="0.35">
      <c r="A40" s="11"/>
      <c r="B40" s="18"/>
      <c r="C40" s="18"/>
      <c r="G40" s="1"/>
      <c r="M40" s="16"/>
      <c r="N40" s="16"/>
    </row>
    <row r="41" spans="1:29" x14ac:dyDescent="0.35">
      <c r="A41" s="11"/>
      <c r="B41" s="18"/>
      <c r="C41" s="18"/>
      <c r="G41" s="1"/>
      <c r="M41" s="16"/>
      <c r="N41" s="16"/>
    </row>
    <row r="42" spans="1:29" x14ac:dyDescent="0.35">
      <c r="A42" s="11"/>
      <c r="B42" s="18"/>
      <c r="C42" s="18"/>
      <c r="G42" s="1"/>
      <c r="M42" s="16"/>
      <c r="N42" s="16"/>
    </row>
    <row r="43" spans="1:29" x14ac:dyDescent="0.35">
      <c r="A43" s="11"/>
      <c r="B43" s="18"/>
      <c r="C43" s="18"/>
      <c r="G43" s="1"/>
      <c r="M43" s="16"/>
      <c r="N43" s="16"/>
    </row>
    <row r="44" spans="1:29" x14ac:dyDescent="0.35">
      <c r="A44" s="11"/>
      <c r="B44" s="18"/>
      <c r="C44" s="18"/>
      <c r="G44" s="1"/>
      <c r="M44" s="16"/>
      <c r="N44" s="16"/>
    </row>
    <row r="45" spans="1:29" x14ac:dyDescent="0.35">
      <c r="A45" s="11"/>
      <c r="B45" s="18"/>
      <c r="C45" s="18"/>
      <c r="G45" s="1"/>
      <c r="M45" s="16"/>
      <c r="N45" s="16"/>
    </row>
    <row r="46" spans="1:29" x14ac:dyDescent="0.35">
      <c r="A46" s="11"/>
      <c r="B46" s="18"/>
      <c r="C46" s="18"/>
      <c r="G46" s="1"/>
    </row>
    <row r="47" spans="1:29" x14ac:dyDescent="0.35">
      <c r="A47" s="11"/>
      <c r="B47" s="18"/>
      <c r="C47" s="18"/>
      <c r="G47" s="1"/>
    </row>
    <row r="48" spans="1:29" x14ac:dyDescent="0.35">
      <c r="A48" s="11"/>
      <c r="B48" s="18"/>
      <c r="C48" s="18"/>
      <c r="G48" s="1"/>
    </row>
    <row r="49" spans="1:7" x14ac:dyDescent="0.35">
      <c r="A49" s="11"/>
      <c r="B49" s="18"/>
      <c r="C49" s="18"/>
      <c r="G49" s="1"/>
    </row>
    <row r="50" spans="1:7" x14ac:dyDescent="0.35">
      <c r="A50" s="11"/>
      <c r="B50" s="18"/>
      <c r="C50" s="18"/>
      <c r="G50" s="1"/>
    </row>
    <row r="51" spans="1:7" x14ac:dyDescent="0.35">
      <c r="A51" s="11"/>
      <c r="B51" s="18"/>
      <c r="C51" s="18"/>
      <c r="G51" s="1"/>
    </row>
    <row r="52" spans="1:7" x14ac:dyDescent="0.35">
      <c r="A52" s="11"/>
      <c r="B52" s="18"/>
      <c r="C52" s="18"/>
      <c r="G52" s="1"/>
    </row>
    <row r="53" spans="1:7" x14ac:dyDescent="0.35">
      <c r="A53" s="11"/>
      <c r="B53" s="18"/>
      <c r="C53" s="18"/>
      <c r="G53" s="1"/>
    </row>
    <row r="54" spans="1:7" x14ac:dyDescent="0.35">
      <c r="A54" s="11"/>
      <c r="B54" s="18"/>
      <c r="C54" s="18"/>
      <c r="G54" s="1"/>
    </row>
    <row r="55" spans="1:7" x14ac:dyDescent="0.35">
      <c r="A55" s="11"/>
      <c r="B55" s="18"/>
      <c r="C55" s="18"/>
      <c r="G55" s="1"/>
    </row>
    <row r="56" spans="1:7" x14ac:dyDescent="0.35">
      <c r="A56" s="11"/>
      <c r="B56" s="18"/>
      <c r="C56" s="18"/>
      <c r="G56" s="1"/>
    </row>
    <row r="57" spans="1:7" x14ac:dyDescent="0.35">
      <c r="A57" s="11"/>
      <c r="B57" s="18"/>
      <c r="C57" s="18"/>
      <c r="G57" s="1"/>
    </row>
    <row r="58" spans="1:7" x14ac:dyDescent="0.35">
      <c r="A58" s="11"/>
      <c r="B58" s="18"/>
      <c r="C58" s="18"/>
      <c r="G58" s="1"/>
    </row>
    <row r="59" spans="1:7" x14ac:dyDescent="0.35">
      <c r="A59" s="11"/>
      <c r="B59" s="18"/>
      <c r="C59" s="18"/>
      <c r="G59" s="1"/>
    </row>
    <row r="60" spans="1:7" x14ac:dyDescent="0.35">
      <c r="A60" s="11"/>
      <c r="B60" s="18"/>
      <c r="C60" s="18"/>
      <c r="G60" s="1"/>
    </row>
    <row r="61" spans="1:7" x14ac:dyDescent="0.35">
      <c r="A61" s="11"/>
      <c r="B61" s="18"/>
      <c r="C61" s="18"/>
      <c r="G61" s="1"/>
    </row>
    <row r="62" spans="1:7" x14ac:dyDescent="0.35">
      <c r="A62" s="11"/>
      <c r="B62" s="18"/>
      <c r="C62" s="18"/>
      <c r="G62" s="1"/>
    </row>
    <row r="63" spans="1:7" x14ac:dyDescent="0.35">
      <c r="A63" s="11"/>
      <c r="B63" s="18"/>
      <c r="C63" s="18"/>
      <c r="G63" s="1"/>
    </row>
    <row r="64" spans="1:7" x14ac:dyDescent="0.35">
      <c r="A64" s="11"/>
      <c r="B64" s="18"/>
      <c r="C64" s="18"/>
      <c r="G64" s="1"/>
    </row>
    <row r="65" spans="1:7" x14ac:dyDescent="0.35">
      <c r="A65" s="11"/>
      <c r="B65" s="18"/>
      <c r="C65" s="18"/>
      <c r="G65" s="1"/>
    </row>
    <row r="66" spans="1:7" x14ac:dyDescent="0.35">
      <c r="A66" s="11"/>
      <c r="B66" s="18"/>
      <c r="C66" s="18"/>
      <c r="G66" s="1"/>
    </row>
    <row r="67" spans="1:7" x14ac:dyDescent="0.35">
      <c r="A67" s="11"/>
      <c r="B67" s="18"/>
      <c r="C67" s="18"/>
      <c r="G67" s="1"/>
    </row>
    <row r="68" spans="1:7" x14ac:dyDescent="0.35">
      <c r="A68" s="11"/>
      <c r="B68" s="18"/>
      <c r="C68" s="18"/>
      <c r="G68" s="1"/>
    </row>
    <row r="69" spans="1:7" x14ac:dyDescent="0.35">
      <c r="A69" s="11"/>
      <c r="B69" s="18"/>
      <c r="C69" s="18"/>
      <c r="G69" s="1"/>
    </row>
    <row r="70" spans="1:7" x14ac:dyDescent="0.35">
      <c r="A70" s="11"/>
      <c r="B70" s="18"/>
      <c r="C70" s="18"/>
      <c r="G70" s="1"/>
    </row>
    <row r="71" spans="1:7" x14ac:dyDescent="0.35">
      <c r="A71" s="11"/>
      <c r="B71" s="18"/>
      <c r="C71" s="18"/>
      <c r="G71" s="1"/>
    </row>
    <row r="72" spans="1:7" x14ac:dyDescent="0.35">
      <c r="A72" s="11"/>
      <c r="B72" s="18"/>
      <c r="C72" s="18"/>
      <c r="G72" s="1"/>
    </row>
    <row r="73" spans="1:7" x14ac:dyDescent="0.35">
      <c r="A73" s="11"/>
      <c r="B73" s="18"/>
      <c r="C73" s="18"/>
      <c r="G73" s="1"/>
    </row>
    <row r="74" spans="1:7" x14ac:dyDescent="0.35">
      <c r="A74" s="11"/>
      <c r="B74" s="18"/>
      <c r="C74" s="18"/>
      <c r="G74" s="1"/>
    </row>
    <row r="75" spans="1:7" x14ac:dyDescent="0.35">
      <c r="A75" s="11"/>
      <c r="B75" s="18"/>
      <c r="C75" s="18"/>
      <c r="G75" s="1"/>
    </row>
    <row r="76" spans="1:7" x14ac:dyDescent="0.35">
      <c r="A76" s="11"/>
      <c r="B76" s="18"/>
      <c r="C76" s="18"/>
      <c r="G76" s="1"/>
    </row>
    <row r="77" spans="1:7" x14ac:dyDescent="0.35">
      <c r="A77" s="11"/>
      <c r="B77" s="18"/>
      <c r="C77" s="18"/>
      <c r="G77" s="1"/>
    </row>
    <row r="78" spans="1:7" x14ac:dyDescent="0.35">
      <c r="A78" s="11"/>
      <c r="B78" s="18"/>
      <c r="C78" s="18"/>
      <c r="G78" s="1"/>
    </row>
    <row r="79" spans="1:7" x14ac:dyDescent="0.35">
      <c r="A79" s="11"/>
      <c r="B79" s="18"/>
      <c r="C79" s="18"/>
      <c r="G79" s="1"/>
    </row>
    <row r="80" spans="1:7" x14ac:dyDescent="0.35">
      <c r="A80" s="11"/>
      <c r="B80" s="18"/>
      <c r="C80" s="18"/>
      <c r="G80" s="1"/>
    </row>
    <row r="81" spans="1:7" x14ac:dyDescent="0.35">
      <c r="A81" s="11"/>
      <c r="B81" s="18"/>
      <c r="C81" s="18"/>
      <c r="G81" s="1"/>
    </row>
    <row r="82" spans="1:7" x14ac:dyDescent="0.35">
      <c r="A82" s="11"/>
      <c r="B82" s="18"/>
      <c r="C82" s="18"/>
      <c r="G82" s="1"/>
    </row>
    <row r="83" spans="1:7" x14ac:dyDescent="0.35">
      <c r="A83" s="11"/>
      <c r="B83" s="18"/>
      <c r="C83" s="18"/>
      <c r="G83" s="1"/>
    </row>
    <row r="84" spans="1:7" x14ac:dyDescent="0.35">
      <c r="A84" s="11"/>
      <c r="B84" s="18"/>
      <c r="C84" s="18"/>
      <c r="G84" s="1"/>
    </row>
    <row r="85" spans="1:7" x14ac:dyDescent="0.35">
      <c r="A85" s="11"/>
      <c r="B85" s="18"/>
      <c r="C85" s="18"/>
      <c r="G85" s="1"/>
    </row>
    <row r="86" spans="1:7" x14ac:dyDescent="0.35">
      <c r="A86" s="11"/>
      <c r="B86" s="18"/>
      <c r="C86" s="18"/>
      <c r="G86" s="1"/>
    </row>
    <row r="87" spans="1:7" x14ac:dyDescent="0.35">
      <c r="A87" s="11"/>
      <c r="B87" s="18"/>
      <c r="C87" s="18"/>
      <c r="G87" s="1"/>
    </row>
    <row r="88" spans="1:7" x14ac:dyDescent="0.35">
      <c r="A88" s="11"/>
      <c r="B88" s="18"/>
      <c r="C88" s="18"/>
      <c r="G88" s="1"/>
    </row>
    <row r="89" spans="1:7" x14ac:dyDescent="0.35">
      <c r="A89" s="11"/>
      <c r="B89" s="18"/>
      <c r="C89" s="18"/>
      <c r="G89" s="1"/>
    </row>
    <row r="90" spans="1:7" x14ac:dyDescent="0.35">
      <c r="A90" s="11"/>
      <c r="B90" s="18"/>
      <c r="C90" s="18"/>
      <c r="G90" s="1"/>
    </row>
    <row r="91" spans="1:7" x14ac:dyDescent="0.35">
      <c r="A91" s="11"/>
      <c r="B91" s="18"/>
      <c r="C91" s="18"/>
      <c r="G91" s="1"/>
    </row>
    <row r="92" spans="1:7" x14ac:dyDescent="0.35">
      <c r="A92" s="11"/>
      <c r="B92" s="18"/>
      <c r="C92" s="18"/>
      <c r="G92" s="1"/>
    </row>
    <row r="93" spans="1:7" x14ac:dyDescent="0.35">
      <c r="A93" s="11"/>
      <c r="B93" s="18"/>
      <c r="C93" s="18"/>
      <c r="G93" s="1"/>
    </row>
    <row r="94" spans="1:7" x14ac:dyDescent="0.35">
      <c r="A94" s="11"/>
      <c r="B94" s="18"/>
      <c r="C94" s="18"/>
      <c r="G94" s="1"/>
    </row>
    <row r="95" spans="1:7" x14ac:dyDescent="0.35">
      <c r="A95" s="11"/>
      <c r="B95" s="18"/>
      <c r="C95" s="18"/>
      <c r="G95" s="1"/>
    </row>
    <row r="96" spans="1:7" x14ac:dyDescent="0.35">
      <c r="A96" s="11"/>
      <c r="B96" s="18"/>
      <c r="C96" s="18"/>
      <c r="G96" s="1"/>
    </row>
    <row r="97" spans="1:7" x14ac:dyDescent="0.35">
      <c r="A97" s="11"/>
      <c r="B97" s="18"/>
      <c r="C97" s="18"/>
      <c r="G97" s="1"/>
    </row>
    <row r="98" spans="1:7" x14ac:dyDescent="0.35">
      <c r="A98" s="11"/>
      <c r="B98" s="18"/>
      <c r="C98" s="18"/>
      <c r="G98" s="1"/>
    </row>
    <row r="99" spans="1:7" x14ac:dyDescent="0.35">
      <c r="A99" s="11"/>
      <c r="B99" s="18"/>
      <c r="C99" s="18"/>
      <c r="G99" s="1"/>
    </row>
    <row r="100" spans="1:7" x14ac:dyDescent="0.35">
      <c r="A100" s="11"/>
      <c r="B100" s="18"/>
      <c r="C100" s="18"/>
      <c r="G100" s="1"/>
    </row>
    <row r="101" spans="1:7" x14ac:dyDescent="0.35">
      <c r="A101" s="11"/>
      <c r="B101" s="18"/>
      <c r="C101" s="18"/>
      <c r="G101" s="1"/>
    </row>
    <row r="102" spans="1:7" x14ac:dyDescent="0.35">
      <c r="A102" s="11"/>
      <c r="B102" s="18"/>
      <c r="C102" s="18"/>
      <c r="G102" s="1"/>
    </row>
    <row r="103" spans="1:7" x14ac:dyDescent="0.35">
      <c r="A103" s="11"/>
      <c r="B103" s="18"/>
      <c r="C103" s="18"/>
      <c r="G103" s="1"/>
    </row>
    <row r="104" spans="1:7" x14ac:dyDescent="0.35">
      <c r="A104" s="11"/>
      <c r="B104" s="18"/>
      <c r="C104" s="18"/>
      <c r="G104" s="1"/>
    </row>
    <row r="105" spans="1:7" x14ac:dyDescent="0.35">
      <c r="A105" s="11"/>
      <c r="B105" s="18"/>
      <c r="C105" s="18"/>
      <c r="G105" s="1"/>
    </row>
    <row r="106" spans="1:7" x14ac:dyDescent="0.35">
      <c r="A106" s="11"/>
      <c r="B106" s="18"/>
      <c r="C106" s="18"/>
      <c r="G106" s="1"/>
    </row>
    <row r="107" spans="1:7" x14ac:dyDescent="0.35">
      <c r="A107" s="11"/>
      <c r="B107" s="18"/>
      <c r="C107" s="18"/>
      <c r="G107" s="1"/>
    </row>
    <row r="108" spans="1:7" x14ac:dyDescent="0.35">
      <c r="A108" s="11"/>
      <c r="B108" s="18"/>
      <c r="C108" s="18"/>
      <c r="G108" s="1"/>
    </row>
    <row r="109" spans="1:7" x14ac:dyDescent="0.35">
      <c r="A109" s="11"/>
      <c r="B109" s="18"/>
      <c r="C109" s="18"/>
      <c r="G109" s="1"/>
    </row>
    <row r="110" spans="1:7" x14ac:dyDescent="0.35">
      <c r="A110" s="11"/>
      <c r="B110" s="18"/>
      <c r="C110" s="18"/>
      <c r="G110" s="1"/>
    </row>
    <row r="111" spans="1:7" x14ac:dyDescent="0.35">
      <c r="A111" s="11"/>
      <c r="B111" s="18"/>
      <c r="C111" s="18"/>
      <c r="G111" s="1"/>
    </row>
    <row r="112" spans="1:7" x14ac:dyDescent="0.35">
      <c r="A112" s="11"/>
      <c r="B112" s="18"/>
      <c r="C112" s="18"/>
      <c r="G112" s="1"/>
    </row>
    <row r="113" spans="1:7" x14ac:dyDescent="0.35">
      <c r="A113" s="11"/>
      <c r="B113" s="18"/>
      <c r="C113" s="18"/>
      <c r="G113" s="1"/>
    </row>
    <row r="114" spans="1:7" x14ac:dyDescent="0.35">
      <c r="A114" s="11"/>
      <c r="B114" s="18"/>
      <c r="C114" s="18"/>
      <c r="G114" s="1"/>
    </row>
    <row r="115" spans="1:7" x14ac:dyDescent="0.35">
      <c r="A115" s="11"/>
      <c r="B115" s="18"/>
      <c r="C115" s="18"/>
      <c r="G115" s="1"/>
    </row>
    <row r="116" spans="1:7" x14ac:dyDescent="0.35">
      <c r="A116" s="11"/>
      <c r="B116" s="18"/>
      <c r="C116" s="18"/>
      <c r="G116" s="1"/>
    </row>
    <row r="117" spans="1:7" x14ac:dyDescent="0.35">
      <c r="A117" s="11"/>
      <c r="B117" s="18"/>
      <c r="C117" s="18"/>
      <c r="G117" s="1"/>
    </row>
    <row r="118" spans="1:7" x14ac:dyDescent="0.35">
      <c r="A118" s="11"/>
      <c r="B118" s="18"/>
      <c r="C118" s="18"/>
      <c r="G118" s="1"/>
    </row>
    <row r="119" spans="1:7" x14ac:dyDescent="0.35">
      <c r="A119" s="11"/>
      <c r="B119" s="18"/>
      <c r="C119" s="18"/>
      <c r="G119" s="1"/>
    </row>
    <row r="120" spans="1:7" x14ac:dyDescent="0.35">
      <c r="A120" s="11"/>
      <c r="B120" s="18"/>
      <c r="C120" s="18"/>
      <c r="G120" s="1"/>
    </row>
    <row r="121" spans="1:7" x14ac:dyDescent="0.35">
      <c r="A121" s="11"/>
      <c r="B121" s="18"/>
      <c r="C121" s="18"/>
      <c r="G121" s="1"/>
    </row>
    <row r="122" spans="1:7" x14ac:dyDescent="0.35">
      <c r="A122" s="11"/>
      <c r="B122" s="18"/>
      <c r="C122" s="18"/>
      <c r="G122" s="1"/>
    </row>
    <row r="123" spans="1:7" x14ac:dyDescent="0.35">
      <c r="A123" s="11"/>
      <c r="B123" s="18"/>
      <c r="C123" s="18"/>
      <c r="G123" s="1"/>
    </row>
    <row r="124" spans="1:7" x14ac:dyDescent="0.35">
      <c r="A124" s="11"/>
      <c r="B124" s="18"/>
      <c r="C124" s="18"/>
      <c r="G124" s="1"/>
    </row>
    <row r="125" spans="1:7" x14ac:dyDescent="0.35">
      <c r="A125" s="11"/>
      <c r="B125" s="18"/>
      <c r="C125" s="18"/>
      <c r="G125" s="1"/>
    </row>
    <row r="126" spans="1:7" x14ac:dyDescent="0.35">
      <c r="A126" s="11"/>
      <c r="B126" s="18"/>
      <c r="C126" s="18"/>
      <c r="G126" s="1"/>
    </row>
    <row r="127" spans="1:7" x14ac:dyDescent="0.35">
      <c r="A127" s="11"/>
      <c r="B127" s="18"/>
      <c r="C127" s="18"/>
      <c r="G127" s="1"/>
    </row>
    <row r="128" spans="1:7" x14ac:dyDescent="0.35">
      <c r="A128" s="11"/>
      <c r="B128" s="18"/>
      <c r="C128" s="18"/>
      <c r="G128" s="1"/>
    </row>
    <row r="129" spans="1:7" x14ac:dyDescent="0.35">
      <c r="A129" s="11"/>
      <c r="B129" s="18"/>
      <c r="C129" s="18"/>
      <c r="G129" s="1"/>
    </row>
    <row r="130" spans="1:7" x14ac:dyDescent="0.35">
      <c r="A130" s="11"/>
      <c r="B130" s="18"/>
      <c r="C130" s="18"/>
      <c r="G130" s="1"/>
    </row>
    <row r="131" spans="1:7" x14ac:dyDescent="0.35">
      <c r="A131" s="11"/>
      <c r="B131" s="18"/>
      <c r="C131" s="18"/>
      <c r="G131" s="1"/>
    </row>
    <row r="132" spans="1:7" x14ac:dyDescent="0.35">
      <c r="A132" s="11"/>
      <c r="B132" s="18"/>
      <c r="C132" s="18"/>
      <c r="G132" s="1"/>
    </row>
    <row r="133" spans="1:7" x14ac:dyDescent="0.35">
      <c r="A133" s="11"/>
      <c r="B133" s="18"/>
      <c r="C133" s="18"/>
      <c r="G133" s="1"/>
    </row>
    <row r="134" spans="1:7" x14ac:dyDescent="0.35">
      <c r="A134" s="11"/>
      <c r="B134" s="18"/>
      <c r="C134" s="18"/>
      <c r="G134" s="1"/>
    </row>
    <row r="135" spans="1:7" x14ac:dyDescent="0.35">
      <c r="A135" s="11"/>
      <c r="B135" s="18"/>
      <c r="C135" s="18"/>
      <c r="G135" s="1"/>
    </row>
    <row r="136" spans="1:7" x14ac:dyDescent="0.35">
      <c r="A136" s="11"/>
      <c r="B136" s="18"/>
      <c r="C136" s="18"/>
      <c r="G136" s="1"/>
    </row>
    <row r="137" spans="1:7" x14ac:dyDescent="0.35">
      <c r="A137" s="11"/>
      <c r="B137" s="18"/>
      <c r="C137" s="18"/>
      <c r="G137" s="1"/>
    </row>
    <row r="138" spans="1:7" x14ac:dyDescent="0.35">
      <c r="A138" s="11"/>
      <c r="B138" s="18"/>
      <c r="C138" s="18"/>
      <c r="G138" s="1"/>
    </row>
    <row r="139" spans="1:7" x14ac:dyDescent="0.35">
      <c r="A139" s="11"/>
      <c r="B139" s="18"/>
      <c r="C139" s="18"/>
      <c r="G139" s="1"/>
    </row>
    <row r="140" spans="1:7" x14ac:dyDescent="0.35">
      <c r="A140" s="11"/>
      <c r="B140" s="18"/>
      <c r="C140" s="18"/>
      <c r="G140" s="1"/>
    </row>
    <row r="141" spans="1:7" x14ac:dyDescent="0.35">
      <c r="A141" s="11"/>
      <c r="B141" s="18"/>
      <c r="C141" s="18"/>
      <c r="G141" s="1"/>
    </row>
    <row r="142" spans="1:7" x14ac:dyDescent="0.35">
      <c r="A142" s="11"/>
      <c r="B142" s="18"/>
      <c r="C142" s="18"/>
      <c r="G142" s="1"/>
    </row>
    <row r="143" spans="1:7" x14ac:dyDescent="0.35">
      <c r="A143" s="11"/>
      <c r="B143" s="18"/>
      <c r="C143" s="18"/>
      <c r="G143" s="1"/>
    </row>
    <row r="144" spans="1:7" x14ac:dyDescent="0.35">
      <c r="A144" s="11"/>
      <c r="B144" s="18"/>
      <c r="C144" s="18"/>
      <c r="G144" s="1"/>
    </row>
    <row r="145" spans="1:7" x14ac:dyDescent="0.35">
      <c r="A145" s="11"/>
      <c r="B145" s="18"/>
      <c r="C145" s="18"/>
      <c r="G145" s="1"/>
    </row>
    <row r="146" spans="1:7" x14ac:dyDescent="0.35">
      <c r="A146" s="11"/>
      <c r="B146" s="18"/>
      <c r="C146" s="18"/>
      <c r="G146" s="1"/>
    </row>
    <row r="147" spans="1:7" x14ac:dyDescent="0.35">
      <c r="A147" s="11"/>
      <c r="B147" s="18"/>
      <c r="C147" s="18"/>
      <c r="G147" s="1"/>
    </row>
    <row r="148" spans="1:7" x14ac:dyDescent="0.35">
      <c r="A148" s="11"/>
      <c r="B148" s="18"/>
      <c r="C148" s="18"/>
      <c r="G148" s="1"/>
    </row>
    <row r="149" spans="1:7" x14ac:dyDescent="0.35">
      <c r="A149" s="11"/>
      <c r="B149" s="18"/>
      <c r="C149" s="18"/>
      <c r="G149" s="1"/>
    </row>
    <row r="150" spans="1:7" x14ac:dyDescent="0.35">
      <c r="A150" s="11"/>
      <c r="B150" s="18"/>
      <c r="C150" s="18"/>
      <c r="G150" s="1"/>
    </row>
    <row r="151" spans="1:7" x14ac:dyDescent="0.35">
      <c r="A151" s="11"/>
      <c r="B151" s="18"/>
      <c r="C151" s="18"/>
      <c r="G151" s="1"/>
    </row>
    <row r="152" spans="1:7" x14ac:dyDescent="0.35">
      <c r="A152" s="11"/>
      <c r="B152" s="18"/>
      <c r="C152" s="18"/>
      <c r="G152" s="1"/>
    </row>
    <row r="153" spans="1:7" x14ac:dyDescent="0.35">
      <c r="A153" s="11"/>
      <c r="B153" s="18"/>
      <c r="C153" s="18"/>
      <c r="G153" s="1"/>
    </row>
    <row r="154" spans="1:7" x14ac:dyDescent="0.35">
      <c r="A154" s="11"/>
      <c r="B154" s="18"/>
      <c r="C154" s="18"/>
      <c r="G154" s="1"/>
    </row>
    <row r="155" spans="1:7" x14ac:dyDescent="0.35">
      <c r="A155" s="11"/>
      <c r="B155" s="18"/>
      <c r="C155" s="18"/>
      <c r="G155" s="1"/>
    </row>
    <row r="156" spans="1:7" x14ac:dyDescent="0.35">
      <c r="A156" s="11"/>
      <c r="B156" s="18"/>
      <c r="C156" s="18"/>
      <c r="G156" s="1"/>
    </row>
    <row r="157" spans="1:7" x14ac:dyDescent="0.35">
      <c r="A157" s="11"/>
      <c r="B157" s="18"/>
      <c r="C157" s="18"/>
      <c r="G157" s="1"/>
    </row>
    <row r="158" spans="1:7" x14ac:dyDescent="0.35">
      <c r="A158" s="11"/>
      <c r="B158" s="18"/>
      <c r="C158" s="18"/>
      <c r="G158" s="1"/>
    </row>
    <row r="159" spans="1:7" x14ac:dyDescent="0.35">
      <c r="A159" s="11"/>
      <c r="B159" s="18"/>
      <c r="C159" s="18"/>
      <c r="G159" s="1"/>
    </row>
    <row r="160" spans="1:7" x14ac:dyDescent="0.35">
      <c r="A160" s="11"/>
      <c r="B160" s="18"/>
      <c r="C160" s="18"/>
      <c r="G160" s="1"/>
    </row>
    <row r="161" spans="1:7" x14ac:dyDescent="0.35">
      <c r="A161" s="11"/>
      <c r="B161" s="18"/>
      <c r="C161" s="18"/>
      <c r="G161" s="1"/>
    </row>
    <row r="162" spans="1:7" x14ac:dyDescent="0.35">
      <c r="A162" s="11"/>
      <c r="B162" s="18"/>
      <c r="C162" s="18"/>
      <c r="G162" s="1"/>
    </row>
    <row r="163" spans="1:7" x14ac:dyDescent="0.35">
      <c r="A163" s="11"/>
      <c r="B163" s="18"/>
      <c r="C163" s="18"/>
      <c r="G163" s="1"/>
    </row>
    <row r="164" spans="1:7" x14ac:dyDescent="0.35">
      <c r="A164" s="11"/>
      <c r="B164" s="18"/>
      <c r="C164" s="18"/>
      <c r="G164" s="1"/>
    </row>
    <row r="165" spans="1:7" x14ac:dyDescent="0.35">
      <c r="A165" s="11"/>
      <c r="B165" s="18"/>
      <c r="C165" s="18"/>
      <c r="G165" s="1"/>
    </row>
    <row r="166" spans="1:7" x14ac:dyDescent="0.35">
      <c r="A166" s="11"/>
      <c r="B166" s="18"/>
      <c r="C166" s="18"/>
      <c r="G166" s="1"/>
    </row>
    <row r="167" spans="1:7" x14ac:dyDescent="0.35">
      <c r="A167" s="11"/>
      <c r="B167" s="18"/>
      <c r="C167" s="18"/>
      <c r="G167" s="1"/>
    </row>
    <row r="168" spans="1:7" x14ac:dyDescent="0.35">
      <c r="A168" s="11"/>
      <c r="B168" s="18"/>
      <c r="C168" s="18"/>
      <c r="G168" s="1"/>
    </row>
    <row r="169" spans="1:7" x14ac:dyDescent="0.35">
      <c r="A169" s="11"/>
      <c r="B169" s="18"/>
      <c r="C169" s="18"/>
      <c r="G169" s="1"/>
    </row>
    <row r="170" spans="1:7" x14ac:dyDescent="0.35">
      <c r="A170" s="11"/>
      <c r="B170" s="18"/>
      <c r="C170" s="18"/>
      <c r="G170" s="1"/>
    </row>
    <row r="171" spans="1:7" x14ac:dyDescent="0.35">
      <c r="A171" s="11"/>
      <c r="B171" s="18"/>
      <c r="C171" s="18"/>
      <c r="G171" s="1"/>
    </row>
    <row r="172" spans="1:7" x14ac:dyDescent="0.35">
      <c r="A172" s="11"/>
      <c r="B172" s="18"/>
      <c r="C172" s="18"/>
      <c r="G172" s="1"/>
    </row>
    <row r="173" spans="1:7" x14ac:dyDescent="0.35">
      <c r="A173" s="11"/>
      <c r="B173" s="18"/>
      <c r="C173" s="18"/>
      <c r="G173" s="1"/>
    </row>
    <row r="174" spans="1:7" x14ac:dyDescent="0.35">
      <c r="A174" s="11"/>
      <c r="B174" s="18"/>
      <c r="C174" s="18"/>
      <c r="G174" s="1"/>
    </row>
    <row r="175" spans="1:7" x14ac:dyDescent="0.35">
      <c r="A175" s="11"/>
      <c r="G175" s="1"/>
    </row>
    <row r="176" spans="1:7" x14ac:dyDescent="0.3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69850</xdr:rowOff>
                  </from>
                  <to>
                    <xdr:col>18</xdr:col>
                    <xdr:colOff>285750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G10" sqref="G10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34" x14ac:dyDescent="0.35">
      <c r="A1" t="str">
        <f>версия_</f>
        <v>вер 7.21</v>
      </c>
    </row>
    <row r="2" spans="1:34" x14ac:dyDescent="0.35">
      <c r="C2" t="s">
        <v>140</v>
      </c>
      <c r="E2">
        <f>X3-1</f>
        <v>1</v>
      </c>
      <c r="G2" t="s">
        <v>141</v>
      </c>
      <c r="J2">
        <f>AB3-1</f>
        <v>0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35">
      <c r="X3">
        <v>2</v>
      </c>
      <c r="Y3" t="s">
        <v>143</v>
      </c>
      <c r="AB3">
        <v>1</v>
      </c>
      <c r="AC3" t="s">
        <v>145</v>
      </c>
      <c r="AG3">
        <v>1</v>
      </c>
      <c r="AH3" t="s">
        <v>160</v>
      </c>
    </row>
    <row r="4" spans="1:34" x14ac:dyDescent="0.35">
      <c r="P4" s="19" t="s">
        <v>53</v>
      </c>
      <c r="Q4" s="2"/>
      <c r="R4" s="2"/>
      <c r="Y4" t="s">
        <v>144</v>
      </c>
      <c r="AC4" t="s">
        <v>146</v>
      </c>
      <c r="AH4" t="s">
        <v>174</v>
      </c>
    </row>
    <row r="5" spans="1:34" ht="16.5" x14ac:dyDescent="0.4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6.5" x14ac:dyDescent="0.45">
      <c r="B6" s="7" t="s">
        <v>32</v>
      </c>
      <c r="C6" s="9">
        <v>100</v>
      </c>
      <c r="D6" s="5" t="s">
        <v>33</v>
      </c>
      <c r="G6" s="21" t="s">
        <v>157</v>
      </c>
      <c r="H6" s="9">
        <v>1.3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6.5" x14ac:dyDescent="0.45">
      <c r="B7" s="5" t="s">
        <v>19</v>
      </c>
      <c r="C7" s="9">
        <v>12</v>
      </c>
      <c r="D7" s="5" t="s">
        <v>9</v>
      </c>
      <c r="G7" s="21" t="s">
        <v>158</v>
      </c>
      <c r="H7" s="9">
        <v>1.5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324</v>
      </c>
      <c r="R7" s="5" t="s">
        <v>44</v>
      </c>
      <c r="AC7" t="s">
        <v>149</v>
      </c>
    </row>
    <row r="8" spans="1:34" ht="16.5" x14ac:dyDescent="0.35">
      <c r="B8" s="7" t="s">
        <v>34</v>
      </c>
      <c r="C8" s="12" t="s">
        <v>63</v>
      </c>
      <c r="D8" s="5" t="s">
        <v>35</v>
      </c>
      <c r="AC8" t="s">
        <v>150</v>
      </c>
    </row>
    <row r="9" spans="1:34" ht="16.5" x14ac:dyDescent="0.3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6.5" x14ac:dyDescent="0.4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1</v>
      </c>
      <c r="R10" s="5" t="s">
        <v>44</v>
      </c>
      <c r="S10" s="15" t="s">
        <v>55</v>
      </c>
      <c r="T10" s="29">
        <v>60.000000000000291</v>
      </c>
      <c r="U10" s="5" t="s">
        <v>25</v>
      </c>
    </row>
    <row r="11" spans="1:34" ht="16.5" x14ac:dyDescent="0.45">
      <c r="P11" s="15" t="s">
        <v>46</v>
      </c>
      <c r="Q11" s="29">
        <v>97.914613872702645</v>
      </c>
      <c r="R11" s="5" t="s">
        <v>44</v>
      </c>
      <c r="S11" s="15" t="s">
        <v>56</v>
      </c>
      <c r="T11" s="29">
        <v>60.000000000000291</v>
      </c>
      <c r="U11" s="5" t="s">
        <v>25</v>
      </c>
    </row>
    <row r="12" spans="1:34" ht="16.5" x14ac:dyDescent="0.45">
      <c r="M12" t="s">
        <v>63</v>
      </c>
      <c r="P12" s="15" t="s">
        <v>47</v>
      </c>
      <c r="Q12" s="29">
        <v>324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35">
      <c r="D13" s="1"/>
    </row>
    <row r="14" spans="1:34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165</v>
      </c>
      <c r="N15" s="1" t="s">
        <v>161</v>
      </c>
      <c r="O15" s="1" t="s">
        <v>162</v>
      </c>
      <c r="P15" s="1"/>
      <c r="Q15" s="1" t="s">
        <v>163</v>
      </c>
      <c r="R15" s="1"/>
      <c r="S15" s="1" t="s">
        <v>164</v>
      </c>
      <c r="U15" s="5" t="s">
        <v>175</v>
      </c>
      <c r="V15" s="1" t="s">
        <v>176</v>
      </c>
    </row>
    <row r="16" spans="1:34" x14ac:dyDescent="0.35">
      <c r="B16" s="2" t="s">
        <v>59</v>
      </c>
      <c r="C16" s="60">
        <v>0</v>
      </c>
      <c r="D16" s="60">
        <v>0</v>
      </c>
      <c r="E16" s="60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60.000000000000291</v>
      </c>
      <c r="N16">
        <v>0</v>
      </c>
      <c r="O16">
        <v>97.914613872702645</v>
      </c>
      <c r="P16">
        <v>0</v>
      </c>
      <c r="Q16">
        <v>60.000000000000291</v>
      </c>
      <c r="R16">
        <v>0</v>
      </c>
      <c r="S16">
        <v>0.7529672135631339</v>
      </c>
      <c r="U16">
        <v>0</v>
      </c>
      <c r="V16" s="62">
        <f>Pline_out_atma_</f>
        <v>1</v>
      </c>
    </row>
    <row r="17" spans="2:22" x14ac:dyDescent="0.3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61.578947368421353</v>
      </c>
      <c r="N17">
        <v>184.21052631578948</v>
      </c>
      <c r="O17">
        <v>112.48392165737415</v>
      </c>
      <c r="P17">
        <v>184.21052631578948</v>
      </c>
      <c r="Q17">
        <v>61.578947368421353</v>
      </c>
      <c r="R17">
        <v>175</v>
      </c>
      <c r="S17">
        <v>0.78246585509503408</v>
      </c>
      <c r="U17">
        <v>0</v>
      </c>
      <c r="V17" s="62">
        <f>Pbuf_out_atma_</f>
        <v>97.914613872702645</v>
      </c>
    </row>
    <row r="18" spans="2:22" x14ac:dyDescent="0.3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63.157894736842408</v>
      </c>
      <c r="N18">
        <v>368.42105263157896</v>
      </c>
      <c r="O18">
        <v>127.66335087023843</v>
      </c>
      <c r="P18">
        <v>368.42105263157896</v>
      </c>
      <c r="Q18">
        <v>63.157894736842408</v>
      </c>
      <c r="R18">
        <v>350</v>
      </c>
      <c r="S18">
        <v>0.83055501862493808</v>
      </c>
      <c r="U18">
        <f>Hperf_m_</f>
        <v>3500</v>
      </c>
      <c r="V18" s="62">
        <f>Pwf_out_atma_</f>
        <v>324</v>
      </c>
    </row>
    <row r="19" spans="2:22" x14ac:dyDescent="0.3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64.736842105263463</v>
      </c>
      <c r="N19">
        <v>552.63157894736844</v>
      </c>
      <c r="O19">
        <v>143.57910313170819</v>
      </c>
      <c r="P19">
        <v>552.63157894736844</v>
      </c>
      <c r="Q19">
        <v>64.736842105263463</v>
      </c>
      <c r="R19">
        <v>525</v>
      </c>
      <c r="S19">
        <v>0.87834189134973395</v>
      </c>
    </row>
    <row r="20" spans="2:22" x14ac:dyDescent="0.3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66.31578947368449</v>
      </c>
      <c r="N20">
        <v>736.84210526315792</v>
      </c>
      <c r="O20">
        <v>160.16902742805533</v>
      </c>
      <c r="P20">
        <v>736.84210526315792</v>
      </c>
      <c r="Q20">
        <v>66.31578947368449</v>
      </c>
      <c r="R20">
        <v>700</v>
      </c>
      <c r="S20">
        <v>0.9233046880365503</v>
      </c>
    </row>
    <row r="21" spans="2:22" x14ac:dyDescent="0.3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67.89473684210553</v>
      </c>
      <c r="N21">
        <v>921.0526315789474</v>
      </c>
      <c r="O21">
        <v>177.24188386955453</v>
      </c>
      <c r="P21">
        <v>921.0526315789474</v>
      </c>
      <c r="Q21">
        <v>67.89473684210553</v>
      </c>
      <c r="R21">
        <v>875</v>
      </c>
      <c r="S21">
        <v>0.96540148033445405</v>
      </c>
    </row>
    <row r="22" spans="2:22" x14ac:dyDescent="0.3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69.473684210526557</v>
      </c>
      <c r="N22">
        <v>1105.2631578947369</v>
      </c>
      <c r="O22">
        <v>194.18666436290218</v>
      </c>
      <c r="P22">
        <v>1105.2631578947369</v>
      </c>
      <c r="Q22">
        <v>69.473684210526557</v>
      </c>
      <c r="R22">
        <v>1050</v>
      </c>
      <c r="S22">
        <v>0.99693856490432609</v>
      </c>
    </row>
    <row r="23" spans="2:22" x14ac:dyDescent="0.3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71.052631578947597</v>
      </c>
      <c r="N23">
        <v>1289.4736842105262</v>
      </c>
      <c r="O23">
        <v>210.57045185509634</v>
      </c>
      <c r="P23">
        <v>1289.4736842105262</v>
      </c>
      <c r="Q23">
        <v>71.052631578947597</v>
      </c>
      <c r="R23">
        <v>1225</v>
      </c>
      <c r="S23">
        <v>1</v>
      </c>
    </row>
    <row r="24" spans="2:22" x14ac:dyDescent="0.3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72.631578947368624</v>
      </c>
      <c r="N24">
        <v>1473.6842105263158</v>
      </c>
      <c r="O24">
        <v>226.31814135257093</v>
      </c>
      <c r="P24">
        <v>1473.6842105263158</v>
      </c>
      <c r="Q24">
        <v>72.631578947368624</v>
      </c>
      <c r="R24">
        <v>1400</v>
      </c>
      <c r="S24">
        <v>1</v>
      </c>
    </row>
    <row r="25" spans="2:22" x14ac:dyDescent="0.3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74.210526315789664</v>
      </c>
      <c r="N25">
        <v>1657.8947368421054</v>
      </c>
      <c r="O25">
        <v>241.43395592020008</v>
      </c>
      <c r="P25">
        <v>1657.8947368421054</v>
      </c>
      <c r="Q25">
        <v>74.210526315789664</v>
      </c>
      <c r="R25">
        <v>1575</v>
      </c>
      <c r="S25">
        <v>1</v>
      </c>
    </row>
    <row r="26" spans="2:22" x14ac:dyDescent="0.3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75.789473684210691</v>
      </c>
      <c r="N26">
        <v>1842.1052631578948</v>
      </c>
      <c r="O26">
        <v>255.91364470203382</v>
      </c>
      <c r="P26">
        <v>1842.1052631578948</v>
      </c>
      <c r="Q26">
        <v>75.789473684210691</v>
      </c>
      <c r="R26">
        <v>1750</v>
      </c>
      <c r="S26">
        <v>1</v>
      </c>
    </row>
    <row r="27" spans="2:22" x14ac:dyDescent="0.3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77.368421052631732</v>
      </c>
      <c r="N27">
        <v>2026.3157894736842</v>
      </c>
      <c r="O27">
        <v>269.75402967104066</v>
      </c>
      <c r="P27">
        <v>2026.3157894736842</v>
      </c>
      <c r="Q27">
        <v>77.368421052631732</v>
      </c>
      <c r="R27">
        <v>1925</v>
      </c>
      <c r="S27">
        <v>1</v>
      </c>
    </row>
    <row r="28" spans="2:22" x14ac:dyDescent="0.3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78.947368421052758</v>
      </c>
      <c r="N28">
        <v>2210.5263157894738</v>
      </c>
      <c r="O28">
        <v>282.95278940660512</v>
      </c>
      <c r="P28">
        <v>2210.5263157894738</v>
      </c>
      <c r="Q28">
        <v>78.947368421052758</v>
      </c>
      <c r="R28">
        <v>2100</v>
      </c>
      <c r="S28">
        <v>1</v>
      </c>
    </row>
    <row r="29" spans="2:22" x14ac:dyDescent="0.3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80.526315789473799</v>
      </c>
      <c r="N29">
        <v>2394.7368421052633</v>
      </c>
      <c r="O29">
        <v>295.4982067221776</v>
      </c>
      <c r="P29">
        <v>2394.7368421052633</v>
      </c>
      <c r="Q29">
        <v>80.526315789473799</v>
      </c>
      <c r="R29">
        <v>2275</v>
      </c>
      <c r="S29">
        <v>1</v>
      </c>
    </row>
    <row r="30" spans="2:22" x14ac:dyDescent="0.3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81.42857142857153</v>
      </c>
      <c r="N30">
        <v>2500</v>
      </c>
      <c r="O30">
        <v>302.37794551884548</v>
      </c>
      <c r="P30">
        <v>2500</v>
      </c>
      <c r="Q30">
        <v>81.42857142857153</v>
      </c>
      <c r="R30">
        <v>2450</v>
      </c>
      <c r="S30">
        <v>1</v>
      </c>
    </row>
    <row r="31" spans="2:22" x14ac:dyDescent="0.3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82.105263157894825</v>
      </c>
      <c r="N31">
        <v>2578.9473684210525</v>
      </c>
      <c r="O31">
        <v>307.32327474708063</v>
      </c>
      <c r="P31">
        <v>2578.9473684210525</v>
      </c>
      <c r="Q31">
        <v>82.105263157894825</v>
      </c>
      <c r="R31">
        <v>2625</v>
      </c>
      <c r="S31">
        <v>1</v>
      </c>
    </row>
    <row r="32" spans="2:22" x14ac:dyDescent="0.3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83.684210526315866</v>
      </c>
      <c r="N32">
        <v>2763.1578947368421</v>
      </c>
      <c r="O32">
        <v>316.92862999481895</v>
      </c>
      <c r="P32">
        <v>2763.1578947368421</v>
      </c>
      <c r="Q32">
        <v>83.684210526315866</v>
      </c>
      <c r="R32">
        <v>2800</v>
      </c>
      <c r="S32">
        <v>1</v>
      </c>
    </row>
    <row r="33" spans="2:19" x14ac:dyDescent="0.3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85.263157894736892</v>
      </c>
      <c r="N33">
        <v>2947.3684210526317</v>
      </c>
      <c r="O33">
        <v>319.43946929506626</v>
      </c>
      <c r="P33">
        <v>2947.3684210526317</v>
      </c>
      <c r="Q33">
        <v>85.263157894736892</v>
      </c>
      <c r="R33">
        <v>2975</v>
      </c>
      <c r="S33">
        <v>1</v>
      </c>
    </row>
    <row r="34" spans="2:19" x14ac:dyDescent="0.3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86.842105263157933</v>
      </c>
      <c r="N34">
        <v>3131.5789473684213</v>
      </c>
      <c r="O34">
        <v>320.96178250974532</v>
      </c>
      <c r="P34">
        <v>3131.5789473684213</v>
      </c>
      <c r="Q34">
        <v>86.842105263157933</v>
      </c>
      <c r="R34">
        <v>3150</v>
      </c>
      <c r="S34">
        <v>1</v>
      </c>
    </row>
    <row r="35" spans="2:19" x14ac:dyDescent="0.3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88.421052631578974</v>
      </c>
      <c r="N35">
        <v>3315.7894736842109</v>
      </c>
      <c r="O35">
        <v>322.48195911932436</v>
      </c>
      <c r="P35">
        <v>3315.7894736842109</v>
      </c>
      <c r="Q35">
        <v>88.421052631578974</v>
      </c>
      <c r="R35">
        <v>3325</v>
      </c>
      <c r="S35">
        <v>1</v>
      </c>
    </row>
    <row r="36" spans="2:19" x14ac:dyDescent="0.3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324</v>
      </c>
      <c r="P36">
        <v>3500</v>
      </c>
      <c r="Q36">
        <v>90</v>
      </c>
      <c r="R36">
        <v>3500</v>
      </c>
      <c r="S36">
        <v>1</v>
      </c>
    </row>
    <row r="37" spans="2:19" x14ac:dyDescent="0.35">
      <c r="B37" s="2"/>
      <c r="C37" s="20">
        <v>2500</v>
      </c>
      <c r="D37" s="20">
        <v>176.72349338287597</v>
      </c>
      <c r="E37" s="20">
        <v>53</v>
      </c>
    </row>
    <row r="38" spans="2:19" x14ac:dyDescent="0.35">
      <c r="C38" s="20">
        <v>2625</v>
      </c>
      <c r="D38" s="20">
        <v>186.511102757185</v>
      </c>
      <c r="E38" s="20">
        <v>54</v>
      </c>
    </row>
    <row r="39" spans="2:19" x14ac:dyDescent="0.35">
      <c r="C39" s="20">
        <v>2750</v>
      </c>
      <c r="D39" s="20">
        <v>196.298712131494</v>
      </c>
      <c r="E39" s="20">
        <v>55</v>
      </c>
    </row>
    <row r="40" spans="2:19" x14ac:dyDescent="0.35">
      <c r="C40" s="20">
        <v>2875</v>
      </c>
      <c r="D40" s="20">
        <v>206.08632150580399</v>
      </c>
      <c r="E40" s="20">
        <v>56</v>
      </c>
    </row>
    <row r="41" spans="2:19" x14ac:dyDescent="0.35">
      <c r="C41" s="20">
        <v>3000</v>
      </c>
      <c r="D41" s="20">
        <v>215.87393088011299</v>
      </c>
      <c r="E41" s="20">
        <v>57</v>
      </c>
    </row>
    <row r="42" spans="2:19" x14ac:dyDescent="0.35">
      <c r="C42" s="20">
        <v>3125</v>
      </c>
      <c r="D42" s="20">
        <v>225.66154025442199</v>
      </c>
      <c r="E42" s="20">
        <v>58</v>
      </c>
    </row>
    <row r="43" spans="2:19" x14ac:dyDescent="0.35">
      <c r="C43" s="20">
        <v>3250</v>
      </c>
      <c r="D43" s="20">
        <v>235.44914962873099</v>
      </c>
      <c r="E43" s="20">
        <v>59</v>
      </c>
    </row>
    <row r="44" spans="2:19" x14ac:dyDescent="0.3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12700</xdr:colOff>
                    <xdr:row>2</xdr:row>
                    <xdr:rowOff>38100</xdr:rowOff>
                  </from>
                  <to>
                    <xdr:col>3</xdr:col>
                    <xdr:colOff>603250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2018-06-08T08:06:02Z</dcterms:modified>
</cp:coreProperties>
</file>