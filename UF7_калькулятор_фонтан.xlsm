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2E27AE74-8E66-41E3-A530-6E3417871DB6}" xr6:coauthVersionLast="33" xr6:coauthVersionMax="33" xr10:uidLastSave="{00000000-0000-0000-0000-000000000000}"/>
  <bookViews>
    <workbookView xWindow="0" yWindow="0" windowWidth="9000" windowHeight="10395" tabRatio="264" firstSheet="1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3" i="4"/>
  <c r="T33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C43" i="4"/>
  <c r="E35" i="4"/>
  <c r="T34" i="4"/>
  <c r="V33" i="4"/>
  <c r="M37" i="4"/>
  <c r="C35" i="4"/>
  <c r="E37" i="4"/>
  <c r="C45" i="4"/>
  <c r="C27" i="4"/>
  <c r="I35" i="4"/>
  <c r="C36" i="4"/>
  <c r="I33" i="4"/>
  <c r="I34" i="4"/>
  <c r="E34" i="4"/>
  <c r="M32" i="4"/>
  <c r="C26" i="4"/>
  <c r="M36" i="4"/>
  <c r="C44" i="4"/>
  <c r="I36" i="4"/>
  <c r="E36" i="4"/>
  <c r="E33" i="4"/>
  <c r="M35" i="4"/>
  <c r="I32" i="4"/>
  <c r="C33" i="4"/>
  <c r="M33" i="4"/>
  <c r="T35" i="4"/>
  <c r="I37" i="4"/>
  <c r="G23" i="4"/>
  <c r="C37" i="4"/>
  <c r="E32" i="4"/>
  <c r="C28" i="4"/>
  <c r="C32" i="4"/>
  <c r="C34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V34" i="4"/>
  <c r="T36" i="4"/>
  <c r="V36" i="4"/>
  <c r="V35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<sst xmlns="http://schemas.openxmlformats.org/spreadsheetml/2006/main" count="267" uniqueCount="177">
  <si>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</si>
  <si>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</si>
  <si>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</si>
  <si>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</si>
  <si>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</si>
  <si>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</si>
  <si>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</si>
  <si>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</si>
  <si>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</si>
  <si>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</si>
  <si>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</si>
  <si>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</si>
  <si>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</si>
  <si>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</si>
  <si>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</si>
  <si>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</si>
  <si>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</si>
  <si>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</si>
  <si>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</si>
  <si>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</si>
  <si>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</si>
  <si>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</si>
  <si>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</si>
  <si>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</si>
  <si>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</si>
  <si>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</si>
  <si>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</si>
  <si>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</si>
  <si>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</si>
  <si>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</si>
  <si>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</si>
  <si>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</si>
  <si>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</si>
  <si>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</si>
  <si>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</si>
  <si>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</si>
  <si>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</si>
  <si>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</si>
  <si>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</si>
  <si>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</si>
  <si>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</si>
  <si>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</si>
  <si>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</si>
  <si>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</si>
  <si>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</si>
  <si>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</si>
  <si>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</si>
  <si>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</si>
  <si>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</si>
  <si>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</si>
  <si>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</si>
  <si>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</si>
  <si>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</si>
  <si>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</si>
  <si>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</si>
  <si>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</si>
  <si>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</si>
  <si>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</si>
  <si>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</si>
  <si>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</si>
  <si>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</si>
  <si>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</si>
  <si>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</si>
  <si>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</si>
  <si>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</si>
  <si>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</si>
  <si>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</si>
  <si>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</si>
  <si>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</si>
  <si>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</si>
  <si>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</si>
  <si>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</si>
  <si>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</si>
  <si>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</si>
  <si>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</si>
  <si>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</si>
  <si>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</si>
  <si>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</si>
  <si>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</si>
  <si>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</si>
  <si>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</si>
  <si>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</si>
  <si>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</si>
  <si>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</si>
  <si>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</si>
  <si>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</si>
  <si>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</si>
  <si>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</si>
  <si>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</si>
  <si>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</si>
  <si>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</si>
  <si>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</si>
  <si>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</si>
  <si>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</si>
  <si>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</si>
  <si>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</si>
  <si>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</si>
  <si>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</si>
  <si>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</si>
  <si>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</si>
  <si>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</si>
  <si>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</si>
  <si>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</si>
  <si>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</si>
  <si>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</si>
  <si>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</si>
  <si>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</si>
  <si>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</si>
  <si>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</si>
  <si>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</si>
  <si>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</si>
  <si>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</si>
  <si>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</si>
  <si>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</si>
  <si>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</si>
  <si>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</si>
  <si>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</si>
  <si>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</si>
  <si>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</si>
  <si>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</si>
  <si>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</si>
  <si>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</si>
  <si>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</si>
  <si>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</si>
  <si>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</si>
  <si>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</si>
  <si>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</si>
  <si>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</si>
  <si>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</si>
  <si>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</si>
  <si>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</si>
  <si>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</si>
  <si>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</si>
  <si>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</si>
  <si>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</si>
  <si>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</si>
  <si>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</si>
  <si>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</si>
  <si>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</si>
  <si>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</si>
  <si>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</si>
  <si>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</si>
  <si>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</si>
  <si>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</si>
  <si>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</si>
  <si>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</si>
  <si>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</si>
  <si>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</si>
  <si>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</si>
  <si>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</si>
  <si>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</si>
  <si>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</si>
  <si>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</si>
  <si>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</si>
  <si>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</si>
  <si>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</si>
  <si>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</si>
  <si>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</si>
  <si>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</si>
  <si>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</si>
  <si>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</si>
  <si>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hmes ptub</t>
  </si>
  <si>
    <t>Ptub</t>
  </si>
  <si>
    <t>Ttub</t>
  </si>
  <si>
    <t>Hl</t>
  </si>
  <si>
    <t>Tamb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</si>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</sst>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5" borderId="0" xfId="0" applyNumberFormat="1" applyFill="1" applyBorder="1" applyAlignment="1">
      <alignment horizontal="center" vertical="center"/>
    </xf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0.80,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0.39134724434220269</c:v>
                </c:pt>
                <c:pt idx="1">
                  <c:v>0.52416499140309414</c:v>
                </c:pt>
                <c:pt idx="2">
                  <c:v>0.72208309249808289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0.91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0.48264684995454271</c:v>
                </c:pt>
                <c:pt idx="1">
                  <c:v>0.53513900042020446</c:v>
                </c:pt>
                <c:pt idx="2">
                  <c:v>0.10451197309979772</c:v>
                </c:pt>
                <c:pt idx="3">
                  <c:v>5.5118717248214565E-2</c:v>
                </c:pt>
                <c:pt idx="4">
                  <c:v>0.10770690342956163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0.34541404257684716</c:v>
                </c:pt>
                <c:pt idx="1">
                  <c:v>0.40284383145529867</c:v>
                </c:pt>
                <c:pt idx="2">
                  <c:v>0.46151568812180133</c:v>
                </c:pt>
                <c:pt idx="3">
                  <c:v>0.50539579706526494</c:v>
                </c:pt>
                <c:pt idx="4">
                  <c:v>0.56339277653821285</c:v>
                </c:pt>
                <c:pt idx="5">
                  <c:v>0.62089958601549489</c:v>
                </c:pt>
                <c:pt idx="6">
                  <c:v>0.73121476481616687</c:v>
                </c:pt>
                <c:pt idx="7">
                  <c:v>0.78921970545167142</c:v>
                </c:pt>
                <c:pt idx="8">
                  <c:v>0.83035292088639479</c:v>
                </c:pt>
                <c:pt idx="9">
                  <c:v>0.9281400572846632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21.450881365747236</c:v>
                </c:pt>
                <c:pt idx="1">
                  <c:v>28.271668217195131</c:v>
                </c:pt>
                <c:pt idx="2">
                  <c:v>36.119398092769877</c:v>
                </c:pt>
                <c:pt idx="3">
                  <c:v>44.977741065690722</c:v>
                </c:pt>
                <c:pt idx="4">
                  <c:v>54.78371683329609</c:v>
                </c:pt>
                <c:pt idx="5">
                  <c:v>65.591996833580993</c:v>
                </c:pt>
                <c:pt idx="6">
                  <c:v>77.561867004139543</c:v>
                </c:pt>
                <c:pt idx="7">
                  <c:v>90.124671115478904</c:v>
                </c:pt>
                <c:pt idx="8">
                  <c:v>102.85499148125683</c:v>
                </c:pt>
                <c:pt idx="9">
                  <c:v>116.17952228526737</c:v>
                </c:pt>
                <c:pt idx="10">
                  <c:v>129.77596551598882</c:v>
                </c:pt>
                <c:pt idx="11">
                  <c:v>142.86352573329978</c:v>
                </c:pt>
                <c:pt idx="12">
                  <c:v>155.369447648441</c:v>
                </c:pt>
                <c:pt idx="13">
                  <c:v>167.27616913453394</c:v>
                </c:pt>
                <c:pt idx="14">
                  <c:v>173.81287695040825</c:v>
                </c:pt>
                <c:pt idx="15">
                  <c:v>178.53660277973464</c:v>
                </c:pt>
                <c:pt idx="16">
                  <c:v>187.71861570797995</c:v>
                </c:pt>
                <c:pt idx="17">
                  <c:v>190.12000715112157</c:v>
                </c:pt>
                <c:pt idx="18">
                  <c:v>191.57695288048794</c:v>
                </c:pt>
                <c:pt idx="19">
                  <c:v>193.03300597820535</c:v>
                </c:pt>
                <c:pt idx="20">
                  <c:v>194.48816446778386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1EA67964-ECA3-41D9-BA27-494FEAD8376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449299A-F618-4172-B8B5-3EB11ED8CD0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F8A114E2-CF68-4D35-9029-C9DB6AAD38A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139A6F7-EF8E-404A-AFA4-E7AD4047530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67DF88-D273-4705-AC59-B044879E20A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82F4EDE-3B19-4994-9D1B-966842BDF83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12.066120768232821</c:v>
                </c:pt>
                <c:pt idx="1">
                  <c:v>21.450881365747236</c:v>
                </c:pt>
                <c:pt idx="2">
                  <c:v>194.48816446778386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32.9%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166</v>
      </c>
    </row>
    <row r="4" spans="1:5" x14ac:dyDescent="0.25">
      <c r="A4" s="63" t="str">
        <f>"Унифлок "&amp;версия_номер_</f>
        <v>Унифлок 7.21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="115" zoomScaleNormal="115" workbookViewId="0">
      <selection activeCell="R16" sqref="R16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25">
      <c r="F3" s="64" t="s">
        <v>74</v>
      </c>
      <c r="G3" s="6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80</v>
      </c>
      <c r="D9" s="5" t="s">
        <v>25</v>
      </c>
      <c r="F9" s="5" t="s">
        <v>13</v>
      </c>
      <c r="G9" s="9">
        <v>0.8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130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F12" s="5" t="s">
        <v>16</v>
      </c>
      <c r="G12" s="9">
        <v>80</v>
      </c>
      <c r="H12" s="5" t="s">
        <v>75</v>
      </c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25">
      <c r="G13"/>
    </row>
    <row r="14" spans="1:17" x14ac:dyDescent="0.25">
      <c r="F14" s="2" t="s">
        <v>5</v>
      </c>
      <c r="G14" s="2"/>
      <c r="H14" s="2"/>
    </row>
    <row r="15" spans="1:17" ht="18" x14ac:dyDescent="0.25">
      <c r="F15" s="5" t="s">
        <v>20</v>
      </c>
      <c r="G15" s="9">
        <v>120</v>
      </c>
      <c r="H15" s="5" t="s">
        <v>2</v>
      </c>
    </row>
    <row r="16" spans="1:17" ht="18" x14ac:dyDescent="0.25">
      <c r="F16" s="7" t="s">
        <v>21</v>
      </c>
      <c r="G16" s="9">
        <v>1.2</v>
      </c>
      <c r="H16" s="5" t="s">
        <v>17</v>
      </c>
    </row>
    <row r="17" spans="2:33" ht="18" x14ac:dyDescent="0.25">
      <c r="F17" s="8" t="s">
        <v>22</v>
      </c>
      <c r="G17" s="9">
        <v>1</v>
      </c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119.99999999999999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119.99999999999999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80</v>
      </c>
      <c r="H24" s="2"/>
    </row>
    <row r="25" spans="2:33" ht="18" outlineLevel="1" x14ac:dyDescent="0.25">
      <c r="B25" s="7" t="s">
        <v>15</v>
      </c>
      <c r="C25" s="28">
        <f>Rsb_m3m3_</f>
        <v>130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1.1988410729447061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822.69960751122812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1.0036940425749747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862.2476418337701</v>
      </c>
      <c r="D32" s="5" t="s">
        <v>82</v>
      </c>
      <c r="E32" s="34">
        <f>[1]!PVT_Rhoo_kgm3(Psc_atma_,Tsc_C_,gamma_gas_,gamma_oil_,gamma_w_,Rsb_m3m3_,,,,,,PVT_correlation_,Ksep_,Psep_atma_,Tsep_C_)</f>
        <v>864.32768283801556</v>
      </c>
      <c r="F32" s="35">
        <f t="shared" ref="F32:F37" si="0">(E32-C32)/E32</f>
        <v>2.4065421547249935E-3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0.99328178176718174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1000.3400421663305</v>
      </c>
      <c r="N32" s="5" t="s">
        <v>82</v>
      </c>
      <c r="Q32" s="37" t="s">
        <v>92</v>
      </c>
      <c r="R32" s="38">
        <v>0.90740209683346451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0.39134724434220269</v>
      </c>
      <c r="AB32" s="40">
        <f>ABS(Pb_diff_)</f>
        <v>0.48264684995454271</v>
      </c>
      <c r="AD32" s="33" t="str">
        <f>Q34&amp; " = "&amp;IFERROR(TEXT(gamma_gas_diff_total_*100,"0.0") &amp; "%",TEXT(gamma_gas_diff_total_*100,"0,0") &amp; "%")</f>
        <v>Сумм откл = 32.9%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23.441731432813782</v>
      </c>
      <c r="D33" s="5" t="s">
        <v>7</v>
      </c>
      <c r="E33" s="34">
        <f>[1]!PVT_Muo_cP(Psc_atma_,Tsc_C_,gamma_gas_,gamma_oil_,gamma_w_,Rsb_m3m3_,,,,,,PVT_correlation_,Ksep_,Psep_atma_,Tsep_C_)</f>
        <v>106.32463765574272</v>
      </c>
      <c r="F33" s="35">
        <f t="shared" si="0"/>
        <v>0.77952681570650373</v>
      </c>
      <c r="G33" s="36"/>
      <c r="H33" s="5" t="s">
        <v>97</v>
      </c>
      <c r="I33" s="26">
        <f>[1]!PVT_Mug_cP(Psc_atma_,Tsc_C_,gamma_gas_,gamma_oil_,gamma_w_,Rsb_m3m3_,,Pb_atma_,Tres_C_,Bob_m3m3_,mu_cP_,PVT_correlation_,Ksep_,Psep_atma_,Tsep_C_)</f>
        <v>9.8176385576621353E-3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1.1439045251512716</v>
      </c>
      <c r="N33" s="5" t="s">
        <v>7</v>
      </c>
      <c r="Q33" s="37" t="s">
        <v>99</v>
      </c>
      <c r="R33" s="41">
        <v>0.88616552274364935</v>
      </c>
      <c r="S33" s="5" t="s">
        <v>79</v>
      </c>
      <c r="T33" s="34">
        <f>[1]!PVT_Pb_atma(Tres_C_,gamma_gas_,gamma_oil_,gamma_w_,Rsb_m3m3_,,,Tres_C_,,,PVT_correlation_,Ksep_,Psep_atma_,Tsep_C_)</f>
        <v>197.15675134060768</v>
      </c>
      <c r="U33" s="35">
        <f>(T33-C23)/T33</f>
        <v>0.39134724434220269</v>
      </c>
      <c r="V33" s="42">
        <f>[1]!PVT_Pb_atma(Tres_C_,gamma_gas_new_,gamma_oil_new_,gamma_w_,Rsb_m3m3_,,,Tres_C_,,,PVT_correlation_,Ksep_,Psep_atma_,Tsep_C_)</f>
        <v>231.94987793049327</v>
      </c>
      <c r="W33" s="43">
        <f>(V33-C23)/V33</f>
        <v>0.48264684995454271</v>
      </c>
      <c r="X33" s="33">
        <v>2</v>
      </c>
      <c r="Z33" s="7" t="s">
        <v>80</v>
      </c>
      <c r="AA33" s="39">
        <f>ABS(U34)</f>
        <v>0.52416499140309414</v>
      </c>
      <c r="AB33" s="39">
        <f>ABS(W34)</f>
        <v>0.53513900042020446</v>
      </c>
      <c r="AD33" s="33" t="str">
        <f>F9 &amp;" = "&amp;IFERROR(  TEXT(gamma_gas_,"0.00"),TEXT(gamma_gas_,"0,00")) &amp;",  "&amp; F8 &amp;" = "&amp;  IFERROR(TEXT(gamma_oil_,"0.00"),TEXT(gamma_oil_,"0,00"))</f>
        <v>γg = 0.80,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79.302530663087197</v>
      </c>
      <c r="D34" s="5" t="s">
        <v>17</v>
      </c>
      <c r="E34" s="34">
        <f>[1]!PVT_Rs_m3m3(P_atma_,T_C_,gamma_gas_,gamma_oil_,gamma_w_,Rsb_m3m3_,,,,,,PVT_correlation_,Ksep_,Psep_atma_,Tsep_C_)</f>
        <v>43.618229781930921</v>
      </c>
      <c r="F34" s="35">
        <f t="shared" si="0"/>
        <v>-0.81810520645976981</v>
      </c>
      <c r="G34" s="36"/>
      <c r="H34" s="5" t="s">
        <v>101</v>
      </c>
      <c r="I34" s="26">
        <f>[1]!PVT_z(P_atma_,T_C_,gamma_gas_,gamma_oil_,gamma_w_,Rsb_m3m3_,,Pb_atma_,Tres_C_,Bob_m3m3_,mu_cP_,PVT_correlation_,Ksep_,Psep_atma_,Tsep_C_)</f>
        <v>0.94399080811572067</v>
      </c>
      <c r="J34" s="5"/>
      <c r="L34" s="5" t="s">
        <v>102</v>
      </c>
      <c r="M34" s="26"/>
      <c r="N34" s="5"/>
      <c r="Q34" s="44" t="s">
        <v>103</v>
      </c>
      <c r="R34" s="45">
        <f>((X33*W33^2+X34*W34^2+X35*W35^2+X36*W36^2+X37*W37^2+X38*W38^2)/SUM(X33:X38))^0.5</f>
        <v>0.32937149467567939</v>
      </c>
      <c r="S34" s="7" t="s">
        <v>80</v>
      </c>
      <c r="T34" s="46">
        <f>[1]!PVT_Bo_m3m3(T33,Tres_C_,gamma_gas_,gamma_oil_,gamma_w_,Rsb_m3m3_,,,,,,PVT_correlation_,Ksep_,Psep_atma_,Tsep_C_)</f>
        <v>1.4178781917098293</v>
      </c>
      <c r="U34" s="35">
        <f>(T34-C26)/(T34-1)</f>
        <v>0.52416499140309414</v>
      </c>
      <c r="V34" s="47">
        <f>[1]!PVT_Bo_m3m3(V33,Tres_C_,gamma_gas_new_,gamma_oil_new_,gamma_w_,Rsb_m3m3_,,,,,,PVT_correlation_,Ksep_,Psep_atma_,Tsep_C_)</f>
        <v>1.4277430740037251</v>
      </c>
      <c r="W34" s="43">
        <f>(V34-C26)/(V34-1)</f>
        <v>0.53513900042020446</v>
      </c>
      <c r="X34" s="33">
        <v>2</v>
      </c>
      <c r="Z34" s="8" t="s">
        <v>83</v>
      </c>
      <c r="AA34" s="39">
        <f>ABS(U36)</f>
        <v>0.72208309249808289</v>
      </c>
      <c r="AB34" s="39">
        <f>ABS(W36)</f>
        <v>0.10451197309979772</v>
      </c>
      <c r="AD34" s="33" t="str">
        <f>Q33&amp;" = "&amp;IFERROR(TEXT(gamma_gas_new_,"0.00"),TEXT(gamma_gas_new_,"0,00"))&amp;",  "&amp;Q32&amp;" = "&amp;IFERROR(TEXT(gamma_oil_new_,"0.00"),TEXT(gamma_oil_new_,"0,00"))</f>
        <v>γg new  = 0.89,  γo new  = 0.91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1.1275863029855937</v>
      </c>
      <c r="D35" s="5" t="s">
        <v>17</v>
      </c>
      <c r="E35" s="34">
        <f>[1]!PVT_Bo_m3m3(P_atma_,T_C_,gamma_gas_,gamma_oil_,gamma_w_,Rsb_m3m3_,,,,,,PVT_correlation_,Ksep_,Psep_atma_,Tsep_C_)</f>
        <v>1.1674365030581872</v>
      </c>
      <c r="F35" s="35">
        <f t="shared" si="0"/>
        <v>3.4134790173343872E-2</v>
      </c>
      <c r="G35" s="36"/>
      <c r="H35" s="5" t="s">
        <v>105</v>
      </c>
      <c r="I35" s="26">
        <f>[1]!PVT_Bg_m3m3(P_atma_,T_C_,gamma_gas_,gamma_oil_,gamma_w_,Rsb_m3m3_,,Pb_atma_,Tres_C_,Bob_m3m3_,mu_cP_,PVT_correlation_,Ksep_,Psep_atma_,Tsep_C_)</f>
        <v>1.427383276623008E-2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1.0291228915097659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746.93697170818382</v>
      </c>
      <c r="U35" s="35">
        <f>(T35-C27)/T35</f>
        <v>-0.1014310961603378</v>
      </c>
      <c r="V35" s="42">
        <f>[1]!PVT_Rhoo_kgm3(G23,Tres_C_,gamma_gas_new_,gamma_oil_new_,gamma_w_,Rsb_m3m3_,,,,,,PVT_correlation_,Ksep_,Psep_atma_,Tsep_C_)</f>
        <v>800.5183304139324</v>
      </c>
      <c r="W35" s="43">
        <f>(V35-C27)/V35</f>
        <v>-2.7708643580748756E-2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5.5118717248214565E-2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831.42826308422502</v>
      </c>
      <c r="D36" s="5" t="s">
        <v>82</v>
      </c>
      <c r="E36" s="34">
        <f>[1]!PVT_Rhoo_kgm3(P_atma_,T_C_,gamma_gas_,gamma_oil_,gamma_w_,Rsb_m3m3_,,,,,,PVT_correlation_,Ksep_,Psep_atma_,Tsep_C_)</f>
        <v>773.17328239708058</v>
      </c>
      <c r="F36" s="35">
        <f t="shared" si="0"/>
        <v>-7.5345310053311285E-2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68.472148721841492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971.70124991871342</v>
      </c>
      <c r="N36" s="5" t="s">
        <v>82</v>
      </c>
      <c r="S36" s="8" t="s">
        <v>83</v>
      </c>
      <c r="T36" s="48">
        <f>[1]!PVT_Muo_cP(T33,Tres_C_,gamma_gas_,gamma_oil_,gamma_w_,Rsb_m3m3_,,,,,,PVT_correlation_,Ksep_,Psep_atma_,Tsep_C_)</f>
        <v>0.58283717373881139</v>
      </c>
      <c r="U36" s="35">
        <f>(T36-C28)/T36</f>
        <v>-0.72208309249808289</v>
      </c>
      <c r="V36" s="49">
        <f>[1]!PVT_Muo_cP(V33,Tres_C_,gamma_gas_new_,gamma_oil_new_,gamma_w_,Rsb_m3m3_,,,,,,PVT_correlation_,Ksep_,Psep_atma_,Tsep_C_)</f>
        <v>0.90872174047884802</v>
      </c>
      <c r="W36" s="43">
        <f>(V36-C28)/V36</f>
        <v>-0.10451197309979772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0.10770690342956163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1.3410909140658147</v>
      </c>
      <c r="D37" s="5" t="s">
        <v>7</v>
      </c>
      <c r="E37" s="34">
        <f>[1]!PVT_Muo_cP(P_atma_,T_C_,gamma_gas_,gamma_oil_,gamma_w_,Rsb_m3m3_,,,,,,PVT_correlation_,Ksep_,Psep_atma_,Tsep_C_)</f>
        <v>1.081753847325162</v>
      </c>
      <c r="F37" s="35">
        <f t="shared" si="0"/>
        <v>-0.2397375959252763</v>
      </c>
      <c r="G37" s="36"/>
      <c r="H37" s="5" t="s">
        <v>112</v>
      </c>
      <c r="I37" s="50">
        <f>[1]!PVT_Mug_cP(P_atma_,T_C_,gamma_gas_,gamma_oil_,gamma_w_,Rsb_m3m3_,,Pb_atma_,Tres_C_,Bob_m3m3_,mu_cP_,PVT_correlation_,Ksep_,Psep_atma_,Tsep_C_)</f>
        <v>1.4281265311255864E-2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0.3501871209218988</v>
      </c>
      <c r="N37" s="5" t="s">
        <v>7</v>
      </c>
      <c r="S37" s="6" t="s">
        <v>12</v>
      </c>
      <c r="W37" s="43">
        <f>(R32-G8)/R32</f>
        <v>5.2239351219136788E-2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3">
        <f>(R33-G9)/R33</f>
        <v>9.7234117703962328E-2</v>
      </c>
      <c r="X38" s="33">
        <v>2</v>
      </c>
      <c r="Z38" s="8" t="s">
        <v>81</v>
      </c>
      <c r="AA38" s="39">
        <f>ABS(U35)</f>
        <v>0.1014310961603378</v>
      </c>
      <c r="AB38" s="39">
        <f>ABS(W35)</f>
        <v>2.7708643580748756E-2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1">
        <f>[1]!PVT_Qmix_m3day(Ql_scm3day_,wc_perc_,P_atma_,T_C_,gamma_gas_,gamma_oil_,gamma_w_,Rsb_m3m3_,Rp_m3m3_,Pb_atma_,Tres_C_,Bob_m3m3_,mu_cP_,PVT_correlation_,Ksep_,Psep_atma_,Tsep_C_)</f>
        <v>175.25802287163245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1">
        <f>[1]!PVT_Rhomix_kgm3(Ql_scm3day_,wc_perc_,P_atma_,T_C_,gamma_gas_,gamma_oil_,gamma_w_,Rsb_m3m3_,Rp_m3m3_,Pb_atma_,Tres_C_,Bob_m3m3_,mu_cP_,PVT_correlation_,Ksep_,Psep_atma_,Tsep_C_)</f>
        <v>564.92050366535193</v>
      </c>
      <c r="D44" s="5" t="s">
        <v>82</v>
      </c>
      <c r="E44" s="32"/>
      <c r="F44" s="36"/>
      <c r="X44">
        <f>gamma_gas_</f>
        <v>0.8</v>
      </c>
    </row>
    <row r="45" spans="2:33" ht="18" outlineLevel="1" x14ac:dyDescent="0.25">
      <c r="B45" s="5" t="s">
        <v>123</v>
      </c>
      <c r="C45" s="51">
        <f>[1]!PVT_Mumix_cP(Ql_scm3day_,wc_perc_,P_atma_,T_C_,gamma_gas_,gamma_oil_,gamma_w_,Rsb_m3m3_,Rp_m3m3_,Pb_atma_,Tres_C_,Bob_m3m3_,mu_cP_,PVT_correlation_,Ksep_,Psep_atma_,Tsep_C_)</f>
        <v>0.79306677131822922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2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3"/>
      <c r="M55" s="5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80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4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167</v>
      </c>
      <c r="G58" s="5" t="s">
        <v>104</v>
      </c>
      <c r="H58" s="5" t="s">
        <v>130</v>
      </c>
      <c r="I58" s="5" t="s">
        <v>168</v>
      </c>
      <c r="J58" s="5" t="s">
        <v>107</v>
      </c>
      <c r="K58" s="5" t="s">
        <v>131</v>
      </c>
      <c r="L58" s="5" t="s">
        <v>169</v>
      </c>
      <c r="M58" s="5" t="s">
        <v>111</v>
      </c>
      <c r="N58" s="5" t="s">
        <v>132</v>
      </c>
      <c r="O58" s="5" t="s">
        <v>170</v>
      </c>
      <c r="P58" s="61" t="s">
        <v>171</v>
      </c>
      <c r="Q58" s="61" t="s">
        <v>172</v>
      </c>
      <c r="R58" s="61" t="s">
        <v>173</v>
      </c>
    </row>
    <row r="59" spans="1:29" outlineLevel="1" x14ac:dyDescent="0.25">
      <c r="A59" s="55">
        <v>1</v>
      </c>
      <c r="B59" s="56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0.99242844397927155</v>
      </c>
      <c r="Q59">
        <v>0.99242844397927155</v>
      </c>
      <c r="R59">
        <v>0.99242844397927155</v>
      </c>
    </row>
    <row r="60" spans="1:29" outlineLevel="1" x14ac:dyDescent="0.25">
      <c r="A60" s="55">
        <v>2</v>
      </c>
      <c r="B60" s="57">
        <f>($B$79-$B$59)/($A$79-$A$59)+B59</f>
        <v>6.9499999999999993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0.92013357555153319</v>
      </c>
      <c r="Q60">
        <v>0.92013357555153319</v>
      </c>
      <c r="R60">
        <v>0.92013357555153319</v>
      </c>
    </row>
    <row r="61" spans="1:29" outlineLevel="1" x14ac:dyDescent="0.25">
      <c r="A61" s="55">
        <v>3</v>
      </c>
      <c r="B61" s="57">
        <f t="shared" ref="B61:B78" si="1">($B$79-$B$59)/($A$79-$A$59)+B60</f>
        <v>12.899999999999999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0.85058617759997512</v>
      </c>
      <c r="Q61">
        <v>0.85058617759997512</v>
      </c>
      <c r="R61">
        <v>0.85058617759997512</v>
      </c>
    </row>
    <row r="62" spans="1:29" outlineLevel="1" x14ac:dyDescent="0.25">
      <c r="A62" s="55">
        <v>4</v>
      </c>
      <c r="B62" s="57">
        <f t="shared" si="1"/>
        <v>18.849999999999998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0.78358072411922886</v>
      </c>
      <c r="Q62">
        <v>0.78358072411922886</v>
      </c>
      <c r="R62">
        <v>0.78358072411922886</v>
      </c>
    </row>
    <row r="63" spans="1:29" outlineLevel="1" x14ac:dyDescent="0.25">
      <c r="A63" s="55">
        <v>5</v>
      </c>
      <c r="B63" s="57">
        <f t="shared" si="1"/>
        <v>24.799999999999997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0.71916414202507684</v>
      </c>
      <c r="Q63">
        <v>0.71916414202507684</v>
      </c>
      <c r="R63">
        <v>0.71916414202507684</v>
      </c>
    </row>
    <row r="64" spans="1:29" outlineLevel="1" x14ac:dyDescent="0.25">
      <c r="A64" s="55">
        <v>6</v>
      </c>
      <c r="B64" s="57">
        <f t="shared" si="1"/>
        <v>30.749999999999996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0.65740312145671187</v>
      </c>
      <c r="Q64">
        <v>0.65740312145671187</v>
      </c>
      <c r="R64">
        <v>0.65740312145671187</v>
      </c>
    </row>
    <row r="65" spans="1:18" outlineLevel="1" x14ac:dyDescent="0.25">
      <c r="A65" s="55">
        <v>7</v>
      </c>
      <c r="B65" s="57">
        <f t="shared" si="1"/>
        <v>36.699999999999996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0.59833048656378218</v>
      </c>
      <c r="Q65">
        <v>0.59833048656378218</v>
      </c>
      <c r="R65">
        <v>0.59833048656378218</v>
      </c>
    </row>
    <row r="66" spans="1:18" outlineLevel="1" x14ac:dyDescent="0.25">
      <c r="A66" s="55">
        <v>8</v>
      </c>
      <c r="B66" s="57">
        <f t="shared" si="1"/>
        <v>42.649999999999991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0.54193363096009273</v>
      </c>
      <c r="Q66">
        <v>0.54193363096009273</v>
      </c>
      <c r="R66">
        <v>0.54193363096009273</v>
      </c>
    </row>
    <row r="67" spans="1:18" outlineLevel="1" x14ac:dyDescent="0.25">
      <c r="A67" s="55">
        <v>9</v>
      </c>
      <c r="B67" s="57">
        <f t="shared" si="1"/>
        <v>48.599999999999994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0.48815739783972967</v>
      </c>
      <c r="Q67">
        <v>0.48815739783972967</v>
      </c>
      <c r="R67">
        <v>0.48815739783972967</v>
      </c>
    </row>
    <row r="68" spans="1:18" outlineLevel="1" x14ac:dyDescent="0.25">
      <c r="A68" s="55">
        <v>10</v>
      </c>
      <c r="B68" s="57">
        <f t="shared" si="1"/>
        <v>54.55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0.43691203055200867</v>
      </c>
      <c r="Q68">
        <v>0.43691203055200867</v>
      </c>
      <c r="R68">
        <v>0.43691203055200867</v>
      </c>
    </row>
    <row r="69" spans="1:18" outlineLevel="1" x14ac:dyDescent="0.25">
      <c r="A69" s="55">
        <v>11</v>
      </c>
      <c r="B69" s="57">
        <f t="shared" si="1"/>
        <v>60.5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0.38808233195720038</v>
      </c>
      <c r="Q69">
        <v>0.38808233195720038</v>
      </c>
      <c r="R69">
        <v>0.38808233195720038</v>
      </c>
    </row>
    <row r="70" spans="1:18" outlineLevel="1" x14ac:dyDescent="0.25">
      <c r="A70" s="55">
        <v>12</v>
      </c>
      <c r="B70" s="57">
        <f t="shared" si="1"/>
        <v>66.45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0.34153636497272327</v>
      </c>
      <c r="Q70">
        <v>0.34153636497272327</v>
      </c>
      <c r="R70">
        <v>0.34153636497272327</v>
      </c>
    </row>
    <row r="71" spans="1:18" outlineLevel="1" x14ac:dyDescent="0.25">
      <c r="A71" s="55">
        <v>13</v>
      </c>
      <c r="B71" s="57">
        <f t="shared" si="1"/>
        <v>72.400000000000006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0.29713304057882739</v>
      </c>
      <c r="Q71">
        <v>0.29713304057882739</v>
      </c>
      <c r="R71">
        <v>0.29713304057882739</v>
      </c>
    </row>
    <row r="72" spans="1:18" outlineLevel="1" x14ac:dyDescent="0.25">
      <c r="A72" s="55">
        <v>14</v>
      </c>
      <c r="B72" s="57">
        <f t="shared" si="1"/>
        <v>78.350000000000009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0.25472843848676019</v>
      </c>
      <c r="Q72">
        <v>0.25472843848676019</v>
      </c>
      <c r="R72">
        <v>0.25472843848676019</v>
      </c>
    </row>
    <row r="73" spans="1:18" outlineLevel="1" x14ac:dyDescent="0.25">
      <c r="A73" s="55">
        <v>15</v>
      </c>
      <c r="B73" s="57">
        <f t="shared" si="1"/>
        <v>84.300000000000011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0.21418094903675705</v>
      </c>
      <c r="Q73">
        <v>0.21418094903675705</v>
      </c>
      <c r="R73">
        <v>0.21418094903675705</v>
      </c>
    </row>
    <row r="74" spans="1:18" outlineLevel="1" x14ac:dyDescent="0.25">
      <c r="A74" s="55">
        <v>16</v>
      </c>
      <c r="B74" s="57">
        <f t="shared" si="1"/>
        <v>90.250000000000014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0.17535543223367112</v>
      </c>
      <c r="Q74">
        <v>0.17535543223367112</v>
      </c>
      <c r="R74">
        <v>0.17535543223367112</v>
      </c>
    </row>
    <row r="75" spans="1:18" outlineLevel="1" x14ac:dyDescent="0.25">
      <c r="A75" s="55">
        <v>17</v>
      </c>
      <c r="B75" s="57">
        <f t="shared" si="1"/>
        <v>96.200000000000017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0.13812662244754365</v>
      </c>
      <c r="Q75">
        <v>0.13812662244754365</v>
      </c>
      <c r="R75">
        <v>0.13812662244754365</v>
      </c>
    </row>
    <row r="76" spans="1:18" outlineLevel="1" x14ac:dyDescent="0.25">
      <c r="A76" s="55">
        <v>18</v>
      </c>
      <c r="B76" s="57">
        <f t="shared" si="1"/>
        <v>102.15000000000002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0.10238199799950358</v>
      </c>
      <c r="Q76">
        <v>0.10238199799950358</v>
      </c>
      <c r="R76">
        <v>0.10238199799950358</v>
      </c>
    </row>
    <row r="77" spans="1:18" outlineLevel="1" x14ac:dyDescent="0.25">
      <c r="A77" s="55">
        <v>19</v>
      </c>
      <c r="B77" s="57">
        <f t="shared" si="1"/>
        <v>108.10000000000002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6.8024300669982204E-2</v>
      </c>
      <c r="Q77">
        <v>6.8024300669982204E-2</v>
      </c>
      <c r="R77">
        <v>6.8024300669982204E-2</v>
      </c>
    </row>
    <row r="78" spans="1:18" outlineLevel="1" x14ac:dyDescent="0.25">
      <c r="A78" s="55">
        <v>20</v>
      </c>
      <c r="B78" s="57">
        <f t="shared" si="1"/>
        <v>114.05000000000003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3.4973838795687433E-2</v>
      </c>
      <c r="Q78">
        <v>3.4973838795687433E-2</v>
      </c>
      <c r="R78">
        <v>3.4973838795687433E-2</v>
      </c>
    </row>
    <row r="79" spans="1:18" outlineLevel="1" x14ac:dyDescent="0.25">
      <c r="A79" s="55">
        <v>21</v>
      </c>
      <c r="B79" s="58">
        <f>G23</f>
        <v>119.99999999999999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3.1706411019746888E-3</v>
      </c>
      <c r="Q79">
        <v>3.1706411019746888E-3</v>
      </c>
      <c r="R79">
        <v>3.1706411019746888E-3</v>
      </c>
    </row>
    <row r="80" spans="1:18" outlineLevel="1" x14ac:dyDescent="0.25">
      <c r="A80" s="55">
        <v>22</v>
      </c>
      <c r="B80" s="57">
        <f t="shared" ref="B80:B98" si="2">($B$99-$B$79)/($A$99-$A$79)+B79</f>
        <v>129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25">
      <c r="A81" s="55">
        <v>23</v>
      </c>
      <c r="B81" s="57">
        <f t="shared" si="2"/>
        <v>138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25">
      <c r="A82" s="55">
        <v>24</v>
      </c>
      <c r="B82" s="57">
        <f t="shared" si="2"/>
        <v>147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25">
      <c r="A83" s="55">
        <v>25</v>
      </c>
      <c r="B83" s="57">
        <f t="shared" si="2"/>
        <v>156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25">
      <c r="A84" s="55">
        <v>26</v>
      </c>
      <c r="B84" s="57">
        <f t="shared" si="2"/>
        <v>165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25">
      <c r="A85" s="55">
        <v>27</v>
      </c>
      <c r="B85" s="57">
        <f t="shared" si="2"/>
        <v>174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25">
      <c r="A86" s="55">
        <v>28</v>
      </c>
      <c r="B86" s="57">
        <f t="shared" si="2"/>
        <v>183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25">
      <c r="A87" s="55">
        <v>29</v>
      </c>
      <c r="B87" s="57">
        <f t="shared" si="2"/>
        <v>192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25">
      <c r="A88" s="55">
        <v>30</v>
      </c>
      <c r="B88" s="57">
        <f t="shared" si="2"/>
        <v>201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25">
      <c r="A89" s="55">
        <v>31</v>
      </c>
      <c r="B89" s="57">
        <f t="shared" si="2"/>
        <v>210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25">
      <c r="A90" s="55">
        <v>32</v>
      </c>
      <c r="B90" s="57">
        <f t="shared" si="2"/>
        <v>219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25">
      <c r="A91" s="55">
        <v>33</v>
      </c>
      <c r="B91" s="57">
        <f t="shared" si="2"/>
        <v>228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25">
      <c r="A92" s="55">
        <v>34</v>
      </c>
      <c r="B92" s="57">
        <f t="shared" si="2"/>
        <v>237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25">
      <c r="A93" s="55">
        <v>35</v>
      </c>
      <c r="B93" s="57">
        <f t="shared" si="2"/>
        <v>246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25">
      <c r="A94" s="55">
        <v>36</v>
      </c>
      <c r="B94" s="57">
        <f t="shared" si="2"/>
        <v>255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25">
      <c r="A95" s="55">
        <v>37</v>
      </c>
      <c r="B95" s="57">
        <f t="shared" si="2"/>
        <v>264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25">
      <c r="A96" s="55">
        <v>38</v>
      </c>
      <c r="B96" s="57">
        <f t="shared" si="2"/>
        <v>273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25">
      <c r="A97" s="55">
        <v>39</v>
      </c>
      <c r="B97" s="57">
        <f t="shared" si="2"/>
        <v>282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25">
      <c r="A98" s="55">
        <v>40</v>
      </c>
      <c r="B98" s="57">
        <f t="shared" si="2"/>
        <v>291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25">
      <c r="A99" s="55">
        <v>41</v>
      </c>
      <c r="B99" s="56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AA31" sqref="AA31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9">
        <v>150</v>
      </c>
      <c r="J19" s="18">
        <v>0</v>
      </c>
      <c r="K19" s="59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9">
        <v>125</v>
      </c>
      <c r="J20" s="18">
        <v>500</v>
      </c>
      <c r="K20" s="59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9">
        <v>125</v>
      </c>
      <c r="J21" s="18">
        <v>2500</v>
      </c>
      <c r="K21" s="59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Normal="100" workbookViewId="0">
      <selection activeCell="H8" sqref="H8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1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174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324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12.066120768232821</v>
      </c>
      <c r="R10" s="5" t="s">
        <v>44</v>
      </c>
      <c r="S10" s="15" t="s">
        <v>55</v>
      </c>
      <c r="T10" s="29">
        <v>60</v>
      </c>
      <c r="U10" s="5" t="s">
        <v>25</v>
      </c>
    </row>
    <row r="11" spans="1:34" ht="18" x14ac:dyDescent="0.35">
      <c r="P11" s="15" t="s">
        <v>46</v>
      </c>
      <c r="Q11" s="29">
        <v>21.450881365747236</v>
      </c>
      <c r="R11" s="5" t="s">
        <v>44</v>
      </c>
      <c r="S11" s="15" t="s">
        <v>56</v>
      </c>
      <c r="T11" s="29">
        <v>60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194.48816446778386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165</v>
      </c>
      <c r="N15" s="1" t="s">
        <v>161</v>
      </c>
      <c r="O15" s="1" t="s">
        <v>162</v>
      </c>
      <c r="P15" s="1"/>
      <c r="Q15" s="1" t="s">
        <v>163</v>
      </c>
      <c r="R15" s="1"/>
      <c r="S15" s="1" t="s">
        <v>164</v>
      </c>
      <c r="U15" s="5" t="s">
        <v>175</v>
      </c>
      <c r="V15" s="1" t="s">
        <v>176</v>
      </c>
    </row>
    <row r="16" spans="1:34" x14ac:dyDescent="0.25">
      <c r="B16" s="2" t="s">
        <v>59</v>
      </c>
      <c r="C16" s="60">
        <v>0</v>
      </c>
      <c r="D16" s="60">
        <v>0</v>
      </c>
      <c r="E16" s="60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21.450881365747236</v>
      </c>
      <c r="P16">
        <v>0</v>
      </c>
      <c r="Q16">
        <v>60</v>
      </c>
      <c r="R16">
        <v>0</v>
      </c>
      <c r="S16">
        <v>0.34541404257684716</v>
      </c>
      <c r="U16">
        <v>0</v>
      </c>
      <c r="V16" s="62">
        <f>Pline_out_atma_</f>
        <v>12.066120768232821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28.271668217195131</v>
      </c>
      <c r="P17">
        <v>184.21052631578948</v>
      </c>
      <c r="Q17">
        <v>61.578947368421055</v>
      </c>
      <c r="R17">
        <v>175</v>
      </c>
      <c r="S17">
        <v>0.40284383145529867</v>
      </c>
      <c r="U17">
        <v>0</v>
      </c>
      <c r="V17" s="62">
        <f>Pbuf_out_atma_</f>
        <v>21.450881365747236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36.119398092769877</v>
      </c>
      <c r="P18">
        <v>368.42105263157896</v>
      </c>
      <c r="Q18">
        <v>63.157894736842103</v>
      </c>
      <c r="R18">
        <v>350</v>
      </c>
      <c r="S18">
        <v>0.46151568812180133</v>
      </c>
      <c r="U18">
        <f>Hperf_m_</f>
        <v>3500</v>
      </c>
      <c r="V18" s="62">
        <f>Pwf_out_atma_</f>
        <v>194.48816446778386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44.977741065690722</v>
      </c>
      <c r="P19">
        <v>552.63157894736844</v>
      </c>
      <c r="Q19">
        <v>64.736842105263165</v>
      </c>
      <c r="R19">
        <v>525</v>
      </c>
      <c r="S19">
        <v>0.50539579706526494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54.78371683329609</v>
      </c>
      <c r="P20">
        <v>736.84210526315792</v>
      </c>
      <c r="Q20">
        <v>66.315789473684205</v>
      </c>
      <c r="R20">
        <v>700</v>
      </c>
      <c r="S20">
        <v>0.56339277653821285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65.591996833580993</v>
      </c>
      <c r="P21">
        <v>921.0526315789474</v>
      </c>
      <c r="Q21">
        <v>67.89473684210526</v>
      </c>
      <c r="R21">
        <v>875</v>
      </c>
      <c r="S21">
        <v>0.62089958601549489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77.561867004139543</v>
      </c>
      <c r="P22">
        <v>1105.2631578947369</v>
      </c>
      <c r="Q22">
        <v>69.473684210526315</v>
      </c>
      <c r="R22">
        <v>1050</v>
      </c>
      <c r="S22">
        <v>0.73121476481616687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90.124671115478904</v>
      </c>
      <c r="P23">
        <v>1289.4736842105262</v>
      </c>
      <c r="Q23">
        <v>71.05263157894737</v>
      </c>
      <c r="R23">
        <v>1225</v>
      </c>
      <c r="S23">
        <v>0.78921970545167142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102.85499148125683</v>
      </c>
      <c r="P24">
        <v>1473.6842105263158</v>
      </c>
      <c r="Q24">
        <v>72.631578947368425</v>
      </c>
      <c r="R24">
        <v>1400</v>
      </c>
      <c r="S24">
        <v>0.83035292088639479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116.17952228526737</v>
      </c>
      <c r="P25">
        <v>1657.8947368421054</v>
      </c>
      <c r="Q25">
        <v>74.21052631578948</v>
      </c>
      <c r="R25">
        <v>1575</v>
      </c>
      <c r="S25">
        <v>0.9281400572846632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129.77596551598882</v>
      </c>
      <c r="P26">
        <v>1842.1052631578948</v>
      </c>
      <c r="Q26">
        <v>75.789473684210535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142.86352573329978</v>
      </c>
      <c r="P27">
        <v>2026.3157894736842</v>
      </c>
      <c r="Q27">
        <v>77.368421052631575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155.369447648441</v>
      </c>
      <c r="P28">
        <v>2210.5263157894738</v>
      </c>
      <c r="Q28">
        <v>78.94736842105263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167.27616913453394</v>
      </c>
      <c r="P29">
        <v>2394.7368421052633</v>
      </c>
      <c r="Q29">
        <v>80.526315789473685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173.81287695040825</v>
      </c>
      <c r="P30">
        <v>2500</v>
      </c>
      <c r="Q30">
        <v>81.428571428571431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178.53660277973464</v>
      </c>
      <c r="P31">
        <v>2578.9473684210525</v>
      </c>
      <c r="Q31">
        <v>82.10526315789474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187.71861570797995</v>
      </c>
      <c r="P32">
        <v>2763.1578947368421</v>
      </c>
      <c r="Q32">
        <v>83.684210526315795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190.12000715112157</v>
      </c>
      <c r="P33">
        <v>2947.3684210526317</v>
      </c>
      <c r="Q33">
        <v>85.26315789473685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191.57695288048794</v>
      </c>
      <c r="P34">
        <v>3131.5789473684213</v>
      </c>
      <c r="Q34">
        <v>86.84210526315789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193.03300597820535</v>
      </c>
      <c r="P35">
        <v>3315.7894736842109</v>
      </c>
      <c r="Q35">
        <v>88.421052631578959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194.48816446778386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2018-06-15T17:13:55Z</dcterms:modified>
</cp:coreProperties>
</file>