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24C35382-61EB-47AD-8D28-35F6B6CF68AB}" xr6:coauthVersionLast="33" xr6:coauthVersionMax="33" xr10:uidLastSave="{00000000-0000-0000-0000-000000000000}"/>
  <bookViews>
    <workbookView xWindow="0" yWindow="0" windowWidth="9000" windowHeight="8370" tabRatio="264" activeTab="3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PVT!$G$12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17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4" i="4" l="1"/>
  <c r="M33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23" i="4"/>
  <c r="T33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C43" i="4"/>
  <c r="V33" i="4"/>
  <c r="I36" i="4"/>
  <c r="M37" i="4"/>
  <c r="C44" i="4"/>
  <c r="I34" i="4"/>
  <c r="C26" i="4"/>
  <c r="C28" i="4"/>
  <c r="I35" i="4"/>
  <c r="T34" i="4"/>
  <c r="E37" i="4"/>
  <c r="I32" i="4"/>
  <c r="C45" i="4"/>
  <c r="C27" i="4"/>
  <c r="E32" i="4"/>
  <c r="E35" i="4"/>
  <c r="M36" i="4"/>
  <c r="E33" i="4"/>
  <c r="T35" i="4"/>
  <c r="I33" i="4"/>
  <c r="M32" i="4"/>
  <c r="E34" i="4"/>
  <c r="C37" i="4"/>
  <c r="C34" i="4"/>
  <c r="M35" i="4"/>
  <c r="C36" i="4"/>
  <c r="C32" i="4"/>
  <c r="C35" i="4"/>
  <c r="C33" i="4"/>
  <c r="I37" i="4"/>
  <c r="E36" i="4"/>
  <c r="G23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V36" i="4"/>
  <c r="V35" i="4"/>
  <c r="V34" i="4"/>
  <c r="T36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<sst xmlns="http://schemas.openxmlformats.org/spreadsheetml/2006/main" count="263" uniqueCount="173">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</sst>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5" borderId="0" xfId="0" applyNumberFormat="1" applyFill="1" applyBorder="1" applyAlignment="1">
      <alignment horizontal="center" vertical="center"/>
    </xf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0.80,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0.39134724434220269</c:v>
                </c:pt>
                <c:pt idx="1">
                  <c:v>0.52416499140309414</c:v>
                </c:pt>
                <c:pt idx="2">
                  <c:v>0.72208309249808289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0.89,  γo new  = 0.91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0.48264684995454271</c:v>
                </c:pt>
                <c:pt idx="1">
                  <c:v>0.53513900042020446</c:v>
                </c:pt>
                <c:pt idx="2">
                  <c:v>0.10451197309979772</c:v>
                </c:pt>
                <c:pt idx="3">
                  <c:v>5.5118717248214565E-2</c:v>
                </c:pt>
                <c:pt idx="4">
                  <c:v>0.10770690342956163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0.35901518543092836</c:v>
                </c:pt>
                <c:pt idx="1">
                  <c:v>0.42640395819296611</c:v>
                </c:pt>
                <c:pt idx="2">
                  <c:v>0.4958840484630227</c:v>
                </c:pt>
                <c:pt idx="3">
                  <c:v>0.5503691134419173</c:v>
                </c:pt>
                <c:pt idx="4">
                  <c:v>0.61948088139398017</c:v>
                </c:pt>
                <c:pt idx="5">
                  <c:v>0.68747729930913226</c:v>
                </c:pt>
                <c:pt idx="6">
                  <c:v>0.79237926750890475</c:v>
                </c:pt>
                <c:pt idx="7">
                  <c:v>0.89030623495864858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20.46875</c:v>
                </c:pt>
                <c:pt idx="1">
                  <c:v>27.720946760504425</c:v>
                </c:pt>
                <c:pt idx="2">
                  <c:v>36.205996349297472</c:v>
                </c:pt>
                <c:pt idx="3">
                  <c:v>45.91410220072472</c:v>
                </c:pt>
                <c:pt idx="4">
                  <c:v>56.756405078922377</c:v>
                </c:pt>
                <c:pt idx="5">
                  <c:v>68.781378839075913</c:v>
                </c:pt>
                <c:pt idx="6">
                  <c:v>81.946005163630346</c:v>
                </c:pt>
                <c:pt idx="7">
                  <c:v>95.997899360926027</c:v>
                </c:pt>
                <c:pt idx="8">
                  <c:v>111.00241158128502</c:v>
                </c:pt>
                <c:pt idx="9">
                  <c:v>125.57980426825284</c:v>
                </c:pt>
                <c:pt idx="10">
                  <c:v>139.51895444990751</c:v>
                </c:pt>
                <c:pt idx="11">
                  <c:v>152.81431122196099</c:v>
                </c:pt>
                <c:pt idx="12">
                  <c:v>165.46789549107498</c:v>
                </c:pt>
                <c:pt idx="13">
                  <c:v>177.47223196867427</c:v>
                </c:pt>
                <c:pt idx="14">
                  <c:v>184.04611936097152</c:v>
                </c:pt>
                <c:pt idx="15">
                  <c:v>188.78740572909231</c:v>
                </c:pt>
                <c:pt idx="16">
                  <c:v>197.98880077273429</c:v>
                </c:pt>
                <c:pt idx="17">
                  <c:v>200.39169290349238</c:v>
                </c:pt>
                <c:pt idx="18">
                  <c:v>201.84951284225119</c:v>
                </c:pt>
                <c:pt idx="19">
                  <c:v>203.30695828385191</c:v>
                </c:pt>
                <c:pt idx="20">
                  <c:v>204.76402802121007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4A62378B-3AA7-49A9-A396-28BA8826BB29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257A788-B0ED-456A-8630-53AFC1D2D08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48A50EA9-0BD4-4942-ABF0-29AD63FE8F5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435B3EA-65B9-4378-9FBD-87FF92DF494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53D2A1-5A86-4AB3-8B4C-4AD604240354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5CFFDDA-22CC-4C38-B189-25316B1D9EA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5</c:v>
                </c:pt>
                <c:pt idx="1">
                  <c:v>20.46875</c:v>
                </c:pt>
                <c:pt idx="2">
                  <c:v>204.76402802121007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180975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14</xdr:row>
          <xdr:rowOff>28575</xdr:rowOff>
        </xdr:from>
        <xdr:to>
          <xdr:col>20</xdr:col>
          <xdr:colOff>590550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32.9%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PVT_Bg_m3m3"/>
      <definedName name="PVT_Bo_m3m3"/>
      <definedName name="PVT_Bw_m3m3"/>
      <definedName name="PVT_Mug_cP"/>
      <definedName name="PVT_Mumix_cP"/>
      <definedName name="PVT_Muo_cP"/>
      <definedName name="PVT_Muw_cP"/>
      <definedName name="PVT_Pb_atma"/>
      <definedName name="PVT_Qmix_m3day"/>
      <definedName name="PVT_Rhog_kgm3"/>
      <definedName name="PVT_Rhomix_kgm3"/>
      <definedName name="PVT_Rhoo_kgm3"/>
      <definedName name="PVT_Rhow_kgm3"/>
      <definedName name="PVT_Rs_m3m3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F7" sqref="F7"/>
    </sheetView>
  </sheetViews>
  <sheetFormatPr defaultRowHeight="15" x14ac:dyDescent="0.25"/>
  <sheetData>
    <row r="1" spans="1:5" x14ac:dyDescent="0.25">
      <c r="A1" t="str">
        <f>"вер "&amp;B1</f>
        <v>вер 7.21</v>
      </c>
      <c r="B1" s="18">
        <v>7.21</v>
      </c>
    </row>
    <row r="2" spans="1:5" x14ac:dyDescent="0.25">
      <c r="A2" t="s">
        <v>161</v>
      </c>
    </row>
    <row r="4" spans="1:5" x14ac:dyDescent="0.25">
      <c r="A4" s="63" t="str">
        <f>"Унифлок "&amp;версия_номер_</f>
        <v>Унифлок 7.21</v>
      </c>
      <c r="B4" s="63"/>
      <c r="C4" s="63"/>
      <c r="D4" s="63"/>
      <c r="E4" s="6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2" zoomScale="115" zoomScaleNormal="115" workbookViewId="0">
      <selection activeCell="M34" sqref="M34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7.21</v>
      </c>
      <c r="J1" s="2" t="s">
        <v>23</v>
      </c>
      <c r="K1" s="2"/>
      <c r="L1" s="2"/>
    </row>
    <row r="2" spans="1:17" ht="18" x14ac:dyDescent="0.25">
      <c r="A2" s="63" t="s">
        <v>0</v>
      </c>
      <c r="B2" s="63"/>
      <c r="C2" s="63"/>
      <c r="D2" s="63"/>
      <c r="E2" s="63"/>
      <c r="J2" s="6" t="s">
        <v>26</v>
      </c>
      <c r="K2" s="9">
        <v>1</v>
      </c>
      <c r="L2" s="5" t="s">
        <v>6</v>
      </c>
    </row>
    <row r="3" spans="1:17" ht="18" customHeight="1" x14ac:dyDescent="0.25">
      <c r="F3" s="64" t="s">
        <v>74</v>
      </c>
      <c r="G3" s="64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5" t="s">
        <v>28</v>
      </c>
      <c r="O7" s="65"/>
      <c r="P7" s="65"/>
      <c r="Q7" s="65"/>
    </row>
    <row r="8" spans="1:17" ht="18" x14ac:dyDescent="0.25">
      <c r="B8" s="21" t="s">
        <v>10</v>
      </c>
      <c r="C8" s="9">
        <v>80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21" t="s">
        <v>11</v>
      </c>
      <c r="C9" s="9">
        <v>40</v>
      </c>
      <c r="D9" s="5" t="s">
        <v>25</v>
      </c>
      <c r="F9" s="5" t="s">
        <v>13</v>
      </c>
      <c r="G9" s="9">
        <v>0.8</v>
      </c>
      <c r="H9" s="5"/>
      <c r="J9" s="5" t="s">
        <v>19</v>
      </c>
      <c r="K9" s="9">
        <v>12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1.2</v>
      </c>
      <c r="H10" s="5"/>
      <c r="J10" s="7" t="s">
        <v>34</v>
      </c>
      <c r="K10" s="12">
        <f>Ql_scm3day_*(1-wc_perc_/100)*gamma_oil_</f>
        <v>75.679999999999993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130</v>
      </c>
      <c r="H11" s="5" t="s">
        <v>17</v>
      </c>
      <c r="J11" s="7" t="s">
        <v>18</v>
      </c>
      <c r="K11" s="9">
        <v>130</v>
      </c>
      <c r="L11" s="5" t="s">
        <v>17</v>
      </c>
    </row>
    <row r="12" spans="1:17" ht="18" x14ac:dyDescent="0.25">
      <c r="F12" s="5" t="s">
        <v>16</v>
      </c>
      <c r="G12" s="9">
        <v>80</v>
      </c>
      <c r="H12" s="5" t="s">
        <v>75</v>
      </c>
      <c r="J12" s="7" t="s">
        <v>18</v>
      </c>
      <c r="K12" s="13">
        <f>Rp_m3m3_/gamma_oil_</f>
        <v>151.16279069767441</v>
      </c>
      <c r="L12" s="5" t="s">
        <v>36</v>
      </c>
    </row>
    <row r="13" spans="1:17" x14ac:dyDescent="0.25">
      <c r="G13"/>
    </row>
    <row r="14" spans="1:17" x14ac:dyDescent="0.25">
      <c r="F14" s="2" t="s">
        <v>5</v>
      </c>
      <c r="G14" s="2"/>
      <c r="H14" s="2"/>
    </row>
    <row r="15" spans="1:17" ht="18" x14ac:dyDescent="0.25">
      <c r="F15" s="5" t="s">
        <v>20</v>
      </c>
      <c r="G15" s="9">
        <v>120</v>
      </c>
      <c r="H15" s="5" t="s">
        <v>2</v>
      </c>
    </row>
    <row r="16" spans="1:17" ht="18" x14ac:dyDescent="0.25">
      <c r="F16" s="7" t="s">
        <v>21</v>
      </c>
      <c r="G16" s="9">
        <v>1.2</v>
      </c>
      <c r="H16" s="5" t="s">
        <v>17</v>
      </c>
    </row>
    <row r="17" spans="2:33" ht="18" x14ac:dyDescent="0.25">
      <c r="F17" s="8" t="s">
        <v>22</v>
      </c>
      <c r="G17" s="9">
        <v>1</v>
      </c>
      <c r="H17" s="5" t="s">
        <v>7</v>
      </c>
    </row>
    <row r="20" spans="2:33" x14ac:dyDescent="0.2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25"/>
    <row r="22" spans="2:33" outlineLevel="1" x14ac:dyDescent="0.2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8" outlineLevel="1" x14ac:dyDescent="0.25">
      <c r="B23" s="5" t="s">
        <v>79</v>
      </c>
      <c r="C23" s="26">
        <f>[1]!PVT_Pb_atma(Tres_C_,gamma_gas_,gamma_oil_,gamma_w_,Rsb_m3m3_,,Pb_atma_,Tres_C_,Bob_m3m3_,mu_cP_,PVT_correlation_,Ksep_,Psep_atma_,Tsep_C_)</f>
        <v>119.99999999999999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103.10061266624652</v>
      </c>
      <c r="H23" s="2"/>
    </row>
    <row r="24" spans="2:33" ht="18" outlineLevel="1" x14ac:dyDescent="0.25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40</v>
      </c>
      <c r="H24" s="2"/>
    </row>
    <row r="25" spans="2:33" ht="18" outlineLevel="1" x14ac:dyDescent="0.25">
      <c r="B25" s="7" t="s">
        <v>15</v>
      </c>
      <c r="C25" s="28">
        <f>Rsb_m3m3_</f>
        <v>130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30">
        <f>[1]!PVT_Bo_m3m3(C23,Tres_C_,gamma_gas_,gamma_oil_,gamma_w_,Rsb_m3m3_,,Pb_atma_,Tres_C_,Bob_m3m3_,mu_cP_,PVT_correlation_,Ksep_,Psep_atma_,Tsep_C_)</f>
        <v>1.1988410729447061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6">
        <f>[1]!PVT_Rhoo_kgm3(C23,Tres_C_,gamma_gas_,gamma_oil_,gamma_w_,Rsb_m3m3_,,Pb_atma_,Tres_C_,Bob_m3m3_,mu_cP_,PVT_correlation_,Ksep_,Psep_atma_,Tsep_C_)</f>
        <v>822.69960751122812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31">
        <f>[1]!PVT_Muo_cP(C23,Tres_C_,gamma_gas_,gamma_oil_,gamma_w_,Rsb_m3m3_,,Pb_atma_,Tres_C_,Bob_m3m3_,mu_cP_,PVT_correlation_,Ksep_,Psep_atma_,Tsep_C_)</f>
        <v>1.0036940425749747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6">
        <f>[1]!PVT_Rhoo_kgm3(Psc_atma_,Tsc_C_,gamma_gas_,gamma_oil_,gamma_w_,Rsb_m3m3_,,Pb_atma_,Tres_C_,Bob_m3m3_,mu_cP_,PVT_correlation_,Ksep_,Psep_atma_,Tsep_C_)</f>
        <v>862.2476418337701</v>
      </c>
      <c r="D32" s="5" t="s">
        <v>82</v>
      </c>
      <c r="E32" s="34">
        <f>[1]!PVT_Rhoo_kgm3(Psc_atma_,Tsc_C_,gamma_gas_,gamma_oil_,gamma_w_,Rsb_m3m3_,,,,,,PVT_correlation_,Ksep_,Psep_atma_,Tsep_C_)</f>
        <v>864.32768283801556</v>
      </c>
      <c r="F32" s="35">
        <f t="shared" ref="F32:F37" si="0">(E32-C32)/E32</f>
        <v>2.4065421547249935E-3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0.99328178176718174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1000.3400421663305</v>
      </c>
      <c r="N32" s="5" t="s">
        <v>82</v>
      </c>
      <c r="Q32" s="37" t="s">
        <v>92</v>
      </c>
      <c r="R32" s="38">
        <v>0.90740209683346451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0.39134724434220269</v>
      </c>
      <c r="AB32" s="40">
        <f>ABS(Pb_diff_)</f>
        <v>0.48264684995454271</v>
      </c>
      <c r="AD32" s="33" t="str">
        <f>Q34&amp; " = "&amp;IFERROR(TEXT(gamma_gas_diff_total_*100,"0.0") &amp; "%",TEXT(gamma_gas_diff_total_*100,"0,0") &amp; "%")</f>
        <v>Сумм откл = 32.9%</v>
      </c>
      <c r="AE32" s="33"/>
      <c r="AF32" s="2"/>
      <c r="AG32" s="2"/>
    </row>
    <row r="33" spans="2:33" ht="18" outlineLevel="1" x14ac:dyDescent="0.25">
      <c r="B33" s="5" t="s">
        <v>96</v>
      </c>
      <c r="C33" s="31">
        <f>[1]!PVT_Muo_cP(Psc_atma_,Tsc_C_,gamma_gas_,gamma_oil_,gamma_w_,Rsb_m3m3_,,Pb_atma_,Tres_C_,Bob_m3m3_,mu_cP_,PVT_correlation_,Ksep_,Psep_atma_,Tsep_C_)</f>
        <v>23.441731432813782</v>
      </c>
      <c r="D33" s="5" t="s">
        <v>7</v>
      </c>
      <c r="E33" s="34">
        <f>[1]!PVT_Muo_cP(Psc_atma_,Tsc_C_,gamma_gas_,gamma_oil_,gamma_w_,Rsb_m3m3_,,,,,,PVT_correlation_,Ksep_,Psep_atma_,Tsep_C_)</f>
        <v>106.32463765574272</v>
      </c>
      <c r="F33" s="35">
        <f t="shared" si="0"/>
        <v>0.77952681570650373</v>
      </c>
      <c r="G33" s="36"/>
      <c r="H33" s="5" t="s">
        <v>97</v>
      </c>
      <c r="I33" s="26">
        <f>[1]!PVT_Mug_cP(Psc_atma_,Tsc_C_,gamma_gas_,gamma_oil_,gamma_w_,Rsb_m3m3_,,Pb_atma_,Tres_C_,Bob_m3m3_,mu_cP_,PVT_correlation_,Ksep_,Psep_atma_,Tsep_C_)</f>
        <v>9.8176385576621353E-3</v>
      </c>
      <c r="J33" s="5" t="s">
        <v>7</v>
      </c>
      <c r="L33" s="5" t="s">
        <v>98</v>
      </c>
      <c r="M33" s="30">
        <f>PVT_Muw_cP(Psc_atma_,Tsc_C_,gamma_gas_,gamma_oil_,gamma_w_,Rsb_m3m3_,,Pb_atma_,Tres_C_,Bob_m3m3_,mu_cP_,PVT_correlation_,Ksep_,Psep_atma_,Tsep_C_)</f>
        <v>2.4444852671870332</v>
      </c>
      <c r="N33" s="5" t="s">
        <v>7</v>
      </c>
      <c r="Q33" s="37" t="s">
        <v>99</v>
      </c>
      <c r="R33" s="41">
        <v>0.88616552274364935</v>
      </c>
      <c r="S33" s="5" t="s">
        <v>79</v>
      </c>
      <c r="T33" s="34">
        <f>[1]!PVT_Pb_atma(Tres_C_,gamma_gas_,gamma_oil_,gamma_w_,Rsb_m3m3_,,,Tres_C_,,,PVT_correlation_,Ksep_,Psep_atma_,Tsep_C_)</f>
        <v>197.15675134060768</v>
      </c>
      <c r="U33" s="35">
        <f>(T33-C23)/T33</f>
        <v>0.39134724434220269</v>
      </c>
      <c r="V33" s="42">
        <f>[1]!PVT_Pb_atma(Tres_C_,gamma_gas_new_,gamma_oil_new_,gamma_w_,Rsb_m3m3_,,,Tres_C_,,,PVT_correlation_,Ksep_,Psep_atma_,Tsep_C_)</f>
        <v>231.94987793049327</v>
      </c>
      <c r="W33" s="43">
        <f>(V33-C23)/V33</f>
        <v>0.48264684995454271</v>
      </c>
      <c r="X33" s="33">
        <v>2</v>
      </c>
      <c r="Z33" s="7" t="s">
        <v>80</v>
      </c>
      <c r="AA33" s="39">
        <f>ABS(U34)</f>
        <v>0.52416499140309414</v>
      </c>
      <c r="AB33" s="39">
        <f>ABS(W34)</f>
        <v>0.53513900042020446</v>
      </c>
      <c r="AD33" s="33" t="str">
        <f>F9 &amp;" = "&amp;IFERROR(  TEXT(gamma_gas_,"0.00"),TEXT(gamma_gas_,"0,00")) &amp;",  "&amp; F8 &amp;" = "&amp;  IFERROR(TEXT(gamma_oil_,"0.00"),TEXT(gamma_oil_,"0,00"))</f>
        <v>γg = 0.80,  γo = 0.86</v>
      </c>
      <c r="AE33" s="33"/>
      <c r="AF33" s="2"/>
      <c r="AG33" s="2"/>
    </row>
    <row r="34" spans="2:33" ht="18" outlineLevel="1" x14ac:dyDescent="0.25">
      <c r="B34" s="5" t="s">
        <v>100</v>
      </c>
      <c r="C34" s="31">
        <f>[1]!PVT_Rs_m3m3(P_atma_,T_C_,gamma_gas_,gamma_oil_,gamma_w_,Rsb_m3m3_,,Pb_atma_,Tres_C_,Bob_m3m3_,mu_cP_,PVT_correlation_,Ksep_,Psep_atma_,Tsep_C_)</f>
        <v>95.203897157547047</v>
      </c>
      <c r="D34" s="5" t="s">
        <v>17</v>
      </c>
      <c r="E34" s="34">
        <f>[1]!PVT_Rs_m3m3(P_atma_,T_C_,gamma_gas_,gamma_oil_,gamma_w_,Rsb_m3m3_,,,,,,PVT_correlation_,Ksep_,Psep_atma_,Tsep_C_)</f>
        <v>52.36434988431111</v>
      </c>
      <c r="F34" s="35">
        <f t="shared" si="0"/>
        <v>-0.81810520645976925</v>
      </c>
      <c r="G34" s="36"/>
      <c r="H34" s="5" t="s">
        <v>101</v>
      </c>
      <c r="I34" s="26">
        <f>[1]!PVT_z(P_atma_,T_C_,gamma_gas_,gamma_oil_,gamma_w_,Rsb_m3m3_,,Pb_atma_,Tres_C_,Bob_m3m3_,mu_cP_,PVT_correlation_,Ksep_,Psep_atma_,Tsep_C_)</f>
        <v>0.89983114460042257</v>
      </c>
      <c r="J34" s="5"/>
      <c r="L34" s="5" t="s">
        <v>102</v>
      </c>
      <c r="M34" s="26">
        <f>PVT_Sal_ppm(Psc_atma_,Tsc_C_,gamma_gas_,gamma_oil_,gamma_w_,Rsb_m3m3_,,Pb_atma_,Tres_C_,Bob_m3m3_,mu_cP_,PVT_correlation_,Ksep_,Psep_atma_,Tsep_C_)</f>
        <v>261141.77000429493</v>
      </c>
      <c r="N34" s="5" t="s">
        <v>172</v>
      </c>
      <c r="Q34" s="44" t="s">
        <v>103</v>
      </c>
      <c r="R34" s="45">
        <f>((X33*W33^2+X34*W34^2+X35*W35^2+X36*W36^2+X37*W37^2+X38*W38^2)/SUM(X33:X38))^0.5</f>
        <v>0.32937149467567939</v>
      </c>
      <c r="S34" s="7" t="s">
        <v>80</v>
      </c>
      <c r="T34" s="46">
        <f>[1]!PVT_Bo_m3m3(T33,Tres_C_,gamma_gas_,gamma_oil_,gamma_w_,Rsb_m3m3_,,,,,,PVT_correlation_,Ksep_,Psep_atma_,Tsep_C_)</f>
        <v>1.4178781917098293</v>
      </c>
      <c r="U34" s="35">
        <f>(T34-C26)/(T34-1)</f>
        <v>0.52416499140309414</v>
      </c>
      <c r="V34" s="47">
        <f>[1]!PVT_Bo_m3m3(V33,Tres_C_,gamma_gas_new_,gamma_oil_new_,gamma_w_,Rsb_m3m3_,,,,,,PVT_correlation_,Ksep_,Psep_atma_,Tsep_C_)</f>
        <v>1.4277430740037251</v>
      </c>
      <c r="W34" s="43">
        <f>(V34-C26)/(V34-1)</f>
        <v>0.53513900042020446</v>
      </c>
      <c r="X34" s="33">
        <v>2</v>
      </c>
      <c r="Z34" s="8" t="s">
        <v>83</v>
      </c>
      <c r="AA34" s="39">
        <f>ABS(U36)</f>
        <v>0.72208309249808289</v>
      </c>
      <c r="AB34" s="39">
        <f>ABS(W36)</f>
        <v>0.10451197309979772</v>
      </c>
      <c r="AD34" s="33" t="str">
        <f>Q33&amp;" = "&amp;IFERROR(TEXT(gamma_gas_new_,"0.00"),TEXT(gamma_gas_new_,"0,00"))&amp;",  "&amp;Q32&amp;" = "&amp;IFERROR(TEXT(gamma_oil_new_,"0.00"),TEXT(gamma_oil_new_,"0,00"))</f>
        <v>γg new  = 0.89,  γo new  = 0.91</v>
      </c>
      <c r="AE34" s="33"/>
      <c r="AF34" s="2"/>
      <c r="AG34" s="2"/>
    </row>
    <row r="35" spans="2:33" ht="18" outlineLevel="1" x14ac:dyDescent="0.25">
      <c r="B35" s="5" t="s">
        <v>104</v>
      </c>
      <c r="C35" s="30">
        <f>[1]!PVT_Bo_m3m3(P_atma_,T_C_,gamma_gas_,gamma_oil_,gamma_w_,Rsb_m3m3_,,Pb_atma_,Tres_C_,Bob_m3m3_,mu_cP_,PVT_correlation_,Ksep_,Psep_atma_,Tsep_C_)</f>
        <v>1.1265953371515098</v>
      </c>
      <c r="D35" s="5" t="s">
        <v>17</v>
      </c>
      <c r="E35" s="34">
        <f>[1]!PVT_Bo_m3m3(P_atma_,T_C_,gamma_gas_,gamma_oil_,gamma_w_,Rsb_m3m3_,,,,,,PVT_correlation_,Ksep_,Psep_atma_,Tsep_C_)</f>
        <v>1.146121784863479</v>
      </c>
      <c r="F35" s="35">
        <f t="shared" si="0"/>
        <v>1.7036974577963469E-2</v>
      </c>
      <c r="G35" s="36"/>
      <c r="H35" s="5" t="s">
        <v>105</v>
      </c>
      <c r="I35" s="26">
        <f>[1]!PVT_Bg_m3m3(P_atma_,T_C_,gamma_gas_,gamma_oil_,gamma_w_,Rsb_m3m3_,,Pb_atma_,Tres_C_,Bob_m3m3_,mu_cP_,PVT_correlation_,Ksep_,Psep_atma_,Tsep_C_)</f>
        <v>1.2064337875501319E-2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1.2104085098785609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746.93697170818382</v>
      </c>
      <c r="U35" s="35">
        <f>(T35-C27)/T35</f>
        <v>-0.1014310961603378</v>
      </c>
      <c r="V35" s="42">
        <f>[1]!PVT_Rhoo_kgm3(G23,Tres_C_,gamma_gas_new_,gamma_oil_new_,gamma_w_,Rsb_m3m3_,,,,,,PVT_correlation_,Ksep_,Psep_atma_,Tsep_C_)</f>
        <v>810.46051207474056</v>
      </c>
      <c r="W35" s="43">
        <f>(V35-C27)/V35</f>
        <v>-1.5101408710408425E-2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5.5118717248214565E-2</v>
      </c>
    </row>
    <row r="36" spans="2:33" ht="18" outlineLevel="1" x14ac:dyDescent="0.25">
      <c r="B36" s="5" t="s">
        <v>107</v>
      </c>
      <c r="C36" s="26">
        <f>[1]!PVT_Rhoo_kgm3(P_atma_,T_C_,gamma_gas_,gamma_oil_,gamma_w_,Rsb_m3m3_,,Pb_atma_,Tres_C_,Bob_m3m3_,mu_cP_,PVT_correlation_,Ksep_,Psep_atma_,Tsep_C_)</f>
        <v>845.95457614407803</v>
      </c>
      <c r="D36" s="5" t="s">
        <v>82</v>
      </c>
      <c r="E36" s="34">
        <f>[1]!PVT_Rhoo_kgm3(P_atma_,T_C_,gamma_gas_,gamma_oil_,gamma_w_,Rsb_m3m3_,,,,,,PVT_correlation_,Ksep_,Psep_atma_,Tsep_C_)</f>
        <v>795.01047186836774</v>
      </c>
      <c r="F36" s="35">
        <f t="shared" si="0"/>
        <v>-6.4079790239725612E-2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81.012319953728678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991.40082889899281</v>
      </c>
      <c r="N36" s="5" t="s">
        <v>82</v>
      </c>
      <c r="S36" s="8" t="s">
        <v>83</v>
      </c>
      <c r="T36" s="48">
        <f>[1]!PVT_Muo_cP(T33,Tres_C_,gamma_gas_,gamma_oil_,gamma_w_,Rsb_m3m3_,,,,,,PVT_correlation_,Ksep_,Psep_atma_,Tsep_C_)</f>
        <v>0.58283717373881139</v>
      </c>
      <c r="U36" s="35">
        <f>(T36-C28)/T36</f>
        <v>-0.72208309249808289</v>
      </c>
      <c r="V36" s="49">
        <f>[1]!PVT_Muo_cP(V33,Tres_C_,gamma_gas_new_,gamma_oil_new_,gamma_w_,Rsb_m3m3_,,,,,,PVT_correlation_,Ksep_,Psep_atma_,Tsep_C_)</f>
        <v>0.90872174047884802</v>
      </c>
      <c r="W36" s="43">
        <f>(V36-C28)/V36</f>
        <v>-0.10451197309979772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0.10770690342956163</v>
      </c>
    </row>
    <row r="37" spans="2:33" ht="18" outlineLevel="1" x14ac:dyDescent="0.25">
      <c r="B37" s="5" t="s">
        <v>111</v>
      </c>
      <c r="C37" s="31">
        <f>[1]!PVT_Muo_cP(P_atma_,T_C_,gamma_gas_,gamma_oil_,gamma_w_,Rsb_m3m3_,,Pb_atma_,Tres_C_,Bob_m3m3_,mu_cP_,PVT_correlation_,Ksep_,Psep_atma_,Tsep_C_)</f>
        <v>1.285998517040408</v>
      </c>
      <c r="D37" s="5" t="s">
        <v>7</v>
      </c>
      <c r="E37" s="34">
        <f>[1]!PVT_Muo_cP(P_atma_,T_C_,gamma_gas_,gamma_oil_,gamma_w_,Rsb_m3m3_,,,,,,PVT_correlation_,Ksep_,Psep_atma_,Tsep_C_)</f>
        <v>2.4738053747075175</v>
      </c>
      <c r="F37" s="35">
        <f t="shared" si="0"/>
        <v>0.4801537217969486</v>
      </c>
      <c r="G37" s="36"/>
      <c r="H37" s="5" t="s">
        <v>112</v>
      </c>
      <c r="I37" s="50">
        <f>[1]!PVT_Mug_cP(P_atma_,T_C_,gamma_gas_,gamma_oil_,gamma_w_,Rsb_m3m3_,,Pb_atma_,Tres_C_,Bob_m3m3_,mu_cP_,PVT_correlation_,Ksep_,Psep_atma_,Tsep_C_)</f>
        <v>1.3583010050915957E-2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1.3346373820869655</v>
      </c>
      <c r="N37" s="5" t="s">
        <v>7</v>
      </c>
      <c r="S37" s="6" t="s">
        <v>12</v>
      </c>
      <c r="W37" s="43">
        <f>(R32-G8)/R32</f>
        <v>5.2239351219136788E-2</v>
      </c>
      <c r="X37" s="33">
        <v>2</v>
      </c>
    </row>
    <row r="38" spans="2:33" ht="18" outlineLevel="1" x14ac:dyDescent="0.2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3">
        <f>(R33-G9)/R33</f>
        <v>9.7234117703962328E-2</v>
      </c>
      <c r="X38" s="33">
        <v>2</v>
      </c>
      <c r="Z38" s="8" t="s">
        <v>81</v>
      </c>
      <c r="AA38" s="39">
        <f>ABS(U35)</f>
        <v>0.1014310961603378</v>
      </c>
      <c r="AB38" s="39">
        <f>ABS(W35)</f>
        <v>1.5101408710408425E-2</v>
      </c>
    </row>
    <row r="39" spans="2:33" ht="18" outlineLevel="1" x14ac:dyDescent="0.2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outlineLevel="1" x14ac:dyDescent="0.25">
      <c r="L40" s="36"/>
    </row>
    <row r="41" spans="2:33" outlineLevel="1" x14ac:dyDescent="0.25">
      <c r="L41" s="36"/>
    </row>
    <row r="42" spans="2:33" outlineLevel="1" x14ac:dyDescent="0.25">
      <c r="B42" s="25" t="s">
        <v>120</v>
      </c>
      <c r="C42" s="2"/>
      <c r="D42" s="2"/>
      <c r="E42" s="32"/>
      <c r="F42" s="36"/>
      <c r="L42" s="36"/>
    </row>
    <row r="43" spans="2:33" ht="18" outlineLevel="1" x14ac:dyDescent="0.25">
      <c r="B43" s="7" t="s">
        <v>121</v>
      </c>
      <c r="C43" s="51" t="e">
        <f ca="1">[1]!PVT_Qmix_m3day(Ql_scm3day_,wc_perc_,P_atma_,T_C_,gamma_gas_,gamma_oil_,gamma_w_,Rsb_m3m3_,Rp_m3m3_,Pb_atma_,Tres_C_,Bob_m3m3_,mu_cP_,PVT_correlation_,Ksep_,Psep_atma_,Tsep_C_)</f>
        <v>#NAME?</v>
      </c>
      <c r="D43" s="5" t="s">
        <v>33</v>
      </c>
      <c r="E43" s="32"/>
      <c r="F43" s="36"/>
      <c r="L43" s="36"/>
    </row>
    <row r="44" spans="2:33" ht="18" outlineLevel="1" x14ac:dyDescent="0.25">
      <c r="B44" s="5" t="s">
        <v>122</v>
      </c>
      <c r="C44" s="51" t="e">
        <f ca="1">[1]!PVT_Rhomix_kgm3(Ql_scm3day_,wc_perc_,P_atma_,T_C_,gamma_gas_,gamma_oil_,gamma_w_,Rsb_m3m3_,Rp_m3m3_,Pb_atma_,Tres_C_,Bob_m3m3_,mu_cP_,PVT_correlation_,Ksep_,Psep_atma_,Tsep_C_)</f>
        <v>#NAME?</v>
      </c>
      <c r="D44" s="5" t="s">
        <v>82</v>
      </c>
      <c r="E44" s="32"/>
      <c r="F44" s="36"/>
      <c r="X44">
        <f>gamma_gas_</f>
        <v>0.8</v>
      </c>
    </row>
    <row r="45" spans="2:33" ht="18" outlineLevel="1" x14ac:dyDescent="0.25">
      <c r="B45" s="5" t="s">
        <v>123</v>
      </c>
      <c r="C45" s="51" t="e">
        <f ca="1">[1]!PVT_Mumix_cP(Ql_scm3day_,wc_perc_,P_atma_,T_C_,gamma_gas_,gamma_oil_,gamma_w_,Rsb_m3m3_,Rp_m3m3_,Pb_atma_,Tres_C_,Bob_m3m3_,mu_cP_,PVT_correlation_,Ksep_,Psep_atma_,Tsep_C_)</f>
        <v>#NAME?</v>
      </c>
      <c r="D45" s="5" t="s">
        <v>7</v>
      </c>
      <c r="E45" s="32"/>
      <c r="F45" s="36"/>
    </row>
    <row r="46" spans="2:33" ht="18" outlineLevel="1" x14ac:dyDescent="0.25">
      <c r="B46" s="5" t="s">
        <v>124</v>
      </c>
      <c r="E46" s="36"/>
      <c r="F46" s="36"/>
    </row>
    <row r="47" spans="2:33" ht="18" outlineLevel="1" x14ac:dyDescent="0.25">
      <c r="B47" s="5" t="s">
        <v>125</v>
      </c>
      <c r="E47" s="36"/>
      <c r="F47" s="36"/>
    </row>
    <row r="48" spans="2:33" ht="18" outlineLevel="1" x14ac:dyDescent="0.25">
      <c r="B48" s="5" t="s">
        <v>126</v>
      </c>
      <c r="E48" s="36"/>
      <c r="F48" s="36"/>
    </row>
    <row r="49" spans="1:29" outlineLevel="1" x14ac:dyDescent="0.25">
      <c r="E49" s="36"/>
      <c r="F49" s="36"/>
    </row>
    <row r="50" spans="1:29" outlineLevel="1" x14ac:dyDescent="0.25">
      <c r="E50" s="36"/>
      <c r="F50" s="36"/>
    </row>
    <row r="51" spans="1:29" outlineLevel="1" x14ac:dyDescent="0.25">
      <c r="E51" s="36"/>
      <c r="F51" s="36"/>
    </row>
    <row r="52" spans="1:29" outlineLevel="1" x14ac:dyDescent="0.25"/>
    <row r="53" spans="1:29" outlineLevel="1" x14ac:dyDescent="0.25"/>
    <row r="54" spans="1:29" x14ac:dyDescent="0.25">
      <c r="L54" s="36"/>
    </row>
    <row r="55" spans="1:29" x14ac:dyDescent="0.25">
      <c r="B55" s="52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3"/>
      <c r="M55" s="5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25">
      <c r="B56" t="str">
        <f>"Температура = " &amp;T_C_&amp;" °С"</f>
        <v>Температура = 40 °С</v>
      </c>
      <c r="L56" s="36"/>
      <c r="M56" s="36"/>
    </row>
    <row r="57" spans="1:29" outlineLevel="1" x14ac:dyDescent="0.25">
      <c r="L57" s="36"/>
      <c r="M57" s="36"/>
    </row>
    <row r="58" spans="1:29" ht="18" outlineLevel="1" x14ac:dyDescent="0.25">
      <c r="A58" s="54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61" t="s">
        <v>166</v>
      </c>
      <c r="Q58" s="61" t="s">
        <v>167</v>
      </c>
      <c r="R58" s="61" t="s">
        <v>168</v>
      </c>
    </row>
    <row r="59" spans="1:29" outlineLevel="1" x14ac:dyDescent="0.25">
      <c r="A59" s="55">
        <v>1</v>
      </c>
      <c r="B59" s="56">
        <v>1</v>
      </c>
      <c r="C59" s="2">
        <v>1</v>
      </c>
      <c r="D59" s="2">
        <v>0.22302199258814231</v>
      </c>
      <c r="E59" s="2">
        <v>0.22302199258814231</v>
      </c>
      <c r="F59">
        <v>0.22302199258814231</v>
      </c>
      <c r="G59" s="2">
        <v>1.055315297496489</v>
      </c>
      <c r="H59" s="10">
        <v>1.055315297496489</v>
      </c>
      <c r="I59">
        <v>1.055315297496489</v>
      </c>
      <c r="J59" s="2">
        <v>815.12887647450964</v>
      </c>
      <c r="K59" s="2">
        <v>815.12887647450964</v>
      </c>
      <c r="L59">
        <v>815.12887647450964</v>
      </c>
      <c r="M59" s="2">
        <v>2.6758386599815993</v>
      </c>
      <c r="N59" s="2">
        <v>2.6758386599815993</v>
      </c>
      <c r="O59">
        <v>2.6758386599815993</v>
      </c>
      <c r="P59">
        <v>0.99242844397927155</v>
      </c>
      <c r="Q59">
        <v>0.99242844397927155</v>
      </c>
      <c r="R59">
        <v>0.99242844397927155</v>
      </c>
    </row>
    <row r="60" spans="1:29" outlineLevel="1" x14ac:dyDescent="0.25">
      <c r="A60" s="55">
        <v>2</v>
      </c>
      <c r="B60" s="57">
        <f>($B$79-$B$59)/($A$79-$A$59)+B59</f>
        <v>6.1050306333123263</v>
      </c>
      <c r="C60" s="2">
        <v>10.807837567030385</v>
      </c>
      <c r="D60" s="2">
        <v>3.9171411187132152</v>
      </c>
      <c r="E60" s="2">
        <v>3.9171411187132152</v>
      </c>
      <c r="F60">
        <v>3.9171411187132152</v>
      </c>
      <c r="G60" s="2">
        <v>1.0642678398527434</v>
      </c>
      <c r="H60" s="10">
        <v>1.0642678398527434</v>
      </c>
      <c r="I60">
        <v>1.0642678398527434</v>
      </c>
      <c r="J60" s="2">
        <v>811.66453095426471</v>
      </c>
      <c r="K60" s="2">
        <v>811.66453095426471</v>
      </c>
      <c r="L60">
        <v>811.66453095426471</v>
      </c>
      <c r="M60" s="2">
        <v>2.3307115732532013</v>
      </c>
      <c r="N60" s="2">
        <v>2.3307115732532013</v>
      </c>
      <c r="O60">
        <v>2.3307115732532013</v>
      </c>
      <c r="P60">
        <v>0.92013357555153319</v>
      </c>
      <c r="Q60">
        <v>0.92013357555153319</v>
      </c>
      <c r="R60">
        <v>0.92013357555153319</v>
      </c>
    </row>
    <row r="61" spans="1:29" outlineLevel="1" x14ac:dyDescent="0.25">
      <c r="A61" s="55">
        <v>3</v>
      </c>
      <c r="B61" s="57">
        <f t="shared" ref="B61:B78" si="1">($B$79-$B$59)/($A$79-$A$59)+B60</f>
        <v>11.210061266624653</v>
      </c>
      <c r="C61" s="2">
        <v>20.615675134060769</v>
      </c>
      <c r="D61" s="2">
        <v>8.5239630062617433</v>
      </c>
      <c r="E61" s="2">
        <v>8.5239630062617433</v>
      </c>
      <c r="F61">
        <v>8.5239630062617433</v>
      </c>
      <c r="G61" s="2">
        <v>1.0756154436347216</v>
      </c>
      <c r="H61" s="10">
        <v>1.0756154436347216</v>
      </c>
      <c r="I61">
        <v>1.0756154436347216</v>
      </c>
      <c r="J61" s="2">
        <v>807.28757254501147</v>
      </c>
      <c r="K61" s="2">
        <v>807.28757254501147</v>
      </c>
      <c r="L61">
        <v>807.28757254501147</v>
      </c>
      <c r="M61" s="2">
        <v>2.0203373782219134</v>
      </c>
      <c r="N61" s="2">
        <v>2.0203373782219134</v>
      </c>
      <c r="O61">
        <v>2.0203373782219134</v>
      </c>
      <c r="P61">
        <v>0.85058617759997512</v>
      </c>
      <c r="Q61">
        <v>0.85058617759997512</v>
      </c>
      <c r="R61">
        <v>0.85058617759997512</v>
      </c>
    </row>
    <row r="62" spans="1:29" outlineLevel="1" x14ac:dyDescent="0.25">
      <c r="A62" s="55">
        <v>4</v>
      </c>
      <c r="B62" s="57">
        <f t="shared" si="1"/>
        <v>16.315091899936981</v>
      </c>
      <c r="C62" s="2">
        <v>30.423512701091155</v>
      </c>
      <c r="D62" s="2">
        <v>13.618577814848402</v>
      </c>
      <c r="E62" s="2">
        <v>13.618577814848402</v>
      </c>
      <c r="F62">
        <v>13.618577814848402</v>
      </c>
      <c r="G62" s="2">
        <v>1.0883834701206292</v>
      </c>
      <c r="H62" s="10">
        <v>1.0883834701206292</v>
      </c>
      <c r="I62">
        <v>1.0883834701206292</v>
      </c>
      <c r="J62" s="2">
        <v>802.39205867057899</v>
      </c>
      <c r="K62" s="2">
        <v>802.39205867057899</v>
      </c>
      <c r="L62">
        <v>802.39205867057899</v>
      </c>
      <c r="M62" s="2">
        <v>1.7714822489996405</v>
      </c>
      <c r="N62" s="2">
        <v>1.7714822489996405</v>
      </c>
      <c r="O62">
        <v>1.7714822489996405</v>
      </c>
      <c r="P62">
        <v>0.78358072411922886</v>
      </c>
      <c r="Q62">
        <v>0.78358072411922886</v>
      </c>
      <c r="R62">
        <v>0.78358072411922886</v>
      </c>
    </row>
    <row r="63" spans="1:29" outlineLevel="1" x14ac:dyDescent="0.25">
      <c r="A63" s="55">
        <v>5</v>
      </c>
      <c r="B63" s="57">
        <f t="shared" si="1"/>
        <v>21.420122533249305</v>
      </c>
      <c r="C63" s="2">
        <v>40.231350268121538</v>
      </c>
      <c r="D63" s="2">
        <v>19.065292857917989</v>
      </c>
      <c r="E63" s="2">
        <v>19.065292857917989</v>
      </c>
      <c r="F63">
        <v>19.065292857917989</v>
      </c>
      <c r="G63" s="2">
        <v>1.1022684840202757</v>
      </c>
      <c r="H63" s="10">
        <v>1.1022684840202757</v>
      </c>
      <c r="I63">
        <v>1.1022684840202757</v>
      </c>
      <c r="J63" s="2">
        <v>797.11401293357915</v>
      </c>
      <c r="K63" s="2">
        <v>797.11401293357915</v>
      </c>
      <c r="L63">
        <v>797.11401293357915</v>
      </c>
      <c r="M63" s="2">
        <v>1.5734648143139371</v>
      </c>
      <c r="N63" s="32">
        <v>1.5734648143139371</v>
      </c>
      <c r="O63">
        <v>1.5734648143139371</v>
      </c>
      <c r="P63">
        <v>0.71916414202507684</v>
      </c>
      <c r="Q63">
        <v>0.71916414202507684</v>
      </c>
      <c r="R63">
        <v>0.71916414202507684</v>
      </c>
    </row>
    <row r="64" spans="1:29" outlineLevel="1" x14ac:dyDescent="0.25">
      <c r="A64" s="55">
        <v>6</v>
      </c>
      <c r="B64" s="57">
        <f t="shared" si="1"/>
        <v>26.52515316656163</v>
      </c>
      <c r="C64" s="2">
        <v>50.039187835151921</v>
      </c>
      <c r="D64" s="2">
        <v>24.792323800683441</v>
      </c>
      <c r="E64" s="2">
        <v>24.792323800683441</v>
      </c>
      <c r="F64">
        <v>24.792323800683441</v>
      </c>
      <c r="G64" s="2">
        <v>1.1171097288316882</v>
      </c>
      <c r="H64" s="10">
        <v>1.1171097288316882</v>
      </c>
      <c r="I64">
        <v>1.1171097288316882</v>
      </c>
      <c r="J64" s="2">
        <v>791.53462078841187</v>
      </c>
      <c r="K64" s="2">
        <v>791.53462078841187</v>
      </c>
      <c r="L64">
        <v>791.53462078841187</v>
      </c>
      <c r="M64" s="2">
        <v>1.4142308508471479</v>
      </c>
      <c r="N64" s="2">
        <v>1.4142308508471479</v>
      </c>
      <c r="O64">
        <v>1.4142308508471479</v>
      </c>
      <c r="P64">
        <v>0.65740312145671187</v>
      </c>
      <c r="Q64">
        <v>0.65740312145671187</v>
      </c>
      <c r="R64">
        <v>0.65740312145671187</v>
      </c>
    </row>
    <row r="65" spans="1:18" outlineLevel="1" x14ac:dyDescent="0.25">
      <c r="A65" s="55">
        <v>7</v>
      </c>
      <c r="B65" s="57">
        <f t="shared" si="1"/>
        <v>31.630183799873954</v>
      </c>
      <c r="C65" s="2">
        <v>59.847025402182304</v>
      </c>
      <c r="D65" s="2">
        <v>30.754377808332812</v>
      </c>
      <c r="E65" s="2">
        <v>30.754377808332812</v>
      </c>
      <c r="F65">
        <v>30.754377808332812</v>
      </c>
      <c r="G65" s="2">
        <v>1.1328040276489428</v>
      </c>
      <c r="H65" s="10">
        <v>1.1328040276489428</v>
      </c>
      <c r="I65">
        <v>1.1328040276489428</v>
      </c>
      <c r="J65" s="2">
        <v>785.71233591215844</v>
      </c>
      <c r="K65" s="2">
        <v>785.71233591215844</v>
      </c>
      <c r="L65">
        <v>785.71233591215844</v>
      </c>
      <c r="M65" s="2">
        <v>1.284292370570796</v>
      </c>
      <c r="N65" s="2">
        <v>1.284292370570796</v>
      </c>
      <c r="O65">
        <v>1.284292370570796</v>
      </c>
      <c r="P65">
        <v>0.59833048656378218</v>
      </c>
      <c r="Q65">
        <v>0.59833048656378218</v>
      </c>
      <c r="R65">
        <v>0.59833048656378218</v>
      </c>
    </row>
    <row r="66" spans="1:18" outlineLevel="1" x14ac:dyDescent="0.25">
      <c r="A66" s="55">
        <v>8</v>
      </c>
      <c r="B66" s="57">
        <f t="shared" si="1"/>
        <v>36.735214433186279</v>
      </c>
      <c r="C66" s="2">
        <v>69.654862969212687</v>
      </c>
      <c r="D66" s="2">
        <v>36.919960531684509</v>
      </c>
      <c r="E66" s="2">
        <v>36.919960531684509</v>
      </c>
      <c r="F66">
        <v>36.919960531684509</v>
      </c>
      <c r="G66" s="2">
        <v>1.1492777046961387</v>
      </c>
      <c r="H66" s="10">
        <v>1.1492777046961387</v>
      </c>
      <c r="I66">
        <v>1.1492777046961387</v>
      </c>
      <c r="J66" s="2">
        <v>779.69327079408174</v>
      </c>
      <c r="K66" s="2">
        <v>779.69327079408174</v>
      </c>
      <c r="L66">
        <v>779.69327079408174</v>
      </c>
      <c r="M66" s="2">
        <v>1.1766701902064214</v>
      </c>
      <c r="N66" s="2">
        <v>1.1766701902064214</v>
      </c>
      <c r="O66">
        <v>1.1766701902064214</v>
      </c>
      <c r="P66">
        <v>0.54193363096009273</v>
      </c>
      <c r="Q66">
        <v>0.54193363096009273</v>
      </c>
      <c r="R66">
        <v>0.54193363096009273</v>
      </c>
    </row>
    <row r="67" spans="1:18" outlineLevel="1" x14ac:dyDescent="0.25">
      <c r="A67" s="55">
        <v>9</v>
      </c>
      <c r="B67" s="57">
        <f t="shared" si="1"/>
        <v>41.840245066498603</v>
      </c>
      <c r="C67" s="2">
        <v>79.462700536243076</v>
      </c>
      <c r="D67" s="2">
        <v>43.265759267328114</v>
      </c>
      <c r="E67" s="2">
        <v>43.265759267328114</v>
      </c>
      <c r="F67">
        <v>43.265759267328114</v>
      </c>
      <c r="G67" s="2">
        <v>1.1664744606199513</v>
      </c>
      <c r="H67" s="10">
        <v>1.1664744606199513</v>
      </c>
      <c r="I67">
        <v>1.1664744606199513</v>
      </c>
      <c r="J67" s="2">
        <v>773.5156258783187</v>
      </c>
      <c r="K67" s="2">
        <v>773.5156258783187</v>
      </c>
      <c r="L67">
        <v>773.5156258783187</v>
      </c>
      <c r="M67" s="2">
        <v>1.0862859978933075</v>
      </c>
      <c r="N67" s="2">
        <v>1.0862859978933075</v>
      </c>
      <c r="O67">
        <v>1.0862859978933075</v>
      </c>
      <c r="P67">
        <v>0.48815739783972967</v>
      </c>
      <c r="Q67">
        <v>0.48815739783972967</v>
      </c>
      <c r="R67">
        <v>0.48815739783972967</v>
      </c>
    </row>
    <row r="68" spans="1:18" outlineLevel="1" x14ac:dyDescent="0.25">
      <c r="A68" s="55">
        <v>10</v>
      </c>
      <c r="B68" s="57">
        <f t="shared" si="1"/>
        <v>46.945275699810928</v>
      </c>
      <c r="C68" s="2">
        <v>89.270538103273466</v>
      </c>
      <c r="D68" s="2">
        <v>49.773743733538367</v>
      </c>
      <c r="E68" s="2">
        <v>49.773743733538367</v>
      </c>
      <c r="F68">
        <v>49.773743733538367</v>
      </c>
      <c r="G68" s="2">
        <v>1.1843492361300076</v>
      </c>
      <c r="H68" s="10">
        <v>1.1843492361300076</v>
      </c>
      <c r="I68">
        <v>1.1843492361300076</v>
      </c>
      <c r="J68" s="2">
        <v>767.21193247400186</v>
      </c>
      <c r="K68" s="2">
        <v>767.21193247400186</v>
      </c>
      <c r="L68">
        <v>767.21193247400186</v>
      </c>
      <c r="M68" s="2">
        <v>1.0094198453402949</v>
      </c>
      <c r="N68" s="2">
        <v>1.0094198453402949</v>
      </c>
      <c r="O68">
        <v>1.0094198453402949</v>
      </c>
      <c r="P68">
        <v>0.43691203055200867</v>
      </c>
      <c r="Q68">
        <v>0.43691203055200867</v>
      </c>
      <c r="R68">
        <v>0.43691203055200867</v>
      </c>
    </row>
    <row r="69" spans="1:18" outlineLevel="1" x14ac:dyDescent="0.25">
      <c r="A69" s="55">
        <v>11</v>
      </c>
      <c r="B69" s="57">
        <f t="shared" si="1"/>
        <v>52.050306333123253</v>
      </c>
      <c r="C69" s="2">
        <v>99.078375670303856</v>
      </c>
      <c r="D69" s="2">
        <v>56.429507615623692</v>
      </c>
      <c r="E69" s="2">
        <v>56.429507615623692</v>
      </c>
      <c r="F69">
        <v>56.429507615623692</v>
      </c>
      <c r="G69" s="2">
        <v>1.2028647510010473</v>
      </c>
      <c r="H69" s="10">
        <v>1.2028647510010473</v>
      </c>
      <c r="I69">
        <v>1.2028647510010473</v>
      </c>
      <c r="J69" s="2">
        <v>760.81034281002815</v>
      </c>
      <c r="K69" s="2">
        <v>760.81034281002815</v>
      </c>
      <c r="L69">
        <v>760.81034281002815</v>
      </c>
      <c r="M69" s="2">
        <v>0.94331191264146697</v>
      </c>
      <c r="N69" s="2">
        <v>0.94331191264146697</v>
      </c>
      <c r="O69">
        <v>0.94331191264146697</v>
      </c>
      <c r="P69">
        <v>0.38808233195720038</v>
      </c>
      <c r="Q69">
        <v>0.38808233195720038</v>
      </c>
      <c r="R69">
        <v>0.38808233195720038</v>
      </c>
    </row>
    <row r="70" spans="1:18" outlineLevel="1" x14ac:dyDescent="0.25">
      <c r="A70" s="55">
        <v>12</v>
      </c>
      <c r="B70" s="57">
        <f t="shared" si="1"/>
        <v>57.155336966435577</v>
      </c>
      <c r="C70" s="2">
        <v>108.88621323733425</v>
      </c>
      <c r="D70" s="2">
        <v>63.221246840020797</v>
      </c>
      <c r="E70" s="2">
        <v>63.221246840020797</v>
      </c>
      <c r="F70">
        <v>63.221246840020797</v>
      </c>
      <c r="G70" s="2">
        <v>1.2219893897562828</v>
      </c>
      <c r="H70" s="10">
        <v>1.2219893897562828</v>
      </c>
      <c r="I70">
        <v>1.2219893897562828</v>
      </c>
      <c r="J70" s="2">
        <v>754.3354513048655</v>
      </c>
      <c r="K70" s="2">
        <v>754.3354513048655</v>
      </c>
      <c r="L70">
        <v>754.3354513048655</v>
      </c>
      <c r="M70" s="2">
        <v>0.88588467856016206</v>
      </c>
      <c r="N70" s="2">
        <v>0.88588467856016206</v>
      </c>
      <c r="O70">
        <v>0.88588467856016206</v>
      </c>
      <c r="P70">
        <v>0.34153636497272327</v>
      </c>
      <c r="Q70">
        <v>0.34153636497272327</v>
      </c>
      <c r="R70">
        <v>0.34153636497272327</v>
      </c>
    </row>
    <row r="71" spans="1:18" outlineLevel="1" x14ac:dyDescent="0.25">
      <c r="A71" s="55">
        <v>13</v>
      </c>
      <c r="B71" s="57">
        <f t="shared" si="1"/>
        <v>62.260367599747902</v>
      </c>
      <c r="C71" s="2">
        <v>118.69405080436464</v>
      </c>
      <c r="D71" s="2">
        <v>70.139093658051422</v>
      </c>
      <c r="E71" s="2">
        <v>70.139093658051422</v>
      </c>
      <c r="F71">
        <v>70.139093658051422</v>
      </c>
      <c r="G71" s="2">
        <v>1.2416958278891055</v>
      </c>
      <c r="H71" s="10">
        <v>1.2416958278891055</v>
      </c>
      <c r="I71">
        <v>1.2416958278891055</v>
      </c>
      <c r="J71" s="2">
        <v>747.80886246205625</v>
      </c>
      <c r="K71" s="2">
        <v>747.80886246205625</v>
      </c>
      <c r="L71">
        <v>747.80886246205625</v>
      </c>
      <c r="M71" s="2">
        <v>0.83555112107454399</v>
      </c>
      <c r="N71" s="2">
        <v>0.83555112107454399</v>
      </c>
      <c r="O71">
        <v>0.83555112107454399</v>
      </c>
      <c r="P71">
        <v>0.29713304057882739</v>
      </c>
      <c r="Q71">
        <v>0.29713304057882739</v>
      </c>
      <c r="R71">
        <v>0.29713304057882739</v>
      </c>
    </row>
    <row r="72" spans="1:18" outlineLevel="1" x14ac:dyDescent="0.25">
      <c r="A72" s="55">
        <v>14</v>
      </c>
      <c r="B72" s="57">
        <f t="shared" si="1"/>
        <v>67.365398233060233</v>
      </c>
      <c r="C72" s="2">
        <v>128.50188837139501</v>
      </c>
      <c r="D72" s="2">
        <v>77.174662959514549</v>
      </c>
      <c r="E72" s="2">
        <v>77.174662959514549</v>
      </c>
      <c r="F72">
        <v>77.174662959514549</v>
      </c>
      <c r="G72" s="2">
        <v>1.2619600943421767</v>
      </c>
      <c r="H72" s="10">
        <v>1.2619600943421767</v>
      </c>
      <c r="I72">
        <v>1.2619600943421767</v>
      </c>
      <c r="J72" s="2">
        <v>741.24961065248453</v>
      </c>
      <c r="K72" s="2">
        <v>741.24961065248453</v>
      </c>
      <c r="L72">
        <v>741.24961065248453</v>
      </c>
      <c r="M72" s="2">
        <v>0.7910817212753618</v>
      </c>
      <c r="N72" s="2">
        <v>0.7910817212753618</v>
      </c>
      <c r="O72">
        <v>0.7910817212753618</v>
      </c>
      <c r="P72">
        <v>0.25472843848676019</v>
      </c>
      <c r="Q72">
        <v>0.25472843848676019</v>
      </c>
      <c r="R72">
        <v>0.25472843848676019</v>
      </c>
    </row>
    <row r="73" spans="1:18" outlineLevel="1" x14ac:dyDescent="0.25">
      <c r="A73" s="55">
        <v>15</v>
      </c>
      <c r="B73" s="57">
        <f t="shared" si="1"/>
        <v>72.470428866372558</v>
      </c>
      <c r="C73" s="2">
        <v>138.3097259384254</v>
      </c>
      <c r="D73" s="2">
        <v>84.320731892097271</v>
      </c>
      <c r="E73" s="2">
        <v>84.320731892097271</v>
      </c>
      <c r="F73">
        <v>84.320731892097271</v>
      </c>
      <c r="G73" s="2">
        <v>1.2827609056497578</v>
      </c>
      <c r="H73" s="10">
        <v>1.2827609056497578</v>
      </c>
      <c r="I73">
        <v>1.2827609056497578</v>
      </c>
      <c r="J73" s="2">
        <v>734.67448717163677</v>
      </c>
      <c r="K73" s="2">
        <v>734.67448717163677</v>
      </c>
      <c r="L73">
        <v>734.67448717163677</v>
      </c>
      <c r="M73" s="2">
        <v>0.75151126668649693</v>
      </c>
      <c r="N73" s="2">
        <v>0.75151126668649693</v>
      </c>
      <c r="O73">
        <v>0.75151126668649693</v>
      </c>
      <c r="P73">
        <v>0.21418094903675705</v>
      </c>
      <c r="Q73">
        <v>0.21418094903675705</v>
      </c>
      <c r="R73">
        <v>0.21418094903675705</v>
      </c>
    </row>
    <row r="74" spans="1:18" outlineLevel="1" x14ac:dyDescent="0.25">
      <c r="A74" s="55">
        <v>16</v>
      </c>
      <c r="B74" s="57">
        <f t="shared" si="1"/>
        <v>77.575459499684882</v>
      </c>
      <c r="C74" s="2">
        <v>148.11756350545579</v>
      </c>
      <c r="D74" s="2">
        <v>91.571006811155542</v>
      </c>
      <c r="E74" s="2">
        <v>91.571006811155542</v>
      </c>
      <c r="F74">
        <v>91.571006811155542</v>
      </c>
      <c r="G74" s="2">
        <v>1.3040791771666136</v>
      </c>
      <c r="H74" s="10">
        <v>1.3040791771666136</v>
      </c>
      <c r="I74">
        <v>1.3040791771666136</v>
      </c>
      <c r="J74" s="2">
        <v>728.09830556449401</v>
      </c>
      <c r="K74" s="2">
        <v>728.09830556449401</v>
      </c>
      <c r="L74">
        <v>728.09830556449401</v>
      </c>
      <c r="M74" s="2">
        <v>0.71607269341030877</v>
      </c>
      <c r="N74" s="2">
        <v>0.71607269341030877</v>
      </c>
      <c r="O74">
        <v>0.71607269341030877</v>
      </c>
      <c r="P74">
        <v>0.17535543223367112</v>
      </c>
      <c r="Q74">
        <v>0.17535543223367112</v>
      </c>
      <c r="R74">
        <v>0.17535543223367112</v>
      </c>
    </row>
    <row r="75" spans="1:18" outlineLevel="1" x14ac:dyDescent="0.25">
      <c r="A75" s="55">
        <v>17</v>
      </c>
      <c r="B75" s="57">
        <f t="shared" si="1"/>
        <v>82.680490132997207</v>
      </c>
      <c r="C75" s="2">
        <v>157.92540107248618</v>
      </c>
      <c r="D75" s="2">
        <v>98.919949476008185</v>
      </c>
      <c r="E75" s="2">
        <v>98.919949476008185</v>
      </c>
      <c r="F75">
        <v>98.919949476008185</v>
      </c>
      <c r="G75" s="2">
        <v>1.3258976542482241</v>
      </c>
      <c r="H75" s="10">
        <v>1.3258976542482241</v>
      </c>
      <c r="I75">
        <v>1.3258976542482241</v>
      </c>
      <c r="J75" s="2">
        <v>721.53412350842666</v>
      </c>
      <c r="K75" s="2">
        <v>721.53412350842666</v>
      </c>
      <c r="L75">
        <v>721.53412350842666</v>
      </c>
      <c r="M75" s="2">
        <v>0.68414947584042696</v>
      </c>
      <c r="N75" s="2">
        <v>0.68414947584042696</v>
      </c>
      <c r="O75">
        <v>0.68414947584042696</v>
      </c>
      <c r="P75">
        <v>0.13812662244754365</v>
      </c>
      <c r="Q75">
        <v>0.13812662244754365</v>
      </c>
      <c r="R75">
        <v>0.13812662244754365</v>
      </c>
    </row>
    <row r="76" spans="1:18" outlineLevel="1" x14ac:dyDescent="0.25">
      <c r="A76" s="55">
        <v>18</v>
      </c>
      <c r="B76" s="57">
        <f t="shared" si="1"/>
        <v>87.785520766309531</v>
      </c>
      <c r="C76" s="2">
        <v>167.73323863951657</v>
      </c>
      <c r="D76" s="2">
        <v>106.36264464474959</v>
      </c>
      <c r="E76" s="2">
        <v>106.36264464474959</v>
      </c>
      <c r="F76">
        <v>106.36264464474959</v>
      </c>
      <c r="G76" s="2">
        <v>1.348200627374089</v>
      </c>
      <c r="H76" s="10">
        <v>1.348200627374089</v>
      </c>
      <c r="I76">
        <v>1.348200627374089</v>
      </c>
      <c r="J76" s="2">
        <v>714.99343257798478</v>
      </c>
      <c r="K76" s="2">
        <v>714.99343257798478</v>
      </c>
      <c r="L76">
        <v>714.99343257798478</v>
      </c>
      <c r="M76" s="2">
        <v>0.65524089485930148</v>
      </c>
      <c r="N76" s="2">
        <v>0.65524089485930148</v>
      </c>
      <c r="O76">
        <v>0.65524089485930148</v>
      </c>
      <c r="P76">
        <v>0.10238199799950358</v>
      </c>
      <c r="Q76">
        <v>0.10238199799950358</v>
      </c>
      <c r="R76">
        <v>0.10238199799950358</v>
      </c>
    </row>
    <row r="77" spans="1:18" outlineLevel="1" x14ac:dyDescent="0.25">
      <c r="A77" s="55">
        <v>19</v>
      </c>
      <c r="B77" s="57">
        <f t="shared" si="1"/>
        <v>92.890551399621856</v>
      </c>
      <c r="C77" s="2">
        <v>177.54107620654696</v>
      </c>
      <c r="D77" s="2">
        <v>113.8946973372466</v>
      </c>
      <c r="E77" s="2">
        <v>113.8946973372466</v>
      </c>
      <c r="F77">
        <v>113.8946973372466</v>
      </c>
      <c r="G77" s="2">
        <v>1.3709737076827364</v>
      </c>
      <c r="H77" s="10">
        <v>1.3709737076827364</v>
      </c>
      <c r="I77">
        <v>1.3709737076827364</v>
      </c>
      <c r="J77" s="2">
        <v>708.4863232215306</v>
      </c>
      <c r="K77" s="2">
        <v>708.4863232215306</v>
      </c>
      <c r="L77">
        <v>708.4863232215306</v>
      </c>
      <c r="M77" s="2">
        <v>0.62893636577126166</v>
      </c>
      <c r="N77" s="2">
        <v>0.62893636577126166</v>
      </c>
      <c r="O77">
        <v>0.62893636577126166</v>
      </c>
      <c r="P77">
        <v>6.8024300669982204E-2</v>
      </c>
      <c r="Q77">
        <v>6.8024300669982204E-2</v>
      </c>
      <c r="R77">
        <v>6.8024300669982204E-2</v>
      </c>
    </row>
    <row r="78" spans="1:18" outlineLevel="1" x14ac:dyDescent="0.25">
      <c r="A78" s="55">
        <v>20</v>
      </c>
      <c r="B78" s="57">
        <f t="shared" si="1"/>
        <v>97.99558203293418</v>
      </c>
      <c r="C78" s="2">
        <v>187.34891377357735</v>
      </c>
      <c r="D78" s="2">
        <v>121.51215183090807</v>
      </c>
      <c r="E78" s="2">
        <v>121.51215183090807</v>
      </c>
      <c r="F78">
        <v>121.51215183090807</v>
      </c>
      <c r="G78" s="2">
        <v>1.3942036470497792</v>
      </c>
      <c r="H78" s="10">
        <v>1.3942036470497792</v>
      </c>
      <c r="I78">
        <v>1.3942036470497792</v>
      </c>
      <c r="J78" s="2">
        <v>702.02162989931571</v>
      </c>
      <c r="K78" s="2">
        <v>702.02162989931571</v>
      </c>
      <c r="L78">
        <v>702.02162989931571</v>
      </c>
      <c r="M78" s="2">
        <v>0.60489622403723109</v>
      </c>
      <c r="N78" s="2">
        <v>0.60489622403723109</v>
      </c>
      <c r="O78">
        <v>0.60489622403723109</v>
      </c>
      <c r="P78">
        <v>3.4973838795687433E-2</v>
      </c>
      <c r="Q78">
        <v>3.4973838795687433E-2</v>
      </c>
      <c r="R78">
        <v>3.4973838795687433E-2</v>
      </c>
    </row>
    <row r="79" spans="1:18" outlineLevel="1" x14ac:dyDescent="0.25">
      <c r="A79" s="55">
        <v>21</v>
      </c>
      <c r="B79" s="58">
        <f>G23</f>
        <v>103.10061266624652</v>
      </c>
      <c r="C79" s="2">
        <v>197.15675134060768</v>
      </c>
      <c r="D79" s="2">
        <v>129.21142688461711</v>
      </c>
      <c r="E79" s="2">
        <v>129.21142688461711</v>
      </c>
      <c r="F79">
        <v>129.21142688461711</v>
      </c>
      <c r="G79" s="2">
        <v>1.4178781917098293</v>
      </c>
      <c r="H79" s="10">
        <v>1.4178781917098293</v>
      </c>
      <c r="I79">
        <v>1.4178781917098293</v>
      </c>
      <c r="J79" s="2">
        <v>695.60705986356982</v>
      </c>
      <c r="K79" s="2">
        <v>695.60705986356982</v>
      </c>
      <c r="L79">
        <v>695.60705986356982</v>
      </c>
      <c r="M79" s="2">
        <v>0.58283717373881139</v>
      </c>
      <c r="N79" s="2">
        <v>0.58283717373881139</v>
      </c>
      <c r="O79">
        <v>0.58283717373881139</v>
      </c>
      <c r="P79">
        <v>3.1706411019746888E-3</v>
      </c>
      <c r="Q79">
        <v>3.1706411019746888E-3</v>
      </c>
      <c r="R79">
        <v>3.1706411019746888E-3</v>
      </c>
    </row>
    <row r="80" spans="1:18" outlineLevel="1" x14ac:dyDescent="0.25">
      <c r="A80" s="55">
        <v>22</v>
      </c>
      <c r="B80" s="57">
        <f t="shared" ref="B80:B98" si="2">($B$99-$B$79)/($A$99-$A$79)+B79</f>
        <v>112.9455820329342</v>
      </c>
      <c r="C80" s="2">
        <v>202.29891377357731</v>
      </c>
      <c r="D80" s="2">
        <v>130</v>
      </c>
      <c r="E80" s="2">
        <v>130</v>
      </c>
      <c r="F80">
        <v>130</v>
      </c>
      <c r="G80" s="2">
        <v>1.4186268912358007</v>
      </c>
      <c r="H80" s="10">
        <v>1.4186268912358007</v>
      </c>
      <c r="I80">
        <v>1.4186268912358007</v>
      </c>
      <c r="J80" s="2">
        <v>695.78322961307367</v>
      </c>
      <c r="K80" s="2">
        <v>695.78322961307367</v>
      </c>
      <c r="L80">
        <v>695.78322961307367</v>
      </c>
      <c r="M80" s="2">
        <v>0.58465602872172595</v>
      </c>
      <c r="N80" s="2">
        <v>0.58465602872172595</v>
      </c>
      <c r="O80">
        <v>0.58465602872172595</v>
      </c>
      <c r="P80">
        <v>0</v>
      </c>
      <c r="Q80">
        <v>0</v>
      </c>
      <c r="R80">
        <v>0</v>
      </c>
    </row>
    <row r="81" spans="1:18" outlineLevel="1" x14ac:dyDescent="0.25">
      <c r="A81" s="55">
        <v>23</v>
      </c>
      <c r="B81" s="57">
        <f t="shared" si="2"/>
        <v>122.79055139962188</v>
      </c>
      <c r="C81" s="2">
        <v>207.44107620654694</v>
      </c>
      <c r="D81" s="2">
        <v>130</v>
      </c>
      <c r="E81" s="2">
        <v>130</v>
      </c>
      <c r="F81">
        <v>130</v>
      </c>
      <c r="G81" s="2">
        <v>1.417025512670065</v>
      </c>
      <c r="H81" s="10">
        <v>1.417025512670065</v>
      </c>
      <c r="I81">
        <v>1.417025512670065</v>
      </c>
      <c r="J81" s="2">
        <v>696.56953327545534</v>
      </c>
      <c r="K81" s="2">
        <v>696.56953327545534</v>
      </c>
      <c r="L81">
        <v>696.56953327545534</v>
      </c>
      <c r="M81" s="2">
        <v>0.58873062206204108</v>
      </c>
      <c r="N81" s="2">
        <v>0.58873062206204108</v>
      </c>
      <c r="O81">
        <v>0.58873062206204108</v>
      </c>
      <c r="P81">
        <v>0</v>
      </c>
      <c r="Q81">
        <v>0</v>
      </c>
      <c r="R81">
        <v>0</v>
      </c>
    </row>
    <row r="82" spans="1:18" outlineLevel="1" x14ac:dyDescent="0.25">
      <c r="A82" s="55">
        <v>24</v>
      </c>
      <c r="B82" s="57">
        <f t="shared" si="2"/>
        <v>132.63552076630955</v>
      </c>
      <c r="C82" s="2">
        <v>212.58323863951657</v>
      </c>
      <c r="D82" s="2">
        <v>130</v>
      </c>
      <c r="E82" s="2">
        <v>130</v>
      </c>
      <c r="F82">
        <v>130</v>
      </c>
      <c r="G82" s="2">
        <v>1.4155032840345112</v>
      </c>
      <c r="H82" s="10">
        <v>1.4155032840345112</v>
      </c>
      <c r="I82">
        <v>1.4155032840345112</v>
      </c>
      <c r="J82" s="2">
        <v>697.31862238189956</v>
      </c>
      <c r="K82" s="2">
        <v>697.31862238189956</v>
      </c>
      <c r="L82">
        <v>697.31862238189956</v>
      </c>
      <c r="M82" s="2">
        <v>0.59291328574740609</v>
      </c>
      <c r="N82" s="2">
        <v>0.59291328574740609</v>
      </c>
      <c r="O82">
        <v>0.59291328574740609</v>
      </c>
      <c r="P82">
        <v>0</v>
      </c>
      <c r="Q82">
        <v>0</v>
      </c>
      <c r="R82">
        <v>0</v>
      </c>
    </row>
    <row r="83" spans="1:18" outlineLevel="1" x14ac:dyDescent="0.25">
      <c r="A83" s="55">
        <v>25</v>
      </c>
      <c r="B83" s="57">
        <f t="shared" si="2"/>
        <v>142.48049013299723</v>
      </c>
      <c r="C83" s="2">
        <v>217.72540107248619</v>
      </c>
      <c r="D83" s="2">
        <v>130</v>
      </c>
      <c r="E83" s="2">
        <v>130</v>
      </c>
      <c r="F83">
        <v>130</v>
      </c>
      <c r="G83" s="2">
        <v>1.4140544795573473</v>
      </c>
      <c r="H83" s="10">
        <v>1.4140544795573473</v>
      </c>
      <c r="I83">
        <v>1.4140544795573473</v>
      </c>
      <c r="J83" s="2">
        <v>698.03307741649826</v>
      </c>
      <c r="K83" s="2">
        <v>698.03307741649826</v>
      </c>
      <c r="L83">
        <v>698.03307741649826</v>
      </c>
      <c r="M83" s="2">
        <v>0.5972015664745528</v>
      </c>
      <c r="N83" s="2">
        <v>0.5972015664745528</v>
      </c>
      <c r="O83">
        <v>0.5972015664745528</v>
      </c>
      <c r="P83">
        <v>0</v>
      </c>
      <c r="Q83">
        <v>0</v>
      </c>
      <c r="R83">
        <v>0</v>
      </c>
    </row>
    <row r="84" spans="1:18" outlineLevel="1" x14ac:dyDescent="0.25">
      <c r="A84" s="55">
        <v>26</v>
      </c>
      <c r="B84" s="57">
        <f t="shared" si="2"/>
        <v>152.32545949968491</v>
      </c>
      <c r="C84" s="2">
        <v>222.86756350545582</v>
      </c>
      <c r="D84" s="2">
        <v>130</v>
      </c>
      <c r="E84" s="2">
        <v>130</v>
      </c>
      <c r="F84">
        <v>130</v>
      </c>
      <c r="G84" s="2">
        <v>1.4126739126671428</v>
      </c>
      <c r="H84" s="10">
        <v>1.4126739126671428</v>
      </c>
      <c r="I84">
        <v>1.4126739126671428</v>
      </c>
      <c r="J84" s="2">
        <v>698.71524571189013</v>
      </c>
      <c r="K84" s="2">
        <v>698.71524571189013</v>
      </c>
      <c r="L84">
        <v>698.71524571189013</v>
      </c>
      <c r="M84" s="2">
        <v>0.60159311453524822</v>
      </c>
      <c r="N84" s="2">
        <v>0.60159311453524822</v>
      </c>
      <c r="O84">
        <v>0.60159311453524822</v>
      </c>
      <c r="P84">
        <v>0</v>
      </c>
      <c r="Q84">
        <v>0</v>
      </c>
      <c r="R84">
        <v>0</v>
      </c>
    </row>
    <row r="85" spans="1:18" outlineLevel="1" x14ac:dyDescent="0.25">
      <c r="A85" s="55">
        <v>27</v>
      </c>
      <c r="B85" s="57">
        <f t="shared" si="2"/>
        <v>162.17042886637259</v>
      </c>
      <c r="C85" s="2">
        <v>228.00972593842545</v>
      </c>
      <c r="D85" s="2">
        <v>130</v>
      </c>
      <c r="E85" s="2">
        <v>130</v>
      </c>
      <c r="F85">
        <v>130</v>
      </c>
      <c r="G85" s="2">
        <v>1.4113568739893438</v>
      </c>
      <c r="H85" s="10">
        <v>1.4113568739893438</v>
      </c>
      <c r="I85">
        <v>1.4113568739893438</v>
      </c>
      <c r="J85" s="2">
        <v>699.36726719584647</v>
      </c>
      <c r="K85" s="2">
        <v>699.36726719584647</v>
      </c>
      <c r="L85">
        <v>699.36726719584647</v>
      </c>
      <c r="M85" s="2">
        <v>0.60608567481584175</v>
      </c>
      <c r="N85" s="2">
        <v>0.60608567481584175</v>
      </c>
      <c r="O85">
        <v>0.60608567481584175</v>
      </c>
      <c r="P85">
        <v>0</v>
      </c>
      <c r="Q85">
        <v>0</v>
      </c>
      <c r="R85">
        <v>0</v>
      </c>
    </row>
    <row r="86" spans="1:18" outlineLevel="1" x14ac:dyDescent="0.25">
      <c r="A86" s="55">
        <v>28</v>
      </c>
      <c r="B86" s="57">
        <f t="shared" si="2"/>
        <v>172.01539823306027</v>
      </c>
      <c r="C86" s="2">
        <v>233.15188837139507</v>
      </c>
      <c r="D86" s="2">
        <v>130</v>
      </c>
      <c r="E86" s="2">
        <v>130</v>
      </c>
      <c r="F86">
        <v>130</v>
      </c>
      <c r="G86" s="2">
        <v>1.4100990777053124</v>
      </c>
      <c r="H86" s="10">
        <v>1.4100990777053124</v>
      </c>
      <c r="I86">
        <v>1.4100990777053124</v>
      </c>
      <c r="J86" s="2">
        <v>699.99109680027652</v>
      </c>
      <c r="K86" s="2">
        <v>699.99109680027652</v>
      </c>
      <c r="L86">
        <v>699.99109680027652</v>
      </c>
      <c r="M86" s="2">
        <v>0.61067707858150111</v>
      </c>
      <c r="N86" s="2">
        <v>0.61067707858150111</v>
      </c>
      <c r="O86">
        <v>0.61067707858150111</v>
      </c>
      <c r="P86">
        <v>0</v>
      </c>
      <c r="Q86">
        <v>0</v>
      </c>
      <c r="R86">
        <v>0</v>
      </c>
    </row>
    <row r="87" spans="1:18" outlineLevel="1" x14ac:dyDescent="0.25">
      <c r="A87" s="55">
        <v>29</v>
      </c>
      <c r="B87" s="57">
        <f t="shared" si="2"/>
        <v>181.86036759974795</v>
      </c>
      <c r="C87" s="2">
        <v>238.2940508043647</v>
      </c>
      <c r="D87" s="2">
        <v>130</v>
      </c>
      <c r="E87" s="2">
        <v>130</v>
      </c>
      <c r="F87">
        <v>130</v>
      </c>
      <c r="G87" s="2">
        <v>1.4088966149871167</v>
      </c>
      <c r="H87" s="10">
        <v>1.4088966149871167</v>
      </c>
      <c r="I87">
        <v>1.4088966149871167</v>
      </c>
      <c r="J87" s="2">
        <v>700.5885240266731</v>
      </c>
      <c r="K87" s="2">
        <v>700.5885240266731</v>
      </c>
      <c r="L87">
        <v>700.5885240266731</v>
      </c>
      <c r="M87" s="2">
        <v>0.61536523596598403</v>
      </c>
      <c r="N87" s="2">
        <v>0.61536523596598403</v>
      </c>
      <c r="O87">
        <v>0.61536523596598403</v>
      </c>
      <c r="P87">
        <v>0</v>
      </c>
      <c r="Q87">
        <v>0</v>
      </c>
      <c r="R87">
        <v>0</v>
      </c>
    </row>
    <row r="88" spans="1:18" outlineLevel="1" x14ac:dyDescent="0.25">
      <c r="A88" s="55">
        <v>30</v>
      </c>
      <c r="B88" s="57">
        <f t="shared" si="2"/>
        <v>191.70533696643562</v>
      </c>
      <c r="C88" s="2">
        <v>243.43621323733433</v>
      </c>
      <c r="D88" s="2">
        <v>130</v>
      </c>
      <c r="E88" s="2">
        <v>130</v>
      </c>
      <c r="F88">
        <v>130</v>
      </c>
      <c r="G88" s="2">
        <v>1.4077459134426862</v>
      </c>
      <c r="H88" s="10">
        <v>1.4077459134426862</v>
      </c>
      <c r="I88">
        <v>1.4077459134426862</v>
      </c>
      <c r="J88" s="2">
        <v>701.16119008019143</v>
      </c>
      <c r="K88" s="2">
        <v>701.16119008019143</v>
      </c>
      <c r="L88">
        <v>701.16119008019143</v>
      </c>
      <c r="M88" s="2">
        <v>0.62014812909724837</v>
      </c>
      <c r="N88" s="2">
        <v>0.62014812909724837</v>
      </c>
      <c r="O88">
        <v>0.62014812909724837</v>
      </c>
      <c r="P88">
        <v>0</v>
      </c>
      <c r="Q88">
        <v>0</v>
      </c>
      <c r="R88">
        <v>0</v>
      </c>
    </row>
    <row r="89" spans="1:18" outlineLevel="1" x14ac:dyDescent="0.25">
      <c r="A89" s="55">
        <v>31</v>
      </c>
      <c r="B89" s="57">
        <f t="shared" si="2"/>
        <v>201.5503063331233</v>
      </c>
      <c r="C89" s="2">
        <v>248.57837567030396</v>
      </c>
      <c r="D89" s="2">
        <v>130</v>
      </c>
      <c r="E89" s="2">
        <v>130</v>
      </c>
      <c r="F89">
        <v>130</v>
      </c>
      <c r="G89" s="2">
        <v>1.4066437016854056</v>
      </c>
      <c r="H89" s="10">
        <v>1.4066437016854056</v>
      </c>
      <c r="I89">
        <v>1.4066437016854056</v>
      </c>
      <c r="J89" s="2">
        <v>701.71060291766355</v>
      </c>
      <c r="K89" s="2">
        <v>701.71060291766355</v>
      </c>
      <c r="L89">
        <v>701.71060291766355</v>
      </c>
      <c r="M89" s="2">
        <v>0.62502380579738293</v>
      </c>
      <c r="N89" s="2">
        <v>0.62502380579738293</v>
      </c>
      <c r="O89">
        <v>0.62502380579738293</v>
      </c>
      <c r="P89">
        <v>0</v>
      </c>
      <c r="Q89">
        <v>0</v>
      </c>
      <c r="R89">
        <v>0</v>
      </c>
    </row>
    <row r="90" spans="1:18" outlineLevel="1" x14ac:dyDescent="0.25">
      <c r="A90" s="55">
        <v>32</v>
      </c>
      <c r="B90" s="57">
        <f t="shared" si="2"/>
        <v>211.39527569981098</v>
      </c>
      <c r="C90" s="2">
        <v>253.72053810327358</v>
      </c>
      <c r="D90" s="2">
        <v>130</v>
      </c>
      <c r="E90" s="2">
        <v>130</v>
      </c>
      <c r="F90">
        <v>130</v>
      </c>
      <c r="G90" s="2">
        <v>1.4055869782883672</v>
      </c>
      <c r="H90" s="10">
        <v>1.4055869782883672</v>
      </c>
      <c r="I90">
        <v>1.4055869782883672</v>
      </c>
      <c r="J90" s="2">
        <v>702.23815049992413</v>
      </c>
      <c r="K90" s="2">
        <v>702.23815049992413</v>
      </c>
      <c r="L90">
        <v>702.23815049992413</v>
      </c>
      <c r="M90" s="2">
        <v>0.62999037380240752</v>
      </c>
      <c r="N90" s="2">
        <v>0.62999037380240752</v>
      </c>
      <c r="O90">
        <v>0.62999037380240752</v>
      </c>
      <c r="P90">
        <v>0</v>
      </c>
      <c r="Q90">
        <v>0</v>
      </c>
      <c r="R90">
        <v>0</v>
      </c>
    </row>
    <row r="91" spans="1:18" outlineLevel="1" x14ac:dyDescent="0.25">
      <c r="A91" s="55">
        <v>33</v>
      </c>
      <c r="B91" s="57">
        <f t="shared" si="2"/>
        <v>221.24024506649866</v>
      </c>
      <c r="C91" s="2">
        <v>258.86270053624321</v>
      </c>
      <c r="D91" s="2">
        <v>130</v>
      </c>
      <c r="E91" s="2">
        <v>130</v>
      </c>
      <c r="F91">
        <v>130</v>
      </c>
      <c r="G91" s="2">
        <v>1.4045729845030741</v>
      </c>
      <c r="H91" s="10">
        <v>1.4045729845030741</v>
      </c>
      <c r="I91">
        <v>1.4045729845030741</v>
      </c>
      <c r="J91" s="2">
        <v>702.74511249353998</v>
      </c>
      <c r="K91" s="2">
        <v>702.74511249353998</v>
      </c>
      <c r="L91">
        <v>702.74511249353998</v>
      </c>
      <c r="M91" s="2">
        <v>0.63504599545364859</v>
      </c>
      <c r="N91" s="2">
        <v>0.63504599545364859</v>
      </c>
      <c r="O91">
        <v>0.63504599545364859</v>
      </c>
      <c r="P91">
        <v>0</v>
      </c>
      <c r="Q91">
        <v>0</v>
      </c>
      <c r="R91">
        <v>0</v>
      </c>
    </row>
    <row r="92" spans="1:18" outlineLevel="1" x14ac:dyDescent="0.25">
      <c r="A92" s="55">
        <v>34</v>
      </c>
      <c r="B92" s="57">
        <f t="shared" si="2"/>
        <v>231.08521443318634</v>
      </c>
      <c r="C92" s="2">
        <v>264.00486296921281</v>
      </c>
      <c r="D92" s="2">
        <v>130</v>
      </c>
      <c r="E92" s="2">
        <v>130</v>
      </c>
      <c r="F92">
        <v>130</v>
      </c>
      <c r="G92" s="2">
        <v>1.40359918022066</v>
      </c>
      <c r="H92" s="10">
        <v>1.40359918022066</v>
      </c>
      <c r="I92">
        <v>1.40359918022066</v>
      </c>
      <c r="J92" s="2">
        <v>703.23267062953448</v>
      </c>
      <c r="K92" s="2">
        <v>703.23267062953448</v>
      </c>
      <c r="L92">
        <v>703.23267062953448</v>
      </c>
      <c r="M92" s="2">
        <v>0.64018888281774511</v>
      </c>
      <c r="N92" s="2">
        <v>0.64018888281774511</v>
      </c>
      <c r="O92">
        <v>0.64018888281774511</v>
      </c>
      <c r="P92">
        <v>0</v>
      </c>
      <c r="Q92">
        <v>0</v>
      </c>
      <c r="R92">
        <v>0</v>
      </c>
    </row>
    <row r="93" spans="1:18" outlineLevel="1" x14ac:dyDescent="0.25">
      <c r="A93" s="55">
        <v>35</v>
      </c>
      <c r="B93" s="57">
        <f t="shared" si="2"/>
        <v>240.93018379987402</v>
      </c>
      <c r="C93" s="2">
        <v>269.14702540218241</v>
      </c>
      <c r="D93" s="2">
        <v>130</v>
      </c>
      <c r="E93" s="2">
        <v>130</v>
      </c>
      <c r="F93">
        <v>130</v>
      </c>
      <c r="G93" s="2">
        <v>1.402663222734774</v>
      </c>
      <c r="H93" s="10">
        <v>1.402663222734774</v>
      </c>
      <c r="I93">
        <v>1.402663222734774</v>
      </c>
      <c r="J93" s="2">
        <v>703.70191789554042</v>
      </c>
      <c r="K93" s="2">
        <v>703.70191789554042</v>
      </c>
      <c r="L93">
        <v>703.70191789554042</v>
      </c>
      <c r="M93" s="2">
        <v>0.64541729319702246</v>
      </c>
      <c r="N93" s="2">
        <v>0.64541729319702246</v>
      </c>
      <c r="O93">
        <v>0.64541729319702246</v>
      </c>
      <c r="P93">
        <v>0</v>
      </c>
      <c r="Q93">
        <v>0</v>
      </c>
      <c r="R93">
        <v>0</v>
      </c>
    </row>
    <row r="94" spans="1:18" outlineLevel="1" x14ac:dyDescent="0.25">
      <c r="A94" s="55">
        <v>36</v>
      </c>
      <c r="B94" s="57">
        <f t="shared" si="2"/>
        <v>250.77515316656169</v>
      </c>
      <c r="C94" s="2">
        <v>274.28918783515201</v>
      </c>
      <c r="D94" s="2">
        <v>130</v>
      </c>
      <c r="E94" s="2">
        <v>130</v>
      </c>
      <c r="F94">
        <v>130</v>
      </c>
      <c r="G94" s="2">
        <v>1.401762947932474</v>
      </c>
      <c r="H94" s="10">
        <v>1.401762947932474</v>
      </c>
      <c r="I94">
        <v>1.401762947932474</v>
      </c>
      <c r="J94" s="2">
        <v>704.15386671181204</v>
      </c>
      <c r="K94" s="2">
        <v>704.15386671181204</v>
      </c>
      <c r="L94">
        <v>704.15386671181204</v>
      </c>
      <c r="M94" s="2">
        <v>0.65072952499606274</v>
      </c>
      <c r="N94" s="2">
        <v>0.65072952499606274</v>
      </c>
      <c r="O94">
        <v>0.65072952499606274</v>
      </c>
      <c r="P94">
        <v>0</v>
      </c>
      <c r="Q94">
        <v>0</v>
      </c>
      <c r="R94">
        <v>0</v>
      </c>
    </row>
    <row r="95" spans="1:18" outlineLevel="1" x14ac:dyDescent="0.25">
      <c r="A95" s="55">
        <v>37</v>
      </c>
      <c r="B95" s="57">
        <f t="shared" si="2"/>
        <v>260.62012253324934</v>
      </c>
      <c r="C95" s="2">
        <v>279.43135026812161</v>
      </c>
      <c r="D95" s="2">
        <v>130</v>
      </c>
      <c r="E95" s="2">
        <v>130</v>
      </c>
      <c r="F95">
        <v>130</v>
      </c>
      <c r="G95" s="2">
        <v>1.4008963535953527</v>
      </c>
      <c r="H95" s="10">
        <v>1.4008963535953527</v>
      </c>
      <c r="I95">
        <v>1.4008963535953527</v>
      </c>
      <c r="J95" s="2">
        <v>704.5894562197642</v>
      </c>
      <c r="K95" s="2">
        <v>704.5894562197642</v>
      </c>
      <c r="L95">
        <v>704.5894562197642</v>
      </c>
      <c r="M95" s="2">
        <v>0.65612391391389813</v>
      </c>
      <c r="N95" s="2">
        <v>0.65612391391389813</v>
      </c>
      <c r="O95">
        <v>0.65612391391389813</v>
      </c>
      <c r="P95">
        <v>0</v>
      </c>
      <c r="Q95">
        <v>0</v>
      </c>
      <c r="R95">
        <v>0</v>
      </c>
    </row>
    <row r="96" spans="1:18" outlineLevel="1" x14ac:dyDescent="0.25">
      <c r="A96" s="55">
        <v>38</v>
      </c>
      <c r="B96" s="57">
        <f t="shared" si="2"/>
        <v>270.46509189993702</v>
      </c>
      <c r="C96" s="2">
        <v>284.5735127010912</v>
      </c>
      <c r="D96" s="2">
        <v>130</v>
      </c>
      <c r="E96" s="2">
        <v>130</v>
      </c>
      <c r="F96">
        <v>130</v>
      </c>
      <c r="G96" s="2">
        <v>1.4000615845397781</v>
      </c>
      <c r="H96" s="10">
        <v>1.4000615845397781</v>
      </c>
      <c r="I96">
        <v>1.4000615845397781</v>
      </c>
      <c r="J96" s="2">
        <v>705.00955879341609</v>
      </c>
      <c r="K96" s="2">
        <v>705.00955879341609</v>
      </c>
      <c r="L96">
        <v>705.00955879341609</v>
      </c>
      <c r="M96" s="2">
        <v>0.66159882943440962</v>
      </c>
      <c r="N96" s="2">
        <v>0.66159882943440962</v>
      </c>
      <c r="O96">
        <v>0.66159882943440962</v>
      </c>
      <c r="P96">
        <v>0</v>
      </c>
      <c r="Q96">
        <v>0</v>
      </c>
      <c r="R96">
        <v>0</v>
      </c>
    </row>
    <row r="97" spans="1:18" outlineLevel="1" x14ac:dyDescent="0.25">
      <c r="A97" s="55">
        <v>39</v>
      </c>
      <c r="B97" s="57">
        <f t="shared" si="2"/>
        <v>280.3100612666247</v>
      </c>
      <c r="C97" s="2">
        <v>289.7156751340608</v>
      </c>
      <c r="D97" s="2">
        <v>130</v>
      </c>
      <c r="E97" s="2">
        <v>130</v>
      </c>
      <c r="F97">
        <v>130</v>
      </c>
      <c r="G97" s="2">
        <v>1.399256919364221</v>
      </c>
      <c r="H97" s="10">
        <v>1.399256919364221</v>
      </c>
      <c r="I97">
        <v>1.399256919364221</v>
      </c>
      <c r="J97" s="2">
        <v>705.41498586870523</v>
      </c>
      <c r="K97" s="2">
        <v>705.41498586870523</v>
      </c>
      <c r="L97">
        <v>705.41498586870523</v>
      </c>
      <c r="M97" s="2">
        <v>0.66715267159031022</v>
      </c>
      <c r="N97" s="2">
        <v>0.66715267159031022</v>
      </c>
      <c r="O97">
        <v>0.66715267159031022</v>
      </c>
      <c r="P97">
        <v>0</v>
      </c>
      <c r="Q97">
        <v>0</v>
      </c>
      <c r="R97">
        <v>0</v>
      </c>
    </row>
    <row r="98" spans="1:18" outlineLevel="1" x14ac:dyDescent="0.25">
      <c r="A98" s="55">
        <v>40</v>
      </c>
      <c r="B98" s="57">
        <f t="shared" si="2"/>
        <v>290.15503063331238</v>
      </c>
      <c r="C98" s="2">
        <v>294.8578375670304</v>
      </c>
      <c r="D98" s="2">
        <v>130</v>
      </c>
      <c r="E98" s="2">
        <v>130</v>
      </c>
      <c r="F98">
        <v>130</v>
      </c>
      <c r="G98" s="2">
        <v>1.3984807586044941</v>
      </c>
      <c r="H98" s="10">
        <v>1.3984807586044941</v>
      </c>
      <c r="I98">
        <v>1.3984807586044941</v>
      </c>
      <c r="J98" s="2">
        <v>705.80649317260338</v>
      </c>
      <c r="K98" s="2">
        <v>705.80649317260338</v>
      </c>
      <c r="L98">
        <v>705.80649317260338</v>
      </c>
      <c r="M98" s="2">
        <v>0.67278386797854128</v>
      </c>
      <c r="N98" s="2">
        <v>0.67278386797854128</v>
      </c>
      <c r="O98">
        <v>0.67278386797854128</v>
      </c>
      <c r="P98">
        <v>0</v>
      </c>
      <c r="Q98">
        <v>0</v>
      </c>
      <c r="R98">
        <v>0</v>
      </c>
    </row>
    <row r="99" spans="1:18" outlineLevel="1" x14ac:dyDescent="0.25">
      <c r="A99" s="55">
        <v>41</v>
      </c>
      <c r="B99" s="56">
        <v>300</v>
      </c>
      <c r="C99" s="2">
        <v>300</v>
      </c>
      <c r="D99" s="2">
        <v>130</v>
      </c>
      <c r="E99" s="2">
        <v>130</v>
      </c>
      <c r="F99">
        <v>130</v>
      </c>
      <c r="G99" s="2">
        <v>1.3977316141254568</v>
      </c>
      <c r="H99" s="10">
        <v>1.3977316141254568</v>
      </c>
      <c r="I99">
        <v>1.3977316141254568</v>
      </c>
      <c r="J99" s="2">
        <v>706.18478542290757</v>
      </c>
      <c r="K99" s="2">
        <v>706.18478542290757</v>
      </c>
      <c r="L99">
        <v>706.18478542290757</v>
      </c>
      <c r="M99" s="2">
        <v>0.67849087100709848</v>
      </c>
      <c r="N99" s="2">
        <v>0.67849087100709848</v>
      </c>
      <c r="O99">
        <v>0.67849087100709848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180975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28575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AA31" sqref="AA31"/>
    </sheetView>
  </sheetViews>
  <sheetFormatPr defaultRowHeight="15" x14ac:dyDescent="0.25"/>
  <sheetData>
    <row r="1" spans="1:16" x14ac:dyDescent="0.25">
      <c r="A1" t="str">
        <f>версия_</f>
        <v>вер 7.21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9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5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9">
        <v>150</v>
      </c>
      <c r="J19" s="18">
        <v>0</v>
      </c>
      <c r="K19" s="59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9">
        <v>125</v>
      </c>
      <c r="J20" s="18">
        <v>500</v>
      </c>
      <c r="K20" s="59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9">
        <v>125</v>
      </c>
      <c r="J21" s="18">
        <v>2500</v>
      </c>
      <c r="K21" s="59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6"/>
      <c r="N39" s="16"/>
    </row>
    <row r="40" spans="1:29" x14ac:dyDescent="0.25">
      <c r="A40" s="11"/>
      <c r="B40" s="18"/>
      <c r="C40" s="18"/>
      <c r="G40" s="1"/>
      <c r="M40" s="16"/>
      <c r="N40" s="16"/>
    </row>
    <row r="41" spans="1:29" x14ac:dyDescent="0.25">
      <c r="A41" s="11"/>
      <c r="B41" s="18"/>
      <c r="C41" s="18"/>
      <c r="G41" s="1"/>
      <c r="M41" s="16"/>
      <c r="N41" s="16"/>
    </row>
    <row r="42" spans="1:29" x14ac:dyDescent="0.25">
      <c r="A42" s="11"/>
      <c r="B42" s="18"/>
      <c r="C42" s="18"/>
      <c r="G42" s="1"/>
      <c r="M42" s="16"/>
      <c r="N42" s="16"/>
    </row>
    <row r="43" spans="1:29" x14ac:dyDescent="0.25">
      <c r="A43" s="11"/>
      <c r="B43" s="18"/>
      <c r="C43" s="18"/>
      <c r="G43" s="1"/>
      <c r="M43" s="16"/>
      <c r="N43" s="16"/>
    </row>
    <row r="44" spans="1:29" x14ac:dyDescent="0.25">
      <c r="A44" s="11"/>
      <c r="B44" s="18"/>
      <c r="C44" s="18"/>
      <c r="G44" s="1"/>
      <c r="M44" s="16"/>
      <c r="N44" s="16"/>
    </row>
    <row r="45" spans="1:29" x14ac:dyDescent="0.25">
      <c r="A45" s="11"/>
      <c r="B45" s="18"/>
      <c r="C45" s="18"/>
      <c r="G45" s="1"/>
      <c r="M45" s="16"/>
      <c r="N45" s="16"/>
    </row>
    <row r="46" spans="1:29" x14ac:dyDescent="0.25">
      <c r="A46" s="11"/>
      <c r="B46" s="18"/>
      <c r="C46" s="18"/>
      <c r="G46" s="1"/>
    </row>
    <row r="47" spans="1:29" x14ac:dyDescent="0.25">
      <c r="A47" s="11"/>
      <c r="B47" s="18"/>
      <c r="C47" s="18"/>
      <c r="G47" s="1"/>
    </row>
    <row r="48" spans="1:29" x14ac:dyDescent="0.25">
      <c r="A48" s="11"/>
      <c r="B48" s="18"/>
      <c r="C48" s="18"/>
      <c r="G48" s="1"/>
    </row>
    <row r="49" spans="1:7" x14ac:dyDescent="0.25">
      <c r="A49" s="11"/>
      <c r="B49" s="18"/>
      <c r="C49" s="18"/>
      <c r="G49" s="1"/>
    </row>
    <row r="50" spans="1:7" x14ac:dyDescent="0.25">
      <c r="A50" s="11"/>
      <c r="B50" s="18"/>
      <c r="C50" s="18"/>
      <c r="G50" s="1"/>
    </row>
    <row r="51" spans="1:7" x14ac:dyDescent="0.25">
      <c r="A51" s="11"/>
      <c r="B51" s="18"/>
      <c r="C51" s="18"/>
      <c r="G51" s="1"/>
    </row>
    <row r="52" spans="1:7" x14ac:dyDescent="0.25">
      <c r="A52" s="11"/>
      <c r="B52" s="18"/>
      <c r="C52" s="18"/>
      <c r="G52" s="1"/>
    </row>
    <row r="53" spans="1:7" x14ac:dyDescent="0.25">
      <c r="A53" s="11"/>
      <c r="B53" s="18"/>
      <c r="C53" s="18"/>
      <c r="G53" s="1"/>
    </row>
    <row r="54" spans="1:7" x14ac:dyDescent="0.25">
      <c r="A54" s="11"/>
      <c r="B54" s="18"/>
      <c r="C54" s="18"/>
      <c r="G54" s="1"/>
    </row>
    <row r="55" spans="1:7" x14ac:dyDescent="0.25">
      <c r="A55" s="11"/>
      <c r="B55" s="18"/>
      <c r="C55" s="18"/>
      <c r="G55" s="1"/>
    </row>
    <row r="56" spans="1:7" x14ac:dyDescent="0.25">
      <c r="A56" s="11"/>
      <c r="B56" s="18"/>
      <c r="C56" s="18"/>
      <c r="G56" s="1"/>
    </row>
    <row r="57" spans="1:7" x14ac:dyDescent="0.25">
      <c r="A57" s="11"/>
      <c r="B57" s="18"/>
      <c r="C57" s="18"/>
      <c r="G57" s="1"/>
    </row>
    <row r="58" spans="1:7" x14ac:dyDescent="0.25">
      <c r="A58" s="11"/>
      <c r="B58" s="18"/>
      <c r="C58" s="18"/>
      <c r="G58" s="1"/>
    </row>
    <row r="59" spans="1:7" x14ac:dyDescent="0.25">
      <c r="A59" s="11"/>
      <c r="B59" s="18"/>
      <c r="C59" s="18"/>
      <c r="G59" s="1"/>
    </row>
    <row r="60" spans="1:7" x14ac:dyDescent="0.25">
      <c r="A60" s="11"/>
      <c r="B60" s="18"/>
      <c r="C60" s="18"/>
      <c r="G60" s="1"/>
    </row>
    <row r="61" spans="1:7" x14ac:dyDescent="0.25">
      <c r="A61" s="11"/>
      <c r="B61" s="18"/>
      <c r="C61" s="18"/>
      <c r="G61" s="1"/>
    </row>
    <row r="62" spans="1:7" x14ac:dyDescent="0.25">
      <c r="A62" s="11"/>
      <c r="B62" s="18"/>
      <c r="C62" s="18"/>
      <c r="G62" s="1"/>
    </row>
    <row r="63" spans="1:7" x14ac:dyDescent="0.25">
      <c r="A63" s="11"/>
      <c r="B63" s="18"/>
      <c r="C63" s="18"/>
      <c r="G63" s="1"/>
    </row>
    <row r="64" spans="1:7" x14ac:dyDescent="0.25">
      <c r="A64" s="11"/>
      <c r="B64" s="18"/>
      <c r="C64" s="18"/>
      <c r="G64" s="1"/>
    </row>
    <row r="65" spans="1:7" x14ac:dyDescent="0.25">
      <c r="A65" s="11"/>
      <c r="B65" s="18"/>
      <c r="C65" s="18"/>
      <c r="G65" s="1"/>
    </row>
    <row r="66" spans="1:7" x14ac:dyDescent="0.25">
      <c r="A66" s="11"/>
      <c r="B66" s="18"/>
      <c r="C66" s="18"/>
      <c r="G66" s="1"/>
    </row>
    <row r="67" spans="1:7" x14ac:dyDescent="0.25">
      <c r="A67" s="11"/>
      <c r="B67" s="18"/>
      <c r="C67" s="18"/>
      <c r="G67" s="1"/>
    </row>
    <row r="68" spans="1:7" x14ac:dyDescent="0.25">
      <c r="A68" s="11"/>
      <c r="B68" s="18"/>
      <c r="C68" s="18"/>
      <c r="G68" s="1"/>
    </row>
    <row r="69" spans="1:7" x14ac:dyDescent="0.25">
      <c r="A69" s="11"/>
      <c r="B69" s="18"/>
      <c r="C69" s="18"/>
      <c r="G69" s="1"/>
    </row>
    <row r="70" spans="1:7" x14ac:dyDescent="0.25">
      <c r="A70" s="11"/>
      <c r="B70" s="18"/>
      <c r="C70" s="18"/>
      <c r="G70" s="1"/>
    </row>
    <row r="71" spans="1:7" x14ac:dyDescent="0.25">
      <c r="A71" s="11"/>
      <c r="B71" s="18"/>
      <c r="C71" s="18"/>
      <c r="G71" s="1"/>
    </row>
    <row r="72" spans="1:7" x14ac:dyDescent="0.25">
      <c r="A72" s="11"/>
      <c r="B72" s="18"/>
      <c r="C72" s="18"/>
      <c r="G72" s="1"/>
    </row>
    <row r="73" spans="1:7" x14ac:dyDescent="0.25">
      <c r="A73" s="11"/>
      <c r="B73" s="18"/>
      <c r="C73" s="18"/>
      <c r="G73" s="1"/>
    </row>
    <row r="74" spans="1:7" x14ac:dyDescent="0.25">
      <c r="A74" s="11"/>
      <c r="B74" s="18"/>
      <c r="C74" s="18"/>
      <c r="G74" s="1"/>
    </row>
    <row r="75" spans="1:7" x14ac:dyDescent="0.25">
      <c r="A75" s="11"/>
      <c r="B75" s="18"/>
      <c r="C75" s="18"/>
      <c r="G75" s="1"/>
    </row>
    <row r="76" spans="1:7" x14ac:dyDescent="0.25">
      <c r="A76" s="11"/>
      <c r="B76" s="18"/>
      <c r="C76" s="18"/>
      <c r="G76" s="1"/>
    </row>
    <row r="77" spans="1:7" x14ac:dyDescent="0.25">
      <c r="A77" s="11"/>
      <c r="B77" s="18"/>
      <c r="C77" s="18"/>
      <c r="G77" s="1"/>
    </row>
    <row r="78" spans="1:7" x14ac:dyDescent="0.25">
      <c r="A78" s="11"/>
      <c r="B78" s="18"/>
      <c r="C78" s="18"/>
      <c r="G78" s="1"/>
    </row>
    <row r="79" spans="1:7" x14ac:dyDescent="0.25">
      <c r="A79" s="11"/>
      <c r="B79" s="18"/>
      <c r="C79" s="18"/>
      <c r="G79" s="1"/>
    </row>
    <row r="80" spans="1:7" x14ac:dyDescent="0.25">
      <c r="A80" s="11"/>
      <c r="B80" s="18"/>
      <c r="C80" s="18"/>
      <c r="G80" s="1"/>
    </row>
    <row r="81" spans="1:7" x14ac:dyDescent="0.25">
      <c r="A81" s="11"/>
      <c r="B81" s="18"/>
      <c r="C81" s="18"/>
      <c r="G81" s="1"/>
    </row>
    <row r="82" spans="1:7" x14ac:dyDescent="0.25">
      <c r="A82" s="11"/>
      <c r="B82" s="18"/>
      <c r="C82" s="18"/>
      <c r="G82" s="1"/>
    </row>
    <row r="83" spans="1:7" x14ac:dyDescent="0.25">
      <c r="A83" s="11"/>
      <c r="B83" s="18"/>
      <c r="C83" s="18"/>
      <c r="G83" s="1"/>
    </row>
    <row r="84" spans="1:7" x14ac:dyDescent="0.25">
      <c r="A84" s="11"/>
      <c r="B84" s="18"/>
      <c r="C84" s="18"/>
      <c r="G84" s="1"/>
    </row>
    <row r="85" spans="1:7" x14ac:dyDescent="0.25">
      <c r="A85" s="11"/>
      <c r="B85" s="18"/>
      <c r="C85" s="18"/>
      <c r="G85" s="1"/>
    </row>
    <row r="86" spans="1:7" x14ac:dyDescent="0.25">
      <c r="A86" s="11"/>
      <c r="B86" s="18"/>
      <c r="C86" s="18"/>
      <c r="G86" s="1"/>
    </row>
    <row r="87" spans="1:7" x14ac:dyDescent="0.25">
      <c r="A87" s="11"/>
      <c r="B87" s="18"/>
      <c r="C87" s="18"/>
      <c r="G87" s="1"/>
    </row>
    <row r="88" spans="1:7" x14ac:dyDescent="0.25">
      <c r="A88" s="11"/>
      <c r="B88" s="18"/>
      <c r="C88" s="18"/>
      <c r="G88" s="1"/>
    </row>
    <row r="89" spans="1:7" x14ac:dyDescent="0.25">
      <c r="A89" s="11"/>
      <c r="B89" s="18"/>
      <c r="C89" s="18"/>
      <c r="G89" s="1"/>
    </row>
    <row r="90" spans="1:7" x14ac:dyDescent="0.25">
      <c r="A90" s="11"/>
      <c r="B90" s="18"/>
      <c r="C90" s="18"/>
      <c r="G90" s="1"/>
    </row>
    <row r="91" spans="1:7" x14ac:dyDescent="0.25">
      <c r="A91" s="11"/>
      <c r="B91" s="18"/>
      <c r="C91" s="18"/>
      <c r="G91" s="1"/>
    </row>
    <row r="92" spans="1:7" x14ac:dyDescent="0.25">
      <c r="A92" s="11"/>
      <c r="B92" s="18"/>
      <c r="C92" s="18"/>
      <c r="G92" s="1"/>
    </row>
    <row r="93" spans="1:7" x14ac:dyDescent="0.25">
      <c r="A93" s="11"/>
      <c r="B93" s="18"/>
      <c r="C93" s="18"/>
      <c r="G93" s="1"/>
    </row>
    <row r="94" spans="1:7" x14ac:dyDescent="0.25">
      <c r="A94" s="11"/>
      <c r="B94" s="18"/>
      <c r="C94" s="18"/>
      <c r="G94" s="1"/>
    </row>
    <row r="95" spans="1:7" x14ac:dyDescent="0.25">
      <c r="A95" s="11"/>
      <c r="B95" s="18"/>
      <c r="C95" s="18"/>
      <c r="G95" s="1"/>
    </row>
    <row r="96" spans="1:7" x14ac:dyDescent="0.25">
      <c r="A96" s="11"/>
      <c r="B96" s="18"/>
      <c r="C96" s="18"/>
      <c r="G96" s="1"/>
    </row>
    <row r="97" spans="1:7" x14ac:dyDescent="0.25">
      <c r="A97" s="11"/>
      <c r="B97" s="18"/>
      <c r="C97" s="18"/>
      <c r="G97" s="1"/>
    </row>
    <row r="98" spans="1:7" x14ac:dyDescent="0.25">
      <c r="A98" s="11"/>
      <c r="B98" s="18"/>
      <c r="C98" s="18"/>
      <c r="G98" s="1"/>
    </row>
    <row r="99" spans="1:7" x14ac:dyDescent="0.25">
      <c r="A99" s="11"/>
      <c r="B99" s="18"/>
      <c r="C99" s="18"/>
      <c r="G99" s="1"/>
    </row>
    <row r="100" spans="1:7" x14ac:dyDescent="0.25">
      <c r="A100" s="11"/>
      <c r="B100" s="18"/>
      <c r="C100" s="18"/>
      <c r="G100" s="1"/>
    </row>
    <row r="101" spans="1:7" x14ac:dyDescent="0.25">
      <c r="A101" s="11"/>
      <c r="B101" s="18"/>
      <c r="C101" s="18"/>
      <c r="G101" s="1"/>
    </row>
    <row r="102" spans="1:7" x14ac:dyDescent="0.25">
      <c r="A102" s="11"/>
      <c r="B102" s="18"/>
      <c r="C102" s="18"/>
      <c r="G102" s="1"/>
    </row>
    <row r="103" spans="1:7" x14ac:dyDescent="0.25">
      <c r="A103" s="11"/>
      <c r="B103" s="18"/>
      <c r="C103" s="18"/>
      <c r="G103" s="1"/>
    </row>
    <row r="104" spans="1:7" x14ac:dyDescent="0.25">
      <c r="A104" s="11"/>
      <c r="B104" s="18"/>
      <c r="C104" s="18"/>
      <c r="G104" s="1"/>
    </row>
    <row r="105" spans="1:7" x14ac:dyDescent="0.25">
      <c r="A105" s="11"/>
      <c r="B105" s="18"/>
      <c r="C105" s="18"/>
      <c r="G105" s="1"/>
    </row>
    <row r="106" spans="1:7" x14ac:dyDescent="0.25">
      <c r="A106" s="11"/>
      <c r="B106" s="18"/>
      <c r="C106" s="18"/>
      <c r="G106" s="1"/>
    </row>
    <row r="107" spans="1:7" x14ac:dyDescent="0.25">
      <c r="A107" s="11"/>
      <c r="B107" s="18"/>
      <c r="C107" s="18"/>
      <c r="G107" s="1"/>
    </row>
    <row r="108" spans="1:7" x14ac:dyDescent="0.25">
      <c r="A108" s="11"/>
      <c r="B108" s="18"/>
      <c r="C108" s="18"/>
      <c r="G108" s="1"/>
    </row>
    <row r="109" spans="1:7" x14ac:dyDescent="0.25">
      <c r="A109" s="11"/>
      <c r="B109" s="18"/>
      <c r="C109" s="18"/>
      <c r="G109" s="1"/>
    </row>
    <row r="110" spans="1:7" x14ac:dyDescent="0.25">
      <c r="A110" s="11"/>
      <c r="B110" s="18"/>
      <c r="C110" s="18"/>
      <c r="G110" s="1"/>
    </row>
    <row r="111" spans="1:7" x14ac:dyDescent="0.25">
      <c r="A111" s="11"/>
      <c r="B111" s="18"/>
      <c r="C111" s="18"/>
      <c r="G111" s="1"/>
    </row>
    <row r="112" spans="1:7" x14ac:dyDescent="0.25">
      <c r="A112" s="11"/>
      <c r="B112" s="18"/>
      <c r="C112" s="18"/>
      <c r="G112" s="1"/>
    </row>
    <row r="113" spans="1:7" x14ac:dyDescent="0.25">
      <c r="A113" s="11"/>
      <c r="B113" s="18"/>
      <c r="C113" s="18"/>
      <c r="G113" s="1"/>
    </row>
    <row r="114" spans="1:7" x14ac:dyDescent="0.25">
      <c r="A114" s="11"/>
      <c r="B114" s="18"/>
      <c r="C114" s="18"/>
      <c r="G114" s="1"/>
    </row>
    <row r="115" spans="1:7" x14ac:dyDescent="0.25">
      <c r="A115" s="11"/>
      <c r="B115" s="18"/>
      <c r="C115" s="18"/>
      <c r="G115" s="1"/>
    </row>
    <row r="116" spans="1:7" x14ac:dyDescent="0.25">
      <c r="A116" s="11"/>
      <c r="B116" s="18"/>
      <c r="C116" s="18"/>
      <c r="G116" s="1"/>
    </row>
    <row r="117" spans="1:7" x14ac:dyDescent="0.25">
      <c r="A117" s="11"/>
      <c r="B117" s="18"/>
      <c r="C117" s="18"/>
      <c r="G117" s="1"/>
    </row>
    <row r="118" spans="1:7" x14ac:dyDescent="0.25">
      <c r="A118" s="11"/>
      <c r="B118" s="18"/>
      <c r="C118" s="18"/>
      <c r="G118" s="1"/>
    </row>
    <row r="119" spans="1:7" x14ac:dyDescent="0.25">
      <c r="A119" s="11"/>
      <c r="B119" s="18"/>
      <c r="C119" s="18"/>
      <c r="G119" s="1"/>
    </row>
    <row r="120" spans="1:7" x14ac:dyDescent="0.25">
      <c r="A120" s="11"/>
      <c r="B120" s="18"/>
      <c r="C120" s="18"/>
      <c r="G120" s="1"/>
    </row>
    <row r="121" spans="1:7" x14ac:dyDescent="0.25">
      <c r="A121" s="11"/>
      <c r="B121" s="18"/>
      <c r="C121" s="18"/>
      <c r="G121" s="1"/>
    </row>
    <row r="122" spans="1:7" x14ac:dyDescent="0.25">
      <c r="A122" s="11"/>
      <c r="B122" s="18"/>
      <c r="C122" s="18"/>
      <c r="G122" s="1"/>
    </row>
    <row r="123" spans="1:7" x14ac:dyDescent="0.25">
      <c r="A123" s="11"/>
      <c r="B123" s="18"/>
      <c r="C123" s="18"/>
      <c r="G123" s="1"/>
    </row>
    <row r="124" spans="1:7" x14ac:dyDescent="0.25">
      <c r="A124" s="11"/>
      <c r="B124" s="18"/>
      <c r="C124" s="18"/>
      <c r="G124" s="1"/>
    </row>
    <row r="125" spans="1:7" x14ac:dyDescent="0.25">
      <c r="A125" s="11"/>
      <c r="B125" s="18"/>
      <c r="C125" s="18"/>
      <c r="G125" s="1"/>
    </row>
    <row r="126" spans="1:7" x14ac:dyDescent="0.25">
      <c r="A126" s="11"/>
      <c r="B126" s="18"/>
      <c r="C126" s="18"/>
      <c r="G126" s="1"/>
    </row>
    <row r="127" spans="1:7" x14ac:dyDescent="0.25">
      <c r="A127" s="11"/>
      <c r="B127" s="18"/>
      <c r="C127" s="18"/>
      <c r="G127" s="1"/>
    </row>
    <row r="128" spans="1:7" x14ac:dyDescent="0.25">
      <c r="A128" s="11"/>
      <c r="B128" s="18"/>
      <c r="C128" s="18"/>
      <c r="G128" s="1"/>
    </row>
    <row r="129" spans="1:7" x14ac:dyDescent="0.25">
      <c r="A129" s="11"/>
      <c r="B129" s="18"/>
      <c r="C129" s="18"/>
      <c r="G129" s="1"/>
    </row>
    <row r="130" spans="1:7" x14ac:dyDescent="0.25">
      <c r="A130" s="11"/>
      <c r="B130" s="18"/>
      <c r="C130" s="18"/>
      <c r="G130" s="1"/>
    </row>
    <row r="131" spans="1:7" x14ac:dyDescent="0.25">
      <c r="A131" s="11"/>
      <c r="B131" s="18"/>
      <c r="C131" s="18"/>
      <c r="G131" s="1"/>
    </row>
    <row r="132" spans="1:7" x14ac:dyDescent="0.25">
      <c r="A132" s="11"/>
      <c r="B132" s="18"/>
      <c r="C132" s="18"/>
      <c r="G132" s="1"/>
    </row>
    <row r="133" spans="1:7" x14ac:dyDescent="0.25">
      <c r="A133" s="11"/>
      <c r="B133" s="18"/>
      <c r="C133" s="18"/>
      <c r="G133" s="1"/>
    </row>
    <row r="134" spans="1:7" x14ac:dyDescent="0.25">
      <c r="A134" s="11"/>
      <c r="B134" s="18"/>
      <c r="C134" s="18"/>
      <c r="G134" s="1"/>
    </row>
    <row r="135" spans="1:7" x14ac:dyDescent="0.25">
      <c r="A135" s="11"/>
      <c r="B135" s="18"/>
      <c r="C135" s="18"/>
      <c r="G135" s="1"/>
    </row>
    <row r="136" spans="1:7" x14ac:dyDescent="0.25">
      <c r="A136" s="11"/>
      <c r="B136" s="18"/>
      <c r="C136" s="18"/>
      <c r="G136" s="1"/>
    </row>
    <row r="137" spans="1:7" x14ac:dyDescent="0.25">
      <c r="A137" s="11"/>
      <c r="B137" s="18"/>
      <c r="C137" s="18"/>
      <c r="G137" s="1"/>
    </row>
    <row r="138" spans="1:7" x14ac:dyDescent="0.25">
      <c r="A138" s="11"/>
      <c r="B138" s="18"/>
      <c r="C138" s="18"/>
      <c r="G138" s="1"/>
    </row>
    <row r="139" spans="1:7" x14ac:dyDescent="0.25">
      <c r="A139" s="11"/>
      <c r="B139" s="18"/>
      <c r="C139" s="18"/>
      <c r="G139" s="1"/>
    </row>
    <row r="140" spans="1:7" x14ac:dyDescent="0.25">
      <c r="A140" s="11"/>
      <c r="B140" s="18"/>
      <c r="C140" s="18"/>
      <c r="G140" s="1"/>
    </row>
    <row r="141" spans="1:7" x14ac:dyDescent="0.25">
      <c r="A141" s="11"/>
      <c r="B141" s="18"/>
      <c r="C141" s="18"/>
      <c r="G141" s="1"/>
    </row>
    <row r="142" spans="1:7" x14ac:dyDescent="0.25">
      <c r="A142" s="11"/>
      <c r="B142" s="18"/>
      <c r="C142" s="18"/>
      <c r="G142" s="1"/>
    </row>
    <row r="143" spans="1:7" x14ac:dyDescent="0.25">
      <c r="A143" s="11"/>
      <c r="B143" s="18"/>
      <c r="C143" s="18"/>
      <c r="G143" s="1"/>
    </row>
    <row r="144" spans="1:7" x14ac:dyDescent="0.25">
      <c r="A144" s="11"/>
      <c r="B144" s="18"/>
      <c r="C144" s="18"/>
      <c r="G144" s="1"/>
    </row>
    <row r="145" spans="1:7" x14ac:dyDescent="0.25">
      <c r="A145" s="11"/>
      <c r="B145" s="18"/>
      <c r="C145" s="18"/>
      <c r="G145" s="1"/>
    </row>
    <row r="146" spans="1:7" x14ac:dyDescent="0.25">
      <c r="A146" s="11"/>
      <c r="B146" s="18"/>
      <c r="C146" s="18"/>
      <c r="G146" s="1"/>
    </row>
    <row r="147" spans="1:7" x14ac:dyDescent="0.25">
      <c r="A147" s="11"/>
      <c r="B147" s="18"/>
      <c r="C147" s="18"/>
      <c r="G147" s="1"/>
    </row>
    <row r="148" spans="1:7" x14ac:dyDescent="0.25">
      <c r="A148" s="11"/>
      <c r="B148" s="18"/>
      <c r="C148" s="18"/>
      <c r="G148" s="1"/>
    </row>
    <row r="149" spans="1:7" x14ac:dyDescent="0.25">
      <c r="A149" s="11"/>
      <c r="B149" s="18"/>
      <c r="C149" s="18"/>
      <c r="G149" s="1"/>
    </row>
    <row r="150" spans="1:7" x14ac:dyDescent="0.25">
      <c r="A150" s="11"/>
      <c r="B150" s="18"/>
      <c r="C150" s="18"/>
      <c r="G150" s="1"/>
    </row>
    <row r="151" spans="1:7" x14ac:dyDescent="0.25">
      <c r="A151" s="11"/>
      <c r="B151" s="18"/>
      <c r="C151" s="18"/>
      <c r="G151" s="1"/>
    </row>
    <row r="152" spans="1:7" x14ac:dyDescent="0.25">
      <c r="A152" s="11"/>
      <c r="B152" s="18"/>
      <c r="C152" s="18"/>
      <c r="G152" s="1"/>
    </row>
    <row r="153" spans="1:7" x14ac:dyDescent="0.25">
      <c r="A153" s="11"/>
      <c r="B153" s="18"/>
      <c r="C153" s="18"/>
      <c r="G153" s="1"/>
    </row>
    <row r="154" spans="1:7" x14ac:dyDescent="0.25">
      <c r="A154" s="11"/>
      <c r="B154" s="18"/>
      <c r="C154" s="18"/>
      <c r="G154" s="1"/>
    </row>
    <row r="155" spans="1:7" x14ac:dyDescent="0.25">
      <c r="A155" s="11"/>
      <c r="B155" s="18"/>
      <c r="C155" s="18"/>
      <c r="G155" s="1"/>
    </row>
    <row r="156" spans="1:7" x14ac:dyDescent="0.25">
      <c r="A156" s="11"/>
      <c r="B156" s="18"/>
      <c r="C156" s="18"/>
      <c r="G156" s="1"/>
    </row>
    <row r="157" spans="1:7" x14ac:dyDescent="0.25">
      <c r="A157" s="11"/>
      <c r="B157" s="18"/>
      <c r="C157" s="18"/>
      <c r="G157" s="1"/>
    </row>
    <row r="158" spans="1:7" x14ac:dyDescent="0.25">
      <c r="A158" s="11"/>
      <c r="B158" s="18"/>
      <c r="C158" s="18"/>
      <c r="G158" s="1"/>
    </row>
    <row r="159" spans="1:7" x14ac:dyDescent="0.25">
      <c r="A159" s="11"/>
      <c r="B159" s="18"/>
      <c r="C159" s="18"/>
      <c r="G159" s="1"/>
    </row>
    <row r="160" spans="1:7" x14ac:dyDescent="0.25">
      <c r="A160" s="11"/>
      <c r="B160" s="18"/>
      <c r="C160" s="18"/>
      <c r="G160" s="1"/>
    </row>
    <row r="161" spans="1:7" x14ac:dyDescent="0.25">
      <c r="A161" s="11"/>
      <c r="B161" s="18"/>
      <c r="C161" s="18"/>
      <c r="G161" s="1"/>
    </row>
    <row r="162" spans="1:7" x14ac:dyDescent="0.25">
      <c r="A162" s="11"/>
      <c r="B162" s="18"/>
      <c r="C162" s="18"/>
      <c r="G162" s="1"/>
    </row>
    <row r="163" spans="1:7" x14ac:dyDescent="0.25">
      <c r="A163" s="11"/>
      <c r="B163" s="18"/>
      <c r="C163" s="18"/>
      <c r="G163" s="1"/>
    </row>
    <row r="164" spans="1:7" x14ac:dyDescent="0.25">
      <c r="A164" s="11"/>
      <c r="B164" s="18"/>
      <c r="C164" s="18"/>
      <c r="G164" s="1"/>
    </row>
    <row r="165" spans="1:7" x14ac:dyDescent="0.25">
      <c r="A165" s="11"/>
      <c r="B165" s="18"/>
      <c r="C165" s="18"/>
      <c r="G165" s="1"/>
    </row>
    <row r="166" spans="1:7" x14ac:dyDescent="0.25">
      <c r="A166" s="11"/>
      <c r="B166" s="18"/>
      <c r="C166" s="18"/>
      <c r="G166" s="1"/>
    </row>
    <row r="167" spans="1:7" x14ac:dyDescent="0.25">
      <c r="A167" s="11"/>
      <c r="B167" s="18"/>
      <c r="C167" s="18"/>
      <c r="G167" s="1"/>
    </row>
    <row r="168" spans="1:7" x14ac:dyDescent="0.25">
      <c r="A168" s="11"/>
      <c r="B168" s="18"/>
      <c r="C168" s="18"/>
      <c r="G168" s="1"/>
    </row>
    <row r="169" spans="1:7" x14ac:dyDescent="0.25">
      <c r="A169" s="11"/>
      <c r="B169" s="18"/>
      <c r="C169" s="18"/>
      <c r="G169" s="1"/>
    </row>
    <row r="170" spans="1:7" x14ac:dyDescent="0.25">
      <c r="A170" s="11"/>
      <c r="B170" s="18"/>
      <c r="C170" s="18"/>
      <c r="G170" s="1"/>
    </row>
    <row r="171" spans="1:7" x14ac:dyDescent="0.25">
      <c r="A171" s="11"/>
      <c r="B171" s="18"/>
      <c r="C171" s="18"/>
      <c r="G171" s="1"/>
    </row>
    <row r="172" spans="1:7" x14ac:dyDescent="0.25">
      <c r="A172" s="11"/>
      <c r="B172" s="18"/>
      <c r="C172" s="18"/>
      <c r="G172" s="1"/>
    </row>
    <row r="173" spans="1:7" x14ac:dyDescent="0.25">
      <c r="A173" s="11"/>
      <c r="B173" s="18"/>
      <c r="C173" s="18"/>
      <c r="G173" s="1"/>
    </row>
    <row r="174" spans="1:7" x14ac:dyDescent="0.25">
      <c r="A174" s="11"/>
      <c r="B174" s="18"/>
      <c r="C174" s="18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Normal="100" workbookViewId="0">
      <selection activeCell="AB51" sqref="AB5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25">
      <c r="P4" s="19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21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12</v>
      </c>
      <c r="D7" s="5" t="s">
        <v>9</v>
      </c>
      <c r="G7" s="21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130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8" x14ac:dyDescent="0.35">
      <c r="B10" s="7" t="s">
        <v>18</v>
      </c>
      <c r="C10" s="13">
        <f>Rp_m3m3_/PVT!gamma_oil_</f>
        <v>151.16279069767441</v>
      </c>
      <c r="D10" s="5" t="s">
        <v>36</v>
      </c>
      <c r="P10" s="15" t="s">
        <v>45</v>
      </c>
      <c r="Q10" s="29">
        <v>5</v>
      </c>
      <c r="R10" s="5" t="s">
        <v>44</v>
      </c>
      <c r="S10" s="15" t="s">
        <v>55</v>
      </c>
      <c r="T10" s="29">
        <v>30</v>
      </c>
      <c r="U10" s="5" t="s">
        <v>25</v>
      </c>
    </row>
    <row r="11" spans="1:34" ht="18" x14ac:dyDescent="0.35">
      <c r="P11" s="15" t="s">
        <v>46</v>
      </c>
      <c r="Q11" s="29">
        <v>20.46875</v>
      </c>
      <c r="R11" s="5" t="s">
        <v>44</v>
      </c>
      <c r="S11" s="15" t="s">
        <v>56</v>
      </c>
      <c r="T11" s="29">
        <v>30</v>
      </c>
      <c r="U11" s="5" t="s">
        <v>25</v>
      </c>
    </row>
    <row r="12" spans="1:34" ht="18" x14ac:dyDescent="0.35">
      <c r="M12" t="s">
        <v>63</v>
      </c>
      <c r="P12" s="15" t="s">
        <v>47</v>
      </c>
      <c r="Q12" s="29">
        <v>204.76402802121007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</row>
    <row r="16" spans="1:34" x14ac:dyDescent="0.25">
      <c r="B16" s="2" t="s">
        <v>59</v>
      </c>
      <c r="C16" s="60">
        <v>0</v>
      </c>
      <c r="D16" s="60">
        <v>0</v>
      </c>
      <c r="E16" s="60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20.46875</v>
      </c>
      <c r="P16">
        <v>0</v>
      </c>
      <c r="Q16">
        <v>30</v>
      </c>
      <c r="R16">
        <v>0</v>
      </c>
      <c r="S16">
        <v>0.35901518543092836</v>
      </c>
      <c r="U16">
        <v>0</v>
      </c>
      <c r="V16" s="62">
        <f>Pline_out_atma_</f>
        <v>5</v>
      </c>
    </row>
    <row r="17" spans="2:22" x14ac:dyDescent="0.2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27.720946760504425</v>
      </c>
      <c r="P17">
        <v>184.21052631578948</v>
      </c>
      <c r="Q17">
        <v>30.614035087719298</v>
      </c>
      <c r="R17">
        <v>175</v>
      </c>
      <c r="S17">
        <v>0.42640395819296611</v>
      </c>
      <c r="U17">
        <v>0</v>
      </c>
      <c r="V17" s="62">
        <f>Pbuf_out_atma_</f>
        <v>20.46875</v>
      </c>
    </row>
    <row r="18" spans="2:22" x14ac:dyDescent="0.2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36.205996349297472</v>
      </c>
      <c r="P18">
        <v>368.42105263157896</v>
      </c>
      <c r="Q18">
        <v>31.228070175438596</v>
      </c>
      <c r="R18">
        <v>350</v>
      </c>
      <c r="S18">
        <v>0.4958840484630227</v>
      </c>
      <c r="U18">
        <f>Hperf_m_</f>
        <v>3500</v>
      </c>
      <c r="V18" s="62">
        <f>Pwf_out_atma_</f>
        <v>204.76402802121007</v>
      </c>
    </row>
    <row r="19" spans="2:22" x14ac:dyDescent="0.2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45.91410220072472</v>
      </c>
      <c r="P19">
        <v>552.63157894736844</v>
      </c>
      <c r="Q19">
        <v>31.842105263157894</v>
      </c>
      <c r="R19">
        <v>525</v>
      </c>
      <c r="S19">
        <v>0.5503691134419173</v>
      </c>
    </row>
    <row r="20" spans="2:22" x14ac:dyDescent="0.2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56.756405078922377</v>
      </c>
      <c r="P20">
        <v>736.84210526315792</v>
      </c>
      <c r="Q20">
        <v>32.456140350877192</v>
      </c>
      <c r="R20">
        <v>700</v>
      </c>
      <c r="S20">
        <v>0.61948088139398017</v>
      </c>
    </row>
    <row r="21" spans="2:22" x14ac:dyDescent="0.2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68.781378839075913</v>
      </c>
      <c r="P21">
        <v>921.0526315789474</v>
      </c>
      <c r="Q21">
        <v>33.070175438596493</v>
      </c>
      <c r="R21">
        <v>875</v>
      </c>
      <c r="S21">
        <v>0.68747729930913226</v>
      </c>
    </row>
    <row r="22" spans="2:22" x14ac:dyDescent="0.2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81.946005163630346</v>
      </c>
      <c r="P22">
        <v>1105.2631578947369</v>
      </c>
      <c r="Q22">
        <v>33.67</v>
      </c>
      <c r="R22">
        <v>1050</v>
      </c>
      <c r="S22">
        <v>0.79237926750890475</v>
      </c>
    </row>
    <row r="23" spans="2:22" x14ac:dyDescent="0.2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95.997899360926027</v>
      </c>
      <c r="P23">
        <v>1289.4736842105262</v>
      </c>
      <c r="Q23">
        <v>34.247368421052634</v>
      </c>
      <c r="R23">
        <v>1225</v>
      </c>
      <c r="S23">
        <v>0.89030623495864858</v>
      </c>
    </row>
    <row r="24" spans="2:22" x14ac:dyDescent="0.2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111.00241158128502</v>
      </c>
      <c r="P24">
        <v>1473.6842105263158</v>
      </c>
      <c r="Q24">
        <v>34.801929824561405</v>
      </c>
      <c r="R24">
        <v>1400</v>
      </c>
      <c r="S24">
        <v>1</v>
      </c>
    </row>
    <row r="25" spans="2:22" x14ac:dyDescent="0.2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125.57980426825284</v>
      </c>
      <c r="P25">
        <v>1657.8947368421054</v>
      </c>
      <c r="Q25">
        <v>40.511578947368434</v>
      </c>
      <c r="R25">
        <v>1575</v>
      </c>
      <c r="S25">
        <v>1</v>
      </c>
    </row>
    <row r="26" spans="2:22" x14ac:dyDescent="0.2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139.51895444990751</v>
      </c>
      <c r="P26">
        <v>1842.1052631578948</v>
      </c>
      <c r="Q26">
        <v>48.920789473684216</v>
      </c>
      <c r="R26">
        <v>1750</v>
      </c>
      <c r="S26">
        <v>1</v>
      </c>
    </row>
    <row r="27" spans="2:22" x14ac:dyDescent="0.2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152.81431122196099</v>
      </c>
      <c r="P27">
        <v>2026.3157894736842</v>
      </c>
      <c r="Q27">
        <v>56.959473684210522</v>
      </c>
      <c r="R27">
        <v>1925</v>
      </c>
      <c r="S27">
        <v>1</v>
      </c>
    </row>
    <row r="28" spans="2:22" x14ac:dyDescent="0.2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165.46789549107498</v>
      </c>
      <c r="P28">
        <v>2210.5263157894738</v>
      </c>
      <c r="Q28">
        <v>64.627631578947373</v>
      </c>
      <c r="R28">
        <v>2100</v>
      </c>
      <c r="S28">
        <v>1</v>
      </c>
    </row>
    <row r="29" spans="2:22" x14ac:dyDescent="0.2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177.47223196867427</v>
      </c>
      <c r="P29">
        <v>2394.7368421052633</v>
      </c>
      <c r="Q29">
        <v>71.91947368421053</v>
      </c>
      <c r="R29">
        <v>2275</v>
      </c>
      <c r="S29">
        <v>1</v>
      </c>
    </row>
    <row r="30" spans="2:22" x14ac:dyDescent="0.2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184.04611936097152</v>
      </c>
      <c r="P30">
        <v>2500</v>
      </c>
      <c r="Q30">
        <v>75.92</v>
      </c>
      <c r="R30">
        <v>2450</v>
      </c>
      <c r="S30">
        <v>1</v>
      </c>
    </row>
    <row r="31" spans="2:22" x14ac:dyDescent="0.2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188.78740572909231</v>
      </c>
      <c r="P31">
        <v>2578.9473684210525</v>
      </c>
      <c r="Q31">
        <v>78.829210526315777</v>
      </c>
      <c r="R31">
        <v>2625</v>
      </c>
      <c r="S31">
        <v>1</v>
      </c>
    </row>
    <row r="32" spans="2:22" x14ac:dyDescent="0.2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197.98880077273429</v>
      </c>
      <c r="P32">
        <v>2763.1578947368421</v>
      </c>
      <c r="Q32">
        <v>85.368421052631589</v>
      </c>
      <c r="R32">
        <v>2800</v>
      </c>
      <c r="S32">
        <v>1</v>
      </c>
    </row>
    <row r="33" spans="2:19" x14ac:dyDescent="0.2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200.39169290349238</v>
      </c>
      <c r="P33">
        <v>2947.3684210526317</v>
      </c>
      <c r="Q33">
        <v>87.351315789473688</v>
      </c>
      <c r="R33">
        <v>2975</v>
      </c>
      <c r="S33">
        <v>1</v>
      </c>
    </row>
    <row r="34" spans="2:19" x14ac:dyDescent="0.2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201.84951284225119</v>
      </c>
      <c r="P34">
        <v>3131.5789473684213</v>
      </c>
      <c r="Q34">
        <v>88.234210526315792</v>
      </c>
      <c r="R34">
        <v>3150</v>
      </c>
      <c r="S34">
        <v>1</v>
      </c>
    </row>
    <row r="35" spans="2:19" x14ac:dyDescent="0.2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203.30695828385191</v>
      </c>
      <c r="P35">
        <v>3315.7894736842109</v>
      </c>
      <c r="Q35">
        <v>89.117105263157882</v>
      </c>
      <c r="R35">
        <v>3325</v>
      </c>
      <c r="S35">
        <v>1</v>
      </c>
    </row>
    <row r="36" spans="2:19" x14ac:dyDescent="0.2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204.76402802121007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20">
        <v>2500</v>
      </c>
      <c r="D37" s="20">
        <v>176.72349338287597</v>
      </c>
      <c r="E37" s="20">
        <v>53</v>
      </c>
    </row>
    <row r="38" spans="2:19" x14ac:dyDescent="0.25">
      <c r="C38" s="20">
        <v>2625</v>
      </c>
      <c r="D38" s="20">
        <v>186.511102757185</v>
      </c>
      <c r="E38" s="20">
        <v>54</v>
      </c>
    </row>
    <row r="39" spans="2:19" x14ac:dyDescent="0.25">
      <c r="C39" s="20">
        <v>2750</v>
      </c>
      <c r="D39" s="20">
        <v>196.298712131494</v>
      </c>
      <c r="E39" s="20">
        <v>55</v>
      </c>
    </row>
    <row r="40" spans="2:19" x14ac:dyDescent="0.25">
      <c r="C40" s="20">
        <v>2875</v>
      </c>
      <c r="D40" s="20">
        <v>206.08632150580399</v>
      </c>
      <c r="E40" s="20">
        <v>56</v>
      </c>
    </row>
    <row r="41" spans="2:19" x14ac:dyDescent="0.25">
      <c r="C41" s="20">
        <v>3000</v>
      </c>
      <c r="D41" s="20">
        <v>215.87393088011299</v>
      </c>
      <c r="E41" s="20">
        <v>57</v>
      </c>
    </row>
    <row r="42" spans="2:19" x14ac:dyDescent="0.25">
      <c r="C42" s="20">
        <v>3125</v>
      </c>
      <c r="D42" s="20">
        <v>225.66154025442199</v>
      </c>
      <c r="E42" s="20">
        <v>58</v>
      </c>
    </row>
    <row r="43" spans="2:19" x14ac:dyDescent="0.25">
      <c r="C43" s="20">
        <v>3250</v>
      </c>
      <c r="D43" s="20">
        <v>235.44914962873099</v>
      </c>
      <c r="E43" s="20">
        <v>59</v>
      </c>
    </row>
    <row r="44" spans="2:19" x14ac:dyDescent="0.25">
      <c r="C44" s="20">
        <v>3375</v>
      </c>
      <c r="D44" s="20">
        <v>245.23675900304099</v>
      </c>
      <c r="E44" s="20">
        <v>60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2018-06-26T19:00:29Z</dcterms:modified>
</cp:coreProperties>
</file>