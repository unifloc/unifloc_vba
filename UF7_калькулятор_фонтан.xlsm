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"/>
    </mc:Choice>
  </mc:AlternateContent>
  <xr:revisionPtr revIDLastSave="0" documentId="13_ncr:1_{29713C22-D0AA-415E-8623-C74552097685}" xr6:coauthVersionLast="34" xr6:coauthVersionMax="34" xr10:uidLastSave="{00000000-0000-0000-0000-000000000000}"/>
  <bookViews>
    <workbookView xWindow="0" yWindow="0" windowWidth="9000" windowHeight="8370" tabRatio="402" firstSheet="1" activeTab="1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Фонтан_расчет" sheetId="2" r:id="rId4"/>
  </sheets>
  <externalReferences>
    <externalReference r:id="rId5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3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3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l_scm3day_" localSheetId="1">PVT!$K$8</definedName>
    <definedName name="Ql_scm3day_" localSheetId="3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3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3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dl_out_m_">'Конструкция фонтан'!$R$18:$R$38</definedName>
    <definedName name="wc_perc_" localSheetId="1">PVT!$K$9</definedName>
    <definedName name="wc_perc_" localSheetId="3">Фонтан_расчет!$C$7</definedName>
    <definedName name="версия_">Унифлок!$A$1</definedName>
    <definedName name="версия_номер_">Унифлок!$B$1</definedName>
  </definedNames>
  <calcPr calcId="179021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0" i="4" l="1"/>
  <c r="C40" i="4"/>
  <c r="C49" i="4"/>
  <c r="C32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C23" i="4"/>
  <c r="T35" i="4"/>
  <c r="M37" i="4"/>
  <c r="V33" i="4"/>
  <c r="E36" i="4"/>
  <c r="G23" i="4"/>
  <c r="C28" i="4"/>
  <c r="E32" i="4"/>
  <c r="C35" i="4"/>
  <c r="C37" i="4"/>
  <c r="M32" i="4"/>
  <c r="C34" i="4"/>
  <c r="I32" i="4"/>
  <c r="M34" i="4"/>
  <c r="C27" i="4"/>
  <c r="I37" i="4"/>
  <c r="E34" i="4"/>
  <c r="E33" i="4"/>
  <c r="I35" i="4"/>
  <c r="C43" i="4"/>
  <c r="V34" i="4"/>
  <c r="I33" i="4"/>
  <c r="M36" i="4"/>
  <c r="E37" i="4"/>
  <c r="C44" i="4"/>
  <c r="M35" i="4"/>
  <c r="M33" i="4"/>
  <c r="C26" i="4"/>
  <c r="T33" i="4"/>
  <c r="I34" i="4"/>
  <c r="C33" i="4"/>
  <c r="C45" i="4"/>
  <c r="I36" i="4"/>
  <c r="E35" i="4"/>
  <c r="C36" i="4"/>
  <c r="A1" i="4" l="1"/>
  <c r="A1" i="3"/>
  <c r="C10" i="2"/>
  <c r="T34" i="4"/>
  <c r="V36" i="4"/>
  <c r="T36" i="4"/>
  <c r="V35" i="4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<sst xmlns="http://schemas.openxmlformats.org/spreadsheetml/2006/main" count="273" uniqueCount="181">
  <si>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</si>
  <si>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</si>
  <si>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</si>
  <si>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</si>
  <si>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</si>
  <si>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</si>
  <si>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</si>
  <si>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</si>
  <si>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</si>
  <si>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</si>
  <si>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</si>
  <si>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</si>
  <si>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</si>
  <si>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</si>
  <si>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</si>
  <si>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</si>
  <si>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</si>
  <si>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</si>
  <si>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</si>
  <si>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</si>
  <si>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</si>
  <si>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</si>
  <si>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</si>
  <si>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</si>
  <si>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</si>
  <si>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</si>
  <si>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</si>
  <si>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</si>
  <si>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</si>
  <si>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</si>
  <si>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</si>
  <si>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</si>
  <si>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</si>
  <si>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</si>
  <si>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</si>
  <si>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</si>
  <si>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</si>
  <si>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</si>
  <si>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</si>
  <si>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</si>
  <si>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</si>
  <si>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</si>
  <si>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</si>
  <si>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</si>
  <si>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</si>
  <si>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</si>
  <si>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</si>
  <si>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</si>
  <si>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</si>
  <si>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</si>
  <si>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</si>
  <si>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</si>
  <si>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</si>
  <si>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</si>
  <si>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</si>
  <si>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</si>
  <si>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</si>
  <si>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</si>
  <si>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</si>
  <si>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</si>
  <si>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</si>
  <si>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</si>
  <si>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</si>
  <si>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</si>
  <si>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</si>
  <si>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</si>
  <si>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</si>
  <si>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</si>
  <si>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</si>
  <si>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</si>
  <si>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</si>
  <si>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</si>
  <si>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</si>
  <si>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</si>
  <si>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</si>
  <si>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</si>
  <si>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</si>
  <si>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</si>
  <si>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</si>
  <si>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</si>
  <si>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</si>
  <si>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</si>
  <si>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</si>
  <si>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</si>
  <si>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</si>
  <si>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</si>
  <si>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</si>
  <si>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</si>
  <si>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</si>
  <si>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</si>
  <si>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</si>
  <si>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</si>
  <si>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</si>
  <si>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</si>
  <si>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</si>
  <si>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</si>
  <si>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</si>
  <si>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</si>
  <si>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</si>
  <si>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</si>
  <si>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</si>
  <si>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</si>
  <si>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</si>
  <si>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</si>
  <si>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</si>
  <si>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</si>
  <si>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</si>
  <si>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</si>
  <si>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</si>
  <si>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</si>
  <si>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</si>
  <si>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</si>
  <si>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</si>
  <si>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</si>
  <si>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</si>
  <si>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</si>
  <si>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</si>
  <si>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</si>
  <si>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</si>
  <si>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</si>
  <si>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</si>
  <si>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</si>
  <si>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</si>
  <si>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</si>
  <si>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</si>
  <si>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</si>
  <si>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</si>
  <si>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</si>
  <si>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</si>
  <si>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</si>
  <si>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</si>
  <si>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</si>
  <si>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</si>
  <si>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</si>
  <si>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</si>
  <si>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</si>
  <si>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</si>
  <si>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</si>
  <si>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</si>
  <si>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</si>
  <si>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</si>
  <si>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</si>
  <si>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</si>
  <si>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</si>
  <si>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</si>
  <si>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</si>
  <si>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</si>
  <si>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</si>
  <si>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</si>
  <si>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</si>
  <si>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</si>
  <si>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</si>
  <si>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</si>
  <si>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</si>
  <si>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</si>
  <si>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</si>
  <si>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</si>
  <si>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</si>
  <si>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</si>
  <si>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</si>
  <si>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</si>
  <si>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</si>
  <si>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</si>
  <si>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</si>
  <si>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</si>
  <si>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</si>
  <si>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</si>
  <si>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</si>
  <si>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</si>
  <si>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</si>
  <si>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</si>
  <si>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</si>
  <si>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</si>
  <si>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hmes ptub</t>
  </si>
  <si>
    <t>Ptub</t>
  </si>
  <si>
    <t>Ttub</t>
  </si>
  <si>
    <t>Hl</t>
  </si>
  <si>
    <t>Tamb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</si>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</sst>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3" borderId="0" xfId="0" applyFill="1" applyAlignment="1"/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0" fontId="0" fillId="3" borderId="0" xfId="0" applyFill="1" applyBorder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0" fontId="0" fillId="3" borderId="0" xfId="0" applyFill="1" applyBorder="1" applyAlignment="1">
      <alignment horizontal="center" vertical="center"/>
    </xf>
    <xf numFmtId="2" fontId="0" fillId="5" borderId="0" xfId="0" applyNumberFormat="1" applyFill="1" applyBorder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1" fontId="9" fillId="3" borderId="0" xfId="0" applyNumberFormat="1" applyFont="1" applyFill="1" applyBorder="1" applyAlignment="1">
      <alignment horizontal="center" vertical="center"/>
    </xf>
    <xf numFmtId="9" fontId="9" fillId="3" borderId="0" xfId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10" fontId="0" fillId="3" borderId="0" xfId="1" applyNumberFormat="1" applyFont="1" applyFill="1" applyBorder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2.870269071828853</c:v>
                </c:pt>
                <c:pt idx="1">
                  <c:v>12.759697733962112</c:v>
                </c:pt>
                <c:pt idx="2">
                  <c:v>19.483214075380882</c:v>
                </c:pt>
                <c:pt idx="3">
                  <c:v>25.238144963591264</c:v>
                </c:pt>
                <c:pt idx="4">
                  <c:v>30.471191957275128</c:v>
                </c:pt>
                <c:pt idx="5">
                  <c:v>35.374484404416215</c:v>
                </c:pt>
                <c:pt idx="6">
                  <c:v>40.052888260284789</c:v>
                </c:pt>
                <c:pt idx="7">
                  <c:v>44.571532055403182</c:v>
                </c:pt>
                <c:pt idx="8">
                  <c:v>48.974345089004089</c:v>
                </c:pt>
                <c:pt idx="9">
                  <c:v>53.292717487793936</c:v>
                </c:pt>
                <c:pt idx="10">
                  <c:v>57.550058755974867</c:v>
                </c:pt>
                <c:pt idx="11">
                  <c:v>61.764412255320103</c:v>
                </c:pt>
                <c:pt idx="12">
                  <c:v>65.950055317721166</c:v>
                </c:pt>
                <c:pt idx="13">
                  <c:v>70.118529822505295</c:v>
                </c:pt>
                <c:pt idx="14">
                  <c:v>74.279333899938706</c:v>
                </c:pt>
                <c:pt idx="15">
                  <c:v>78.440402271586834</c:v>
                </c:pt>
                <c:pt idx="16">
                  <c:v>82.608449498452316</c:v>
                </c:pt>
                <c:pt idx="17">
                  <c:v>86.789221323931272</c:v>
                </c:pt>
                <c:pt idx="18">
                  <c:v>90.987682637764451</c:v>
                </c:pt>
                <c:pt idx="19">
                  <c:v>95.208160649541654</c:v>
                </c:pt>
                <c:pt idx="20">
                  <c:v>99.45445572300568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2.870269071828853</c:v>
                </c:pt>
                <c:pt idx="1">
                  <c:v>12.759697733962112</c:v>
                </c:pt>
                <c:pt idx="2">
                  <c:v>19.483214075380882</c:v>
                </c:pt>
                <c:pt idx="3">
                  <c:v>25.238144963591264</c:v>
                </c:pt>
                <c:pt idx="4">
                  <c:v>30.471191957275128</c:v>
                </c:pt>
                <c:pt idx="5">
                  <c:v>35.374484404416215</c:v>
                </c:pt>
                <c:pt idx="6">
                  <c:v>40.052888260284789</c:v>
                </c:pt>
                <c:pt idx="7">
                  <c:v>44.571532055403182</c:v>
                </c:pt>
                <c:pt idx="8">
                  <c:v>48.974345089004089</c:v>
                </c:pt>
                <c:pt idx="9">
                  <c:v>53.292717487793936</c:v>
                </c:pt>
                <c:pt idx="10">
                  <c:v>57.550058755974867</c:v>
                </c:pt>
                <c:pt idx="11">
                  <c:v>61.764412255320103</c:v>
                </c:pt>
                <c:pt idx="12">
                  <c:v>65.950055317721166</c:v>
                </c:pt>
                <c:pt idx="13">
                  <c:v>70.118529822505295</c:v>
                </c:pt>
                <c:pt idx="14">
                  <c:v>74.279333899938706</c:v>
                </c:pt>
                <c:pt idx="15">
                  <c:v>78.440402271586834</c:v>
                </c:pt>
                <c:pt idx="16">
                  <c:v>82.608449498452316</c:v>
                </c:pt>
                <c:pt idx="17">
                  <c:v>86.789221323931272</c:v>
                </c:pt>
                <c:pt idx="18">
                  <c:v>90.987682637764451</c:v>
                </c:pt>
                <c:pt idx="19">
                  <c:v>95.208160649541654</c:v>
                </c:pt>
                <c:pt idx="20">
                  <c:v>99.45445572300568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7.3073359279448066E-2</c:v>
                </c:pt>
                <c:pt idx="1">
                  <c:v>7.8498650232280047</c:v>
                </c:pt>
                <c:pt idx="2">
                  <c:v>12.364501307691741</c:v>
                </c:pt>
                <c:pt idx="3">
                  <c:v>16.150377720837035</c:v>
                </c:pt>
                <c:pt idx="4">
                  <c:v>19.541060770860231</c:v>
                </c:pt>
                <c:pt idx="5">
                  <c:v>22.67421942967724</c:v>
                </c:pt>
                <c:pt idx="6">
                  <c:v>25.623541336797413</c:v>
                </c:pt>
                <c:pt idx="7">
                  <c:v>28.434258508759868</c:v>
                </c:pt>
                <c:pt idx="8">
                  <c:v>31.136640453495396</c:v>
                </c:pt>
                <c:pt idx="9">
                  <c:v>33.752193643695144</c:v>
                </c:pt>
                <c:pt idx="10">
                  <c:v>36.296887505293427</c:v>
                </c:pt>
                <c:pt idx="11">
                  <c:v>38.782988958646548</c:v>
                </c:pt>
                <c:pt idx="12">
                  <c:v>41.220177842720339</c:v>
                </c:pt>
                <c:pt idx="13">
                  <c:v>43.616261568204592</c:v>
                </c:pt>
                <c:pt idx="14">
                  <c:v>45.977652729515846</c:v>
                </c:pt>
                <c:pt idx="15">
                  <c:v>48.309699591654223</c:v>
                </c:pt>
                <c:pt idx="16">
                  <c:v>50.616921540940915</c:v>
                </c:pt>
                <c:pt idx="17">
                  <c:v>52.903181046423512</c:v>
                </c:pt>
                <c:pt idx="18">
                  <c:v>55.171811969591133</c:v>
                </c:pt>
                <c:pt idx="19">
                  <c:v>57.425717105722477</c:v>
                </c:pt>
                <c:pt idx="20">
                  <c:v>59.66744356118442</c:v>
                </c:pt>
                <c:pt idx="21">
                  <c:v>65.491969681483809</c:v>
                </c:pt>
                <c:pt idx="22">
                  <c:v>71.280832799048497</c:v>
                </c:pt>
                <c:pt idx="23">
                  <c:v>77.059227922144487</c:v>
                </c:pt>
                <c:pt idx="24">
                  <c:v>82.846861015682933</c:v>
                </c:pt>
                <c:pt idx="25">
                  <c:v>88.659511554812383</c:v>
                </c:pt>
                <c:pt idx="26">
                  <c:v>94.510062173653239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838.58336060403883</c:v>
                </c:pt>
                <c:pt idx="1">
                  <c:v>829.29351167688378</c:v>
                </c:pt>
                <c:pt idx="2">
                  <c:v>823.28624092056737</c:v>
                </c:pt>
                <c:pt idx="3">
                  <c:v>818.31345262395701</c:v>
                </c:pt>
                <c:pt idx="4">
                  <c:v>813.91477065158313</c:v>
                </c:pt>
                <c:pt idx="5">
                  <c:v>809.89180735459308</c:v>
                </c:pt>
                <c:pt idx="6">
                  <c:v>806.13639870177178</c:v>
                </c:pt>
                <c:pt idx="7">
                  <c:v>802.58161911389709</c:v>
                </c:pt>
                <c:pt idx="8">
                  <c:v>799.18261266003344</c:v>
                </c:pt>
                <c:pt idx="9">
                  <c:v>795.90761363649358</c:v>
                </c:pt>
                <c:pt idx="10">
                  <c:v>792.73320804464083</c:v>
                </c:pt>
                <c:pt idx="11">
                  <c:v>789.64161018197126</c:v>
                </c:pt>
                <c:pt idx="12">
                  <c:v>786.61899211509945</c:v>
                </c:pt>
                <c:pt idx="13">
                  <c:v>783.65440578642233</c:v>
                </c:pt>
                <c:pt idx="14">
                  <c:v>780.73905817001787</c:v>
                </c:pt>
                <c:pt idx="15">
                  <c:v>777.86580698080127</c:v>
                </c:pt>
                <c:pt idx="16">
                  <c:v>775.0287996296521</c:v>
                </c:pt>
                <c:pt idx="17">
                  <c:v>772.22320832616901</c:v>
                </c:pt>
                <c:pt idx="18">
                  <c:v>769.44503164333514</c:v>
                </c:pt>
                <c:pt idx="19">
                  <c:v>766.69094264457976</c:v>
                </c:pt>
                <c:pt idx="20">
                  <c:v>763.16499585806275</c:v>
                </c:pt>
                <c:pt idx="21">
                  <c:v>765.9285264992867</c:v>
                </c:pt>
                <c:pt idx="22">
                  <c:v>767.83026963522127</c:v>
                </c:pt>
                <c:pt idx="23">
                  <c:v>769.38118693662807</c:v>
                </c:pt>
                <c:pt idx="24">
                  <c:v>770.67015620409836</c:v>
                </c:pt>
                <c:pt idx="25">
                  <c:v>771.75837209087933</c:v>
                </c:pt>
                <c:pt idx="26">
                  <c:v>772.68934547964363</c:v>
                </c:pt>
                <c:pt idx="27">
                  <c:v>773.4948607208006</c:v>
                </c:pt>
                <c:pt idx="28">
                  <c:v>774.19867669778591</c:v>
                </c:pt>
                <c:pt idx="29">
                  <c:v>774.81890940595406</c:v>
                </c:pt>
                <c:pt idx="30">
                  <c:v>775.36961331423356</c:v>
                </c:pt>
                <c:pt idx="31">
                  <c:v>775.86185916377337</c:v>
                </c:pt>
                <c:pt idx="32">
                  <c:v>776.30448585167176</c:v>
                </c:pt>
                <c:pt idx="33">
                  <c:v>776.70463586087385</c:v>
                </c:pt>
                <c:pt idx="34">
                  <c:v>777.06814360596559</c:v>
                </c:pt>
                <c:pt idx="35">
                  <c:v>777.39982176932062</c:v>
                </c:pt>
                <c:pt idx="36">
                  <c:v>777.7036755777458</c:v>
                </c:pt>
                <c:pt idx="37">
                  <c:v>777.98306532477898</c:v>
                </c:pt>
                <c:pt idx="38">
                  <c:v>778.24083115783844</c:v>
                </c:pt>
                <c:pt idx="39">
                  <c:v>778.47938997112192</c:v>
                </c:pt>
                <c:pt idx="40">
                  <c:v>778.70081141748676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838.58336060403883</c:v>
                </c:pt>
                <c:pt idx="1">
                  <c:v>829.29351167688378</c:v>
                </c:pt>
                <c:pt idx="2">
                  <c:v>823.28624092056737</c:v>
                </c:pt>
                <c:pt idx="3">
                  <c:v>818.31345262395701</c:v>
                </c:pt>
                <c:pt idx="4">
                  <c:v>813.91477065158313</c:v>
                </c:pt>
                <c:pt idx="5">
                  <c:v>809.89180735459308</c:v>
                </c:pt>
                <c:pt idx="6">
                  <c:v>806.13639870177178</c:v>
                </c:pt>
                <c:pt idx="7">
                  <c:v>802.58161911389709</c:v>
                </c:pt>
                <c:pt idx="8">
                  <c:v>799.18261266003344</c:v>
                </c:pt>
                <c:pt idx="9">
                  <c:v>795.90761363649358</c:v>
                </c:pt>
                <c:pt idx="10">
                  <c:v>792.73320804464083</c:v>
                </c:pt>
                <c:pt idx="11">
                  <c:v>789.64161018197126</c:v>
                </c:pt>
                <c:pt idx="12">
                  <c:v>786.61899211509945</c:v>
                </c:pt>
                <c:pt idx="13">
                  <c:v>783.65440578642233</c:v>
                </c:pt>
                <c:pt idx="14">
                  <c:v>780.73905817001787</c:v>
                </c:pt>
                <c:pt idx="15">
                  <c:v>777.86580698080127</c:v>
                </c:pt>
                <c:pt idx="16">
                  <c:v>775.0287996296521</c:v>
                </c:pt>
                <c:pt idx="17">
                  <c:v>772.22320832616901</c:v>
                </c:pt>
                <c:pt idx="18">
                  <c:v>769.44503164333514</c:v>
                </c:pt>
                <c:pt idx="19">
                  <c:v>766.69094264457976</c:v>
                </c:pt>
                <c:pt idx="20">
                  <c:v>763.16499585806275</c:v>
                </c:pt>
                <c:pt idx="21">
                  <c:v>765.9285264992867</c:v>
                </c:pt>
                <c:pt idx="22">
                  <c:v>767.83026963522127</c:v>
                </c:pt>
                <c:pt idx="23">
                  <c:v>769.38118693662807</c:v>
                </c:pt>
                <c:pt idx="24">
                  <c:v>770.67015620409836</c:v>
                </c:pt>
                <c:pt idx="25">
                  <c:v>771.75837209087933</c:v>
                </c:pt>
                <c:pt idx="26">
                  <c:v>772.68934547964363</c:v>
                </c:pt>
                <c:pt idx="27">
                  <c:v>773.4948607208006</c:v>
                </c:pt>
                <c:pt idx="28">
                  <c:v>774.19867669778591</c:v>
                </c:pt>
                <c:pt idx="29">
                  <c:v>774.81890940595406</c:v>
                </c:pt>
                <c:pt idx="30">
                  <c:v>775.36961331423356</c:v>
                </c:pt>
                <c:pt idx="31">
                  <c:v>775.86185916377337</c:v>
                </c:pt>
                <c:pt idx="32">
                  <c:v>776.30448585167176</c:v>
                </c:pt>
                <c:pt idx="33">
                  <c:v>776.70463586087385</c:v>
                </c:pt>
                <c:pt idx="34">
                  <c:v>777.06814360596559</c:v>
                </c:pt>
                <c:pt idx="35">
                  <c:v>777.39982176932062</c:v>
                </c:pt>
                <c:pt idx="36">
                  <c:v>777.7036755777458</c:v>
                </c:pt>
                <c:pt idx="37">
                  <c:v>777.98306532477898</c:v>
                </c:pt>
                <c:pt idx="38">
                  <c:v>778.24083115783844</c:v>
                </c:pt>
                <c:pt idx="39">
                  <c:v>778.47938997112192</c:v>
                </c:pt>
                <c:pt idx="40">
                  <c:v>778.70081141748676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841.34043847765668</c:v>
                </c:pt>
                <c:pt idx="1">
                  <c:v>833.83054171993149</c:v>
                </c:pt>
                <c:pt idx="2">
                  <c:v>829.65376088863195</c:v>
                </c:pt>
                <c:pt idx="3">
                  <c:v>826.23600811501251</c:v>
                </c:pt>
                <c:pt idx="4">
                  <c:v>823.23550983787004</c:v>
                </c:pt>
                <c:pt idx="5">
                  <c:v>820.51069979848387</c:v>
                </c:pt>
                <c:pt idx="6">
                  <c:v>817.98562570003912</c:v>
                </c:pt>
                <c:pt idx="7">
                  <c:v>815.61359942862146</c:v>
                </c:pt>
                <c:pt idx="8">
                  <c:v>813.36335844435564</c:v>
                </c:pt>
                <c:pt idx="9">
                  <c:v>811.21269443355402</c:v>
                </c:pt>
                <c:pt idx="10">
                  <c:v>809.14513164797336</c:v>
                </c:pt>
                <c:pt idx="11">
                  <c:v>807.14803468951311</c:v>
                </c:pt>
                <c:pt idx="12">
                  <c:v>805.21145616954971</c:v>
                </c:pt>
                <c:pt idx="13">
                  <c:v>803.32739729257537</c:v>
                </c:pt>
                <c:pt idx="14">
                  <c:v>801.48931299525373</c:v>
                </c:pt>
                <c:pt idx="15">
                  <c:v>799.69176906621647</c:v>
                </c:pt>
                <c:pt idx="16">
                  <c:v>797.9301975973334</c:v>
                </c:pt>
                <c:pt idx="17">
                  <c:v>796.20071797858122</c:v>
                </c:pt>
                <c:pt idx="18">
                  <c:v>794.50000350712469</c:v>
                </c:pt>
                <c:pt idx="19">
                  <c:v>792.82517957366122</c:v>
                </c:pt>
                <c:pt idx="20">
                  <c:v>791.17374503465544</c:v>
                </c:pt>
                <c:pt idx="21">
                  <c:v>786.94752489967357</c:v>
                </c:pt>
                <c:pt idx="22">
                  <c:v>782.8356785451806</c:v>
                </c:pt>
                <c:pt idx="23">
                  <c:v>778.81491509470379</c:v>
                </c:pt>
                <c:pt idx="24">
                  <c:v>774.86774046560163</c:v>
                </c:pt>
                <c:pt idx="25">
                  <c:v>770.98081271193587</c:v>
                </c:pt>
                <c:pt idx="26">
                  <c:v>767.14385485253536</c:v>
                </c:pt>
                <c:pt idx="27">
                  <c:v>763.76953748948029</c:v>
                </c:pt>
                <c:pt idx="28">
                  <c:v>765.07948077326068</c:v>
                </c:pt>
                <c:pt idx="29">
                  <c:v>766.23473186868932</c:v>
                </c:pt>
                <c:pt idx="30">
                  <c:v>767.26116350862844</c:v>
                </c:pt>
                <c:pt idx="31">
                  <c:v>768.17918359744374</c:v>
                </c:pt>
                <c:pt idx="32">
                  <c:v>769.00510564289607</c:v>
                </c:pt>
                <c:pt idx="33">
                  <c:v>769.75212649585819</c:v>
                </c:pt>
                <c:pt idx="34">
                  <c:v>770.43103668888341</c:v>
                </c:pt>
                <c:pt idx="35">
                  <c:v>771.05074497177861</c:v>
                </c:pt>
                <c:pt idx="36">
                  <c:v>771.61867137472927</c:v>
                </c:pt>
                <c:pt idx="37">
                  <c:v>772.14104570164261</c:v>
                </c:pt>
                <c:pt idx="38">
                  <c:v>772.62313697515765</c:v>
                </c:pt>
                <c:pt idx="39">
                  <c:v>773.06943177574158</c:v>
                </c:pt>
                <c:pt idx="40">
                  <c:v>773.48377427966273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1.0284661798992814</c:v>
                </c:pt>
                <c:pt idx="1">
                  <c:v>1.0501854333142775</c:v>
                </c:pt>
                <c:pt idx="2">
                  <c:v>1.0648323830419844</c:v>
                </c:pt>
                <c:pt idx="3">
                  <c:v>1.0773175075694756</c:v>
                </c:pt>
                <c:pt idx="4">
                  <c:v>1.0886381358340553</c:v>
                </c:pt>
                <c:pt idx="5">
                  <c:v>1.0992232508508828</c:v>
                </c:pt>
                <c:pt idx="6">
                  <c:v>1.109307098589577</c:v>
                </c:pt>
                <c:pt idx="7">
                  <c:v>1.1190352571119691</c:v>
                </c:pt>
                <c:pt idx="8">
                  <c:v>1.1285059958634507</c:v>
                </c:pt>
                <c:pt idx="9">
                  <c:v>1.1377895920995427</c:v>
                </c:pt>
                <c:pt idx="10">
                  <c:v>1.1469384977452866</c:v>
                </c:pt>
                <c:pt idx="11">
                  <c:v>1.1559931694914984</c:v>
                </c:pt>
                <c:pt idx="12">
                  <c:v>1.1649856372563565</c:v>
                </c:pt>
                <c:pt idx="13">
                  <c:v>1.1739418023123269</c:v>
                </c:pt>
                <c:pt idx="14">
                  <c:v>1.1828829797788563</c:v>
                </c:pt>
                <c:pt idx="15">
                  <c:v>1.1918269697661616</c:v>
                </c:pt>
                <c:pt idx="16">
                  <c:v>1.2007888227783161</c:v>
                </c:pt>
                <c:pt idx="17">
                  <c:v>1.2097814001329776</c:v>
                </c:pt>
                <c:pt idx="18">
                  <c:v>1.2188157928735559</c:v>
                </c:pt>
                <c:pt idx="19">
                  <c:v>1.2279016413818555</c:v>
                </c:pt>
                <c:pt idx="20">
                  <c:v>1.2383330749167678</c:v>
                </c:pt>
                <c:pt idx="21">
                  <c:v>1.2344741934623329</c:v>
                </c:pt>
                <c:pt idx="22">
                  <c:v>1.2314166781275693</c:v>
                </c:pt>
                <c:pt idx="23">
                  <c:v>1.2289343904608365</c:v>
                </c:pt>
                <c:pt idx="24">
                  <c:v>1.2268789603286467</c:v>
                </c:pt>
                <c:pt idx="25">
                  <c:v>1.2251490028392711</c:v>
                </c:pt>
                <c:pt idx="26">
                  <c:v>1.2236728842340554</c:v>
                </c:pt>
                <c:pt idx="27">
                  <c:v>1.22239855494178</c:v>
                </c:pt>
                <c:pt idx="28">
                  <c:v>1.2212872851100083</c:v>
                </c:pt>
                <c:pt idx="29">
                  <c:v>1.2203096601306749</c:v>
                </c:pt>
                <c:pt idx="30">
                  <c:v>1.2194429389081696</c:v>
                </c:pt>
                <c:pt idx="31">
                  <c:v>1.2186692628750737</c:v>
                </c:pt>
                <c:pt idx="32">
                  <c:v>1.217974412401708</c:v>
                </c:pt>
                <c:pt idx="33">
                  <c:v>1.2173469248732085</c:v>
                </c:pt>
                <c:pt idx="34">
                  <c:v>1.2167774573956183</c:v>
                </c:pt>
                <c:pt idx="35">
                  <c:v>1.2162583184648139</c:v>
                </c:pt>
                <c:pt idx="36">
                  <c:v>1.2157831185478021</c:v>
                </c:pt>
                <c:pt idx="37">
                  <c:v>1.215346505781949</c:v>
                </c:pt>
                <c:pt idx="38">
                  <c:v>1.2149439635456947</c:v>
                </c:pt>
                <c:pt idx="39">
                  <c:v>1.2145716536375799</c:v>
                </c:pt>
                <c:pt idx="40">
                  <c:v>1.214226293509121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1.0284661798992814</c:v>
                </c:pt>
                <c:pt idx="1">
                  <c:v>1.0501854333142775</c:v>
                </c:pt>
                <c:pt idx="2">
                  <c:v>1.0648323830419844</c:v>
                </c:pt>
                <c:pt idx="3">
                  <c:v>1.0773175075694756</c:v>
                </c:pt>
                <c:pt idx="4">
                  <c:v>1.0886381358340553</c:v>
                </c:pt>
                <c:pt idx="5">
                  <c:v>1.0992232508508828</c:v>
                </c:pt>
                <c:pt idx="6">
                  <c:v>1.109307098589577</c:v>
                </c:pt>
                <c:pt idx="7">
                  <c:v>1.1190352571119691</c:v>
                </c:pt>
                <c:pt idx="8">
                  <c:v>1.1285059958634507</c:v>
                </c:pt>
                <c:pt idx="9">
                  <c:v>1.1377895920995427</c:v>
                </c:pt>
                <c:pt idx="10">
                  <c:v>1.1469384977452866</c:v>
                </c:pt>
                <c:pt idx="11">
                  <c:v>1.1559931694914984</c:v>
                </c:pt>
                <c:pt idx="12">
                  <c:v>1.1649856372563565</c:v>
                </c:pt>
                <c:pt idx="13">
                  <c:v>1.1739418023123269</c:v>
                </c:pt>
                <c:pt idx="14">
                  <c:v>1.1828829797788563</c:v>
                </c:pt>
                <c:pt idx="15">
                  <c:v>1.1918269697661616</c:v>
                </c:pt>
                <c:pt idx="16">
                  <c:v>1.2007888227783161</c:v>
                </c:pt>
                <c:pt idx="17">
                  <c:v>1.2097814001329776</c:v>
                </c:pt>
                <c:pt idx="18">
                  <c:v>1.2188157928735559</c:v>
                </c:pt>
                <c:pt idx="19">
                  <c:v>1.2279016413818555</c:v>
                </c:pt>
                <c:pt idx="20">
                  <c:v>1.2383330749167678</c:v>
                </c:pt>
                <c:pt idx="21">
                  <c:v>1.2344741934623329</c:v>
                </c:pt>
                <c:pt idx="22">
                  <c:v>1.2314166781275693</c:v>
                </c:pt>
                <c:pt idx="23">
                  <c:v>1.2289343904608365</c:v>
                </c:pt>
                <c:pt idx="24">
                  <c:v>1.2268789603286467</c:v>
                </c:pt>
                <c:pt idx="25">
                  <c:v>1.2251490028392711</c:v>
                </c:pt>
                <c:pt idx="26">
                  <c:v>1.2236728842340554</c:v>
                </c:pt>
                <c:pt idx="27">
                  <c:v>1.22239855494178</c:v>
                </c:pt>
                <c:pt idx="28">
                  <c:v>1.2212872851100083</c:v>
                </c:pt>
                <c:pt idx="29">
                  <c:v>1.2203096601306749</c:v>
                </c:pt>
                <c:pt idx="30">
                  <c:v>1.2194429389081696</c:v>
                </c:pt>
                <c:pt idx="31">
                  <c:v>1.2186692628750737</c:v>
                </c:pt>
                <c:pt idx="32">
                  <c:v>1.217974412401708</c:v>
                </c:pt>
                <c:pt idx="33">
                  <c:v>1.2173469248732085</c:v>
                </c:pt>
                <c:pt idx="34">
                  <c:v>1.2167774573956183</c:v>
                </c:pt>
                <c:pt idx="35">
                  <c:v>1.2162583184648139</c:v>
                </c:pt>
                <c:pt idx="36">
                  <c:v>1.2157831185478021</c:v>
                </c:pt>
                <c:pt idx="37">
                  <c:v>1.215346505781949</c:v>
                </c:pt>
                <c:pt idx="38">
                  <c:v>1.2149439635456947</c:v>
                </c:pt>
                <c:pt idx="39">
                  <c:v>1.2145716536375799</c:v>
                </c:pt>
                <c:pt idx="40">
                  <c:v>1.214226293509121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1.0222526485976851</c:v>
                </c:pt>
                <c:pt idx="1">
                  <c:v>1.0394355719825954</c:v>
                </c:pt>
                <c:pt idx="2">
                  <c:v>1.0493220653165771</c:v>
                </c:pt>
                <c:pt idx="3">
                  <c:v>1.0575811668104491</c:v>
                </c:pt>
                <c:pt idx="4">
                  <c:v>1.0649580943529677</c:v>
                </c:pt>
                <c:pt idx="5">
                  <c:v>1.0717602658076764</c:v>
                </c:pt>
                <c:pt idx="6">
                  <c:v>1.0781521931526206</c:v>
                </c:pt>
                <c:pt idx="7">
                  <c:v>1.0842348560073236</c:v>
                </c:pt>
                <c:pt idx="8">
                  <c:v>1.0900758367640202</c:v>
                </c:pt>
                <c:pt idx="9">
                  <c:v>1.0957231618556211</c:v>
                </c:pt>
                <c:pt idx="10">
                  <c:v>1.1012125023985289</c:v>
                </c:pt>
                <c:pt idx="11">
                  <c:v>1.1065712681455278</c:v>
                </c:pt>
                <c:pt idx="12">
                  <c:v>1.1118210962224648</c:v>
                </c:pt>
                <c:pt idx="13">
                  <c:v>1.116979445434888</c:v>
                </c:pt>
                <c:pt idx="14">
                  <c:v>1.1220606616411368</c:v>
                </c:pt>
                <c:pt idx="15">
                  <c:v>1.127076714877574</c:v>
                </c:pt>
                <c:pt idx="16">
                  <c:v>1.1320377244181339</c:v>
                </c:pt>
                <c:pt idx="17">
                  <c:v>1.1369523424914105</c:v>
                </c:pt>
                <c:pt idx="18">
                  <c:v>1.1418280401179879</c:v>
                </c:pt>
                <c:pt idx="19">
                  <c:v>1.1466713248190645</c:v>
                </c:pt>
                <c:pt idx="20">
                  <c:v>1.1514879086630763</c:v>
                </c:pt>
                <c:pt idx="21">
                  <c:v>1.1640014722311862</c:v>
                </c:pt>
                <c:pt idx="22">
                  <c:v>1.1764392970858519</c:v>
                </c:pt>
                <c:pt idx="23">
                  <c:v>1.1888579214153203</c:v>
                </c:pt>
                <c:pt idx="24">
                  <c:v>1.2013015363275723</c:v>
                </c:pt>
                <c:pt idx="25">
                  <c:v>1.213805469937439</c:v>
                </c:pt>
                <c:pt idx="26">
                  <c:v>1.2263984833081103</c:v>
                </c:pt>
                <c:pt idx="27">
                  <c:v>1.2379637489967621</c:v>
                </c:pt>
                <c:pt idx="28">
                  <c:v>1.2358441492175039</c:v>
                </c:pt>
                <c:pt idx="29">
                  <c:v>1.2339808686224301</c:v>
                </c:pt>
                <c:pt idx="30">
                  <c:v>1.2323300656535405</c:v>
                </c:pt>
                <c:pt idx="31">
                  <c:v>1.2308573574879496</c:v>
                </c:pt>
                <c:pt idx="32">
                  <c:v>1.2295353997806511</c:v>
                </c:pt>
                <c:pt idx="33">
                  <c:v>1.228342173349082</c:v>
                </c:pt>
                <c:pt idx="34">
                  <c:v>1.2272597480802436</c:v>
                </c:pt>
                <c:pt idx="35">
                  <c:v>1.2262733758653033</c:v>
                </c:pt>
                <c:pt idx="36">
                  <c:v>1.2253708147256817</c:v>
                </c:pt>
                <c:pt idx="37">
                  <c:v>1.2245418181866103</c:v>
                </c:pt>
                <c:pt idx="38">
                  <c:v>1.2237777446087554</c:v>
                </c:pt>
                <c:pt idx="39">
                  <c:v>1.22307125483948</c:v>
                </c:pt>
                <c:pt idx="40">
                  <c:v>1.222416075735463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5.6578645150739844</c:v>
                </c:pt>
                <c:pt idx="1">
                  <c:v>4.6332027452079467</c:v>
                </c:pt>
                <c:pt idx="2">
                  <c:v>4.1043926461827214</c:v>
                </c:pt>
                <c:pt idx="3">
                  <c:v>3.7277090200970142</c:v>
                </c:pt>
                <c:pt idx="4">
                  <c:v>3.4326245875518011</c:v>
                </c:pt>
                <c:pt idx="5">
                  <c:v>3.1895276939001946</c:v>
                </c:pt>
                <c:pt idx="6">
                  <c:v>2.9827742110725635</c:v>
                </c:pt>
                <c:pt idx="7">
                  <c:v>2.8029912759455518</c:v>
                </c:pt>
                <c:pt idx="8">
                  <c:v>2.6440875665875674</c:v>
                </c:pt>
                <c:pt idx="9">
                  <c:v>2.5018697770753873</c:v>
                </c:pt>
                <c:pt idx="10">
                  <c:v>2.3733236344723148</c:v>
                </c:pt>
                <c:pt idx="11">
                  <c:v>2.2562077321094072</c:v>
                </c:pt>
                <c:pt idx="12">
                  <c:v>2.1488090744253334</c:v>
                </c:pt>
                <c:pt idx="13">
                  <c:v>2.0497884232094128</c:v>
                </c:pt>
                <c:pt idx="14">
                  <c:v>1.9580784227169492</c:v>
                </c:pt>
                <c:pt idx="15">
                  <c:v>1.8728142105837864</c:v>
                </c:pt>
                <c:pt idx="16">
                  <c:v>1.7932848067751939</c:v>
                </c:pt>
                <c:pt idx="17">
                  <c:v>1.7188982309231766</c:v>
                </c:pt>
                <c:pt idx="18">
                  <c:v>1.6491559463740972</c:v>
                </c:pt>
                <c:pt idx="19">
                  <c:v>1.5836337954630948</c:v>
                </c:pt>
                <c:pt idx="20">
                  <c:v>1.521967549138763</c:v>
                </c:pt>
                <c:pt idx="21">
                  <c:v>1.5426582106744255</c:v>
                </c:pt>
                <c:pt idx="22">
                  <c:v>1.5709801148347229</c:v>
                </c:pt>
                <c:pt idx="23">
                  <c:v>1.5993020189950202</c:v>
                </c:pt>
                <c:pt idx="24">
                  <c:v>1.6276239231553176</c:v>
                </c:pt>
                <c:pt idx="25">
                  <c:v>1.6559458273156149</c:v>
                </c:pt>
                <c:pt idx="26">
                  <c:v>1.6842677314759122</c:v>
                </c:pt>
                <c:pt idx="27">
                  <c:v>1.7125896356362094</c:v>
                </c:pt>
                <c:pt idx="28">
                  <c:v>1.7409115397965069</c:v>
                </c:pt>
                <c:pt idx="29">
                  <c:v>1.7692334439568043</c:v>
                </c:pt>
                <c:pt idx="30">
                  <c:v>1.7975553481171016</c:v>
                </c:pt>
                <c:pt idx="31">
                  <c:v>1.8258772522773989</c:v>
                </c:pt>
                <c:pt idx="32">
                  <c:v>1.8541991564376963</c:v>
                </c:pt>
                <c:pt idx="33">
                  <c:v>1.8825210605979936</c:v>
                </c:pt>
                <c:pt idx="34">
                  <c:v>1.9108429647582912</c:v>
                </c:pt>
                <c:pt idx="35">
                  <c:v>1.9391648689185883</c:v>
                </c:pt>
                <c:pt idx="36">
                  <c:v>1.9674867730788859</c:v>
                </c:pt>
                <c:pt idx="37">
                  <c:v>1.9958086772391832</c:v>
                </c:pt>
                <c:pt idx="38">
                  <c:v>2.0241305813994801</c:v>
                </c:pt>
                <c:pt idx="39">
                  <c:v>2.0524524855597779</c:v>
                </c:pt>
                <c:pt idx="40">
                  <c:v>2.0807743897200748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5.6578645150739844</c:v>
                </c:pt>
                <c:pt idx="1">
                  <c:v>4.6332027452079467</c:v>
                </c:pt>
                <c:pt idx="2">
                  <c:v>4.1043926461827214</c:v>
                </c:pt>
                <c:pt idx="3">
                  <c:v>3.7277090200970142</c:v>
                </c:pt>
                <c:pt idx="4">
                  <c:v>3.4326245875518011</c:v>
                </c:pt>
                <c:pt idx="5">
                  <c:v>3.1895276939001946</c:v>
                </c:pt>
                <c:pt idx="6">
                  <c:v>2.9827742110725635</c:v>
                </c:pt>
                <c:pt idx="7">
                  <c:v>2.8029912759455518</c:v>
                </c:pt>
                <c:pt idx="8">
                  <c:v>2.6440875665875674</c:v>
                </c:pt>
                <c:pt idx="9">
                  <c:v>2.5018697770753873</c:v>
                </c:pt>
                <c:pt idx="10">
                  <c:v>2.3733236344723148</c:v>
                </c:pt>
                <c:pt idx="11">
                  <c:v>2.2562077321094072</c:v>
                </c:pt>
                <c:pt idx="12">
                  <c:v>2.1488090744253334</c:v>
                </c:pt>
                <c:pt idx="13">
                  <c:v>2.0497884232094128</c:v>
                </c:pt>
                <c:pt idx="14">
                  <c:v>1.9580784227169492</c:v>
                </c:pt>
                <c:pt idx="15">
                  <c:v>1.8728142105837864</c:v>
                </c:pt>
                <c:pt idx="16">
                  <c:v>1.7932848067751939</c:v>
                </c:pt>
                <c:pt idx="17">
                  <c:v>1.7188982309231766</c:v>
                </c:pt>
                <c:pt idx="18">
                  <c:v>1.6491559463740972</c:v>
                </c:pt>
                <c:pt idx="19">
                  <c:v>1.5836337954630948</c:v>
                </c:pt>
                <c:pt idx="20">
                  <c:v>1.521967549138763</c:v>
                </c:pt>
                <c:pt idx="21">
                  <c:v>1.5426582106744255</c:v>
                </c:pt>
                <c:pt idx="22">
                  <c:v>1.5709801148347229</c:v>
                </c:pt>
                <c:pt idx="23">
                  <c:v>1.5993020189950202</c:v>
                </c:pt>
                <c:pt idx="24">
                  <c:v>1.6276239231553176</c:v>
                </c:pt>
                <c:pt idx="25">
                  <c:v>1.6559458273156149</c:v>
                </c:pt>
                <c:pt idx="26">
                  <c:v>1.6842677314759122</c:v>
                </c:pt>
                <c:pt idx="27">
                  <c:v>1.7125896356362094</c:v>
                </c:pt>
                <c:pt idx="28">
                  <c:v>1.7409115397965069</c:v>
                </c:pt>
                <c:pt idx="29">
                  <c:v>1.7692334439568043</c:v>
                </c:pt>
                <c:pt idx="30">
                  <c:v>1.7975553481171016</c:v>
                </c:pt>
                <c:pt idx="31">
                  <c:v>1.8258772522773989</c:v>
                </c:pt>
                <c:pt idx="32">
                  <c:v>1.8541991564376963</c:v>
                </c:pt>
                <c:pt idx="33">
                  <c:v>1.8825210605979936</c:v>
                </c:pt>
                <c:pt idx="34">
                  <c:v>1.9108429647582912</c:v>
                </c:pt>
                <c:pt idx="35">
                  <c:v>1.9391648689185883</c:v>
                </c:pt>
                <c:pt idx="36">
                  <c:v>1.9674867730788859</c:v>
                </c:pt>
                <c:pt idx="37">
                  <c:v>1.9958086772391832</c:v>
                </c:pt>
                <c:pt idx="38">
                  <c:v>2.0241305813994801</c:v>
                </c:pt>
                <c:pt idx="39">
                  <c:v>2.0524524855597779</c:v>
                </c:pt>
                <c:pt idx="40">
                  <c:v>2.0807743897200748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6.0213429641748046</c:v>
                </c:pt>
                <c:pt idx="1">
                  <c:v>5.0978688361695239</c:v>
                </c:pt>
                <c:pt idx="2">
                  <c:v>4.6678734584135624</c:v>
                </c:pt>
                <c:pt idx="3">
                  <c:v>4.3529322646057587</c:v>
                </c:pt>
                <c:pt idx="4">
                  <c:v>4.1002917679434185</c:v>
                </c:pt>
                <c:pt idx="5">
                  <c:v>3.8880552315347865</c:v>
                </c:pt>
                <c:pt idx="6">
                  <c:v>3.7045606083564451</c:v>
                </c:pt>
                <c:pt idx="7">
                  <c:v>3.5427251167176572</c:v>
                </c:pt>
                <c:pt idx="8">
                  <c:v>3.3978751247133236</c:v>
                </c:pt>
                <c:pt idx="9">
                  <c:v>3.2667435333569461</c:v>
                </c:pt>
                <c:pt idx="10">
                  <c:v>3.1469468665314451</c:v>
                </c:pt>
                <c:pt idx="11">
                  <c:v>3.0366879623804053</c:v>
                </c:pt>
                <c:pt idx="12">
                  <c:v>2.9345755861968539</c:v>
                </c:pt>
                <c:pt idx="13">
                  <c:v>2.8395092746628738</c:v>
                </c:pt>
                <c:pt idx="14">
                  <c:v>2.7506027485000617</c:v>
                </c:pt>
                <c:pt idx="15">
                  <c:v>2.6671312268979261</c:v>
                </c:pt>
                <c:pt idx="16">
                  <c:v>2.5884941424956134</c:v>
                </c:pt>
                <c:pt idx="17">
                  <c:v>2.5141881102323409</c:v>
                </c:pt>
                <c:pt idx="18">
                  <c:v>2.4437869174805269</c:v>
                </c:pt>
                <c:pt idx="19">
                  <c:v>2.3769264400394707</c:v>
                </c:pt>
                <c:pt idx="20">
                  <c:v>2.3132930880136202</c:v>
                </c:pt>
                <c:pt idx="21">
                  <c:v>2.1601587186361466</c:v>
                </c:pt>
                <c:pt idx="22">
                  <c:v>2.0234832450984848</c:v>
                </c:pt>
                <c:pt idx="23">
                  <c:v>1.9004382379750209</c:v>
                </c:pt>
                <c:pt idx="24">
                  <c:v>1.7889024964813409</c:v>
                </c:pt>
                <c:pt idx="25">
                  <c:v>1.6872423202942501</c:v>
                </c:pt>
                <c:pt idx="26">
                  <c:v>1.5941707956275797</c:v>
                </c:pt>
                <c:pt idx="27">
                  <c:v>1.5167597503430845</c:v>
                </c:pt>
                <c:pt idx="28">
                  <c:v>1.531791468729228</c:v>
                </c:pt>
                <c:pt idx="29">
                  <c:v>1.5468231871153715</c:v>
                </c:pt>
                <c:pt idx="30">
                  <c:v>1.561854905501515</c:v>
                </c:pt>
                <c:pt idx="31">
                  <c:v>1.5768866238876584</c:v>
                </c:pt>
                <c:pt idx="32">
                  <c:v>1.5919183422738019</c:v>
                </c:pt>
                <c:pt idx="33">
                  <c:v>1.6069500606599454</c:v>
                </c:pt>
                <c:pt idx="34">
                  <c:v>1.6219817790460889</c:v>
                </c:pt>
                <c:pt idx="35">
                  <c:v>1.6370134974322323</c:v>
                </c:pt>
                <c:pt idx="36">
                  <c:v>1.6520452158183758</c:v>
                </c:pt>
                <c:pt idx="37">
                  <c:v>1.6670769342045191</c:v>
                </c:pt>
                <c:pt idx="38">
                  <c:v>1.6821086525906626</c:v>
                </c:pt>
                <c:pt idx="39">
                  <c:v>1.697140370976806</c:v>
                </c:pt>
                <c:pt idx="40">
                  <c:v>1.7121720893629493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0.64971774181795505</c:v>
                </c:pt>
                <c:pt idx="1">
                  <c:v>0.71678584274658808</c:v>
                </c:pt>
                <c:pt idx="2">
                  <c:v>0.78895896917692387</c:v>
                </c:pt>
                <c:pt idx="3">
                  <c:v>0.91835028270151742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56.471886163210186</c:v>
                </c:pt>
                <c:pt idx="1">
                  <c:v>68.216803702522441</c:v>
                </c:pt>
                <c:pt idx="2">
                  <c:v>80.920685344257336</c:v>
                </c:pt>
                <c:pt idx="3">
                  <c:v>95.130245827518166</c:v>
                </c:pt>
                <c:pt idx="4">
                  <c:v>110.89219323997732</c:v>
                </c:pt>
                <c:pt idx="5">
                  <c:v>126.87831030292689</c:v>
                </c:pt>
                <c:pt idx="6">
                  <c:v>142.41910655352018</c:v>
                </c:pt>
                <c:pt idx="7">
                  <c:v>157.38594650313641</c:v>
                </c:pt>
                <c:pt idx="8">
                  <c:v>171.77688057620517</c:v>
                </c:pt>
                <c:pt idx="9">
                  <c:v>185.57894517281551</c:v>
                </c:pt>
                <c:pt idx="10">
                  <c:v>198.74558052548977</c:v>
                </c:pt>
                <c:pt idx="11">
                  <c:v>211.27649776407696</c:v>
                </c:pt>
                <c:pt idx="12">
                  <c:v>223.17853910942998</c:v>
                </c:pt>
                <c:pt idx="13">
                  <c:v>234.44864386058657</c:v>
                </c:pt>
                <c:pt idx="14">
                  <c:v>240.61203298618656</c:v>
                </c:pt>
                <c:pt idx="15">
                  <c:v>245.05411471152456</c:v>
                </c:pt>
                <c:pt idx="16">
                  <c:v>253.66704839143043</c:v>
                </c:pt>
                <c:pt idx="17">
                  <c:v>255.91409021324787</c:v>
                </c:pt>
                <c:pt idx="18">
                  <c:v>257.27668877344263</c:v>
                </c:pt>
                <c:pt idx="19">
                  <c:v>258.63865880183505</c:v>
                </c:pt>
                <c:pt idx="20">
                  <c:v>260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9C280E19-D988-436E-9CB1-055718CBE68F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C1A12E37-A99B-442C-99EB-CD9775D010E1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DA3CC2E1-06BC-42C6-B199-610D0B2C155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7ED4412-7A5E-418A-B650-E67B43B5D6F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B717BE-4369-4B7C-9B9D-E6AB6963DDBB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; </a:t>
                    </a:r>
                    <a:fld id="{9BF8F38E-615E-487B-8677-D8C141A3E476}" type="XVALUE">
                      <a:rPr lang="ru-RU" baseline="0"/>
                      <a:pPr/>
                      <a:t>[ЗНАЧЕНИЕ X]</a:t>
                    </a:fld>
                    <a:endParaRPr lang="ru-RU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55.127645708885723</c:v>
                </c:pt>
                <c:pt idx="1">
                  <c:v>56.471886163210186</c:v>
                </c:pt>
                <c:pt idx="2">
                  <c:v>260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ru-RU" sz="1100" baseline="0"/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8</xdr:row>
          <xdr:rowOff>180975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14</xdr:row>
          <xdr:rowOff>28575</xdr:rowOff>
        </xdr:from>
        <xdr:to>
          <xdr:col>20</xdr:col>
          <xdr:colOff>590550</xdr:colOff>
          <xdr:row>16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325211</xdr:colOff>
      <xdr:row>15</xdr:row>
      <xdr:rowOff>78922</xdr:rowOff>
    </xdr:from>
    <xdr:to>
      <xdr:col>27</xdr:col>
      <xdr:colOff>506186</xdr:colOff>
      <xdr:row>46</xdr:row>
      <xdr:rowOff>145597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540204</xdr:colOff>
      <xdr:row>15</xdr:row>
      <xdr:rowOff>46265</xdr:rowOff>
    </xdr:from>
    <xdr:to>
      <xdr:col>35</xdr:col>
      <xdr:colOff>145369</xdr:colOff>
      <xdr:row>46</xdr:row>
      <xdr:rowOff>151039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7.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F7" sqref="F7"/>
    </sheetView>
  </sheetViews>
  <sheetFormatPr defaultRowHeight="15" x14ac:dyDescent="0.25"/>
  <sheetData>
    <row r="1" spans="1:5" x14ac:dyDescent="0.25">
      <c r="A1" t="str">
        <f>"вер "&amp;B1</f>
        <v>вер 7.21</v>
      </c>
      <c r="B1" s="18">
        <v>7.21</v>
      </c>
    </row>
    <row r="2" spans="1:5" x14ac:dyDescent="0.25">
      <c r="A2" t="s">
        <v>161</v>
      </c>
    </row>
    <row r="4" spans="1:5" x14ac:dyDescent="0.25">
      <c r="A4" s="62" t="str">
        <f>"Унифлок "&amp;версия_номер_</f>
        <v>Унифлок 7.21</v>
      </c>
      <c r="B4" s="62"/>
      <c r="C4" s="62"/>
      <c r="D4" s="62"/>
      <c r="E4" s="62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abSelected="1" topLeftCell="A4" zoomScaleNormal="100" workbookViewId="0">
      <selection activeCell="H44" sqref="H44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7.21</v>
      </c>
      <c r="J1" s="2" t="s">
        <v>23</v>
      </c>
      <c r="K1" s="2"/>
      <c r="L1" s="2"/>
    </row>
    <row r="2" spans="1:17" ht="18" x14ac:dyDescent="0.25">
      <c r="A2" s="62" t="s">
        <v>0</v>
      </c>
      <c r="B2" s="62"/>
      <c r="C2" s="62"/>
      <c r="D2" s="62"/>
      <c r="E2" s="62"/>
      <c r="J2" s="6" t="s">
        <v>26</v>
      </c>
      <c r="K2" s="9">
        <v>1</v>
      </c>
      <c r="L2" s="5" t="s">
        <v>6</v>
      </c>
    </row>
    <row r="3" spans="1:17" ht="18" customHeight="1" x14ac:dyDescent="0.25">
      <c r="F3" s="63" t="s">
        <v>74</v>
      </c>
      <c r="G3" s="63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4" t="s">
        <v>28</v>
      </c>
      <c r="O7" s="64"/>
      <c r="P7" s="64"/>
      <c r="Q7" s="64"/>
    </row>
    <row r="8" spans="1:17" ht="18" x14ac:dyDescent="0.25">
      <c r="B8" s="21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21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86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22" t="s">
        <v>76</v>
      </c>
      <c r="C20" s="23"/>
      <c r="D20" s="23"/>
      <c r="E20" s="23"/>
      <c r="F20" s="23"/>
      <c r="G20" s="24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</row>
    <row r="21" spans="2:33" outlineLevel="1" x14ac:dyDescent="0.25"/>
    <row r="22" spans="2:33" outlineLevel="1" x14ac:dyDescent="0.25">
      <c r="B22" s="25" t="s">
        <v>77</v>
      </c>
      <c r="C22" s="2"/>
      <c r="D22" s="2"/>
      <c r="E22" s="2"/>
      <c r="F22" s="2"/>
      <c r="G22" s="25" t="s">
        <v>78</v>
      </c>
      <c r="H22" s="2"/>
    </row>
    <row r="23" spans="2:33" ht="18" outlineLevel="1" x14ac:dyDescent="0.25">
      <c r="B23" s="5" t="s">
        <v>79</v>
      </c>
      <c r="C23" s="26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7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8">
        <f>Tres_C_</f>
        <v>80</v>
      </c>
      <c r="D24" s="5" t="s">
        <v>25</v>
      </c>
      <c r="E24" s="2"/>
      <c r="F24" s="2"/>
      <c r="G24" s="29">
        <f>T_C_</f>
        <v>30</v>
      </c>
      <c r="H24" s="2"/>
    </row>
    <row r="25" spans="2:33" ht="18" outlineLevel="1" x14ac:dyDescent="0.25">
      <c r="B25" s="7" t="s">
        <v>15</v>
      </c>
      <c r="C25" s="28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30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6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31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5" t="s">
        <v>84</v>
      </c>
      <c r="C31" s="2"/>
      <c r="D31" s="2"/>
      <c r="E31" s="2"/>
      <c r="F31" s="2"/>
      <c r="G31" s="32"/>
      <c r="H31" s="25" t="s">
        <v>85</v>
      </c>
      <c r="I31" s="2"/>
      <c r="J31" s="2"/>
      <c r="K31" s="2"/>
      <c r="L31" s="25" t="s">
        <v>86</v>
      </c>
      <c r="M31" s="2"/>
      <c r="N31" s="2"/>
      <c r="Q31" s="33" t="s">
        <v>87</v>
      </c>
      <c r="R31" s="2"/>
      <c r="S31" s="2"/>
      <c r="T31" s="2"/>
      <c r="U31" s="2"/>
      <c r="V31" s="2"/>
      <c r="W31" s="33"/>
      <c r="X31" s="33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6">
        <f>PVT_Rhoo_kgm3(Psc_atma_,Tsc_C_,gamma_gas_,gamma_oil_,gamma_w_,Rsb_m3m3_,,Pb_atma_,Tres_C_,Bob_m3m3_,mu_cP_,PVT_correlation_,Ksep_,Psep_atma_,Tsep_C_)</f>
        <v>857.32211579126965</v>
      </c>
      <c r="D32" s="5" t="s">
        <v>82</v>
      </c>
      <c r="E32" s="34">
        <f>[1]!PVT_Rhoo_kgm3(Psc_atma_,Tsc_C_,gamma_gas_,gamma_oil_,gamma_w_,Rsb_m3m3_,,,,,,PVT_correlation_,Ksep_,Psep_atma_,Tsep_C_)</f>
        <v>860.00434407024829</v>
      </c>
      <c r="F32" s="35">
        <f t="shared" ref="F32:F37" si="0">(E32-C32)/E32</f>
        <v>3.1188543377398885E-3</v>
      </c>
      <c r="G32" s="36"/>
      <c r="H32" s="5" t="s">
        <v>90</v>
      </c>
      <c r="I32" s="31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6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37" t="s">
        <v>92</v>
      </c>
      <c r="R32" s="38">
        <v>0.86</v>
      </c>
      <c r="S32" s="33"/>
      <c r="T32" s="33" t="s">
        <v>93</v>
      </c>
      <c r="U32" s="33"/>
      <c r="V32" s="33" t="s">
        <v>94</v>
      </c>
      <c r="W32" s="33"/>
      <c r="X32" s="33" t="s">
        <v>95</v>
      </c>
      <c r="Z32" s="5" t="s">
        <v>79</v>
      </c>
      <c r="AA32" s="39">
        <f>ABS(U33)</f>
        <v>0.46925466942242361</v>
      </c>
      <c r="AB32" s="40">
        <f>ABS(Pb_diff_)</f>
        <v>0.46925466942242361</v>
      </c>
      <c r="AD32" s="33" t="str">
        <f>Q34&amp; " = "&amp;IFERROR(TEXT(gamma_gas_diff_total_*100,"0.0") &amp; "%",TEXT(gamma_gas_diff_total_*100,"0,0") &amp; "%")</f>
        <v>Сумм откл = 21.0%</v>
      </c>
      <c r="AE32" s="33"/>
      <c r="AF32" s="2"/>
      <c r="AG32" s="2"/>
    </row>
    <row r="33" spans="2:33" ht="18" outlineLevel="1" x14ac:dyDescent="0.25">
      <c r="B33" s="5" t="s">
        <v>96</v>
      </c>
      <c r="C33" s="31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34">
        <f>[1]!PVT_Muo_cP(Psc_atma_,Tsc_C_,gamma_gas_,gamma_oil_,gamma_w_,Rsb_m3m3_,,,,,,PVT_correlation_,Ksep_,Psep_atma_,Tsep_C_)</f>
        <v>12.53061051510749</v>
      </c>
      <c r="F33" s="35">
        <f t="shared" si="0"/>
        <v>7.3499358570622106E-2</v>
      </c>
      <c r="G33" s="36"/>
      <c r="H33" s="5" t="s">
        <v>97</v>
      </c>
      <c r="I33" s="4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30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37" t="s">
        <v>99</v>
      </c>
      <c r="R33" s="38">
        <v>0.7</v>
      </c>
      <c r="S33" s="5" t="s">
        <v>79</v>
      </c>
      <c r="T33" s="34">
        <f>[1]!PVT_Pb_atma(Tres_C_,gamma_gas_,gamma_oil_,gamma_w_,Rsb_m3m3_,,,Tres_C_,,,PVT_correlation_,Ksep_,Psep_atma_,Tsep_C_)</f>
        <v>188.41428127342422</v>
      </c>
      <c r="U33" s="35">
        <f>(T33-C23)/T33</f>
        <v>0.46925466942242361</v>
      </c>
      <c r="V33" s="41">
        <f>[1]!PVT_Pb_atma(Tres_C_,gamma_gas_new_,gamma_oil_new_,gamma_w_,Rsb_m3m3_,,,Tres_C_,,,PVT_correlation_,Ksep_,Psep_atma_,Tsep_C_)</f>
        <v>188.41428127342422</v>
      </c>
      <c r="W33" s="42">
        <f>(V33-C23)/V33</f>
        <v>0.46925466942242361</v>
      </c>
      <c r="X33" s="33">
        <v>2</v>
      </c>
      <c r="Z33" s="7" t="s">
        <v>80</v>
      </c>
      <c r="AA33" s="39">
        <f>ABS(U34)</f>
        <v>0</v>
      </c>
      <c r="AB33" s="39">
        <f>ABS(W34)</f>
        <v>0</v>
      </c>
      <c r="AD33" s="33" t="str">
        <f>F9 &amp;" = "&amp;IFERROR(  TEXT(gamma_gas_,"0.00"),TEXT(gamma_gas_,"0,00")) &amp;",  "&amp; F8 &amp;" = "&amp;  IFERROR(TEXT(gamma_oil_,"0.00"),TEXT(gamma_oil_,"0,00"))</f>
        <v>γg = 0.70,  γo = 0.86</v>
      </c>
      <c r="AE33" s="33"/>
      <c r="AF33" s="2"/>
      <c r="AG33" s="2"/>
    </row>
    <row r="34" spans="2:33" ht="18" outlineLevel="1" x14ac:dyDescent="0.25">
      <c r="B34" s="5" t="s">
        <v>100</v>
      </c>
      <c r="C34" s="31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34">
        <f>[1]!PVT_Rs_m3m3(P_atma_,T_C_,gamma_gas_,gamma_oil_,gamma_w_,Rsb_m3m3_,,,,,,PVT_correlation_,Ksep_,Psep_atma_,Tsep_C_)</f>
        <v>29.625586135838734</v>
      </c>
      <c r="F34" s="35">
        <f t="shared" si="0"/>
        <v>-0.5774037294520562</v>
      </c>
      <c r="G34" s="36"/>
      <c r="H34" s="5" t="s">
        <v>101</v>
      </c>
      <c r="I34" s="30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6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43" t="s">
        <v>103</v>
      </c>
      <c r="R34" s="44">
        <f>((X33*W33^2+X34*W34^2+X35*W35^2+X36*W36^2+X37*W37^2+X38*W38^2)/SUM(X33:X38))^0.5</f>
        <v>0.20985706791754621</v>
      </c>
      <c r="S34" s="7" t="s">
        <v>80</v>
      </c>
      <c r="T34" s="45">
        <f>[1]!PVT_Bo_m3m3(T33,Tres_C_,gamma_gas_,gamma_oil_,gamma_w_,Rsb_m3m3_,,,,,,PVT_correlation_,Ksep_,Psep_atma_,Tsep_C_)</f>
        <v>1.287833096954804</v>
      </c>
      <c r="U34" s="35">
        <f>(T34-C26)/(T34-1)</f>
        <v>0</v>
      </c>
      <c r="V34" s="46">
        <f>[1]!PVT_Bo_m3m3(V33,Tres_C_,gamma_gas_new_,gamma_oil_new_,gamma_w_,Rsb_m3m3_,,,,,,PVT_correlation_,Ksep_,Psep_atma_,Tsep_C_)</f>
        <v>1.287833096954804</v>
      </c>
      <c r="W34" s="42">
        <f>(V34-C26)/(V34-1)</f>
        <v>0</v>
      </c>
      <c r="X34" s="33">
        <v>2</v>
      </c>
      <c r="Z34" s="8" t="s">
        <v>83</v>
      </c>
      <c r="AA34" s="39">
        <f>ABS(U36)</f>
        <v>0</v>
      </c>
      <c r="AB34" s="39">
        <f>ABS(W36)</f>
        <v>0</v>
      </c>
      <c r="AD34" s="33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33"/>
      <c r="AF34" s="2"/>
      <c r="AG34" s="2"/>
    </row>
    <row r="35" spans="2:33" ht="18" outlineLevel="1" x14ac:dyDescent="0.25">
      <c r="B35" s="5" t="s">
        <v>104</v>
      </c>
      <c r="C35" s="30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34">
        <f>[1]!PVT_Bo_m3m3(P_atma_,T_C_,gamma_gas_,gamma_oil_,gamma_w_,Rsb_m3m3_,,,,,,PVT_correlation_,Ksep_,Psep_atma_,Tsep_C_)</f>
        <v>1.076527064194055</v>
      </c>
      <c r="F35" s="35">
        <f t="shared" si="0"/>
        <v>-3.3766479855983168E-2</v>
      </c>
      <c r="G35" s="36"/>
      <c r="H35" s="5" t="s">
        <v>105</v>
      </c>
      <c r="I35" s="4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30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34">
        <f>[1]!PVT_Rhoo_kgm3(C23,Tres_C_,gamma_gas_,gamma_oil_,gamma_w_,Rsb_m3m3_,,,,,,PVT_correlation_,Ksep_,Psep_atma_,Tsep_C_)</f>
        <v>762.97043934947192</v>
      </c>
      <c r="U35" s="35">
        <f>(T35-C27)/T35</f>
        <v>3.8166850827630654E-2</v>
      </c>
      <c r="V35" s="41">
        <f>[1]!PVT_Rhoo_kgm3(G23,Tres_C_,gamma_gas_new_,gamma_oil_new_,gamma_w_,Rsb_m3m3_,,,,,,PVT_correlation_,Ksep_,Psep_atma_,Tsep_C_)</f>
        <v>769.90756858676752</v>
      </c>
      <c r="W35" s="42">
        <f>(V35-C27)/V35</f>
        <v>4.6833294869441343E-2</v>
      </c>
      <c r="X35" s="33">
        <v>0</v>
      </c>
      <c r="Z35" s="5" t="s">
        <v>110</v>
      </c>
      <c r="AA35" s="40">
        <f>ABS((gamma_oil_-gamma_oil_)/(gamma_oil_))</f>
        <v>0</v>
      </c>
      <c r="AB35" s="39">
        <f>ABS((gamma_oil_new_-gamma_oil_)/(gamma_oil_))</f>
        <v>0</v>
      </c>
    </row>
    <row r="36" spans="2:33" ht="18" outlineLevel="1" x14ac:dyDescent="0.25">
      <c r="B36" s="5" t="s">
        <v>107</v>
      </c>
      <c r="C36" s="26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34">
        <f>[1]!PVT_Rhoo_kgm3(P_atma_,T_C_,gamma_gas_,gamma_oil_,gamma_w_,Rsb_m3m3_,,,,,,PVT_correlation_,Ksep_,Psep_atma_,Tsep_C_)</f>
        <v>822.39967247857055</v>
      </c>
      <c r="F36" s="35">
        <f t="shared" si="0"/>
        <v>1.667979153452058E-2</v>
      </c>
      <c r="G36" s="36"/>
      <c r="H36" s="5" t="s">
        <v>108</v>
      </c>
      <c r="I36" s="26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6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47">
        <f>[1]!PVT_Muo_cP(T33,Tres_C_,gamma_gas_,gamma_oil_,gamma_w_,Rsb_m3m3_,,,,,,PVT_correlation_,Ksep_,Psep_atma_,Tsep_C_)</f>
        <v>0.76612647633959408</v>
      </c>
      <c r="U36" s="35">
        <f>(T36-C28)/T36</f>
        <v>0</v>
      </c>
      <c r="V36" s="48">
        <f>[1]!PVT_Muo_cP(V33,Tres_C_,gamma_gas_new_,gamma_oil_new_,gamma_w_,Rsb_m3m3_,,,,,,PVT_correlation_,Ksep_,Psep_atma_,Tsep_C_)</f>
        <v>0.76612647633959408</v>
      </c>
      <c r="W36" s="42">
        <f>(V36-C28)/V36</f>
        <v>0</v>
      </c>
      <c r="X36" s="33">
        <v>2</v>
      </c>
      <c r="Z36" s="5" t="s">
        <v>13</v>
      </c>
      <c r="AA36" s="40">
        <f>ABS(gamma_gas_-gamma_gas_)/gamma_gas_</f>
        <v>0</v>
      </c>
      <c r="AB36" s="39">
        <f>ABS(gamma_gas_new_-gamma_gas_)/gamma_gas_</f>
        <v>0</v>
      </c>
    </row>
    <row r="37" spans="2:33" ht="18" outlineLevel="1" x14ac:dyDescent="0.25">
      <c r="B37" s="5" t="s">
        <v>111</v>
      </c>
      <c r="C37" s="31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34">
        <f>[1]!PVT_Muo_cP(P_atma_,T_C_,gamma_gas_,gamma_oil_,gamma_w_,Rsb_m3m3_,,,,,,PVT_correlation_,Ksep_,Psep_atma_,Tsep_C_)</f>
        <v>4.448291156906401</v>
      </c>
      <c r="F37" s="35">
        <f t="shared" si="0"/>
        <v>0.2297839183262913</v>
      </c>
      <c r="G37" s="36"/>
      <c r="H37" s="5" t="s">
        <v>112</v>
      </c>
      <c r="I37" s="4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30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42">
        <f>(R32-G8)/R32</f>
        <v>0</v>
      </c>
      <c r="X37" s="33">
        <v>2</v>
      </c>
    </row>
    <row r="38" spans="2:33" ht="18" outlineLevel="1" x14ac:dyDescent="0.25">
      <c r="B38" s="5" t="s">
        <v>114</v>
      </c>
      <c r="C38" s="31"/>
      <c r="D38" s="5"/>
      <c r="E38" s="34"/>
      <c r="F38" s="35"/>
      <c r="G38" s="36"/>
      <c r="H38" s="5" t="s">
        <v>115</v>
      </c>
      <c r="I38" s="26"/>
      <c r="J38" s="5"/>
      <c r="L38" s="5" t="s">
        <v>116</v>
      </c>
      <c r="M38" s="26"/>
      <c r="N38" s="5"/>
      <c r="S38" s="5" t="s">
        <v>13</v>
      </c>
      <c r="W38" s="42">
        <f>(R33-G9)/R33</f>
        <v>0</v>
      </c>
      <c r="X38" s="33">
        <v>2</v>
      </c>
      <c r="Z38" s="8" t="s">
        <v>81</v>
      </c>
      <c r="AA38" s="39">
        <f>ABS(U35)</f>
        <v>3.8166850827630654E-2</v>
      </c>
      <c r="AB38" s="39">
        <f>ABS(W35)</f>
        <v>4.6833294869441343E-2</v>
      </c>
    </row>
    <row r="39" spans="2:33" ht="18" outlineLevel="1" x14ac:dyDescent="0.25">
      <c r="B39" s="5" t="s">
        <v>117</v>
      </c>
      <c r="C39" s="31"/>
      <c r="D39" s="5"/>
      <c r="E39" s="34"/>
      <c r="F39" s="35"/>
      <c r="G39" s="36"/>
      <c r="H39" s="5" t="s">
        <v>118</v>
      </c>
      <c r="I39" s="26"/>
      <c r="J39" s="5"/>
      <c r="L39" s="5" t="s">
        <v>119</v>
      </c>
      <c r="M39" s="26"/>
      <c r="N39" s="5"/>
    </row>
    <row r="40" spans="2:33" ht="18" outlineLevel="1" x14ac:dyDescent="0.25">
      <c r="B40" s="60" t="s">
        <v>179</v>
      </c>
      <c r="C40" s="65">
        <f>PVT_SToilgas_Nm(P_atma_,T_C_,gamma_gas_,gamma_oil_,gamma_w_,Rsb_m3m3_,,Pb_atma_,Tres_C_,Bob_m3m3_,mu_cP_,PVT_correlation_,Ksep_,Psep_atma_,Tsep_C_)</f>
        <v>4.2196451605605201E-2</v>
      </c>
      <c r="D40" s="5" t="s">
        <v>178</v>
      </c>
      <c r="L40" s="60" t="s">
        <v>180</v>
      </c>
      <c r="M40" s="65">
        <f>PVT_STwatgas_Nm(P_atma_,T_C_,gamma_gas_,gamma_oil_,gamma_w_,Rsb_m3m3_,,Pb_atma_,Tres_C_,Bob_m3m3_,mu_cP_,PVT_correlation_,Ksep_,Psep_atma_,Tsep_C_)</f>
        <v>6.0255958607435781E-2</v>
      </c>
      <c r="N40" s="5" t="s">
        <v>178</v>
      </c>
    </row>
    <row r="41" spans="2:33" outlineLevel="1" x14ac:dyDescent="0.25">
      <c r="L41" s="36"/>
    </row>
    <row r="42" spans="2:33" outlineLevel="1" x14ac:dyDescent="0.25">
      <c r="B42" s="25" t="s">
        <v>120</v>
      </c>
      <c r="C42" s="2"/>
      <c r="D42" s="2"/>
      <c r="E42" s="32"/>
      <c r="F42" s="36"/>
      <c r="L42" s="36"/>
    </row>
    <row r="43" spans="2:33" ht="18" outlineLevel="1" x14ac:dyDescent="0.25">
      <c r="B43" s="7" t="s">
        <v>121</v>
      </c>
      <c r="C43" s="50">
        <f>[1]!MF_Qmix_m3day(Ql_scm3day_,wc_perc_,P_atma_,T_C_,gamma_gas_,gamma_oil_,gamma_w_,Rsb_m3m3_,Rp_m3m3_,Pb_atma_,Tres_C_,Bob_m3m3_,mu_cP_,PVT_correlation_,Ksep_,Psep_atma_,Tsep_C_)</f>
        <v>5438.136753574644</v>
      </c>
      <c r="D43" s="5" t="s">
        <v>33</v>
      </c>
      <c r="E43" s="32"/>
      <c r="F43" s="36"/>
      <c r="L43" s="36"/>
    </row>
    <row r="44" spans="2:33" ht="18" outlineLevel="1" x14ac:dyDescent="0.25">
      <c r="B44" s="5" t="s">
        <v>122</v>
      </c>
      <c r="C44" s="50">
        <f>[1]!MF_Rhomix_kgm3(Ql_scm3day_,wc_perc_,P_atma_,T_C_,gamma_gas_,gamma_oil_,gamma_w_,Rsb_m3m3_,Rp_m3m3_,Pb_atma_,Tres_C_,Bob_m3m3_,mu_cP_,PVT_correlation_,Ksep_,Psep_atma_,Tsep_C_)</f>
        <v>783.47220808469297</v>
      </c>
      <c r="D44" s="5" t="s">
        <v>82</v>
      </c>
      <c r="E44" s="32"/>
      <c r="F44" s="36"/>
      <c r="X44">
        <f>gamma_gas_</f>
        <v>0.7</v>
      </c>
    </row>
    <row r="45" spans="2:33" ht="18" outlineLevel="1" x14ac:dyDescent="0.25">
      <c r="B45" s="5" t="s">
        <v>123</v>
      </c>
      <c r="C45" s="50">
        <f>[1]!MF_Mumix_cP(Ql_scm3day_,wc_perc_,P_atma_,T_C_,gamma_gas_,gamma_oil_,gamma_w_,Rsb_m3m3_,Rp_m3m3_,Pb_atma_,Tres_C_,Bob_m3m3_,mu_cP_,PVT_correlation_,Ksep_,Psep_atma_,Tsep_C_)</f>
        <v>7.0348320873219641E-2</v>
      </c>
      <c r="D45" s="5" t="s">
        <v>7</v>
      </c>
      <c r="E45" s="32"/>
      <c r="F45" s="36"/>
    </row>
    <row r="46" spans="2:33" ht="18" outlineLevel="1" x14ac:dyDescent="0.25">
      <c r="B46" s="5" t="s">
        <v>124</v>
      </c>
      <c r="E46" s="36"/>
      <c r="F46" s="36"/>
    </row>
    <row r="47" spans="2:33" ht="18" outlineLevel="1" x14ac:dyDescent="0.25">
      <c r="B47" s="5" t="s">
        <v>125</v>
      </c>
      <c r="E47" s="36"/>
      <c r="F47" s="36"/>
    </row>
    <row r="48" spans="2:33" ht="18" outlineLevel="1" x14ac:dyDescent="0.25">
      <c r="B48" s="5" t="s">
        <v>126</v>
      </c>
      <c r="E48" s="36"/>
      <c r="F48" s="36"/>
    </row>
    <row r="49" spans="1:29" outlineLevel="1" x14ac:dyDescent="0.25">
      <c r="C49">
        <f>PVT_STliqgas_Nm(P_atma_,T_C_,gamma_gas_,gamma_oil_,gamma_w_,Rsb_m3m3_,,Pb_atma_,Tres_C_,Bob_m3m3_,mu_cP_,PVT_correlation_,Ksep_,Psep_atma_,Tsep_C_)</f>
        <v>4.2196451605605201E-2</v>
      </c>
      <c r="D49" s="5" t="s">
        <v>178</v>
      </c>
      <c r="E49" s="36"/>
      <c r="F49" s="36"/>
    </row>
    <row r="50" spans="1:29" outlineLevel="1" x14ac:dyDescent="0.25">
      <c r="E50" s="36"/>
      <c r="F50" s="36"/>
    </row>
    <row r="51" spans="1:29" outlineLevel="1" x14ac:dyDescent="0.25">
      <c r="E51" s="36"/>
      <c r="F51" s="36"/>
    </row>
    <row r="52" spans="1:29" outlineLevel="1" x14ac:dyDescent="0.25"/>
    <row r="53" spans="1:29" outlineLevel="1" x14ac:dyDescent="0.25"/>
    <row r="54" spans="1:29" x14ac:dyDescent="0.25">
      <c r="L54" s="36"/>
    </row>
    <row r="55" spans="1:29" x14ac:dyDescent="0.25">
      <c r="B55" s="51" t="s">
        <v>127</v>
      </c>
      <c r="C55" s="23"/>
      <c r="D55" s="23"/>
      <c r="E55" s="23"/>
      <c r="F55" s="23"/>
      <c r="G55" s="24"/>
      <c r="H55" s="23"/>
      <c r="I55" s="23"/>
      <c r="J55" s="23"/>
      <c r="K55" s="23"/>
      <c r="L55" s="52"/>
      <c r="M55" s="52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</row>
    <row r="56" spans="1:29" outlineLevel="1" x14ac:dyDescent="0.25">
      <c r="B56" t="str">
        <f>"Температура = " &amp;T_C_&amp;" °С"</f>
        <v>Температура = 30 °С</v>
      </c>
      <c r="L56" s="36"/>
      <c r="M56" s="36"/>
    </row>
    <row r="57" spans="1:29" outlineLevel="1" x14ac:dyDescent="0.25">
      <c r="L57" s="36"/>
      <c r="M57" s="36"/>
    </row>
    <row r="58" spans="1:29" ht="18" outlineLevel="1" x14ac:dyDescent="0.25">
      <c r="A58" s="5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60" t="s">
        <v>166</v>
      </c>
      <c r="Q58" s="60" t="s">
        <v>167</v>
      </c>
      <c r="R58" s="60" t="s">
        <v>168</v>
      </c>
    </row>
    <row r="59" spans="1:29" outlineLevel="1" x14ac:dyDescent="0.25">
      <c r="A59" s="54">
        <v>1</v>
      </c>
      <c r="B59" s="55">
        <v>1</v>
      </c>
      <c r="C59" s="2">
        <v>1</v>
      </c>
      <c r="D59" s="2">
        <v>2.870269071828853</v>
      </c>
      <c r="E59" s="2">
        <v>2.870269071828853</v>
      </c>
      <c r="F59">
        <v>7.3073359279448066E-2</v>
      </c>
      <c r="G59" s="2">
        <v>1.0284661798992814</v>
      </c>
      <c r="H59" s="10">
        <v>1.0284661798992814</v>
      </c>
      <c r="I59">
        <v>1.0222526485976851</v>
      </c>
      <c r="J59" s="2">
        <v>838.58336060403883</v>
      </c>
      <c r="K59" s="2">
        <v>838.58336060403883</v>
      </c>
      <c r="L59">
        <v>841.34043847765668</v>
      </c>
      <c r="M59" s="2">
        <v>5.6578645150739844</v>
      </c>
      <c r="N59" s="2">
        <v>5.6578645150739844</v>
      </c>
      <c r="O59">
        <v>6.0213429641748046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25">
      <c r="A60" s="54">
        <v>2</v>
      </c>
      <c r="B60" s="56">
        <f>($B$79-$B$59)/($A$79-$A$59)+B59</f>
        <v>4.9124101772170992</v>
      </c>
      <c r="C60" s="2">
        <v>5.1333129408491152</v>
      </c>
      <c r="D60" s="2">
        <v>12.759697733962112</v>
      </c>
      <c r="E60" s="2">
        <v>12.759697733962112</v>
      </c>
      <c r="F60">
        <v>7.8498650232280047</v>
      </c>
      <c r="G60" s="2">
        <v>1.0501854333142775</v>
      </c>
      <c r="H60" s="10">
        <v>1.0501854333142775</v>
      </c>
      <c r="I60">
        <v>1.0394355719825954</v>
      </c>
      <c r="J60" s="2">
        <v>829.29351167688378</v>
      </c>
      <c r="K60" s="2">
        <v>829.29351167688378</v>
      </c>
      <c r="L60">
        <v>833.83054171993149</v>
      </c>
      <c r="M60" s="2">
        <v>4.6332027452079467</v>
      </c>
      <c r="N60" s="2">
        <v>4.6332027452079467</v>
      </c>
      <c r="O60">
        <v>5.0978688361695239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25">
      <c r="A61" s="54">
        <v>3</v>
      </c>
      <c r="B61" s="56">
        <f t="shared" ref="B61:B78" si="1">($B$79-$B$59)/($A$79-$A$59)+B60</f>
        <v>8.8248203544341983</v>
      </c>
      <c r="C61" s="2">
        <v>9.2666258816982303</v>
      </c>
      <c r="D61" s="2">
        <v>19.483214075380882</v>
      </c>
      <c r="E61" s="2">
        <v>19.483214075380882</v>
      </c>
      <c r="F61">
        <v>12.364501307691741</v>
      </c>
      <c r="G61" s="2">
        <v>1.0648323830419844</v>
      </c>
      <c r="H61" s="10">
        <v>1.0648323830419844</v>
      </c>
      <c r="I61">
        <v>1.0493220653165771</v>
      </c>
      <c r="J61" s="2">
        <v>823.28624092056737</v>
      </c>
      <c r="K61" s="2">
        <v>823.28624092056737</v>
      </c>
      <c r="L61">
        <v>829.65376088863195</v>
      </c>
      <c r="M61" s="2">
        <v>4.1043926461827214</v>
      </c>
      <c r="N61" s="2">
        <v>4.1043926461827214</v>
      </c>
      <c r="O61">
        <v>4.6678734584135624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25">
      <c r="A62" s="54">
        <v>4</v>
      </c>
      <c r="B62" s="56">
        <f t="shared" si="1"/>
        <v>12.737230531651297</v>
      </c>
      <c r="C62" s="2">
        <v>13.399938822547345</v>
      </c>
      <c r="D62" s="2">
        <v>25.238144963591264</v>
      </c>
      <c r="E62" s="2">
        <v>25.238144963591264</v>
      </c>
      <c r="F62">
        <v>16.150377720837035</v>
      </c>
      <c r="G62" s="2">
        <v>1.0773175075694756</v>
      </c>
      <c r="H62" s="10">
        <v>1.0773175075694756</v>
      </c>
      <c r="I62">
        <v>1.0575811668104491</v>
      </c>
      <c r="J62" s="2">
        <v>818.31345262395701</v>
      </c>
      <c r="K62" s="2">
        <v>818.31345262395701</v>
      </c>
      <c r="L62">
        <v>826.23600811501251</v>
      </c>
      <c r="M62" s="2">
        <v>3.7277090200970142</v>
      </c>
      <c r="N62" s="2">
        <v>3.7277090200970142</v>
      </c>
      <c r="O62">
        <v>4.3529322646057587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25">
      <c r="A63" s="54">
        <v>5</v>
      </c>
      <c r="B63" s="56">
        <f t="shared" si="1"/>
        <v>16.649640708868397</v>
      </c>
      <c r="C63" s="2">
        <v>17.533251763396461</v>
      </c>
      <c r="D63" s="2">
        <v>30.471191957275128</v>
      </c>
      <c r="E63" s="2">
        <v>30.471191957275128</v>
      </c>
      <c r="F63">
        <v>19.541060770860231</v>
      </c>
      <c r="G63" s="2">
        <v>1.0886381358340553</v>
      </c>
      <c r="H63" s="10">
        <v>1.0886381358340553</v>
      </c>
      <c r="I63">
        <v>1.0649580943529677</v>
      </c>
      <c r="J63" s="2">
        <v>813.91477065158313</v>
      </c>
      <c r="K63" s="2">
        <v>813.91477065158313</v>
      </c>
      <c r="L63">
        <v>823.23550983787004</v>
      </c>
      <c r="M63" s="2">
        <v>3.4326245875518011</v>
      </c>
      <c r="N63" s="32">
        <v>3.4326245875518011</v>
      </c>
      <c r="O63">
        <v>4.1002917679434185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25">
      <c r="A64" s="54">
        <v>6</v>
      </c>
      <c r="B64" s="56">
        <f t="shared" si="1"/>
        <v>20.562050886085498</v>
      </c>
      <c r="C64" s="2">
        <v>21.666564704245577</v>
      </c>
      <c r="D64" s="2">
        <v>35.374484404416215</v>
      </c>
      <c r="E64" s="2">
        <v>35.374484404416215</v>
      </c>
      <c r="F64">
        <v>22.67421942967724</v>
      </c>
      <c r="G64" s="2">
        <v>1.0992232508508828</v>
      </c>
      <c r="H64" s="10">
        <v>1.0992232508508828</v>
      </c>
      <c r="I64">
        <v>1.0717602658076764</v>
      </c>
      <c r="J64" s="2">
        <v>809.89180735459308</v>
      </c>
      <c r="K64" s="2">
        <v>809.89180735459308</v>
      </c>
      <c r="L64">
        <v>820.51069979848387</v>
      </c>
      <c r="M64" s="2">
        <v>3.1895276939001946</v>
      </c>
      <c r="N64" s="2">
        <v>3.1895276939001946</v>
      </c>
      <c r="O64">
        <v>3.8880552315347865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25">
      <c r="A65" s="54">
        <v>7</v>
      </c>
      <c r="B65" s="56">
        <f t="shared" si="1"/>
        <v>24.474461063302599</v>
      </c>
      <c r="C65" s="2">
        <v>25.799877645094693</v>
      </c>
      <c r="D65" s="2">
        <v>40.052888260284789</v>
      </c>
      <c r="E65" s="2">
        <v>40.052888260284789</v>
      </c>
      <c r="F65">
        <v>25.623541336797413</v>
      </c>
      <c r="G65" s="2">
        <v>1.109307098589577</v>
      </c>
      <c r="H65" s="10">
        <v>1.109307098589577</v>
      </c>
      <c r="I65">
        <v>1.0781521931526206</v>
      </c>
      <c r="J65" s="2">
        <v>806.13639870177178</v>
      </c>
      <c r="K65" s="2">
        <v>806.13639870177178</v>
      </c>
      <c r="L65">
        <v>817.98562570003912</v>
      </c>
      <c r="M65" s="2">
        <v>2.9827742110725635</v>
      </c>
      <c r="N65" s="2">
        <v>2.9827742110725635</v>
      </c>
      <c r="O65">
        <v>3.7045606083564451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25">
      <c r="A66" s="54">
        <v>8</v>
      </c>
      <c r="B66" s="56">
        <f t="shared" si="1"/>
        <v>28.386871240519699</v>
      </c>
      <c r="C66" s="2">
        <v>29.933190585943809</v>
      </c>
      <c r="D66" s="2">
        <v>44.571532055403182</v>
      </c>
      <c r="E66" s="2">
        <v>44.571532055403182</v>
      </c>
      <c r="F66">
        <v>28.434258508759868</v>
      </c>
      <c r="G66" s="2">
        <v>1.1190352571119691</v>
      </c>
      <c r="H66" s="10">
        <v>1.1190352571119691</v>
      </c>
      <c r="I66">
        <v>1.0842348560073236</v>
      </c>
      <c r="J66" s="2">
        <v>802.58161911389709</v>
      </c>
      <c r="K66" s="2">
        <v>802.58161911389709</v>
      </c>
      <c r="L66">
        <v>815.61359942862146</v>
      </c>
      <c r="M66" s="2">
        <v>2.8029912759455518</v>
      </c>
      <c r="N66" s="2">
        <v>2.8029912759455518</v>
      </c>
      <c r="O66">
        <v>3.5427251167176572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25">
      <c r="A67" s="54">
        <v>9</v>
      </c>
      <c r="B67" s="56">
        <f t="shared" si="1"/>
        <v>32.2992814177368</v>
      </c>
      <c r="C67" s="2">
        <v>34.066503526792921</v>
      </c>
      <c r="D67" s="2">
        <v>48.974345089004089</v>
      </c>
      <c r="E67" s="2">
        <v>48.974345089004089</v>
      </c>
      <c r="F67">
        <v>31.136640453495396</v>
      </c>
      <c r="G67" s="2">
        <v>1.1285059958634507</v>
      </c>
      <c r="H67" s="10">
        <v>1.1285059958634507</v>
      </c>
      <c r="I67">
        <v>1.0900758367640202</v>
      </c>
      <c r="J67" s="2">
        <v>799.18261266003344</v>
      </c>
      <c r="K67" s="2">
        <v>799.18261266003344</v>
      </c>
      <c r="L67">
        <v>813.36335844435564</v>
      </c>
      <c r="M67" s="2">
        <v>2.6440875665875674</v>
      </c>
      <c r="N67" s="2">
        <v>2.6440875665875674</v>
      </c>
      <c r="O67">
        <v>3.3978751247133236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25">
      <c r="A68" s="54">
        <v>10</v>
      </c>
      <c r="B68" s="56">
        <f t="shared" si="1"/>
        <v>36.211691594953898</v>
      </c>
      <c r="C68" s="2">
        <v>38.199816467642037</v>
      </c>
      <c r="D68" s="2">
        <v>53.292717487793936</v>
      </c>
      <c r="E68" s="2">
        <v>53.292717487793936</v>
      </c>
      <c r="F68">
        <v>33.752193643695144</v>
      </c>
      <c r="G68" s="2">
        <v>1.1377895920995427</v>
      </c>
      <c r="H68" s="10">
        <v>1.1377895920995427</v>
      </c>
      <c r="I68">
        <v>1.0957231618556211</v>
      </c>
      <c r="J68" s="2">
        <v>795.90761363649358</v>
      </c>
      <c r="K68" s="2">
        <v>795.90761363649358</v>
      </c>
      <c r="L68">
        <v>811.21269443355402</v>
      </c>
      <c r="M68" s="2">
        <v>2.5018697770753873</v>
      </c>
      <c r="N68" s="2">
        <v>2.5018697770753873</v>
      </c>
      <c r="O68">
        <v>3.2667435333569461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25">
      <c r="A69" s="54">
        <v>11</v>
      </c>
      <c r="B69" s="56">
        <f t="shared" si="1"/>
        <v>40.124101772170995</v>
      </c>
      <c r="C69" s="2">
        <v>42.333129408491153</v>
      </c>
      <c r="D69" s="2">
        <v>57.550058755974867</v>
      </c>
      <c r="E69" s="2">
        <v>57.550058755974867</v>
      </c>
      <c r="F69">
        <v>36.296887505293427</v>
      </c>
      <c r="G69" s="2">
        <v>1.1469384977452866</v>
      </c>
      <c r="H69" s="10">
        <v>1.1469384977452866</v>
      </c>
      <c r="I69">
        <v>1.1012125023985289</v>
      </c>
      <c r="J69" s="2">
        <v>792.73320804464083</v>
      </c>
      <c r="K69" s="2">
        <v>792.73320804464083</v>
      </c>
      <c r="L69">
        <v>809.14513164797336</v>
      </c>
      <c r="M69" s="2">
        <v>2.3733236344723148</v>
      </c>
      <c r="N69" s="2">
        <v>2.3733236344723148</v>
      </c>
      <c r="O69">
        <v>3.1469468665314451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25">
      <c r="A70" s="54">
        <v>12</v>
      </c>
      <c r="B70" s="56">
        <f t="shared" si="1"/>
        <v>44.036511949388093</v>
      </c>
      <c r="C70" s="2">
        <v>46.466442349340269</v>
      </c>
      <c r="D70" s="2">
        <v>61.764412255320103</v>
      </c>
      <c r="E70" s="2">
        <v>61.764412255320103</v>
      </c>
      <c r="F70">
        <v>38.782988958646548</v>
      </c>
      <c r="G70" s="2">
        <v>1.1559931694914984</v>
      </c>
      <c r="H70" s="10">
        <v>1.1559931694914984</v>
      </c>
      <c r="I70">
        <v>1.1065712681455278</v>
      </c>
      <c r="J70" s="2">
        <v>789.64161018197126</v>
      </c>
      <c r="K70" s="2">
        <v>789.64161018197126</v>
      </c>
      <c r="L70">
        <v>807.14803468951311</v>
      </c>
      <c r="M70" s="2">
        <v>2.2562077321094072</v>
      </c>
      <c r="N70" s="2">
        <v>2.2562077321094072</v>
      </c>
      <c r="O70">
        <v>3.0366879623804053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25">
      <c r="A71" s="54">
        <v>13</v>
      </c>
      <c r="B71" s="56">
        <f t="shared" si="1"/>
        <v>47.94892212660519</v>
      </c>
      <c r="C71" s="2">
        <v>50.599755290189385</v>
      </c>
      <c r="D71" s="2">
        <v>65.950055317721166</v>
      </c>
      <c r="E71" s="2">
        <v>65.950055317721166</v>
      </c>
      <c r="F71">
        <v>41.220177842720339</v>
      </c>
      <c r="G71" s="2">
        <v>1.1649856372563565</v>
      </c>
      <c r="H71" s="10">
        <v>1.1649856372563565</v>
      </c>
      <c r="I71">
        <v>1.1118210962224648</v>
      </c>
      <c r="J71" s="2">
        <v>786.61899211509945</v>
      </c>
      <c r="K71" s="2">
        <v>786.61899211509945</v>
      </c>
      <c r="L71">
        <v>805.21145616954971</v>
      </c>
      <c r="M71" s="2">
        <v>2.1488090744253334</v>
      </c>
      <c r="N71" s="2">
        <v>2.1488090744253334</v>
      </c>
      <c r="O71">
        <v>2.9345755861968539</v>
      </c>
      <c r="P71">
        <v>0.411052572424978</v>
      </c>
      <c r="Q71">
        <v>0.411052572424978</v>
      </c>
      <c r="R71">
        <v>0.411052572424978</v>
      </c>
    </row>
    <row r="72" spans="1:18" outlineLevel="1" x14ac:dyDescent="0.25">
      <c r="A72" s="54">
        <v>14</v>
      </c>
      <c r="B72" s="56">
        <f t="shared" si="1"/>
        <v>51.861332303822287</v>
      </c>
      <c r="C72" s="2">
        <v>54.733068231038501</v>
      </c>
      <c r="D72" s="2">
        <v>70.118529822505295</v>
      </c>
      <c r="E72" s="2">
        <v>70.118529822505295</v>
      </c>
      <c r="F72">
        <v>43.616261568204592</v>
      </c>
      <c r="G72" s="2">
        <v>1.1739418023123269</v>
      </c>
      <c r="H72" s="10">
        <v>1.1739418023123269</v>
      </c>
      <c r="I72">
        <v>1.116979445434888</v>
      </c>
      <c r="J72" s="2">
        <v>783.65440578642233</v>
      </c>
      <c r="K72" s="2">
        <v>783.65440578642233</v>
      </c>
      <c r="L72">
        <v>803.32739729257537</v>
      </c>
      <c r="M72" s="2">
        <v>2.0497884232094128</v>
      </c>
      <c r="N72" s="2">
        <v>2.0497884232094128</v>
      </c>
      <c r="O72">
        <v>2.8395092746628738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25">
      <c r="A73" s="54">
        <v>15</v>
      </c>
      <c r="B73" s="56">
        <f t="shared" si="1"/>
        <v>55.773742481039385</v>
      </c>
      <c r="C73" s="2">
        <v>58.866381171887618</v>
      </c>
      <c r="D73" s="2">
        <v>74.279333899938706</v>
      </c>
      <c r="E73" s="2">
        <v>74.279333899938706</v>
      </c>
      <c r="F73">
        <v>45.977652729515846</v>
      </c>
      <c r="G73" s="2">
        <v>1.1828829797788563</v>
      </c>
      <c r="H73" s="10">
        <v>1.1828829797788563</v>
      </c>
      <c r="I73">
        <v>1.1220606616411368</v>
      </c>
      <c r="J73" s="2">
        <v>780.73905817001787</v>
      </c>
      <c r="K73" s="2">
        <v>780.73905817001787</v>
      </c>
      <c r="L73">
        <v>801.48931299525373</v>
      </c>
      <c r="M73" s="2">
        <v>1.9580784227169492</v>
      </c>
      <c r="N73" s="2">
        <v>1.9580784227169492</v>
      </c>
      <c r="O73">
        <v>2.7506027485000617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25">
      <c r="A74" s="54">
        <v>16</v>
      </c>
      <c r="B74" s="56">
        <f t="shared" si="1"/>
        <v>59.686152658256482</v>
      </c>
      <c r="C74" s="2">
        <v>62.999694112736734</v>
      </c>
      <c r="D74" s="2">
        <v>78.440402271586834</v>
      </c>
      <c r="E74" s="2">
        <v>78.440402271586834</v>
      </c>
      <c r="F74">
        <v>48.309699591654223</v>
      </c>
      <c r="G74" s="2">
        <v>1.1918269697661616</v>
      </c>
      <c r="H74" s="10">
        <v>1.1918269697661616</v>
      </c>
      <c r="I74">
        <v>1.127076714877574</v>
      </c>
      <c r="J74" s="2">
        <v>777.86580698080127</v>
      </c>
      <c r="K74" s="2">
        <v>777.86580698080127</v>
      </c>
      <c r="L74">
        <v>799.69176906621647</v>
      </c>
      <c r="M74" s="2">
        <v>1.8728142105837864</v>
      </c>
      <c r="N74" s="2">
        <v>1.8728142105837864</v>
      </c>
      <c r="O74">
        <v>2.6671312268979261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25">
      <c r="A75" s="54">
        <v>17</v>
      </c>
      <c r="B75" s="56">
        <f t="shared" si="1"/>
        <v>63.598562835473579</v>
      </c>
      <c r="C75" s="2">
        <v>67.133007053585843</v>
      </c>
      <c r="D75" s="2">
        <v>82.608449498452316</v>
      </c>
      <c r="E75" s="2">
        <v>82.608449498452316</v>
      </c>
      <c r="F75">
        <v>50.616921540940915</v>
      </c>
      <c r="G75" s="2">
        <v>1.2007888227783161</v>
      </c>
      <c r="H75" s="10">
        <v>1.2007888227783161</v>
      </c>
      <c r="I75">
        <v>1.1320377244181339</v>
      </c>
      <c r="J75" s="2">
        <v>775.0287996296521</v>
      </c>
      <c r="K75" s="2">
        <v>775.0287996296521</v>
      </c>
      <c r="L75">
        <v>797.9301975973334</v>
      </c>
      <c r="M75" s="2">
        <v>1.7932848067751939</v>
      </c>
      <c r="N75" s="2">
        <v>1.7932848067751939</v>
      </c>
      <c r="O75">
        <v>2.5884941424956134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25">
      <c r="A76" s="54">
        <v>18</v>
      </c>
      <c r="B76" s="56">
        <f t="shared" si="1"/>
        <v>67.510973012690684</v>
      </c>
      <c r="C76" s="2">
        <v>71.266319994434951</v>
      </c>
      <c r="D76" s="2">
        <v>86.789221323931272</v>
      </c>
      <c r="E76" s="2">
        <v>86.789221323931272</v>
      </c>
      <c r="F76">
        <v>52.903181046423512</v>
      </c>
      <c r="G76" s="2">
        <v>1.2097814001329776</v>
      </c>
      <c r="H76" s="10">
        <v>1.2097814001329776</v>
      </c>
      <c r="I76">
        <v>1.1369523424914105</v>
      </c>
      <c r="J76" s="2">
        <v>772.22320832616901</v>
      </c>
      <c r="K76" s="2">
        <v>772.22320832616901</v>
      </c>
      <c r="L76">
        <v>796.20071797858122</v>
      </c>
      <c r="M76" s="2">
        <v>1.7188982309231766</v>
      </c>
      <c r="N76" s="2">
        <v>1.7188982309231766</v>
      </c>
      <c r="O76">
        <v>2.5141881102323409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25">
      <c r="A77" s="54">
        <v>19</v>
      </c>
      <c r="B77" s="56">
        <f t="shared" si="1"/>
        <v>71.423383189907781</v>
      </c>
      <c r="C77" s="2">
        <v>75.39963293528406</v>
      </c>
      <c r="D77" s="2">
        <v>90.987682637764451</v>
      </c>
      <c r="E77" s="2">
        <v>90.987682637764451</v>
      </c>
      <c r="F77">
        <v>55.171811969591133</v>
      </c>
      <c r="G77" s="2">
        <v>1.2188157928735559</v>
      </c>
      <c r="H77" s="10">
        <v>1.2188157928735559</v>
      </c>
      <c r="I77">
        <v>1.1418280401179879</v>
      </c>
      <c r="J77" s="2">
        <v>769.44503164333514</v>
      </c>
      <c r="K77" s="2">
        <v>769.44503164333514</v>
      </c>
      <c r="L77">
        <v>794.50000350712469</v>
      </c>
      <c r="M77" s="2">
        <v>1.6491559463740972</v>
      </c>
      <c r="N77" s="2">
        <v>1.6491559463740972</v>
      </c>
      <c r="O77">
        <v>2.4437869174805269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25">
      <c r="A78" s="54">
        <v>20</v>
      </c>
      <c r="B78" s="56">
        <f t="shared" si="1"/>
        <v>75.335793367124879</v>
      </c>
      <c r="C78" s="2">
        <v>79.532945876133169</v>
      </c>
      <c r="D78" s="2">
        <v>95.208160649541654</v>
      </c>
      <c r="E78" s="2">
        <v>95.208160649541654</v>
      </c>
      <c r="F78">
        <v>57.425717105722477</v>
      </c>
      <c r="G78" s="2">
        <v>1.2279016413818555</v>
      </c>
      <c r="H78" s="10">
        <v>1.2279016413818555</v>
      </c>
      <c r="I78">
        <v>1.1466713248190645</v>
      </c>
      <c r="J78" s="2">
        <v>766.69094264457976</v>
      </c>
      <c r="K78" s="2">
        <v>766.69094264457976</v>
      </c>
      <c r="L78">
        <v>792.82517957366122</v>
      </c>
      <c r="M78" s="2">
        <v>1.5836337954630948</v>
      </c>
      <c r="N78" s="2">
        <v>1.5836337954630948</v>
      </c>
      <c r="O78">
        <v>2.3769264400394707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25">
      <c r="A79" s="54">
        <v>21</v>
      </c>
      <c r="B79" s="57">
        <f>G23</f>
        <v>79.24820354434199</v>
      </c>
      <c r="C79" s="2">
        <v>83.666258816982307</v>
      </c>
      <c r="D79" s="2">
        <v>99.45445572300568</v>
      </c>
      <c r="E79" s="2">
        <v>99.45445572300568</v>
      </c>
      <c r="F79">
        <v>59.66744356118442</v>
      </c>
      <c r="G79" s="2">
        <v>1.2383330749167678</v>
      </c>
      <c r="H79" s="10">
        <v>1.2383330749167678</v>
      </c>
      <c r="I79">
        <v>1.1514879086630763</v>
      </c>
      <c r="J79" s="2">
        <v>763.16499585806275</v>
      </c>
      <c r="K79" s="2">
        <v>763.16499585806275</v>
      </c>
      <c r="L79">
        <v>791.17374503465544</v>
      </c>
      <c r="M79" s="2">
        <v>1.521967549138763</v>
      </c>
      <c r="N79" s="2">
        <v>1.521967549138763</v>
      </c>
      <c r="O79">
        <v>2.3132930880136202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25">
      <c r="A80" s="54">
        <v>22</v>
      </c>
      <c r="B80" s="56">
        <f t="shared" ref="B80:B98" si="2">($B$99-$B$79)/($A$99-$A$79)+B79</f>
        <v>90.285793367124896</v>
      </c>
      <c r="C80" s="2">
        <v>94.482945876133186</v>
      </c>
      <c r="D80" s="2">
        <v>100</v>
      </c>
      <c r="E80" s="2">
        <v>100</v>
      </c>
      <c r="F80">
        <v>65.491969681483809</v>
      </c>
      <c r="G80" s="2">
        <v>1.2344741934623329</v>
      </c>
      <c r="H80" s="10">
        <v>1.2344741934623329</v>
      </c>
      <c r="I80">
        <v>1.1640014722311862</v>
      </c>
      <c r="J80" s="2">
        <v>765.9285264992867</v>
      </c>
      <c r="K80" s="2">
        <v>765.9285264992867</v>
      </c>
      <c r="L80">
        <v>786.94752489967357</v>
      </c>
      <c r="M80" s="2">
        <v>1.5426582106744255</v>
      </c>
      <c r="N80" s="2">
        <v>1.5426582106744255</v>
      </c>
      <c r="O80">
        <v>2.1601587186361466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25">
      <c r="A81" s="54">
        <v>23</v>
      </c>
      <c r="B81" s="56">
        <f t="shared" si="2"/>
        <v>101.3233831899078</v>
      </c>
      <c r="C81" s="2">
        <v>105.29963293528407</v>
      </c>
      <c r="D81" s="2">
        <v>100</v>
      </c>
      <c r="E81" s="2">
        <v>100</v>
      </c>
      <c r="F81">
        <v>71.280832799048497</v>
      </c>
      <c r="G81" s="2">
        <v>1.2314166781275693</v>
      </c>
      <c r="H81" s="10">
        <v>1.2314166781275693</v>
      </c>
      <c r="I81">
        <v>1.1764392970858519</v>
      </c>
      <c r="J81" s="2">
        <v>767.83026963522127</v>
      </c>
      <c r="K81" s="2">
        <v>767.83026963522127</v>
      </c>
      <c r="L81">
        <v>782.8356785451806</v>
      </c>
      <c r="M81" s="2">
        <v>1.5709801148347229</v>
      </c>
      <c r="N81" s="2">
        <v>1.5709801148347229</v>
      </c>
      <c r="O81">
        <v>2.0234832450984848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25">
      <c r="A82" s="54">
        <v>24</v>
      </c>
      <c r="B82" s="56">
        <f t="shared" si="2"/>
        <v>112.36097301269071</v>
      </c>
      <c r="C82" s="2">
        <v>116.11631999443495</v>
      </c>
      <c r="D82" s="2">
        <v>100</v>
      </c>
      <c r="E82" s="2">
        <v>100</v>
      </c>
      <c r="F82">
        <v>77.059227922144487</v>
      </c>
      <c r="G82" s="2">
        <v>1.2289343904608365</v>
      </c>
      <c r="H82" s="10">
        <v>1.2289343904608365</v>
      </c>
      <c r="I82">
        <v>1.1888579214153203</v>
      </c>
      <c r="J82" s="2">
        <v>769.38118693662807</v>
      </c>
      <c r="K82" s="2">
        <v>769.38118693662807</v>
      </c>
      <c r="L82">
        <v>778.81491509470379</v>
      </c>
      <c r="M82" s="2">
        <v>1.5993020189950202</v>
      </c>
      <c r="N82" s="2">
        <v>1.5993020189950202</v>
      </c>
      <c r="O82">
        <v>1.9004382379750209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25">
      <c r="A83" s="54">
        <v>25</v>
      </c>
      <c r="B83" s="56">
        <f t="shared" si="2"/>
        <v>123.39856283547361</v>
      </c>
      <c r="C83" s="2">
        <v>126.93300705358583</v>
      </c>
      <c r="D83" s="2">
        <v>100</v>
      </c>
      <c r="E83" s="2">
        <v>100</v>
      </c>
      <c r="F83">
        <v>82.846861015682933</v>
      </c>
      <c r="G83" s="2">
        <v>1.2268789603286467</v>
      </c>
      <c r="H83" s="10">
        <v>1.2268789603286467</v>
      </c>
      <c r="I83">
        <v>1.2013015363275723</v>
      </c>
      <c r="J83" s="2">
        <v>770.67015620409836</v>
      </c>
      <c r="K83" s="2">
        <v>770.67015620409836</v>
      </c>
      <c r="L83">
        <v>774.86774046560163</v>
      </c>
      <c r="M83" s="2">
        <v>1.6276239231553176</v>
      </c>
      <c r="N83" s="2">
        <v>1.6276239231553176</v>
      </c>
      <c r="O83">
        <v>1.7889024964813409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25">
      <c r="A84" s="54">
        <v>26</v>
      </c>
      <c r="B84" s="56">
        <f t="shared" si="2"/>
        <v>134.4361526582565</v>
      </c>
      <c r="C84" s="2">
        <v>137.74969411273671</v>
      </c>
      <c r="D84" s="2">
        <v>100</v>
      </c>
      <c r="E84" s="2">
        <v>100</v>
      </c>
      <c r="F84">
        <v>88.659511554812383</v>
      </c>
      <c r="G84" s="2">
        <v>1.2251490028392711</v>
      </c>
      <c r="H84" s="10">
        <v>1.2251490028392711</v>
      </c>
      <c r="I84">
        <v>1.213805469937439</v>
      </c>
      <c r="J84" s="2">
        <v>771.75837209087933</v>
      </c>
      <c r="K84" s="2">
        <v>771.75837209087933</v>
      </c>
      <c r="L84">
        <v>770.98081271193587</v>
      </c>
      <c r="M84" s="2">
        <v>1.6559458273156149</v>
      </c>
      <c r="N84" s="2">
        <v>1.6559458273156149</v>
      </c>
      <c r="O84">
        <v>1.6872423202942501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25">
      <c r="A85" s="54">
        <v>27</v>
      </c>
      <c r="B85" s="56">
        <f t="shared" si="2"/>
        <v>145.47374248103941</v>
      </c>
      <c r="C85" s="2">
        <v>148.5663811718876</v>
      </c>
      <c r="D85" s="2">
        <v>100</v>
      </c>
      <c r="E85" s="2">
        <v>100</v>
      </c>
      <c r="F85">
        <v>94.510062173653239</v>
      </c>
      <c r="G85" s="2">
        <v>1.2236728842340554</v>
      </c>
      <c r="H85" s="10">
        <v>1.2236728842340554</v>
      </c>
      <c r="I85">
        <v>1.2263984833081103</v>
      </c>
      <c r="J85" s="2">
        <v>772.68934547964363</v>
      </c>
      <c r="K85" s="2">
        <v>772.68934547964363</v>
      </c>
      <c r="L85">
        <v>767.14385485253536</v>
      </c>
      <c r="M85" s="2">
        <v>1.6842677314759122</v>
      </c>
      <c r="N85" s="2">
        <v>1.6842677314759122</v>
      </c>
      <c r="O85">
        <v>1.5941707956275797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25">
      <c r="A86" s="54">
        <v>28</v>
      </c>
      <c r="B86" s="56">
        <f t="shared" si="2"/>
        <v>156.51133230382231</v>
      </c>
      <c r="C86" s="2">
        <v>159.38306823103849</v>
      </c>
      <c r="D86" s="2">
        <v>100</v>
      </c>
      <c r="E86" s="2">
        <v>100</v>
      </c>
      <c r="F86">
        <v>100</v>
      </c>
      <c r="G86" s="2">
        <v>1.22239855494178</v>
      </c>
      <c r="H86" s="10">
        <v>1.22239855494178</v>
      </c>
      <c r="I86">
        <v>1.2379637489967621</v>
      </c>
      <c r="J86" s="2">
        <v>773.4948607208006</v>
      </c>
      <c r="K86" s="2">
        <v>773.4948607208006</v>
      </c>
      <c r="L86">
        <v>763.76953748948029</v>
      </c>
      <c r="M86" s="2">
        <v>1.7125896356362094</v>
      </c>
      <c r="N86" s="2">
        <v>1.7125896356362094</v>
      </c>
      <c r="O86">
        <v>1.5167597503430845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25">
      <c r="A87" s="54">
        <v>29</v>
      </c>
      <c r="B87" s="56">
        <f t="shared" si="2"/>
        <v>167.54892212660522</v>
      </c>
      <c r="C87" s="2">
        <v>170.19975529018939</v>
      </c>
      <c r="D87" s="2">
        <v>100</v>
      </c>
      <c r="E87" s="2">
        <v>100</v>
      </c>
      <c r="F87">
        <v>100</v>
      </c>
      <c r="G87" s="2">
        <v>1.2212872851100083</v>
      </c>
      <c r="H87" s="10">
        <v>1.2212872851100083</v>
      </c>
      <c r="I87">
        <v>1.2358441492175039</v>
      </c>
      <c r="J87" s="2">
        <v>774.19867669778591</v>
      </c>
      <c r="K87" s="2">
        <v>774.19867669778591</v>
      </c>
      <c r="L87">
        <v>765.07948077326068</v>
      </c>
      <c r="M87" s="2">
        <v>1.7409115397965069</v>
      </c>
      <c r="N87" s="2">
        <v>1.7409115397965069</v>
      </c>
      <c r="O87">
        <v>1.531791468729228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25">
      <c r="A88" s="54">
        <v>30</v>
      </c>
      <c r="B88" s="56">
        <f t="shared" si="2"/>
        <v>178.58651194938813</v>
      </c>
      <c r="C88" s="2">
        <v>181.01644234934028</v>
      </c>
      <c r="D88" s="2">
        <v>100</v>
      </c>
      <c r="E88" s="2">
        <v>100</v>
      </c>
      <c r="F88">
        <v>100</v>
      </c>
      <c r="G88" s="2">
        <v>1.2203096601306749</v>
      </c>
      <c r="H88" s="10">
        <v>1.2203096601306749</v>
      </c>
      <c r="I88">
        <v>1.2339808686224301</v>
      </c>
      <c r="J88" s="2">
        <v>774.81890940595406</v>
      </c>
      <c r="K88" s="2">
        <v>774.81890940595406</v>
      </c>
      <c r="L88">
        <v>766.23473186868932</v>
      </c>
      <c r="M88" s="2">
        <v>1.7692334439568043</v>
      </c>
      <c r="N88" s="2">
        <v>1.7692334439568043</v>
      </c>
      <c r="O88">
        <v>1.5468231871153715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25">
      <c r="A89" s="54">
        <v>31</v>
      </c>
      <c r="B89" s="56">
        <f t="shared" si="2"/>
        <v>189.62410177217103</v>
      </c>
      <c r="C89" s="2">
        <v>191.83312940849117</v>
      </c>
      <c r="D89" s="2">
        <v>100</v>
      </c>
      <c r="E89" s="2">
        <v>100</v>
      </c>
      <c r="F89">
        <v>100</v>
      </c>
      <c r="G89" s="2">
        <v>1.2194429389081696</v>
      </c>
      <c r="H89" s="10">
        <v>1.2194429389081696</v>
      </c>
      <c r="I89">
        <v>1.2323300656535405</v>
      </c>
      <c r="J89" s="2">
        <v>775.36961331423356</v>
      </c>
      <c r="K89" s="2">
        <v>775.36961331423356</v>
      </c>
      <c r="L89">
        <v>767.26116350862844</v>
      </c>
      <c r="M89" s="2">
        <v>1.7975553481171016</v>
      </c>
      <c r="N89" s="2">
        <v>1.7975553481171016</v>
      </c>
      <c r="O89">
        <v>1.561854905501515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25">
      <c r="A90" s="54">
        <v>32</v>
      </c>
      <c r="B90" s="56">
        <f t="shared" si="2"/>
        <v>200.66169159495394</v>
      </c>
      <c r="C90" s="2">
        <v>202.64981646764207</v>
      </c>
      <c r="D90" s="2">
        <v>100</v>
      </c>
      <c r="E90" s="2">
        <v>100</v>
      </c>
      <c r="F90">
        <v>100</v>
      </c>
      <c r="G90" s="2">
        <v>1.2186692628750737</v>
      </c>
      <c r="H90" s="10">
        <v>1.2186692628750737</v>
      </c>
      <c r="I90">
        <v>1.2308573574879496</v>
      </c>
      <c r="J90" s="2">
        <v>775.86185916377337</v>
      </c>
      <c r="K90" s="2">
        <v>775.86185916377337</v>
      </c>
      <c r="L90">
        <v>768.17918359744374</v>
      </c>
      <c r="M90" s="2">
        <v>1.8258772522773989</v>
      </c>
      <c r="N90" s="2">
        <v>1.8258772522773989</v>
      </c>
      <c r="O90">
        <v>1.5768866238876584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25">
      <c r="A91" s="54">
        <v>33</v>
      </c>
      <c r="B91" s="56">
        <f t="shared" si="2"/>
        <v>211.69928141773684</v>
      </c>
      <c r="C91" s="2">
        <v>213.46650352679296</v>
      </c>
      <c r="D91" s="2">
        <v>100</v>
      </c>
      <c r="E91" s="2">
        <v>100</v>
      </c>
      <c r="F91">
        <v>100</v>
      </c>
      <c r="G91" s="2">
        <v>1.217974412401708</v>
      </c>
      <c r="H91" s="10">
        <v>1.217974412401708</v>
      </c>
      <c r="I91">
        <v>1.2295353997806511</v>
      </c>
      <c r="J91" s="2">
        <v>776.30448585167176</v>
      </c>
      <c r="K91" s="2">
        <v>776.30448585167176</v>
      </c>
      <c r="L91">
        <v>769.00510564289607</v>
      </c>
      <c r="M91" s="2">
        <v>1.8541991564376963</v>
      </c>
      <c r="N91" s="2">
        <v>1.8541991564376963</v>
      </c>
      <c r="O91">
        <v>1.5919183422738019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25">
      <c r="A92" s="54">
        <v>34</v>
      </c>
      <c r="B92" s="56">
        <f t="shared" si="2"/>
        <v>222.73687124051975</v>
      </c>
      <c r="C92" s="2">
        <v>224.28319058594386</v>
      </c>
      <c r="D92" s="2">
        <v>100</v>
      </c>
      <c r="E92" s="2">
        <v>100</v>
      </c>
      <c r="F92">
        <v>100</v>
      </c>
      <c r="G92" s="2">
        <v>1.2173469248732085</v>
      </c>
      <c r="H92" s="10">
        <v>1.2173469248732085</v>
      </c>
      <c r="I92">
        <v>1.228342173349082</v>
      </c>
      <c r="J92" s="2">
        <v>776.70463586087385</v>
      </c>
      <c r="K92" s="2">
        <v>776.70463586087385</v>
      </c>
      <c r="L92">
        <v>769.75212649585819</v>
      </c>
      <c r="M92" s="2">
        <v>1.8825210605979936</v>
      </c>
      <c r="N92" s="2">
        <v>1.8825210605979936</v>
      </c>
      <c r="O92">
        <v>1.6069500606599454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25">
      <c r="A93" s="54">
        <v>35</v>
      </c>
      <c r="B93" s="56">
        <f t="shared" si="2"/>
        <v>233.77446106330265</v>
      </c>
      <c r="C93" s="2">
        <v>235.09987764509475</v>
      </c>
      <c r="D93" s="2">
        <v>100</v>
      </c>
      <c r="E93" s="2">
        <v>100</v>
      </c>
      <c r="F93">
        <v>100</v>
      </c>
      <c r="G93" s="2">
        <v>1.2167774573956183</v>
      </c>
      <c r="H93" s="10">
        <v>1.2167774573956183</v>
      </c>
      <c r="I93">
        <v>1.2272597480802436</v>
      </c>
      <c r="J93" s="2">
        <v>777.06814360596559</v>
      </c>
      <c r="K93" s="2">
        <v>777.06814360596559</v>
      </c>
      <c r="L93">
        <v>770.43103668888341</v>
      </c>
      <c r="M93" s="2">
        <v>1.9108429647582912</v>
      </c>
      <c r="N93" s="2">
        <v>1.9108429647582912</v>
      </c>
      <c r="O93">
        <v>1.6219817790460889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25">
      <c r="A94" s="54">
        <v>36</v>
      </c>
      <c r="B94" s="56">
        <f t="shared" si="2"/>
        <v>244.81205088608556</v>
      </c>
      <c r="C94" s="2">
        <v>245.91656470424564</v>
      </c>
      <c r="D94" s="2">
        <v>100</v>
      </c>
      <c r="E94" s="2">
        <v>100</v>
      </c>
      <c r="F94">
        <v>100</v>
      </c>
      <c r="G94" s="2">
        <v>1.2162583184648139</v>
      </c>
      <c r="H94" s="10">
        <v>1.2162583184648139</v>
      </c>
      <c r="I94">
        <v>1.2262733758653033</v>
      </c>
      <c r="J94" s="2">
        <v>777.39982176932062</v>
      </c>
      <c r="K94" s="2">
        <v>777.39982176932062</v>
      </c>
      <c r="L94">
        <v>771.05074497177861</v>
      </c>
      <c r="M94" s="2">
        <v>1.9391648689185883</v>
      </c>
      <c r="N94" s="2">
        <v>1.9391648689185883</v>
      </c>
      <c r="O94">
        <v>1.6370134974322323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25">
      <c r="A95" s="54">
        <v>37</v>
      </c>
      <c r="B95" s="56">
        <f t="shared" si="2"/>
        <v>255.84964070886846</v>
      </c>
      <c r="C95" s="2">
        <v>256.73325176339654</v>
      </c>
      <c r="D95" s="2">
        <v>100</v>
      </c>
      <c r="E95" s="2">
        <v>100</v>
      </c>
      <c r="F95">
        <v>100</v>
      </c>
      <c r="G95" s="2">
        <v>1.2157831185478021</v>
      </c>
      <c r="H95" s="10">
        <v>1.2157831185478021</v>
      </c>
      <c r="I95">
        <v>1.2253708147256817</v>
      </c>
      <c r="J95" s="2">
        <v>777.7036755777458</v>
      </c>
      <c r="K95" s="2">
        <v>777.7036755777458</v>
      </c>
      <c r="L95">
        <v>771.61867137472927</v>
      </c>
      <c r="M95" s="2">
        <v>1.9674867730788859</v>
      </c>
      <c r="N95" s="2">
        <v>1.9674867730788859</v>
      </c>
      <c r="O95">
        <v>1.6520452158183758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25">
      <c r="A96" s="54">
        <v>38</v>
      </c>
      <c r="B96" s="56">
        <f t="shared" si="2"/>
        <v>266.88723053165137</v>
      </c>
      <c r="C96" s="2">
        <v>267.5499388225474</v>
      </c>
      <c r="D96" s="2">
        <v>100</v>
      </c>
      <c r="E96" s="2">
        <v>100</v>
      </c>
      <c r="F96">
        <v>100</v>
      </c>
      <c r="G96" s="2">
        <v>1.215346505781949</v>
      </c>
      <c r="H96" s="10">
        <v>1.215346505781949</v>
      </c>
      <c r="I96">
        <v>1.2245418181866103</v>
      </c>
      <c r="J96" s="2">
        <v>777.98306532477898</v>
      </c>
      <c r="K96" s="2">
        <v>777.98306532477898</v>
      </c>
      <c r="L96">
        <v>772.14104570164261</v>
      </c>
      <c r="M96" s="2">
        <v>1.9958086772391832</v>
      </c>
      <c r="N96" s="2">
        <v>1.9958086772391832</v>
      </c>
      <c r="O96">
        <v>1.6670769342045191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25">
      <c r="A97" s="54">
        <v>39</v>
      </c>
      <c r="B97" s="56">
        <f t="shared" si="2"/>
        <v>277.92482035443425</v>
      </c>
      <c r="C97" s="2">
        <v>278.36662588169827</v>
      </c>
      <c r="D97" s="2">
        <v>100</v>
      </c>
      <c r="E97" s="2">
        <v>100</v>
      </c>
      <c r="F97">
        <v>100</v>
      </c>
      <c r="G97" s="2">
        <v>1.2149439635456947</v>
      </c>
      <c r="H97" s="10">
        <v>1.2149439635456947</v>
      </c>
      <c r="I97">
        <v>1.2237777446087554</v>
      </c>
      <c r="J97" s="2">
        <v>778.24083115783844</v>
      </c>
      <c r="K97" s="2">
        <v>778.24083115783844</v>
      </c>
      <c r="L97">
        <v>772.62313697515765</v>
      </c>
      <c r="M97" s="2">
        <v>2.0241305813994801</v>
      </c>
      <c r="N97" s="2">
        <v>2.0241305813994801</v>
      </c>
      <c r="O97">
        <v>1.6821086525906626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25">
      <c r="A98" s="54">
        <v>40</v>
      </c>
      <c r="B98" s="56">
        <f t="shared" si="2"/>
        <v>288.96241017721712</v>
      </c>
      <c r="C98" s="2">
        <v>289.18331294084913</v>
      </c>
      <c r="D98" s="2">
        <v>100</v>
      </c>
      <c r="E98" s="2">
        <v>100</v>
      </c>
      <c r="F98">
        <v>100</v>
      </c>
      <c r="G98" s="2">
        <v>1.2145716536375799</v>
      </c>
      <c r="H98" s="10">
        <v>1.2145716536375799</v>
      </c>
      <c r="I98">
        <v>1.22307125483948</v>
      </c>
      <c r="J98" s="2">
        <v>778.47938997112192</v>
      </c>
      <c r="K98" s="2">
        <v>778.47938997112192</v>
      </c>
      <c r="L98">
        <v>773.06943177574158</v>
      </c>
      <c r="M98" s="2">
        <v>2.0524524855597779</v>
      </c>
      <c r="N98" s="2">
        <v>2.0524524855597779</v>
      </c>
      <c r="O98">
        <v>1.697140370976806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25">
      <c r="A99" s="54">
        <v>41</v>
      </c>
      <c r="B99" s="5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1.214226293509121</v>
      </c>
      <c r="H99" s="10">
        <v>1.214226293509121</v>
      </c>
      <c r="I99">
        <v>1.222416075735463</v>
      </c>
      <c r="J99" s="2">
        <v>778.70081141748676</v>
      </c>
      <c r="K99" s="2">
        <v>778.70081141748676</v>
      </c>
      <c r="L99">
        <v>773.48377427966273</v>
      </c>
      <c r="M99" s="2">
        <v>2.0807743897200748</v>
      </c>
      <c r="N99" s="2">
        <v>2.0807743897200748</v>
      </c>
      <c r="O99">
        <v>1.7121720893629493</v>
      </c>
      <c r="P99">
        <v>0.1312211335917105</v>
      </c>
      <c r="Q99">
        <v>0.1312211335917105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8</xdr:row>
                    <xdr:rowOff>180975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19050</xdr:colOff>
                    <xdr:row>14</xdr:row>
                    <xdr:rowOff>28575</xdr:rowOff>
                  </from>
                  <to>
                    <xdr:col>20</xdr:col>
                    <xdr:colOff>590550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G72" sqref="G72"/>
    </sheetView>
  </sheetViews>
  <sheetFormatPr defaultRowHeight="15" x14ac:dyDescent="0.25"/>
  <sheetData>
    <row r="1" spans="1:16" x14ac:dyDescent="0.25">
      <c r="A1" t="str">
        <f>версия_</f>
        <v>вер 7.21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9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5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7" t="s">
        <v>68</v>
      </c>
      <c r="J17" s="5" t="s">
        <v>70</v>
      </c>
      <c r="K17" s="17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8">
        <v>0</v>
      </c>
      <c r="F19" s="18">
        <v>30</v>
      </c>
      <c r="G19" s="1"/>
      <c r="H19" s="18">
        <v>0</v>
      </c>
      <c r="I19" s="58">
        <v>150</v>
      </c>
      <c r="J19" s="18">
        <v>0</v>
      </c>
      <c r="K19" s="5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8">
        <v>1500</v>
      </c>
      <c r="F20" s="18">
        <v>35</v>
      </c>
      <c r="G20" s="1"/>
      <c r="H20" s="18">
        <v>500</v>
      </c>
      <c r="I20" s="58">
        <v>125</v>
      </c>
      <c r="J20" s="18">
        <v>500</v>
      </c>
      <c r="K20" s="5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8">
        <v>2500</v>
      </c>
      <c r="F21" s="18">
        <v>90</v>
      </c>
      <c r="G21" s="1"/>
      <c r="H21" s="18">
        <v>3500</v>
      </c>
      <c r="I21" s="58">
        <v>125</v>
      </c>
      <c r="J21" s="18">
        <v>2500</v>
      </c>
      <c r="K21" s="5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8"/>
      <c r="F22" s="18"/>
      <c r="G22" s="1"/>
      <c r="H22" s="18"/>
      <c r="I22" s="18"/>
      <c r="J22" s="18"/>
      <c r="K22" s="18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8"/>
      <c r="F23" s="18"/>
      <c r="G23" s="1"/>
      <c r="H23" s="18"/>
      <c r="I23" s="18"/>
      <c r="J23" s="18"/>
      <c r="K23" s="18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8"/>
      <c r="F24" s="18"/>
      <c r="G24" s="1"/>
      <c r="H24" s="18"/>
      <c r="I24" s="18"/>
      <c r="J24" s="18"/>
      <c r="K24" s="18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8"/>
      <c r="F25" s="18"/>
      <c r="G25" s="1"/>
      <c r="H25" s="18"/>
      <c r="I25" s="18"/>
      <c r="J25" s="18"/>
      <c r="K25" s="18"/>
      <c r="M25" s="16"/>
      <c r="N25" s="16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8"/>
      <c r="F26" s="18"/>
      <c r="G26" s="1"/>
      <c r="H26" s="18"/>
      <c r="I26" s="18"/>
      <c r="J26" s="18"/>
      <c r="K26" s="18"/>
      <c r="M26" s="16"/>
      <c r="N26" s="16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8"/>
      <c r="F27" s="18"/>
      <c r="G27" s="1"/>
      <c r="H27" s="18"/>
      <c r="I27" s="18"/>
      <c r="J27" s="18"/>
      <c r="K27" s="18"/>
      <c r="M27" s="16"/>
      <c r="N27" s="16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8"/>
      <c r="F28" s="18"/>
      <c r="G28" s="1"/>
      <c r="H28" s="18"/>
      <c r="I28" s="18"/>
      <c r="J28" s="18"/>
      <c r="K28" s="18"/>
      <c r="M28" s="16"/>
      <c r="N28" s="16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8"/>
      <c r="F29" s="18"/>
      <c r="G29" s="1"/>
      <c r="H29" s="18"/>
      <c r="I29" s="18"/>
      <c r="J29" s="18"/>
      <c r="K29" s="18"/>
      <c r="M29" s="16"/>
      <c r="N29" s="16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8"/>
      <c r="F30" s="18"/>
      <c r="G30" s="1"/>
      <c r="H30" s="18"/>
      <c r="I30" s="18"/>
      <c r="J30" s="18"/>
      <c r="K30" s="18"/>
      <c r="M30" s="16"/>
      <c r="N30" s="16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8"/>
      <c r="F31" s="18"/>
      <c r="G31" s="1"/>
      <c r="H31" s="18"/>
      <c r="I31" s="18"/>
      <c r="J31" s="18"/>
      <c r="K31" s="18"/>
      <c r="M31" s="16"/>
      <c r="N31" s="16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8"/>
      <c r="F32" s="18"/>
      <c r="G32" s="1"/>
      <c r="H32" s="18"/>
      <c r="I32" s="18"/>
      <c r="J32" s="18"/>
      <c r="K32" s="18"/>
      <c r="M32" s="16"/>
      <c r="N32" s="16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8"/>
      <c r="F33" s="18"/>
      <c r="G33" s="1"/>
      <c r="H33" s="18"/>
      <c r="I33" s="18"/>
      <c r="J33" s="18"/>
      <c r="K33" s="18"/>
      <c r="M33" s="16"/>
      <c r="N33" s="16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8"/>
      <c r="F34" s="18"/>
      <c r="G34" s="1"/>
      <c r="H34" s="18"/>
      <c r="I34" s="18"/>
      <c r="J34" s="18"/>
      <c r="K34" s="18"/>
      <c r="M34" s="16"/>
      <c r="N34" s="16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8"/>
      <c r="F35" s="18"/>
      <c r="G35" s="1"/>
      <c r="H35" s="18"/>
      <c r="I35" s="18"/>
      <c r="J35" s="18"/>
      <c r="K35" s="18"/>
      <c r="M35" s="16"/>
      <c r="N35" s="16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8"/>
      <c r="F36" s="18"/>
      <c r="G36" s="1"/>
      <c r="H36" s="18"/>
      <c r="I36" s="18"/>
      <c r="J36" s="18"/>
      <c r="K36" s="18"/>
      <c r="M36" s="16"/>
      <c r="N36" s="16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8"/>
      <c r="F37" s="18"/>
      <c r="G37" s="1"/>
      <c r="H37" s="18"/>
      <c r="I37" s="18"/>
      <c r="J37" s="18"/>
      <c r="K37" s="18"/>
      <c r="M37" s="16"/>
      <c r="N37" s="16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8"/>
      <c r="F38" s="18"/>
      <c r="G38" s="1"/>
      <c r="H38" s="18"/>
      <c r="I38" s="18"/>
      <c r="J38" s="18"/>
      <c r="K38" s="18"/>
      <c r="M38" s="16"/>
      <c r="N38" s="16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6"/>
      <c r="N39" s="16"/>
    </row>
    <row r="40" spans="1:29" x14ac:dyDescent="0.25">
      <c r="A40" s="11"/>
      <c r="B40" s="18"/>
      <c r="C40" s="18"/>
      <c r="G40" s="1"/>
      <c r="M40" s="16"/>
      <c r="N40" s="16"/>
    </row>
    <row r="41" spans="1:29" x14ac:dyDescent="0.25">
      <c r="A41" s="11"/>
      <c r="B41" s="18"/>
      <c r="C41" s="18"/>
      <c r="G41" s="1"/>
      <c r="M41" s="16"/>
      <c r="N41" s="16"/>
    </row>
    <row r="42" spans="1:29" x14ac:dyDescent="0.25">
      <c r="A42" s="11"/>
      <c r="B42" s="18"/>
      <c r="C42" s="18"/>
      <c r="G42" s="1"/>
      <c r="M42" s="16"/>
      <c r="N42" s="16"/>
    </row>
    <row r="43" spans="1:29" x14ac:dyDescent="0.25">
      <c r="A43" s="11"/>
      <c r="B43" s="18"/>
      <c r="C43" s="18"/>
      <c r="G43" s="1"/>
      <c r="M43" s="16"/>
      <c r="N43" s="16"/>
    </row>
    <row r="44" spans="1:29" x14ac:dyDescent="0.25">
      <c r="A44" s="11"/>
      <c r="B44" s="18"/>
      <c r="C44" s="18"/>
      <c r="G44" s="1"/>
      <c r="M44" s="16"/>
      <c r="N44" s="16"/>
    </row>
    <row r="45" spans="1:29" x14ac:dyDescent="0.25">
      <c r="A45" s="11"/>
      <c r="B45" s="18"/>
      <c r="C45" s="18"/>
      <c r="G45" s="1"/>
      <c r="M45" s="16"/>
      <c r="N45" s="16"/>
    </row>
    <row r="46" spans="1:29" x14ac:dyDescent="0.25">
      <c r="A46" s="11"/>
      <c r="B46" s="18"/>
      <c r="C46" s="18"/>
      <c r="G46" s="1"/>
    </row>
    <row r="47" spans="1:29" x14ac:dyDescent="0.25">
      <c r="A47" s="11"/>
      <c r="B47" s="18"/>
      <c r="C47" s="18"/>
      <c r="G47" s="1"/>
    </row>
    <row r="48" spans="1:29" x14ac:dyDescent="0.25">
      <c r="A48" s="11"/>
      <c r="B48" s="18"/>
      <c r="C48" s="18"/>
      <c r="G48" s="1"/>
    </row>
    <row r="49" spans="1:7" x14ac:dyDescent="0.25">
      <c r="A49" s="11"/>
      <c r="B49" s="18"/>
      <c r="C49" s="18"/>
      <c r="G49" s="1"/>
    </row>
    <row r="50" spans="1:7" x14ac:dyDescent="0.25">
      <c r="A50" s="11"/>
      <c r="B50" s="18"/>
      <c r="C50" s="18"/>
      <c r="G50" s="1"/>
    </row>
    <row r="51" spans="1:7" x14ac:dyDescent="0.25">
      <c r="A51" s="11"/>
      <c r="B51" s="18"/>
      <c r="C51" s="18"/>
      <c r="G51" s="1"/>
    </row>
    <row r="52" spans="1:7" x14ac:dyDescent="0.25">
      <c r="A52" s="11"/>
      <c r="B52" s="18"/>
      <c r="C52" s="18"/>
      <c r="G52" s="1"/>
    </row>
    <row r="53" spans="1:7" x14ac:dyDescent="0.25">
      <c r="A53" s="11"/>
      <c r="B53" s="18"/>
      <c r="C53" s="18"/>
      <c r="G53" s="1"/>
    </row>
    <row r="54" spans="1:7" x14ac:dyDescent="0.25">
      <c r="A54" s="11"/>
      <c r="B54" s="18"/>
      <c r="C54" s="18"/>
      <c r="G54" s="1"/>
    </row>
    <row r="55" spans="1:7" x14ac:dyDescent="0.25">
      <c r="A55" s="11"/>
      <c r="B55" s="18"/>
      <c r="C55" s="18"/>
      <c r="G55" s="1"/>
    </row>
    <row r="56" spans="1:7" x14ac:dyDescent="0.25">
      <c r="A56" s="11"/>
      <c r="B56" s="18"/>
      <c r="C56" s="18"/>
      <c r="G56" s="1"/>
    </row>
    <row r="57" spans="1:7" x14ac:dyDescent="0.25">
      <c r="A57" s="11"/>
      <c r="B57" s="18"/>
      <c r="C57" s="18"/>
      <c r="G57" s="1"/>
    </row>
    <row r="58" spans="1:7" x14ac:dyDescent="0.25">
      <c r="A58" s="11"/>
      <c r="B58" s="18"/>
      <c r="C58" s="18"/>
      <c r="G58" s="1"/>
    </row>
    <row r="59" spans="1:7" x14ac:dyDescent="0.25">
      <c r="A59" s="11"/>
      <c r="B59" s="18"/>
      <c r="C59" s="18"/>
      <c r="G59" s="1"/>
    </row>
    <row r="60" spans="1:7" x14ac:dyDescent="0.25">
      <c r="A60" s="11"/>
      <c r="B60" s="18"/>
      <c r="C60" s="18"/>
      <c r="G60" s="1"/>
    </row>
    <row r="61" spans="1:7" x14ac:dyDescent="0.25">
      <c r="A61" s="11"/>
      <c r="B61" s="18"/>
      <c r="C61" s="18"/>
      <c r="G61" s="1"/>
    </row>
    <row r="62" spans="1:7" x14ac:dyDescent="0.25">
      <c r="A62" s="11"/>
      <c r="B62" s="18"/>
      <c r="C62" s="18"/>
      <c r="G62" s="1"/>
    </row>
    <row r="63" spans="1:7" x14ac:dyDescent="0.25">
      <c r="A63" s="11"/>
      <c r="B63" s="18"/>
      <c r="C63" s="18"/>
      <c r="G63" s="1"/>
    </row>
    <row r="64" spans="1:7" x14ac:dyDescent="0.25">
      <c r="A64" s="11"/>
      <c r="B64" s="18"/>
      <c r="C64" s="18"/>
      <c r="G64" s="1"/>
    </row>
    <row r="65" spans="1:7" x14ac:dyDescent="0.25">
      <c r="A65" s="11"/>
      <c r="B65" s="18"/>
      <c r="C65" s="18"/>
      <c r="G65" s="1"/>
    </row>
    <row r="66" spans="1:7" x14ac:dyDescent="0.25">
      <c r="A66" s="11"/>
      <c r="B66" s="18"/>
      <c r="C66" s="18"/>
      <c r="G66" s="1"/>
    </row>
    <row r="67" spans="1:7" x14ac:dyDescent="0.25">
      <c r="A67" s="11"/>
      <c r="B67" s="18"/>
      <c r="C67" s="18"/>
      <c r="G67" s="1"/>
    </row>
    <row r="68" spans="1:7" x14ac:dyDescent="0.25">
      <c r="A68" s="11"/>
      <c r="B68" s="18"/>
      <c r="C68" s="18"/>
      <c r="G68" s="1"/>
    </row>
    <row r="69" spans="1:7" x14ac:dyDescent="0.25">
      <c r="A69" s="11"/>
      <c r="B69" s="18"/>
      <c r="C69" s="18"/>
      <c r="G69" s="1"/>
    </row>
    <row r="70" spans="1:7" x14ac:dyDescent="0.25">
      <c r="A70" s="11"/>
      <c r="B70" s="18"/>
      <c r="C70" s="18"/>
      <c r="G70" s="1"/>
    </row>
    <row r="71" spans="1:7" x14ac:dyDescent="0.25">
      <c r="A71" s="11"/>
      <c r="B71" s="18"/>
      <c r="C71" s="18"/>
      <c r="G71" s="1"/>
    </row>
    <row r="72" spans="1:7" x14ac:dyDescent="0.25">
      <c r="A72" s="11"/>
      <c r="B72" s="18"/>
      <c r="C72" s="18"/>
      <c r="G72" s="1"/>
    </row>
    <row r="73" spans="1:7" x14ac:dyDescent="0.25">
      <c r="A73" s="11"/>
      <c r="B73" s="18"/>
      <c r="C73" s="18"/>
      <c r="G73" s="1"/>
    </row>
    <row r="74" spans="1:7" x14ac:dyDescent="0.25">
      <c r="A74" s="11"/>
      <c r="B74" s="18"/>
      <c r="C74" s="18"/>
      <c r="G74" s="1"/>
    </row>
    <row r="75" spans="1:7" x14ac:dyDescent="0.25">
      <c r="A75" s="11"/>
      <c r="B75" s="18"/>
      <c r="C75" s="18"/>
      <c r="G75" s="1"/>
    </row>
    <row r="76" spans="1:7" x14ac:dyDescent="0.25">
      <c r="A76" s="11"/>
      <c r="B76" s="18"/>
      <c r="C76" s="18"/>
      <c r="G76" s="1"/>
    </row>
    <row r="77" spans="1:7" x14ac:dyDescent="0.25">
      <c r="A77" s="11"/>
      <c r="B77" s="18"/>
      <c r="C77" s="18"/>
      <c r="G77" s="1"/>
    </row>
    <row r="78" spans="1:7" x14ac:dyDescent="0.25">
      <c r="A78" s="11"/>
      <c r="B78" s="18"/>
      <c r="C78" s="18"/>
      <c r="G78" s="1"/>
    </row>
    <row r="79" spans="1:7" x14ac:dyDescent="0.25">
      <c r="A79" s="11"/>
      <c r="B79" s="18"/>
      <c r="C79" s="18"/>
      <c r="G79" s="1"/>
    </row>
    <row r="80" spans="1:7" x14ac:dyDescent="0.25">
      <c r="A80" s="11"/>
      <c r="B80" s="18"/>
      <c r="C80" s="18"/>
      <c r="G80" s="1"/>
    </row>
    <row r="81" spans="1:7" x14ac:dyDescent="0.25">
      <c r="A81" s="11"/>
      <c r="B81" s="18"/>
      <c r="C81" s="18"/>
      <c r="G81" s="1"/>
    </row>
    <row r="82" spans="1:7" x14ac:dyDescent="0.25">
      <c r="A82" s="11"/>
      <c r="B82" s="18"/>
      <c r="C82" s="18"/>
      <c r="G82" s="1"/>
    </row>
    <row r="83" spans="1:7" x14ac:dyDescent="0.25">
      <c r="A83" s="11"/>
      <c r="B83" s="18"/>
      <c r="C83" s="18"/>
      <c r="G83" s="1"/>
    </row>
    <row r="84" spans="1:7" x14ac:dyDescent="0.25">
      <c r="A84" s="11"/>
      <c r="B84" s="18"/>
      <c r="C84" s="18"/>
      <c r="G84" s="1"/>
    </row>
    <row r="85" spans="1:7" x14ac:dyDescent="0.25">
      <c r="A85" s="11"/>
      <c r="B85" s="18"/>
      <c r="C85" s="18"/>
      <c r="G85" s="1"/>
    </row>
    <row r="86" spans="1:7" x14ac:dyDescent="0.25">
      <c r="A86" s="11"/>
      <c r="B86" s="18"/>
      <c r="C86" s="18"/>
      <c r="G86" s="1"/>
    </row>
    <row r="87" spans="1:7" x14ac:dyDescent="0.25">
      <c r="A87" s="11"/>
      <c r="B87" s="18"/>
      <c r="C87" s="18"/>
      <c r="G87" s="1"/>
    </row>
    <row r="88" spans="1:7" x14ac:dyDescent="0.25">
      <c r="A88" s="11"/>
      <c r="B88" s="18"/>
      <c r="C88" s="18"/>
      <c r="G88" s="1"/>
    </row>
    <row r="89" spans="1:7" x14ac:dyDescent="0.25">
      <c r="A89" s="11"/>
      <c r="B89" s="18"/>
      <c r="C89" s="18"/>
      <c r="G89" s="1"/>
    </row>
    <row r="90" spans="1:7" x14ac:dyDescent="0.25">
      <c r="A90" s="11"/>
      <c r="B90" s="18"/>
      <c r="C90" s="18"/>
      <c r="G90" s="1"/>
    </row>
    <row r="91" spans="1:7" x14ac:dyDescent="0.25">
      <c r="A91" s="11"/>
      <c r="B91" s="18"/>
      <c r="C91" s="18"/>
      <c r="G91" s="1"/>
    </row>
    <row r="92" spans="1:7" x14ac:dyDescent="0.25">
      <c r="A92" s="11"/>
      <c r="B92" s="18"/>
      <c r="C92" s="18"/>
      <c r="G92" s="1"/>
    </row>
    <row r="93" spans="1:7" x14ac:dyDescent="0.25">
      <c r="A93" s="11"/>
      <c r="B93" s="18"/>
      <c r="C93" s="18"/>
      <c r="G93" s="1"/>
    </row>
    <row r="94" spans="1:7" x14ac:dyDescent="0.25">
      <c r="A94" s="11"/>
      <c r="B94" s="18"/>
      <c r="C94" s="18"/>
      <c r="G94" s="1"/>
    </row>
    <row r="95" spans="1:7" x14ac:dyDescent="0.25">
      <c r="A95" s="11"/>
      <c r="B95" s="18"/>
      <c r="C95" s="18"/>
      <c r="G95" s="1"/>
    </row>
    <row r="96" spans="1:7" x14ac:dyDescent="0.25">
      <c r="A96" s="11"/>
      <c r="B96" s="18"/>
      <c r="C96" s="18"/>
      <c r="G96" s="1"/>
    </row>
    <row r="97" spans="1:7" x14ac:dyDescent="0.25">
      <c r="A97" s="11"/>
      <c r="B97" s="18"/>
      <c r="C97" s="18"/>
      <c r="G97" s="1"/>
    </row>
    <row r="98" spans="1:7" x14ac:dyDescent="0.25">
      <c r="A98" s="11"/>
      <c r="B98" s="18"/>
      <c r="C98" s="18"/>
      <c r="G98" s="1"/>
    </row>
    <row r="99" spans="1:7" x14ac:dyDescent="0.25">
      <c r="A99" s="11"/>
      <c r="B99" s="18"/>
      <c r="C99" s="18"/>
      <c r="G99" s="1"/>
    </row>
    <row r="100" spans="1:7" x14ac:dyDescent="0.25">
      <c r="A100" s="11"/>
      <c r="B100" s="18"/>
      <c r="C100" s="18"/>
      <c r="G100" s="1"/>
    </row>
    <row r="101" spans="1:7" x14ac:dyDescent="0.25">
      <c r="A101" s="11"/>
      <c r="B101" s="18"/>
      <c r="C101" s="18"/>
      <c r="G101" s="1"/>
    </row>
    <row r="102" spans="1:7" x14ac:dyDescent="0.25">
      <c r="A102" s="11"/>
      <c r="B102" s="18"/>
      <c r="C102" s="18"/>
      <c r="G102" s="1"/>
    </row>
    <row r="103" spans="1:7" x14ac:dyDescent="0.25">
      <c r="A103" s="11"/>
      <c r="B103" s="18"/>
      <c r="C103" s="18"/>
      <c r="G103" s="1"/>
    </row>
    <row r="104" spans="1:7" x14ac:dyDescent="0.25">
      <c r="A104" s="11"/>
      <c r="B104" s="18"/>
      <c r="C104" s="18"/>
      <c r="G104" s="1"/>
    </row>
    <row r="105" spans="1:7" x14ac:dyDescent="0.25">
      <c r="A105" s="11"/>
      <c r="B105" s="18"/>
      <c r="C105" s="18"/>
      <c r="G105" s="1"/>
    </row>
    <row r="106" spans="1:7" x14ac:dyDescent="0.25">
      <c r="A106" s="11"/>
      <c r="B106" s="18"/>
      <c r="C106" s="18"/>
      <c r="G106" s="1"/>
    </row>
    <row r="107" spans="1:7" x14ac:dyDescent="0.25">
      <c r="A107" s="11"/>
      <c r="B107" s="18"/>
      <c r="C107" s="18"/>
      <c r="G107" s="1"/>
    </row>
    <row r="108" spans="1:7" x14ac:dyDescent="0.25">
      <c r="A108" s="11"/>
      <c r="B108" s="18"/>
      <c r="C108" s="18"/>
      <c r="G108" s="1"/>
    </row>
    <row r="109" spans="1:7" x14ac:dyDescent="0.25">
      <c r="A109" s="11"/>
      <c r="B109" s="18"/>
      <c r="C109" s="18"/>
      <c r="G109" s="1"/>
    </row>
    <row r="110" spans="1:7" x14ac:dyDescent="0.25">
      <c r="A110" s="11"/>
      <c r="B110" s="18"/>
      <c r="C110" s="18"/>
      <c r="G110" s="1"/>
    </row>
    <row r="111" spans="1:7" x14ac:dyDescent="0.25">
      <c r="A111" s="11"/>
      <c r="B111" s="18"/>
      <c r="C111" s="18"/>
      <c r="G111" s="1"/>
    </row>
    <row r="112" spans="1:7" x14ac:dyDescent="0.25">
      <c r="A112" s="11"/>
      <c r="B112" s="18"/>
      <c r="C112" s="18"/>
      <c r="G112" s="1"/>
    </row>
    <row r="113" spans="1:7" x14ac:dyDescent="0.25">
      <c r="A113" s="11"/>
      <c r="B113" s="18"/>
      <c r="C113" s="18"/>
      <c r="G113" s="1"/>
    </row>
    <row r="114" spans="1:7" x14ac:dyDescent="0.25">
      <c r="A114" s="11"/>
      <c r="B114" s="18"/>
      <c r="C114" s="18"/>
      <c r="G114" s="1"/>
    </row>
    <row r="115" spans="1:7" x14ac:dyDescent="0.25">
      <c r="A115" s="11"/>
      <c r="B115" s="18"/>
      <c r="C115" s="18"/>
      <c r="G115" s="1"/>
    </row>
    <row r="116" spans="1:7" x14ac:dyDescent="0.25">
      <c r="A116" s="11"/>
      <c r="B116" s="18"/>
      <c r="C116" s="18"/>
      <c r="G116" s="1"/>
    </row>
    <row r="117" spans="1:7" x14ac:dyDescent="0.25">
      <c r="A117" s="11"/>
      <c r="B117" s="18"/>
      <c r="C117" s="18"/>
      <c r="G117" s="1"/>
    </row>
    <row r="118" spans="1:7" x14ac:dyDescent="0.25">
      <c r="A118" s="11"/>
      <c r="B118" s="18"/>
      <c r="C118" s="18"/>
      <c r="G118" s="1"/>
    </row>
    <row r="119" spans="1:7" x14ac:dyDescent="0.25">
      <c r="A119" s="11"/>
      <c r="B119" s="18"/>
      <c r="C119" s="18"/>
      <c r="G119" s="1"/>
    </row>
    <row r="120" spans="1:7" x14ac:dyDescent="0.25">
      <c r="A120" s="11"/>
      <c r="B120" s="18"/>
      <c r="C120" s="18"/>
      <c r="G120" s="1"/>
    </row>
    <row r="121" spans="1:7" x14ac:dyDescent="0.25">
      <c r="A121" s="11"/>
      <c r="B121" s="18"/>
      <c r="C121" s="18"/>
      <c r="G121" s="1"/>
    </row>
    <row r="122" spans="1:7" x14ac:dyDescent="0.25">
      <c r="A122" s="11"/>
      <c r="B122" s="18"/>
      <c r="C122" s="18"/>
      <c r="G122" s="1"/>
    </row>
    <row r="123" spans="1:7" x14ac:dyDescent="0.25">
      <c r="A123" s="11"/>
      <c r="B123" s="18"/>
      <c r="C123" s="18"/>
      <c r="G123" s="1"/>
    </row>
    <row r="124" spans="1:7" x14ac:dyDescent="0.25">
      <c r="A124" s="11"/>
      <c r="B124" s="18"/>
      <c r="C124" s="18"/>
      <c r="G124" s="1"/>
    </row>
    <row r="125" spans="1:7" x14ac:dyDescent="0.25">
      <c r="A125" s="11"/>
      <c r="B125" s="18"/>
      <c r="C125" s="18"/>
      <c r="G125" s="1"/>
    </row>
    <row r="126" spans="1:7" x14ac:dyDescent="0.25">
      <c r="A126" s="11"/>
      <c r="B126" s="18"/>
      <c r="C126" s="18"/>
      <c r="G126" s="1"/>
    </row>
    <row r="127" spans="1:7" x14ac:dyDescent="0.25">
      <c r="A127" s="11"/>
      <c r="B127" s="18"/>
      <c r="C127" s="18"/>
      <c r="G127" s="1"/>
    </row>
    <row r="128" spans="1:7" x14ac:dyDescent="0.25">
      <c r="A128" s="11"/>
      <c r="B128" s="18"/>
      <c r="C128" s="18"/>
      <c r="G128" s="1"/>
    </row>
    <row r="129" spans="1:7" x14ac:dyDescent="0.25">
      <c r="A129" s="11"/>
      <c r="B129" s="18"/>
      <c r="C129" s="18"/>
      <c r="G129" s="1"/>
    </row>
    <row r="130" spans="1:7" x14ac:dyDescent="0.25">
      <c r="A130" s="11"/>
      <c r="B130" s="18"/>
      <c r="C130" s="18"/>
      <c r="G130" s="1"/>
    </row>
    <row r="131" spans="1:7" x14ac:dyDescent="0.25">
      <c r="A131" s="11"/>
      <c r="B131" s="18"/>
      <c r="C131" s="18"/>
      <c r="G131" s="1"/>
    </row>
    <row r="132" spans="1:7" x14ac:dyDescent="0.25">
      <c r="A132" s="11"/>
      <c r="B132" s="18"/>
      <c r="C132" s="18"/>
      <c r="G132" s="1"/>
    </row>
    <row r="133" spans="1:7" x14ac:dyDescent="0.25">
      <c r="A133" s="11"/>
      <c r="B133" s="18"/>
      <c r="C133" s="18"/>
      <c r="G133" s="1"/>
    </row>
    <row r="134" spans="1:7" x14ac:dyDescent="0.25">
      <c r="A134" s="11"/>
      <c r="B134" s="18"/>
      <c r="C134" s="18"/>
      <c r="G134" s="1"/>
    </row>
    <row r="135" spans="1:7" x14ac:dyDescent="0.25">
      <c r="A135" s="11"/>
      <c r="B135" s="18"/>
      <c r="C135" s="18"/>
      <c r="G135" s="1"/>
    </row>
    <row r="136" spans="1:7" x14ac:dyDescent="0.25">
      <c r="A136" s="11"/>
      <c r="B136" s="18"/>
      <c r="C136" s="18"/>
      <c r="G136" s="1"/>
    </row>
    <row r="137" spans="1:7" x14ac:dyDescent="0.25">
      <c r="A137" s="11"/>
      <c r="B137" s="18"/>
      <c r="C137" s="18"/>
      <c r="G137" s="1"/>
    </row>
    <row r="138" spans="1:7" x14ac:dyDescent="0.25">
      <c r="A138" s="11"/>
      <c r="B138" s="18"/>
      <c r="C138" s="18"/>
      <c r="G138" s="1"/>
    </row>
    <row r="139" spans="1:7" x14ac:dyDescent="0.25">
      <c r="A139" s="11"/>
      <c r="B139" s="18"/>
      <c r="C139" s="18"/>
      <c r="G139" s="1"/>
    </row>
    <row r="140" spans="1:7" x14ac:dyDescent="0.25">
      <c r="A140" s="11"/>
      <c r="B140" s="18"/>
      <c r="C140" s="18"/>
      <c r="G140" s="1"/>
    </row>
    <row r="141" spans="1:7" x14ac:dyDescent="0.25">
      <c r="A141" s="11"/>
      <c r="B141" s="18"/>
      <c r="C141" s="18"/>
      <c r="G141" s="1"/>
    </row>
    <row r="142" spans="1:7" x14ac:dyDescent="0.25">
      <c r="A142" s="11"/>
      <c r="B142" s="18"/>
      <c r="C142" s="18"/>
      <c r="G142" s="1"/>
    </row>
    <row r="143" spans="1:7" x14ac:dyDescent="0.25">
      <c r="A143" s="11"/>
      <c r="B143" s="18"/>
      <c r="C143" s="18"/>
      <c r="G143" s="1"/>
    </row>
    <row r="144" spans="1:7" x14ac:dyDescent="0.25">
      <c r="A144" s="11"/>
      <c r="B144" s="18"/>
      <c r="C144" s="18"/>
      <c r="G144" s="1"/>
    </row>
    <row r="145" spans="1:7" x14ac:dyDescent="0.25">
      <c r="A145" s="11"/>
      <c r="B145" s="18"/>
      <c r="C145" s="18"/>
      <c r="G145" s="1"/>
    </row>
    <row r="146" spans="1:7" x14ac:dyDescent="0.25">
      <c r="A146" s="11"/>
      <c r="B146" s="18"/>
      <c r="C146" s="18"/>
      <c r="G146" s="1"/>
    </row>
    <row r="147" spans="1:7" x14ac:dyDescent="0.25">
      <c r="A147" s="11"/>
      <c r="B147" s="18"/>
      <c r="C147" s="18"/>
      <c r="G147" s="1"/>
    </row>
    <row r="148" spans="1:7" x14ac:dyDescent="0.25">
      <c r="A148" s="11"/>
      <c r="B148" s="18"/>
      <c r="C148" s="18"/>
      <c r="G148" s="1"/>
    </row>
    <row r="149" spans="1:7" x14ac:dyDescent="0.25">
      <c r="A149" s="11"/>
      <c r="B149" s="18"/>
      <c r="C149" s="18"/>
      <c r="G149" s="1"/>
    </row>
    <row r="150" spans="1:7" x14ac:dyDescent="0.25">
      <c r="A150" s="11"/>
      <c r="B150" s="18"/>
      <c r="C150" s="18"/>
      <c r="G150" s="1"/>
    </row>
    <row r="151" spans="1:7" x14ac:dyDescent="0.25">
      <c r="A151" s="11"/>
      <c r="B151" s="18"/>
      <c r="C151" s="18"/>
      <c r="G151" s="1"/>
    </row>
    <row r="152" spans="1:7" x14ac:dyDescent="0.25">
      <c r="A152" s="11"/>
      <c r="B152" s="18"/>
      <c r="C152" s="18"/>
      <c r="G152" s="1"/>
    </row>
    <row r="153" spans="1:7" x14ac:dyDescent="0.25">
      <c r="A153" s="11"/>
      <c r="B153" s="18"/>
      <c r="C153" s="18"/>
      <c r="G153" s="1"/>
    </row>
    <row r="154" spans="1:7" x14ac:dyDescent="0.25">
      <c r="A154" s="11"/>
      <c r="B154" s="18"/>
      <c r="C154" s="18"/>
      <c r="G154" s="1"/>
    </row>
    <row r="155" spans="1:7" x14ac:dyDescent="0.25">
      <c r="A155" s="11"/>
      <c r="B155" s="18"/>
      <c r="C155" s="18"/>
      <c r="G155" s="1"/>
    </row>
    <row r="156" spans="1:7" x14ac:dyDescent="0.25">
      <c r="A156" s="11"/>
      <c r="B156" s="18"/>
      <c r="C156" s="18"/>
      <c r="G156" s="1"/>
    </row>
    <row r="157" spans="1:7" x14ac:dyDescent="0.25">
      <c r="A157" s="11"/>
      <c r="B157" s="18"/>
      <c r="C157" s="18"/>
      <c r="G157" s="1"/>
    </row>
    <row r="158" spans="1:7" x14ac:dyDescent="0.25">
      <c r="A158" s="11"/>
      <c r="B158" s="18"/>
      <c r="C158" s="18"/>
      <c r="G158" s="1"/>
    </row>
    <row r="159" spans="1:7" x14ac:dyDescent="0.25">
      <c r="A159" s="11"/>
      <c r="B159" s="18"/>
      <c r="C159" s="18"/>
      <c r="G159" s="1"/>
    </row>
    <row r="160" spans="1:7" x14ac:dyDescent="0.25">
      <c r="A160" s="11"/>
      <c r="B160" s="18"/>
      <c r="C160" s="18"/>
      <c r="G160" s="1"/>
    </row>
    <row r="161" spans="1:7" x14ac:dyDescent="0.25">
      <c r="A161" s="11"/>
      <c r="B161" s="18"/>
      <c r="C161" s="18"/>
      <c r="G161" s="1"/>
    </row>
    <row r="162" spans="1:7" x14ac:dyDescent="0.25">
      <c r="A162" s="11"/>
      <c r="B162" s="18"/>
      <c r="C162" s="18"/>
      <c r="G162" s="1"/>
    </row>
    <row r="163" spans="1:7" x14ac:dyDescent="0.25">
      <c r="A163" s="11"/>
      <c r="B163" s="18"/>
      <c r="C163" s="18"/>
      <c r="G163" s="1"/>
    </row>
    <row r="164" spans="1:7" x14ac:dyDescent="0.25">
      <c r="A164" s="11"/>
      <c r="B164" s="18"/>
      <c r="C164" s="18"/>
      <c r="G164" s="1"/>
    </row>
    <row r="165" spans="1:7" x14ac:dyDescent="0.25">
      <c r="A165" s="11"/>
      <c r="B165" s="18"/>
      <c r="C165" s="18"/>
      <c r="G165" s="1"/>
    </row>
    <row r="166" spans="1:7" x14ac:dyDescent="0.25">
      <c r="A166" s="11"/>
      <c r="B166" s="18"/>
      <c r="C166" s="18"/>
      <c r="G166" s="1"/>
    </row>
    <row r="167" spans="1:7" x14ac:dyDescent="0.25">
      <c r="A167" s="11"/>
      <c r="B167" s="18"/>
      <c r="C167" s="18"/>
      <c r="G167" s="1"/>
    </row>
    <row r="168" spans="1:7" x14ac:dyDescent="0.25">
      <c r="A168" s="11"/>
      <c r="B168" s="18"/>
      <c r="C168" s="18"/>
      <c r="G168" s="1"/>
    </row>
    <row r="169" spans="1:7" x14ac:dyDescent="0.25">
      <c r="A169" s="11"/>
      <c r="B169" s="18"/>
      <c r="C169" s="18"/>
      <c r="G169" s="1"/>
    </row>
    <row r="170" spans="1:7" x14ac:dyDescent="0.25">
      <c r="A170" s="11"/>
      <c r="B170" s="18"/>
      <c r="C170" s="18"/>
      <c r="G170" s="1"/>
    </row>
    <row r="171" spans="1:7" x14ac:dyDescent="0.25">
      <c r="A171" s="11"/>
      <c r="B171" s="18"/>
      <c r="C171" s="18"/>
      <c r="G171" s="1"/>
    </row>
    <row r="172" spans="1:7" x14ac:dyDescent="0.25">
      <c r="A172" s="11"/>
      <c r="B172" s="18"/>
      <c r="C172" s="18"/>
      <c r="G172" s="1"/>
    </row>
    <row r="173" spans="1:7" x14ac:dyDescent="0.25">
      <c r="A173" s="11"/>
      <c r="B173" s="18"/>
      <c r="C173" s="18"/>
      <c r="G173" s="1"/>
    </row>
    <row r="174" spans="1:7" x14ac:dyDescent="0.25">
      <c r="A174" s="11"/>
      <c r="B174" s="18"/>
      <c r="C174" s="18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zoomScaleNormal="100" workbookViewId="0">
      <selection activeCell="AB51" sqref="AB51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7.21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1</v>
      </c>
      <c r="AC3" t="s">
        <v>145</v>
      </c>
      <c r="AG3">
        <v>2</v>
      </c>
      <c r="AH3" t="s">
        <v>160</v>
      </c>
    </row>
    <row r="4" spans="1:34" x14ac:dyDescent="0.25">
      <c r="P4" s="19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9" t="s">
        <v>159</v>
      </c>
      <c r="C5" s="2"/>
      <c r="D5" s="2"/>
      <c r="G5" s="19" t="s">
        <v>155</v>
      </c>
      <c r="H5" s="2"/>
      <c r="I5" s="2"/>
      <c r="L5" s="19" t="s">
        <v>51</v>
      </c>
      <c r="M5" s="2"/>
      <c r="N5" s="2"/>
      <c r="P5" s="15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21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5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21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5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9" t="s">
        <v>54</v>
      </c>
      <c r="Q9" s="2"/>
      <c r="R9" s="2"/>
      <c r="S9" s="19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5" t="s">
        <v>45</v>
      </c>
      <c r="Q10" s="29">
        <v>55.127645708885723</v>
      </c>
      <c r="R10" s="5" t="s">
        <v>44</v>
      </c>
      <c r="S10" s="15" t="s">
        <v>55</v>
      </c>
      <c r="T10" s="29">
        <v>30</v>
      </c>
      <c r="U10" s="5" t="s">
        <v>25</v>
      </c>
    </row>
    <row r="11" spans="1:34" ht="18" x14ac:dyDescent="0.35">
      <c r="P11" s="15" t="s">
        <v>46</v>
      </c>
      <c r="Q11" s="29">
        <v>56.471886163210186</v>
      </c>
      <c r="R11" s="5" t="s">
        <v>44</v>
      </c>
      <c r="S11" s="15" t="s">
        <v>56</v>
      </c>
      <c r="T11" s="29">
        <v>30</v>
      </c>
      <c r="U11" s="5" t="s">
        <v>25</v>
      </c>
    </row>
    <row r="12" spans="1:34" ht="18" x14ac:dyDescent="0.35">
      <c r="M12" t="s">
        <v>63</v>
      </c>
      <c r="P12" s="15" t="s">
        <v>47</v>
      </c>
      <c r="Q12" s="29">
        <v>260</v>
      </c>
      <c r="R12" s="5" t="s">
        <v>44</v>
      </c>
      <c r="S12" s="15" t="s">
        <v>57</v>
      </c>
      <c r="T12" s="29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177</v>
      </c>
      <c r="N15" s="1" t="s">
        <v>173</v>
      </c>
      <c r="O15" s="1" t="s">
        <v>174</v>
      </c>
      <c r="P15" s="1"/>
      <c r="Q15" s="1" t="s">
        <v>175</v>
      </c>
      <c r="R15" s="1"/>
      <c r="S15" s="1" t="s">
        <v>176</v>
      </c>
      <c r="U15" s="5" t="s">
        <v>170</v>
      </c>
      <c r="V15" s="1" t="s">
        <v>171</v>
      </c>
    </row>
    <row r="16" spans="1:34" x14ac:dyDescent="0.25">
      <c r="B16" s="2" t="s">
        <v>59</v>
      </c>
      <c r="C16" s="59">
        <v>0</v>
      </c>
      <c r="D16" s="59">
        <v>0</v>
      </c>
      <c r="E16" s="59">
        <v>32</v>
      </c>
      <c r="G16" s="16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56.471886163210186</v>
      </c>
      <c r="P16">
        <v>0</v>
      </c>
      <c r="Q16">
        <v>30</v>
      </c>
      <c r="R16">
        <v>0</v>
      </c>
      <c r="S16">
        <v>0.64971774181795505</v>
      </c>
      <c r="U16">
        <v>0</v>
      </c>
      <c r="V16" s="61">
        <f>Pline_out_atma_</f>
        <v>55.127645708885723</v>
      </c>
    </row>
    <row r="17" spans="2:22" x14ac:dyDescent="0.25">
      <c r="B17" s="2" t="s">
        <v>60</v>
      </c>
      <c r="C17" s="20">
        <v>0</v>
      </c>
      <c r="D17" s="20">
        <v>12</v>
      </c>
      <c r="E17" s="20">
        <v>33</v>
      </c>
      <c r="G17" s="16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68.216803702522441</v>
      </c>
      <c r="P17">
        <v>184.21052631578948</v>
      </c>
      <c r="Q17">
        <v>30.614035087719298</v>
      </c>
      <c r="R17">
        <v>175</v>
      </c>
      <c r="S17">
        <v>0.71678584274658808</v>
      </c>
      <c r="U17">
        <v>0</v>
      </c>
      <c r="V17" s="61">
        <f>Pbuf_out_atma_</f>
        <v>56.471886163210186</v>
      </c>
    </row>
    <row r="18" spans="2:22" x14ac:dyDescent="0.25">
      <c r="B18" s="2"/>
      <c r="C18" s="20">
        <v>125</v>
      </c>
      <c r="D18" s="20">
        <v>15.557467590458288</v>
      </c>
      <c r="E18" s="20">
        <v>34</v>
      </c>
      <c r="G18" s="16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80.920685344257336</v>
      </c>
      <c r="P18">
        <v>368.42105263157896</v>
      </c>
      <c r="Q18">
        <v>31.228070175438596</v>
      </c>
      <c r="R18">
        <v>350</v>
      </c>
      <c r="S18">
        <v>0.78895896917692387</v>
      </c>
      <c r="U18">
        <f>Hperf_m_</f>
        <v>3500</v>
      </c>
      <c r="V18" s="61">
        <f>Pwf_out_atma_</f>
        <v>260</v>
      </c>
    </row>
    <row r="19" spans="2:22" x14ac:dyDescent="0.25">
      <c r="B19" s="2"/>
      <c r="C19" s="20">
        <v>250</v>
      </c>
      <c r="D19" s="20">
        <v>19.616568764087436</v>
      </c>
      <c r="E19" s="20">
        <v>35</v>
      </c>
      <c r="G19" s="16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95.130245827518166</v>
      </c>
      <c r="P19">
        <v>552.63157894736844</v>
      </c>
      <c r="Q19">
        <v>31.842105263157894</v>
      </c>
      <c r="R19">
        <v>525</v>
      </c>
      <c r="S19">
        <v>0.91835028270151742</v>
      </c>
    </row>
    <row r="20" spans="2:22" x14ac:dyDescent="0.25">
      <c r="B20" s="2"/>
      <c r="C20" s="20">
        <v>375</v>
      </c>
      <c r="D20" s="20">
        <v>24.17598412589675</v>
      </c>
      <c r="E20" s="20">
        <v>36</v>
      </c>
      <c r="G20" s="16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110.89219323997732</v>
      </c>
      <c r="P20">
        <v>736.84210526315792</v>
      </c>
      <c r="Q20">
        <v>32.456140350877192</v>
      </c>
      <c r="R20">
        <v>700</v>
      </c>
      <c r="S20">
        <v>1</v>
      </c>
    </row>
    <row r="21" spans="2:22" x14ac:dyDescent="0.25">
      <c r="B21" s="2"/>
      <c r="C21" s="20">
        <v>500</v>
      </c>
      <c r="D21" s="20">
        <v>29.478342712963183</v>
      </c>
      <c r="E21" s="20">
        <v>37</v>
      </c>
      <c r="G21" s="16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126.87831030292689</v>
      </c>
      <c r="P21">
        <v>921.0526315789474</v>
      </c>
      <c r="Q21">
        <v>33.070175438596493</v>
      </c>
      <c r="R21">
        <v>875</v>
      </c>
      <c r="S21">
        <v>1</v>
      </c>
    </row>
    <row r="22" spans="2:22" x14ac:dyDescent="0.25">
      <c r="B22" s="2"/>
      <c r="C22" s="20">
        <v>625</v>
      </c>
      <c r="D22" s="20">
        <v>35.700769972836554</v>
      </c>
      <c r="E22" s="20">
        <v>38</v>
      </c>
      <c r="G22" s="16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142.41910655352018</v>
      </c>
      <c r="P22">
        <v>1105.2631578947369</v>
      </c>
      <c r="Q22">
        <v>33.67</v>
      </c>
      <c r="R22">
        <v>1050</v>
      </c>
      <c r="S22">
        <v>1</v>
      </c>
    </row>
    <row r="23" spans="2:22" x14ac:dyDescent="0.25">
      <c r="B23" s="2"/>
      <c r="C23" s="20">
        <v>750</v>
      </c>
      <c r="D23" s="20">
        <v>43.284768634728451</v>
      </c>
      <c r="E23" s="20">
        <v>39</v>
      </c>
      <c r="G23" s="16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157.38594650313641</v>
      </c>
      <c r="P23">
        <v>1289.4736842105262</v>
      </c>
      <c r="Q23">
        <v>34.247368421052634</v>
      </c>
      <c r="R23">
        <v>1225</v>
      </c>
      <c r="S23">
        <v>1</v>
      </c>
    </row>
    <row r="24" spans="2:22" x14ac:dyDescent="0.25">
      <c r="B24" s="2"/>
      <c r="C24" s="20">
        <v>875</v>
      </c>
      <c r="D24" s="20">
        <v>52.1549329937707</v>
      </c>
      <c r="E24" s="20">
        <v>40</v>
      </c>
      <c r="G24" s="16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171.77688057620517</v>
      </c>
      <c r="P24">
        <v>1473.6842105263158</v>
      </c>
      <c r="Q24">
        <v>34.801929824561405</v>
      </c>
      <c r="R24">
        <v>1400</v>
      </c>
      <c r="S24">
        <v>1</v>
      </c>
    </row>
    <row r="25" spans="2:22" x14ac:dyDescent="0.25">
      <c r="B25" s="2"/>
      <c r="C25" s="20">
        <v>1000</v>
      </c>
      <c r="D25" s="20">
        <v>61.160926173744272</v>
      </c>
      <c r="E25" s="20">
        <v>41</v>
      </c>
      <c r="G25" s="16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185.57894517281551</v>
      </c>
      <c r="P25">
        <v>1657.8947368421054</v>
      </c>
      <c r="Q25">
        <v>40.511578947368434</v>
      </c>
      <c r="R25">
        <v>1575</v>
      </c>
      <c r="S25">
        <v>1</v>
      </c>
    </row>
    <row r="26" spans="2:22" x14ac:dyDescent="0.25">
      <c r="B26" s="2"/>
      <c r="C26" s="20">
        <v>1125</v>
      </c>
      <c r="D26" s="20">
        <v>70.304176533511935</v>
      </c>
      <c r="E26" s="20">
        <v>42</v>
      </c>
      <c r="G26" s="16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198.74558052548977</v>
      </c>
      <c r="P26">
        <v>1842.1052631578948</v>
      </c>
      <c r="Q26">
        <v>48.920789473684216</v>
      </c>
      <c r="R26">
        <v>1750</v>
      </c>
      <c r="S26">
        <v>1</v>
      </c>
    </row>
    <row r="27" spans="2:22" x14ac:dyDescent="0.25">
      <c r="B27" s="2"/>
      <c r="C27" s="20">
        <v>1250</v>
      </c>
      <c r="D27" s="20">
        <v>79.580812159505939</v>
      </c>
      <c r="E27" s="20">
        <v>43</v>
      </c>
      <c r="G27" s="16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211.27649776407696</v>
      </c>
      <c r="P27">
        <v>2026.3157894736842</v>
      </c>
      <c r="Q27">
        <v>56.959473684210522</v>
      </c>
      <c r="R27">
        <v>1925</v>
      </c>
      <c r="S27">
        <v>1</v>
      </c>
    </row>
    <row r="28" spans="2:22" x14ac:dyDescent="0.25">
      <c r="B28" s="2"/>
      <c r="C28" s="20">
        <v>1375</v>
      </c>
      <c r="D28" s="20">
        <v>88.98771748363491</v>
      </c>
      <c r="E28" s="20">
        <v>44</v>
      </c>
      <c r="G28" s="16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223.17853910942998</v>
      </c>
      <c r="P28">
        <v>2210.5263157894738</v>
      </c>
      <c r="Q28">
        <v>64.627631578947373</v>
      </c>
      <c r="R28">
        <v>2100</v>
      </c>
      <c r="S28">
        <v>1</v>
      </c>
    </row>
    <row r="29" spans="2:22" x14ac:dyDescent="0.25">
      <c r="B29" s="2"/>
      <c r="C29" s="20">
        <v>1500</v>
      </c>
      <c r="D29" s="20">
        <v>98.522439771087946</v>
      </c>
      <c r="E29" s="20">
        <v>45</v>
      </c>
      <c r="G29" s="16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234.44864386058657</v>
      </c>
      <c r="P29">
        <v>2394.7368421052633</v>
      </c>
      <c r="Q29">
        <v>71.91947368421053</v>
      </c>
      <c r="R29">
        <v>2275</v>
      </c>
      <c r="S29">
        <v>1</v>
      </c>
    </row>
    <row r="30" spans="2:22" x14ac:dyDescent="0.25">
      <c r="B30" s="2"/>
      <c r="C30" s="20">
        <v>1625</v>
      </c>
      <c r="D30" s="20">
        <v>108.20250792285998</v>
      </c>
      <c r="E30" s="20">
        <v>46</v>
      </c>
      <c r="G30" s="16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240.61203298618656</v>
      </c>
      <c r="P30">
        <v>2500</v>
      </c>
      <c r="Q30">
        <v>75.92</v>
      </c>
      <c r="R30">
        <v>2450</v>
      </c>
      <c r="S30">
        <v>1</v>
      </c>
    </row>
    <row r="31" spans="2:22" x14ac:dyDescent="0.25">
      <c r="B31" s="2"/>
      <c r="C31" s="20">
        <v>1750</v>
      </c>
      <c r="D31" s="20">
        <v>117.97377616349763</v>
      </c>
      <c r="E31" s="20">
        <v>47</v>
      </c>
      <c r="G31" s="16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245.05411471152456</v>
      </c>
      <c r="P31">
        <v>2578.9473684210525</v>
      </c>
      <c r="Q31">
        <v>78.829210526315777</v>
      </c>
      <c r="R31">
        <v>2625</v>
      </c>
      <c r="S31">
        <v>1</v>
      </c>
    </row>
    <row r="32" spans="2:22" x14ac:dyDescent="0.25">
      <c r="B32" s="2"/>
      <c r="C32" s="20">
        <v>1875</v>
      </c>
      <c r="D32" s="20">
        <v>127.76496417735532</v>
      </c>
      <c r="E32" s="20">
        <v>48</v>
      </c>
      <c r="G32" s="16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253.66704839143043</v>
      </c>
      <c r="P32">
        <v>2763.1578947368421</v>
      </c>
      <c r="Q32">
        <v>85.368421052631589</v>
      </c>
      <c r="R32">
        <v>2800</v>
      </c>
      <c r="S32">
        <v>1</v>
      </c>
    </row>
    <row r="33" spans="2:19" x14ac:dyDescent="0.25">
      <c r="B33" s="2"/>
      <c r="C33" s="20">
        <v>2000</v>
      </c>
      <c r="D33" s="20">
        <v>137.55836102001658</v>
      </c>
      <c r="E33" s="20">
        <v>49</v>
      </c>
      <c r="G33" s="16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255.91409021324787</v>
      </c>
      <c r="P33">
        <v>2947.3684210526317</v>
      </c>
      <c r="Q33">
        <v>87.351315789473688</v>
      </c>
      <c r="R33">
        <v>2975</v>
      </c>
      <c r="S33">
        <v>1</v>
      </c>
    </row>
    <row r="34" spans="2:19" x14ac:dyDescent="0.25">
      <c r="B34" s="2"/>
      <c r="C34" s="20">
        <v>2125</v>
      </c>
      <c r="D34" s="20">
        <v>147.3522401908937</v>
      </c>
      <c r="E34" s="20">
        <v>50</v>
      </c>
      <c r="G34" s="16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257.27668877344263</v>
      </c>
      <c r="P34">
        <v>3131.5789473684213</v>
      </c>
      <c r="Q34">
        <v>88.234210526315792</v>
      </c>
      <c r="R34">
        <v>3150</v>
      </c>
      <c r="S34">
        <v>1</v>
      </c>
    </row>
    <row r="35" spans="2:19" x14ac:dyDescent="0.25">
      <c r="B35" s="2"/>
      <c r="C35" s="20">
        <v>2250</v>
      </c>
      <c r="D35" s="20">
        <v>157.14509029914396</v>
      </c>
      <c r="E35" s="20">
        <v>51</v>
      </c>
      <c r="G35" s="16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258.63865880183505</v>
      </c>
      <c r="P35">
        <v>3315.7894736842109</v>
      </c>
      <c r="Q35">
        <v>89.117105263157882</v>
      </c>
      <c r="R35">
        <v>3325</v>
      </c>
      <c r="S35">
        <v>1</v>
      </c>
    </row>
    <row r="36" spans="2:19" x14ac:dyDescent="0.25">
      <c r="B36" s="2"/>
      <c r="C36" s="20">
        <v>2375</v>
      </c>
      <c r="D36" s="20">
        <v>166.93588400856675</v>
      </c>
      <c r="E36" s="20">
        <v>52</v>
      </c>
      <c r="G36" s="16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260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20">
        <v>2500</v>
      </c>
      <c r="D37" s="20">
        <v>176.72349338287597</v>
      </c>
      <c r="E37" s="20">
        <v>53</v>
      </c>
    </row>
    <row r="38" spans="2:19" x14ac:dyDescent="0.25">
      <c r="C38" s="20">
        <v>2625</v>
      </c>
      <c r="D38" s="20">
        <v>186.511102757185</v>
      </c>
      <c r="E38" s="20">
        <v>54</v>
      </c>
    </row>
    <row r="39" spans="2:19" x14ac:dyDescent="0.25">
      <c r="C39" s="20">
        <v>2750</v>
      </c>
      <c r="D39" s="20">
        <v>196.298712131494</v>
      </c>
      <c r="E39" s="20">
        <v>55</v>
      </c>
    </row>
    <row r="40" spans="2:19" x14ac:dyDescent="0.25">
      <c r="C40" s="20">
        <v>2875</v>
      </c>
      <c r="D40" s="20">
        <v>206.08632150580399</v>
      </c>
      <c r="E40" s="20">
        <v>56</v>
      </c>
    </row>
    <row r="41" spans="2:19" x14ac:dyDescent="0.25">
      <c r="C41" s="20">
        <v>3000</v>
      </c>
      <c r="D41" s="20">
        <v>215.87393088011299</v>
      </c>
      <c r="E41" s="20">
        <v>57</v>
      </c>
    </row>
    <row r="42" spans="2:19" x14ac:dyDescent="0.25">
      <c r="C42" s="20">
        <v>3125</v>
      </c>
      <c r="D42" s="20">
        <v>225.66154025442199</v>
      </c>
      <c r="E42" s="20">
        <v>58</v>
      </c>
    </row>
    <row r="43" spans="2:19" x14ac:dyDescent="0.25">
      <c r="C43" s="20">
        <v>3250</v>
      </c>
      <c r="D43" s="20">
        <v>235.44914962873099</v>
      </c>
      <c r="E43" s="20">
        <v>59</v>
      </c>
    </row>
    <row r="44" spans="2:19" x14ac:dyDescent="0.25">
      <c r="C44" s="20">
        <v>3375</v>
      </c>
      <c r="D44" s="20">
        <v>245.23675900304099</v>
      </c>
      <c r="E44" s="20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Унифлок</vt:lpstr>
      <vt:lpstr>PVT</vt:lpstr>
      <vt:lpstr>Конструкция фонтан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2018-08-12T14:52:11Z</dcterms:modified>
</cp:coreProperties>
</file>