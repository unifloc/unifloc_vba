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76FA4059-538B-46C6-A676-0C85D0692590}" xr6:coauthVersionLast="34" xr6:coauthVersionMax="34" xr10:uidLastSave="{00000000-0000-0000-0000-000000000000}"/>
  <bookViews>
    <workbookView xWindow="0" yWindow="0" windowWidth="9000" windowHeight="8370" tabRatio="402" firstSheet="1" activeTab="1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3" i="4"/>
  <c r="E33" i="4"/>
  <c r="M36" i="4"/>
  <c r="T35" i="4"/>
  <c r="I32" i="4"/>
  <c r="E37" i="4"/>
  <c r="C36" i="4"/>
  <c r="E34" i="4"/>
  <c r="M34" i="4"/>
  <c r="C34" i="4"/>
  <c r="I33" i="4"/>
  <c r="I36" i="4"/>
  <c r="E36" i="4"/>
  <c r="M35" i="4"/>
  <c r="M33" i="4"/>
  <c r="G23" i="4"/>
  <c r="I35" i="4"/>
  <c r="C26" i="4"/>
  <c r="M37" i="4"/>
  <c r="E32" i="4"/>
  <c r="C44" i="4"/>
  <c r="I37" i="4"/>
  <c r="V33" i="4"/>
  <c r="I34" i="4"/>
  <c r="C37" i="4"/>
  <c r="C43" i="4"/>
  <c r="C33" i="4"/>
  <c r="M32" i="4"/>
  <c r="C32" i="4"/>
  <c r="C45" i="4"/>
  <c r="C28" i="4"/>
  <c r="C35" i="4"/>
  <c r="E35" i="4"/>
  <c r="T33" i="4"/>
  <c r="T34" i="4" s="1"/>
  <c r="C27" i="4"/>
  <c r="V34" i="4"/>
  <c r="A1" i="4" l="1"/>
  <c r="A1" i="3"/>
  <c r="C10" i="2"/>
  <c r="V36" i="4"/>
  <c r="V35" i="4"/>
  <c r="T36" i="4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<sst xmlns="http://schemas.openxmlformats.org/spreadsheetml/2006/main" count="263" uniqueCount="173">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</sst>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3.1011512511740289</c:v>
                </c:pt>
                <c:pt idx="1">
                  <c:v>15.473087862986253</c:v>
                </c:pt>
                <c:pt idx="2">
                  <c:v>23.841345587244223</c:v>
                </c:pt>
                <c:pt idx="3">
                  <c:v>31.02828675967783</c:v>
                </c:pt>
                <c:pt idx="4">
                  <c:v>37.592776191231913</c:v>
                </c:pt>
                <c:pt idx="5">
                  <c:v>43.775907290532643</c:v>
                </c:pt>
                <c:pt idx="6">
                  <c:v>49.710099385563858</c:v>
                </c:pt>
                <c:pt idx="7">
                  <c:v>55.478237007282608</c:v>
                </c:pt>
                <c:pt idx="8">
                  <c:v>61.136718537642487</c:v>
                </c:pt>
                <c:pt idx="9">
                  <c:v>66.726228812411762</c:v>
                </c:pt>
                <c:pt idx="10">
                  <c:v>72.277416677713262</c:v>
                </c:pt>
                <c:pt idx="11">
                  <c:v>77.814156746777599</c:v>
                </c:pt>
                <c:pt idx="12">
                  <c:v>83.355549655454183</c:v>
                </c:pt>
                <c:pt idx="13">
                  <c:v>88.917213244253801</c:v>
                </c:pt>
                <c:pt idx="14">
                  <c:v>94.512151280496724</c:v>
                </c:pt>
                <c:pt idx="15">
                  <c:v>100.15135828648546</c:v>
                </c:pt>
                <c:pt idx="16">
                  <c:v>105.84425292190635</c:v>
                </c:pt>
                <c:pt idx="17">
                  <c:v>111.59899622830899</c:v>
                </c:pt>
                <c:pt idx="18">
                  <c:v>117.4227303251761</c:v>
                </c:pt>
                <c:pt idx="19">
                  <c:v>123.32176077895261</c:v>
                </c:pt>
                <c:pt idx="20">
                  <c:v>129.30169822093166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3.1011512511740289</c:v>
                </c:pt>
                <c:pt idx="1">
                  <c:v>15.473087862986253</c:v>
                </c:pt>
                <c:pt idx="2">
                  <c:v>23.841345587244223</c:v>
                </c:pt>
                <c:pt idx="3">
                  <c:v>31.02828675967783</c:v>
                </c:pt>
                <c:pt idx="4">
                  <c:v>37.592776191231913</c:v>
                </c:pt>
                <c:pt idx="5">
                  <c:v>43.775907290532643</c:v>
                </c:pt>
                <c:pt idx="6">
                  <c:v>49.710099385563858</c:v>
                </c:pt>
                <c:pt idx="7">
                  <c:v>55.478237007282608</c:v>
                </c:pt>
                <c:pt idx="8">
                  <c:v>61.136718537642487</c:v>
                </c:pt>
                <c:pt idx="9">
                  <c:v>66.726228812411762</c:v>
                </c:pt>
                <c:pt idx="10">
                  <c:v>72.277416677713262</c:v>
                </c:pt>
                <c:pt idx="11">
                  <c:v>77.814156746777599</c:v>
                </c:pt>
                <c:pt idx="12">
                  <c:v>83.355549655454183</c:v>
                </c:pt>
                <c:pt idx="13">
                  <c:v>88.917213244253801</c:v>
                </c:pt>
                <c:pt idx="14">
                  <c:v>94.512151280496724</c:v>
                </c:pt>
                <c:pt idx="15">
                  <c:v>100.15135828648546</c:v>
                </c:pt>
                <c:pt idx="16">
                  <c:v>105.84425292190635</c:v>
                </c:pt>
                <c:pt idx="17">
                  <c:v>111.59899622830899</c:v>
                </c:pt>
                <c:pt idx="18">
                  <c:v>117.4227303251761</c:v>
                </c:pt>
                <c:pt idx="19">
                  <c:v>123.32176077895261</c:v>
                </c:pt>
                <c:pt idx="20">
                  <c:v>129.30169822093166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7.5297454524605165E-2</c:v>
                </c:pt>
                <c:pt idx="1">
                  <c:v>9.5158857594224617</c:v>
                </c:pt>
                <c:pt idx="2">
                  <c:v>15.049210113406025</c:v>
                </c:pt>
                <c:pt idx="3">
                  <c:v>19.70477947594269</c:v>
                </c:pt>
                <c:pt idx="4">
                  <c:v>23.885349182709959</c:v>
                </c:pt>
                <c:pt idx="5">
                  <c:v>27.757988922357807</c:v>
                </c:pt>
                <c:pt idx="6">
                  <c:v>31.412537665633632</c:v>
                </c:pt>
                <c:pt idx="7">
                  <c:v>34.904392812814443</c:v>
                </c:pt>
                <c:pt idx="8">
                  <c:v>38.270796795023514</c:v>
                </c:pt>
                <c:pt idx="9">
                  <c:v>41.538334092717633</c:v>
                </c:pt>
                <c:pt idx="10">
                  <c:v>44.726839206293143</c:v>
                </c:pt>
                <c:pt idx="11">
                  <c:v>47.851622703637361</c:v>
                </c:pt>
                <c:pt idx="12">
                  <c:v>50.924826856440475</c:v>
                </c:pt>
                <c:pt idx="13">
                  <c:v>53.956295563208826</c:v>
                </c:pt>
                <c:pt idx="14">
                  <c:v>56.954156633482938</c:v>
                </c:pt>
                <c:pt idx="15">
                  <c:v>59.925225325406743</c:v>
                </c:pt>
                <c:pt idx="16">
                  <c:v>62.875292283285425</c:v>
                </c:pt>
                <c:pt idx="17">
                  <c:v>65.809334156911191</c:v>
                </c:pt>
                <c:pt idx="18">
                  <c:v>68.731670999022526</c:v>
                </c:pt>
                <c:pt idx="19">
                  <c:v>71.646086105073906</c:v>
                </c:pt>
                <c:pt idx="20">
                  <c:v>74.555918766831553</c:v>
                </c:pt>
                <c:pt idx="21">
                  <c:v>80.410122867911625</c:v>
                </c:pt>
                <c:pt idx="22">
                  <c:v>86.278097292288336</c:v>
                </c:pt>
                <c:pt idx="23">
                  <c:v>92.176672960277287</c:v>
                </c:pt>
                <c:pt idx="24">
                  <c:v>98.119838707589167</c:v>
                </c:pt>
                <c:pt idx="25">
                  <c:v>104.11940567703313</c:v>
                </c:pt>
                <c:pt idx="26">
                  <c:v>110.18548147140126</c:v>
                </c:pt>
                <c:pt idx="27">
                  <c:v>116.32681715240558</c:v>
                </c:pt>
                <c:pt idx="28">
                  <c:v>122.55106674514671</c:v>
                </c:pt>
                <c:pt idx="29">
                  <c:v>128.86498500588959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842.35911469062512</c:v>
                </c:pt>
                <c:pt idx="1">
                  <c:v>834.25788386913518</c:v>
                </c:pt>
                <c:pt idx="2">
                  <c:v>829.05444692437413</c:v>
                </c:pt>
                <c:pt idx="3">
                  <c:v>824.73474906009699</c:v>
                </c:pt>
                <c:pt idx="4">
                  <c:v>820.89774874118609</c:v>
                </c:pt>
                <c:pt idx="5">
                  <c:v>817.37054578125185</c:v>
                </c:pt>
                <c:pt idx="6">
                  <c:v>814.05864061384057</c:v>
                </c:pt>
                <c:pt idx="7">
                  <c:v>810.90342458262785</c:v>
                </c:pt>
                <c:pt idx="8">
                  <c:v>807.86556068446623</c:v>
                </c:pt>
                <c:pt idx="9">
                  <c:v>804.91719497089116</c:v>
                </c:pt>
                <c:pt idx="10">
                  <c:v>802.03784109054402</c:v>
                </c:pt>
                <c:pt idx="11">
                  <c:v>799.21201048979583</c:v>
                </c:pt>
                <c:pt idx="12">
                  <c:v>796.42775578055489</c:v>
                </c:pt>
                <c:pt idx="13">
                  <c:v>793.67572833502948</c:v>
                </c:pt>
                <c:pt idx="14">
                  <c:v>790.94854237496929</c:v>
                </c:pt>
                <c:pt idx="15">
                  <c:v>788.24033144571524</c:v>
                </c:pt>
                <c:pt idx="16">
                  <c:v>785.54642917601814</c:v>
                </c:pt>
                <c:pt idx="17">
                  <c:v>782.86313409099819</c:v>
                </c:pt>
                <c:pt idx="18">
                  <c:v>780.18753231046185</c:v>
                </c:pt>
                <c:pt idx="19">
                  <c:v>777.51736124714932</c:v>
                </c:pt>
                <c:pt idx="20">
                  <c:v>774.85090293643225</c:v>
                </c:pt>
                <c:pt idx="21">
                  <c:v>776.97397118327012</c:v>
                </c:pt>
                <c:pt idx="22">
                  <c:v>779.07295218636239</c:v>
                </c:pt>
                <c:pt idx="23">
                  <c:v>780.8543717879279</c:v>
                </c:pt>
                <c:pt idx="24">
                  <c:v>782.38522526747454</c:v>
                </c:pt>
                <c:pt idx="25">
                  <c:v>783.71490180389139</c:v>
                </c:pt>
                <c:pt idx="26">
                  <c:v>784.88061120793031</c:v>
                </c:pt>
                <c:pt idx="27">
                  <c:v>785.91092006215672</c:v>
                </c:pt>
                <c:pt idx="28">
                  <c:v>786.82812350258894</c:v>
                </c:pt>
                <c:pt idx="29">
                  <c:v>787.64987665012313</c:v>
                </c:pt>
                <c:pt idx="30">
                  <c:v>788.39034196779778</c:v>
                </c:pt>
                <c:pt idx="31">
                  <c:v>789.06101221546373</c:v>
                </c:pt>
                <c:pt idx="32">
                  <c:v>789.67131119195062</c:v>
                </c:pt>
                <c:pt idx="33">
                  <c:v>790.22903925026196</c:v>
                </c:pt>
                <c:pt idx="34">
                  <c:v>790.74070844722371</c:v>
                </c:pt>
                <c:pt idx="35">
                  <c:v>791.21179795939906</c:v>
                </c:pt>
                <c:pt idx="36">
                  <c:v>791.6469510514421</c:v>
                </c:pt>
                <c:pt idx="37">
                  <c:v>792.05012862725391</c:v>
                </c:pt>
                <c:pt idx="38">
                  <c:v>792.42473013351946</c:v>
                </c:pt>
                <c:pt idx="39">
                  <c:v>792.77368963672382</c:v>
                </c:pt>
                <c:pt idx="40">
                  <c:v>793.09955282433111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842.35911469062512</c:v>
                </c:pt>
                <c:pt idx="1">
                  <c:v>834.25788386913518</c:v>
                </c:pt>
                <c:pt idx="2">
                  <c:v>829.05444692437413</c:v>
                </c:pt>
                <c:pt idx="3">
                  <c:v>824.73474906009699</c:v>
                </c:pt>
                <c:pt idx="4">
                  <c:v>820.89774874118609</c:v>
                </c:pt>
                <c:pt idx="5">
                  <c:v>817.37054578125185</c:v>
                </c:pt>
                <c:pt idx="6">
                  <c:v>814.05864061384057</c:v>
                </c:pt>
                <c:pt idx="7">
                  <c:v>810.90342458262785</c:v>
                </c:pt>
                <c:pt idx="8">
                  <c:v>807.86556068446623</c:v>
                </c:pt>
                <c:pt idx="9">
                  <c:v>804.91719497089116</c:v>
                </c:pt>
                <c:pt idx="10">
                  <c:v>802.03784109054402</c:v>
                </c:pt>
                <c:pt idx="11">
                  <c:v>799.21201048979583</c:v>
                </c:pt>
                <c:pt idx="12">
                  <c:v>796.42775578055489</c:v>
                </c:pt>
                <c:pt idx="13">
                  <c:v>793.67572833502948</c:v>
                </c:pt>
                <c:pt idx="14">
                  <c:v>790.94854237496929</c:v>
                </c:pt>
                <c:pt idx="15">
                  <c:v>788.24033144571524</c:v>
                </c:pt>
                <c:pt idx="16">
                  <c:v>785.54642917601814</c:v>
                </c:pt>
                <c:pt idx="17">
                  <c:v>782.86313409099819</c:v>
                </c:pt>
                <c:pt idx="18">
                  <c:v>780.18753231046185</c:v>
                </c:pt>
                <c:pt idx="19">
                  <c:v>777.51736124714932</c:v>
                </c:pt>
                <c:pt idx="20">
                  <c:v>774.85090293643225</c:v>
                </c:pt>
                <c:pt idx="21">
                  <c:v>776.97397118327012</c:v>
                </c:pt>
                <c:pt idx="22">
                  <c:v>779.07295218636239</c:v>
                </c:pt>
                <c:pt idx="23">
                  <c:v>780.8543717879279</c:v>
                </c:pt>
                <c:pt idx="24">
                  <c:v>782.38522526747454</c:v>
                </c:pt>
                <c:pt idx="25">
                  <c:v>783.71490180389139</c:v>
                </c:pt>
                <c:pt idx="26">
                  <c:v>784.88061120793031</c:v>
                </c:pt>
                <c:pt idx="27">
                  <c:v>785.91092006215672</c:v>
                </c:pt>
                <c:pt idx="28">
                  <c:v>786.82812350258894</c:v>
                </c:pt>
                <c:pt idx="29">
                  <c:v>787.64987665012313</c:v>
                </c:pt>
                <c:pt idx="30">
                  <c:v>788.39034196779778</c:v>
                </c:pt>
                <c:pt idx="31">
                  <c:v>789.06101221546373</c:v>
                </c:pt>
                <c:pt idx="32">
                  <c:v>789.67131119195062</c:v>
                </c:pt>
                <c:pt idx="33">
                  <c:v>790.22903925026196</c:v>
                </c:pt>
                <c:pt idx="34">
                  <c:v>790.74070844722371</c:v>
                </c:pt>
                <c:pt idx="35">
                  <c:v>791.21179795939906</c:v>
                </c:pt>
                <c:pt idx="36">
                  <c:v>791.6469510514421</c:v>
                </c:pt>
                <c:pt idx="37">
                  <c:v>792.05012862725391</c:v>
                </c:pt>
                <c:pt idx="38">
                  <c:v>792.42473013351946</c:v>
                </c:pt>
                <c:pt idx="39">
                  <c:v>792.77368963672382</c:v>
                </c:pt>
                <c:pt idx="40">
                  <c:v>793.09955282433111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841.33819519220719</c:v>
                </c:pt>
                <c:pt idx="1">
                  <c:v>832.23971097404365</c:v>
                </c:pt>
                <c:pt idx="2">
                  <c:v>827.14686969320815</c:v>
                </c:pt>
                <c:pt idx="3">
                  <c:v>822.97587154263408</c:v>
                </c:pt>
                <c:pt idx="4">
                  <c:v>819.31252802180097</c:v>
                </c:pt>
                <c:pt idx="5">
                  <c:v>815.98434676433374</c:v>
                </c:pt>
                <c:pt idx="6">
                  <c:v>812.89838243485144</c:v>
                </c:pt>
                <c:pt idx="7">
                  <c:v>809.99729163398877</c:v>
                </c:pt>
                <c:pt idx="8">
                  <c:v>807.24255654940805</c:v>
                </c:pt>
                <c:pt idx="9">
                  <c:v>804.60674226323749</c:v>
                </c:pt>
                <c:pt idx="10">
                  <c:v>802.06945116436941</c:v>
                </c:pt>
                <c:pt idx="11">
                  <c:v>799.61501351040374</c:v>
                </c:pt>
                <c:pt idx="12">
                  <c:v>797.23107822601264</c:v>
                </c:pt>
                <c:pt idx="13">
                  <c:v>794.90770673305872</c:v>
                </c:pt>
                <c:pt idx="14">
                  <c:v>792.63676565523531</c:v>
                </c:pt>
                <c:pt idx="15">
                  <c:v>790.41150497591434</c:v>
                </c:pt>
                <c:pt idx="16">
                  <c:v>788.22625668989872</c:v>
                </c:pt>
                <c:pt idx="17">
                  <c:v>786.07621402235634</c:v>
                </c:pt>
                <c:pt idx="18">
                  <c:v>783.95726619927336</c:v>
                </c:pt>
                <c:pt idx="19">
                  <c:v>781.86587246785757</c:v>
                </c:pt>
                <c:pt idx="20">
                  <c:v>779.79896445625741</c:v>
                </c:pt>
                <c:pt idx="21">
                  <c:v>775.70280453839791</c:v>
                </c:pt>
                <c:pt idx="22">
                  <c:v>771.67736560067658</c:v>
                </c:pt>
                <c:pt idx="23">
                  <c:v>767.70873940272782</c:v>
                </c:pt>
                <c:pt idx="24">
                  <c:v>763.78607160721435</c:v>
                </c:pt>
                <c:pt idx="25">
                  <c:v>759.90085492030323</c:v>
                </c:pt>
                <c:pt idx="26">
                  <c:v>756.04642195362521</c:v>
                </c:pt>
                <c:pt idx="27">
                  <c:v>752.21757245666799</c:v>
                </c:pt>
                <c:pt idx="28">
                  <c:v>748.41029276907125</c:v>
                </c:pt>
                <c:pt idx="29">
                  <c:v>744.62154038714402</c:v>
                </c:pt>
                <c:pt idx="30">
                  <c:v>745.09952714854364</c:v>
                </c:pt>
                <c:pt idx="31">
                  <c:v>746.30649948845951</c:v>
                </c:pt>
                <c:pt idx="32">
                  <c:v>747.40563039208837</c:v>
                </c:pt>
                <c:pt idx="33">
                  <c:v>748.41075397765223</c:v>
                </c:pt>
                <c:pt idx="34">
                  <c:v>749.33343533075004</c:v>
                </c:pt>
                <c:pt idx="35">
                  <c:v>750.18341735131366</c:v>
                </c:pt>
                <c:pt idx="36">
                  <c:v>750.96896600983132</c:v>
                </c:pt>
                <c:pt idx="37">
                  <c:v>751.69713997368035</c:v>
                </c:pt>
                <c:pt idx="38">
                  <c:v>752.37400325000124</c:v>
                </c:pt>
                <c:pt idx="39">
                  <c:v>753.00479441655375</c:v>
                </c:pt>
                <c:pt idx="40">
                  <c:v>753.59406243973626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1.0240906265439051</c:v>
                </c:pt>
                <c:pt idx="1">
                  <c:v>1.04671762400333</c:v>
                </c:pt>
                <c:pt idx="2">
                  <c:v>1.0619192546386087</c:v>
                </c:pt>
                <c:pt idx="3">
                  <c:v>1.0749335850882265</c:v>
                </c:pt>
                <c:pt idx="4">
                  <c:v>1.0867967023165241</c:v>
                </c:pt>
                <c:pt idx="5">
                  <c:v>1.0979557836868352</c:v>
                </c:pt>
                <c:pt idx="6">
                  <c:v>1.1086567169325809</c:v>
                </c:pt>
                <c:pt idx="7">
                  <c:v>1.1190536455969708</c:v>
                </c:pt>
                <c:pt idx="8">
                  <c:v>1.1292516412672324</c:v>
                </c:pt>
                <c:pt idx="9">
                  <c:v>1.1393266404890889</c:v>
                </c:pt>
                <c:pt idx="10">
                  <c:v>1.1493359499287616</c:v>
                </c:pt>
                <c:pt idx="11">
                  <c:v>1.1593242800999006</c:v>
                </c:pt>
                <c:pt idx="12">
                  <c:v>1.1693274446432667</c:v>
                </c:pt>
                <c:pt idx="13">
                  <c:v>1.1793747473643645</c:v>
                </c:pt>
                <c:pt idx="14">
                  <c:v>1.189490587881437</c:v>
                </c:pt>
                <c:pt idx="15">
                  <c:v>1.1996955780714764</c:v>
                </c:pt>
                <c:pt idx="16">
                  <c:v>1.210007341836318</c:v>
                </c:pt>
                <c:pt idx="17">
                  <c:v>1.2204411013604195</c:v>
                </c:pt>
                <c:pt idx="18">
                  <c:v>1.2310101161224474</c:v>
                </c:pt>
                <c:pt idx="19">
                  <c:v>1.2417260176054907</c:v>
                </c:pt>
                <c:pt idx="20">
                  <c:v>1.252599068573562</c:v>
                </c:pt>
                <c:pt idx="21">
                  <c:v>1.2499449608601141</c:v>
                </c:pt>
                <c:pt idx="22">
                  <c:v>1.2465773548863814</c:v>
                </c:pt>
                <c:pt idx="23">
                  <c:v>1.2437334477314819</c:v>
                </c:pt>
                <c:pt idx="24">
                  <c:v>1.2412998975894309</c:v>
                </c:pt>
                <c:pt idx="25">
                  <c:v>1.2391938672655436</c:v>
                </c:pt>
                <c:pt idx="26">
                  <c:v>1.2373534090813676</c:v>
                </c:pt>
                <c:pt idx="27">
                  <c:v>1.2357312708203507</c:v>
                </c:pt>
                <c:pt idx="28">
                  <c:v>1.2342907821809759</c:v>
                </c:pt>
                <c:pt idx="29">
                  <c:v>1.2330030496931053</c:v>
                </c:pt>
                <c:pt idx="30">
                  <c:v>1.2318449989835976</c:v>
                </c:pt>
                <c:pt idx="31">
                  <c:v>1.230797980086751</c:v>
                </c:pt>
                <c:pt idx="32">
                  <c:v>1.2298467555242489</c:v>
                </c:pt>
                <c:pt idx="33">
                  <c:v>1.228978753958994</c:v>
                </c:pt>
                <c:pt idx="34">
                  <c:v>1.2281835115168083</c:v>
                </c:pt>
                <c:pt idx="35">
                  <c:v>1.2274522479375816</c:v>
                </c:pt>
                <c:pt idx="36">
                  <c:v>1.2267775410618513</c:v>
                </c:pt>
                <c:pt idx="37">
                  <c:v>1.2261530740272675</c:v>
                </c:pt>
                <c:pt idx="38">
                  <c:v>1.2255734369072027</c:v>
                </c:pt>
                <c:pt idx="39">
                  <c:v>1.2250339695872421</c:v>
                </c:pt>
                <c:pt idx="40">
                  <c:v>1.2245306362127175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1.0240906265439051</c:v>
                </c:pt>
                <c:pt idx="1">
                  <c:v>1.04671762400333</c:v>
                </c:pt>
                <c:pt idx="2">
                  <c:v>1.0619192546386087</c:v>
                </c:pt>
                <c:pt idx="3">
                  <c:v>1.0749335850882265</c:v>
                </c:pt>
                <c:pt idx="4">
                  <c:v>1.0867967023165241</c:v>
                </c:pt>
                <c:pt idx="5">
                  <c:v>1.0979557836868352</c:v>
                </c:pt>
                <c:pt idx="6">
                  <c:v>1.1086567169325809</c:v>
                </c:pt>
                <c:pt idx="7">
                  <c:v>1.1190536455969708</c:v>
                </c:pt>
                <c:pt idx="8">
                  <c:v>1.1292516412672324</c:v>
                </c:pt>
                <c:pt idx="9">
                  <c:v>1.1393266404890889</c:v>
                </c:pt>
                <c:pt idx="10">
                  <c:v>1.1493359499287616</c:v>
                </c:pt>
                <c:pt idx="11">
                  <c:v>1.1593242800999006</c:v>
                </c:pt>
                <c:pt idx="12">
                  <c:v>1.1693274446432667</c:v>
                </c:pt>
                <c:pt idx="13">
                  <c:v>1.1793747473643645</c:v>
                </c:pt>
                <c:pt idx="14">
                  <c:v>1.189490587881437</c:v>
                </c:pt>
                <c:pt idx="15">
                  <c:v>1.1996955780714764</c:v>
                </c:pt>
                <c:pt idx="16">
                  <c:v>1.210007341836318</c:v>
                </c:pt>
                <c:pt idx="17">
                  <c:v>1.2204411013604195</c:v>
                </c:pt>
                <c:pt idx="18">
                  <c:v>1.2310101161224474</c:v>
                </c:pt>
                <c:pt idx="19">
                  <c:v>1.2417260176054907</c:v>
                </c:pt>
                <c:pt idx="20">
                  <c:v>1.252599068573562</c:v>
                </c:pt>
                <c:pt idx="21">
                  <c:v>1.2499449608601141</c:v>
                </c:pt>
                <c:pt idx="22">
                  <c:v>1.2465773548863814</c:v>
                </c:pt>
                <c:pt idx="23">
                  <c:v>1.2437334477314819</c:v>
                </c:pt>
                <c:pt idx="24">
                  <c:v>1.2412998975894309</c:v>
                </c:pt>
                <c:pt idx="25">
                  <c:v>1.2391938672655436</c:v>
                </c:pt>
                <c:pt idx="26">
                  <c:v>1.2373534090813676</c:v>
                </c:pt>
                <c:pt idx="27">
                  <c:v>1.2357312708203507</c:v>
                </c:pt>
                <c:pt idx="28">
                  <c:v>1.2342907821809759</c:v>
                </c:pt>
                <c:pt idx="29">
                  <c:v>1.2330030496931053</c:v>
                </c:pt>
                <c:pt idx="30">
                  <c:v>1.2318449989835976</c:v>
                </c:pt>
                <c:pt idx="31">
                  <c:v>1.230797980086751</c:v>
                </c:pt>
                <c:pt idx="32">
                  <c:v>1.2298467555242489</c:v>
                </c:pt>
                <c:pt idx="33">
                  <c:v>1.228978753958994</c:v>
                </c:pt>
                <c:pt idx="34">
                  <c:v>1.2281835115168083</c:v>
                </c:pt>
                <c:pt idx="35">
                  <c:v>1.2274522479375816</c:v>
                </c:pt>
                <c:pt idx="36">
                  <c:v>1.2267775410618513</c:v>
                </c:pt>
                <c:pt idx="37">
                  <c:v>1.2261530740272675</c:v>
                </c:pt>
                <c:pt idx="38">
                  <c:v>1.2255734369072027</c:v>
                </c:pt>
                <c:pt idx="39">
                  <c:v>1.2250339695872421</c:v>
                </c:pt>
                <c:pt idx="40">
                  <c:v>1.2245306362127175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1.0222576349735906</c:v>
                </c:pt>
                <c:pt idx="1">
                  <c:v>1.0431344225650347</c:v>
                </c:pt>
                <c:pt idx="2">
                  <c:v>1.0552780479247106</c:v>
                </c:pt>
                <c:pt idx="3">
                  <c:v>1.0654642021477616</c:v>
                </c:pt>
                <c:pt idx="4">
                  <c:v>1.0745917847653546</c:v>
                </c:pt>
                <c:pt idx="5">
                  <c:v>1.0830334651036457</c:v>
                </c:pt>
                <c:pt idx="6">
                  <c:v>1.0909896086025852</c:v>
                </c:pt>
                <c:pt idx="7">
                  <c:v>1.0985837815513151</c:v>
                </c:pt>
                <c:pt idx="8">
                  <c:v>1.1058990825844746</c:v>
                </c:pt>
                <c:pt idx="9">
                  <c:v>1.1129948593443046</c:v>
                </c:pt>
                <c:pt idx="10">
                  <c:v>1.1199154191907379</c:v>
                </c:pt>
                <c:pt idx="11">
                  <c:v>1.1266949894609524</c:v>
                </c:pt>
                <c:pt idx="12">
                  <c:v>1.1333607373785866</c:v>
                </c:pt>
                <c:pt idx="13">
                  <c:v>1.1399347077999789</c:v>
                </c:pt>
                <c:pt idx="14">
                  <c:v>1.1464351195723346</c:v>
                </c:pt>
                <c:pt idx="15">
                  <c:v>1.1528772641964546</c:v>
                </c:pt>
                <c:pt idx="16">
                  <c:v>1.1592741467977199</c:v>
                </c:pt>
                <c:pt idx="17">
                  <c:v>1.1656369549576391</c:v>
                </c:pt>
                <c:pt idx="18">
                  <c:v>1.1719754090372965</c:v>
                </c:pt>
                <c:pt idx="19">
                  <c:v>1.1782980288784397</c:v>
                </c:pt>
                <c:pt idx="20">
                  <c:v>1.1846123402001834</c:v>
                </c:pt>
                <c:pt idx="21">
                  <c:v>1.1973218706204054</c:v>
                </c:pt>
                <c:pt idx="22">
                  <c:v>1.2100706948901254</c:v>
                </c:pt>
                <c:pt idx="23">
                  <c:v>1.222896810682788</c:v>
                </c:pt>
                <c:pt idx="24">
                  <c:v>1.2358317858272756</c:v>
                </c:pt>
                <c:pt idx="25">
                  <c:v>1.248902232963635</c:v>
                </c:pt>
                <c:pt idx="26">
                  <c:v>1.2621308615333393</c:v>
                </c:pt>
                <c:pt idx="27">
                  <c:v>1.2755372459951901</c:v>
                </c:pt>
                <c:pt idx="28">
                  <c:v>1.289138399206224</c:v>
                </c:pt>
                <c:pt idx="29">
                  <c:v>1.3029492082954754</c:v>
                </c:pt>
                <c:pt idx="30">
                  <c:v>1.303416073442744</c:v>
                </c:pt>
                <c:pt idx="31">
                  <c:v>1.3013081095577645</c:v>
                </c:pt>
                <c:pt idx="32">
                  <c:v>1.2993944124966286</c:v>
                </c:pt>
                <c:pt idx="33">
                  <c:v>1.297649312010019</c:v>
                </c:pt>
                <c:pt idx="34">
                  <c:v>1.2960514694921239</c:v>
                </c:pt>
                <c:pt idx="35">
                  <c:v>1.2945830013531148</c:v>
                </c:pt>
                <c:pt idx="36">
                  <c:v>1.2932288069907882</c:v>
                </c:pt>
                <c:pt idx="37">
                  <c:v>1.2919760477391258</c:v>
                </c:pt>
                <c:pt idx="38">
                  <c:v>1.2908137386523906</c:v>
                </c:pt>
                <c:pt idx="39">
                  <c:v>1.2897324256115654</c:v>
                </c:pt>
                <c:pt idx="40">
                  <c:v>1.2887239276485984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1.434444557949518</c:v>
                </c:pt>
                <c:pt idx="1">
                  <c:v>1.1228175745339353</c:v>
                </c:pt>
                <c:pt idx="2">
                  <c:v>0.97174135511644633</c:v>
                </c:pt>
                <c:pt idx="3">
                  <c:v>0.86722813957592071</c:v>
                </c:pt>
                <c:pt idx="4">
                  <c:v>0.78701049625966968</c:v>
                </c:pt>
                <c:pt idx="5">
                  <c:v>0.72195327364255457</c:v>
                </c:pt>
                <c:pt idx="6">
                  <c:v>0.66732236741596129</c:v>
                </c:pt>
                <c:pt idx="7">
                  <c:v>0.62032873692194213</c:v>
                </c:pt>
                <c:pt idx="8">
                  <c:v>0.57918668002431761</c:v>
                </c:pt>
                <c:pt idx="9">
                  <c:v>0.54268322489573462</c:v>
                </c:pt>
                <c:pt idx="10">
                  <c:v>0.5099568393955799</c:v>
                </c:pt>
                <c:pt idx="11">
                  <c:v>0.48037372427865666</c:v>
                </c:pt>
                <c:pt idx="12">
                  <c:v>0.45345409341974169</c:v>
                </c:pt>
                <c:pt idx="13">
                  <c:v>0.42882597363069186</c:v>
                </c:pt>
                <c:pt idx="14">
                  <c:v>0.40619504683627494</c:v>
                </c:pt>
                <c:pt idx="15">
                  <c:v>0.38532429039106658</c:v>
                </c:pt>
                <c:pt idx="16">
                  <c:v>0.36601983853077286</c:v>
                </c:pt>
                <c:pt idx="17">
                  <c:v>0.3481209255804823</c:v>
                </c:pt>
                <c:pt idx="18">
                  <c:v>0.33149258361969258</c:v>
                </c:pt>
                <c:pt idx="19">
                  <c:v>0.31602024472728052</c:v>
                </c:pt>
                <c:pt idx="20">
                  <c:v>0.30160568847142311</c:v>
                </c:pt>
                <c:pt idx="21">
                  <c:v>0.30515629876815858</c:v>
                </c:pt>
                <c:pt idx="22">
                  <c:v>0.31033921064911818</c:v>
                </c:pt>
                <c:pt idx="23">
                  <c:v>0.31552212253007783</c:v>
                </c:pt>
                <c:pt idx="24">
                  <c:v>0.32070503441103743</c:v>
                </c:pt>
                <c:pt idx="25">
                  <c:v>0.32588794629199702</c:v>
                </c:pt>
                <c:pt idx="26">
                  <c:v>0.33107085817295667</c:v>
                </c:pt>
                <c:pt idx="27">
                  <c:v>0.33625377005391627</c:v>
                </c:pt>
                <c:pt idx="28">
                  <c:v>0.34143668193487586</c:v>
                </c:pt>
                <c:pt idx="29">
                  <c:v>0.34661959381583546</c:v>
                </c:pt>
                <c:pt idx="30">
                  <c:v>0.35180250569679511</c:v>
                </c:pt>
                <c:pt idx="31">
                  <c:v>0.3569854175777547</c:v>
                </c:pt>
                <c:pt idx="32">
                  <c:v>0.3621683294587143</c:v>
                </c:pt>
                <c:pt idx="33">
                  <c:v>0.3673512413396739</c:v>
                </c:pt>
                <c:pt idx="34">
                  <c:v>0.37253415322063355</c:v>
                </c:pt>
                <c:pt idx="35">
                  <c:v>0.37771706510159314</c:v>
                </c:pt>
                <c:pt idx="36">
                  <c:v>0.38289997698255274</c:v>
                </c:pt>
                <c:pt idx="37">
                  <c:v>0.38808288886351233</c:v>
                </c:pt>
                <c:pt idx="38">
                  <c:v>0.39326580074447198</c:v>
                </c:pt>
                <c:pt idx="39">
                  <c:v>0.39844871262543163</c:v>
                </c:pt>
                <c:pt idx="40">
                  <c:v>0.40363162450639123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1.434444557949518</c:v>
                </c:pt>
                <c:pt idx="1">
                  <c:v>1.1228175745339353</c:v>
                </c:pt>
                <c:pt idx="2">
                  <c:v>0.97174135511644633</c:v>
                </c:pt>
                <c:pt idx="3">
                  <c:v>0.86722813957592071</c:v>
                </c:pt>
                <c:pt idx="4">
                  <c:v>0.78701049625966968</c:v>
                </c:pt>
                <c:pt idx="5">
                  <c:v>0.72195327364255457</c:v>
                </c:pt>
                <c:pt idx="6">
                  <c:v>0.66732236741596129</c:v>
                </c:pt>
                <c:pt idx="7">
                  <c:v>0.62032873692194213</c:v>
                </c:pt>
                <c:pt idx="8">
                  <c:v>0.57918668002431761</c:v>
                </c:pt>
                <c:pt idx="9">
                  <c:v>0.54268322489573462</c:v>
                </c:pt>
                <c:pt idx="10">
                  <c:v>0.5099568393955799</c:v>
                </c:pt>
                <c:pt idx="11">
                  <c:v>0.48037372427865666</c:v>
                </c:pt>
                <c:pt idx="12">
                  <c:v>0.45345409341974169</c:v>
                </c:pt>
                <c:pt idx="13">
                  <c:v>0.42882597363069186</c:v>
                </c:pt>
                <c:pt idx="14">
                  <c:v>0.40619504683627494</c:v>
                </c:pt>
                <c:pt idx="15">
                  <c:v>0.38532429039106658</c:v>
                </c:pt>
                <c:pt idx="16">
                  <c:v>0.36601983853077286</c:v>
                </c:pt>
                <c:pt idx="17">
                  <c:v>0.3481209255804823</c:v>
                </c:pt>
                <c:pt idx="18">
                  <c:v>0.33149258361969258</c:v>
                </c:pt>
                <c:pt idx="19">
                  <c:v>0.31602024472728052</c:v>
                </c:pt>
                <c:pt idx="20">
                  <c:v>0.30160568847142311</c:v>
                </c:pt>
                <c:pt idx="21">
                  <c:v>0.30515629876815858</c:v>
                </c:pt>
                <c:pt idx="22">
                  <c:v>0.31033921064911818</c:v>
                </c:pt>
                <c:pt idx="23">
                  <c:v>0.31552212253007783</c:v>
                </c:pt>
                <c:pt idx="24">
                  <c:v>0.32070503441103743</c:v>
                </c:pt>
                <c:pt idx="25">
                  <c:v>0.32588794629199702</c:v>
                </c:pt>
                <c:pt idx="26">
                  <c:v>0.33107085817295667</c:v>
                </c:pt>
                <c:pt idx="27">
                  <c:v>0.33625377005391627</c:v>
                </c:pt>
                <c:pt idx="28">
                  <c:v>0.34143668193487586</c:v>
                </c:pt>
                <c:pt idx="29">
                  <c:v>0.34661959381583546</c:v>
                </c:pt>
                <c:pt idx="30">
                  <c:v>0.35180250569679511</c:v>
                </c:pt>
                <c:pt idx="31">
                  <c:v>0.3569854175777547</c:v>
                </c:pt>
                <c:pt idx="32">
                  <c:v>0.3621683294587143</c:v>
                </c:pt>
                <c:pt idx="33">
                  <c:v>0.3673512413396739</c:v>
                </c:pt>
                <c:pt idx="34">
                  <c:v>0.37253415322063355</c:v>
                </c:pt>
                <c:pt idx="35">
                  <c:v>0.37771706510159314</c:v>
                </c:pt>
                <c:pt idx="36">
                  <c:v>0.38289997698255274</c:v>
                </c:pt>
                <c:pt idx="37">
                  <c:v>0.38808288886351233</c:v>
                </c:pt>
                <c:pt idx="38">
                  <c:v>0.39326580074447198</c:v>
                </c:pt>
                <c:pt idx="39">
                  <c:v>0.39844871262543163</c:v>
                </c:pt>
                <c:pt idx="40">
                  <c:v>0.40363162450639123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6.0210378741205348</c:v>
                </c:pt>
                <c:pt idx="1">
                  <c:v>4.9315331173394314</c:v>
                </c:pt>
                <c:pt idx="2">
                  <c:v>4.4407155185720049</c:v>
                </c:pt>
                <c:pt idx="3">
                  <c:v>4.0887227645997113</c:v>
                </c:pt>
                <c:pt idx="4">
                  <c:v>3.8109045095879024</c:v>
                </c:pt>
                <c:pt idx="5">
                  <c:v>3.5805769609148328</c:v>
                </c:pt>
                <c:pt idx="6">
                  <c:v>3.383637579497897</c:v>
                </c:pt>
                <c:pt idx="7">
                  <c:v>3.2115923865310445</c:v>
                </c:pt>
                <c:pt idx="8">
                  <c:v>3.0588834919102514</c:v>
                </c:pt>
                <c:pt idx="9">
                  <c:v>2.9216576077542649</c:v>
                </c:pt>
                <c:pt idx="10">
                  <c:v>2.7971260078847182</c:v>
                </c:pt>
                <c:pt idx="11">
                  <c:v>2.6832020852532583</c:v>
                </c:pt>
                <c:pt idx="12">
                  <c:v>2.5782824020895245</c:v>
                </c:pt>
                <c:pt idx="13">
                  <c:v>2.4811075510052745</c:v>
                </c:pt>
                <c:pt idx="14">
                  <c:v>2.390670046283045</c:v>
                </c:pt>
                <c:pt idx="15">
                  <c:v>2.3061512570455052</c:v>
                </c:pt>
                <c:pt idx="16">
                  <c:v>2.2268769837316373</c:v>
                </c:pt>
                <c:pt idx="17">
                  <c:v>2.1522854006766599</c:v>
                </c:pt>
                <c:pt idx="18">
                  <c:v>2.0819034340729101</c:v>
                </c:pt>
                <c:pt idx="19">
                  <c:v>2.0153290353122362</c:v>
                </c:pt>
                <c:pt idx="20">
                  <c:v>1.9522176629591881</c:v>
                </c:pt>
                <c:pt idx="21">
                  <c:v>1.8345307331142697</c:v>
                </c:pt>
                <c:pt idx="22">
                  <c:v>1.7277191667380545</c:v>
                </c:pt>
                <c:pt idx="23">
                  <c:v>1.6302490456591197</c:v>
                </c:pt>
                <c:pt idx="24">
                  <c:v>1.5409108764221198</c:v>
                </c:pt>
                <c:pt idx="25">
                  <c:v>1.4587332804266977</c:v>
                </c:pt>
                <c:pt idx="26">
                  <c:v>1.382923425536954</c:v>
                </c:pt>
                <c:pt idx="27">
                  <c:v>1.3128248931812025</c:v>
                </c:pt>
                <c:pt idx="28">
                  <c:v>1.2478872456138861</c:v>
                </c:pt>
                <c:pt idx="29">
                  <c:v>1.1876436424036374</c:v>
                </c:pt>
                <c:pt idx="30">
                  <c:v>1.1872179752317653</c:v>
                </c:pt>
                <c:pt idx="31">
                  <c:v>1.1979040199125015</c:v>
                </c:pt>
                <c:pt idx="32">
                  <c:v>1.2085900645932377</c:v>
                </c:pt>
                <c:pt idx="33">
                  <c:v>1.2192761092739739</c:v>
                </c:pt>
                <c:pt idx="34">
                  <c:v>1.2299621539547101</c:v>
                </c:pt>
                <c:pt idx="35">
                  <c:v>1.2406481986354463</c:v>
                </c:pt>
                <c:pt idx="36">
                  <c:v>1.2513342433161827</c:v>
                </c:pt>
                <c:pt idx="37">
                  <c:v>1.2620202879969189</c:v>
                </c:pt>
                <c:pt idx="38">
                  <c:v>1.2727063326776551</c:v>
                </c:pt>
                <c:pt idx="39">
                  <c:v>1.2833923773583913</c:v>
                </c:pt>
                <c:pt idx="40">
                  <c:v>1.2940784220391277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0.52474395610920255</c:v>
                </c:pt>
                <c:pt idx="1">
                  <c:v>0.26385655895045373</c:v>
                </c:pt>
                <c:pt idx="2">
                  <c:v>0.45359434231017975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0.71,  γo new  = 0.78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0.25478259098711742</c:v>
                </c:pt>
                <c:pt idx="1">
                  <c:v>0.33554287020923435</c:v>
                </c:pt>
                <c:pt idx="2">
                  <c:v>0.2505423410014187</c:v>
                </c:pt>
                <c:pt idx="3">
                  <c:v>9.7171255260557171E-2</c:v>
                </c:pt>
                <c:pt idx="4">
                  <c:v>1.304020395807824E-2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0.99268833269474244</c:v>
                </c:pt>
                <c:pt idx="1">
                  <c:v>0.95488079791618308</c:v>
                </c:pt>
                <c:pt idx="2">
                  <c:v>0.91579889310800378</c:v>
                </c:pt>
                <c:pt idx="3">
                  <c:v>0.87521051053946264</c:v>
                </c:pt>
                <c:pt idx="4">
                  <c:v>0.83304098850992858</c:v>
                </c:pt>
                <c:pt idx="5">
                  <c:v>0.7892848738171917</c:v>
                </c:pt>
                <c:pt idx="6">
                  <c:v>0.74397752453591426</c:v>
                </c:pt>
                <c:pt idx="7">
                  <c:v>0.69718093980521378</c:v>
                </c:pt>
                <c:pt idx="8">
                  <c:v>0.64897494450444704</c:v>
                </c:pt>
                <c:pt idx="9">
                  <c:v>0.59945115584417519</c:v>
                </c:pt>
                <c:pt idx="10">
                  <c:v>0.5487089972665069</c:v>
                </c:pt>
                <c:pt idx="11">
                  <c:v>0.4968537157167337</c:v>
                </c:pt>
                <c:pt idx="12">
                  <c:v>0.4439966476115258</c:v>
                </c:pt>
                <c:pt idx="13">
                  <c:v>0.39025808275437163</c:v>
                </c:pt>
                <c:pt idx="14">
                  <c:v>0.33577305813591624</c:v>
                </c:pt>
                <c:pt idx="15">
                  <c:v>0.28070027863233177</c:v>
                </c:pt>
                <c:pt idx="16">
                  <c:v>0.2252340779056394</c:v>
                </c:pt>
                <c:pt idx="17">
                  <c:v>0.1696188459375598</c:v>
                </c:pt>
                <c:pt idx="18">
                  <c:v>0.11416459873432178</c:v>
                </c:pt>
                <c:pt idx="19">
                  <c:v>5.926131807100854E-2</c:v>
                </c:pt>
                <c:pt idx="20">
                  <c:v>5.3884020148379846E-3</c:v>
                </c:pt>
                <c:pt idx="21">
                  <c:v>2.2964717374419167E-17</c:v>
                </c:pt>
                <c:pt idx="22">
                  <c:v>2.04710408107232E-17</c:v>
                </c:pt>
                <c:pt idx="23">
                  <c:v>1.8213606496687836E-17</c:v>
                </c:pt>
                <c:pt idx="24">
                  <c:v>1.6208579503539599E-17</c:v>
                </c:pt>
                <c:pt idx="25">
                  <c:v>1.4510739826025207E-17</c:v>
                </c:pt>
                <c:pt idx="26">
                  <c:v>1.3177071227927012E-17</c:v>
                </c:pt>
                <c:pt idx="27">
                  <c:v>1.2222673297265649E-17</c:v>
                </c:pt>
                <c:pt idx="28">
                  <c:v>1.1595714814352403E-17</c:v>
                </c:pt>
                <c:pt idx="29">
                  <c:v>1.1194660218200904E-17</c:v>
                </c:pt>
                <c:pt idx="30">
                  <c:v>1.0916432910907292E-17</c:v>
                </c:pt>
                <c:pt idx="31">
                  <c:v>1.0693828512794735E-17</c:v>
                </c:pt>
                <c:pt idx="32">
                  <c:v>1.0497532161879084E-17</c:v>
                </c:pt>
                <c:pt idx="33">
                  <c:v>1.0318334487634112E-17</c:v>
                </c:pt>
                <c:pt idx="34">
                  <c:v>1.0153250255178556E-17</c:v>
                </c:pt>
                <c:pt idx="35">
                  <c:v>1.0000573704855052E-17</c:v>
                </c:pt>
                <c:pt idx="36">
                  <c:v>9.85892764812006E-18</c:v>
                </c:pt>
                <c:pt idx="37">
                  <c:v>9.7271353771437163E-18</c:v>
                </c:pt>
                <c:pt idx="38">
                  <c:v>9.6041827145960139E-18</c:v>
                </c:pt>
                <c:pt idx="39">
                  <c:v>9.489190774697768E-18</c:v>
                </c:pt>
                <c:pt idx="40">
                  <c:v>9.381394083551611E-18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0.99268833269474244</c:v>
                </c:pt>
                <c:pt idx="1">
                  <c:v>0.95488079791618308</c:v>
                </c:pt>
                <c:pt idx="2">
                  <c:v>0.91579889310800378</c:v>
                </c:pt>
                <c:pt idx="3">
                  <c:v>0.87521051053946264</c:v>
                </c:pt>
                <c:pt idx="4">
                  <c:v>0.83304098850992858</c:v>
                </c:pt>
                <c:pt idx="5">
                  <c:v>0.7892848738171917</c:v>
                </c:pt>
                <c:pt idx="6">
                  <c:v>0.74397752453591426</c:v>
                </c:pt>
                <c:pt idx="7">
                  <c:v>0.69718093980521378</c:v>
                </c:pt>
                <c:pt idx="8">
                  <c:v>0.64897494450444704</c:v>
                </c:pt>
                <c:pt idx="9">
                  <c:v>0.59945115584417519</c:v>
                </c:pt>
                <c:pt idx="10">
                  <c:v>0.5487089972665069</c:v>
                </c:pt>
                <c:pt idx="11">
                  <c:v>0.4968537157167337</c:v>
                </c:pt>
                <c:pt idx="12">
                  <c:v>0.4439966476115258</c:v>
                </c:pt>
                <c:pt idx="13">
                  <c:v>0.39025808275437163</c:v>
                </c:pt>
                <c:pt idx="14">
                  <c:v>0.33577305813591624</c:v>
                </c:pt>
                <c:pt idx="15">
                  <c:v>0.28070027863233177</c:v>
                </c:pt>
                <c:pt idx="16">
                  <c:v>0.2252340779056394</c:v>
                </c:pt>
                <c:pt idx="17">
                  <c:v>0.1696188459375598</c:v>
                </c:pt>
                <c:pt idx="18">
                  <c:v>0.11416459873432178</c:v>
                </c:pt>
                <c:pt idx="19">
                  <c:v>5.926131807100854E-2</c:v>
                </c:pt>
                <c:pt idx="20">
                  <c:v>5.3884020148379846E-3</c:v>
                </c:pt>
                <c:pt idx="21">
                  <c:v>2.2964717374419167E-17</c:v>
                </c:pt>
                <c:pt idx="22">
                  <c:v>2.04710408107232E-17</c:v>
                </c:pt>
                <c:pt idx="23">
                  <c:v>1.8213606496687836E-17</c:v>
                </c:pt>
                <c:pt idx="24">
                  <c:v>1.6208579503539599E-17</c:v>
                </c:pt>
                <c:pt idx="25">
                  <c:v>1.4510739826025207E-17</c:v>
                </c:pt>
                <c:pt idx="26">
                  <c:v>1.3177071227927012E-17</c:v>
                </c:pt>
                <c:pt idx="27">
                  <c:v>1.2222673297265649E-17</c:v>
                </c:pt>
                <c:pt idx="28">
                  <c:v>1.1595714814352403E-17</c:v>
                </c:pt>
                <c:pt idx="29">
                  <c:v>1.1194660218200904E-17</c:v>
                </c:pt>
                <c:pt idx="30">
                  <c:v>1.0916432910907292E-17</c:v>
                </c:pt>
                <c:pt idx="31">
                  <c:v>1.0693828512794735E-17</c:v>
                </c:pt>
                <c:pt idx="32">
                  <c:v>1.0497532161879084E-17</c:v>
                </c:pt>
                <c:pt idx="33">
                  <c:v>1.0318334487634112E-17</c:v>
                </c:pt>
                <c:pt idx="34">
                  <c:v>1.0153250255178556E-17</c:v>
                </c:pt>
                <c:pt idx="35">
                  <c:v>1.0000573704855052E-17</c:v>
                </c:pt>
                <c:pt idx="36">
                  <c:v>9.85892764812006E-18</c:v>
                </c:pt>
                <c:pt idx="37">
                  <c:v>9.7271353771437163E-18</c:v>
                </c:pt>
                <c:pt idx="38">
                  <c:v>9.6041827145960139E-18</c:v>
                </c:pt>
                <c:pt idx="39">
                  <c:v>9.489190774697768E-18</c:v>
                </c:pt>
                <c:pt idx="40">
                  <c:v>9.381394083551611E-18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5.9624608628688271</c:v>
                </c:pt>
                <c:pt idx="2">
                  <c:v>10.924921725737654</c:v>
                </c:pt>
                <c:pt idx="3">
                  <c:v>15.887382588606481</c:v>
                </c:pt>
                <c:pt idx="4">
                  <c:v>20.849843451475309</c:v>
                </c:pt>
                <c:pt idx="5">
                  <c:v>25.812304314344136</c:v>
                </c:pt>
                <c:pt idx="6">
                  <c:v>30.774765177212963</c:v>
                </c:pt>
                <c:pt idx="7">
                  <c:v>35.737226040081794</c:v>
                </c:pt>
                <c:pt idx="8">
                  <c:v>40.699686902950617</c:v>
                </c:pt>
                <c:pt idx="9">
                  <c:v>45.662147765819441</c:v>
                </c:pt>
                <c:pt idx="10">
                  <c:v>50.624608628688264</c:v>
                </c:pt>
                <c:pt idx="11">
                  <c:v>55.587069491557088</c:v>
                </c:pt>
                <c:pt idx="12">
                  <c:v>60.549530354425912</c:v>
                </c:pt>
                <c:pt idx="13">
                  <c:v>65.511991217294735</c:v>
                </c:pt>
                <c:pt idx="14">
                  <c:v>70.474452080163559</c:v>
                </c:pt>
                <c:pt idx="15">
                  <c:v>75.436912943032382</c:v>
                </c:pt>
                <c:pt idx="16">
                  <c:v>80.399373805901206</c:v>
                </c:pt>
                <c:pt idx="17">
                  <c:v>85.36183466877003</c:v>
                </c:pt>
                <c:pt idx="18">
                  <c:v>90.324295531638853</c:v>
                </c:pt>
                <c:pt idx="19">
                  <c:v>95.286756394507677</c:v>
                </c:pt>
                <c:pt idx="20">
                  <c:v>100.24921725737654</c:v>
                </c:pt>
                <c:pt idx="21">
                  <c:v>110.23675639450772</c:v>
                </c:pt>
                <c:pt idx="22">
                  <c:v>120.2242955316389</c:v>
                </c:pt>
                <c:pt idx="23">
                  <c:v>130.21183466877008</c:v>
                </c:pt>
                <c:pt idx="24">
                  <c:v>140.19937380590125</c:v>
                </c:pt>
                <c:pt idx="25">
                  <c:v>150.18691294303241</c:v>
                </c:pt>
                <c:pt idx="26">
                  <c:v>160.17445208016358</c:v>
                </c:pt>
                <c:pt idx="27">
                  <c:v>170.16199121729474</c:v>
                </c:pt>
                <c:pt idx="28">
                  <c:v>180.14953035442591</c:v>
                </c:pt>
                <c:pt idx="29">
                  <c:v>190.13706949155707</c:v>
                </c:pt>
                <c:pt idx="30">
                  <c:v>200.12460862868824</c:v>
                </c:pt>
                <c:pt idx="31">
                  <c:v>210.1121477658194</c:v>
                </c:pt>
                <c:pt idx="32">
                  <c:v>220.09968690295057</c:v>
                </c:pt>
                <c:pt idx="33">
                  <c:v>230.08722604008173</c:v>
                </c:pt>
                <c:pt idx="34">
                  <c:v>240.0747651772129</c:v>
                </c:pt>
                <c:pt idx="35">
                  <c:v>250.06230431434406</c:v>
                </c:pt>
                <c:pt idx="36">
                  <c:v>260.04984345147523</c:v>
                </c:pt>
                <c:pt idx="37">
                  <c:v>270.03738258860642</c:v>
                </c:pt>
                <c:pt idx="38">
                  <c:v>280.02492172573761</c:v>
                </c:pt>
                <c:pt idx="39">
                  <c:v>290.01246086286881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0.99268683625273391</c:v>
                </c:pt>
                <c:pt idx="1">
                  <c:v>0.95608911033880983</c:v>
                </c:pt>
                <c:pt idx="2">
                  <c:v>0.92064399638049865</c:v>
                </c:pt>
                <c:pt idx="3">
                  <c:v>0.88634334540904025</c:v>
                </c:pt>
                <c:pt idx="4">
                  <c:v>0.8532026417929407</c:v>
                </c:pt>
                <c:pt idx="5">
                  <c:v>0.82123623448571403</c:v>
                </c:pt>
                <c:pt idx="6">
                  <c:v>0.79045027153853031</c:v>
                </c:pt>
                <c:pt idx="7">
                  <c:v>0.76084010968414084</c:v>
                </c:pt>
                <c:pt idx="8">
                  <c:v>0.73238941039104766</c:v>
                </c:pt>
                <c:pt idx="9">
                  <c:v>0.70506998995835757</c:v>
                </c:pt>
                <c:pt idx="10">
                  <c:v>0.67884204765007528</c:v>
                </c:pt>
                <c:pt idx="11">
                  <c:v>0.65365461004024583</c:v>
                </c:pt>
                <c:pt idx="12">
                  <c:v>0.62944612820416468</c:v>
                </c:pt>
                <c:pt idx="13">
                  <c:v>0.60614521920960907</c:v>
                </c:pt>
                <c:pt idx="14">
                  <c:v>0.58367158247544459</c:v>
                </c:pt>
                <c:pt idx="15">
                  <c:v>0.56193715720312098</c:v>
                </c:pt>
                <c:pt idx="16">
                  <c:v>0.54084762445225532</c:v>
                </c:pt>
                <c:pt idx="17">
                  <c:v>0.5203043973875956</c:v>
                </c:pt>
                <c:pt idx="18">
                  <c:v>0.50020728262400416</c:v>
                </c:pt>
                <c:pt idx="19">
                  <c:v>0.48045802632659479</c:v>
                </c:pt>
                <c:pt idx="20">
                  <c:v>0.46096496590142111</c:v>
                </c:pt>
                <c:pt idx="21">
                  <c:v>0.42382064195304192</c:v>
                </c:pt>
                <c:pt idx="22">
                  <c:v>0.38703360896288846</c:v>
                </c:pt>
                <c:pt idx="23">
                  <c:v>0.35078904127448413</c:v>
                </c:pt>
                <c:pt idx="24">
                  <c:v>0.31594871578015871</c:v>
                </c:pt>
                <c:pt idx="25">
                  <c:v>0.28398015609508531</c:v>
                </c:pt>
                <c:pt idx="26">
                  <c:v>0.25645258221640499</c:v>
                </c:pt>
                <c:pt idx="27">
                  <c:v>0.23421529170023472</c:v>
                </c:pt>
                <c:pt idx="28">
                  <c:v>0.21684254883766535</c:v>
                </c:pt>
                <c:pt idx="29">
                  <c:v>0.20290632916807566</c:v>
                </c:pt>
                <c:pt idx="30">
                  <c:v>0.19085450751504812</c:v>
                </c:pt>
                <c:pt idx="31">
                  <c:v>0.17967434885260197</c:v>
                </c:pt>
                <c:pt idx="32">
                  <c:v>0.1689312326051628</c:v>
                </c:pt>
                <c:pt idx="33">
                  <c:v>0.15848962491871602</c:v>
                </c:pt>
                <c:pt idx="34">
                  <c:v>0.14830387743947326</c:v>
                </c:pt>
                <c:pt idx="35">
                  <c:v>0.13834655176094049</c:v>
                </c:pt>
                <c:pt idx="36">
                  <c:v>0.12859512979672524</c:v>
                </c:pt>
                <c:pt idx="37">
                  <c:v>0.11903025680948884</c:v>
                </c:pt>
                <c:pt idx="38">
                  <c:v>0.10963519611588438</c:v>
                </c:pt>
                <c:pt idx="39">
                  <c:v>0.10039542452827238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0.35901518543092836</c:v>
                </c:pt>
                <c:pt idx="1">
                  <c:v>0.42640395819296611</c:v>
                </c:pt>
                <c:pt idx="2">
                  <c:v>0.4958840484630227</c:v>
                </c:pt>
                <c:pt idx="3">
                  <c:v>0.5503691134419173</c:v>
                </c:pt>
                <c:pt idx="4">
                  <c:v>0.61948088139398017</c:v>
                </c:pt>
                <c:pt idx="5">
                  <c:v>0.68747729930913226</c:v>
                </c:pt>
                <c:pt idx="6">
                  <c:v>0.79237926750890475</c:v>
                </c:pt>
                <c:pt idx="7">
                  <c:v>0.89030623495864858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20.46875</c:v>
                </c:pt>
                <c:pt idx="1">
                  <c:v>27.720946760504425</c:v>
                </c:pt>
                <c:pt idx="2">
                  <c:v>36.205996349297472</c:v>
                </c:pt>
                <c:pt idx="3">
                  <c:v>45.91410220072472</c:v>
                </c:pt>
                <c:pt idx="4">
                  <c:v>56.756405078922377</c:v>
                </c:pt>
                <c:pt idx="5">
                  <c:v>68.781378839075913</c:v>
                </c:pt>
                <c:pt idx="6">
                  <c:v>81.946005163630346</c:v>
                </c:pt>
                <c:pt idx="7">
                  <c:v>95.997899360926027</c:v>
                </c:pt>
                <c:pt idx="8">
                  <c:v>111.00241158128502</c:v>
                </c:pt>
                <c:pt idx="9">
                  <c:v>125.57980426825284</c:v>
                </c:pt>
                <c:pt idx="10">
                  <c:v>139.51895444990751</c:v>
                </c:pt>
                <c:pt idx="11">
                  <c:v>152.81431122196099</c:v>
                </c:pt>
                <c:pt idx="12">
                  <c:v>165.46789549107498</c:v>
                </c:pt>
                <c:pt idx="13">
                  <c:v>177.47223196867427</c:v>
                </c:pt>
                <c:pt idx="14">
                  <c:v>184.04611936097152</c:v>
                </c:pt>
                <c:pt idx="15">
                  <c:v>188.78740572909231</c:v>
                </c:pt>
                <c:pt idx="16">
                  <c:v>197.98880077273429</c:v>
                </c:pt>
                <c:pt idx="17">
                  <c:v>200.39169290349238</c:v>
                </c:pt>
                <c:pt idx="18">
                  <c:v>201.84951284225119</c:v>
                </c:pt>
                <c:pt idx="19">
                  <c:v>203.30695828385191</c:v>
                </c:pt>
                <c:pt idx="20">
                  <c:v>204.76402802121007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35A66E35-4E23-4774-A461-9BBD5E5DF21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D9162C0-075B-4F24-9BB3-09E07BF8C30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D96CAE67-0748-4A50-BA59-5F01C23A6B3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938DA40-45FD-4F36-8DCD-F6A87763E5F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E3B4EA-26D7-4ADD-830D-95AD62917EE8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CBEBF1A6-F4E8-4CC1-A4F3-BF4174056F5B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20.46875</c:v>
                </c:pt>
                <c:pt idx="2">
                  <c:v>204.76402802121007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22.5%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2" t="str">
        <f>"Унифлок "&amp;версия_номер_</f>
        <v>Унифлок 7.21</v>
      </c>
      <c r="B4" s="62"/>
      <c r="C4" s="62"/>
      <c r="D4" s="62"/>
      <c r="E4" s="62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topLeftCell="A55" zoomScale="130" zoomScaleNormal="130" workbookViewId="0">
      <selection activeCell="J16" sqref="J16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2" t="s">
        <v>0</v>
      </c>
      <c r="B2" s="62"/>
      <c r="C2" s="62"/>
      <c r="D2" s="62"/>
      <c r="E2" s="62"/>
      <c r="J2" s="6" t="s">
        <v>26</v>
      </c>
      <c r="K2" s="9">
        <v>1</v>
      </c>
      <c r="L2" s="5" t="s">
        <v>6</v>
      </c>
    </row>
    <row r="3" spans="1:17" ht="18" customHeight="1" x14ac:dyDescent="0.25">
      <c r="F3" s="63" t="s">
        <v>74</v>
      </c>
      <c r="G3" s="63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4" t="s">
        <v>28</v>
      </c>
      <c r="O7" s="64"/>
      <c r="P7" s="64"/>
      <c r="Q7" s="64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40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150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120</v>
      </c>
      <c r="H15" s="5" t="s">
        <v>2</v>
      </c>
    </row>
    <row r="16" spans="1:17" ht="18" x14ac:dyDescent="0.25">
      <c r="F16" s="7" t="s">
        <v>21</v>
      </c>
      <c r="G16" s="9">
        <v>1.3</v>
      </c>
      <c r="H16" s="5" t="s">
        <v>17</v>
      </c>
    </row>
    <row r="17" spans="2:33" ht="18" x14ac:dyDescent="0.25">
      <c r="F17" s="8" t="s">
        <v>22</v>
      </c>
      <c r="G17" s="9">
        <v>0.3</v>
      </c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119.99999999999999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100.24921725737654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40</v>
      </c>
      <c r="H24" s="2"/>
    </row>
    <row r="25" spans="2:33" ht="18" outlineLevel="1" x14ac:dyDescent="0.25">
      <c r="B25" s="7" t="s">
        <v>15</v>
      </c>
      <c r="C25" s="28">
        <f>Rsb_m3m3_</f>
        <v>150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1.3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759.75774840939323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0.30117388992200234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858.27063777496153</v>
      </c>
      <c r="D32" s="5" t="s">
        <v>82</v>
      </c>
      <c r="E32" s="34">
        <f>[1]!PVT_Rhoo_kgm3(Psc_atma_,Tsc_C_,gamma_gas_,gamma_oil_,gamma_w_,Rsb_m3m3_,,,,,,PVT_correlation_,Ksep_,Psep_atma_,Tsep_C_)</f>
        <v>860.00084482744057</v>
      </c>
      <c r="F32" s="35">
        <f t="shared" ref="F32:F37" si="0">(E32-C32)/E32</f>
        <v>2.0118666893009993E-3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37" t="s">
        <v>92</v>
      </c>
      <c r="R32" s="38">
        <v>0.77643272047592082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0.52474395610920255</v>
      </c>
      <c r="AB32" s="40">
        <f>ABS(Pb_diff_)</f>
        <v>0.25478259098711742</v>
      </c>
      <c r="AD32" s="33" t="str">
        <f>Q34&amp; " = "&amp;IFERROR(TEXT(gamma_gas_diff_total_*100,"0.0") &amp; "%",TEXT(gamma_gas_diff_total_*100,"0,0") &amp; "%")</f>
        <v>Сумм откл = 22.5%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2.1344946068576633</v>
      </c>
      <c r="D33" s="5" t="s">
        <v>7</v>
      </c>
      <c r="E33" s="34">
        <f>[1]!PVT_Muo_cP(Psc_atma_,Tsc_C_,gamma_gas_,gamma_oil_,gamma_w_,Rsb_m3m3_,,,,,,PVT_correlation_,Ksep_,Psep_atma_,Tsep_C_)</f>
        <v>12.529359557356251</v>
      </c>
      <c r="F33" s="35">
        <f t="shared" si="0"/>
        <v>0.82964056565808619</v>
      </c>
      <c r="G33" s="36"/>
      <c r="H33" s="5" t="s">
        <v>97</v>
      </c>
      <c r="I33" s="4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37" t="s">
        <v>99</v>
      </c>
      <c r="R33" s="38">
        <v>0.70912814277065472</v>
      </c>
      <c r="S33" s="5" t="s">
        <v>79</v>
      </c>
      <c r="T33" s="34">
        <f>[1]!PVT_Pb_atma(Tres_C_,gamma_gas_,gamma_oil_,gamma_w_,Rsb_m3m3_,,,Tres_C_,,,PVT_correlation_,Ksep_,Psep_atma_,Tsep_C_)</f>
        <v>252.49547384519565</v>
      </c>
      <c r="U33" s="35">
        <f>(T33-C23)/T33</f>
        <v>0.52474395610920255</v>
      </c>
      <c r="V33" s="41">
        <f>[1]!PVT_Pb_atma(Tres_C_,gamma_gas_new_,gamma_oil_new_,gamma_w_,Rsb_m3m3_,,,Tres_C_,,,PVT_correlation_,Ksep_,Psep_atma_,Tsep_C_)</f>
        <v>161.02683397983466</v>
      </c>
      <c r="W33" s="42">
        <f>(V33-C23)/V33</f>
        <v>0.25478259098711742</v>
      </c>
      <c r="X33" s="33">
        <v>2</v>
      </c>
      <c r="Z33" s="7" t="s">
        <v>80</v>
      </c>
      <c r="AA33" s="39">
        <f>ABS(U34)</f>
        <v>0.26385655895045373</v>
      </c>
      <c r="AB33" s="39">
        <f>ABS(W34)</f>
        <v>0.33554287020923435</v>
      </c>
      <c r="AD33" s="33" t="str">
        <f>F9 &amp;" = "&amp;IFERROR(  TEXT(gamma_gas_,"0.00"),TEXT(gamma_gas_,"0,00")) &amp;",  "&amp; F8 &amp;" = "&amp;  IFERROR(TEXT(gamma_oil_,"0.00"),TEXT(gamma_oil_,"0,00"))</f>
        <v>γg = 0.70,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120.57020678525787</v>
      </c>
      <c r="D34" s="5" t="s">
        <v>17</v>
      </c>
      <c r="E34" s="34">
        <f>[1]!PVT_Rs_m3m3(P_atma_,T_C_,gamma_gas_,gamma_oil_,gamma_w_,Rsb_m3m3_,,,,,,PVT_correlation_,Ksep_,Psep_atma_,Tsep_C_)</f>
        <v>65.419199633880751</v>
      </c>
      <c r="F34" s="35">
        <f t="shared" si="0"/>
        <v>-0.84304007783693957</v>
      </c>
      <c r="G34" s="36"/>
      <c r="H34" s="5" t="s">
        <v>101</v>
      </c>
      <c r="I34" s="30">
        <f>[1]!PVT_Z(P_atma_,T_C_,gamma_gas_,gamma_oil_,gamma_w_,Rsb_m3m3_,,Pb_atma_,Tres_C_,Bob_m3m3_,mu_cP_,PVT_correlation_,Ksep_,Psep_atma_,Tsep_C_)</f>
        <v>0.93001037444979306</v>
      </c>
      <c r="J34" s="5"/>
      <c r="L34" s="5" t="s">
        <v>102</v>
      </c>
      <c r="M34" s="26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43" t="s">
        <v>103</v>
      </c>
      <c r="R34" s="44">
        <f>((X33*W33^2+X34*W34^2+X35*W35^2+X36*W36^2+X37*W37^2+X38*W38^2)/SUM(X33:X38))^0.5</f>
        <v>0.22451036365951993</v>
      </c>
      <c r="S34" s="7" t="s">
        <v>80</v>
      </c>
      <c r="T34" s="45">
        <f>[1]!PVT_Bo_m3m3(T33,Tres_C_,gamma_gas_,gamma_oil_,gamma_w_,Rsb_m3m3_,,,,,,PVT_correlation_,Ksep_,Psep_atma_,Tsep_C_)</f>
        <v>1.4075292711598153</v>
      </c>
      <c r="U34" s="35">
        <f>(T34-C26)/(T34-1)</f>
        <v>0.26385655895045373</v>
      </c>
      <c r="V34" s="46">
        <f>[1]!PVT_Bo_m3m3(V33,Tres_C_,gamma_gas_new_,gamma_oil_new_,gamma_w_,Rsb_m3m3_,,,,,,PVT_correlation_,Ksep_,Psep_atma_,Tsep_C_)</f>
        <v>1.4514963969074552</v>
      </c>
      <c r="W34" s="42">
        <f>(V34-C26)/(V34-1)</f>
        <v>0.33554287020923435</v>
      </c>
      <c r="X34" s="33">
        <v>2</v>
      </c>
      <c r="Z34" s="8" t="s">
        <v>83</v>
      </c>
      <c r="AA34" s="39">
        <f>ABS(U36)</f>
        <v>0.45359434231017975</v>
      </c>
      <c r="AB34" s="39">
        <f>ABS(W36)</f>
        <v>0.2505423410014187</v>
      </c>
      <c r="AD34" s="33" t="str">
        <f>Q33&amp;" = "&amp;IFERROR(TEXT(gamma_gas_new_,"0.00"),TEXT(gamma_gas_new_,"0,00"))&amp;",  "&amp;Q32&amp;" = "&amp;IFERROR(TEXT(gamma_oil_new_,"0.00"),TEXT(gamma_oil_new_,"0,00"))</f>
        <v>γg new  = 0.71,  γo new  = 0.78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1.2095035754972367</v>
      </c>
      <c r="D35" s="5" t="s">
        <v>17</v>
      </c>
      <c r="E35" s="34">
        <f>[1]!PVT_Bo_m3m3(P_atma_,T_C_,gamma_gas_,gamma_oil_,gamma_w_,Rsb_m3m3_,,,,,,PVT_correlation_,Ksep_,Psep_atma_,Tsep_C_)</f>
        <v>1.165254227995064</v>
      </c>
      <c r="F35" s="35">
        <f t="shared" si="0"/>
        <v>-3.7973985795621792E-2</v>
      </c>
      <c r="G35" s="36"/>
      <c r="H35" s="5" t="s">
        <v>105</v>
      </c>
      <c r="I35" s="49">
        <f>[1]!PVT_Bg_m3m3(P_atma_,T_C_,gamma_gas_,gamma_oil_,gamma_w_,Rsb_m3m3_,,Pb_atma_,Tres_C_,Bob_m3m3_,mu_cP_,PVT_correlation_,Ksep_,Psep_atma_,Tsep_C_)</f>
        <v>1.246896092940428E-2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1.0086737582321341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751.15463063331094</v>
      </c>
      <c r="U35" s="35">
        <f>(T35-C27)/T35</f>
        <v>-1.1453191427214999E-2</v>
      </c>
      <c r="V35" s="41">
        <f>[1]!PVT_Rhoo_kgm3(G23,Tres_C_,gamma_gas_new_,gamma_oil_new_,gamma_w_,Rsb_m3m3_,,,,,,PVT_correlation_,Ksep_,Psep_atma_,Tsep_C_)</f>
        <v>653.93863855615939</v>
      </c>
      <c r="W35" s="42">
        <f>(V35-C27)/V35</f>
        <v>-0.16181810282211401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9.7171255260557171E-2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796.28572800600625</v>
      </c>
      <c r="D36" s="5" t="s">
        <v>82</v>
      </c>
      <c r="E36" s="34">
        <f>[1]!PVT_Rhoo_kgm3(P_atma_,T_C_,gamma_gas_,gamma_oil_,gamma_w_,Rsb_m3m3_,,,,,,PVT_correlation_,Ksep_,Psep_atma_,Tsep_C_)</f>
        <v>786.04807717443305</v>
      </c>
      <c r="F36" s="35">
        <f t="shared" si="0"/>
        <v>-1.3024204407921163E-2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68.585506430074091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1060.7988869219223</v>
      </c>
      <c r="N36" s="5" t="s">
        <v>82</v>
      </c>
      <c r="S36" s="8" t="s">
        <v>83</v>
      </c>
      <c r="T36" s="47">
        <f>[1]!PVT_Muo_cP(T33,Tres_C_,gamma_gas_,gamma_oil_,gamma_w_,Rsb_m3m3_,,,,,,PVT_correlation_,Ksep_,Psep_atma_,Tsep_C_)</f>
        <v>0.55119101657064218</v>
      </c>
      <c r="U36" s="35">
        <f>(T36-C28)/T36</f>
        <v>0.45359434231017975</v>
      </c>
      <c r="V36" s="48">
        <f>[1]!PVT_Muo_cP(V33,Tres_C_,gamma_gas_new_,gamma_oil_new_,gamma_w_,Rsb_m3m3_,,,,,,PVT_correlation_,Ksep_,Psep_atma_,Tsep_C_)</f>
        <v>0.24083462034626196</v>
      </c>
      <c r="W36" s="42">
        <f>(V36-C28)/V36</f>
        <v>-0.2505423410014187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1.304020395807824E-2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0.37281452752630961</v>
      </c>
      <c r="D37" s="5" t="s">
        <v>7</v>
      </c>
      <c r="E37" s="34">
        <f>[1]!PVT_Muo_cP(P_atma_,T_C_,gamma_gas_,gamma_oil_,gamma_w_,Rsb_m3m3_,,,,,,PVT_correlation_,Ksep_,Psep_atma_,Tsep_C_)</f>
        <v>2.1619705535211904</v>
      </c>
      <c r="F37" s="35">
        <f t="shared" si="0"/>
        <v>0.82755799938204122</v>
      </c>
      <c r="G37" s="36"/>
      <c r="H37" s="5" t="s">
        <v>112</v>
      </c>
      <c r="I37" s="49">
        <f>[1]!PVT_Mug_cP(P_atma_,T_C_,gamma_gas_,gamma_oil_,gamma_w_,Rsb_m3m3_,,Pb_atma_,Tres_C_,Bob_m3m3_,mu_cP_,PVT_correlation_,Ksep_,Psep_atma_,Tsep_C_)</f>
        <v>1.3490631799028645E-2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0.78107361095278027</v>
      </c>
      <c r="N37" s="5" t="s">
        <v>7</v>
      </c>
      <c r="S37" s="6" t="s">
        <v>12</v>
      </c>
      <c r="W37" s="42">
        <f>(R32-G8)/R32</f>
        <v>-0.1076297756653737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2">
        <f>(R33-G9)/R33</f>
        <v>1.2872345941581083E-2</v>
      </c>
      <c r="X38" s="33">
        <v>2</v>
      </c>
      <c r="Z38" s="8" t="s">
        <v>81</v>
      </c>
      <c r="AA38" s="39">
        <f>ABS(U35)</f>
        <v>1.1453191427214999E-2</v>
      </c>
      <c r="AB38" s="39">
        <f>ABS(W35)</f>
        <v>0.16181810282211401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0">
        <f>[1]!MF_Qmix_m3day(Ql_scm3day_,wc_perc_,P_atma_,T_C_,gamma_gas_,gamma_oil_,gamma_w_,Rsb_m3m3_,Rp_m3m3_,Pb_atma_,Tres_C_,Bob_m3m3_,mu_cP_,PVT_correlation_,Ksep_,Psep_atma_,Tsep_C_)</f>
        <v>2284.7274372982561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0">
        <f>[1]!MF_Rhomix_kgm3(Ql_scm3day_,wc_perc_,P_atma_,T_C_,gamma_gas_,gamma_oil_,gamma_w_,Rsb_m3m3_,Rp_m3m3_,Pb_atma_,Tres_C_,Bob_m3m3_,mu_cP_,PVT_correlation_,Ksep_,Psep_atma_,Tsep_C_)</f>
        <v>809.89834250786214</v>
      </c>
      <c r="D44" s="5" t="s">
        <v>82</v>
      </c>
      <c r="E44" s="32"/>
      <c r="F44" s="36"/>
      <c r="X44">
        <f>gamma_gas_</f>
        <v>0.7</v>
      </c>
    </row>
    <row r="45" spans="2:33" ht="18" outlineLevel="1" x14ac:dyDescent="0.25">
      <c r="B45" s="5" t="s">
        <v>123</v>
      </c>
      <c r="C45" s="50">
        <f>[1]!MF_Mumix_cP(Ql_scm3day_,wc_perc_,P_atma_,T_C_,gamma_gas_,gamma_oil_,gamma_w_,Rsb_m3m3_,Rp_m3m3_,Pb_atma_,Tres_C_,Bob_m3m3_,mu_cP_,PVT_correlation_,Ksep_,Psep_atma_,Tsep_C_)</f>
        <v>2.1954349847754882E-2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1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2"/>
      <c r="M55" s="52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40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0" t="s">
        <v>166</v>
      </c>
      <c r="Q58" s="60" t="s">
        <v>167</v>
      </c>
      <c r="R58" s="60" t="s">
        <v>168</v>
      </c>
    </row>
    <row r="59" spans="1:29" outlineLevel="1" x14ac:dyDescent="0.25">
      <c r="A59" s="54">
        <v>1</v>
      </c>
      <c r="B59" s="55">
        <v>1</v>
      </c>
      <c r="C59" s="2">
        <v>1</v>
      </c>
      <c r="D59" s="2">
        <v>3.1011512511740289</v>
      </c>
      <c r="E59" s="2">
        <v>3.1011512511740289</v>
      </c>
      <c r="F59">
        <v>7.5297454524605165E-2</v>
      </c>
      <c r="G59" s="2">
        <v>1.0240906265439051</v>
      </c>
      <c r="H59" s="10">
        <v>1.0240906265439051</v>
      </c>
      <c r="I59">
        <v>1.0222576349735906</v>
      </c>
      <c r="J59" s="2">
        <v>842.35911469062512</v>
      </c>
      <c r="K59" s="2">
        <v>842.35911469062512</v>
      </c>
      <c r="L59">
        <v>841.33819519220719</v>
      </c>
      <c r="M59" s="2">
        <v>1.434444557949518</v>
      </c>
      <c r="N59" s="2">
        <v>1.434444557949518</v>
      </c>
      <c r="O59">
        <v>6.0210378741205348</v>
      </c>
      <c r="P59">
        <v>0.99268833269474244</v>
      </c>
      <c r="Q59">
        <v>0.99268833269474244</v>
      </c>
      <c r="R59">
        <v>0.99268683625273391</v>
      </c>
    </row>
    <row r="60" spans="1:29" outlineLevel="1" x14ac:dyDescent="0.25">
      <c r="A60" s="54">
        <v>2</v>
      </c>
      <c r="B60" s="56">
        <f>($B$79-$B$59)/($A$79-$A$59)+B59</f>
        <v>5.9624608628688271</v>
      </c>
      <c r="C60" s="2">
        <v>5.9624608628688271</v>
      </c>
      <c r="D60" s="2">
        <v>15.473087862986253</v>
      </c>
      <c r="E60" s="2">
        <v>15.473087862986253</v>
      </c>
      <c r="F60">
        <v>9.5158857594224617</v>
      </c>
      <c r="G60" s="2">
        <v>1.04671762400333</v>
      </c>
      <c r="H60" s="10">
        <v>1.04671762400333</v>
      </c>
      <c r="I60">
        <v>1.0431344225650347</v>
      </c>
      <c r="J60" s="2">
        <v>834.25788386913518</v>
      </c>
      <c r="K60" s="2">
        <v>834.25788386913518</v>
      </c>
      <c r="L60">
        <v>832.23971097404365</v>
      </c>
      <c r="M60" s="2">
        <v>1.1228175745339353</v>
      </c>
      <c r="N60" s="2">
        <v>1.1228175745339353</v>
      </c>
      <c r="O60">
        <v>4.9315331173394314</v>
      </c>
      <c r="P60">
        <v>0.95488079791618308</v>
      </c>
      <c r="Q60">
        <v>0.95488079791618308</v>
      </c>
      <c r="R60">
        <v>0.95608911033880983</v>
      </c>
    </row>
    <row r="61" spans="1:29" outlineLevel="1" x14ac:dyDescent="0.25">
      <c r="A61" s="54">
        <v>3</v>
      </c>
      <c r="B61" s="56">
        <f t="shared" ref="B61:B78" si="1">($B$79-$B$59)/($A$79-$A$59)+B60</f>
        <v>10.924921725737654</v>
      </c>
      <c r="C61" s="2">
        <v>10.924921725737654</v>
      </c>
      <c r="D61" s="2">
        <v>23.841345587244223</v>
      </c>
      <c r="E61" s="2">
        <v>23.841345587244223</v>
      </c>
      <c r="F61">
        <v>15.049210113406025</v>
      </c>
      <c r="G61" s="2">
        <v>1.0619192546386087</v>
      </c>
      <c r="H61" s="10">
        <v>1.0619192546386087</v>
      </c>
      <c r="I61">
        <v>1.0552780479247106</v>
      </c>
      <c r="J61" s="2">
        <v>829.05444692437413</v>
      </c>
      <c r="K61" s="2">
        <v>829.05444692437413</v>
      </c>
      <c r="L61">
        <v>827.14686969320815</v>
      </c>
      <c r="M61" s="2">
        <v>0.97174135511644633</v>
      </c>
      <c r="N61" s="2">
        <v>0.97174135511644633</v>
      </c>
      <c r="O61">
        <v>4.4407155185720049</v>
      </c>
      <c r="P61">
        <v>0.91579889310800378</v>
      </c>
      <c r="Q61">
        <v>0.91579889310800378</v>
      </c>
      <c r="R61">
        <v>0.92064399638049865</v>
      </c>
    </row>
    <row r="62" spans="1:29" outlineLevel="1" x14ac:dyDescent="0.25">
      <c r="A62" s="54">
        <v>4</v>
      </c>
      <c r="B62" s="56">
        <f t="shared" si="1"/>
        <v>15.887382588606481</v>
      </c>
      <c r="C62" s="2">
        <v>15.887382588606481</v>
      </c>
      <c r="D62" s="2">
        <v>31.02828675967783</v>
      </c>
      <c r="E62" s="2">
        <v>31.02828675967783</v>
      </c>
      <c r="F62">
        <v>19.70477947594269</v>
      </c>
      <c r="G62" s="2">
        <v>1.0749335850882265</v>
      </c>
      <c r="H62" s="10">
        <v>1.0749335850882265</v>
      </c>
      <c r="I62">
        <v>1.0654642021477616</v>
      </c>
      <c r="J62" s="2">
        <v>824.73474906009699</v>
      </c>
      <c r="K62" s="2">
        <v>824.73474906009699</v>
      </c>
      <c r="L62">
        <v>822.97587154263408</v>
      </c>
      <c r="M62" s="2">
        <v>0.86722813957592071</v>
      </c>
      <c r="N62" s="2">
        <v>0.86722813957592071</v>
      </c>
      <c r="O62">
        <v>4.0887227645997113</v>
      </c>
      <c r="P62">
        <v>0.87521051053946264</v>
      </c>
      <c r="Q62">
        <v>0.87521051053946264</v>
      </c>
      <c r="R62">
        <v>0.88634334540904025</v>
      </c>
    </row>
    <row r="63" spans="1:29" outlineLevel="1" x14ac:dyDescent="0.25">
      <c r="A63" s="54">
        <v>5</v>
      </c>
      <c r="B63" s="56">
        <f t="shared" si="1"/>
        <v>20.849843451475309</v>
      </c>
      <c r="C63" s="2">
        <v>20.849843451475309</v>
      </c>
      <c r="D63" s="2">
        <v>37.592776191231913</v>
      </c>
      <c r="E63" s="2">
        <v>37.592776191231913</v>
      </c>
      <c r="F63">
        <v>23.885349182709959</v>
      </c>
      <c r="G63" s="2">
        <v>1.0867967023165241</v>
      </c>
      <c r="H63" s="10">
        <v>1.0867967023165241</v>
      </c>
      <c r="I63">
        <v>1.0745917847653546</v>
      </c>
      <c r="J63" s="2">
        <v>820.89774874118609</v>
      </c>
      <c r="K63" s="2">
        <v>820.89774874118609</v>
      </c>
      <c r="L63">
        <v>819.31252802180097</v>
      </c>
      <c r="M63" s="2">
        <v>0.78701049625966968</v>
      </c>
      <c r="N63" s="32">
        <v>0.78701049625966968</v>
      </c>
      <c r="O63">
        <v>3.8109045095879024</v>
      </c>
      <c r="P63">
        <v>0.83304098850992858</v>
      </c>
      <c r="Q63">
        <v>0.83304098850992858</v>
      </c>
      <c r="R63">
        <v>0.8532026417929407</v>
      </c>
    </row>
    <row r="64" spans="1:29" outlineLevel="1" x14ac:dyDescent="0.25">
      <c r="A64" s="54">
        <v>6</v>
      </c>
      <c r="B64" s="56">
        <f t="shared" si="1"/>
        <v>25.812304314344136</v>
      </c>
      <c r="C64" s="2">
        <v>25.812304314344136</v>
      </c>
      <c r="D64" s="2">
        <v>43.775907290532643</v>
      </c>
      <c r="E64" s="2">
        <v>43.775907290532643</v>
      </c>
      <c r="F64">
        <v>27.757988922357807</v>
      </c>
      <c r="G64" s="2">
        <v>1.0979557836868352</v>
      </c>
      <c r="H64" s="10">
        <v>1.0979557836868352</v>
      </c>
      <c r="I64">
        <v>1.0830334651036457</v>
      </c>
      <c r="J64" s="2">
        <v>817.37054578125185</v>
      </c>
      <c r="K64" s="2">
        <v>817.37054578125185</v>
      </c>
      <c r="L64">
        <v>815.98434676433374</v>
      </c>
      <c r="M64" s="2">
        <v>0.72195327364255457</v>
      </c>
      <c r="N64" s="2">
        <v>0.72195327364255457</v>
      </c>
      <c r="O64">
        <v>3.5805769609148328</v>
      </c>
      <c r="P64">
        <v>0.7892848738171917</v>
      </c>
      <c r="Q64">
        <v>0.7892848738171917</v>
      </c>
      <c r="R64">
        <v>0.82123623448571403</v>
      </c>
    </row>
    <row r="65" spans="1:18" outlineLevel="1" x14ac:dyDescent="0.25">
      <c r="A65" s="54">
        <v>7</v>
      </c>
      <c r="B65" s="56">
        <f t="shared" si="1"/>
        <v>30.774765177212963</v>
      </c>
      <c r="C65" s="2">
        <v>30.774765177212963</v>
      </c>
      <c r="D65" s="2">
        <v>49.710099385563858</v>
      </c>
      <c r="E65" s="2">
        <v>49.710099385563858</v>
      </c>
      <c r="F65">
        <v>31.412537665633632</v>
      </c>
      <c r="G65" s="2">
        <v>1.1086567169325809</v>
      </c>
      <c r="H65" s="10">
        <v>1.1086567169325809</v>
      </c>
      <c r="I65">
        <v>1.0909896086025852</v>
      </c>
      <c r="J65" s="2">
        <v>814.05864061384057</v>
      </c>
      <c r="K65" s="2">
        <v>814.05864061384057</v>
      </c>
      <c r="L65">
        <v>812.89838243485144</v>
      </c>
      <c r="M65" s="2">
        <v>0.66732236741596129</v>
      </c>
      <c r="N65" s="2">
        <v>0.66732236741596129</v>
      </c>
      <c r="O65">
        <v>3.383637579497897</v>
      </c>
      <c r="P65">
        <v>0.74397752453591426</v>
      </c>
      <c r="Q65">
        <v>0.74397752453591426</v>
      </c>
      <c r="R65">
        <v>0.79045027153853031</v>
      </c>
    </row>
    <row r="66" spans="1:18" outlineLevel="1" x14ac:dyDescent="0.25">
      <c r="A66" s="54">
        <v>8</v>
      </c>
      <c r="B66" s="56">
        <f t="shared" si="1"/>
        <v>35.737226040081794</v>
      </c>
      <c r="C66" s="2">
        <v>35.737226040081794</v>
      </c>
      <c r="D66" s="2">
        <v>55.478237007282608</v>
      </c>
      <c r="E66" s="2">
        <v>55.478237007282608</v>
      </c>
      <c r="F66">
        <v>34.904392812814443</v>
      </c>
      <c r="G66" s="2">
        <v>1.1190536455969708</v>
      </c>
      <c r="H66" s="10">
        <v>1.1190536455969708</v>
      </c>
      <c r="I66">
        <v>1.0985837815513151</v>
      </c>
      <c r="J66" s="2">
        <v>810.90342458262785</v>
      </c>
      <c r="K66" s="2">
        <v>810.90342458262785</v>
      </c>
      <c r="L66">
        <v>809.99729163398877</v>
      </c>
      <c r="M66" s="2">
        <v>0.62032873692194213</v>
      </c>
      <c r="N66" s="2">
        <v>0.62032873692194213</v>
      </c>
      <c r="O66">
        <v>3.2115923865310445</v>
      </c>
      <c r="P66">
        <v>0.69718093980521378</v>
      </c>
      <c r="Q66">
        <v>0.69718093980521378</v>
      </c>
      <c r="R66">
        <v>0.76084010968414084</v>
      </c>
    </row>
    <row r="67" spans="1:18" outlineLevel="1" x14ac:dyDescent="0.25">
      <c r="A67" s="54">
        <v>9</v>
      </c>
      <c r="B67" s="56">
        <f t="shared" si="1"/>
        <v>40.699686902950617</v>
      </c>
      <c r="C67" s="2">
        <v>40.699686902950617</v>
      </c>
      <c r="D67" s="2">
        <v>61.136718537642487</v>
      </c>
      <c r="E67" s="2">
        <v>61.136718537642487</v>
      </c>
      <c r="F67">
        <v>38.270796795023514</v>
      </c>
      <c r="G67" s="2">
        <v>1.1292516412672324</v>
      </c>
      <c r="H67" s="10">
        <v>1.1292516412672324</v>
      </c>
      <c r="I67">
        <v>1.1058990825844746</v>
      </c>
      <c r="J67" s="2">
        <v>807.86556068446623</v>
      </c>
      <c r="K67" s="2">
        <v>807.86556068446623</v>
      </c>
      <c r="L67">
        <v>807.24255654940805</v>
      </c>
      <c r="M67" s="2">
        <v>0.57918668002431761</v>
      </c>
      <c r="N67" s="2">
        <v>0.57918668002431761</v>
      </c>
      <c r="O67">
        <v>3.0588834919102514</v>
      </c>
      <c r="P67">
        <v>0.64897494450444704</v>
      </c>
      <c r="Q67">
        <v>0.64897494450444704</v>
      </c>
      <c r="R67">
        <v>0.73238941039104766</v>
      </c>
    </row>
    <row r="68" spans="1:18" outlineLevel="1" x14ac:dyDescent="0.25">
      <c r="A68" s="54">
        <v>10</v>
      </c>
      <c r="B68" s="56">
        <f t="shared" si="1"/>
        <v>45.662147765819441</v>
      </c>
      <c r="C68" s="2">
        <v>45.662147765819441</v>
      </c>
      <c r="D68" s="2">
        <v>66.726228812411762</v>
      </c>
      <c r="E68" s="2">
        <v>66.726228812411762</v>
      </c>
      <c r="F68">
        <v>41.538334092717633</v>
      </c>
      <c r="G68" s="2">
        <v>1.1393266404890889</v>
      </c>
      <c r="H68" s="10">
        <v>1.1393266404890889</v>
      </c>
      <c r="I68">
        <v>1.1129948593443046</v>
      </c>
      <c r="J68" s="2">
        <v>804.91719497089116</v>
      </c>
      <c r="K68" s="2">
        <v>804.91719497089116</v>
      </c>
      <c r="L68">
        <v>804.60674226323749</v>
      </c>
      <c r="M68" s="2">
        <v>0.54268322489573462</v>
      </c>
      <c r="N68" s="2">
        <v>0.54268322489573462</v>
      </c>
      <c r="O68">
        <v>2.9216576077542649</v>
      </c>
      <c r="P68">
        <v>0.59945115584417519</v>
      </c>
      <c r="Q68">
        <v>0.59945115584417519</v>
      </c>
      <c r="R68">
        <v>0.70506998995835757</v>
      </c>
    </row>
    <row r="69" spans="1:18" outlineLevel="1" x14ac:dyDescent="0.25">
      <c r="A69" s="54">
        <v>11</v>
      </c>
      <c r="B69" s="56">
        <f t="shared" si="1"/>
        <v>50.624608628688264</v>
      </c>
      <c r="C69" s="2">
        <v>50.624608628688264</v>
      </c>
      <c r="D69" s="2">
        <v>72.277416677713262</v>
      </c>
      <c r="E69" s="2">
        <v>72.277416677713262</v>
      </c>
      <c r="F69">
        <v>44.726839206293143</v>
      </c>
      <c r="G69" s="2">
        <v>1.1493359499287616</v>
      </c>
      <c r="H69" s="10">
        <v>1.1493359499287616</v>
      </c>
      <c r="I69">
        <v>1.1199154191907379</v>
      </c>
      <c r="J69" s="2">
        <v>802.03784109054402</v>
      </c>
      <c r="K69" s="2">
        <v>802.03784109054402</v>
      </c>
      <c r="L69">
        <v>802.06945116436941</v>
      </c>
      <c r="M69" s="2">
        <v>0.5099568393955799</v>
      </c>
      <c r="N69" s="2">
        <v>0.5099568393955799</v>
      </c>
      <c r="O69">
        <v>2.7971260078847182</v>
      </c>
      <c r="P69">
        <v>0.5487089972665069</v>
      </c>
      <c r="Q69">
        <v>0.5487089972665069</v>
      </c>
      <c r="R69">
        <v>0.67884204765007528</v>
      </c>
    </row>
    <row r="70" spans="1:18" outlineLevel="1" x14ac:dyDescent="0.25">
      <c r="A70" s="54">
        <v>12</v>
      </c>
      <c r="B70" s="56">
        <f t="shared" si="1"/>
        <v>55.587069491557088</v>
      </c>
      <c r="C70" s="2">
        <v>55.587069491557088</v>
      </c>
      <c r="D70" s="2">
        <v>77.814156746777599</v>
      </c>
      <c r="E70" s="2">
        <v>77.814156746777599</v>
      </c>
      <c r="F70">
        <v>47.851622703637361</v>
      </c>
      <c r="G70" s="2">
        <v>1.1593242800999006</v>
      </c>
      <c r="H70" s="10">
        <v>1.1593242800999006</v>
      </c>
      <c r="I70">
        <v>1.1266949894609524</v>
      </c>
      <c r="J70" s="2">
        <v>799.21201048979583</v>
      </c>
      <c r="K70" s="2">
        <v>799.21201048979583</v>
      </c>
      <c r="L70">
        <v>799.61501351040374</v>
      </c>
      <c r="M70" s="2">
        <v>0.48037372427865666</v>
      </c>
      <c r="N70" s="2">
        <v>0.48037372427865666</v>
      </c>
      <c r="O70">
        <v>2.6832020852532583</v>
      </c>
      <c r="P70">
        <v>0.4968537157167337</v>
      </c>
      <c r="Q70">
        <v>0.4968537157167337</v>
      </c>
      <c r="R70">
        <v>0.65365461004024583</v>
      </c>
    </row>
    <row r="71" spans="1:18" outlineLevel="1" x14ac:dyDescent="0.25">
      <c r="A71" s="54">
        <v>13</v>
      </c>
      <c r="B71" s="56">
        <f t="shared" si="1"/>
        <v>60.549530354425912</v>
      </c>
      <c r="C71" s="2">
        <v>60.549530354425912</v>
      </c>
      <c r="D71" s="2">
        <v>83.355549655454183</v>
      </c>
      <c r="E71" s="2">
        <v>83.355549655454183</v>
      </c>
      <c r="F71">
        <v>50.924826856440475</v>
      </c>
      <c r="G71" s="2">
        <v>1.1693274446432667</v>
      </c>
      <c r="H71" s="10">
        <v>1.1693274446432667</v>
      </c>
      <c r="I71">
        <v>1.1333607373785866</v>
      </c>
      <c r="J71" s="2">
        <v>796.42775578055489</v>
      </c>
      <c r="K71" s="2">
        <v>796.42775578055489</v>
      </c>
      <c r="L71">
        <v>797.23107822601264</v>
      </c>
      <c r="M71" s="2">
        <v>0.45345409341974169</v>
      </c>
      <c r="N71" s="2">
        <v>0.45345409341974169</v>
      </c>
      <c r="O71">
        <v>2.5782824020895245</v>
      </c>
      <c r="P71">
        <v>0.4439966476115258</v>
      </c>
      <c r="Q71">
        <v>0.4439966476115258</v>
      </c>
      <c r="R71">
        <v>0.62944612820416468</v>
      </c>
    </row>
    <row r="72" spans="1:18" outlineLevel="1" x14ac:dyDescent="0.25">
      <c r="A72" s="54">
        <v>14</v>
      </c>
      <c r="B72" s="56">
        <f t="shared" si="1"/>
        <v>65.511991217294735</v>
      </c>
      <c r="C72" s="2">
        <v>65.511991217294735</v>
      </c>
      <c r="D72" s="2">
        <v>88.917213244253801</v>
      </c>
      <c r="E72" s="2">
        <v>88.917213244253801</v>
      </c>
      <c r="F72">
        <v>53.956295563208826</v>
      </c>
      <c r="G72" s="2">
        <v>1.1793747473643645</v>
      </c>
      <c r="H72" s="10">
        <v>1.1793747473643645</v>
      </c>
      <c r="I72">
        <v>1.1399347077999789</v>
      </c>
      <c r="J72" s="2">
        <v>793.67572833502948</v>
      </c>
      <c r="K72" s="2">
        <v>793.67572833502948</v>
      </c>
      <c r="L72">
        <v>794.90770673305872</v>
      </c>
      <c r="M72" s="2">
        <v>0.42882597363069186</v>
      </c>
      <c r="N72" s="2">
        <v>0.42882597363069186</v>
      </c>
      <c r="O72">
        <v>2.4811075510052745</v>
      </c>
      <c r="P72">
        <v>0.39025808275437163</v>
      </c>
      <c r="Q72">
        <v>0.39025808275437163</v>
      </c>
      <c r="R72">
        <v>0.60614521920960907</v>
      </c>
    </row>
    <row r="73" spans="1:18" outlineLevel="1" x14ac:dyDescent="0.25">
      <c r="A73" s="54">
        <v>15</v>
      </c>
      <c r="B73" s="56">
        <f t="shared" si="1"/>
        <v>70.474452080163559</v>
      </c>
      <c r="C73" s="2">
        <v>70.474452080163559</v>
      </c>
      <c r="D73" s="2">
        <v>94.512151280496724</v>
      </c>
      <c r="E73" s="2">
        <v>94.512151280496724</v>
      </c>
      <c r="F73">
        <v>56.954156633482938</v>
      </c>
      <c r="G73" s="2">
        <v>1.189490587881437</v>
      </c>
      <c r="H73" s="10">
        <v>1.189490587881437</v>
      </c>
      <c r="I73">
        <v>1.1464351195723346</v>
      </c>
      <c r="J73" s="2">
        <v>790.94854237496929</v>
      </c>
      <c r="K73" s="2">
        <v>790.94854237496929</v>
      </c>
      <c r="L73">
        <v>792.63676565523531</v>
      </c>
      <c r="M73" s="2">
        <v>0.40619504683627494</v>
      </c>
      <c r="N73" s="2">
        <v>0.40619504683627494</v>
      </c>
      <c r="O73">
        <v>2.390670046283045</v>
      </c>
      <c r="P73">
        <v>0.33577305813591624</v>
      </c>
      <c r="Q73">
        <v>0.33577305813591624</v>
      </c>
      <c r="R73">
        <v>0.58367158247544459</v>
      </c>
    </row>
    <row r="74" spans="1:18" outlineLevel="1" x14ac:dyDescent="0.25">
      <c r="A74" s="54">
        <v>16</v>
      </c>
      <c r="B74" s="56">
        <f t="shared" si="1"/>
        <v>75.436912943032382</v>
      </c>
      <c r="C74" s="2">
        <v>75.436912943032382</v>
      </c>
      <c r="D74" s="2">
        <v>100.15135828648546</v>
      </c>
      <c r="E74" s="2">
        <v>100.15135828648546</v>
      </c>
      <c r="F74">
        <v>59.925225325406743</v>
      </c>
      <c r="G74" s="2">
        <v>1.1996955780714764</v>
      </c>
      <c r="H74" s="10">
        <v>1.1996955780714764</v>
      </c>
      <c r="I74">
        <v>1.1528772641964546</v>
      </c>
      <c r="J74" s="2">
        <v>788.24033144571524</v>
      </c>
      <c r="K74" s="2">
        <v>788.24033144571524</v>
      </c>
      <c r="L74">
        <v>790.41150497591434</v>
      </c>
      <c r="M74" s="2">
        <v>0.38532429039106658</v>
      </c>
      <c r="N74" s="2">
        <v>0.38532429039106658</v>
      </c>
      <c r="O74">
        <v>2.3061512570455052</v>
      </c>
      <c r="P74">
        <v>0.28070027863233177</v>
      </c>
      <c r="Q74">
        <v>0.28070027863233177</v>
      </c>
      <c r="R74">
        <v>0.56193715720312098</v>
      </c>
    </row>
    <row r="75" spans="1:18" outlineLevel="1" x14ac:dyDescent="0.25">
      <c r="A75" s="54">
        <v>17</v>
      </c>
      <c r="B75" s="56">
        <f t="shared" si="1"/>
        <v>80.399373805901206</v>
      </c>
      <c r="C75" s="2">
        <v>80.399373805901206</v>
      </c>
      <c r="D75" s="2">
        <v>105.84425292190635</v>
      </c>
      <c r="E75" s="2">
        <v>105.84425292190635</v>
      </c>
      <c r="F75">
        <v>62.875292283285425</v>
      </c>
      <c r="G75" s="2">
        <v>1.210007341836318</v>
      </c>
      <c r="H75" s="10">
        <v>1.210007341836318</v>
      </c>
      <c r="I75">
        <v>1.1592741467977199</v>
      </c>
      <c r="J75" s="2">
        <v>785.54642917601814</v>
      </c>
      <c r="K75" s="2">
        <v>785.54642917601814</v>
      </c>
      <c r="L75">
        <v>788.22625668989872</v>
      </c>
      <c r="M75" s="2">
        <v>0.36601983853077286</v>
      </c>
      <c r="N75" s="2">
        <v>0.36601983853077286</v>
      </c>
      <c r="O75">
        <v>2.2268769837316373</v>
      </c>
      <c r="P75">
        <v>0.2252340779056394</v>
      </c>
      <c r="Q75">
        <v>0.2252340779056394</v>
      </c>
      <c r="R75">
        <v>0.54084762445225532</v>
      </c>
    </row>
    <row r="76" spans="1:18" outlineLevel="1" x14ac:dyDescent="0.25">
      <c r="A76" s="54">
        <v>18</v>
      </c>
      <c r="B76" s="56">
        <f t="shared" si="1"/>
        <v>85.36183466877003</v>
      </c>
      <c r="C76" s="2">
        <v>85.36183466877003</v>
      </c>
      <c r="D76" s="2">
        <v>111.59899622830899</v>
      </c>
      <c r="E76" s="2">
        <v>111.59899622830899</v>
      </c>
      <c r="F76">
        <v>65.809334156911191</v>
      </c>
      <c r="G76" s="2">
        <v>1.2204411013604195</v>
      </c>
      <c r="H76" s="10">
        <v>1.2204411013604195</v>
      </c>
      <c r="I76">
        <v>1.1656369549576391</v>
      </c>
      <c r="J76" s="2">
        <v>782.86313409099819</v>
      </c>
      <c r="K76" s="2">
        <v>782.86313409099819</v>
      </c>
      <c r="L76">
        <v>786.07621402235634</v>
      </c>
      <c r="M76" s="2">
        <v>0.3481209255804823</v>
      </c>
      <c r="N76" s="2">
        <v>0.3481209255804823</v>
      </c>
      <c r="O76">
        <v>2.1522854006766599</v>
      </c>
      <c r="P76">
        <v>0.1696188459375598</v>
      </c>
      <c r="Q76">
        <v>0.1696188459375598</v>
      </c>
      <c r="R76">
        <v>0.5203043973875956</v>
      </c>
    </row>
    <row r="77" spans="1:18" outlineLevel="1" x14ac:dyDescent="0.25">
      <c r="A77" s="54">
        <v>19</v>
      </c>
      <c r="B77" s="56">
        <f t="shared" si="1"/>
        <v>90.324295531638853</v>
      </c>
      <c r="C77" s="2">
        <v>90.324295531638853</v>
      </c>
      <c r="D77" s="2">
        <v>117.4227303251761</v>
      </c>
      <c r="E77" s="2">
        <v>117.4227303251761</v>
      </c>
      <c r="F77">
        <v>68.731670999022526</v>
      </c>
      <c r="G77" s="2">
        <v>1.2310101161224474</v>
      </c>
      <c r="H77" s="10">
        <v>1.2310101161224474</v>
      </c>
      <c r="I77">
        <v>1.1719754090372965</v>
      </c>
      <c r="J77" s="2">
        <v>780.18753231046185</v>
      </c>
      <c r="K77" s="2">
        <v>780.18753231046185</v>
      </c>
      <c r="L77">
        <v>783.95726619927336</v>
      </c>
      <c r="M77" s="2">
        <v>0.33149258361969258</v>
      </c>
      <c r="N77" s="2">
        <v>0.33149258361969258</v>
      </c>
      <c r="O77">
        <v>2.0819034340729101</v>
      </c>
      <c r="P77">
        <v>0.11416459873432178</v>
      </c>
      <c r="Q77">
        <v>0.11416459873432178</v>
      </c>
      <c r="R77">
        <v>0.50020728262400416</v>
      </c>
    </row>
    <row r="78" spans="1:18" outlineLevel="1" x14ac:dyDescent="0.25">
      <c r="A78" s="54">
        <v>20</v>
      </c>
      <c r="B78" s="56">
        <f t="shared" si="1"/>
        <v>95.286756394507677</v>
      </c>
      <c r="C78" s="2">
        <v>95.286756394507677</v>
      </c>
      <c r="D78" s="2">
        <v>123.32176077895261</v>
      </c>
      <c r="E78" s="2">
        <v>123.32176077895261</v>
      </c>
      <c r="F78">
        <v>71.646086105073906</v>
      </c>
      <c r="G78" s="2">
        <v>1.2417260176054907</v>
      </c>
      <c r="H78" s="10">
        <v>1.2417260176054907</v>
      </c>
      <c r="I78">
        <v>1.1782980288784397</v>
      </c>
      <c r="J78" s="2">
        <v>777.51736124714932</v>
      </c>
      <c r="K78" s="2">
        <v>777.51736124714932</v>
      </c>
      <c r="L78">
        <v>781.86587246785757</v>
      </c>
      <c r="M78" s="2">
        <v>0.31602024472728052</v>
      </c>
      <c r="N78" s="2">
        <v>0.31602024472728052</v>
      </c>
      <c r="O78">
        <v>2.0153290353122362</v>
      </c>
      <c r="P78">
        <v>5.926131807100854E-2</v>
      </c>
      <c r="Q78">
        <v>5.926131807100854E-2</v>
      </c>
      <c r="R78">
        <v>0.48045802632659479</v>
      </c>
    </row>
    <row r="79" spans="1:18" outlineLevel="1" x14ac:dyDescent="0.25">
      <c r="A79" s="54">
        <v>21</v>
      </c>
      <c r="B79" s="57">
        <f>G23</f>
        <v>100.24921725737654</v>
      </c>
      <c r="C79" s="2">
        <v>100.24921725737654</v>
      </c>
      <c r="D79" s="2">
        <v>129.30169822093166</v>
      </c>
      <c r="E79" s="2">
        <v>129.30169822093166</v>
      </c>
      <c r="F79">
        <v>74.555918766831553</v>
      </c>
      <c r="G79" s="2">
        <v>1.252599068573562</v>
      </c>
      <c r="H79" s="10">
        <v>1.252599068573562</v>
      </c>
      <c r="I79">
        <v>1.1846123402001834</v>
      </c>
      <c r="J79" s="2">
        <v>774.85090293643225</v>
      </c>
      <c r="K79" s="2">
        <v>774.85090293643225</v>
      </c>
      <c r="L79">
        <v>779.79896445625741</v>
      </c>
      <c r="M79" s="2">
        <v>0.30160568847142311</v>
      </c>
      <c r="N79" s="2">
        <v>0.30160568847142311</v>
      </c>
      <c r="O79">
        <v>1.9522176629591881</v>
      </c>
      <c r="P79">
        <v>5.3884020148379846E-3</v>
      </c>
      <c r="Q79">
        <v>5.3884020148379846E-3</v>
      </c>
      <c r="R79">
        <v>0.46096496590142111</v>
      </c>
    </row>
    <row r="80" spans="1:18" outlineLevel="1" x14ac:dyDescent="0.25">
      <c r="A80" s="54">
        <v>22</v>
      </c>
      <c r="B80" s="56">
        <f t="shared" ref="B80:B98" si="2">($B$99-$B$79)/($A$99-$A$79)+B79</f>
        <v>110.23675639450772</v>
      </c>
      <c r="C80" s="2">
        <v>110.23675639450772</v>
      </c>
      <c r="D80" s="2">
        <v>130</v>
      </c>
      <c r="E80" s="2">
        <v>130</v>
      </c>
      <c r="F80">
        <v>80.410122867911625</v>
      </c>
      <c r="G80" s="2">
        <v>1.2499449608601141</v>
      </c>
      <c r="H80" s="10">
        <v>1.2499449608601141</v>
      </c>
      <c r="I80">
        <v>1.1973218706204054</v>
      </c>
      <c r="J80" s="2">
        <v>776.97397118327012</v>
      </c>
      <c r="K80" s="2">
        <v>776.97397118327012</v>
      </c>
      <c r="L80">
        <v>775.70280453839791</v>
      </c>
      <c r="M80" s="2">
        <v>0.30515629876815858</v>
      </c>
      <c r="N80" s="2">
        <v>0.30515629876815858</v>
      </c>
      <c r="O80">
        <v>1.8345307331142697</v>
      </c>
      <c r="P80">
        <v>2.2964717374419167E-17</v>
      </c>
      <c r="Q80">
        <v>2.2964717374419167E-17</v>
      </c>
      <c r="R80">
        <v>0.42382064195304192</v>
      </c>
    </row>
    <row r="81" spans="1:18" outlineLevel="1" x14ac:dyDescent="0.25">
      <c r="A81" s="54">
        <v>23</v>
      </c>
      <c r="B81" s="56">
        <f t="shared" si="2"/>
        <v>120.2242955316389</v>
      </c>
      <c r="C81" s="2">
        <v>120.2242955316389</v>
      </c>
      <c r="D81" s="2">
        <v>130</v>
      </c>
      <c r="E81" s="2">
        <v>130</v>
      </c>
      <c r="F81">
        <v>86.278097292288336</v>
      </c>
      <c r="G81" s="2">
        <v>1.2465773548863814</v>
      </c>
      <c r="H81" s="10">
        <v>1.2465773548863814</v>
      </c>
      <c r="I81">
        <v>1.2100706948901254</v>
      </c>
      <c r="J81" s="2">
        <v>779.07295218636239</v>
      </c>
      <c r="K81" s="2">
        <v>779.07295218636239</v>
      </c>
      <c r="L81">
        <v>771.67736560067658</v>
      </c>
      <c r="M81" s="2">
        <v>0.31033921064911818</v>
      </c>
      <c r="N81" s="2">
        <v>0.31033921064911818</v>
      </c>
      <c r="O81">
        <v>1.7277191667380545</v>
      </c>
      <c r="P81">
        <v>2.04710408107232E-17</v>
      </c>
      <c r="Q81">
        <v>2.04710408107232E-17</v>
      </c>
      <c r="R81">
        <v>0.38703360896288846</v>
      </c>
    </row>
    <row r="82" spans="1:18" outlineLevel="1" x14ac:dyDescent="0.25">
      <c r="A82" s="54">
        <v>24</v>
      </c>
      <c r="B82" s="56">
        <f t="shared" si="2"/>
        <v>130.21183466877008</v>
      </c>
      <c r="C82" s="2">
        <v>130.21183466877008</v>
      </c>
      <c r="D82" s="2">
        <v>130</v>
      </c>
      <c r="E82" s="2">
        <v>130</v>
      </c>
      <c r="F82">
        <v>92.176672960277287</v>
      </c>
      <c r="G82" s="2">
        <v>1.2437334477314819</v>
      </c>
      <c r="H82" s="10">
        <v>1.2437334477314819</v>
      </c>
      <c r="I82">
        <v>1.222896810682788</v>
      </c>
      <c r="J82" s="2">
        <v>780.8543717879279</v>
      </c>
      <c r="K82" s="2">
        <v>780.8543717879279</v>
      </c>
      <c r="L82">
        <v>767.70873940272782</v>
      </c>
      <c r="M82" s="2">
        <v>0.31552212253007783</v>
      </c>
      <c r="N82" s="2">
        <v>0.31552212253007783</v>
      </c>
      <c r="O82">
        <v>1.6302490456591197</v>
      </c>
      <c r="P82">
        <v>1.8213606496687836E-17</v>
      </c>
      <c r="Q82">
        <v>1.8213606496687836E-17</v>
      </c>
      <c r="R82">
        <v>0.35078904127448413</v>
      </c>
    </row>
    <row r="83" spans="1:18" outlineLevel="1" x14ac:dyDescent="0.25">
      <c r="A83" s="54">
        <v>25</v>
      </c>
      <c r="B83" s="56">
        <f t="shared" si="2"/>
        <v>140.19937380590125</v>
      </c>
      <c r="C83" s="2">
        <v>140.19937380590125</v>
      </c>
      <c r="D83" s="2">
        <v>130</v>
      </c>
      <c r="E83" s="2">
        <v>130</v>
      </c>
      <c r="F83">
        <v>98.119838707589167</v>
      </c>
      <c r="G83" s="2">
        <v>1.2412998975894309</v>
      </c>
      <c r="H83" s="10">
        <v>1.2412998975894309</v>
      </c>
      <c r="I83">
        <v>1.2358317858272756</v>
      </c>
      <c r="J83" s="2">
        <v>782.38522526747454</v>
      </c>
      <c r="K83" s="2">
        <v>782.38522526747454</v>
      </c>
      <c r="L83">
        <v>763.78607160721435</v>
      </c>
      <c r="M83" s="2">
        <v>0.32070503441103743</v>
      </c>
      <c r="N83" s="2">
        <v>0.32070503441103743</v>
      </c>
      <c r="O83">
        <v>1.5409108764221198</v>
      </c>
      <c r="P83">
        <v>1.6208579503539599E-17</v>
      </c>
      <c r="Q83">
        <v>1.6208579503539599E-17</v>
      </c>
      <c r="R83">
        <v>0.31594871578015871</v>
      </c>
    </row>
    <row r="84" spans="1:18" outlineLevel="1" x14ac:dyDescent="0.25">
      <c r="A84" s="54">
        <v>26</v>
      </c>
      <c r="B84" s="56">
        <f t="shared" si="2"/>
        <v>150.18691294303241</v>
      </c>
      <c r="C84" s="2">
        <v>150.18691294303241</v>
      </c>
      <c r="D84" s="2">
        <v>130</v>
      </c>
      <c r="E84" s="2">
        <v>130</v>
      </c>
      <c r="F84">
        <v>104.11940567703313</v>
      </c>
      <c r="G84" s="2">
        <v>1.2391938672655436</v>
      </c>
      <c r="H84" s="10">
        <v>1.2391938672655436</v>
      </c>
      <c r="I84">
        <v>1.248902232963635</v>
      </c>
      <c r="J84" s="2">
        <v>783.71490180389139</v>
      </c>
      <c r="K84" s="2">
        <v>783.71490180389139</v>
      </c>
      <c r="L84">
        <v>759.90085492030323</v>
      </c>
      <c r="M84" s="2">
        <v>0.32588794629199702</v>
      </c>
      <c r="N84" s="2">
        <v>0.32588794629199702</v>
      </c>
      <c r="O84">
        <v>1.4587332804266977</v>
      </c>
      <c r="P84">
        <v>1.4510739826025207E-17</v>
      </c>
      <c r="Q84">
        <v>1.4510739826025207E-17</v>
      </c>
      <c r="R84">
        <v>0.28398015609508531</v>
      </c>
    </row>
    <row r="85" spans="1:18" outlineLevel="1" x14ac:dyDescent="0.25">
      <c r="A85" s="54">
        <v>27</v>
      </c>
      <c r="B85" s="56">
        <f t="shared" si="2"/>
        <v>160.17445208016358</v>
      </c>
      <c r="C85" s="2">
        <v>160.17445208016358</v>
      </c>
      <c r="D85" s="2">
        <v>130</v>
      </c>
      <c r="E85" s="2">
        <v>130</v>
      </c>
      <c r="F85">
        <v>110.18548147140126</v>
      </c>
      <c r="G85" s="2">
        <v>1.2373534090813676</v>
      </c>
      <c r="H85" s="10">
        <v>1.2373534090813676</v>
      </c>
      <c r="I85">
        <v>1.2621308615333393</v>
      </c>
      <c r="J85" s="2">
        <v>784.88061120793031</v>
      </c>
      <c r="K85" s="2">
        <v>784.88061120793031</v>
      </c>
      <c r="L85">
        <v>756.04642195362521</v>
      </c>
      <c r="M85" s="2">
        <v>0.33107085817295667</v>
      </c>
      <c r="N85" s="2">
        <v>0.33107085817295667</v>
      </c>
      <c r="O85">
        <v>1.382923425536954</v>
      </c>
      <c r="P85">
        <v>1.3177071227927012E-17</v>
      </c>
      <c r="Q85">
        <v>1.3177071227927012E-17</v>
      </c>
      <c r="R85">
        <v>0.25645258221640499</v>
      </c>
    </row>
    <row r="86" spans="1:18" outlineLevel="1" x14ac:dyDescent="0.25">
      <c r="A86" s="54">
        <v>28</v>
      </c>
      <c r="B86" s="56">
        <f t="shared" si="2"/>
        <v>170.16199121729474</v>
      </c>
      <c r="C86" s="2">
        <v>170.16199121729474</v>
      </c>
      <c r="D86" s="2">
        <v>130</v>
      </c>
      <c r="E86" s="2">
        <v>130</v>
      </c>
      <c r="F86">
        <v>116.32681715240558</v>
      </c>
      <c r="G86" s="2">
        <v>1.2357312708203507</v>
      </c>
      <c r="H86" s="10">
        <v>1.2357312708203507</v>
      </c>
      <c r="I86">
        <v>1.2755372459951901</v>
      </c>
      <c r="J86" s="2">
        <v>785.91092006215672</v>
      </c>
      <c r="K86" s="2">
        <v>785.91092006215672</v>
      </c>
      <c r="L86">
        <v>752.21757245666799</v>
      </c>
      <c r="M86" s="2">
        <v>0.33625377005391627</v>
      </c>
      <c r="N86" s="2">
        <v>0.33625377005391627</v>
      </c>
      <c r="O86">
        <v>1.3128248931812025</v>
      </c>
      <c r="P86">
        <v>1.2222673297265649E-17</v>
      </c>
      <c r="Q86">
        <v>1.2222673297265649E-17</v>
      </c>
      <c r="R86">
        <v>0.23421529170023472</v>
      </c>
    </row>
    <row r="87" spans="1:18" outlineLevel="1" x14ac:dyDescent="0.25">
      <c r="A87" s="54">
        <v>29</v>
      </c>
      <c r="B87" s="56">
        <f t="shared" si="2"/>
        <v>180.14953035442591</v>
      </c>
      <c r="C87" s="2">
        <v>180.14953035442591</v>
      </c>
      <c r="D87" s="2">
        <v>130</v>
      </c>
      <c r="E87" s="2">
        <v>130</v>
      </c>
      <c r="F87">
        <v>122.55106674514671</v>
      </c>
      <c r="G87" s="2">
        <v>1.2342907821809759</v>
      </c>
      <c r="H87" s="10">
        <v>1.2342907821809759</v>
      </c>
      <c r="I87">
        <v>1.289138399206224</v>
      </c>
      <c r="J87" s="2">
        <v>786.82812350258894</v>
      </c>
      <c r="K87" s="2">
        <v>786.82812350258894</v>
      </c>
      <c r="L87">
        <v>748.41029276907125</v>
      </c>
      <c r="M87" s="2">
        <v>0.34143668193487586</v>
      </c>
      <c r="N87" s="2">
        <v>0.34143668193487586</v>
      </c>
      <c r="O87">
        <v>1.2478872456138861</v>
      </c>
      <c r="P87">
        <v>1.1595714814352403E-17</v>
      </c>
      <c r="Q87">
        <v>1.1595714814352403E-17</v>
      </c>
      <c r="R87">
        <v>0.21684254883766535</v>
      </c>
    </row>
    <row r="88" spans="1:18" outlineLevel="1" x14ac:dyDescent="0.25">
      <c r="A88" s="54">
        <v>30</v>
      </c>
      <c r="B88" s="56">
        <f t="shared" si="2"/>
        <v>190.13706949155707</v>
      </c>
      <c r="C88" s="2">
        <v>190.13706949155707</v>
      </c>
      <c r="D88" s="2">
        <v>130</v>
      </c>
      <c r="E88" s="2">
        <v>130</v>
      </c>
      <c r="F88">
        <v>128.86498500588959</v>
      </c>
      <c r="G88" s="2">
        <v>1.2330030496931053</v>
      </c>
      <c r="H88" s="10">
        <v>1.2330030496931053</v>
      </c>
      <c r="I88">
        <v>1.3029492082954754</v>
      </c>
      <c r="J88" s="2">
        <v>787.64987665012313</v>
      </c>
      <c r="K88" s="2">
        <v>787.64987665012313</v>
      </c>
      <c r="L88">
        <v>744.62154038714402</v>
      </c>
      <c r="M88" s="2">
        <v>0.34661959381583546</v>
      </c>
      <c r="N88" s="2">
        <v>0.34661959381583546</v>
      </c>
      <c r="O88">
        <v>1.1876436424036374</v>
      </c>
      <c r="P88">
        <v>1.1194660218200904E-17</v>
      </c>
      <c r="Q88">
        <v>1.1194660218200904E-17</v>
      </c>
      <c r="R88">
        <v>0.20290632916807566</v>
      </c>
    </row>
    <row r="89" spans="1:18" outlineLevel="1" x14ac:dyDescent="0.25">
      <c r="A89" s="54">
        <v>31</v>
      </c>
      <c r="B89" s="56">
        <f t="shared" si="2"/>
        <v>200.12460862868824</v>
      </c>
      <c r="C89" s="2">
        <v>200.12460862868824</v>
      </c>
      <c r="D89" s="2">
        <v>130</v>
      </c>
      <c r="E89" s="2">
        <v>130</v>
      </c>
      <c r="F89">
        <v>130</v>
      </c>
      <c r="G89" s="2">
        <v>1.2318449989835976</v>
      </c>
      <c r="H89" s="10">
        <v>1.2318449989835976</v>
      </c>
      <c r="I89">
        <v>1.303416073442744</v>
      </c>
      <c r="J89" s="2">
        <v>788.39034196779778</v>
      </c>
      <c r="K89" s="2">
        <v>788.39034196779778</v>
      </c>
      <c r="L89">
        <v>745.09952714854364</v>
      </c>
      <c r="M89" s="2">
        <v>0.35180250569679511</v>
      </c>
      <c r="N89" s="2">
        <v>0.35180250569679511</v>
      </c>
      <c r="O89">
        <v>1.1872179752317653</v>
      </c>
      <c r="P89">
        <v>1.0916432910907292E-17</v>
      </c>
      <c r="Q89">
        <v>1.0916432910907292E-17</v>
      </c>
      <c r="R89">
        <v>0.19085450751504812</v>
      </c>
    </row>
    <row r="90" spans="1:18" outlineLevel="1" x14ac:dyDescent="0.25">
      <c r="A90" s="54">
        <v>32</v>
      </c>
      <c r="B90" s="56">
        <f t="shared" si="2"/>
        <v>210.1121477658194</v>
      </c>
      <c r="C90" s="2">
        <v>210.1121477658194</v>
      </c>
      <c r="D90" s="2">
        <v>130</v>
      </c>
      <c r="E90" s="2">
        <v>130</v>
      </c>
      <c r="F90">
        <v>130</v>
      </c>
      <c r="G90" s="2">
        <v>1.230797980086751</v>
      </c>
      <c r="H90" s="10">
        <v>1.230797980086751</v>
      </c>
      <c r="I90">
        <v>1.3013081095577645</v>
      </c>
      <c r="J90" s="2">
        <v>789.06101221546373</v>
      </c>
      <c r="K90" s="2">
        <v>789.06101221546373</v>
      </c>
      <c r="L90">
        <v>746.30649948845951</v>
      </c>
      <c r="M90" s="2">
        <v>0.3569854175777547</v>
      </c>
      <c r="N90" s="2">
        <v>0.3569854175777547</v>
      </c>
      <c r="O90">
        <v>1.1979040199125015</v>
      </c>
      <c r="P90">
        <v>1.0693828512794735E-17</v>
      </c>
      <c r="Q90">
        <v>1.0693828512794735E-17</v>
      </c>
      <c r="R90">
        <v>0.17967434885260197</v>
      </c>
    </row>
    <row r="91" spans="1:18" outlineLevel="1" x14ac:dyDescent="0.25">
      <c r="A91" s="54">
        <v>33</v>
      </c>
      <c r="B91" s="56">
        <f t="shared" si="2"/>
        <v>220.09968690295057</v>
      </c>
      <c r="C91" s="2">
        <v>220.09968690295057</v>
      </c>
      <c r="D91" s="2">
        <v>130</v>
      </c>
      <c r="E91" s="2">
        <v>130</v>
      </c>
      <c r="F91">
        <v>130</v>
      </c>
      <c r="G91" s="2">
        <v>1.2298467555242489</v>
      </c>
      <c r="H91" s="10">
        <v>1.2298467555242489</v>
      </c>
      <c r="I91">
        <v>1.2993944124966286</v>
      </c>
      <c r="J91" s="2">
        <v>789.67131119195062</v>
      </c>
      <c r="K91" s="2">
        <v>789.67131119195062</v>
      </c>
      <c r="L91">
        <v>747.40563039208837</v>
      </c>
      <c r="M91" s="2">
        <v>0.3621683294587143</v>
      </c>
      <c r="N91" s="2">
        <v>0.3621683294587143</v>
      </c>
      <c r="O91">
        <v>1.2085900645932377</v>
      </c>
      <c r="P91">
        <v>1.0497532161879084E-17</v>
      </c>
      <c r="Q91">
        <v>1.0497532161879084E-17</v>
      </c>
      <c r="R91">
        <v>0.1689312326051628</v>
      </c>
    </row>
    <row r="92" spans="1:18" outlineLevel="1" x14ac:dyDescent="0.25">
      <c r="A92" s="54">
        <v>34</v>
      </c>
      <c r="B92" s="56">
        <f t="shared" si="2"/>
        <v>230.08722604008173</v>
      </c>
      <c r="C92" s="2">
        <v>230.08722604008173</v>
      </c>
      <c r="D92" s="2">
        <v>130</v>
      </c>
      <c r="E92" s="2">
        <v>130</v>
      </c>
      <c r="F92">
        <v>130</v>
      </c>
      <c r="G92" s="2">
        <v>1.228978753958994</v>
      </c>
      <c r="H92" s="10">
        <v>1.228978753958994</v>
      </c>
      <c r="I92">
        <v>1.297649312010019</v>
      </c>
      <c r="J92" s="2">
        <v>790.22903925026196</v>
      </c>
      <c r="K92" s="2">
        <v>790.22903925026196</v>
      </c>
      <c r="L92">
        <v>748.41075397765223</v>
      </c>
      <c r="M92" s="2">
        <v>0.3673512413396739</v>
      </c>
      <c r="N92" s="2">
        <v>0.3673512413396739</v>
      </c>
      <c r="O92">
        <v>1.2192761092739739</v>
      </c>
      <c r="P92">
        <v>1.0318334487634112E-17</v>
      </c>
      <c r="Q92">
        <v>1.0318334487634112E-17</v>
      </c>
      <c r="R92">
        <v>0.15848962491871602</v>
      </c>
    </row>
    <row r="93" spans="1:18" outlineLevel="1" x14ac:dyDescent="0.25">
      <c r="A93" s="54">
        <v>35</v>
      </c>
      <c r="B93" s="56">
        <f t="shared" si="2"/>
        <v>240.0747651772129</v>
      </c>
      <c r="C93" s="2">
        <v>240.0747651772129</v>
      </c>
      <c r="D93" s="2">
        <v>130</v>
      </c>
      <c r="E93" s="2">
        <v>130</v>
      </c>
      <c r="F93">
        <v>130</v>
      </c>
      <c r="G93" s="2">
        <v>1.2281835115168083</v>
      </c>
      <c r="H93" s="10">
        <v>1.2281835115168083</v>
      </c>
      <c r="I93">
        <v>1.2960514694921239</v>
      </c>
      <c r="J93" s="2">
        <v>790.74070844722371</v>
      </c>
      <c r="K93" s="2">
        <v>790.74070844722371</v>
      </c>
      <c r="L93">
        <v>749.33343533075004</v>
      </c>
      <c r="M93" s="2">
        <v>0.37253415322063355</v>
      </c>
      <c r="N93" s="2">
        <v>0.37253415322063355</v>
      </c>
      <c r="O93">
        <v>1.2299621539547101</v>
      </c>
      <c r="P93">
        <v>1.0153250255178556E-17</v>
      </c>
      <c r="Q93">
        <v>1.0153250255178556E-17</v>
      </c>
      <c r="R93">
        <v>0.14830387743947326</v>
      </c>
    </row>
    <row r="94" spans="1:18" outlineLevel="1" x14ac:dyDescent="0.25">
      <c r="A94" s="54">
        <v>36</v>
      </c>
      <c r="B94" s="56">
        <f t="shared" si="2"/>
        <v>250.06230431434406</v>
      </c>
      <c r="C94" s="2">
        <v>250.06230431434406</v>
      </c>
      <c r="D94" s="2">
        <v>130</v>
      </c>
      <c r="E94" s="2">
        <v>130</v>
      </c>
      <c r="F94">
        <v>130</v>
      </c>
      <c r="G94" s="2">
        <v>1.2274522479375816</v>
      </c>
      <c r="H94" s="10">
        <v>1.2274522479375816</v>
      </c>
      <c r="I94">
        <v>1.2945830013531148</v>
      </c>
      <c r="J94" s="2">
        <v>791.21179795939906</v>
      </c>
      <c r="K94" s="2">
        <v>791.21179795939906</v>
      </c>
      <c r="L94">
        <v>750.18341735131366</v>
      </c>
      <c r="M94" s="2">
        <v>0.37771706510159314</v>
      </c>
      <c r="N94" s="2">
        <v>0.37771706510159314</v>
      </c>
      <c r="O94">
        <v>1.2406481986354463</v>
      </c>
      <c r="P94">
        <v>1.0000573704855052E-17</v>
      </c>
      <c r="Q94">
        <v>1.0000573704855052E-17</v>
      </c>
      <c r="R94">
        <v>0.13834655176094049</v>
      </c>
    </row>
    <row r="95" spans="1:18" outlineLevel="1" x14ac:dyDescent="0.25">
      <c r="A95" s="54">
        <v>37</v>
      </c>
      <c r="B95" s="56">
        <f t="shared" si="2"/>
        <v>260.04984345147523</v>
      </c>
      <c r="C95" s="2">
        <v>260.04984345147523</v>
      </c>
      <c r="D95" s="2">
        <v>130</v>
      </c>
      <c r="E95" s="2">
        <v>130</v>
      </c>
      <c r="F95">
        <v>130</v>
      </c>
      <c r="G95" s="2">
        <v>1.2267775410618513</v>
      </c>
      <c r="H95" s="10">
        <v>1.2267775410618513</v>
      </c>
      <c r="I95">
        <v>1.2932288069907882</v>
      </c>
      <c r="J95" s="2">
        <v>791.6469510514421</v>
      </c>
      <c r="K95" s="2">
        <v>791.6469510514421</v>
      </c>
      <c r="L95">
        <v>750.96896600983132</v>
      </c>
      <c r="M95" s="2">
        <v>0.38289997698255274</v>
      </c>
      <c r="N95" s="2">
        <v>0.38289997698255274</v>
      </c>
      <c r="O95">
        <v>1.2513342433161827</v>
      </c>
      <c r="P95">
        <v>9.85892764812006E-18</v>
      </c>
      <c r="Q95">
        <v>9.85892764812006E-18</v>
      </c>
      <c r="R95">
        <v>0.12859512979672524</v>
      </c>
    </row>
    <row r="96" spans="1:18" outlineLevel="1" x14ac:dyDescent="0.25">
      <c r="A96" s="54">
        <v>38</v>
      </c>
      <c r="B96" s="56">
        <f t="shared" si="2"/>
        <v>270.03738258860642</v>
      </c>
      <c r="C96" s="2">
        <v>270.03738258860642</v>
      </c>
      <c r="D96" s="2">
        <v>130</v>
      </c>
      <c r="E96" s="2">
        <v>130</v>
      </c>
      <c r="F96">
        <v>130</v>
      </c>
      <c r="G96" s="2">
        <v>1.2261530740272675</v>
      </c>
      <c r="H96" s="10">
        <v>1.2261530740272675</v>
      </c>
      <c r="I96">
        <v>1.2919760477391258</v>
      </c>
      <c r="J96" s="2">
        <v>792.05012862725391</v>
      </c>
      <c r="K96" s="2">
        <v>792.05012862725391</v>
      </c>
      <c r="L96">
        <v>751.69713997368035</v>
      </c>
      <c r="M96" s="2">
        <v>0.38808288886351233</v>
      </c>
      <c r="N96" s="2">
        <v>0.38808288886351233</v>
      </c>
      <c r="O96">
        <v>1.2620202879969189</v>
      </c>
      <c r="P96">
        <v>9.7271353771437163E-18</v>
      </c>
      <c r="Q96">
        <v>9.7271353771437163E-18</v>
      </c>
      <c r="R96">
        <v>0.11903025680948884</v>
      </c>
    </row>
    <row r="97" spans="1:18" outlineLevel="1" x14ac:dyDescent="0.25">
      <c r="A97" s="54">
        <v>39</v>
      </c>
      <c r="B97" s="56">
        <f t="shared" si="2"/>
        <v>280.02492172573761</v>
      </c>
      <c r="C97" s="2">
        <v>280.02492172573761</v>
      </c>
      <c r="D97" s="2">
        <v>130</v>
      </c>
      <c r="E97" s="2">
        <v>130</v>
      </c>
      <c r="F97">
        <v>130</v>
      </c>
      <c r="G97" s="2">
        <v>1.2255734369072027</v>
      </c>
      <c r="H97" s="10">
        <v>1.2255734369072027</v>
      </c>
      <c r="I97">
        <v>1.2908137386523906</v>
      </c>
      <c r="J97" s="2">
        <v>792.42473013351946</v>
      </c>
      <c r="K97" s="2">
        <v>792.42473013351946</v>
      </c>
      <c r="L97">
        <v>752.37400325000124</v>
      </c>
      <c r="M97" s="2">
        <v>0.39326580074447198</v>
      </c>
      <c r="N97" s="2">
        <v>0.39326580074447198</v>
      </c>
      <c r="O97">
        <v>1.2727063326776551</v>
      </c>
      <c r="P97">
        <v>9.6041827145960139E-18</v>
      </c>
      <c r="Q97">
        <v>9.6041827145960139E-18</v>
      </c>
      <c r="R97">
        <v>0.10963519611588438</v>
      </c>
    </row>
    <row r="98" spans="1:18" outlineLevel="1" x14ac:dyDescent="0.25">
      <c r="A98" s="54">
        <v>40</v>
      </c>
      <c r="B98" s="56">
        <f t="shared" si="2"/>
        <v>290.01246086286881</v>
      </c>
      <c r="C98" s="2">
        <v>290.01246086286881</v>
      </c>
      <c r="D98" s="2">
        <v>130</v>
      </c>
      <c r="E98" s="2">
        <v>130</v>
      </c>
      <c r="F98">
        <v>130</v>
      </c>
      <c r="G98" s="2">
        <v>1.2250339695872421</v>
      </c>
      <c r="H98" s="10">
        <v>1.2250339695872421</v>
      </c>
      <c r="I98">
        <v>1.2897324256115654</v>
      </c>
      <c r="J98" s="2">
        <v>792.77368963672382</v>
      </c>
      <c r="K98" s="2">
        <v>792.77368963672382</v>
      </c>
      <c r="L98">
        <v>753.00479441655375</v>
      </c>
      <c r="M98" s="2">
        <v>0.39844871262543163</v>
      </c>
      <c r="N98" s="2">
        <v>0.39844871262543163</v>
      </c>
      <c r="O98">
        <v>1.2833923773583913</v>
      </c>
      <c r="P98">
        <v>9.489190774697768E-18</v>
      </c>
      <c r="Q98">
        <v>9.489190774697768E-18</v>
      </c>
      <c r="R98">
        <v>0.10039542452827238</v>
      </c>
    </row>
    <row r="99" spans="1:18" outlineLevel="1" x14ac:dyDescent="0.25">
      <c r="A99" s="54">
        <v>41</v>
      </c>
      <c r="B99" s="55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1.2245306362127175</v>
      </c>
      <c r="H99" s="10">
        <v>1.2245306362127175</v>
      </c>
      <c r="I99">
        <v>1.2887239276485984</v>
      </c>
      <c r="J99" s="2">
        <v>793.09955282433111</v>
      </c>
      <c r="K99" s="2">
        <v>793.09955282433111</v>
      </c>
      <c r="L99">
        <v>753.59406243973626</v>
      </c>
      <c r="M99" s="2">
        <v>0.40363162450639123</v>
      </c>
      <c r="N99" s="2">
        <v>0.40363162450639123</v>
      </c>
      <c r="O99">
        <v>1.2940784220391277</v>
      </c>
      <c r="P99">
        <v>9.381394083551611E-18</v>
      </c>
      <c r="Q99">
        <v>9.381394083551611E-18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AA31" sqref="AA31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8">
        <v>150</v>
      </c>
      <c r="J19" s="18">
        <v>0</v>
      </c>
      <c r="K19" s="5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8">
        <v>125</v>
      </c>
      <c r="J20" s="18">
        <v>500</v>
      </c>
      <c r="K20" s="5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8">
        <v>125</v>
      </c>
      <c r="J21" s="18">
        <v>2500</v>
      </c>
      <c r="K21" s="5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zoomScaleNormal="100" workbookViewId="0">
      <selection activeCell="AB51" sqref="AB5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5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20.46875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204.76402802121007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25">
      <c r="B16" s="2" t="s">
        <v>59</v>
      </c>
      <c r="C16" s="59">
        <v>0</v>
      </c>
      <c r="D16" s="59">
        <v>0</v>
      </c>
      <c r="E16" s="59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20.46875</v>
      </c>
      <c r="P16">
        <v>0</v>
      </c>
      <c r="Q16">
        <v>30</v>
      </c>
      <c r="R16">
        <v>0</v>
      </c>
      <c r="S16">
        <v>0.35901518543092836</v>
      </c>
      <c r="U16">
        <v>0</v>
      </c>
      <c r="V16" s="61">
        <f>Pline_out_atma_</f>
        <v>5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27.720946760504425</v>
      </c>
      <c r="P17">
        <v>184.21052631578948</v>
      </c>
      <c r="Q17">
        <v>30.614035087719298</v>
      </c>
      <c r="R17">
        <v>175</v>
      </c>
      <c r="S17">
        <v>0.42640395819296611</v>
      </c>
      <c r="U17">
        <v>0</v>
      </c>
      <c r="V17" s="61">
        <f>Pbuf_out_atma_</f>
        <v>20.46875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36.205996349297472</v>
      </c>
      <c r="P18">
        <v>368.42105263157896</v>
      </c>
      <c r="Q18">
        <v>31.228070175438596</v>
      </c>
      <c r="R18">
        <v>350</v>
      </c>
      <c r="S18">
        <v>0.4958840484630227</v>
      </c>
      <c r="U18">
        <f>Hperf_m_</f>
        <v>3500</v>
      </c>
      <c r="V18" s="61">
        <f>Pwf_out_atma_</f>
        <v>204.76402802121007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45.91410220072472</v>
      </c>
      <c r="P19">
        <v>552.63157894736844</v>
      </c>
      <c r="Q19">
        <v>31.842105263157894</v>
      </c>
      <c r="R19">
        <v>525</v>
      </c>
      <c r="S19">
        <v>0.5503691134419173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56.756405078922377</v>
      </c>
      <c r="P20">
        <v>736.84210526315792</v>
      </c>
      <c r="Q20">
        <v>32.456140350877192</v>
      </c>
      <c r="R20">
        <v>700</v>
      </c>
      <c r="S20">
        <v>0.61948088139398017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68.781378839075913</v>
      </c>
      <c r="P21">
        <v>921.0526315789474</v>
      </c>
      <c r="Q21">
        <v>33.070175438596493</v>
      </c>
      <c r="R21">
        <v>875</v>
      </c>
      <c r="S21">
        <v>0.68747729930913226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81.946005163630346</v>
      </c>
      <c r="P22">
        <v>1105.2631578947369</v>
      </c>
      <c r="Q22">
        <v>33.67</v>
      </c>
      <c r="R22">
        <v>1050</v>
      </c>
      <c r="S22">
        <v>0.79237926750890475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95.997899360926027</v>
      </c>
      <c r="P23">
        <v>1289.4736842105262</v>
      </c>
      <c r="Q23">
        <v>34.247368421052634</v>
      </c>
      <c r="R23">
        <v>1225</v>
      </c>
      <c r="S23">
        <v>0.89030623495864858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111.00241158128502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125.57980426825284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139.51895444990751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152.81431122196099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165.46789549107498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177.47223196867427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184.04611936097152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188.78740572909231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197.98880077273429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200.39169290349238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201.84951284225119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203.30695828385191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204.76402802121007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2018-07-16T07:45:08Z</dcterms:modified>
</cp:coreProperties>
</file>