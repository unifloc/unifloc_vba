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ml.chartshapes+xml"/>
  <Override PartName="/xl/charts/chart5.xml" ContentType="application/vnd.openxmlformats-officedocument.drawingml.chart+xml"/>
  <Override PartName="/xl/drawings/drawing7.xml" ContentType="application/vnd.openxmlformats-officedocument.drawingml.chartshapes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trlProps/ctrlProp6.xml" ContentType="application/vnd.ms-excel.controlproperties+xml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0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omments4.xml" ContentType="application/vnd.openxmlformats-officedocument.spreadsheetml.comments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330" codeName="{61638066-69CD-5DBD-CD94-FFEC8A4DF156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rnt\unifloc_vba\"/>
    </mc:Choice>
  </mc:AlternateContent>
  <xr:revisionPtr revIDLastSave="0" documentId="13_ncr:1_{8CC0D337-5B44-4B0D-80CC-F4DF50847134}" xr6:coauthVersionLast="33" xr6:coauthVersionMax="33" xr10:uidLastSave="{00000000-0000-0000-0000-000000000000}"/>
  <bookViews>
    <workbookView xWindow="0" yWindow="0" windowWidth="9000" windowHeight="8370" tabRatio="264" firstSheet="3" activeTab="3" xr2:uid="{00000000-000D-0000-FFFF-FFFF00000000}"/>
  </bookViews>
  <sheets>
    <sheet name="Унифлок" sheetId="6" r:id="rId1"/>
    <sheet name="PVT" sheetId="4" r:id="rId2"/>
    <sheet name="Конструкция фонтан" sheetId="3" r:id="rId3"/>
    <sheet name="Фонтан_расчет" sheetId="2" r:id="rId4"/>
  </sheets>
  <externalReferences>
    <externalReference r:id="rId5"/>
  </externalReferences>
  <definedNames>
    <definedName name="betta_fric_">Фонтан_расчет!$H$7</definedName>
    <definedName name="betta_grav_">Фонтан_расчет!$H$6</definedName>
    <definedName name="bo_list1_">PVT!$G$59:$G$99</definedName>
    <definedName name="bo_list2_">PVT!$H$59:$H$99</definedName>
    <definedName name="bo_list3_">PVT!$I$59:$I$99</definedName>
    <definedName name="Bob_m3m3_" localSheetId="1">PVT!$G$16</definedName>
    <definedName name="correlation_MF_fontan_">Фонтан_расчет!$J$2</definedName>
    <definedName name="correlation_PVT_fontan_">Фонтан_расчет!$E$2</definedName>
    <definedName name="correlation_T_fontan_">Фонтан_расчет!$O$2</definedName>
    <definedName name="dcas_arr_mm_">'Конструкция фонтан'!$I$19:$I$38</definedName>
    <definedName name="dcas_mm_">'Конструкция фонтан'!$C$11</definedName>
    <definedName name="dcas_out_mm_">'Конструкция фонтан'!$V$18:$V$38</definedName>
    <definedName name="dchoke_mm_">'Конструкция фонтан'!$C$13</definedName>
    <definedName name="dtub_arr_mm_">'Конструкция фонтан'!$K$19:$K$38</definedName>
    <definedName name="dtub_mm_">'Конструкция фонтан'!$C$12</definedName>
    <definedName name="dtub_out_mm_">'Конструкция фонтан'!$X$18:$X$38</definedName>
    <definedName name="gamma_gas_" localSheetId="1">PVT!$G$9</definedName>
    <definedName name="gamma_gas_diff_total_">PVT!$R$34</definedName>
    <definedName name="gamma_gas_new_">PVT!$R$33</definedName>
    <definedName name="gamma_oil_" localSheetId="1">PVT!$G$8</definedName>
    <definedName name="gamma_oil_new_">PVT!$R$32</definedName>
    <definedName name="gamma_w_" localSheetId="1">PVT!$G$10</definedName>
    <definedName name="gammas">PVT!$R$32:$R$33</definedName>
    <definedName name="gasfrac_list1_">PVT!$P$59:$P$99</definedName>
    <definedName name="gasfrac_list2_">PVT!$Q$59:$Q$99</definedName>
    <definedName name="gasfrac_list3_">PVT!$R$59:$R$98</definedName>
    <definedName name="Hlout_">Фонтан_расчет!$S$16:$S$36</definedName>
    <definedName name="Hlout_hmes_m_">Фонтан_расчет!$R$16:$R$36</definedName>
    <definedName name="hmes_dcas_m_">'Конструкция фонтан'!$H$19:$H$38</definedName>
    <definedName name="hmes_dcas_out_m_">'Конструкция фонтан'!$U$18:$U$38</definedName>
    <definedName name="hmes_dtub_m_">'Конструкция фонтан'!$J$19:$J$38</definedName>
    <definedName name="hmes_dtub_out_m_">'Конструкция фонтан'!$W$18:$W$38</definedName>
    <definedName name="hmes_incl_m_">'Конструкция фонтан'!$B$19:$B$176</definedName>
    <definedName name="hmes_incl_out_m_">'Конструкция фонтан'!$P$18:$P$38</definedName>
    <definedName name="Hmes_mes_m_">Фонтан_расчет!$C$17:$C$352</definedName>
    <definedName name="hmes_out_">Фонтан_расчет!$H$16:$H$36</definedName>
    <definedName name="hmes_tamb_m_">'Конструкция фонтан'!$E$19:$E$38</definedName>
    <definedName name="hmes_tamb_out_m_" localSheetId="3">Фонтан_расчет!$K$16:$K$36</definedName>
    <definedName name="hmes_tamb_out_m_">'Конструкция фонтан'!$S$18:$S$38</definedName>
    <definedName name="Hout_">Фонтан_расчет!$N$17:$N$36</definedName>
    <definedName name="Hperf_m_">'Конструкция фонтан'!$C$9</definedName>
    <definedName name="Htub_m_">'Конструкция фонтан'!$C$10</definedName>
    <definedName name="hvert_incl_m_">'Конструкция фонтан'!$C$19:$C$176</definedName>
    <definedName name="hvert_incl_out_m_">'Конструкция фонтан'!$Q$18:$Q$38</definedName>
    <definedName name="hvert_tamb_out_m_" localSheetId="3">Фонтан_расчет!$L$16:$L$36</definedName>
    <definedName name="HydrCorr_">Фонтан_расчет!$AA$6</definedName>
    <definedName name="HydrCorr_selector_">Фонтан_расчет!$AB$3</definedName>
    <definedName name="Ksep_" localSheetId="1">PVT!$O$8</definedName>
    <definedName name="mu_cP_" localSheetId="1">PVT!$G$17</definedName>
    <definedName name="muo_list1_">PVT!$M$59:$M$99</definedName>
    <definedName name="muo_list2_">PVT!$N$59:$N$99</definedName>
    <definedName name="muo_list3_">PVT!$O$59:$O$99</definedName>
    <definedName name="P_atma_" localSheetId="1">PVT!$C$8</definedName>
    <definedName name="P_mes_atma_">Фонтан_расчет!$D$17:$D$352</definedName>
    <definedName name="Pb_atma_" localSheetId="1">PVT!$G$15</definedName>
    <definedName name="Pb_diff_">PVT!$W$33</definedName>
    <definedName name="Pbuf_atma_">Фонтан_расчет!$Q$6</definedName>
    <definedName name="Pbuf_out_atma_">Фонтан_расчет!$Q$11</definedName>
    <definedName name="Plin_mes_atma_">Фонтан_расчет!$D$16</definedName>
    <definedName name="Pline_atma_">Фонтан_расчет!$Q$5</definedName>
    <definedName name="Pline_out_atma_">Фонтан_расчет!$Q$10</definedName>
    <definedName name="pmes_out_">Фонтан_расчет!$I$16:$I$36</definedName>
    <definedName name="Pout_">Фонтан_расчет!$O$17:$O$36</definedName>
    <definedName name="Pout_atma_">Фонтан_расчет!$O$16:$O$36</definedName>
    <definedName name="Pout_hmes_m_">Фонтан_расчет!$N$16:$N$36</definedName>
    <definedName name="press_list0_">PVT!$B$59:$B$99</definedName>
    <definedName name="press_list1_">PVT!$C$59:$C$99</definedName>
    <definedName name="Psc_atma_" localSheetId="1">PVT!$K$2</definedName>
    <definedName name="Psep_atma_" localSheetId="1">PVT!$O$9</definedName>
    <definedName name="PVT_correlation_" localSheetId="1">PVT!$H$3</definedName>
    <definedName name="PVT_selector_">Фонтан_расчет!$X$3</definedName>
    <definedName name="Pwf_atma_">Фонтан_расчет!$Q$7</definedName>
    <definedName name="Pwf_out_atma_">Фонтан_расчет!$Q$12</definedName>
    <definedName name="Ql_scm3day_" localSheetId="1">PVT!$K$8</definedName>
    <definedName name="Ql_scm3day_" localSheetId="3">Фонтан_расчет!$C$6</definedName>
    <definedName name="Qo_sctday_" localSheetId="1">PVT!$K$10</definedName>
    <definedName name="rhoo_list1_">PVT!$J$59:$J$99</definedName>
    <definedName name="rhoo_list2_">PVT!$K$59:$K$99</definedName>
    <definedName name="rhoo_list3_">PVT!$L$59:$L$99</definedName>
    <definedName name="Rp_m3m3_" localSheetId="1">PVT!$K$11</definedName>
    <definedName name="Rp_m3m3_" localSheetId="3">Фонтан_расчет!$C$9</definedName>
    <definedName name="Rp_tm3_" localSheetId="1">PVT!$K$12</definedName>
    <definedName name="rs_list1_">PVT!$D$59:$D$99</definedName>
    <definedName name="rs_list2_">PVT!$E$59:$E$99</definedName>
    <definedName name="rs_list3_">PVT!$F$59:$F$99</definedName>
    <definedName name="Rsb_m3m3_" localSheetId="1">PVT!$G$11</definedName>
    <definedName name="solver_adj" localSheetId="1" hidden="1">PVT!$R$32:$R$33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2147483647</definedName>
    <definedName name="solver_lhs1" localSheetId="1" hidden="1">PVT!$R$32</definedName>
    <definedName name="solver_lhs10" localSheetId="1" hidden="1">PVT!$R$33</definedName>
    <definedName name="solver_lhs11" localSheetId="1" hidden="1">PVT!$R$33</definedName>
    <definedName name="solver_lhs12" localSheetId="1" hidden="1">PVT!$R$33</definedName>
    <definedName name="solver_lhs13" localSheetId="1" hidden="1">PVT!$R$33</definedName>
    <definedName name="solver_lhs14" localSheetId="1" hidden="1">PVT!$R$33</definedName>
    <definedName name="solver_lhs15" localSheetId="1" hidden="1">PVT!$R$33</definedName>
    <definedName name="solver_lhs16" localSheetId="1" hidden="1">PVT!$R$33</definedName>
    <definedName name="solver_lhs17" localSheetId="1" hidden="1">PVT!$R$33</definedName>
    <definedName name="solver_lhs18" localSheetId="1" hidden="1">PVT!$R$33</definedName>
    <definedName name="solver_lhs19" localSheetId="1" hidden="1">PVT!$R$33</definedName>
    <definedName name="solver_lhs2" localSheetId="1" hidden="1">PVT!$R$33</definedName>
    <definedName name="solver_lhs20" localSheetId="1" hidden="1">PVT!$R$33</definedName>
    <definedName name="solver_lhs21" localSheetId="1" hidden="1">PVT!$R$33</definedName>
    <definedName name="solver_lhs22" localSheetId="1" hidden="1">PVT!$R$33</definedName>
    <definedName name="solver_lhs23" localSheetId="1" hidden="1">PVT!$R$33</definedName>
    <definedName name="solver_lhs24" localSheetId="1" hidden="1">PVT!$R$33</definedName>
    <definedName name="solver_lhs25" localSheetId="1" hidden="1">PVT!$R$33</definedName>
    <definedName name="solver_lhs26" localSheetId="1" hidden="1">PVT!$R$33</definedName>
    <definedName name="solver_lhs27" localSheetId="1" hidden="1">PVT!$R$33</definedName>
    <definedName name="solver_lhs28" localSheetId="1" hidden="1">PVT!$R$33</definedName>
    <definedName name="solver_lhs29" localSheetId="1" hidden="1">PVT!$R$33</definedName>
    <definedName name="solver_lhs3" localSheetId="1" hidden="1">PVT!$R$33</definedName>
    <definedName name="solver_lhs30" localSheetId="1" hidden="1">PVT!$R$33</definedName>
    <definedName name="solver_lhs31" localSheetId="1" hidden="1">PVT!$R$33</definedName>
    <definedName name="solver_lhs32" localSheetId="1" hidden="1">PVT!$R$33</definedName>
    <definedName name="solver_lhs33" localSheetId="1" hidden="1">PVT!$R$33</definedName>
    <definedName name="solver_lhs34" localSheetId="1" hidden="1">PVT!$R$33</definedName>
    <definedName name="solver_lhs35" localSheetId="1" hidden="1">PVT!$R$32</definedName>
    <definedName name="solver_lhs36" localSheetId="1" hidden="1">PVT!$R$32</definedName>
    <definedName name="solver_lhs37" localSheetId="1" hidden="1">PVT!$R$33</definedName>
    <definedName name="solver_lhs38" localSheetId="1" hidden="1">PVT!$R$33</definedName>
    <definedName name="solver_lhs39" localSheetId="1" hidden="1">PVT!$R$32</definedName>
    <definedName name="solver_lhs4" localSheetId="1" hidden="1">PVT!$R$33</definedName>
    <definedName name="solver_lhs40" localSheetId="1" hidden="1">PVT!$R$32</definedName>
    <definedName name="solver_lhs41" localSheetId="1" hidden="1">PVT!$R$33</definedName>
    <definedName name="solver_lhs42" localSheetId="1" hidden="1">PVT!$R$33</definedName>
    <definedName name="solver_lhs43" localSheetId="1" hidden="1">PVT!$R$32</definedName>
    <definedName name="solver_lhs44" localSheetId="1" hidden="1">PVT!$R$32</definedName>
    <definedName name="solver_lhs45" localSheetId="1" hidden="1">PVT!$R$33</definedName>
    <definedName name="solver_lhs46" localSheetId="1" hidden="1">PVT!$R$33</definedName>
    <definedName name="solver_lhs47" localSheetId="1" hidden="1">PVT!$R$32</definedName>
    <definedName name="solver_lhs48" localSheetId="1" hidden="1">PVT!$R$32</definedName>
    <definedName name="solver_lhs49" localSheetId="1" hidden="1">PVT!$R$33</definedName>
    <definedName name="solver_lhs5" localSheetId="1" hidden="1">PVT!$R$33</definedName>
    <definedName name="solver_lhs50" localSheetId="1" hidden="1">PVT!$R$33</definedName>
    <definedName name="solver_lhs51" localSheetId="1" hidden="1">PVT!$R$32</definedName>
    <definedName name="solver_lhs52" localSheetId="1" hidden="1">PVT!$R$32</definedName>
    <definedName name="solver_lhs53" localSheetId="1" hidden="1">PVT!$R$33</definedName>
    <definedName name="solver_lhs54" localSheetId="1" hidden="1">PVT!$R$33</definedName>
    <definedName name="solver_lhs6" localSheetId="1" hidden="1">PVT!$R$33</definedName>
    <definedName name="solver_lhs7" localSheetId="1" hidden="1">PVT!$R$33</definedName>
    <definedName name="solver_lhs8" localSheetId="1" hidden="1">PVT!$R$33</definedName>
    <definedName name="solver_lhs9" localSheetId="1" hidden="1">PVT!$R$33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3</definedName>
    <definedName name="solver_nwt" localSheetId="1" hidden="1">1</definedName>
    <definedName name="solver_opt" localSheetId="1" hidden="1">PVT!$R$34</definedName>
    <definedName name="solver_pre" localSheetId="1" hidden="1">0.000001</definedName>
    <definedName name="solver_rbv" localSheetId="1" hidden="1">1</definedName>
    <definedName name="solver_rel1" localSheetId="1" hidden="1">3</definedName>
    <definedName name="solver_rel10" localSheetId="1" hidden="1">1</definedName>
    <definedName name="solver_rel11" localSheetId="1" hidden="1">3</definedName>
    <definedName name="solver_rel12" localSheetId="1" hidden="1">1</definedName>
    <definedName name="solver_rel13" localSheetId="1" hidden="1">3</definedName>
    <definedName name="solver_rel14" localSheetId="1" hidden="1">1</definedName>
    <definedName name="solver_rel15" localSheetId="1" hidden="1">3</definedName>
    <definedName name="solver_rel16" localSheetId="1" hidden="1">1</definedName>
    <definedName name="solver_rel17" localSheetId="1" hidden="1">3</definedName>
    <definedName name="solver_rel18" localSheetId="1" hidden="1">1</definedName>
    <definedName name="solver_rel19" localSheetId="1" hidden="1">3</definedName>
    <definedName name="solver_rel2" localSheetId="1" hidden="1">3</definedName>
    <definedName name="solver_rel20" localSheetId="1" hidden="1">1</definedName>
    <definedName name="solver_rel21" localSheetId="1" hidden="1">3</definedName>
    <definedName name="solver_rel22" localSheetId="1" hidden="1">1</definedName>
    <definedName name="solver_rel23" localSheetId="1" hidden="1">3</definedName>
    <definedName name="solver_rel24" localSheetId="1" hidden="1">1</definedName>
    <definedName name="solver_rel25" localSheetId="1" hidden="1">3</definedName>
    <definedName name="solver_rel26" localSheetId="1" hidden="1">1</definedName>
    <definedName name="solver_rel27" localSheetId="1" hidden="1">3</definedName>
    <definedName name="solver_rel28" localSheetId="1" hidden="1">1</definedName>
    <definedName name="solver_rel29" localSheetId="1" hidden="1">3</definedName>
    <definedName name="solver_rel3" localSheetId="1" hidden="1">1</definedName>
    <definedName name="solver_rel30" localSheetId="1" hidden="1">1</definedName>
    <definedName name="solver_rel31" localSheetId="1" hidden="1">3</definedName>
    <definedName name="solver_rel32" localSheetId="1" hidden="1">1</definedName>
    <definedName name="solver_rel33" localSheetId="1" hidden="1">3</definedName>
    <definedName name="solver_rel34" localSheetId="1" hidden="1">1</definedName>
    <definedName name="solver_rel35" localSheetId="1" hidden="1">3</definedName>
    <definedName name="solver_rel36" localSheetId="1" hidden="1">1</definedName>
    <definedName name="solver_rel37" localSheetId="1" hidden="1">3</definedName>
    <definedName name="solver_rel38" localSheetId="1" hidden="1">1</definedName>
    <definedName name="solver_rel39" localSheetId="1" hidden="1">3</definedName>
    <definedName name="solver_rel4" localSheetId="1" hidden="1">1</definedName>
    <definedName name="solver_rel40" localSheetId="1" hidden="1">1</definedName>
    <definedName name="solver_rel41" localSheetId="1" hidden="1">3</definedName>
    <definedName name="solver_rel42" localSheetId="1" hidden="1">1</definedName>
    <definedName name="solver_rel43" localSheetId="1" hidden="1">3</definedName>
    <definedName name="solver_rel44" localSheetId="1" hidden="1">1</definedName>
    <definedName name="solver_rel45" localSheetId="1" hidden="1">3</definedName>
    <definedName name="solver_rel46" localSheetId="1" hidden="1">1</definedName>
    <definedName name="solver_rel47" localSheetId="1" hidden="1">3</definedName>
    <definedName name="solver_rel48" localSheetId="1" hidden="1">1</definedName>
    <definedName name="solver_rel49" localSheetId="1" hidden="1">3</definedName>
    <definedName name="solver_rel5" localSheetId="1" hidden="1">3</definedName>
    <definedName name="solver_rel50" localSheetId="1" hidden="1">1</definedName>
    <definedName name="solver_rel51" localSheetId="1" hidden="1">3</definedName>
    <definedName name="solver_rel52" localSheetId="1" hidden="1">1</definedName>
    <definedName name="solver_rel53" localSheetId="1" hidden="1">3</definedName>
    <definedName name="solver_rel54" localSheetId="1" hidden="1">1</definedName>
    <definedName name="solver_rel6" localSheetId="1" hidden="1">1</definedName>
    <definedName name="solver_rel7" localSheetId="1" hidden="1">3</definedName>
    <definedName name="solver_rel8" localSheetId="1" hidden="1">1</definedName>
    <definedName name="solver_rel9" localSheetId="1" hidden="1">3</definedName>
    <definedName name="solver_rhs1" localSheetId="1" hidden="1">0.7</definedName>
    <definedName name="solver_rhs10" localSheetId="1" hidden="1">2</definedName>
    <definedName name="solver_rhs11" localSheetId="1" hidden="1">0.55</definedName>
    <definedName name="solver_rhs12" localSheetId="1" hidden="1">2</definedName>
    <definedName name="solver_rhs13" localSheetId="1" hidden="1">0.55</definedName>
    <definedName name="solver_rhs14" localSheetId="1" hidden="1">2</definedName>
    <definedName name="solver_rhs15" localSheetId="1" hidden="1">0.55</definedName>
    <definedName name="solver_rhs16" localSheetId="1" hidden="1">2</definedName>
    <definedName name="solver_rhs17" localSheetId="1" hidden="1">0.55</definedName>
    <definedName name="solver_rhs18" localSheetId="1" hidden="1">2</definedName>
    <definedName name="solver_rhs19" localSheetId="1" hidden="1">0.55</definedName>
    <definedName name="solver_rhs2" localSheetId="1" hidden="1">0.55</definedName>
    <definedName name="solver_rhs20" localSheetId="1" hidden="1">2</definedName>
    <definedName name="solver_rhs21" localSheetId="1" hidden="1">0.55</definedName>
    <definedName name="solver_rhs22" localSheetId="1" hidden="1">2</definedName>
    <definedName name="solver_rhs23" localSheetId="1" hidden="1">0.55</definedName>
    <definedName name="solver_rhs24" localSheetId="1" hidden="1">2</definedName>
    <definedName name="solver_rhs25" localSheetId="1" hidden="1">0.55</definedName>
    <definedName name="solver_rhs26" localSheetId="1" hidden="1">1.5</definedName>
    <definedName name="solver_rhs27" localSheetId="1" hidden="1">0.55</definedName>
    <definedName name="solver_rhs28" localSheetId="1" hidden="1">1.5</definedName>
    <definedName name="solver_rhs29" localSheetId="1" hidden="1">0.55</definedName>
    <definedName name="solver_rhs3" localSheetId="1" hidden="1">1.5</definedName>
    <definedName name="solver_rhs30" localSheetId="1" hidden="1">1.5</definedName>
    <definedName name="solver_rhs31" localSheetId="1" hidden="1">0.55</definedName>
    <definedName name="solver_rhs32" localSheetId="1" hidden="1">1.5</definedName>
    <definedName name="solver_rhs33" localSheetId="1" hidden="1">0.55</definedName>
    <definedName name="solver_rhs34" localSheetId="1" hidden="1">1.5</definedName>
    <definedName name="solver_rhs35" localSheetId="1" hidden="1">0.7</definedName>
    <definedName name="solver_rhs36" localSheetId="1" hidden="1">1</definedName>
    <definedName name="solver_rhs37" localSheetId="1" hidden="1">0.55</definedName>
    <definedName name="solver_rhs38" localSheetId="1" hidden="1">1.5</definedName>
    <definedName name="solver_rhs39" localSheetId="1" hidden="1">0.7</definedName>
    <definedName name="solver_rhs4" localSheetId="1" hidden="1">1.5</definedName>
    <definedName name="solver_rhs40" localSheetId="1" hidden="1">1</definedName>
    <definedName name="solver_rhs41" localSheetId="1" hidden="1">0.55</definedName>
    <definedName name="solver_rhs42" localSheetId="1" hidden="1">1.5</definedName>
    <definedName name="solver_rhs43" localSheetId="1" hidden="1">0.7</definedName>
    <definedName name="solver_rhs44" localSheetId="1" hidden="1">1</definedName>
    <definedName name="solver_rhs45" localSheetId="1" hidden="1">0.55</definedName>
    <definedName name="solver_rhs46" localSheetId="1" hidden="1">1.5</definedName>
    <definedName name="solver_rhs47" localSheetId="1" hidden="1">0.7</definedName>
    <definedName name="solver_rhs48" localSheetId="1" hidden="1">1</definedName>
    <definedName name="solver_rhs49" localSheetId="1" hidden="1">0.55</definedName>
    <definedName name="solver_rhs5" localSheetId="1" hidden="1">0.55</definedName>
    <definedName name="solver_rhs50" localSheetId="1" hidden="1">1.5</definedName>
    <definedName name="solver_rhs51" localSheetId="1" hidden="1">0.7</definedName>
    <definedName name="solver_rhs52" localSheetId="1" hidden="1">1</definedName>
    <definedName name="solver_rhs53" localSheetId="1" hidden="1">0.55</definedName>
    <definedName name="solver_rhs54" localSheetId="1" hidden="1">1.5</definedName>
    <definedName name="solver_rhs6" localSheetId="1" hidden="1">2</definedName>
    <definedName name="solver_rhs7" localSheetId="1" hidden="1">0.55</definedName>
    <definedName name="solver_rhs8" localSheetId="1" hidden="1">2</definedName>
    <definedName name="solver_rhs9" localSheetId="1" hidden="1">0.55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2</definedName>
    <definedName name="solver_val" localSheetId="1" hidden="1">0</definedName>
    <definedName name="solver_ver" localSheetId="1" hidden="1">3</definedName>
    <definedName name="T_C_" localSheetId="1">PVT!$C$9</definedName>
    <definedName name="T_label_">PVT!$B$56</definedName>
    <definedName name="T_mes_C_">Фонтан_расчет!$E$17:$E$352</definedName>
    <definedName name="tamb_C_">'Конструкция фонтан'!$F$19:$F$38</definedName>
    <definedName name="tamb_out_C_" localSheetId="3">Фонтан_расчет!$M$16:$M$36</definedName>
    <definedName name="tamb_out_C_">'Конструкция фонтан'!$T$18:$T$38</definedName>
    <definedName name="Tbh_c_">Фонтан_расчет!$M$6</definedName>
    <definedName name="Tbuf_out_C_">Фонтан_расчет!$T$11</definedName>
    <definedName name="Tlin_mes_C_">Фонтан_расчет!$E$16</definedName>
    <definedName name="Tline_out_C_">Фонтан_расчет!$T$10</definedName>
    <definedName name="tmes_out_">Фонтан_расчет!$J$16:$J$36</definedName>
    <definedName name="Tout_C_">Фонтан_расчет!$Q$16:$Q$36</definedName>
    <definedName name="Tout_hmes_m_">Фонтан_расчет!$P$16:$P$36</definedName>
    <definedName name="Tres_C_" localSheetId="1">PVT!$G$12</definedName>
    <definedName name="Tsc_C_" localSheetId="1">PVT!$K$3</definedName>
    <definedName name="Tsep_C_" localSheetId="1">PVT!$O$10</definedName>
    <definedName name="Twf_out_C_">Фонтан_расчет!$T$12</definedName>
    <definedName name="Twh_C_">Фонтан_расчет!$M$7</definedName>
    <definedName name="udl_out_m_">'Конструкция фонтан'!$R$18:$R$38</definedName>
    <definedName name="wc_perc_" localSheetId="1">PVT!$K$9</definedName>
    <definedName name="wc_perc_" localSheetId="3">Фонтан_расчет!$C$7</definedName>
    <definedName name="версия_">Унифлок!$A$1</definedName>
    <definedName name="версия_номер_">Унифлок!$B$1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U18" i="2" l="1"/>
  <c r="V18" i="2"/>
  <c r="V17" i="2"/>
  <c r="V16" i="2"/>
  <c r="A4" i="6"/>
  <c r="A1" i="6"/>
  <c r="A1" i="2" s="1"/>
  <c r="AA36" i="4"/>
  <c r="AA35" i="4"/>
  <c r="AB36" i="4"/>
  <c r="AB35" i="4"/>
  <c r="W38" i="4"/>
  <c r="W37" i="4"/>
  <c r="C23" i="4"/>
  <c r="T33" i="4"/>
  <c r="A1" i="4" l="1"/>
  <c r="A1" i="3"/>
  <c r="C10" i="2"/>
  <c r="O2" i="2" l="1"/>
  <c r="J2" i="2"/>
  <c r="E2" i="2"/>
  <c r="X44" i="4"/>
  <c r="B56" i="4"/>
  <c r="AD34" i="4"/>
  <c r="AD33" i="4"/>
  <c r="C25" i="4"/>
  <c r="G24" i="4"/>
  <c r="C24" i="4"/>
  <c r="K12" i="4"/>
  <c r="K10" i="4"/>
  <c r="C43" i="4"/>
  <c r="I34" i="4"/>
  <c r="M33" i="4"/>
  <c r="I35" i="4"/>
  <c r="E35" i="4"/>
  <c r="E34" i="4"/>
  <c r="T35" i="4"/>
  <c r="C32" i="4"/>
  <c r="T34" i="4"/>
  <c r="M32" i="4"/>
  <c r="I37" i="4"/>
  <c r="G23" i="4"/>
  <c r="V33" i="4"/>
  <c r="C26" i="4"/>
  <c r="I32" i="4"/>
  <c r="M37" i="4"/>
  <c r="M36" i="4"/>
  <c r="C37" i="4"/>
  <c r="M35" i="4"/>
  <c r="C35" i="4"/>
  <c r="C44" i="4"/>
  <c r="E32" i="4"/>
  <c r="E36" i="4"/>
  <c r="E37" i="4"/>
  <c r="I36" i="4"/>
  <c r="C28" i="4"/>
  <c r="C45" i="4"/>
  <c r="C27" i="4"/>
  <c r="E33" i="4"/>
  <c r="C34" i="4"/>
  <c r="I33" i="4"/>
  <c r="C33" i="4"/>
  <c r="C36" i="4"/>
  <c r="U34" i="4" l="1"/>
  <c r="AA33" i="4" s="1"/>
  <c r="F36" i="4"/>
  <c r="F33" i="4"/>
  <c r="F34" i="4"/>
  <c r="F35" i="4"/>
  <c r="F32" i="4"/>
  <c r="U33" i="4"/>
  <c r="AA32" i="4" s="1"/>
  <c r="U35" i="4"/>
  <c r="AA38" i="4" s="1"/>
  <c r="W33" i="4"/>
  <c r="B79" i="4"/>
  <c r="F37" i="4"/>
  <c r="T36" i="4"/>
  <c r="V36" i="4"/>
  <c r="V35" i="4"/>
  <c r="V34" i="4"/>
  <c r="W34" i="4" l="1"/>
  <c r="AB33" i="4" s="1"/>
  <c r="W35" i="4"/>
  <c r="AB38" i="4" s="1"/>
  <c r="W36" i="4"/>
  <c r="AB34" i="4" s="1"/>
  <c r="U36" i="4"/>
  <c r="AA34" i="4" s="1"/>
  <c r="AB32" i="4"/>
  <c r="B60" i="4"/>
  <c r="B61" i="4" s="1"/>
  <c r="B62" i="4" s="1"/>
  <c r="B63" i="4" s="1"/>
  <c r="B64" i="4" s="1"/>
  <c r="B65" i="4" s="1"/>
  <c r="B66" i="4" s="1"/>
  <c r="B67" i="4" s="1"/>
  <c r="B68" i="4" s="1"/>
  <c r="B69" i="4" s="1"/>
  <c r="B70" i="4" s="1"/>
  <c r="B71" i="4" s="1"/>
  <c r="B72" i="4" s="1"/>
  <c r="B73" i="4" s="1"/>
  <c r="B74" i="4" s="1"/>
  <c r="B75" i="4" s="1"/>
  <c r="B76" i="4" s="1"/>
  <c r="B77" i="4" s="1"/>
  <c r="B78" i="4" s="1"/>
  <c r="B80" i="4"/>
  <c r="B81" i="4" s="1"/>
  <c r="B82" i="4" s="1"/>
  <c r="B83" i="4" s="1"/>
  <c r="B84" i="4" s="1"/>
  <c r="B85" i="4" s="1"/>
  <c r="B86" i="4" s="1"/>
  <c r="B87" i="4" s="1"/>
  <c r="B88" i="4" s="1"/>
  <c r="B89" i="4" s="1"/>
  <c r="B90" i="4" s="1"/>
  <c r="B91" i="4" s="1"/>
  <c r="B92" i="4" s="1"/>
  <c r="B93" i="4" s="1"/>
  <c r="B94" i="4" s="1"/>
  <c r="B95" i="4" s="1"/>
  <c r="B96" i="4" s="1"/>
  <c r="B97" i="4" s="1"/>
  <c r="B98" i="4" s="1"/>
  <c r="R34" i="4" l="1"/>
  <c r="AD32" i="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A4" authorId="0" shapeId="0" xr:uid="{00000000-0006-0000-00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
Замечания, предложения, дополнения можно оправлять Хабибуллину Ринату
khabibullin.ra@gubkin.ru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A1" authorId="0" shapeId="0" xr:uid="{00000000-0006-0000-01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23.05.2018  Исправлен расчет диаграммы рассогласования данных PVT 
02.06.2018  Добавлен график с долей газа, в диаграмме рассогласованности добавлена учет расхождений по плотности газа, добавлены графики без калибровок, исправлен расчет с учетом сепарации без калибровок
22.05.2018  Добавлен график - диаграмма рассогласованности PVT данных</t>
        </r>
      </text>
    </comment>
    <comment ref="H3" authorId="0" shapeId="0" xr:uid="{00000000-0006-0000-0100-00000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Набор корреляций для расчета
0 - на основе корреляции Стендинга
1 - на основе корреляции Валко МакКейна</t>
        </r>
      </text>
    </comment>
    <comment ref="N7" authorId="0" shapeId="0" xr:uid="{00000000-0006-0000-0100-00000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Моделируется сепарация газа на приеме насоса в скважине. 
Из потока отделяется часть свободного газа при определенном давлении и температуре - при этом свойства флюида также меняются
Ксееп = 0  отсутствие сепарации
Ксеп = 1 весь свободный газ отделяется из потока
Применяется для моделирования свойств флюидов в НКТ выше насоса</t>
        </r>
      </text>
    </comment>
    <comment ref="C8" authorId="0" shapeId="0" xr:uid="{00000000-0006-0000-0100-00000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при котором проводится расчет</t>
        </r>
      </text>
    </comment>
    <comment ref="G8" authorId="0" shapeId="0" xr:uid="{00000000-0006-0000-0100-00000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нефти</t>
        </r>
      </text>
    </comment>
    <comment ref="K8" authorId="0" shapeId="0" xr:uid="{00000000-0006-0000-0100-00000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Дебит жидкости в стандартных условиях. Необходим для расчета свойств смеси. Непосредственно на PVT свойства не влияет</t>
        </r>
      </text>
    </comment>
    <comment ref="C9" authorId="0" shapeId="0" xr:uid="{00000000-0006-0000-0100-00000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Температура, при которой проводится расчет</t>
        </r>
      </text>
    </comment>
    <comment ref="G9" authorId="0" shapeId="0" xr:uid="{00000000-0006-0000-0100-00000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газа</t>
        </r>
      </text>
    </comment>
    <comment ref="K9" authorId="0" shapeId="0" xr:uid="{00000000-0006-0000-0100-00000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Обводненность, объемная</t>
        </r>
      </text>
    </comment>
    <comment ref="G10" authorId="0" shapeId="0" xr:uid="{00000000-0006-0000-0100-00000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воды</t>
        </r>
      </text>
    </comment>
    <comment ref="G11" authorId="0" shapeId="0" xr:uid="{00000000-0006-0000-0100-00000B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в нефти 
при давлении насыщения</t>
        </r>
      </text>
    </comment>
    <comment ref="K11" authorId="0" shapeId="0" xr:uid="{00000000-0006-0000-0100-00000C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</t>
        </r>
      </text>
    </comment>
    <comment ref="G12" authorId="0" shapeId="0" xr:uid="{00000000-0006-0000-0100-00000D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Пластовая температура</t>
        </r>
      </text>
    </comment>
    <comment ref="K12" authorId="0" shapeId="0" xr:uid="{00000000-0006-0000-0100-00000E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 в м3/т
В одной тонне более 1 м3 нефти
</t>
        </r>
      </text>
    </comment>
    <comment ref="G15" authorId="0" shapeId="0" xr:uid="{00000000-0006-0000-0100-00000F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(при пластовой температуре)
калибровочный параметр. Если не задан - не учитывается.</t>
        </r>
      </text>
    </comment>
    <comment ref="G16" authorId="0" shapeId="0" xr:uid="{00000000-0006-0000-0100-000010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
при давлении насыщения
калибровочный параметр. Если не задан - не учитывается.</t>
        </r>
      </text>
    </comment>
    <comment ref="G17" authorId="0" shapeId="0" xr:uid="{00000000-0006-0000-0100-00001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давлении насыщения 
калибровочный параметр. Если не задан - не учитывается.</t>
        </r>
      </text>
    </comment>
    <comment ref="C23" authorId="0" shapeId="0" xr:uid="{00000000-0006-0000-0100-00001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при пластовой температуре с учетом калибровок</t>
        </r>
      </text>
    </comment>
    <comment ref="G23" authorId="0" shapeId="0" xr:uid="{00000000-0006-0000-0100-00001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при заданной температуре с учетом калибровок</t>
        </r>
      </text>
    </comment>
    <comment ref="C32" authorId="0" shapeId="0" xr:uid="{00000000-0006-0000-0100-00001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стандартных условиях
с учетом калибровок</t>
        </r>
      </text>
    </comment>
    <comment ref="E32" authorId="0" shapeId="0" xr:uid="{00000000-0006-0000-0100-00001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стандартных условиях
без учета калибровок</t>
        </r>
      </text>
    </comment>
    <comment ref="C33" authorId="0" shapeId="0" xr:uid="{00000000-0006-0000-0100-00001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стандартных условиях
с учетом калибровок</t>
        </r>
      </text>
    </comment>
    <comment ref="E33" authorId="0" shapeId="0" xr:uid="{00000000-0006-0000-0100-00001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стандартных условиях
без учета калибровок</t>
        </r>
      </text>
    </comment>
    <comment ref="I33" authorId="0" shapeId="0" xr:uid="{00000000-0006-0000-0100-00001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газа при заданных условиях</t>
        </r>
      </text>
    </comment>
    <comment ref="C34" authorId="0" shapeId="0" xr:uid="{00000000-0006-0000-0100-00001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при заданных условиях
с учетом калибровок</t>
        </r>
      </text>
    </comment>
    <comment ref="E34" authorId="0" shapeId="0" xr:uid="{00000000-0006-0000-0100-00001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при заданных условиях
без учета калибровок</t>
        </r>
      </text>
    </comment>
    <comment ref="I34" authorId="0" shapeId="0" xr:uid="{00000000-0006-0000-0100-00001B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z фактор газа при заданных условиях</t>
        </r>
      </text>
    </comment>
    <comment ref="M34" authorId="0" shapeId="0" xr:uid="{00000000-0006-0000-0100-00001C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соленость воды при заданных условиях</t>
        </r>
      </text>
    </comment>
    <comment ref="C35" authorId="0" shapeId="0" xr:uid="{00000000-0006-0000-0100-00001D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 при заданных условиях
с учетом калибровок</t>
        </r>
      </text>
    </comment>
    <comment ref="E35" authorId="0" shapeId="0" xr:uid="{00000000-0006-0000-0100-00001E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 при заданных условиях
без учета калибровок</t>
        </r>
      </text>
    </comment>
    <comment ref="C36" authorId="0" shapeId="0" xr:uid="{00000000-0006-0000-0100-00001F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заданных условиях
с учетом калибровок</t>
        </r>
      </text>
    </comment>
    <comment ref="E36" authorId="0" shapeId="0" xr:uid="{00000000-0006-0000-0100-000020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заданных условиях
без учета калибровок</t>
        </r>
      </text>
    </comment>
    <comment ref="C37" authorId="0" shapeId="0" xr:uid="{00000000-0006-0000-0100-00002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заданных условиях
с учетом калибровок</t>
        </r>
      </text>
    </comment>
    <comment ref="E37" authorId="0" shapeId="0" xr:uid="{00000000-0006-0000-0100-00002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заданных условиях
без учета калибровок</t>
        </r>
      </text>
    </comment>
    <comment ref="I37" authorId="0" shapeId="0" xr:uid="{00000000-0006-0000-0100-00002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газа при заданных условиях</t>
        </r>
      </text>
    </comment>
    <comment ref="M37" authorId="0" shapeId="0" xr:uid="{00000000-0006-0000-0100-00002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воды при заданных условиях</t>
        </r>
      </text>
    </comment>
    <comment ref="C38" authorId="0" shapeId="0" xr:uid="{00000000-0006-0000-0100-00002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нефти</t>
        </r>
      </text>
    </comment>
    <comment ref="I38" authorId="0" shapeId="0" xr:uid="{00000000-0006-0000-0100-00002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газа</t>
        </r>
      </text>
    </comment>
    <comment ref="M38" authorId="0" shapeId="0" xr:uid="{00000000-0006-0000-0100-00002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воды</t>
        </r>
      </text>
    </comment>
    <comment ref="C39" authorId="0" shapeId="0" xr:uid="{00000000-0006-0000-0100-00002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нефти
</t>
        </r>
      </text>
    </comment>
    <comment ref="I39" authorId="0" shapeId="0" xr:uid="{00000000-0006-0000-0100-00002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газа
</t>
        </r>
      </text>
    </comment>
    <comment ref="M39" authorId="0" shapeId="0" xr:uid="{00000000-0006-0000-0100-00002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воды
</t>
        </r>
      </text>
    </comment>
    <comment ref="B58" authorId="0" shapeId="0" xr:uid="{00000000-0006-0000-0100-00002B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Этот солбец с давлениями можно менять - он определяет для каких значений давления будут построены графики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C9" authorId="0" shapeId="0" xr:uid="{00000000-0006-0000-02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скважины до перфорации</t>
        </r>
      </text>
    </comment>
    <comment ref="C10" authorId="0" shapeId="0" xr:uid="{00000000-0006-0000-0200-00000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спуска НКТ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B5" authorId="0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Данные потока, дебиты, обводненность, газовый фактор синхронизироанны с данными на листе PVT. 
Менять можно в любом месте. 
При изменении в одном месте, изменятся данные и в другом</t>
        </r>
      </text>
    </comment>
    <comment ref="C6" authorId="0" shapeId="0" xr:uid="{00000000-0006-0000-0300-00000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Дебит жидкости в стандартных условиях. Необходим для расчета свойств смеси. Непосредственно на PVT свойства не влияет</t>
        </r>
      </text>
    </comment>
    <comment ref="H6" authorId="0" shapeId="0" xr:uid="{00000000-0006-0000-0300-00000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Поправлка на градиент давления из за гравитации для гидравлических корреляций</t>
        </r>
      </text>
    </comment>
    <comment ref="L6" authorId="0" shapeId="0" xr:uid="{00000000-0006-0000-0300-00000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за забое</t>
        </r>
      </text>
    </comment>
    <comment ref="M6" authorId="0" shapeId="0" xr:uid="{00000000-0006-0000-0300-00000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на забое</t>
        </r>
      </text>
    </comment>
    <comment ref="C7" authorId="0" shapeId="0" xr:uid="{00000000-0006-0000-0300-00000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Обводненность, объемная</t>
        </r>
      </text>
    </comment>
    <comment ref="H7" authorId="0" shapeId="0" xr:uid="{00000000-0006-0000-0300-00000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Поправлка на градиент давления из за трения для гидравлических корреляций</t>
        </r>
      </text>
    </comment>
    <comment ref="M7" authorId="0" shapeId="0" xr:uid="{00000000-0006-0000-0300-00000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на устье</t>
        </r>
      </text>
    </comment>
    <comment ref="C9" authorId="0" shapeId="0" xr:uid="{00000000-0006-0000-0300-00000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</t>
        </r>
      </text>
    </comment>
    <comment ref="C10" authorId="0" shapeId="0" xr:uid="{00000000-0006-0000-0300-00000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 в м3/т
В одной тонне более 1 м3 нефти
</t>
        </r>
      </text>
    </comment>
  </commentList>
</comments>
</file>

<file path=xl/sharedStrings.xml><?xml version="1.0" encoding="utf-8"?>
<sst xmlns="http://schemas.openxmlformats.org/spreadsheetml/2006/main" count="262" uniqueCount="172">
  <si>
    <t>Калькулятор PVT свойств пластовых флюидов</t>
  </si>
  <si>
    <t>Исходные данные</t>
  </si>
  <si>
    <t>атма</t>
  </si>
  <si>
    <t>Исходные термобарические условия</t>
  </si>
  <si>
    <t>Базовые свойства нефти</t>
  </si>
  <si>
    <t>Калибровочные параметры</t>
  </si>
  <si>
    <t>atma</t>
  </si>
  <si>
    <t>сП</t>
  </si>
  <si>
    <t>Свойства смеси</t>
  </si>
  <si>
    <t>%</t>
  </si>
  <si>
    <t>Р</t>
  </si>
  <si>
    <t>T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</si>
  <si>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</si>
  <si>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</si>
  <si>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</si>
  <si>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</si>
  <si>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</si>
  <si>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</si>
  <si>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</si>
  <si>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f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</si>
  <si>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</si>
  <si>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</si>
  <si>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</si>
  <si>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t>Стандартные условия</t>
  </si>
  <si>
    <t>C</t>
  </si>
  <si>
    <r>
      <rPr>
        <sz val="11"/>
        <color theme="1"/>
        <rFont val="Calibri"/>
        <family val="2"/>
        <charset val="204"/>
      </rPr>
      <t>°</t>
    </r>
    <r>
      <rPr>
        <sz val="11"/>
        <color theme="1"/>
        <rFont val="Calibri"/>
        <family val="2"/>
        <charset val="204"/>
        <scheme val="minor"/>
      </rPr>
      <t>С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</si>
  <si>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sc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</si>
  <si>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sc</t>
    </r>
  </si>
  <si>
    <t>Модификация флюида при сепарации</t>
  </si>
  <si>
    <t>Ksep</t>
  </si>
  <si>
    <t>Psep</t>
  </si>
  <si>
    <t>Tsep</t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</si>
  <si>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l sc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</si>
  <si>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/сут</t>
    </r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</si>
  <si>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o sc</t>
    </r>
  </si>
  <si>
    <t>т/сут</t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</si>
  <si>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/т</t>
    </r>
  </si>
  <si>
    <t>Исходные данные по конструкции скважины</t>
  </si>
  <si>
    <t>м</t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</si>
  <si>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perf</t>
    </r>
  </si>
  <si>
    <r>
      <t>H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</si>
  <si>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t>мм</t>
  </si>
  <si>
    <t xml:space="preserve">Инклинометрия </t>
  </si>
  <si>
    <t>Низм</t>
  </si>
  <si>
    <t>атм</t>
  </si>
  <si>
    <r>
      <t>Р</t>
    </r>
    <r>
      <rPr>
        <vertAlign val="subscript"/>
        <sz val="11"/>
        <color theme="1"/>
        <rFont val="Calibri"/>
        <family val="2"/>
        <charset val="204"/>
        <scheme val="minor"/>
      </rPr>
      <t>lin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</si>
  <si>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wh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</si>
  <si>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wf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</si>
  <si>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choke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</si>
  <si>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cas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</si>
  <si>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</si>
  <si>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t>Температура</t>
  </si>
  <si>
    <t>Конструкция</t>
  </si>
  <si>
    <t>Давления</t>
  </si>
  <si>
    <t>Расчетные параметры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</si>
  <si>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lin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</si>
  <si>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wh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</si>
  <si>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wf</t>
    </r>
  </si>
  <si>
    <t>Замеры давления и температуры</t>
  </si>
  <si>
    <t>Рлин</t>
  </si>
  <si>
    <t>Рбуф</t>
  </si>
  <si>
    <t>Т, С</t>
  </si>
  <si>
    <t>Р, атм</t>
  </si>
  <si>
    <t xml:space="preserve"> </t>
  </si>
  <si>
    <t>Точки</t>
  </si>
  <si>
    <t>Измерения</t>
  </si>
  <si>
    <t>Расчеты</t>
  </si>
  <si>
    <t>Колонна</t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</si>
  <si>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cas </t>
    </r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</si>
  <si>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vert</t>
    </r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</si>
  <si>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mes</t>
    </r>
  </si>
  <si>
    <t>НКТ</t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</si>
  <si>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tub </t>
    </r>
  </si>
  <si>
    <t>Температура породы</t>
  </si>
  <si>
    <t>Набор корреляций</t>
  </si>
  <si>
    <t>С</t>
  </si>
  <si>
    <t>Расчетные свойства пластовых флюидов</t>
  </si>
  <si>
    <t>Свойства нефти при давлении насыщения</t>
  </si>
  <si>
    <t>При тек температуре</t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</si>
  <si>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</si>
  <si>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</t>
    </r>
  </si>
  <si>
    <r>
      <t>ρ</t>
    </r>
    <r>
      <rPr>
        <vertAlign val="subscript"/>
        <sz val="11"/>
        <color theme="1"/>
        <rFont val="Calibri"/>
        <family val="2"/>
        <charset val="204"/>
      </rPr>
      <t>ob</t>
    </r>
  </si>
  <si>
    <r>
      <t>кг/м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</si>
  <si>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μ</t>
    </r>
    <r>
      <rPr>
        <vertAlign val="subscript"/>
        <sz val="11"/>
        <color theme="1"/>
        <rFont val="Calibri"/>
        <family val="2"/>
        <charset val="204"/>
      </rPr>
      <t>ob</t>
    </r>
  </si>
  <si>
    <t>Свойства нефти при заданных условиях</t>
  </si>
  <si>
    <t>Свойства газа при заданных условиях</t>
  </si>
  <si>
    <t>Свойства воды при заданных условиях</t>
  </si>
  <si>
    <t>Расчет  для диаграммы рассогласованности данных</t>
  </si>
  <si>
    <t>Рассогласованность данных</t>
  </si>
  <si>
    <r>
      <t>ρ</t>
    </r>
    <r>
      <rPr>
        <vertAlign val="subscript"/>
        <sz val="11"/>
        <color theme="1"/>
        <rFont val="Calibri"/>
        <family val="2"/>
        <charset val="204"/>
      </rPr>
      <t>o sc</t>
    </r>
  </si>
  <si>
    <r>
      <t>ρ</t>
    </r>
    <r>
      <rPr>
        <vertAlign val="subscript"/>
        <sz val="11"/>
        <color theme="1"/>
        <rFont val="Calibri"/>
        <family val="2"/>
        <charset val="204"/>
      </rPr>
      <t>g sc</t>
    </r>
  </si>
  <si>
    <r>
      <t>ρ</t>
    </r>
    <r>
      <rPr>
        <vertAlign val="subscript"/>
        <sz val="11"/>
        <color theme="1"/>
        <rFont val="Calibri"/>
        <family val="2"/>
        <charset val="204"/>
      </rPr>
      <t>w sc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</si>
  <si>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o new </t>
    </r>
  </si>
  <si>
    <r>
      <t>С исх γ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g </t>
    </r>
  </si>
  <si>
    <r>
      <t>С эфф γ</t>
    </r>
    <r>
      <rPr>
        <vertAlign val="subscript"/>
        <sz val="11"/>
        <color theme="1"/>
        <rFont val="Calibri"/>
        <family val="2"/>
        <charset val="204"/>
        <scheme val="minor"/>
      </rPr>
      <t>g new</t>
    </r>
  </si>
  <si>
    <t>веса</t>
  </si>
  <si>
    <r>
      <t>μ</t>
    </r>
    <r>
      <rPr>
        <vertAlign val="subscript"/>
        <sz val="11"/>
        <color theme="1"/>
        <rFont val="Calibri"/>
        <family val="2"/>
        <charset val="204"/>
      </rPr>
      <t>o sc</t>
    </r>
  </si>
  <si>
    <r>
      <t>μ</t>
    </r>
    <r>
      <rPr>
        <vertAlign val="subscript"/>
        <sz val="11"/>
        <color theme="1"/>
        <rFont val="Calibri"/>
        <family val="2"/>
        <charset val="204"/>
      </rPr>
      <t>g sc</t>
    </r>
  </si>
  <si>
    <r>
      <t>μ</t>
    </r>
    <r>
      <rPr>
        <vertAlign val="subscript"/>
        <sz val="11"/>
        <color theme="1"/>
        <rFont val="Calibri"/>
        <family val="2"/>
        <charset val="204"/>
      </rPr>
      <t>w sc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</si>
  <si>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g new 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</si>
  <si>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</t>
    </r>
  </si>
  <si>
    <t>Z</t>
  </si>
  <si>
    <t>S</t>
  </si>
  <si>
    <t>Сумм откл</t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</si>
  <si>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</si>
  <si>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</si>
  <si>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</si>
  <si>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ρ</t>
    </r>
    <r>
      <rPr>
        <vertAlign val="subscript"/>
        <sz val="11"/>
        <color theme="1"/>
        <rFont val="Calibri"/>
        <family val="2"/>
        <charset val="204"/>
      </rPr>
      <t>o</t>
    </r>
  </si>
  <si>
    <r>
      <t>ρ</t>
    </r>
    <r>
      <rPr>
        <vertAlign val="subscript"/>
        <sz val="11"/>
        <color theme="1"/>
        <rFont val="Calibri"/>
        <family val="2"/>
        <charset val="204"/>
      </rPr>
      <t>g</t>
    </r>
  </si>
  <si>
    <r>
      <t>ρ</t>
    </r>
    <r>
      <rPr>
        <vertAlign val="subscript"/>
        <sz val="11"/>
        <color theme="1"/>
        <rFont val="Calibri"/>
        <family val="2"/>
        <charset val="204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</si>
  <si>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</si>
  <si>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μ</t>
    </r>
    <r>
      <rPr>
        <vertAlign val="subscript"/>
        <sz val="11"/>
        <color theme="1"/>
        <rFont val="Calibri"/>
        <family val="2"/>
        <charset val="204"/>
      </rPr>
      <t>o</t>
    </r>
  </si>
  <si>
    <r>
      <t>μ</t>
    </r>
    <r>
      <rPr>
        <vertAlign val="subscript"/>
        <sz val="11"/>
        <color theme="1"/>
        <rFont val="Calibri"/>
        <family val="2"/>
        <charset val="204"/>
      </rPr>
      <t>g</t>
    </r>
  </si>
  <si>
    <r>
      <t>μ</t>
    </r>
    <r>
      <rPr>
        <vertAlign val="subscript"/>
        <sz val="11"/>
        <color theme="1"/>
        <rFont val="Calibri"/>
        <family val="2"/>
        <charset val="204"/>
      </rPr>
      <t>w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</si>
  <si>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</si>
  <si>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</si>
  <si>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</si>
  <si>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</si>
  <si>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</si>
  <si>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</si>
  <si>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t>Свойства смеси при заданных условиях</t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</si>
  <si>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</si>
  <si>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ρ</t>
    </r>
    <r>
      <rPr>
        <vertAlign val="subscript"/>
        <sz val="11"/>
        <color theme="1"/>
        <rFont val="Calibri"/>
        <family val="2"/>
        <charset val="204"/>
      </rPr>
      <t>mix</t>
    </r>
  </si>
  <si>
    <r>
      <t>μ</t>
    </r>
    <r>
      <rPr>
        <vertAlign val="subscript"/>
        <sz val="11"/>
        <color theme="1"/>
        <rFont val="Calibri"/>
        <family val="2"/>
        <charset val="204"/>
      </rPr>
      <t>mix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</si>
  <si>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</si>
  <si>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</si>
  <si>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</si>
  <si>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t>Графики PVT свойств пластовых флюидов (от давления и температуры)</t>
  </si>
  <si>
    <t>Давление</t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</si>
  <si>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 sep</t>
    </r>
    <r>
      <rPr>
        <sz val="11"/>
        <color theme="1"/>
        <rFont val="Calibri"/>
        <family val="2"/>
        <charset val="204"/>
        <scheme val="minor"/>
      </rPr>
      <t xml:space="preserve"> 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</si>
  <si>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 sep</t>
    </r>
  </si>
  <si>
    <r>
      <t>ρ</t>
    </r>
    <r>
      <rPr>
        <vertAlign val="subscript"/>
        <sz val="11"/>
        <color theme="1"/>
        <rFont val="Calibri"/>
        <family val="2"/>
        <charset val="204"/>
      </rPr>
      <t>o sep</t>
    </r>
  </si>
  <si>
    <r>
      <t>μ</t>
    </r>
    <r>
      <rPr>
        <vertAlign val="subscript"/>
        <sz val="11"/>
        <color theme="1"/>
        <rFont val="Calibri"/>
        <family val="2"/>
        <charset val="204"/>
      </rPr>
      <t>o sep</t>
    </r>
  </si>
  <si>
    <t>Траектория</t>
  </si>
  <si>
    <t>hmes</t>
  </si>
  <si>
    <t>tamb</t>
  </si>
  <si>
    <t>hvert</t>
  </si>
  <si>
    <t>udl</t>
  </si>
  <si>
    <t>dcas</t>
  </si>
  <si>
    <t>dtub</t>
  </si>
  <si>
    <t>PVT корреляция</t>
  </si>
  <si>
    <t>Гидравлическая корреляция</t>
  </si>
  <si>
    <t>Расчет температуры</t>
  </si>
  <si>
    <t>0 - Стендинг</t>
  </si>
  <si>
    <t>1 - Маккейн</t>
  </si>
  <si>
    <t>0 - Беггс Брил</t>
  </si>
  <si>
    <t>1 - Ансари</t>
  </si>
  <si>
    <t>2 - Унифицированная</t>
  </si>
  <si>
    <t>3 - Грей</t>
  </si>
  <si>
    <t>4 - Хайгедорн Браун</t>
  </si>
  <si>
    <t>5 - Сахаров Мохов</t>
  </si>
  <si>
    <t>Набор PVT корреляций</t>
  </si>
  <si>
    <t>Набор гидравлических корреляций</t>
  </si>
  <si>
    <t>Методы расчета температуры</t>
  </si>
  <si>
    <t>2 - Учет теплопотерь</t>
  </si>
  <si>
    <t>Подстройка гидр корреляций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</si>
  <si>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bh</t>
    </r>
  </si>
  <si>
    <r>
      <rPr>
        <sz val="11"/>
        <color theme="1"/>
        <rFont val="Calibri"/>
        <family val="2"/>
        <charset val="204"/>
      </rPr>
      <t>β</t>
    </r>
    <r>
      <rPr>
        <vertAlign val="subscript"/>
        <sz val="11"/>
        <color theme="1"/>
        <rFont val="Calibri"/>
        <family val="2"/>
        <charset val="204"/>
        <scheme val="minor"/>
      </rPr>
      <t>gr</t>
    </r>
  </si>
  <si>
    <r>
      <rPr>
        <sz val="11"/>
        <color theme="1"/>
        <rFont val="Calibri"/>
        <family val="2"/>
        <charset val="204"/>
      </rPr>
      <t>β</t>
    </r>
    <r>
      <rPr>
        <vertAlign val="subscript"/>
        <sz val="11"/>
        <color theme="1"/>
        <rFont val="Calibri"/>
        <family val="2"/>
        <charset val="204"/>
        <scheme val="minor"/>
      </rPr>
      <t>fr</t>
    </r>
  </si>
  <si>
    <t>Данные потока</t>
  </si>
  <si>
    <t>0 - Линейное</t>
  </si>
  <si>
    <t>Набор расчетных модулей по производительности скважин</t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</si>
  <si>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 corr</t>
    </r>
    <r>
      <rPr>
        <sz val="11"/>
        <color theme="1"/>
        <rFont val="Calibri"/>
        <family val="2"/>
        <charset val="204"/>
        <scheme val="minor"/>
      </rPr>
      <t xml:space="preserve"> 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</si>
  <si>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 corr</t>
    </r>
  </si>
  <si>
    <r>
      <t>ρ</t>
    </r>
    <r>
      <rPr>
        <vertAlign val="subscript"/>
        <sz val="11"/>
        <color theme="1"/>
        <rFont val="Calibri"/>
        <family val="2"/>
        <charset val="204"/>
      </rPr>
      <t>o corr</t>
    </r>
  </si>
  <si>
    <r>
      <t>μ</t>
    </r>
    <r>
      <rPr>
        <vertAlign val="subscript"/>
        <sz val="11"/>
        <color theme="1"/>
        <rFont val="Calibri"/>
        <family val="2"/>
        <charset val="204"/>
      </rPr>
      <t>o corr</t>
    </r>
  </si>
  <si>
    <r>
      <rPr>
        <sz val="11"/>
        <color theme="1"/>
        <rFont val="Calibri"/>
        <family val="2"/>
        <charset val="204"/>
        <scheme val="minor"/>
      </rPr>
      <t>β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</si>
  <si>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β</t>
    </r>
    <r>
      <rPr>
        <vertAlign val="subscript"/>
        <sz val="11"/>
        <color theme="1"/>
        <rFont val="Calibri"/>
        <family val="2"/>
        <charset val="204"/>
        <scheme val="minor"/>
      </rPr>
      <t>g sep</t>
    </r>
  </si>
  <si>
    <r>
      <t>β</t>
    </r>
    <r>
      <rPr>
        <vertAlign val="subscript"/>
        <sz val="11"/>
        <color theme="1"/>
        <rFont val="Calibri"/>
        <family val="2"/>
        <charset val="204"/>
        <scheme val="minor"/>
      </rPr>
      <t>g corr</t>
    </r>
  </si>
  <si>
    <t>1 - Табличные значения температуры</t>
  </si>
  <si>
    <t>Глубина</t>
  </si>
  <si>
    <t>Точка давления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</si>
</sst>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3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vertAlign val="superscript"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0" tint="-0.499984740745262"/>
      <name val="Calibri"/>
      <family val="2"/>
      <charset val="204"/>
      <scheme val="minor"/>
    </font>
    <font>
      <sz val="11"/>
      <color theme="0" tint="-0.249977111117893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vertAlign val="subscript"/>
      <sz val="11"/>
      <color rgb="FF000000"/>
      <name val="Calibri"/>
      <family val="2"/>
      <charset val="204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66">
    <xf numFmtId="0" fontId="0" fillId="0" borderId="0" xfId="0"/>
    <xf numFmtId="0" fontId="0" fillId="0" borderId="0" xfId="0" applyAlignment="1">
      <alignment wrapText="1"/>
    </xf>
    <xf numFmtId="0" fontId="0" fillId="3" borderId="0" xfId="0" applyFill="1"/>
    <xf numFmtId="0" fontId="1" fillId="3" borderId="0" xfId="0" applyFont="1" applyFill="1" applyAlignment="1">
      <alignment horizontal="left" vertical="center"/>
    </xf>
    <xf numFmtId="0" fontId="1" fillId="3" borderId="0" xfId="0" applyFont="1" applyFill="1" applyAlignment="1">
      <alignment horizontal="left"/>
    </xf>
    <xf numFmtId="0" fontId="0" fillId="3" borderId="0" xfId="0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 wrapText="1"/>
    </xf>
    <xf numFmtId="0" fontId="4" fillId="3" borderId="0" xfId="0" applyFont="1" applyFill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wrapText="1"/>
    </xf>
    <xf numFmtId="0" fontId="0" fillId="0" borderId="0" xfId="0" applyAlignment="1">
      <alignment horizontal="center"/>
    </xf>
    <xf numFmtId="164" fontId="0" fillId="3" borderId="0" xfId="0" applyNumberFormat="1" applyFill="1" applyAlignment="1">
      <alignment horizontal="center" vertical="center" wrapText="1"/>
    </xf>
    <xf numFmtId="1" fontId="0" fillId="3" borderId="0" xfId="0" applyNumberFormat="1" applyFill="1" applyAlignment="1">
      <alignment horizontal="center" vertical="center" wrapText="1"/>
    </xf>
    <xf numFmtId="0" fontId="0" fillId="3" borderId="0" xfId="0" applyFill="1" applyAlignment="1">
      <alignment horizontal="center"/>
    </xf>
    <xf numFmtId="0" fontId="0" fillId="3" borderId="0" xfId="0" applyFill="1" applyAlignment="1">
      <alignment horizontal="center"/>
    </xf>
    <xf numFmtId="1" fontId="0" fillId="0" borderId="0" xfId="0" applyNumberFormat="1" applyAlignment="1">
      <alignment horizontal="center" vertical="center"/>
    </xf>
    <xf numFmtId="0" fontId="0" fillId="3" borderId="0" xfId="0" applyFill="1" applyAlignment="1">
      <alignment horizontal="center"/>
    </xf>
    <xf numFmtId="0" fontId="0" fillId="2" borderId="0" xfId="0" applyFill="1"/>
    <xf numFmtId="0" fontId="1" fillId="3" borderId="0" xfId="0" applyFont="1" applyFill="1"/>
    <xf numFmtId="1" fontId="0" fillId="2" borderId="0" xfId="0" applyNumberFormat="1" applyFill="1" applyAlignment="1">
      <alignment horizontal="center" vertical="center"/>
    </xf>
    <xf numFmtId="0" fontId="0" fillId="3" borderId="0" xfId="0" applyFill="1" applyAlignment="1">
      <alignment horizontal="center"/>
    </xf>
    <xf numFmtId="0" fontId="1" fillId="0" borderId="1" xfId="0" applyFont="1" applyBorder="1" applyAlignment="1">
      <alignment horizontal="left" vertical="center"/>
    </xf>
    <xf numFmtId="0" fontId="0" fillId="0" borderId="1" xfId="0" applyBorder="1"/>
    <xf numFmtId="0" fontId="0" fillId="0" borderId="1" xfId="0" applyBorder="1" applyAlignment="1">
      <alignment wrapText="1"/>
    </xf>
    <xf numFmtId="0" fontId="0" fillId="3" borderId="0" xfId="0" applyFill="1" applyAlignment="1"/>
    <xf numFmtId="1" fontId="0" fillId="4" borderId="0" xfId="0" applyNumberFormat="1" applyFill="1" applyAlignment="1">
      <alignment horizontal="center" vertical="center"/>
    </xf>
    <xf numFmtId="1" fontId="0" fillId="4" borderId="0" xfId="0" applyNumberFormat="1" applyFill="1" applyAlignment="1">
      <alignment horizontal="center" vertical="center" wrapText="1"/>
    </xf>
    <xf numFmtId="0" fontId="0" fillId="4" borderId="0" xfId="0" applyFill="1" applyAlignment="1">
      <alignment horizontal="center" vertical="center"/>
    </xf>
    <xf numFmtId="1" fontId="0" fillId="4" borderId="0" xfId="0" applyNumberFormat="1" applyFill="1" applyAlignment="1">
      <alignment horizontal="center" wrapText="1"/>
    </xf>
    <xf numFmtId="2" fontId="0" fillId="4" borderId="0" xfId="0" applyNumberFormat="1" applyFill="1" applyAlignment="1">
      <alignment horizontal="center" vertical="center"/>
    </xf>
    <xf numFmtId="164" fontId="0" fillId="4" borderId="0" xfId="0" applyNumberFormat="1" applyFill="1" applyAlignment="1">
      <alignment horizontal="center" vertical="center"/>
    </xf>
    <xf numFmtId="0" fontId="9" fillId="3" borderId="0" xfId="0" applyFont="1" applyFill="1"/>
    <xf numFmtId="0" fontId="0" fillId="3" borderId="0" xfId="0" applyFill="1" applyBorder="1"/>
    <xf numFmtId="1" fontId="9" fillId="3" borderId="0" xfId="0" applyNumberFormat="1" applyFont="1" applyFill="1" applyAlignment="1">
      <alignment horizontal="center" vertical="center"/>
    </xf>
    <xf numFmtId="9" fontId="9" fillId="3" borderId="0" xfId="1" applyFont="1" applyFill="1" applyAlignment="1">
      <alignment horizontal="center" vertical="center"/>
    </xf>
    <xf numFmtId="0" fontId="9" fillId="0" borderId="0" xfId="0" applyFont="1"/>
    <xf numFmtId="0" fontId="0" fillId="3" borderId="0" xfId="0" applyFill="1" applyBorder="1" applyAlignment="1">
      <alignment horizontal="center" vertical="center"/>
    </xf>
    <xf numFmtId="2" fontId="0" fillId="5" borderId="0" xfId="0" applyNumberFormat="1" applyFill="1" applyBorder="1" applyAlignment="1">
      <alignment horizontal="center" vertical="center"/>
    </xf>
    <xf numFmtId="9" fontId="0" fillId="3" borderId="0" xfId="0" applyNumberFormat="1" applyFill="1"/>
    <xf numFmtId="9" fontId="0" fillId="3" borderId="0" xfId="1" applyFont="1" applyFill="1"/>
    <xf numFmtId="0" fontId="0" fillId="5" borderId="0" xfId="0" applyNumberFormat="1" applyFill="1" applyBorder="1" applyAlignment="1">
      <alignment horizontal="center" vertical="center"/>
    </xf>
    <xf numFmtId="1" fontId="9" fillId="3" borderId="0" xfId="0" applyNumberFormat="1" applyFont="1" applyFill="1" applyBorder="1" applyAlignment="1">
      <alignment horizontal="center" vertical="center"/>
    </xf>
    <xf numFmtId="9" fontId="9" fillId="3" borderId="0" xfId="1" applyFont="1" applyFill="1" applyBorder="1" applyAlignment="1">
      <alignment horizontal="center" vertical="center"/>
    </xf>
    <xf numFmtId="0" fontId="0" fillId="3" borderId="0" xfId="0" applyFill="1" applyBorder="1" applyAlignment="1">
      <alignment horizontal="left" vertical="center"/>
    </xf>
    <xf numFmtId="10" fontId="0" fillId="3" borderId="0" xfId="1" applyNumberFormat="1" applyFont="1" applyFill="1" applyBorder="1" applyAlignment="1">
      <alignment horizontal="center" vertical="center"/>
    </xf>
    <xf numFmtId="2" fontId="9" fillId="3" borderId="0" xfId="0" applyNumberFormat="1" applyFont="1" applyFill="1" applyAlignment="1">
      <alignment horizontal="center" vertical="center"/>
    </xf>
    <xf numFmtId="2" fontId="9" fillId="3" borderId="0" xfId="0" applyNumberFormat="1" applyFont="1" applyFill="1" applyBorder="1" applyAlignment="1">
      <alignment horizontal="center" vertical="center"/>
    </xf>
    <xf numFmtId="164" fontId="9" fillId="3" borderId="0" xfId="0" applyNumberFormat="1" applyFont="1" applyFill="1" applyAlignment="1">
      <alignment horizontal="center" vertical="center"/>
    </xf>
    <xf numFmtId="164" fontId="9" fillId="3" borderId="0" xfId="0" applyNumberFormat="1" applyFont="1" applyFill="1" applyBorder="1" applyAlignment="1">
      <alignment horizontal="center" vertical="center"/>
    </xf>
    <xf numFmtId="165" fontId="0" fillId="4" borderId="0" xfId="0" applyNumberFormat="1" applyFill="1" applyAlignment="1">
      <alignment horizontal="center" vertical="center"/>
    </xf>
    <xf numFmtId="2" fontId="0" fillId="4" borderId="0" xfId="0" applyNumberFormat="1" applyFill="1" applyAlignment="1">
      <alignment horizontal="center"/>
    </xf>
    <xf numFmtId="0" fontId="1" fillId="0" borderId="1" xfId="0" applyFont="1" applyBorder="1"/>
    <xf numFmtId="0" fontId="9" fillId="0" borderId="1" xfId="0" applyFont="1" applyBorder="1"/>
    <xf numFmtId="0" fontId="10" fillId="0" borderId="0" xfId="0" applyFont="1" applyAlignment="1">
      <alignment horizontal="center"/>
    </xf>
    <xf numFmtId="0" fontId="10" fillId="6" borderId="0" xfId="0" applyFont="1" applyFill="1" applyAlignment="1">
      <alignment horizontal="center"/>
    </xf>
    <xf numFmtId="0" fontId="0" fillId="7" borderId="0" xfId="0" applyFill="1" applyAlignment="1">
      <alignment horizontal="center"/>
    </xf>
    <xf numFmtId="1" fontId="0" fillId="7" borderId="0" xfId="0" applyNumberFormat="1" applyFill="1" applyAlignment="1">
      <alignment horizontal="center"/>
    </xf>
    <xf numFmtId="164" fontId="1" fillId="7" borderId="0" xfId="0" applyNumberFormat="1" applyFont="1" applyFill="1" applyAlignment="1">
      <alignment horizontal="center"/>
    </xf>
    <xf numFmtId="0" fontId="0" fillId="2" borderId="0" xfId="0" applyFill="1" applyAlignment="1">
      <alignment wrapText="1"/>
    </xf>
    <xf numFmtId="1" fontId="0" fillId="2" borderId="1" xfId="0" applyNumberFormat="1" applyFill="1" applyBorder="1" applyAlignment="1">
      <alignment horizontal="center" vertical="center"/>
    </xf>
    <xf numFmtId="0" fontId="0" fillId="3" borderId="0" xfId="0" applyFont="1" applyFill="1" applyAlignment="1">
      <alignment horizontal="center" vertical="center"/>
    </xf>
    <xf numFmtId="1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0" fontId="0" fillId="3" borderId="0" xfId="0" applyFill="1" applyAlignment="1">
      <alignment horizontal="center" wrapText="1"/>
    </xf>
    <xf numFmtId="0" fontId="0" fillId="3" borderId="0" xfId="0" applyFill="1" applyAlignment="1">
      <alignment horizontal="center"/>
    </xf>
  </cellXfs>
  <cellStyles count="2">
    <cellStyle name="Обычный" xfId="0" builtinId="0"/>
    <cellStyle name="Процентный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Газосодержание в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PVT!$D$58</c:f>
              <c:strCache>
                <c:ptCount val="1"/>
                <c:pt idx="0">
                  <c:v>Rs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10.807837567030385</c:v>
                </c:pt>
                <c:pt idx="2">
                  <c:v>20.615675134060769</c:v>
                </c:pt>
                <c:pt idx="3">
                  <c:v>30.423512701091155</c:v>
                </c:pt>
                <c:pt idx="4">
                  <c:v>40.231350268121538</c:v>
                </c:pt>
                <c:pt idx="5">
                  <c:v>50.039187835151921</c:v>
                </c:pt>
                <c:pt idx="6">
                  <c:v>59.847025402182304</c:v>
                </c:pt>
                <c:pt idx="7">
                  <c:v>69.654862969212687</c:v>
                </c:pt>
                <c:pt idx="8">
                  <c:v>79.462700536243076</c:v>
                </c:pt>
                <c:pt idx="9">
                  <c:v>89.270538103273466</c:v>
                </c:pt>
                <c:pt idx="10">
                  <c:v>99.078375670303856</c:v>
                </c:pt>
                <c:pt idx="11">
                  <c:v>108.88621323733425</c:v>
                </c:pt>
                <c:pt idx="12">
                  <c:v>118.69405080436464</c:v>
                </c:pt>
                <c:pt idx="13">
                  <c:v>128.50188837139501</c:v>
                </c:pt>
                <c:pt idx="14">
                  <c:v>138.3097259384254</c:v>
                </c:pt>
                <c:pt idx="15">
                  <c:v>148.11756350545579</c:v>
                </c:pt>
                <c:pt idx="16">
                  <c:v>157.92540107248618</c:v>
                </c:pt>
                <c:pt idx="17">
                  <c:v>167.73323863951657</c:v>
                </c:pt>
                <c:pt idx="18">
                  <c:v>177.54107620654696</c:v>
                </c:pt>
                <c:pt idx="19">
                  <c:v>187.34891377357735</c:v>
                </c:pt>
                <c:pt idx="20">
                  <c:v>197.15675134060768</c:v>
                </c:pt>
                <c:pt idx="21">
                  <c:v>202.29891377357731</c:v>
                </c:pt>
                <c:pt idx="22">
                  <c:v>207.44107620654694</c:v>
                </c:pt>
                <c:pt idx="23">
                  <c:v>212.58323863951657</c:v>
                </c:pt>
                <c:pt idx="24">
                  <c:v>217.72540107248619</c:v>
                </c:pt>
                <c:pt idx="25">
                  <c:v>222.86756350545582</c:v>
                </c:pt>
                <c:pt idx="26">
                  <c:v>228.00972593842545</c:v>
                </c:pt>
                <c:pt idx="27">
                  <c:v>233.15188837139507</c:v>
                </c:pt>
                <c:pt idx="28">
                  <c:v>238.2940508043647</c:v>
                </c:pt>
                <c:pt idx="29">
                  <c:v>243.43621323733433</c:v>
                </c:pt>
                <c:pt idx="30">
                  <c:v>248.57837567030396</c:v>
                </c:pt>
                <c:pt idx="31">
                  <c:v>253.72053810327358</c:v>
                </c:pt>
                <c:pt idx="32">
                  <c:v>258.86270053624321</c:v>
                </c:pt>
                <c:pt idx="33">
                  <c:v>264.00486296921281</c:v>
                </c:pt>
                <c:pt idx="34">
                  <c:v>269.14702540218241</c:v>
                </c:pt>
                <c:pt idx="35">
                  <c:v>274.28918783515201</c:v>
                </c:pt>
                <c:pt idx="36">
                  <c:v>279.43135026812161</c:v>
                </c:pt>
                <c:pt idx="37">
                  <c:v>284.5735127010912</c:v>
                </c:pt>
                <c:pt idx="38">
                  <c:v>289.7156751340608</c:v>
                </c:pt>
                <c:pt idx="39">
                  <c:v>294.8578375670304</c:v>
                </c:pt>
                <c:pt idx="40">
                  <c:v>300</c:v>
                </c:pt>
              </c:numCache>
            </c:numRef>
          </c:xVal>
          <c:yVal>
            <c:numRef>
              <c:f>PVT!$D$59:$D$99</c:f>
              <c:numCache>
                <c:formatCode>General</c:formatCode>
                <c:ptCount val="41"/>
                <c:pt idx="0">
                  <c:v>0.22302199258814231</c:v>
                </c:pt>
                <c:pt idx="1">
                  <c:v>3.9171411187132152</c:v>
                </c:pt>
                <c:pt idx="2">
                  <c:v>8.5239630062617433</c:v>
                </c:pt>
                <c:pt idx="3">
                  <c:v>13.618577814848402</c:v>
                </c:pt>
                <c:pt idx="4">
                  <c:v>19.065292857917989</c:v>
                </c:pt>
                <c:pt idx="5">
                  <c:v>24.792323800683441</c:v>
                </c:pt>
                <c:pt idx="6">
                  <c:v>30.754377808332812</c:v>
                </c:pt>
                <c:pt idx="7">
                  <c:v>36.919960531684509</c:v>
                </c:pt>
                <c:pt idx="8">
                  <c:v>43.265759267328114</c:v>
                </c:pt>
                <c:pt idx="9">
                  <c:v>49.773743733538367</c:v>
                </c:pt>
                <c:pt idx="10">
                  <c:v>56.429507615623692</c:v>
                </c:pt>
                <c:pt idx="11">
                  <c:v>63.221246840020797</c:v>
                </c:pt>
                <c:pt idx="12">
                  <c:v>70.139093658051422</c:v>
                </c:pt>
                <c:pt idx="13">
                  <c:v>77.174662959514549</c:v>
                </c:pt>
                <c:pt idx="14">
                  <c:v>84.320731892097271</c:v>
                </c:pt>
                <c:pt idx="15">
                  <c:v>91.571006811155542</c:v>
                </c:pt>
                <c:pt idx="16">
                  <c:v>98.919949476008185</c:v>
                </c:pt>
                <c:pt idx="17">
                  <c:v>106.36264464474959</c:v>
                </c:pt>
                <c:pt idx="18">
                  <c:v>113.8946973372466</c:v>
                </c:pt>
                <c:pt idx="19">
                  <c:v>121.51215183090807</c:v>
                </c:pt>
                <c:pt idx="20">
                  <c:v>129.21142688461711</c:v>
                </c:pt>
                <c:pt idx="21">
                  <c:v>130</c:v>
                </c:pt>
                <c:pt idx="22">
                  <c:v>130</c:v>
                </c:pt>
                <c:pt idx="23">
                  <c:v>130</c:v>
                </c:pt>
                <c:pt idx="24">
                  <c:v>130</c:v>
                </c:pt>
                <c:pt idx="25">
                  <c:v>130</c:v>
                </c:pt>
                <c:pt idx="26">
                  <c:v>130</c:v>
                </c:pt>
                <c:pt idx="27">
                  <c:v>130</c:v>
                </c:pt>
                <c:pt idx="28">
                  <c:v>130</c:v>
                </c:pt>
                <c:pt idx="29">
                  <c:v>130</c:v>
                </c:pt>
                <c:pt idx="30">
                  <c:v>130</c:v>
                </c:pt>
                <c:pt idx="31">
                  <c:v>130</c:v>
                </c:pt>
                <c:pt idx="32">
                  <c:v>130</c:v>
                </c:pt>
                <c:pt idx="33">
                  <c:v>130</c:v>
                </c:pt>
                <c:pt idx="34">
                  <c:v>130</c:v>
                </c:pt>
                <c:pt idx="35">
                  <c:v>130</c:v>
                </c:pt>
                <c:pt idx="36">
                  <c:v>130</c:v>
                </c:pt>
                <c:pt idx="37">
                  <c:v>130</c:v>
                </c:pt>
                <c:pt idx="38">
                  <c:v>130</c:v>
                </c:pt>
                <c:pt idx="39">
                  <c:v>130</c:v>
                </c:pt>
                <c:pt idx="40">
                  <c:v>130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9EF-4D95-A969-579123DA2F9A}"/>
            </c:ext>
          </c:extLst>
        </c:ser>
        <c:ser>
          <c:idx val="1"/>
          <c:order val="1"/>
          <c:tx>
            <c:strRef>
              <c:f>PVT!$E$58</c:f>
              <c:strCache>
                <c:ptCount val="1"/>
                <c:pt idx="0">
                  <c:v>Rs sep 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10.807837567030385</c:v>
                </c:pt>
                <c:pt idx="2">
                  <c:v>20.615675134060769</c:v>
                </c:pt>
                <c:pt idx="3">
                  <c:v>30.423512701091155</c:v>
                </c:pt>
                <c:pt idx="4">
                  <c:v>40.231350268121538</c:v>
                </c:pt>
                <c:pt idx="5">
                  <c:v>50.039187835151921</c:v>
                </c:pt>
                <c:pt idx="6">
                  <c:v>59.847025402182304</c:v>
                </c:pt>
                <c:pt idx="7">
                  <c:v>69.654862969212687</c:v>
                </c:pt>
                <c:pt idx="8">
                  <c:v>79.462700536243076</c:v>
                </c:pt>
                <c:pt idx="9">
                  <c:v>89.270538103273466</c:v>
                </c:pt>
                <c:pt idx="10">
                  <c:v>99.078375670303856</c:v>
                </c:pt>
                <c:pt idx="11">
                  <c:v>108.88621323733425</c:v>
                </c:pt>
                <c:pt idx="12">
                  <c:v>118.69405080436464</c:v>
                </c:pt>
                <c:pt idx="13">
                  <c:v>128.50188837139501</c:v>
                </c:pt>
                <c:pt idx="14">
                  <c:v>138.3097259384254</c:v>
                </c:pt>
                <c:pt idx="15">
                  <c:v>148.11756350545579</c:v>
                </c:pt>
                <c:pt idx="16">
                  <c:v>157.92540107248618</c:v>
                </c:pt>
                <c:pt idx="17">
                  <c:v>167.73323863951657</c:v>
                </c:pt>
                <c:pt idx="18">
                  <c:v>177.54107620654696</c:v>
                </c:pt>
                <c:pt idx="19">
                  <c:v>187.34891377357735</c:v>
                </c:pt>
                <c:pt idx="20">
                  <c:v>197.15675134060768</c:v>
                </c:pt>
                <c:pt idx="21">
                  <c:v>202.29891377357731</c:v>
                </c:pt>
                <c:pt idx="22">
                  <c:v>207.44107620654694</c:v>
                </c:pt>
                <c:pt idx="23">
                  <c:v>212.58323863951657</c:v>
                </c:pt>
                <c:pt idx="24">
                  <c:v>217.72540107248619</c:v>
                </c:pt>
                <c:pt idx="25">
                  <c:v>222.86756350545582</c:v>
                </c:pt>
                <c:pt idx="26">
                  <c:v>228.00972593842545</c:v>
                </c:pt>
                <c:pt idx="27">
                  <c:v>233.15188837139507</c:v>
                </c:pt>
                <c:pt idx="28">
                  <c:v>238.2940508043647</c:v>
                </c:pt>
                <c:pt idx="29">
                  <c:v>243.43621323733433</c:v>
                </c:pt>
                <c:pt idx="30">
                  <c:v>248.57837567030396</c:v>
                </c:pt>
                <c:pt idx="31">
                  <c:v>253.72053810327358</c:v>
                </c:pt>
                <c:pt idx="32">
                  <c:v>258.86270053624321</c:v>
                </c:pt>
                <c:pt idx="33">
                  <c:v>264.00486296921281</c:v>
                </c:pt>
                <c:pt idx="34">
                  <c:v>269.14702540218241</c:v>
                </c:pt>
                <c:pt idx="35">
                  <c:v>274.28918783515201</c:v>
                </c:pt>
                <c:pt idx="36">
                  <c:v>279.43135026812161</c:v>
                </c:pt>
                <c:pt idx="37">
                  <c:v>284.5735127010912</c:v>
                </c:pt>
                <c:pt idx="38">
                  <c:v>289.7156751340608</c:v>
                </c:pt>
                <c:pt idx="39">
                  <c:v>294.8578375670304</c:v>
                </c:pt>
                <c:pt idx="40">
                  <c:v>300</c:v>
                </c:pt>
              </c:numCache>
            </c:numRef>
          </c:xVal>
          <c:yVal>
            <c:numRef>
              <c:f>PVT!$E$59:$E$99</c:f>
              <c:numCache>
                <c:formatCode>General</c:formatCode>
                <c:ptCount val="41"/>
                <c:pt idx="0">
                  <c:v>0.22302199258814231</c:v>
                </c:pt>
                <c:pt idx="1">
                  <c:v>3.9171411187132152</c:v>
                </c:pt>
                <c:pt idx="2">
                  <c:v>8.5239630062617433</c:v>
                </c:pt>
                <c:pt idx="3">
                  <c:v>13.618577814848402</c:v>
                </c:pt>
                <c:pt idx="4">
                  <c:v>19.065292857917989</c:v>
                </c:pt>
                <c:pt idx="5">
                  <c:v>24.792323800683441</c:v>
                </c:pt>
                <c:pt idx="6">
                  <c:v>30.754377808332812</c:v>
                </c:pt>
                <c:pt idx="7">
                  <c:v>36.919960531684509</c:v>
                </c:pt>
                <c:pt idx="8">
                  <c:v>43.265759267328114</c:v>
                </c:pt>
                <c:pt idx="9">
                  <c:v>49.773743733538367</c:v>
                </c:pt>
                <c:pt idx="10">
                  <c:v>56.429507615623692</c:v>
                </c:pt>
                <c:pt idx="11">
                  <c:v>63.221246840020797</c:v>
                </c:pt>
                <c:pt idx="12">
                  <c:v>70.139093658051422</c:v>
                </c:pt>
                <c:pt idx="13">
                  <c:v>77.174662959514549</c:v>
                </c:pt>
                <c:pt idx="14">
                  <c:v>84.320731892097271</c:v>
                </c:pt>
                <c:pt idx="15">
                  <c:v>91.571006811155542</c:v>
                </c:pt>
                <c:pt idx="16">
                  <c:v>98.919949476008185</c:v>
                </c:pt>
                <c:pt idx="17">
                  <c:v>106.36264464474959</c:v>
                </c:pt>
                <c:pt idx="18">
                  <c:v>113.8946973372466</c:v>
                </c:pt>
                <c:pt idx="19">
                  <c:v>121.51215183090807</c:v>
                </c:pt>
                <c:pt idx="20">
                  <c:v>129.21142688461711</c:v>
                </c:pt>
                <c:pt idx="21">
                  <c:v>130</c:v>
                </c:pt>
                <c:pt idx="22">
                  <c:v>130</c:v>
                </c:pt>
                <c:pt idx="23">
                  <c:v>130</c:v>
                </c:pt>
                <c:pt idx="24">
                  <c:v>130</c:v>
                </c:pt>
                <c:pt idx="25">
                  <c:v>130</c:v>
                </c:pt>
                <c:pt idx="26">
                  <c:v>130</c:v>
                </c:pt>
                <c:pt idx="27">
                  <c:v>130</c:v>
                </c:pt>
                <c:pt idx="28">
                  <c:v>130</c:v>
                </c:pt>
                <c:pt idx="29">
                  <c:v>130</c:v>
                </c:pt>
                <c:pt idx="30">
                  <c:v>130</c:v>
                </c:pt>
                <c:pt idx="31">
                  <c:v>130</c:v>
                </c:pt>
                <c:pt idx="32">
                  <c:v>130</c:v>
                </c:pt>
                <c:pt idx="33">
                  <c:v>130</c:v>
                </c:pt>
                <c:pt idx="34">
                  <c:v>130</c:v>
                </c:pt>
                <c:pt idx="35">
                  <c:v>130</c:v>
                </c:pt>
                <c:pt idx="36">
                  <c:v>130</c:v>
                </c:pt>
                <c:pt idx="37">
                  <c:v>130</c:v>
                </c:pt>
                <c:pt idx="38">
                  <c:v>130</c:v>
                </c:pt>
                <c:pt idx="39">
                  <c:v>130</c:v>
                </c:pt>
                <c:pt idx="40">
                  <c:v>130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9EF-4D95-A969-579123DA2F9A}"/>
            </c:ext>
          </c:extLst>
        </c:ser>
        <c:ser>
          <c:idx val="2"/>
          <c:order val="2"/>
          <c:tx>
            <c:strRef>
              <c:f>PVT!$F$58</c:f>
              <c:strCache>
                <c:ptCount val="1"/>
                <c:pt idx="0">
                  <c:v>Rs corr 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10.807837567030385</c:v>
                </c:pt>
                <c:pt idx="2">
                  <c:v>20.615675134060769</c:v>
                </c:pt>
                <c:pt idx="3">
                  <c:v>30.423512701091155</c:v>
                </c:pt>
                <c:pt idx="4">
                  <c:v>40.231350268121538</c:v>
                </c:pt>
                <c:pt idx="5">
                  <c:v>50.039187835151921</c:v>
                </c:pt>
                <c:pt idx="6">
                  <c:v>59.847025402182304</c:v>
                </c:pt>
                <c:pt idx="7">
                  <c:v>69.654862969212687</c:v>
                </c:pt>
                <c:pt idx="8">
                  <c:v>79.462700536243076</c:v>
                </c:pt>
                <c:pt idx="9">
                  <c:v>89.270538103273466</c:v>
                </c:pt>
                <c:pt idx="10">
                  <c:v>99.078375670303856</c:v>
                </c:pt>
                <c:pt idx="11">
                  <c:v>108.88621323733425</c:v>
                </c:pt>
                <c:pt idx="12">
                  <c:v>118.69405080436464</c:v>
                </c:pt>
                <c:pt idx="13">
                  <c:v>128.50188837139501</c:v>
                </c:pt>
                <c:pt idx="14">
                  <c:v>138.3097259384254</c:v>
                </c:pt>
                <c:pt idx="15">
                  <c:v>148.11756350545579</c:v>
                </c:pt>
                <c:pt idx="16">
                  <c:v>157.92540107248618</c:v>
                </c:pt>
                <c:pt idx="17">
                  <c:v>167.73323863951657</c:v>
                </c:pt>
                <c:pt idx="18">
                  <c:v>177.54107620654696</c:v>
                </c:pt>
                <c:pt idx="19">
                  <c:v>187.34891377357735</c:v>
                </c:pt>
                <c:pt idx="20">
                  <c:v>197.15675134060768</c:v>
                </c:pt>
                <c:pt idx="21">
                  <c:v>202.29891377357731</c:v>
                </c:pt>
                <c:pt idx="22">
                  <c:v>207.44107620654694</c:v>
                </c:pt>
                <c:pt idx="23">
                  <c:v>212.58323863951657</c:v>
                </c:pt>
                <c:pt idx="24">
                  <c:v>217.72540107248619</c:v>
                </c:pt>
                <c:pt idx="25">
                  <c:v>222.86756350545582</c:v>
                </c:pt>
                <c:pt idx="26">
                  <c:v>228.00972593842545</c:v>
                </c:pt>
                <c:pt idx="27">
                  <c:v>233.15188837139507</c:v>
                </c:pt>
                <c:pt idx="28">
                  <c:v>238.2940508043647</c:v>
                </c:pt>
                <c:pt idx="29">
                  <c:v>243.43621323733433</c:v>
                </c:pt>
                <c:pt idx="30">
                  <c:v>248.57837567030396</c:v>
                </c:pt>
                <c:pt idx="31">
                  <c:v>253.72053810327358</c:v>
                </c:pt>
                <c:pt idx="32">
                  <c:v>258.86270053624321</c:v>
                </c:pt>
                <c:pt idx="33">
                  <c:v>264.00486296921281</c:v>
                </c:pt>
                <c:pt idx="34">
                  <c:v>269.14702540218241</c:v>
                </c:pt>
                <c:pt idx="35">
                  <c:v>274.28918783515201</c:v>
                </c:pt>
                <c:pt idx="36">
                  <c:v>279.43135026812161</c:v>
                </c:pt>
                <c:pt idx="37">
                  <c:v>284.5735127010912</c:v>
                </c:pt>
                <c:pt idx="38">
                  <c:v>289.7156751340608</c:v>
                </c:pt>
                <c:pt idx="39">
                  <c:v>294.8578375670304</c:v>
                </c:pt>
                <c:pt idx="40">
                  <c:v>300</c:v>
                </c:pt>
              </c:numCache>
            </c:numRef>
          </c:xVal>
          <c:yVal>
            <c:numRef>
              <c:f>PVT!$F$59:$F$99</c:f>
              <c:numCache>
                <c:formatCode>General</c:formatCode>
                <c:ptCount val="41"/>
                <c:pt idx="0">
                  <c:v>0.22302199258814231</c:v>
                </c:pt>
                <c:pt idx="1">
                  <c:v>3.9171411187132152</c:v>
                </c:pt>
                <c:pt idx="2">
                  <c:v>8.5239630062617433</c:v>
                </c:pt>
                <c:pt idx="3">
                  <c:v>13.618577814848402</c:v>
                </c:pt>
                <c:pt idx="4">
                  <c:v>19.065292857917989</c:v>
                </c:pt>
                <c:pt idx="5">
                  <c:v>24.792323800683441</c:v>
                </c:pt>
                <c:pt idx="6">
                  <c:v>30.754377808332812</c:v>
                </c:pt>
                <c:pt idx="7">
                  <c:v>36.919960531684509</c:v>
                </c:pt>
                <c:pt idx="8">
                  <c:v>43.265759267328114</c:v>
                </c:pt>
                <c:pt idx="9">
                  <c:v>49.773743733538367</c:v>
                </c:pt>
                <c:pt idx="10">
                  <c:v>56.429507615623692</c:v>
                </c:pt>
                <c:pt idx="11">
                  <c:v>63.221246840020797</c:v>
                </c:pt>
                <c:pt idx="12">
                  <c:v>70.139093658051422</c:v>
                </c:pt>
                <c:pt idx="13">
                  <c:v>77.174662959514549</c:v>
                </c:pt>
                <c:pt idx="14">
                  <c:v>84.320731892097271</c:v>
                </c:pt>
                <c:pt idx="15">
                  <c:v>91.571006811155542</c:v>
                </c:pt>
                <c:pt idx="16">
                  <c:v>98.919949476008185</c:v>
                </c:pt>
                <c:pt idx="17">
                  <c:v>106.36264464474959</c:v>
                </c:pt>
                <c:pt idx="18">
                  <c:v>113.8946973372466</c:v>
                </c:pt>
                <c:pt idx="19">
                  <c:v>121.51215183090807</c:v>
                </c:pt>
                <c:pt idx="20">
                  <c:v>129.21142688461711</c:v>
                </c:pt>
                <c:pt idx="21">
                  <c:v>130</c:v>
                </c:pt>
                <c:pt idx="22">
                  <c:v>130</c:v>
                </c:pt>
                <c:pt idx="23">
                  <c:v>130</c:v>
                </c:pt>
                <c:pt idx="24">
                  <c:v>130</c:v>
                </c:pt>
                <c:pt idx="25">
                  <c:v>130</c:v>
                </c:pt>
                <c:pt idx="26">
                  <c:v>130</c:v>
                </c:pt>
                <c:pt idx="27">
                  <c:v>130</c:v>
                </c:pt>
                <c:pt idx="28">
                  <c:v>130</c:v>
                </c:pt>
                <c:pt idx="29">
                  <c:v>130</c:v>
                </c:pt>
                <c:pt idx="30">
                  <c:v>130</c:v>
                </c:pt>
                <c:pt idx="31">
                  <c:v>130</c:v>
                </c:pt>
                <c:pt idx="32">
                  <c:v>130</c:v>
                </c:pt>
                <c:pt idx="33">
                  <c:v>130</c:v>
                </c:pt>
                <c:pt idx="34">
                  <c:v>130</c:v>
                </c:pt>
                <c:pt idx="35">
                  <c:v>130</c:v>
                </c:pt>
                <c:pt idx="36">
                  <c:v>130</c:v>
                </c:pt>
                <c:pt idx="37">
                  <c:v>130</c:v>
                </c:pt>
                <c:pt idx="38">
                  <c:v>130</c:v>
                </c:pt>
                <c:pt idx="39">
                  <c:v>130</c:v>
                </c:pt>
                <c:pt idx="40">
                  <c:v>130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AC-4C14-AA18-BB55D797D2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1058048"/>
        <c:axId val="281058624"/>
      </c:scatterChart>
      <c:valAx>
        <c:axId val="2810580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1058624"/>
        <c:crosses val="autoZero"/>
        <c:crossBetween val="midCat"/>
      </c:valAx>
      <c:valAx>
        <c:axId val="281058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Газосодержание, м3/м3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10580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Плотность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PVT!$J$58</c:f>
              <c:strCache>
                <c:ptCount val="1"/>
                <c:pt idx="0">
                  <c:v>ρo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10.807837567030385</c:v>
                </c:pt>
                <c:pt idx="2">
                  <c:v>20.615675134060769</c:v>
                </c:pt>
                <c:pt idx="3">
                  <c:v>30.423512701091155</c:v>
                </c:pt>
                <c:pt idx="4">
                  <c:v>40.231350268121538</c:v>
                </c:pt>
                <c:pt idx="5">
                  <c:v>50.039187835151921</c:v>
                </c:pt>
                <c:pt idx="6">
                  <c:v>59.847025402182304</c:v>
                </c:pt>
                <c:pt idx="7">
                  <c:v>69.654862969212687</c:v>
                </c:pt>
                <c:pt idx="8">
                  <c:v>79.462700536243076</c:v>
                </c:pt>
                <c:pt idx="9">
                  <c:v>89.270538103273466</c:v>
                </c:pt>
                <c:pt idx="10">
                  <c:v>99.078375670303856</c:v>
                </c:pt>
                <c:pt idx="11">
                  <c:v>108.88621323733425</c:v>
                </c:pt>
                <c:pt idx="12">
                  <c:v>118.69405080436464</c:v>
                </c:pt>
                <c:pt idx="13">
                  <c:v>128.50188837139501</c:v>
                </c:pt>
                <c:pt idx="14">
                  <c:v>138.3097259384254</c:v>
                </c:pt>
                <c:pt idx="15">
                  <c:v>148.11756350545579</c:v>
                </c:pt>
                <c:pt idx="16">
                  <c:v>157.92540107248618</c:v>
                </c:pt>
                <c:pt idx="17">
                  <c:v>167.73323863951657</c:v>
                </c:pt>
                <c:pt idx="18">
                  <c:v>177.54107620654696</c:v>
                </c:pt>
                <c:pt idx="19">
                  <c:v>187.34891377357735</c:v>
                </c:pt>
                <c:pt idx="20">
                  <c:v>197.15675134060768</c:v>
                </c:pt>
                <c:pt idx="21">
                  <c:v>202.29891377357731</c:v>
                </c:pt>
                <c:pt idx="22">
                  <c:v>207.44107620654694</c:v>
                </c:pt>
                <c:pt idx="23">
                  <c:v>212.58323863951657</c:v>
                </c:pt>
                <c:pt idx="24">
                  <c:v>217.72540107248619</c:v>
                </c:pt>
                <c:pt idx="25">
                  <c:v>222.86756350545582</c:v>
                </c:pt>
                <c:pt idx="26">
                  <c:v>228.00972593842545</c:v>
                </c:pt>
                <c:pt idx="27">
                  <c:v>233.15188837139507</c:v>
                </c:pt>
                <c:pt idx="28">
                  <c:v>238.2940508043647</c:v>
                </c:pt>
                <c:pt idx="29">
                  <c:v>243.43621323733433</c:v>
                </c:pt>
                <c:pt idx="30">
                  <c:v>248.57837567030396</c:v>
                </c:pt>
                <c:pt idx="31">
                  <c:v>253.72053810327358</c:v>
                </c:pt>
                <c:pt idx="32">
                  <c:v>258.86270053624321</c:v>
                </c:pt>
                <c:pt idx="33">
                  <c:v>264.00486296921281</c:v>
                </c:pt>
                <c:pt idx="34">
                  <c:v>269.14702540218241</c:v>
                </c:pt>
                <c:pt idx="35">
                  <c:v>274.28918783515201</c:v>
                </c:pt>
                <c:pt idx="36">
                  <c:v>279.43135026812161</c:v>
                </c:pt>
                <c:pt idx="37">
                  <c:v>284.5735127010912</c:v>
                </c:pt>
                <c:pt idx="38">
                  <c:v>289.7156751340608</c:v>
                </c:pt>
                <c:pt idx="39">
                  <c:v>294.8578375670304</c:v>
                </c:pt>
                <c:pt idx="40">
                  <c:v>300</c:v>
                </c:pt>
              </c:numCache>
            </c:numRef>
          </c:xVal>
          <c:yVal>
            <c:numRef>
              <c:f>PVT!$J$59:$J$99</c:f>
              <c:numCache>
                <c:formatCode>General</c:formatCode>
                <c:ptCount val="41"/>
                <c:pt idx="0">
                  <c:v>815.12887647450964</c:v>
                </c:pt>
                <c:pt idx="1">
                  <c:v>811.66453095426471</c:v>
                </c:pt>
                <c:pt idx="2">
                  <c:v>807.28757254501147</c:v>
                </c:pt>
                <c:pt idx="3">
                  <c:v>802.39205867057899</c:v>
                </c:pt>
                <c:pt idx="4">
                  <c:v>797.11401293357915</c:v>
                </c:pt>
                <c:pt idx="5">
                  <c:v>791.53462078841187</c:v>
                </c:pt>
                <c:pt idx="6">
                  <c:v>785.71233591215844</c:v>
                </c:pt>
                <c:pt idx="7">
                  <c:v>779.69327079408174</c:v>
                </c:pt>
                <c:pt idx="8">
                  <c:v>773.5156258783187</c:v>
                </c:pt>
                <c:pt idx="9">
                  <c:v>767.21193247400186</c:v>
                </c:pt>
                <c:pt idx="10">
                  <c:v>760.81034281002815</c:v>
                </c:pt>
                <c:pt idx="11">
                  <c:v>754.3354513048655</c:v>
                </c:pt>
                <c:pt idx="12">
                  <c:v>747.80886246205625</c:v>
                </c:pt>
                <c:pt idx="13">
                  <c:v>741.24961065248453</c:v>
                </c:pt>
                <c:pt idx="14">
                  <c:v>734.67448717163677</c:v>
                </c:pt>
                <c:pt idx="15">
                  <c:v>728.09830556449401</c:v>
                </c:pt>
                <c:pt idx="16">
                  <c:v>721.53412350842666</c:v>
                </c:pt>
                <c:pt idx="17">
                  <c:v>714.99343257798478</c:v>
                </c:pt>
                <c:pt idx="18">
                  <c:v>708.4863232215306</c:v>
                </c:pt>
                <c:pt idx="19">
                  <c:v>702.02162989931571</c:v>
                </c:pt>
                <c:pt idx="20">
                  <c:v>695.60705986356982</c:v>
                </c:pt>
                <c:pt idx="21">
                  <c:v>695.78322961307367</c:v>
                </c:pt>
                <c:pt idx="22">
                  <c:v>696.56953327545534</c:v>
                </c:pt>
                <c:pt idx="23">
                  <c:v>697.31862238189956</c:v>
                </c:pt>
                <c:pt idx="24">
                  <c:v>698.03307741649826</c:v>
                </c:pt>
                <c:pt idx="25">
                  <c:v>698.71524571189013</c:v>
                </c:pt>
                <c:pt idx="26">
                  <c:v>699.36726719584647</c:v>
                </c:pt>
                <c:pt idx="27">
                  <c:v>699.99109680027652</c:v>
                </c:pt>
                <c:pt idx="28">
                  <c:v>700.5885240266731</c:v>
                </c:pt>
                <c:pt idx="29">
                  <c:v>701.16119008019143</c:v>
                </c:pt>
                <c:pt idx="30">
                  <c:v>701.71060291766355</c:v>
                </c:pt>
                <c:pt idx="31">
                  <c:v>702.23815049992413</c:v>
                </c:pt>
                <c:pt idx="32">
                  <c:v>702.74511249353998</c:v>
                </c:pt>
                <c:pt idx="33">
                  <c:v>703.23267062953448</c:v>
                </c:pt>
                <c:pt idx="34">
                  <c:v>703.70191789554042</c:v>
                </c:pt>
                <c:pt idx="35">
                  <c:v>704.15386671181204</c:v>
                </c:pt>
                <c:pt idx="36">
                  <c:v>704.5894562197642</c:v>
                </c:pt>
                <c:pt idx="37">
                  <c:v>705.00955879341609</c:v>
                </c:pt>
                <c:pt idx="38">
                  <c:v>705.41498586870523</c:v>
                </c:pt>
                <c:pt idx="39">
                  <c:v>705.80649317260338</c:v>
                </c:pt>
                <c:pt idx="40">
                  <c:v>706.18478542290757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6C-4A6E-9D8D-BE208DFF255F}"/>
            </c:ext>
          </c:extLst>
        </c:ser>
        <c:ser>
          <c:idx val="1"/>
          <c:order val="1"/>
          <c:tx>
            <c:strRef>
              <c:f>PVT!$K$58</c:f>
              <c:strCache>
                <c:ptCount val="1"/>
                <c:pt idx="0">
                  <c:v>ρo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10.807837567030385</c:v>
                </c:pt>
                <c:pt idx="2">
                  <c:v>20.615675134060769</c:v>
                </c:pt>
                <c:pt idx="3">
                  <c:v>30.423512701091155</c:v>
                </c:pt>
                <c:pt idx="4">
                  <c:v>40.231350268121538</c:v>
                </c:pt>
                <c:pt idx="5">
                  <c:v>50.039187835151921</c:v>
                </c:pt>
                <c:pt idx="6">
                  <c:v>59.847025402182304</c:v>
                </c:pt>
                <c:pt idx="7">
                  <c:v>69.654862969212687</c:v>
                </c:pt>
                <c:pt idx="8">
                  <c:v>79.462700536243076</c:v>
                </c:pt>
                <c:pt idx="9">
                  <c:v>89.270538103273466</c:v>
                </c:pt>
                <c:pt idx="10">
                  <c:v>99.078375670303856</c:v>
                </c:pt>
                <c:pt idx="11">
                  <c:v>108.88621323733425</c:v>
                </c:pt>
                <c:pt idx="12">
                  <c:v>118.69405080436464</c:v>
                </c:pt>
                <c:pt idx="13">
                  <c:v>128.50188837139501</c:v>
                </c:pt>
                <c:pt idx="14">
                  <c:v>138.3097259384254</c:v>
                </c:pt>
                <c:pt idx="15">
                  <c:v>148.11756350545579</c:v>
                </c:pt>
                <c:pt idx="16">
                  <c:v>157.92540107248618</c:v>
                </c:pt>
                <c:pt idx="17">
                  <c:v>167.73323863951657</c:v>
                </c:pt>
                <c:pt idx="18">
                  <c:v>177.54107620654696</c:v>
                </c:pt>
                <c:pt idx="19">
                  <c:v>187.34891377357735</c:v>
                </c:pt>
                <c:pt idx="20">
                  <c:v>197.15675134060768</c:v>
                </c:pt>
                <c:pt idx="21">
                  <c:v>202.29891377357731</c:v>
                </c:pt>
                <c:pt idx="22">
                  <c:v>207.44107620654694</c:v>
                </c:pt>
                <c:pt idx="23">
                  <c:v>212.58323863951657</c:v>
                </c:pt>
                <c:pt idx="24">
                  <c:v>217.72540107248619</c:v>
                </c:pt>
                <c:pt idx="25">
                  <c:v>222.86756350545582</c:v>
                </c:pt>
                <c:pt idx="26">
                  <c:v>228.00972593842545</c:v>
                </c:pt>
                <c:pt idx="27">
                  <c:v>233.15188837139507</c:v>
                </c:pt>
                <c:pt idx="28">
                  <c:v>238.2940508043647</c:v>
                </c:pt>
                <c:pt idx="29">
                  <c:v>243.43621323733433</c:v>
                </c:pt>
                <c:pt idx="30">
                  <c:v>248.57837567030396</c:v>
                </c:pt>
                <c:pt idx="31">
                  <c:v>253.72053810327358</c:v>
                </c:pt>
                <c:pt idx="32">
                  <c:v>258.86270053624321</c:v>
                </c:pt>
                <c:pt idx="33">
                  <c:v>264.00486296921281</c:v>
                </c:pt>
                <c:pt idx="34">
                  <c:v>269.14702540218241</c:v>
                </c:pt>
                <c:pt idx="35">
                  <c:v>274.28918783515201</c:v>
                </c:pt>
                <c:pt idx="36">
                  <c:v>279.43135026812161</c:v>
                </c:pt>
                <c:pt idx="37">
                  <c:v>284.5735127010912</c:v>
                </c:pt>
                <c:pt idx="38">
                  <c:v>289.7156751340608</c:v>
                </c:pt>
                <c:pt idx="39">
                  <c:v>294.8578375670304</c:v>
                </c:pt>
                <c:pt idx="40">
                  <c:v>300</c:v>
                </c:pt>
              </c:numCache>
            </c:numRef>
          </c:xVal>
          <c:yVal>
            <c:numRef>
              <c:f>PVT!$K$59:$K$99</c:f>
              <c:numCache>
                <c:formatCode>General</c:formatCode>
                <c:ptCount val="41"/>
                <c:pt idx="0">
                  <c:v>815.12887647450964</c:v>
                </c:pt>
                <c:pt idx="1">
                  <c:v>811.66453095426471</c:v>
                </c:pt>
                <c:pt idx="2">
                  <c:v>807.28757254501147</c:v>
                </c:pt>
                <c:pt idx="3">
                  <c:v>802.39205867057899</c:v>
                </c:pt>
                <c:pt idx="4">
                  <c:v>797.11401293357915</c:v>
                </c:pt>
                <c:pt idx="5">
                  <c:v>791.53462078841187</c:v>
                </c:pt>
                <c:pt idx="6">
                  <c:v>785.71233591215844</c:v>
                </c:pt>
                <c:pt idx="7">
                  <c:v>779.69327079408174</c:v>
                </c:pt>
                <c:pt idx="8">
                  <c:v>773.5156258783187</c:v>
                </c:pt>
                <c:pt idx="9">
                  <c:v>767.21193247400186</c:v>
                </c:pt>
                <c:pt idx="10">
                  <c:v>760.81034281002815</c:v>
                </c:pt>
                <c:pt idx="11">
                  <c:v>754.3354513048655</c:v>
                </c:pt>
                <c:pt idx="12">
                  <c:v>747.80886246205625</c:v>
                </c:pt>
                <c:pt idx="13">
                  <c:v>741.24961065248453</c:v>
                </c:pt>
                <c:pt idx="14">
                  <c:v>734.67448717163677</c:v>
                </c:pt>
                <c:pt idx="15">
                  <c:v>728.09830556449401</c:v>
                </c:pt>
                <c:pt idx="16">
                  <c:v>721.53412350842666</c:v>
                </c:pt>
                <c:pt idx="17">
                  <c:v>714.99343257798478</c:v>
                </c:pt>
                <c:pt idx="18">
                  <c:v>708.4863232215306</c:v>
                </c:pt>
                <c:pt idx="19">
                  <c:v>702.02162989931571</c:v>
                </c:pt>
                <c:pt idx="20">
                  <c:v>695.60705986356982</c:v>
                </c:pt>
                <c:pt idx="21">
                  <c:v>695.78322961307367</c:v>
                </c:pt>
                <c:pt idx="22">
                  <c:v>696.56953327545534</c:v>
                </c:pt>
                <c:pt idx="23">
                  <c:v>697.31862238189956</c:v>
                </c:pt>
                <c:pt idx="24">
                  <c:v>698.03307741649826</c:v>
                </c:pt>
                <c:pt idx="25">
                  <c:v>698.71524571189013</c:v>
                </c:pt>
                <c:pt idx="26">
                  <c:v>699.36726719584647</c:v>
                </c:pt>
                <c:pt idx="27">
                  <c:v>699.99109680027652</c:v>
                </c:pt>
                <c:pt idx="28">
                  <c:v>700.5885240266731</c:v>
                </c:pt>
                <c:pt idx="29">
                  <c:v>701.16119008019143</c:v>
                </c:pt>
                <c:pt idx="30">
                  <c:v>701.71060291766355</c:v>
                </c:pt>
                <c:pt idx="31">
                  <c:v>702.23815049992413</c:v>
                </c:pt>
                <c:pt idx="32">
                  <c:v>702.74511249353998</c:v>
                </c:pt>
                <c:pt idx="33">
                  <c:v>703.23267062953448</c:v>
                </c:pt>
                <c:pt idx="34">
                  <c:v>703.70191789554042</c:v>
                </c:pt>
                <c:pt idx="35">
                  <c:v>704.15386671181204</c:v>
                </c:pt>
                <c:pt idx="36">
                  <c:v>704.5894562197642</c:v>
                </c:pt>
                <c:pt idx="37">
                  <c:v>705.00955879341609</c:v>
                </c:pt>
                <c:pt idx="38">
                  <c:v>705.41498586870523</c:v>
                </c:pt>
                <c:pt idx="39">
                  <c:v>705.80649317260338</c:v>
                </c:pt>
                <c:pt idx="40">
                  <c:v>706.18478542290757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56C-4A6E-9D8D-BE208DFF255F}"/>
            </c:ext>
          </c:extLst>
        </c:ser>
        <c:ser>
          <c:idx val="2"/>
          <c:order val="2"/>
          <c:tx>
            <c:strRef>
              <c:f>PVT!$L$58</c:f>
              <c:strCache>
                <c:ptCount val="1"/>
                <c:pt idx="0">
                  <c:v>ρo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10.807837567030385</c:v>
                </c:pt>
                <c:pt idx="2">
                  <c:v>20.615675134060769</c:v>
                </c:pt>
                <c:pt idx="3">
                  <c:v>30.423512701091155</c:v>
                </c:pt>
                <c:pt idx="4">
                  <c:v>40.231350268121538</c:v>
                </c:pt>
                <c:pt idx="5">
                  <c:v>50.039187835151921</c:v>
                </c:pt>
                <c:pt idx="6">
                  <c:v>59.847025402182304</c:v>
                </c:pt>
                <c:pt idx="7">
                  <c:v>69.654862969212687</c:v>
                </c:pt>
                <c:pt idx="8">
                  <c:v>79.462700536243076</c:v>
                </c:pt>
                <c:pt idx="9">
                  <c:v>89.270538103273466</c:v>
                </c:pt>
                <c:pt idx="10">
                  <c:v>99.078375670303856</c:v>
                </c:pt>
                <c:pt idx="11">
                  <c:v>108.88621323733425</c:v>
                </c:pt>
                <c:pt idx="12">
                  <c:v>118.69405080436464</c:v>
                </c:pt>
                <c:pt idx="13">
                  <c:v>128.50188837139501</c:v>
                </c:pt>
                <c:pt idx="14">
                  <c:v>138.3097259384254</c:v>
                </c:pt>
                <c:pt idx="15">
                  <c:v>148.11756350545579</c:v>
                </c:pt>
                <c:pt idx="16">
                  <c:v>157.92540107248618</c:v>
                </c:pt>
                <c:pt idx="17">
                  <c:v>167.73323863951657</c:v>
                </c:pt>
                <c:pt idx="18">
                  <c:v>177.54107620654696</c:v>
                </c:pt>
                <c:pt idx="19">
                  <c:v>187.34891377357735</c:v>
                </c:pt>
                <c:pt idx="20">
                  <c:v>197.15675134060768</c:v>
                </c:pt>
                <c:pt idx="21">
                  <c:v>202.29891377357731</c:v>
                </c:pt>
                <c:pt idx="22">
                  <c:v>207.44107620654694</c:v>
                </c:pt>
                <c:pt idx="23">
                  <c:v>212.58323863951657</c:v>
                </c:pt>
                <c:pt idx="24">
                  <c:v>217.72540107248619</c:v>
                </c:pt>
                <c:pt idx="25">
                  <c:v>222.86756350545582</c:v>
                </c:pt>
                <c:pt idx="26">
                  <c:v>228.00972593842545</c:v>
                </c:pt>
                <c:pt idx="27">
                  <c:v>233.15188837139507</c:v>
                </c:pt>
                <c:pt idx="28">
                  <c:v>238.2940508043647</c:v>
                </c:pt>
                <c:pt idx="29">
                  <c:v>243.43621323733433</c:v>
                </c:pt>
                <c:pt idx="30">
                  <c:v>248.57837567030396</c:v>
                </c:pt>
                <c:pt idx="31">
                  <c:v>253.72053810327358</c:v>
                </c:pt>
                <c:pt idx="32">
                  <c:v>258.86270053624321</c:v>
                </c:pt>
                <c:pt idx="33">
                  <c:v>264.00486296921281</c:v>
                </c:pt>
                <c:pt idx="34">
                  <c:v>269.14702540218241</c:v>
                </c:pt>
                <c:pt idx="35">
                  <c:v>274.28918783515201</c:v>
                </c:pt>
                <c:pt idx="36">
                  <c:v>279.43135026812161</c:v>
                </c:pt>
                <c:pt idx="37">
                  <c:v>284.5735127010912</c:v>
                </c:pt>
                <c:pt idx="38">
                  <c:v>289.7156751340608</c:v>
                </c:pt>
                <c:pt idx="39">
                  <c:v>294.8578375670304</c:v>
                </c:pt>
                <c:pt idx="40">
                  <c:v>300</c:v>
                </c:pt>
              </c:numCache>
            </c:numRef>
          </c:xVal>
          <c:yVal>
            <c:numRef>
              <c:f>PVT!$L$59:$L$99</c:f>
              <c:numCache>
                <c:formatCode>General</c:formatCode>
                <c:ptCount val="41"/>
                <c:pt idx="0">
                  <c:v>815.12887647450964</c:v>
                </c:pt>
                <c:pt idx="1">
                  <c:v>811.66453095426471</c:v>
                </c:pt>
                <c:pt idx="2">
                  <c:v>807.28757254501147</c:v>
                </c:pt>
                <c:pt idx="3">
                  <c:v>802.39205867057899</c:v>
                </c:pt>
                <c:pt idx="4">
                  <c:v>797.11401293357915</c:v>
                </c:pt>
                <c:pt idx="5">
                  <c:v>791.53462078841187</c:v>
                </c:pt>
                <c:pt idx="6">
                  <c:v>785.71233591215844</c:v>
                </c:pt>
                <c:pt idx="7">
                  <c:v>779.69327079408174</c:v>
                </c:pt>
                <c:pt idx="8">
                  <c:v>773.5156258783187</c:v>
                </c:pt>
                <c:pt idx="9">
                  <c:v>767.21193247400186</c:v>
                </c:pt>
                <c:pt idx="10">
                  <c:v>760.81034281002815</c:v>
                </c:pt>
                <c:pt idx="11">
                  <c:v>754.3354513048655</c:v>
                </c:pt>
                <c:pt idx="12">
                  <c:v>747.80886246205625</c:v>
                </c:pt>
                <c:pt idx="13">
                  <c:v>741.24961065248453</c:v>
                </c:pt>
                <c:pt idx="14">
                  <c:v>734.67448717163677</c:v>
                </c:pt>
                <c:pt idx="15">
                  <c:v>728.09830556449401</c:v>
                </c:pt>
                <c:pt idx="16">
                  <c:v>721.53412350842666</c:v>
                </c:pt>
                <c:pt idx="17">
                  <c:v>714.99343257798478</c:v>
                </c:pt>
                <c:pt idx="18">
                  <c:v>708.4863232215306</c:v>
                </c:pt>
                <c:pt idx="19">
                  <c:v>702.02162989931571</c:v>
                </c:pt>
                <c:pt idx="20">
                  <c:v>695.60705986356982</c:v>
                </c:pt>
                <c:pt idx="21">
                  <c:v>695.78322961307367</c:v>
                </c:pt>
                <c:pt idx="22">
                  <c:v>696.56953327545534</c:v>
                </c:pt>
                <c:pt idx="23">
                  <c:v>697.31862238189956</c:v>
                </c:pt>
                <c:pt idx="24">
                  <c:v>698.03307741649826</c:v>
                </c:pt>
                <c:pt idx="25">
                  <c:v>698.71524571189013</c:v>
                </c:pt>
                <c:pt idx="26">
                  <c:v>699.36726719584647</c:v>
                </c:pt>
                <c:pt idx="27">
                  <c:v>699.99109680027652</c:v>
                </c:pt>
                <c:pt idx="28">
                  <c:v>700.5885240266731</c:v>
                </c:pt>
                <c:pt idx="29">
                  <c:v>701.16119008019143</c:v>
                </c:pt>
                <c:pt idx="30">
                  <c:v>701.71060291766355</c:v>
                </c:pt>
                <c:pt idx="31">
                  <c:v>702.23815049992413</c:v>
                </c:pt>
                <c:pt idx="32">
                  <c:v>702.74511249353998</c:v>
                </c:pt>
                <c:pt idx="33">
                  <c:v>703.23267062953448</c:v>
                </c:pt>
                <c:pt idx="34">
                  <c:v>703.70191789554042</c:v>
                </c:pt>
                <c:pt idx="35">
                  <c:v>704.15386671181204</c:v>
                </c:pt>
                <c:pt idx="36">
                  <c:v>704.5894562197642</c:v>
                </c:pt>
                <c:pt idx="37">
                  <c:v>705.00955879341609</c:v>
                </c:pt>
                <c:pt idx="38">
                  <c:v>705.41498586870523</c:v>
                </c:pt>
                <c:pt idx="39">
                  <c:v>705.80649317260338</c:v>
                </c:pt>
                <c:pt idx="40">
                  <c:v>706.18478542290757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6E2-4368-A3AA-0A6DD43096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552576"/>
        <c:axId val="282553152"/>
      </c:scatterChart>
      <c:valAx>
        <c:axId val="282552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3152"/>
        <c:crosses val="autoZero"/>
        <c:crossBetween val="midCat"/>
      </c:valAx>
      <c:valAx>
        <c:axId val="282553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Плотность, кг/м3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2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Объемный</a:t>
            </a:r>
            <a:r>
              <a:rPr lang="ru-RU" baseline="0"/>
              <a:t> коэффициент</a:t>
            </a:r>
            <a:r>
              <a:rPr lang="ru-RU"/>
              <a:t>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PVT!$G$58</c:f>
              <c:strCache>
                <c:ptCount val="1"/>
                <c:pt idx="0">
                  <c:v>Bo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10.807837567030385</c:v>
                </c:pt>
                <c:pt idx="2">
                  <c:v>20.615675134060769</c:v>
                </c:pt>
                <c:pt idx="3">
                  <c:v>30.423512701091155</c:v>
                </c:pt>
                <c:pt idx="4">
                  <c:v>40.231350268121538</c:v>
                </c:pt>
                <c:pt idx="5">
                  <c:v>50.039187835151921</c:v>
                </c:pt>
                <c:pt idx="6">
                  <c:v>59.847025402182304</c:v>
                </c:pt>
                <c:pt idx="7">
                  <c:v>69.654862969212687</c:v>
                </c:pt>
                <c:pt idx="8">
                  <c:v>79.462700536243076</c:v>
                </c:pt>
                <c:pt idx="9">
                  <c:v>89.270538103273466</c:v>
                </c:pt>
                <c:pt idx="10">
                  <c:v>99.078375670303856</c:v>
                </c:pt>
                <c:pt idx="11">
                  <c:v>108.88621323733425</c:v>
                </c:pt>
                <c:pt idx="12">
                  <c:v>118.69405080436464</c:v>
                </c:pt>
                <c:pt idx="13">
                  <c:v>128.50188837139501</c:v>
                </c:pt>
                <c:pt idx="14">
                  <c:v>138.3097259384254</c:v>
                </c:pt>
                <c:pt idx="15">
                  <c:v>148.11756350545579</c:v>
                </c:pt>
                <c:pt idx="16">
                  <c:v>157.92540107248618</c:v>
                </c:pt>
                <c:pt idx="17">
                  <c:v>167.73323863951657</c:v>
                </c:pt>
                <c:pt idx="18">
                  <c:v>177.54107620654696</c:v>
                </c:pt>
                <c:pt idx="19">
                  <c:v>187.34891377357735</c:v>
                </c:pt>
                <c:pt idx="20">
                  <c:v>197.15675134060768</c:v>
                </c:pt>
                <c:pt idx="21">
                  <c:v>202.29891377357731</c:v>
                </c:pt>
                <c:pt idx="22">
                  <c:v>207.44107620654694</c:v>
                </c:pt>
                <c:pt idx="23">
                  <c:v>212.58323863951657</c:v>
                </c:pt>
                <c:pt idx="24">
                  <c:v>217.72540107248619</c:v>
                </c:pt>
                <c:pt idx="25">
                  <c:v>222.86756350545582</c:v>
                </c:pt>
                <c:pt idx="26">
                  <c:v>228.00972593842545</c:v>
                </c:pt>
                <c:pt idx="27">
                  <c:v>233.15188837139507</c:v>
                </c:pt>
                <c:pt idx="28">
                  <c:v>238.2940508043647</c:v>
                </c:pt>
                <c:pt idx="29">
                  <c:v>243.43621323733433</c:v>
                </c:pt>
                <c:pt idx="30">
                  <c:v>248.57837567030396</c:v>
                </c:pt>
                <c:pt idx="31">
                  <c:v>253.72053810327358</c:v>
                </c:pt>
                <c:pt idx="32">
                  <c:v>258.86270053624321</c:v>
                </c:pt>
                <c:pt idx="33">
                  <c:v>264.00486296921281</c:v>
                </c:pt>
                <c:pt idx="34">
                  <c:v>269.14702540218241</c:v>
                </c:pt>
                <c:pt idx="35">
                  <c:v>274.28918783515201</c:v>
                </c:pt>
                <c:pt idx="36">
                  <c:v>279.43135026812161</c:v>
                </c:pt>
                <c:pt idx="37">
                  <c:v>284.5735127010912</c:v>
                </c:pt>
                <c:pt idx="38">
                  <c:v>289.7156751340608</c:v>
                </c:pt>
                <c:pt idx="39">
                  <c:v>294.8578375670304</c:v>
                </c:pt>
                <c:pt idx="40">
                  <c:v>300</c:v>
                </c:pt>
              </c:numCache>
            </c:numRef>
          </c:xVal>
          <c:yVal>
            <c:numRef>
              <c:f>PVT!$G$59:$G$99</c:f>
              <c:numCache>
                <c:formatCode>General</c:formatCode>
                <c:ptCount val="41"/>
                <c:pt idx="0">
                  <c:v>1.055315297496489</c:v>
                </c:pt>
                <c:pt idx="1">
                  <c:v>1.0642678398527434</c:v>
                </c:pt>
                <c:pt idx="2">
                  <c:v>1.0756154436347216</c:v>
                </c:pt>
                <c:pt idx="3">
                  <c:v>1.0883834701206292</c:v>
                </c:pt>
                <c:pt idx="4">
                  <c:v>1.1022684840202757</c:v>
                </c:pt>
                <c:pt idx="5">
                  <c:v>1.1171097288316882</c:v>
                </c:pt>
                <c:pt idx="6">
                  <c:v>1.1328040276489428</c:v>
                </c:pt>
                <c:pt idx="7">
                  <c:v>1.1492777046961387</c:v>
                </c:pt>
                <c:pt idx="8">
                  <c:v>1.1664744606199513</c:v>
                </c:pt>
                <c:pt idx="9">
                  <c:v>1.1843492361300076</c:v>
                </c:pt>
                <c:pt idx="10">
                  <c:v>1.2028647510010473</c:v>
                </c:pt>
                <c:pt idx="11">
                  <c:v>1.2219893897562828</c:v>
                </c:pt>
                <c:pt idx="12">
                  <c:v>1.2416958278891055</c:v>
                </c:pt>
                <c:pt idx="13">
                  <c:v>1.2619600943421767</c:v>
                </c:pt>
                <c:pt idx="14">
                  <c:v>1.2827609056497578</c:v>
                </c:pt>
                <c:pt idx="15">
                  <c:v>1.3040791771666136</c:v>
                </c:pt>
                <c:pt idx="16">
                  <c:v>1.3258976542482241</c:v>
                </c:pt>
                <c:pt idx="17">
                  <c:v>1.348200627374089</c:v>
                </c:pt>
                <c:pt idx="18">
                  <c:v>1.3709737076827364</c:v>
                </c:pt>
                <c:pt idx="19">
                  <c:v>1.3942036470497792</c:v>
                </c:pt>
                <c:pt idx="20">
                  <c:v>1.4178781917098293</c:v>
                </c:pt>
                <c:pt idx="21">
                  <c:v>1.4186268912358007</c:v>
                </c:pt>
                <c:pt idx="22">
                  <c:v>1.417025512670065</c:v>
                </c:pt>
                <c:pt idx="23">
                  <c:v>1.4155032840345112</c:v>
                </c:pt>
                <c:pt idx="24">
                  <c:v>1.4140544795573473</c:v>
                </c:pt>
                <c:pt idx="25">
                  <c:v>1.4126739126671428</c:v>
                </c:pt>
                <c:pt idx="26">
                  <c:v>1.4113568739893438</c:v>
                </c:pt>
                <c:pt idx="27">
                  <c:v>1.4100990777053124</c:v>
                </c:pt>
                <c:pt idx="28">
                  <c:v>1.4088966149871167</c:v>
                </c:pt>
                <c:pt idx="29">
                  <c:v>1.4077459134426862</c:v>
                </c:pt>
                <c:pt idx="30">
                  <c:v>1.4066437016854056</c:v>
                </c:pt>
                <c:pt idx="31">
                  <c:v>1.4055869782883672</c:v>
                </c:pt>
                <c:pt idx="32">
                  <c:v>1.4045729845030741</c:v>
                </c:pt>
                <c:pt idx="33">
                  <c:v>1.40359918022066</c:v>
                </c:pt>
                <c:pt idx="34">
                  <c:v>1.402663222734774</c:v>
                </c:pt>
                <c:pt idx="35">
                  <c:v>1.401762947932474</c:v>
                </c:pt>
                <c:pt idx="36">
                  <c:v>1.4008963535953527</c:v>
                </c:pt>
                <c:pt idx="37">
                  <c:v>1.4000615845397781</c:v>
                </c:pt>
                <c:pt idx="38">
                  <c:v>1.399256919364221</c:v>
                </c:pt>
                <c:pt idx="39">
                  <c:v>1.3984807586044941</c:v>
                </c:pt>
                <c:pt idx="40">
                  <c:v>1.3977316141254568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82-4C91-ADD3-4169AAF528F9}"/>
            </c:ext>
          </c:extLst>
        </c:ser>
        <c:ser>
          <c:idx val="1"/>
          <c:order val="1"/>
          <c:tx>
            <c:strRef>
              <c:f>PVT!$H$58</c:f>
              <c:strCache>
                <c:ptCount val="1"/>
                <c:pt idx="0">
                  <c:v>Bo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10.807837567030385</c:v>
                </c:pt>
                <c:pt idx="2">
                  <c:v>20.615675134060769</c:v>
                </c:pt>
                <c:pt idx="3">
                  <c:v>30.423512701091155</c:v>
                </c:pt>
                <c:pt idx="4">
                  <c:v>40.231350268121538</c:v>
                </c:pt>
                <c:pt idx="5">
                  <c:v>50.039187835151921</c:v>
                </c:pt>
                <c:pt idx="6">
                  <c:v>59.847025402182304</c:v>
                </c:pt>
                <c:pt idx="7">
                  <c:v>69.654862969212687</c:v>
                </c:pt>
                <c:pt idx="8">
                  <c:v>79.462700536243076</c:v>
                </c:pt>
                <c:pt idx="9">
                  <c:v>89.270538103273466</c:v>
                </c:pt>
                <c:pt idx="10">
                  <c:v>99.078375670303856</c:v>
                </c:pt>
                <c:pt idx="11">
                  <c:v>108.88621323733425</c:v>
                </c:pt>
                <c:pt idx="12">
                  <c:v>118.69405080436464</c:v>
                </c:pt>
                <c:pt idx="13">
                  <c:v>128.50188837139501</c:v>
                </c:pt>
                <c:pt idx="14">
                  <c:v>138.3097259384254</c:v>
                </c:pt>
                <c:pt idx="15">
                  <c:v>148.11756350545579</c:v>
                </c:pt>
                <c:pt idx="16">
                  <c:v>157.92540107248618</c:v>
                </c:pt>
                <c:pt idx="17">
                  <c:v>167.73323863951657</c:v>
                </c:pt>
                <c:pt idx="18">
                  <c:v>177.54107620654696</c:v>
                </c:pt>
                <c:pt idx="19">
                  <c:v>187.34891377357735</c:v>
                </c:pt>
                <c:pt idx="20">
                  <c:v>197.15675134060768</c:v>
                </c:pt>
                <c:pt idx="21">
                  <c:v>202.29891377357731</c:v>
                </c:pt>
                <c:pt idx="22">
                  <c:v>207.44107620654694</c:v>
                </c:pt>
                <c:pt idx="23">
                  <c:v>212.58323863951657</c:v>
                </c:pt>
                <c:pt idx="24">
                  <c:v>217.72540107248619</c:v>
                </c:pt>
                <c:pt idx="25">
                  <c:v>222.86756350545582</c:v>
                </c:pt>
                <c:pt idx="26">
                  <c:v>228.00972593842545</c:v>
                </c:pt>
                <c:pt idx="27">
                  <c:v>233.15188837139507</c:v>
                </c:pt>
                <c:pt idx="28">
                  <c:v>238.2940508043647</c:v>
                </c:pt>
                <c:pt idx="29">
                  <c:v>243.43621323733433</c:v>
                </c:pt>
                <c:pt idx="30">
                  <c:v>248.57837567030396</c:v>
                </c:pt>
                <c:pt idx="31">
                  <c:v>253.72053810327358</c:v>
                </c:pt>
                <c:pt idx="32">
                  <c:v>258.86270053624321</c:v>
                </c:pt>
                <c:pt idx="33">
                  <c:v>264.00486296921281</c:v>
                </c:pt>
                <c:pt idx="34">
                  <c:v>269.14702540218241</c:v>
                </c:pt>
                <c:pt idx="35">
                  <c:v>274.28918783515201</c:v>
                </c:pt>
                <c:pt idx="36">
                  <c:v>279.43135026812161</c:v>
                </c:pt>
                <c:pt idx="37">
                  <c:v>284.5735127010912</c:v>
                </c:pt>
                <c:pt idx="38">
                  <c:v>289.7156751340608</c:v>
                </c:pt>
                <c:pt idx="39">
                  <c:v>294.8578375670304</c:v>
                </c:pt>
                <c:pt idx="40">
                  <c:v>300</c:v>
                </c:pt>
              </c:numCache>
            </c:numRef>
          </c:xVal>
          <c:yVal>
            <c:numRef>
              <c:f>PVT!$H$59:$H$99</c:f>
              <c:numCache>
                <c:formatCode>General</c:formatCode>
                <c:ptCount val="41"/>
                <c:pt idx="0">
                  <c:v>1.055315297496489</c:v>
                </c:pt>
                <c:pt idx="1">
                  <c:v>1.0642678398527434</c:v>
                </c:pt>
                <c:pt idx="2">
                  <c:v>1.0756154436347216</c:v>
                </c:pt>
                <c:pt idx="3">
                  <c:v>1.0883834701206292</c:v>
                </c:pt>
                <c:pt idx="4">
                  <c:v>1.1022684840202757</c:v>
                </c:pt>
                <c:pt idx="5">
                  <c:v>1.1171097288316882</c:v>
                </c:pt>
                <c:pt idx="6">
                  <c:v>1.1328040276489428</c:v>
                </c:pt>
                <c:pt idx="7">
                  <c:v>1.1492777046961387</c:v>
                </c:pt>
                <c:pt idx="8">
                  <c:v>1.1664744606199513</c:v>
                </c:pt>
                <c:pt idx="9">
                  <c:v>1.1843492361300076</c:v>
                </c:pt>
                <c:pt idx="10">
                  <c:v>1.2028647510010473</c:v>
                </c:pt>
                <c:pt idx="11">
                  <c:v>1.2219893897562828</c:v>
                </c:pt>
                <c:pt idx="12">
                  <c:v>1.2416958278891055</c:v>
                </c:pt>
                <c:pt idx="13">
                  <c:v>1.2619600943421767</c:v>
                </c:pt>
                <c:pt idx="14">
                  <c:v>1.2827609056497578</c:v>
                </c:pt>
                <c:pt idx="15">
                  <c:v>1.3040791771666136</c:v>
                </c:pt>
                <c:pt idx="16">
                  <c:v>1.3258976542482241</c:v>
                </c:pt>
                <c:pt idx="17">
                  <c:v>1.348200627374089</c:v>
                </c:pt>
                <c:pt idx="18">
                  <c:v>1.3709737076827364</c:v>
                </c:pt>
                <c:pt idx="19">
                  <c:v>1.3942036470497792</c:v>
                </c:pt>
                <c:pt idx="20">
                  <c:v>1.4178781917098293</c:v>
                </c:pt>
                <c:pt idx="21">
                  <c:v>1.4186268912358007</c:v>
                </c:pt>
                <c:pt idx="22">
                  <c:v>1.417025512670065</c:v>
                </c:pt>
                <c:pt idx="23">
                  <c:v>1.4155032840345112</c:v>
                </c:pt>
                <c:pt idx="24">
                  <c:v>1.4140544795573473</c:v>
                </c:pt>
                <c:pt idx="25">
                  <c:v>1.4126739126671428</c:v>
                </c:pt>
                <c:pt idx="26">
                  <c:v>1.4113568739893438</c:v>
                </c:pt>
                <c:pt idx="27">
                  <c:v>1.4100990777053124</c:v>
                </c:pt>
                <c:pt idx="28">
                  <c:v>1.4088966149871167</c:v>
                </c:pt>
                <c:pt idx="29">
                  <c:v>1.4077459134426862</c:v>
                </c:pt>
                <c:pt idx="30">
                  <c:v>1.4066437016854056</c:v>
                </c:pt>
                <c:pt idx="31">
                  <c:v>1.4055869782883672</c:v>
                </c:pt>
                <c:pt idx="32">
                  <c:v>1.4045729845030741</c:v>
                </c:pt>
                <c:pt idx="33">
                  <c:v>1.40359918022066</c:v>
                </c:pt>
                <c:pt idx="34">
                  <c:v>1.402663222734774</c:v>
                </c:pt>
                <c:pt idx="35">
                  <c:v>1.401762947932474</c:v>
                </c:pt>
                <c:pt idx="36">
                  <c:v>1.4008963535953527</c:v>
                </c:pt>
                <c:pt idx="37">
                  <c:v>1.4000615845397781</c:v>
                </c:pt>
                <c:pt idx="38">
                  <c:v>1.399256919364221</c:v>
                </c:pt>
                <c:pt idx="39">
                  <c:v>1.3984807586044941</c:v>
                </c:pt>
                <c:pt idx="40">
                  <c:v>1.3977316141254568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982-4C91-ADD3-4169AAF528F9}"/>
            </c:ext>
          </c:extLst>
        </c:ser>
        <c:ser>
          <c:idx val="2"/>
          <c:order val="2"/>
          <c:tx>
            <c:strRef>
              <c:f>PVT!$I$58</c:f>
              <c:strCache>
                <c:ptCount val="1"/>
                <c:pt idx="0">
                  <c:v>Bo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10.807837567030385</c:v>
                </c:pt>
                <c:pt idx="2">
                  <c:v>20.615675134060769</c:v>
                </c:pt>
                <c:pt idx="3">
                  <c:v>30.423512701091155</c:v>
                </c:pt>
                <c:pt idx="4">
                  <c:v>40.231350268121538</c:v>
                </c:pt>
                <c:pt idx="5">
                  <c:v>50.039187835151921</c:v>
                </c:pt>
                <c:pt idx="6">
                  <c:v>59.847025402182304</c:v>
                </c:pt>
                <c:pt idx="7">
                  <c:v>69.654862969212687</c:v>
                </c:pt>
                <c:pt idx="8">
                  <c:v>79.462700536243076</c:v>
                </c:pt>
                <c:pt idx="9">
                  <c:v>89.270538103273466</c:v>
                </c:pt>
                <c:pt idx="10">
                  <c:v>99.078375670303856</c:v>
                </c:pt>
                <c:pt idx="11">
                  <c:v>108.88621323733425</c:v>
                </c:pt>
                <c:pt idx="12">
                  <c:v>118.69405080436464</c:v>
                </c:pt>
                <c:pt idx="13">
                  <c:v>128.50188837139501</c:v>
                </c:pt>
                <c:pt idx="14">
                  <c:v>138.3097259384254</c:v>
                </c:pt>
                <c:pt idx="15">
                  <c:v>148.11756350545579</c:v>
                </c:pt>
                <c:pt idx="16">
                  <c:v>157.92540107248618</c:v>
                </c:pt>
                <c:pt idx="17">
                  <c:v>167.73323863951657</c:v>
                </c:pt>
                <c:pt idx="18">
                  <c:v>177.54107620654696</c:v>
                </c:pt>
                <c:pt idx="19">
                  <c:v>187.34891377357735</c:v>
                </c:pt>
                <c:pt idx="20">
                  <c:v>197.15675134060768</c:v>
                </c:pt>
                <c:pt idx="21">
                  <c:v>202.29891377357731</c:v>
                </c:pt>
                <c:pt idx="22">
                  <c:v>207.44107620654694</c:v>
                </c:pt>
                <c:pt idx="23">
                  <c:v>212.58323863951657</c:v>
                </c:pt>
                <c:pt idx="24">
                  <c:v>217.72540107248619</c:v>
                </c:pt>
                <c:pt idx="25">
                  <c:v>222.86756350545582</c:v>
                </c:pt>
                <c:pt idx="26">
                  <c:v>228.00972593842545</c:v>
                </c:pt>
                <c:pt idx="27">
                  <c:v>233.15188837139507</c:v>
                </c:pt>
                <c:pt idx="28">
                  <c:v>238.2940508043647</c:v>
                </c:pt>
                <c:pt idx="29">
                  <c:v>243.43621323733433</c:v>
                </c:pt>
                <c:pt idx="30">
                  <c:v>248.57837567030396</c:v>
                </c:pt>
                <c:pt idx="31">
                  <c:v>253.72053810327358</c:v>
                </c:pt>
                <c:pt idx="32">
                  <c:v>258.86270053624321</c:v>
                </c:pt>
                <c:pt idx="33">
                  <c:v>264.00486296921281</c:v>
                </c:pt>
                <c:pt idx="34">
                  <c:v>269.14702540218241</c:v>
                </c:pt>
                <c:pt idx="35">
                  <c:v>274.28918783515201</c:v>
                </c:pt>
                <c:pt idx="36">
                  <c:v>279.43135026812161</c:v>
                </c:pt>
                <c:pt idx="37">
                  <c:v>284.5735127010912</c:v>
                </c:pt>
                <c:pt idx="38">
                  <c:v>289.7156751340608</c:v>
                </c:pt>
                <c:pt idx="39">
                  <c:v>294.8578375670304</c:v>
                </c:pt>
                <c:pt idx="40">
                  <c:v>300</c:v>
                </c:pt>
              </c:numCache>
            </c:numRef>
          </c:xVal>
          <c:yVal>
            <c:numRef>
              <c:f>PVT!$I$59:$I$99</c:f>
              <c:numCache>
                <c:formatCode>General</c:formatCode>
                <c:ptCount val="41"/>
                <c:pt idx="0">
                  <c:v>1.055315297496489</c:v>
                </c:pt>
                <c:pt idx="1">
                  <c:v>1.0642678398527434</c:v>
                </c:pt>
                <c:pt idx="2">
                  <c:v>1.0756154436347216</c:v>
                </c:pt>
                <c:pt idx="3">
                  <c:v>1.0883834701206292</c:v>
                </c:pt>
                <c:pt idx="4">
                  <c:v>1.1022684840202757</c:v>
                </c:pt>
                <c:pt idx="5">
                  <c:v>1.1171097288316882</c:v>
                </c:pt>
                <c:pt idx="6">
                  <c:v>1.1328040276489428</c:v>
                </c:pt>
                <c:pt idx="7">
                  <c:v>1.1492777046961387</c:v>
                </c:pt>
                <c:pt idx="8">
                  <c:v>1.1664744606199513</c:v>
                </c:pt>
                <c:pt idx="9">
                  <c:v>1.1843492361300076</c:v>
                </c:pt>
                <c:pt idx="10">
                  <c:v>1.2028647510010473</c:v>
                </c:pt>
                <c:pt idx="11">
                  <c:v>1.2219893897562828</c:v>
                </c:pt>
                <c:pt idx="12">
                  <c:v>1.2416958278891055</c:v>
                </c:pt>
                <c:pt idx="13">
                  <c:v>1.2619600943421767</c:v>
                </c:pt>
                <c:pt idx="14">
                  <c:v>1.2827609056497578</c:v>
                </c:pt>
                <c:pt idx="15">
                  <c:v>1.3040791771666136</c:v>
                </c:pt>
                <c:pt idx="16">
                  <c:v>1.3258976542482241</c:v>
                </c:pt>
                <c:pt idx="17">
                  <c:v>1.348200627374089</c:v>
                </c:pt>
                <c:pt idx="18">
                  <c:v>1.3709737076827364</c:v>
                </c:pt>
                <c:pt idx="19">
                  <c:v>1.3942036470497792</c:v>
                </c:pt>
                <c:pt idx="20">
                  <c:v>1.4178781917098293</c:v>
                </c:pt>
                <c:pt idx="21">
                  <c:v>1.4186268912358007</c:v>
                </c:pt>
                <c:pt idx="22">
                  <c:v>1.417025512670065</c:v>
                </c:pt>
                <c:pt idx="23">
                  <c:v>1.4155032840345112</c:v>
                </c:pt>
                <c:pt idx="24">
                  <c:v>1.4140544795573473</c:v>
                </c:pt>
                <c:pt idx="25">
                  <c:v>1.4126739126671428</c:v>
                </c:pt>
                <c:pt idx="26">
                  <c:v>1.4113568739893438</c:v>
                </c:pt>
                <c:pt idx="27">
                  <c:v>1.4100990777053124</c:v>
                </c:pt>
                <c:pt idx="28">
                  <c:v>1.4088966149871167</c:v>
                </c:pt>
                <c:pt idx="29">
                  <c:v>1.4077459134426862</c:v>
                </c:pt>
                <c:pt idx="30">
                  <c:v>1.4066437016854056</c:v>
                </c:pt>
                <c:pt idx="31">
                  <c:v>1.4055869782883672</c:v>
                </c:pt>
                <c:pt idx="32">
                  <c:v>1.4045729845030741</c:v>
                </c:pt>
                <c:pt idx="33">
                  <c:v>1.40359918022066</c:v>
                </c:pt>
                <c:pt idx="34">
                  <c:v>1.402663222734774</c:v>
                </c:pt>
                <c:pt idx="35">
                  <c:v>1.401762947932474</c:v>
                </c:pt>
                <c:pt idx="36">
                  <c:v>1.4008963535953527</c:v>
                </c:pt>
                <c:pt idx="37">
                  <c:v>1.4000615845397781</c:v>
                </c:pt>
                <c:pt idx="38">
                  <c:v>1.399256919364221</c:v>
                </c:pt>
                <c:pt idx="39">
                  <c:v>1.3984807586044941</c:v>
                </c:pt>
                <c:pt idx="40">
                  <c:v>1.3977316141254568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65-4694-BE33-B934A55DAA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557184"/>
        <c:axId val="282557760"/>
      </c:scatterChart>
      <c:valAx>
        <c:axId val="282557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7760"/>
        <c:crosses val="autoZero"/>
        <c:crossBetween val="midCat"/>
      </c:valAx>
      <c:valAx>
        <c:axId val="282557760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Объемный коэффициент, м3/м3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7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Вязкость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PVT!$M$58</c:f>
              <c:strCache>
                <c:ptCount val="1"/>
                <c:pt idx="0">
                  <c:v>μo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10.807837567030385</c:v>
                </c:pt>
                <c:pt idx="2">
                  <c:v>20.615675134060769</c:v>
                </c:pt>
                <c:pt idx="3">
                  <c:v>30.423512701091155</c:v>
                </c:pt>
                <c:pt idx="4">
                  <c:v>40.231350268121538</c:v>
                </c:pt>
                <c:pt idx="5">
                  <c:v>50.039187835151921</c:v>
                </c:pt>
                <c:pt idx="6">
                  <c:v>59.847025402182304</c:v>
                </c:pt>
                <c:pt idx="7">
                  <c:v>69.654862969212687</c:v>
                </c:pt>
                <c:pt idx="8">
                  <c:v>79.462700536243076</c:v>
                </c:pt>
                <c:pt idx="9">
                  <c:v>89.270538103273466</c:v>
                </c:pt>
                <c:pt idx="10">
                  <c:v>99.078375670303856</c:v>
                </c:pt>
                <c:pt idx="11">
                  <c:v>108.88621323733425</c:v>
                </c:pt>
                <c:pt idx="12">
                  <c:v>118.69405080436464</c:v>
                </c:pt>
                <c:pt idx="13">
                  <c:v>128.50188837139501</c:v>
                </c:pt>
                <c:pt idx="14">
                  <c:v>138.3097259384254</c:v>
                </c:pt>
                <c:pt idx="15">
                  <c:v>148.11756350545579</c:v>
                </c:pt>
                <c:pt idx="16">
                  <c:v>157.92540107248618</c:v>
                </c:pt>
                <c:pt idx="17">
                  <c:v>167.73323863951657</c:v>
                </c:pt>
                <c:pt idx="18">
                  <c:v>177.54107620654696</c:v>
                </c:pt>
                <c:pt idx="19">
                  <c:v>187.34891377357735</c:v>
                </c:pt>
                <c:pt idx="20">
                  <c:v>197.15675134060768</c:v>
                </c:pt>
                <c:pt idx="21">
                  <c:v>202.29891377357731</c:v>
                </c:pt>
                <c:pt idx="22">
                  <c:v>207.44107620654694</c:v>
                </c:pt>
                <c:pt idx="23">
                  <c:v>212.58323863951657</c:v>
                </c:pt>
                <c:pt idx="24">
                  <c:v>217.72540107248619</c:v>
                </c:pt>
                <c:pt idx="25">
                  <c:v>222.86756350545582</c:v>
                </c:pt>
                <c:pt idx="26">
                  <c:v>228.00972593842545</c:v>
                </c:pt>
                <c:pt idx="27">
                  <c:v>233.15188837139507</c:v>
                </c:pt>
                <c:pt idx="28">
                  <c:v>238.2940508043647</c:v>
                </c:pt>
                <c:pt idx="29">
                  <c:v>243.43621323733433</c:v>
                </c:pt>
                <c:pt idx="30">
                  <c:v>248.57837567030396</c:v>
                </c:pt>
                <c:pt idx="31">
                  <c:v>253.72053810327358</c:v>
                </c:pt>
                <c:pt idx="32">
                  <c:v>258.86270053624321</c:v>
                </c:pt>
                <c:pt idx="33">
                  <c:v>264.00486296921281</c:v>
                </c:pt>
                <c:pt idx="34">
                  <c:v>269.14702540218241</c:v>
                </c:pt>
                <c:pt idx="35">
                  <c:v>274.28918783515201</c:v>
                </c:pt>
                <c:pt idx="36">
                  <c:v>279.43135026812161</c:v>
                </c:pt>
                <c:pt idx="37">
                  <c:v>284.5735127010912</c:v>
                </c:pt>
                <c:pt idx="38">
                  <c:v>289.7156751340608</c:v>
                </c:pt>
                <c:pt idx="39">
                  <c:v>294.8578375670304</c:v>
                </c:pt>
                <c:pt idx="40">
                  <c:v>300</c:v>
                </c:pt>
              </c:numCache>
            </c:numRef>
          </c:xVal>
          <c:yVal>
            <c:numRef>
              <c:f>PVT!$M$59:$M$99</c:f>
              <c:numCache>
                <c:formatCode>General</c:formatCode>
                <c:ptCount val="41"/>
                <c:pt idx="0">
                  <c:v>2.6758386599815993</c:v>
                </c:pt>
                <c:pt idx="1">
                  <c:v>2.3307115732532013</c:v>
                </c:pt>
                <c:pt idx="2">
                  <c:v>2.0203373782219134</c:v>
                </c:pt>
                <c:pt idx="3">
                  <c:v>1.7714822489996405</c:v>
                </c:pt>
                <c:pt idx="4">
                  <c:v>1.5734648143139371</c:v>
                </c:pt>
                <c:pt idx="5">
                  <c:v>1.4142308508471479</c:v>
                </c:pt>
                <c:pt idx="6">
                  <c:v>1.284292370570796</c:v>
                </c:pt>
                <c:pt idx="7">
                  <c:v>1.1766701902064214</c:v>
                </c:pt>
                <c:pt idx="8">
                  <c:v>1.0862859978933075</c:v>
                </c:pt>
                <c:pt idx="9">
                  <c:v>1.0094198453402949</c:v>
                </c:pt>
                <c:pt idx="10">
                  <c:v>0.94331191264146697</c:v>
                </c:pt>
                <c:pt idx="11">
                  <c:v>0.88588467856016206</c:v>
                </c:pt>
                <c:pt idx="12">
                  <c:v>0.83555112107454399</c:v>
                </c:pt>
                <c:pt idx="13">
                  <c:v>0.7910817212753618</c:v>
                </c:pt>
                <c:pt idx="14">
                  <c:v>0.75151126668649693</c:v>
                </c:pt>
                <c:pt idx="15">
                  <c:v>0.71607269341030877</c:v>
                </c:pt>
                <c:pt idx="16">
                  <c:v>0.68414947584042696</c:v>
                </c:pt>
                <c:pt idx="17">
                  <c:v>0.65524089485930148</c:v>
                </c:pt>
                <c:pt idx="18">
                  <c:v>0.62893636577126166</c:v>
                </c:pt>
                <c:pt idx="19">
                  <c:v>0.60489622403723109</c:v>
                </c:pt>
                <c:pt idx="20">
                  <c:v>0.58283717373881139</c:v>
                </c:pt>
                <c:pt idx="21">
                  <c:v>0.58465602872172595</c:v>
                </c:pt>
                <c:pt idx="22">
                  <c:v>0.58873062206204108</c:v>
                </c:pt>
                <c:pt idx="23">
                  <c:v>0.59291328574740609</c:v>
                </c:pt>
                <c:pt idx="24">
                  <c:v>0.5972015664745528</c:v>
                </c:pt>
                <c:pt idx="25">
                  <c:v>0.60159311453524822</c:v>
                </c:pt>
                <c:pt idx="26">
                  <c:v>0.60608567481584175</c:v>
                </c:pt>
                <c:pt idx="27">
                  <c:v>0.61067707858150111</c:v>
                </c:pt>
                <c:pt idx="28">
                  <c:v>0.61536523596598403</c:v>
                </c:pt>
                <c:pt idx="29">
                  <c:v>0.62014812909724837</c:v>
                </c:pt>
                <c:pt idx="30">
                  <c:v>0.62502380579738293</c:v>
                </c:pt>
                <c:pt idx="31">
                  <c:v>0.62999037380240752</c:v>
                </c:pt>
                <c:pt idx="32">
                  <c:v>0.63504599545364859</c:v>
                </c:pt>
                <c:pt idx="33">
                  <c:v>0.64018888281774511</c:v>
                </c:pt>
                <c:pt idx="34">
                  <c:v>0.64541729319702246</c:v>
                </c:pt>
                <c:pt idx="35">
                  <c:v>0.65072952499606274</c:v>
                </c:pt>
                <c:pt idx="36">
                  <c:v>0.65612391391389813</c:v>
                </c:pt>
                <c:pt idx="37">
                  <c:v>0.66159882943440962</c:v>
                </c:pt>
                <c:pt idx="38">
                  <c:v>0.66715267159031022</c:v>
                </c:pt>
                <c:pt idx="39">
                  <c:v>0.67278386797854128</c:v>
                </c:pt>
                <c:pt idx="40">
                  <c:v>0.67849087100709848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22-4AB2-A71C-9949B6278C41}"/>
            </c:ext>
          </c:extLst>
        </c:ser>
        <c:ser>
          <c:idx val="1"/>
          <c:order val="1"/>
          <c:tx>
            <c:strRef>
              <c:f>PVT!$N$58</c:f>
              <c:strCache>
                <c:ptCount val="1"/>
                <c:pt idx="0">
                  <c:v>μo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10.807837567030385</c:v>
                </c:pt>
                <c:pt idx="2">
                  <c:v>20.615675134060769</c:v>
                </c:pt>
                <c:pt idx="3">
                  <c:v>30.423512701091155</c:v>
                </c:pt>
                <c:pt idx="4">
                  <c:v>40.231350268121538</c:v>
                </c:pt>
                <c:pt idx="5">
                  <c:v>50.039187835151921</c:v>
                </c:pt>
                <c:pt idx="6">
                  <c:v>59.847025402182304</c:v>
                </c:pt>
                <c:pt idx="7">
                  <c:v>69.654862969212687</c:v>
                </c:pt>
                <c:pt idx="8">
                  <c:v>79.462700536243076</c:v>
                </c:pt>
                <c:pt idx="9">
                  <c:v>89.270538103273466</c:v>
                </c:pt>
                <c:pt idx="10">
                  <c:v>99.078375670303856</c:v>
                </c:pt>
                <c:pt idx="11">
                  <c:v>108.88621323733425</c:v>
                </c:pt>
                <c:pt idx="12">
                  <c:v>118.69405080436464</c:v>
                </c:pt>
                <c:pt idx="13">
                  <c:v>128.50188837139501</c:v>
                </c:pt>
                <c:pt idx="14">
                  <c:v>138.3097259384254</c:v>
                </c:pt>
                <c:pt idx="15">
                  <c:v>148.11756350545579</c:v>
                </c:pt>
                <c:pt idx="16">
                  <c:v>157.92540107248618</c:v>
                </c:pt>
                <c:pt idx="17">
                  <c:v>167.73323863951657</c:v>
                </c:pt>
                <c:pt idx="18">
                  <c:v>177.54107620654696</c:v>
                </c:pt>
                <c:pt idx="19">
                  <c:v>187.34891377357735</c:v>
                </c:pt>
                <c:pt idx="20">
                  <c:v>197.15675134060768</c:v>
                </c:pt>
                <c:pt idx="21">
                  <c:v>202.29891377357731</c:v>
                </c:pt>
                <c:pt idx="22">
                  <c:v>207.44107620654694</c:v>
                </c:pt>
                <c:pt idx="23">
                  <c:v>212.58323863951657</c:v>
                </c:pt>
                <c:pt idx="24">
                  <c:v>217.72540107248619</c:v>
                </c:pt>
                <c:pt idx="25">
                  <c:v>222.86756350545582</c:v>
                </c:pt>
                <c:pt idx="26">
                  <c:v>228.00972593842545</c:v>
                </c:pt>
                <c:pt idx="27">
                  <c:v>233.15188837139507</c:v>
                </c:pt>
                <c:pt idx="28">
                  <c:v>238.2940508043647</c:v>
                </c:pt>
                <c:pt idx="29">
                  <c:v>243.43621323733433</c:v>
                </c:pt>
                <c:pt idx="30">
                  <c:v>248.57837567030396</c:v>
                </c:pt>
                <c:pt idx="31">
                  <c:v>253.72053810327358</c:v>
                </c:pt>
                <c:pt idx="32">
                  <c:v>258.86270053624321</c:v>
                </c:pt>
                <c:pt idx="33">
                  <c:v>264.00486296921281</c:v>
                </c:pt>
                <c:pt idx="34">
                  <c:v>269.14702540218241</c:v>
                </c:pt>
                <c:pt idx="35">
                  <c:v>274.28918783515201</c:v>
                </c:pt>
                <c:pt idx="36">
                  <c:v>279.43135026812161</c:v>
                </c:pt>
                <c:pt idx="37">
                  <c:v>284.5735127010912</c:v>
                </c:pt>
                <c:pt idx="38">
                  <c:v>289.7156751340608</c:v>
                </c:pt>
                <c:pt idx="39">
                  <c:v>294.8578375670304</c:v>
                </c:pt>
                <c:pt idx="40">
                  <c:v>300</c:v>
                </c:pt>
              </c:numCache>
            </c:numRef>
          </c:xVal>
          <c:yVal>
            <c:numRef>
              <c:f>PVT!$N$59:$N$99</c:f>
              <c:numCache>
                <c:formatCode>General</c:formatCode>
                <c:ptCount val="41"/>
                <c:pt idx="0">
                  <c:v>2.6758386599815993</c:v>
                </c:pt>
                <c:pt idx="1">
                  <c:v>2.3307115732532013</c:v>
                </c:pt>
                <c:pt idx="2">
                  <c:v>2.0203373782219134</c:v>
                </c:pt>
                <c:pt idx="3">
                  <c:v>1.7714822489996405</c:v>
                </c:pt>
                <c:pt idx="4">
                  <c:v>1.5734648143139371</c:v>
                </c:pt>
                <c:pt idx="5">
                  <c:v>1.4142308508471479</c:v>
                </c:pt>
                <c:pt idx="6">
                  <c:v>1.284292370570796</c:v>
                </c:pt>
                <c:pt idx="7">
                  <c:v>1.1766701902064214</c:v>
                </c:pt>
                <c:pt idx="8">
                  <c:v>1.0862859978933075</c:v>
                </c:pt>
                <c:pt idx="9">
                  <c:v>1.0094198453402949</c:v>
                </c:pt>
                <c:pt idx="10">
                  <c:v>0.94331191264146697</c:v>
                </c:pt>
                <c:pt idx="11">
                  <c:v>0.88588467856016206</c:v>
                </c:pt>
                <c:pt idx="12">
                  <c:v>0.83555112107454399</c:v>
                </c:pt>
                <c:pt idx="13">
                  <c:v>0.7910817212753618</c:v>
                </c:pt>
                <c:pt idx="14">
                  <c:v>0.75151126668649693</c:v>
                </c:pt>
                <c:pt idx="15">
                  <c:v>0.71607269341030877</c:v>
                </c:pt>
                <c:pt idx="16">
                  <c:v>0.68414947584042696</c:v>
                </c:pt>
                <c:pt idx="17">
                  <c:v>0.65524089485930148</c:v>
                </c:pt>
                <c:pt idx="18">
                  <c:v>0.62893636577126166</c:v>
                </c:pt>
                <c:pt idx="19">
                  <c:v>0.60489622403723109</c:v>
                </c:pt>
                <c:pt idx="20">
                  <c:v>0.58283717373881139</c:v>
                </c:pt>
                <c:pt idx="21">
                  <c:v>0.58465602872172595</c:v>
                </c:pt>
                <c:pt idx="22">
                  <c:v>0.58873062206204108</c:v>
                </c:pt>
                <c:pt idx="23">
                  <c:v>0.59291328574740609</c:v>
                </c:pt>
                <c:pt idx="24">
                  <c:v>0.5972015664745528</c:v>
                </c:pt>
                <c:pt idx="25">
                  <c:v>0.60159311453524822</c:v>
                </c:pt>
                <c:pt idx="26">
                  <c:v>0.60608567481584175</c:v>
                </c:pt>
                <c:pt idx="27">
                  <c:v>0.61067707858150111</c:v>
                </c:pt>
                <c:pt idx="28">
                  <c:v>0.61536523596598403</c:v>
                </c:pt>
                <c:pt idx="29">
                  <c:v>0.62014812909724837</c:v>
                </c:pt>
                <c:pt idx="30">
                  <c:v>0.62502380579738293</c:v>
                </c:pt>
                <c:pt idx="31">
                  <c:v>0.62999037380240752</c:v>
                </c:pt>
                <c:pt idx="32">
                  <c:v>0.63504599545364859</c:v>
                </c:pt>
                <c:pt idx="33">
                  <c:v>0.64018888281774511</c:v>
                </c:pt>
                <c:pt idx="34">
                  <c:v>0.64541729319702246</c:v>
                </c:pt>
                <c:pt idx="35">
                  <c:v>0.65072952499606274</c:v>
                </c:pt>
                <c:pt idx="36">
                  <c:v>0.65612391391389813</c:v>
                </c:pt>
                <c:pt idx="37">
                  <c:v>0.66159882943440962</c:v>
                </c:pt>
                <c:pt idx="38">
                  <c:v>0.66715267159031022</c:v>
                </c:pt>
                <c:pt idx="39">
                  <c:v>0.67278386797854128</c:v>
                </c:pt>
                <c:pt idx="40">
                  <c:v>0.67849087100709848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722-4AB2-A71C-9949B6278C41}"/>
            </c:ext>
          </c:extLst>
        </c:ser>
        <c:ser>
          <c:idx val="2"/>
          <c:order val="2"/>
          <c:tx>
            <c:strRef>
              <c:f>PVT!$O$58</c:f>
              <c:strCache>
                <c:ptCount val="1"/>
                <c:pt idx="0">
                  <c:v>μo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10.807837567030385</c:v>
                </c:pt>
                <c:pt idx="2">
                  <c:v>20.615675134060769</c:v>
                </c:pt>
                <c:pt idx="3">
                  <c:v>30.423512701091155</c:v>
                </c:pt>
                <c:pt idx="4">
                  <c:v>40.231350268121538</c:v>
                </c:pt>
                <c:pt idx="5">
                  <c:v>50.039187835151921</c:v>
                </c:pt>
                <c:pt idx="6">
                  <c:v>59.847025402182304</c:v>
                </c:pt>
                <c:pt idx="7">
                  <c:v>69.654862969212687</c:v>
                </c:pt>
                <c:pt idx="8">
                  <c:v>79.462700536243076</c:v>
                </c:pt>
                <c:pt idx="9">
                  <c:v>89.270538103273466</c:v>
                </c:pt>
                <c:pt idx="10">
                  <c:v>99.078375670303856</c:v>
                </c:pt>
                <c:pt idx="11">
                  <c:v>108.88621323733425</c:v>
                </c:pt>
                <c:pt idx="12">
                  <c:v>118.69405080436464</c:v>
                </c:pt>
                <c:pt idx="13">
                  <c:v>128.50188837139501</c:v>
                </c:pt>
                <c:pt idx="14">
                  <c:v>138.3097259384254</c:v>
                </c:pt>
                <c:pt idx="15">
                  <c:v>148.11756350545579</c:v>
                </c:pt>
                <c:pt idx="16">
                  <c:v>157.92540107248618</c:v>
                </c:pt>
                <c:pt idx="17">
                  <c:v>167.73323863951657</c:v>
                </c:pt>
                <c:pt idx="18">
                  <c:v>177.54107620654696</c:v>
                </c:pt>
                <c:pt idx="19">
                  <c:v>187.34891377357735</c:v>
                </c:pt>
                <c:pt idx="20">
                  <c:v>197.15675134060768</c:v>
                </c:pt>
                <c:pt idx="21">
                  <c:v>202.29891377357731</c:v>
                </c:pt>
                <c:pt idx="22">
                  <c:v>207.44107620654694</c:v>
                </c:pt>
                <c:pt idx="23">
                  <c:v>212.58323863951657</c:v>
                </c:pt>
                <c:pt idx="24">
                  <c:v>217.72540107248619</c:v>
                </c:pt>
                <c:pt idx="25">
                  <c:v>222.86756350545582</c:v>
                </c:pt>
                <c:pt idx="26">
                  <c:v>228.00972593842545</c:v>
                </c:pt>
                <c:pt idx="27">
                  <c:v>233.15188837139507</c:v>
                </c:pt>
                <c:pt idx="28">
                  <c:v>238.2940508043647</c:v>
                </c:pt>
                <c:pt idx="29">
                  <c:v>243.43621323733433</c:v>
                </c:pt>
                <c:pt idx="30">
                  <c:v>248.57837567030396</c:v>
                </c:pt>
                <c:pt idx="31">
                  <c:v>253.72053810327358</c:v>
                </c:pt>
                <c:pt idx="32">
                  <c:v>258.86270053624321</c:v>
                </c:pt>
                <c:pt idx="33">
                  <c:v>264.00486296921281</c:v>
                </c:pt>
                <c:pt idx="34">
                  <c:v>269.14702540218241</c:v>
                </c:pt>
                <c:pt idx="35">
                  <c:v>274.28918783515201</c:v>
                </c:pt>
                <c:pt idx="36">
                  <c:v>279.43135026812161</c:v>
                </c:pt>
                <c:pt idx="37">
                  <c:v>284.5735127010912</c:v>
                </c:pt>
                <c:pt idx="38">
                  <c:v>289.7156751340608</c:v>
                </c:pt>
                <c:pt idx="39">
                  <c:v>294.8578375670304</c:v>
                </c:pt>
                <c:pt idx="40">
                  <c:v>300</c:v>
                </c:pt>
              </c:numCache>
            </c:numRef>
          </c:xVal>
          <c:yVal>
            <c:numRef>
              <c:f>PVT!$O$59:$O$99</c:f>
              <c:numCache>
                <c:formatCode>General</c:formatCode>
                <c:ptCount val="41"/>
                <c:pt idx="0">
                  <c:v>2.6758386599815993</c:v>
                </c:pt>
                <c:pt idx="1">
                  <c:v>2.3307115732532013</c:v>
                </c:pt>
                <c:pt idx="2">
                  <c:v>2.0203373782219134</c:v>
                </c:pt>
                <c:pt idx="3">
                  <c:v>1.7714822489996405</c:v>
                </c:pt>
                <c:pt idx="4">
                  <c:v>1.5734648143139371</c:v>
                </c:pt>
                <c:pt idx="5">
                  <c:v>1.4142308508471479</c:v>
                </c:pt>
                <c:pt idx="6">
                  <c:v>1.284292370570796</c:v>
                </c:pt>
                <c:pt idx="7">
                  <c:v>1.1766701902064214</c:v>
                </c:pt>
                <c:pt idx="8">
                  <c:v>1.0862859978933075</c:v>
                </c:pt>
                <c:pt idx="9">
                  <c:v>1.0094198453402949</c:v>
                </c:pt>
                <c:pt idx="10">
                  <c:v>0.94331191264146697</c:v>
                </c:pt>
                <c:pt idx="11">
                  <c:v>0.88588467856016206</c:v>
                </c:pt>
                <c:pt idx="12">
                  <c:v>0.83555112107454399</c:v>
                </c:pt>
                <c:pt idx="13">
                  <c:v>0.7910817212753618</c:v>
                </c:pt>
                <c:pt idx="14">
                  <c:v>0.75151126668649693</c:v>
                </c:pt>
                <c:pt idx="15">
                  <c:v>0.71607269341030877</c:v>
                </c:pt>
                <c:pt idx="16">
                  <c:v>0.68414947584042696</c:v>
                </c:pt>
                <c:pt idx="17">
                  <c:v>0.65524089485930148</c:v>
                </c:pt>
                <c:pt idx="18">
                  <c:v>0.62893636577126166</c:v>
                </c:pt>
                <c:pt idx="19">
                  <c:v>0.60489622403723109</c:v>
                </c:pt>
                <c:pt idx="20">
                  <c:v>0.58283717373881139</c:v>
                </c:pt>
                <c:pt idx="21">
                  <c:v>0.58465602872172595</c:v>
                </c:pt>
                <c:pt idx="22">
                  <c:v>0.58873062206204108</c:v>
                </c:pt>
                <c:pt idx="23">
                  <c:v>0.59291328574740609</c:v>
                </c:pt>
                <c:pt idx="24">
                  <c:v>0.5972015664745528</c:v>
                </c:pt>
                <c:pt idx="25">
                  <c:v>0.60159311453524822</c:v>
                </c:pt>
                <c:pt idx="26">
                  <c:v>0.60608567481584175</c:v>
                </c:pt>
                <c:pt idx="27">
                  <c:v>0.61067707858150111</c:v>
                </c:pt>
                <c:pt idx="28">
                  <c:v>0.61536523596598403</c:v>
                </c:pt>
                <c:pt idx="29">
                  <c:v>0.62014812909724837</c:v>
                </c:pt>
                <c:pt idx="30">
                  <c:v>0.62502380579738293</c:v>
                </c:pt>
                <c:pt idx="31">
                  <c:v>0.62999037380240752</c:v>
                </c:pt>
                <c:pt idx="32">
                  <c:v>0.63504599545364859</c:v>
                </c:pt>
                <c:pt idx="33">
                  <c:v>0.64018888281774511</c:v>
                </c:pt>
                <c:pt idx="34">
                  <c:v>0.64541729319702246</c:v>
                </c:pt>
                <c:pt idx="35">
                  <c:v>0.65072952499606274</c:v>
                </c:pt>
                <c:pt idx="36">
                  <c:v>0.65612391391389813</c:v>
                </c:pt>
                <c:pt idx="37">
                  <c:v>0.66159882943440962</c:v>
                </c:pt>
                <c:pt idx="38">
                  <c:v>0.66715267159031022</c:v>
                </c:pt>
                <c:pt idx="39">
                  <c:v>0.67278386797854128</c:v>
                </c:pt>
                <c:pt idx="40">
                  <c:v>0.67849087100709848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5E-4E52-A6C9-C8D67E032E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9185600"/>
        <c:axId val="339186176"/>
      </c:scatterChart>
      <c:valAx>
        <c:axId val="339185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9186176"/>
        <c:crosses val="autoZero"/>
        <c:crossBetween val="midCat"/>
      </c:valAx>
      <c:valAx>
        <c:axId val="339186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Вязкость, сП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9185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ru-RU" sz="1400"/>
              <a:t>Диаграмма рассогласованности </a:t>
            </a:r>
            <a:r>
              <a:rPr lang="en-US" sz="1400"/>
              <a:t>PVT </a:t>
            </a:r>
            <a:r>
              <a:rPr lang="ru-RU" sz="1400"/>
              <a:t>данных</a:t>
            </a:r>
          </a:p>
        </c:rich>
      </c:tx>
      <c:layout>
        <c:manualLayout>
          <c:xMode val="edge"/>
          <c:yMode val="edge"/>
          <c:x val="0.17061169954038882"/>
          <c:y val="2.251029548497659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3988068486862294"/>
          <c:y val="0.13755942819291705"/>
          <c:w val="0.47573625917167467"/>
          <c:h val="0.7857684778848909"/>
        </c:manualLayout>
      </c:layout>
      <c:radarChart>
        <c:radarStyle val="marker"/>
        <c:varyColors val="0"/>
        <c:ser>
          <c:idx val="0"/>
          <c:order val="0"/>
          <c:tx>
            <c:strRef>
              <c:f>PVT!$AD$33</c:f>
              <c:strCache>
                <c:ptCount val="1"/>
                <c:pt idx="0">
                  <c:v>γg = 0.80,  γo = 0.86</c:v>
                </c:pt>
              </c:strCache>
            </c:strRef>
          </c:tx>
          <c:cat>
            <c:strRef>
              <c:f>PVT!$Z$32:$Z$36</c:f>
              <c:strCache>
                <c:ptCount val="5"/>
                <c:pt idx="0">
                  <c:v>Pb</c:v>
                </c:pt>
                <c:pt idx="1">
                  <c:v>Bob</c:v>
                </c:pt>
                <c:pt idx="2">
                  <c:v>μob</c:v>
                </c:pt>
                <c:pt idx="3">
                  <c:v>γo</c:v>
                </c:pt>
                <c:pt idx="4">
                  <c:v>γg</c:v>
                </c:pt>
              </c:strCache>
            </c:strRef>
          </c:cat>
          <c:val>
            <c:numRef>
              <c:f>PVT!$AA$32:$AA$36</c:f>
              <c:numCache>
                <c:formatCode>0%</c:formatCode>
                <c:ptCount val="5"/>
                <c:pt idx="0">
                  <c:v>0.39134724434220269</c:v>
                </c:pt>
                <c:pt idx="1">
                  <c:v>0.52416499140309414</c:v>
                </c:pt>
                <c:pt idx="2">
                  <c:v>0.72208309249808289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D2-470B-A0BD-41B3CFBB7E09}"/>
            </c:ext>
          </c:extLst>
        </c:ser>
        <c:ser>
          <c:idx val="1"/>
          <c:order val="1"/>
          <c:tx>
            <c:strRef>
              <c:f>PVT!$AD$34</c:f>
              <c:strCache>
                <c:ptCount val="1"/>
                <c:pt idx="0">
                  <c:v>γg new  = 0.89,  γo new  = 0.91</c:v>
                </c:pt>
              </c:strCache>
            </c:strRef>
          </c:tx>
          <c:cat>
            <c:strRef>
              <c:f>PVT!$Z$32:$Z$36</c:f>
              <c:strCache>
                <c:ptCount val="5"/>
                <c:pt idx="0">
                  <c:v>Pb</c:v>
                </c:pt>
                <c:pt idx="1">
                  <c:v>Bob</c:v>
                </c:pt>
                <c:pt idx="2">
                  <c:v>μob</c:v>
                </c:pt>
                <c:pt idx="3">
                  <c:v>γo</c:v>
                </c:pt>
                <c:pt idx="4">
                  <c:v>γg</c:v>
                </c:pt>
              </c:strCache>
            </c:strRef>
          </c:cat>
          <c:val>
            <c:numRef>
              <c:f>PVT!$AB$32:$AB$36</c:f>
              <c:numCache>
                <c:formatCode>0%</c:formatCode>
                <c:ptCount val="5"/>
                <c:pt idx="0">
                  <c:v>0.48264684995454271</c:v>
                </c:pt>
                <c:pt idx="1">
                  <c:v>0.53513900042020446</c:v>
                </c:pt>
                <c:pt idx="2">
                  <c:v>0.10451197309979772</c:v>
                </c:pt>
                <c:pt idx="3">
                  <c:v>5.5118717248214565E-2</c:v>
                </c:pt>
                <c:pt idx="4">
                  <c:v>0.10770690342956163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D2-470B-A0BD-41B3CFBB7E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7882624"/>
        <c:axId val="338739200"/>
      </c:radarChart>
      <c:catAx>
        <c:axId val="337882624"/>
        <c:scaling>
          <c:orientation val="minMax"/>
        </c:scaling>
        <c:delete val="0"/>
        <c:axPos val="b"/>
        <c:majorGridlines/>
        <c:numFmt formatCode="General" sourceLinked="0"/>
        <c:majorTickMark val="none"/>
        <c:minorTickMark val="none"/>
        <c:tickLblPos val="nextTo"/>
        <c:spPr>
          <a:ln w="6350">
            <a:noFill/>
          </a:ln>
        </c:spPr>
        <c:crossAx val="338739200"/>
        <c:crosses val="autoZero"/>
        <c:auto val="1"/>
        <c:lblAlgn val="ctr"/>
        <c:lblOffset val="100"/>
        <c:noMultiLvlLbl val="0"/>
      </c:catAx>
      <c:valAx>
        <c:axId val="338739200"/>
        <c:scaling>
          <c:orientation val="minMax"/>
          <c:max val="1"/>
        </c:scaling>
        <c:delete val="0"/>
        <c:axPos val="l"/>
        <c:majorGridlines/>
        <c:numFmt formatCode="0%" sourceLinked="1"/>
        <c:majorTickMark val="none"/>
        <c:minorTickMark val="none"/>
        <c:tickLblPos val="nextTo"/>
        <c:crossAx val="337882624"/>
        <c:crosses val="autoZero"/>
        <c:crossBetween val="between"/>
      </c:valAx>
    </c:plotArea>
    <c:legend>
      <c:legendPos val="l"/>
      <c:layout>
        <c:manualLayout>
          <c:xMode val="edge"/>
          <c:yMode val="edge"/>
          <c:x val="3.7179019000870013E-2"/>
          <c:y val="0.22869854114026331"/>
          <c:w val="0.30971081245519272"/>
          <c:h val="0.12020145846718318"/>
        </c:manualLayout>
      </c:layout>
      <c:overlay val="0"/>
    </c:legend>
    <c:plotVisOnly val="0"/>
    <c:dispBlanksAs val="gap"/>
    <c:showDLblsOverMax val="0"/>
  </c:chart>
  <c:txPr>
    <a:bodyPr/>
    <a:lstStyle/>
    <a:p>
      <a:pPr>
        <a:defRPr sz="1000"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Доля</a:t>
            </a:r>
            <a:r>
              <a:rPr lang="ru-RU" baseline="0"/>
              <a:t> газа в потоке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PVT!$P$58</c:f>
              <c:strCache>
                <c:ptCount val="1"/>
                <c:pt idx="0">
                  <c:v>βg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10.807837567030385</c:v>
                </c:pt>
                <c:pt idx="2">
                  <c:v>20.615675134060769</c:v>
                </c:pt>
                <c:pt idx="3">
                  <c:v>30.423512701091155</c:v>
                </c:pt>
                <c:pt idx="4">
                  <c:v>40.231350268121538</c:v>
                </c:pt>
                <c:pt idx="5">
                  <c:v>50.039187835151921</c:v>
                </c:pt>
                <c:pt idx="6">
                  <c:v>59.847025402182304</c:v>
                </c:pt>
                <c:pt idx="7">
                  <c:v>69.654862969212687</c:v>
                </c:pt>
                <c:pt idx="8">
                  <c:v>79.462700536243076</c:v>
                </c:pt>
                <c:pt idx="9">
                  <c:v>89.270538103273466</c:v>
                </c:pt>
                <c:pt idx="10">
                  <c:v>99.078375670303856</c:v>
                </c:pt>
                <c:pt idx="11">
                  <c:v>108.88621323733425</c:v>
                </c:pt>
                <c:pt idx="12">
                  <c:v>118.69405080436464</c:v>
                </c:pt>
                <c:pt idx="13">
                  <c:v>128.50188837139501</c:v>
                </c:pt>
                <c:pt idx="14">
                  <c:v>138.3097259384254</c:v>
                </c:pt>
                <c:pt idx="15">
                  <c:v>148.11756350545579</c:v>
                </c:pt>
                <c:pt idx="16">
                  <c:v>157.92540107248618</c:v>
                </c:pt>
                <c:pt idx="17">
                  <c:v>167.73323863951657</c:v>
                </c:pt>
                <c:pt idx="18">
                  <c:v>177.54107620654696</c:v>
                </c:pt>
                <c:pt idx="19">
                  <c:v>187.34891377357735</c:v>
                </c:pt>
                <c:pt idx="20">
                  <c:v>197.15675134060768</c:v>
                </c:pt>
                <c:pt idx="21">
                  <c:v>202.29891377357731</c:v>
                </c:pt>
                <c:pt idx="22">
                  <c:v>207.44107620654694</c:v>
                </c:pt>
                <c:pt idx="23">
                  <c:v>212.58323863951657</c:v>
                </c:pt>
                <c:pt idx="24">
                  <c:v>217.72540107248619</c:v>
                </c:pt>
                <c:pt idx="25">
                  <c:v>222.86756350545582</c:v>
                </c:pt>
                <c:pt idx="26">
                  <c:v>228.00972593842545</c:v>
                </c:pt>
                <c:pt idx="27">
                  <c:v>233.15188837139507</c:v>
                </c:pt>
                <c:pt idx="28">
                  <c:v>238.2940508043647</c:v>
                </c:pt>
                <c:pt idx="29">
                  <c:v>243.43621323733433</c:v>
                </c:pt>
                <c:pt idx="30">
                  <c:v>248.57837567030396</c:v>
                </c:pt>
                <c:pt idx="31">
                  <c:v>253.72053810327358</c:v>
                </c:pt>
                <c:pt idx="32">
                  <c:v>258.86270053624321</c:v>
                </c:pt>
                <c:pt idx="33">
                  <c:v>264.00486296921281</c:v>
                </c:pt>
                <c:pt idx="34">
                  <c:v>269.14702540218241</c:v>
                </c:pt>
                <c:pt idx="35">
                  <c:v>274.28918783515201</c:v>
                </c:pt>
                <c:pt idx="36">
                  <c:v>279.43135026812161</c:v>
                </c:pt>
                <c:pt idx="37">
                  <c:v>284.5735127010912</c:v>
                </c:pt>
                <c:pt idx="38">
                  <c:v>289.7156751340608</c:v>
                </c:pt>
                <c:pt idx="39">
                  <c:v>294.8578375670304</c:v>
                </c:pt>
                <c:pt idx="40">
                  <c:v>300</c:v>
                </c:pt>
              </c:numCache>
            </c:numRef>
          </c:xVal>
          <c:yVal>
            <c:numRef>
              <c:f>PVT!$P$59:$P$99</c:f>
              <c:numCache>
                <c:formatCode>General</c:formatCode>
                <c:ptCount val="41"/>
                <c:pt idx="0">
                  <c:v>0.99242844397927155</c:v>
                </c:pt>
                <c:pt idx="1">
                  <c:v>0.92013357555153319</c:v>
                </c:pt>
                <c:pt idx="2">
                  <c:v>0.85058617759997512</c:v>
                </c:pt>
                <c:pt idx="3">
                  <c:v>0.78358072411922886</c:v>
                </c:pt>
                <c:pt idx="4">
                  <c:v>0.71916414202507684</c:v>
                </c:pt>
                <c:pt idx="5">
                  <c:v>0.65740312145671187</c:v>
                </c:pt>
                <c:pt idx="6">
                  <c:v>0.59833048656378218</c:v>
                </c:pt>
                <c:pt idx="7">
                  <c:v>0.54193363096009273</c:v>
                </c:pt>
                <c:pt idx="8">
                  <c:v>0.48815739783972967</c:v>
                </c:pt>
                <c:pt idx="9">
                  <c:v>0.43691203055200867</c:v>
                </c:pt>
                <c:pt idx="10">
                  <c:v>0.38808233195720038</c:v>
                </c:pt>
                <c:pt idx="11">
                  <c:v>0.34153636497272327</c:v>
                </c:pt>
                <c:pt idx="12">
                  <c:v>0.29713304057882739</c:v>
                </c:pt>
                <c:pt idx="13">
                  <c:v>0.25472843848676019</c:v>
                </c:pt>
                <c:pt idx="14">
                  <c:v>0.21418094903675705</c:v>
                </c:pt>
                <c:pt idx="15">
                  <c:v>0.17535543223367112</c:v>
                </c:pt>
                <c:pt idx="16">
                  <c:v>0.13812662244754365</c:v>
                </c:pt>
                <c:pt idx="17">
                  <c:v>0.10238199799950358</c:v>
                </c:pt>
                <c:pt idx="18">
                  <c:v>6.8024300669982204E-2</c:v>
                </c:pt>
                <c:pt idx="19">
                  <c:v>3.4973838795687433E-2</c:v>
                </c:pt>
                <c:pt idx="20">
                  <c:v>3.1706411019746888E-3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E8-47B4-A6E2-5F50FD91F041}"/>
            </c:ext>
          </c:extLst>
        </c:ser>
        <c:ser>
          <c:idx val="1"/>
          <c:order val="1"/>
          <c:tx>
            <c:strRef>
              <c:f>PVT!$Q$58</c:f>
              <c:strCache>
                <c:ptCount val="1"/>
                <c:pt idx="0">
                  <c:v>βg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10.807837567030385</c:v>
                </c:pt>
                <c:pt idx="2">
                  <c:v>20.615675134060769</c:v>
                </c:pt>
                <c:pt idx="3">
                  <c:v>30.423512701091155</c:v>
                </c:pt>
                <c:pt idx="4">
                  <c:v>40.231350268121538</c:v>
                </c:pt>
                <c:pt idx="5">
                  <c:v>50.039187835151921</c:v>
                </c:pt>
                <c:pt idx="6">
                  <c:v>59.847025402182304</c:v>
                </c:pt>
                <c:pt idx="7">
                  <c:v>69.654862969212687</c:v>
                </c:pt>
                <c:pt idx="8">
                  <c:v>79.462700536243076</c:v>
                </c:pt>
                <c:pt idx="9">
                  <c:v>89.270538103273466</c:v>
                </c:pt>
                <c:pt idx="10">
                  <c:v>99.078375670303856</c:v>
                </c:pt>
                <c:pt idx="11">
                  <c:v>108.88621323733425</c:v>
                </c:pt>
                <c:pt idx="12">
                  <c:v>118.69405080436464</c:v>
                </c:pt>
                <c:pt idx="13">
                  <c:v>128.50188837139501</c:v>
                </c:pt>
                <c:pt idx="14">
                  <c:v>138.3097259384254</c:v>
                </c:pt>
                <c:pt idx="15">
                  <c:v>148.11756350545579</c:v>
                </c:pt>
                <c:pt idx="16">
                  <c:v>157.92540107248618</c:v>
                </c:pt>
                <c:pt idx="17">
                  <c:v>167.73323863951657</c:v>
                </c:pt>
                <c:pt idx="18">
                  <c:v>177.54107620654696</c:v>
                </c:pt>
                <c:pt idx="19">
                  <c:v>187.34891377357735</c:v>
                </c:pt>
                <c:pt idx="20">
                  <c:v>197.15675134060768</c:v>
                </c:pt>
                <c:pt idx="21">
                  <c:v>202.29891377357731</c:v>
                </c:pt>
                <c:pt idx="22">
                  <c:v>207.44107620654694</c:v>
                </c:pt>
                <c:pt idx="23">
                  <c:v>212.58323863951657</c:v>
                </c:pt>
                <c:pt idx="24">
                  <c:v>217.72540107248619</c:v>
                </c:pt>
                <c:pt idx="25">
                  <c:v>222.86756350545582</c:v>
                </c:pt>
                <c:pt idx="26">
                  <c:v>228.00972593842545</c:v>
                </c:pt>
                <c:pt idx="27">
                  <c:v>233.15188837139507</c:v>
                </c:pt>
                <c:pt idx="28">
                  <c:v>238.2940508043647</c:v>
                </c:pt>
                <c:pt idx="29">
                  <c:v>243.43621323733433</c:v>
                </c:pt>
                <c:pt idx="30">
                  <c:v>248.57837567030396</c:v>
                </c:pt>
                <c:pt idx="31">
                  <c:v>253.72053810327358</c:v>
                </c:pt>
                <c:pt idx="32">
                  <c:v>258.86270053624321</c:v>
                </c:pt>
                <c:pt idx="33">
                  <c:v>264.00486296921281</c:v>
                </c:pt>
                <c:pt idx="34">
                  <c:v>269.14702540218241</c:v>
                </c:pt>
                <c:pt idx="35">
                  <c:v>274.28918783515201</c:v>
                </c:pt>
                <c:pt idx="36">
                  <c:v>279.43135026812161</c:v>
                </c:pt>
                <c:pt idx="37">
                  <c:v>284.5735127010912</c:v>
                </c:pt>
                <c:pt idx="38">
                  <c:v>289.7156751340608</c:v>
                </c:pt>
                <c:pt idx="39">
                  <c:v>294.8578375670304</c:v>
                </c:pt>
                <c:pt idx="40">
                  <c:v>300</c:v>
                </c:pt>
              </c:numCache>
            </c:numRef>
          </c:xVal>
          <c:yVal>
            <c:numRef>
              <c:f>PVT!$Q$59:$Q$99</c:f>
              <c:numCache>
                <c:formatCode>General</c:formatCode>
                <c:ptCount val="41"/>
                <c:pt idx="0">
                  <c:v>0.99242844397927155</c:v>
                </c:pt>
                <c:pt idx="1">
                  <c:v>0.92013357555153319</c:v>
                </c:pt>
                <c:pt idx="2">
                  <c:v>0.85058617759997512</c:v>
                </c:pt>
                <c:pt idx="3">
                  <c:v>0.78358072411922886</c:v>
                </c:pt>
                <c:pt idx="4">
                  <c:v>0.71916414202507684</c:v>
                </c:pt>
                <c:pt idx="5">
                  <c:v>0.65740312145671187</c:v>
                </c:pt>
                <c:pt idx="6">
                  <c:v>0.59833048656378218</c:v>
                </c:pt>
                <c:pt idx="7">
                  <c:v>0.54193363096009273</c:v>
                </c:pt>
                <c:pt idx="8">
                  <c:v>0.48815739783972967</c:v>
                </c:pt>
                <c:pt idx="9">
                  <c:v>0.43691203055200867</c:v>
                </c:pt>
                <c:pt idx="10">
                  <c:v>0.38808233195720038</c:v>
                </c:pt>
                <c:pt idx="11">
                  <c:v>0.34153636497272327</c:v>
                </c:pt>
                <c:pt idx="12">
                  <c:v>0.29713304057882739</c:v>
                </c:pt>
                <c:pt idx="13">
                  <c:v>0.25472843848676019</c:v>
                </c:pt>
                <c:pt idx="14">
                  <c:v>0.21418094903675705</c:v>
                </c:pt>
                <c:pt idx="15">
                  <c:v>0.17535543223367112</c:v>
                </c:pt>
                <c:pt idx="16">
                  <c:v>0.13812662244754365</c:v>
                </c:pt>
                <c:pt idx="17">
                  <c:v>0.10238199799950358</c:v>
                </c:pt>
                <c:pt idx="18">
                  <c:v>6.8024300669982204E-2</c:v>
                </c:pt>
                <c:pt idx="19">
                  <c:v>3.4973838795687433E-2</c:v>
                </c:pt>
                <c:pt idx="20">
                  <c:v>3.1706411019746888E-3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6E8-47B4-A6E2-5F50FD91F041}"/>
            </c:ext>
          </c:extLst>
        </c:ser>
        <c:ser>
          <c:idx val="2"/>
          <c:order val="2"/>
          <c:tx>
            <c:strRef>
              <c:f>PVT!$R$58</c:f>
              <c:strCache>
                <c:ptCount val="1"/>
                <c:pt idx="0">
                  <c:v>βg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10.807837567030385</c:v>
                </c:pt>
                <c:pt idx="2">
                  <c:v>20.615675134060769</c:v>
                </c:pt>
                <c:pt idx="3">
                  <c:v>30.423512701091155</c:v>
                </c:pt>
                <c:pt idx="4">
                  <c:v>40.231350268121538</c:v>
                </c:pt>
                <c:pt idx="5">
                  <c:v>50.039187835151921</c:v>
                </c:pt>
                <c:pt idx="6">
                  <c:v>59.847025402182304</c:v>
                </c:pt>
                <c:pt idx="7">
                  <c:v>69.654862969212687</c:v>
                </c:pt>
                <c:pt idx="8">
                  <c:v>79.462700536243076</c:v>
                </c:pt>
                <c:pt idx="9">
                  <c:v>89.270538103273466</c:v>
                </c:pt>
                <c:pt idx="10">
                  <c:v>99.078375670303856</c:v>
                </c:pt>
                <c:pt idx="11">
                  <c:v>108.88621323733425</c:v>
                </c:pt>
                <c:pt idx="12">
                  <c:v>118.69405080436464</c:v>
                </c:pt>
                <c:pt idx="13">
                  <c:v>128.50188837139501</c:v>
                </c:pt>
                <c:pt idx="14">
                  <c:v>138.3097259384254</c:v>
                </c:pt>
                <c:pt idx="15">
                  <c:v>148.11756350545579</c:v>
                </c:pt>
                <c:pt idx="16">
                  <c:v>157.92540107248618</c:v>
                </c:pt>
                <c:pt idx="17">
                  <c:v>167.73323863951657</c:v>
                </c:pt>
                <c:pt idx="18">
                  <c:v>177.54107620654696</c:v>
                </c:pt>
                <c:pt idx="19">
                  <c:v>187.34891377357735</c:v>
                </c:pt>
                <c:pt idx="20">
                  <c:v>197.15675134060768</c:v>
                </c:pt>
                <c:pt idx="21">
                  <c:v>202.29891377357731</c:v>
                </c:pt>
                <c:pt idx="22">
                  <c:v>207.44107620654694</c:v>
                </c:pt>
                <c:pt idx="23">
                  <c:v>212.58323863951657</c:v>
                </c:pt>
                <c:pt idx="24">
                  <c:v>217.72540107248619</c:v>
                </c:pt>
                <c:pt idx="25">
                  <c:v>222.86756350545582</c:v>
                </c:pt>
                <c:pt idx="26">
                  <c:v>228.00972593842545</c:v>
                </c:pt>
                <c:pt idx="27">
                  <c:v>233.15188837139507</c:v>
                </c:pt>
                <c:pt idx="28">
                  <c:v>238.2940508043647</c:v>
                </c:pt>
                <c:pt idx="29">
                  <c:v>243.43621323733433</c:v>
                </c:pt>
                <c:pt idx="30">
                  <c:v>248.57837567030396</c:v>
                </c:pt>
                <c:pt idx="31">
                  <c:v>253.72053810327358</c:v>
                </c:pt>
                <c:pt idx="32">
                  <c:v>258.86270053624321</c:v>
                </c:pt>
                <c:pt idx="33">
                  <c:v>264.00486296921281</c:v>
                </c:pt>
                <c:pt idx="34">
                  <c:v>269.14702540218241</c:v>
                </c:pt>
                <c:pt idx="35">
                  <c:v>274.28918783515201</c:v>
                </c:pt>
                <c:pt idx="36">
                  <c:v>279.43135026812161</c:v>
                </c:pt>
                <c:pt idx="37">
                  <c:v>284.5735127010912</c:v>
                </c:pt>
                <c:pt idx="38">
                  <c:v>289.7156751340608</c:v>
                </c:pt>
                <c:pt idx="39">
                  <c:v>294.8578375670304</c:v>
                </c:pt>
                <c:pt idx="40">
                  <c:v>300</c:v>
                </c:pt>
              </c:numCache>
            </c:numRef>
          </c:xVal>
          <c:yVal>
            <c:numRef>
              <c:f>PVT!$R$59:$R$99</c:f>
              <c:numCache>
                <c:formatCode>General</c:formatCode>
                <c:ptCount val="41"/>
                <c:pt idx="0">
                  <c:v>0.99242844397927155</c:v>
                </c:pt>
                <c:pt idx="1">
                  <c:v>0.92013357555153319</c:v>
                </c:pt>
                <c:pt idx="2">
                  <c:v>0.85058617759997512</c:v>
                </c:pt>
                <c:pt idx="3">
                  <c:v>0.78358072411922886</c:v>
                </c:pt>
                <c:pt idx="4">
                  <c:v>0.71916414202507684</c:v>
                </c:pt>
                <c:pt idx="5">
                  <c:v>0.65740312145671187</c:v>
                </c:pt>
                <c:pt idx="6">
                  <c:v>0.59833048656378218</c:v>
                </c:pt>
                <c:pt idx="7">
                  <c:v>0.54193363096009273</c:v>
                </c:pt>
                <c:pt idx="8">
                  <c:v>0.48815739783972967</c:v>
                </c:pt>
                <c:pt idx="9">
                  <c:v>0.43691203055200867</c:v>
                </c:pt>
                <c:pt idx="10">
                  <c:v>0.38808233195720038</c:v>
                </c:pt>
                <c:pt idx="11">
                  <c:v>0.34153636497272327</c:v>
                </c:pt>
                <c:pt idx="12">
                  <c:v>0.29713304057882739</c:v>
                </c:pt>
                <c:pt idx="13">
                  <c:v>0.25472843848676019</c:v>
                </c:pt>
                <c:pt idx="14">
                  <c:v>0.21418094903675705</c:v>
                </c:pt>
                <c:pt idx="15">
                  <c:v>0.17535543223367112</c:v>
                </c:pt>
                <c:pt idx="16">
                  <c:v>0.13812662244754365</c:v>
                </c:pt>
                <c:pt idx="17">
                  <c:v>0.10238199799950358</c:v>
                </c:pt>
                <c:pt idx="18">
                  <c:v>6.8024300669982204E-2</c:v>
                </c:pt>
                <c:pt idx="19">
                  <c:v>3.4973838795687433E-2</c:v>
                </c:pt>
                <c:pt idx="20">
                  <c:v>3.1706411019746888E-3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6E8-47B4-A6E2-5F50FD91F0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744384"/>
        <c:axId val="338744960"/>
      </c:scatterChart>
      <c:valAx>
        <c:axId val="338744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744960"/>
        <c:crosses val="autoZero"/>
        <c:crossBetween val="midCat"/>
      </c:valAx>
      <c:valAx>
        <c:axId val="338744960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Плотность, кг/м3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7443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Траектория</a:t>
            </a:r>
            <a:r>
              <a:rPr lang="ru-RU" baseline="0"/>
              <a:t> скважины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'Конструкция фонтан'!$R$18:$R$38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10.75</c:v>
                </c:pt>
                <c:pt idx="8">
                  <c:v>25</c:v>
                </c:pt>
                <c:pt idx="9">
                  <c:v>45.75</c:v>
                </c:pt>
                <c:pt idx="10">
                  <c:v>72.5</c:v>
                </c:pt>
                <c:pt idx="11">
                  <c:v>105.25</c:v>
                </c:pt>
                <c:pt idx="12">
                  <c:v>144</c:v>
                </c:pt>
                <c:pt idx="13">
                  <c:v>189.25</c:v>
                </c:pt>
                <c:pt idx="14">
                  <c:v>240.5</c:v>
                </c:pt>
                <c:pt idx="15">
                  <c:v>297.75</c:v>
                </c:pt>
                <c:pt idx="16">
                  <c:v>361</c:v>
                </c:pt>
                <c:pt idx="17">
                  <c:v>520.75</c:v>
                </c:pt>
                <c:pt idx="18">
                  <c:v>680.5</c:v>
                </c:pt>
                <c:pt idx="19">
                  <c:v>840.25</c:v>
                </c:pt>
                <c:pt idx="20">
                  <c:v>1000</c:v>
                </c:pt>
              </c:numCache>
            </c:numRef>
          </c:xVal>
          <c:yVal>
            <c:numRef>
              <c:f>'Конструкция фонтан'!$Q$18:$Q$38</c:f>
              <c:numCache>
                <c:formatCode>General</c:formatCode>
                <c:ptCount val="21"/>
                <c:pt idx="0">
                  <c:v>0</c:v>
                </c:pt>
                <c:pt idx="1">
                  <c:v>175</c:v>
                </c:pt>
                <c:pt idx="2">
                  <c:v>350</c:v>
                </c:pt>
                <c:pt idx="3">
                  <c:v>525</c:v>
                </c:pt>
                <c:pt idx="4">
                  <c:v>700</c:v>
                </c:pt>
                <c:pt idx="5">
                  <c:v>875</c:v>
                </c:pt>
                <c:pt idx="6">
                  <c:v>1048</c:v>
                </c:pt>
                <c:pt idx="7">
                  <c:v>1214.25</c:v>
                </c:pt>
                <c:pt idx="8">
                  <c:v>1375</c:v>
                </c:pt>
                <c:pt idx="9">
                  <c:v>1529.25</c:v>
                </c:pt>
                <c:pt idx="10">
                  <c:v>1677.5</c:v>
                </c:pt>
                <c:pt idx="11">
                  <c:v>1819.75</c:v>
                </c:pt>
                <c:pt idx="12">
                  <c:v>1956</c:v>
                </c:pt>
                <c:pt idx="13">
                  <c:v>2085.75</c:v>
                </c:pt>
                <c:pt idx="14">
                  <c:v>2209.5</c:v>
                </c:pt>
                <c:pt idx="15">
                  <c:v>2327.25</c:v>
                </c:pt>
                <c:pt idx="16">
                  <c:v>2439</c:v>
                </c:pt>
                <c:pt idx="17">
                  <c:v>2454.25</c:v>
                </c:pt>
                <c:pt idx="18">
                  <c:v>2469.5</c:v>
                </c:pt>
                <c:pt idx="19">
                  <c:v>2484.75</c:v>
                </c:pt>
                <c:pt idx="20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8A-47E3-93F7-DA404DF536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47424"/>
        <c:axId val="338848000"/>
      </c:scatterChart>
      <c:valAx>
        <c:axId val="338847424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отклонение от вертикали,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8000"/>
        <c:crosses val="autoZero"/>
        <c:crossBetween val="midCat"/>
      </c:valAx>
      <c:valAx>
        <c:axId val="33884800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Вертикальная глубина,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74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температуры по глубине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'Конструкция фонтан'!$T$18:$T$38</c:f>
              <c:numCache>
                <c:formatCode>General</c:formatCode>
                <c:ptCount val="21"/>
                <c:pt idx="0">
                  <c:v>30</c:v>
                </c:pt>
                <c:pt idx="1">
                  <c:v>30.416666666666668</c:v>
                </c:pt>
                <c:pt idx="2">
                  <c:v>30.833333333333332</c:v>
                </c:pt>
                <c:pt idx="3">
                  <c:v>31.25</c:v>
                </c:pt>
                <c:pt idx="4">
                  <c:v>31.666666666666668</c:v>
                </c:pt>
                <c:pt idx="5">
                  <c:v>32.083333333333336</c:v>
                </c:pt>
                <c:pt idx="6">
                  <c:v>32.5</c:v>
                </c:pt>
                <c:pt idx="7">
                  <c:v>32.916666666666664</c:v>
                </c:pt>
                <c:pt idx="8">
                  <c:v>33.333333333333336</c:v>
                </c:pt>
                <c:pt idx="9">
                  <c:v>33.75</c:v>
                </c:pt>
                <c:pt idx="10">
                  <c:v>34.166666666666664</c:v>
                </c:pt>
                <c:pt idx="11">
                  <c:v>34.583333333333336</c:v>
                </c:pt>
                <c:pt idx="12">
                  <c:v>35</c:v>
                </c:pt>
                <c:pt idx="13">
                  <c:v>41.875</c:v>
                </c:pt>
                <c:pt idx="14">
                  <c:v>48.75</c:v>
                </c:pt>
                <c:pt idx="15">
                  <c:v>55.625</c:v>
                </c:pt>
                <c:pt idx="16">
                  <c:v>62.5</c:v>
                </c:pt>
                <c:pt idx="17">
                  <c:v>69.375</c:v>
                </c:pt>
                <c:pt idx="18">
                  <c:v>76.25</c:v>
                </c:pt>
                <c:pt idx="19">
                  <c:v>83.125</c:v>
                </c:pt>
                <c:pt idx="20">
                  <c:v>90</c:v>
                </c:pt>
              </c:numCache>
            </c:numRef>
          </c:xVal>
          <c:yVal>
            <c:numRef>
              <c:f>'Конструкция фонтан'!$S$18:$S$38</c:f>
              <c:numCache>
                <c:formatCode>General</c:formatCode>
                <c:ptCount val="21"/>
                <c:pt idx="0">
                  <c:v>0</c:v>
                </c:pt>
                <c:pt idx="1">
                  <c:v>125</c:v>
                </c:pt>
                <c:pt idx="2">
                  <c:v>250</c:v>
                </c:pt>
                <c:pt idx="3">
                  <c:v>375</c:v>
                </c:pt>
                <c:pt idx="4">
                  <c:v>500</c:v>
                </c:pt>
                <c:pt idx="5">
                  <c:v>625</c:v>
                </c:pt>
                <c:pt idx="6">
                  <c:v>750</c:v>
                </c:pt>
                <c:pt idx="7">
                  <c:v>875</c:v>
                </c:pt>
                <c:pt idx="8">
                  <c:v>1000</c:v>
                </c:pt>
                <c:pt idx="9">
                  <c:v>1125</c:v>
                </c:pt>
                <c:pt idx="10">
                  <c:v>1250</c:v>
                </c:pt>
                <c:pt idx="11">
                  <c:v>1375</c:v>
                </c:pt>
                <c:pt idx="12">
                  <c:v>1500</c:v>
                </c:pt>
                <c:pt idx="13">
                  <c:v>1625</c:v>
                </c:pt>
                <c:pt idx="14">
                  <c:v>1750</c:v>
                </c:pt>
                <c:pt idx="15">
                  <c:v>1875</c:v>
                </c:pt>
                <c:pt idx="16">
                  <c:v>2000</c:v>
                </c:pt>
                <c:pt idx="17">
                  <c:v>2125</c:v>
                </c:pt>
                <c:pt idx="18">
                  <c:v>2250</c:v>
                </c:pt>
                <c:pt idx="19">
                  <c:v>2375</c:v>
                </c:pt>
                <c:pt idx="20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08-4DA2-8685-82B823F83D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49152"/>
        <c:axId val="338849728"/>
      </c:scatterChart>
      <c:valAx>
        <c:axId val="338849152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</a:t>
                </a:r>
                <a:r>
                  <a:rPr lang="ru-RU" baseline="0"/>
                  <a:t> С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9728"/>
        <c:crosses val="autoZero"/>
        <c:crossBetween val="midCat"/>
      </c:valAx>
      <c:valAx>
        <c:axId val="338849728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Вертикальная</a:t>
                </a:r>
                <a:r>
                  <a:rPr lang="ru-RU" baseline="0"/>
                  <a:t> глубина, 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9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конструкция скважины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э/к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'Конструкция фонтан'!$V$18:$V$38</c:f>
              <c:numCache>
                <c:formatCode>General</c:formatCode>
                <c:ptCount val="21"/>
                <c:pt idx="0">
                  <c:v>150</c:v>
                </c:pt>
                <c:pt idx="1">
                  <c:v>150</c:v>
                </c:pt>
                <c:pt idx="2">
                  <c:v>150</c:v>
                </c:pt>
                <c:pt idx="3">
                  <c:v>150</c:v>
                </c:pt>
                <c:pt idx="4">
                  <c:v>125</c:v>
                </c:pt>
                <c:pt idx="5">
                  <c:v>125</c:v>
                </c:pt>
                <c:pt idx="6">
                  <c:v>125</c:v>
                </c:pt>
                <c:pt idx="7">
                  <c:v>125</c:v>
                </c:pt>
                <c:pt idx="8">
                  <c:v>125</c:v>
                </c:pt>
                <c:pt idx="9">
                  <c:v>125</c:v>
                </c:pt>
                <c:pt idx="10">
                  <c:v>125</c:v>
                </c:pt>
                <c:pt idx="11">
                  <c:v>125</c:v>
                </c:pt>
                <c:pt idx="12">
                  <c:v>125</c:v>
                </c:pt>
                <c:pt idx="13">
                  <c:v>125</c:v>
                </c:pt>
                <c:pt idx="14">
                  <c:v>125</c:v>
                </c:pt>
                <c:pt idx="15">
                  <c:v>125</c:v>
                </c:pt>
                <c:pt idx="16">
                  <c:v>125</c:v>
                </c:pt>
                <c:pt idx="17">
                  <c:v>125</c:v>
                </c:pt>
                <c:pt idx="18">
                  <c:v>125</c:v>
                </c:pt>
                <c:pt idx="19">
                  <c:v>125</c:v>
                </c:pt>
                <c:pt idx="20">
                  <c:v>125</c:v>
                </c:pt>
              </c:numCache>
            </c:numRef>
          </c:xVal>
          <c:yVal>
            <c:numRef>
              <c:f>'Конструкция фонтан'!$U$18:$U$38</c:f>
              <c:numCache>
                <c:formatCode>General</c:formatCode>
                <c:ptCount val="21"/>
                <c:pt idx="0">
                  <c:v>0</c:v>
                </c:pt>
                <c:pt idx="1">
                  <c:v>205.88235294117646</c:v>
                </c:pt>
                <c:pt idx="2">
                  <c:v>411.76470588235293</c:v>
                </c:pt>
                <c:pt idx="3">
                  <c:v>499.99</c:v>
                </c:pt>
                <c:pt idx="4">
                  <c:v>500</c:v>
                </c:pt>
                <c:pt idx="5">
                  <c:v>617.64705882352939</c:v>
                </c:pt>
                <c:pt idx="6">
                  <c:v>823.52941176470586</c:v>
                </c:pt>
                <c:pt idx="7">
                  <c:v>1029.4117647058824</c:v>
                </c:pt>
                <c:pt idx="8">
                  <c:v>1235.2941176470588</c:v>
                </c:pt>
                <c:pt idx="9">
                  <c:v>1441.1764705882351</c:v>
                </c:pt>
                <c:pt idx="10">
                  <c:v>1647.0588235294117</c:v>
                </c:pt>
                <c:pt idx="11">
                  <c:v>1852.9411764705883</c:v>
                </c:pt>
                <c:pt idx="12">
                  <c:v>2058.8235294117649</c:v>
                </c:pt>
                <c:pt idx="13">
                  <c:v>2264.705882352941</c:v>
                </c:pt>
                <c:pt idx="14">
                  <c:v>2470.5882352941176</c:v>
                </c:pt>
                <c:pt idx="15">
                  <c:v>2676.4705882352941</c:v>
                </c:pt>
                <c:pt idx="16">
                  <c:v>2882.3529411764703</c:v>
                </c:pt>
                <c:pt idx="17">
                  <c:v>3088.2352941176468</c:v>
                </c:pt>
                <c:pt idx="18">
                  <c:v>3294.1176470588234</c:v>
                </c:pt>
                <c:pt idx="19">
                  <c:v>3499.99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93-41CB-937E-5596A1EFDF4D}"/>
            </c:ext>
          </c:extLst>
        </c:ser>
        <c:ser>
          <c:idx val="1"/>
          <c:order val="1"/>
          <c:tx>
            <c:v>НКТ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'Конструкция фонтан'!$X$18:$X$38</c:f>
              <c:numCache>
                <c:formatCode>General</c:formatCode>
                <c:ptCount val="21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60</c:v>
                </c:pt>
                <c:pt idx="13">
                  <c:v>60</c:v>
                </c:pt>
                <c:pt idx="14">
                  <c:v>60</c:v>
                </c:pt>
                <c:pt idx="15">
                  <c:v>60</c:v>
                </c:pt>
                <c:pt idx="16">
                  <c:v>60</c:v>
                </c:pt>
                <c:pt idx="17">
                  <c:v>60</c:v>
                </c:pt>
                <c:pt idx="18">
                  <c:v>60</c:v>
                </c:pt>
                <c:pt idx="19">
                  <c:v>60</c:v>
                </c:pt>
                <c:pt idx="20">
                  <c:v>60</c:v>
                </c:pt>
              </c:numCache>
            </c:numRef>
          </c:xVal>
          <c:yVal>
            <c:numRef>
              <c:f>'Конструкция фонтан'!$W$18:$W$38</c:f>
              <c:numCache>
                <c:formatCode>General</c:formatCode>
                <c:ptCount val="21"/>
                <c:pt idx="0">
                  <c:v>0</c:v>
                </c:pt>
                <c:pt idx="1">
                  <c:v>147.05882352941177</c:v>
                </c:pt>
                <c:pt idx="2">
                  <c:v>294.11764705882354</c:v>
                </c:pt>
                <c:pt idx="3">
                  <c:v>441.1764705882353</c:v>
                </c:pt>
                <c:pt idx="4">
                  <c:v>499.99</c:v>
                </c:pt>
                <c:pt idx="5">
                  <c:v>500</c:v>
                </c:pt>
                <c:pt idx="6">
                  <c:v>588.23529411764707</c:v>
                </c:pt>
                <c:pt idx="7">
                  <c:v>735.29411764705878</c:v>
                </c:pt>
                <c:pt idx="8">
                  <c:v>882.35294117647061</c:v>
                </c:pt>
                <c:pt idx="9">
                  <c:v>1029.4117647058824</c:v>
                </c:pt>
                <c:pt idx="10">
                  <c:v>1176.4705882352941</c:v>
                </c:pt>
                <c:pt idx="11">
                  <c:v>1323.5294117647059</c:v>
                </c:pt>
                <c:pt idx="12">
                  <c:v>1470.5882352941176</c:v>
                </c:pt>
                <c:pt idx="13">
                  <c:v>1617.6470588235295</c:v>
                </c:pt>
                <c:pt idx="14">
                  <c:v>1764.7058823529412</c:v>
                </c:pt>
                <c:pt idx="15">
                  <c:v>1911.7647058823529</c:v>
                </c:pt>
                <c:pt idx="16">
                  <c:v>2058.8235294117649</c:v>
                </c:pt>
                <c:pt idx="17">
                  <c:v>2205.8823529411766</c:v>
                </c:pt>
                <c:pt idx="18">
                  <c:v>2352.9411764705883</c:v>
                </c:pt>
                <c:pt idx="19">
                  <c:v>2499.9899999999998</c:v>
                </c:pt>
                <c:pt idx="20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393-41CB-937E-5596A1EFDF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51456"/>
        <c:axId val="338852032"/>
      </c:scatterChart>
      <c:valAx>
        <c:axId val="33885145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Диаметр, мм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52032"/>
        <c:crosses val="autoZero"/>
        <c:crossBetween val="midCat"/>
      </c:valAx>
      <c:valAx>
        <c:axId val="33885203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514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Доля жидкости в потоке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1"/>
          <c:order val="0"/>
          <c:spPr>
            <a:ln w="19050">
              <a:noFill/>
            </a:ln>
          </c:spPr>
          <c:xVal>
            <c:numRef>
              <c:f>Фонтан_расчет!$S$16:$S$36</c:f>
              <c:numCache>
                <c:formatCode>General</c:formatCode>
                <c:ptCount val="21"/>
                <c:pt idx="0">
                  <c:v>0.35338017659758486</c:v>
                </c:pt>
                <c:pt idx="1">
                  <c:v>0.41991837759293899</c:v>
                </c:pt>
                <c:pt idx="2">
                  <c:v>0.48880962279105994</c:v>
                </c:pt>
                <c:pt idx="3">
                  <c:v>0.54312869823768162</c:v>
                </c:pt>
                <c:pt idx="4">
                  <c:v>0.61230492290887206</c:v>
                </c:pt>
                <c:pt idx="5">
                  <c:v>0.68079592262051558</c:v>
                </c:pt>
                <c:pt idx="6">
                  <c:v>0.7888465484682301</c:v>
                </c:pt>
                <c:pt idx="7">
                  <c:v>0.87760198516813026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xVal>
          <c:yVal>
            <c:numRef>
              <c:f>Фонтан_расчет!$R$16:$R$36</c:f>
              <c:numCache>
                <c:formatCode>General</c:formatCode>
                <c:ptCount val="21"/>
                <c:pt idx="0">
                  <c:v>0</c:v>
                </c:pt>
                <c:pt idx="1">
                  <c:v>175</c:v>
                </c:pt>
                <c:pt idx="2">
                  <c:v>350</c:v>
                </c:pt>
                <c:pt idx="3">
                  <c:v>525</c:v>
                </c:pt>
                <c:pt idx="4">
                  <c:v>700</c:v>
                </c:pt>
                <c:pt idx="5">
                  <c:v>875</c:v>
                </c:pt>
                <c:pt idx="6">
                  <c:v>1050</c:v>
                </c:pt>
                <c:pt idx="7">
                  <c:v>1225</c:v>
                </c:pt>
                <c:pt idx="8">
                  <c:v>1400</c:v>
                </c:pt>
                <c:pt idx="9">
                  <c:v>1575</c:v>
                </c:pt>
                <c:pt idx="10">
                  <c:v>1750</c:v>
                </c:pt>
                <c:pt idx="11">
                  <c:v>1925</c:v>
                </c:pt>
                <c:pt idx="12">
                  <c:v>2100</c:v>
                </c:pt>
                <c:pt idx="13">
                  <c:v>2275</c:v>
                </c:pt>
                <c:pt idx="14">
                  <c:v>2450</c:v>
                </c:pt>
                <c:pt idx="15">
                  <c:v>2625</c:v>
                </c:pt>
                <c:pt idx="16">
                  <c:v>2800</c:v>
                </c:pt>
                <c:pt idx="17">
                  <c:v>2975</c:v>
                </c:pt>
                <c:pt idx="18">
                  <c:v>3150</c:v>
                </c:pt>
                <c:pt idx="19">
                  <c:v>3325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24-49D2-BDE9-5A851553B1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0848"/>
        <c:axId val="338871424"/>
      </c:scatterChart>
      <c:valAx>
        <c:axId val="338870848"/>
        <c:scaling>
          <c:orientation val="minMax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Доля жидкости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1424"/>
        <c:crosses val="autoZero"/>
        <c:crossBetween val="midCat"/>
      </c:valAx>
      <c:valAx>
        <c:axId val="338871424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Измеренная глубина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0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давления в стволе скважины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Фонтан_расчет!$N$14</c:f>
              <c:strCache>
                <c:ptCount val="1"/>
                <c:pt idx="0">
                  <c:v>Расчеты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Фонтан_расчет!$O$16:$O$36</c:f>
              <c:numCache>
                <c:formatCode>General</c:formatCode>
                <c:ptCount val="21"/>
                <c:pt idx="0">
                  <c:v>20.234375</c:v>
                </c:pt>
                <c:pt idx="1">
                  <c:v>27.378101774850709</c:v>
                </c:pt>
                <c:pt idx="2">
                  <c:v>35.743163781898289</c:v>
                </c:pt>
                <c:pt idx="3">
                  <c:v>45.325506944678523</c:v>
                </c:pt>
                <c:pt idx="4">
                  <c:v>56.042320968108655</c:v>
                </c:pt>
                <c:pt idx="5">
                  <c:v>67.952493872812866</c:v>
                </c:pt>
                <c:pt idx="6">
                  <c:v>81.042509840437944</c:v>
                </c:pt>
                <c:pt idx="7">
                  <c:v>94.95007208364386</c:v>
                </c:pt>
                <c:pt idx="8">
                  <c:v>109.88322815856289</c:v>
                </c:pt>
                <c:pt idx="9">
                  <c:v>124.45317348253947</c:v>
                </c:pt>
                <c:pt idx="10">
                  <c:v>138.38557339230908</c:v>
                </c:pt>
                <c:pt idx="11">
                  <c:v>151.67468374925491</c:v>
                </c:pt>
                <c:pt idx="12">
                  <c:v>164.32240961167409</c:v>
                </c:pt>
                <c:pt idx="13">
                  <c:v>176.32120025929916</c:v>
                </c:pt>
                <c:pt idx="14">
                  <c:v>182.89203401762629</c:v>
                </c:pt>
                <c:pt idx="15">
                  <c:v>187.63251054872742</c:v>
                </c:pt>
                <c:pt idx="16">
                  <c:v>196.83235113850324</c:v>
                </c:pt>
                <c:pt idx="17">
                  <c:v>199.23477106572182</c:v>
                </c:pt>
                <c:pt idx="18">
                  <c:v>200.69226753841809</c:v>
                </c:pt>
                <c:pt idx="19">
                  <c:v>202.1493908469572</c:v>
                </c:pt>
                <c:pt idx="20">
                  <c:v>203.60613975729535</c:v>
                </c:pt>
              </c:numCache>
            </c:numRef>
          </c:xVal>
          <c:yVal>
            <c:numRef>
              <c:f>Фонтан_расчет!$N$16:$N$36</c:f>
              <c:numCache>
                <c:formatCode>General</c:formatCode>
                <c:ptCount val="21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1105.2631578947369</c:v>
                </c:pt>
                <c:pt idx="7">
                  <c:v>1289.4736842105262</c:v>
                </c:pt>
                <c:pt idx="8">
                  <c:v>1473.6842105263158</c:v>
                </c:pt>
                <c:pt idx="9">
                  <c:v>1657.8947368421054</c:v>
                </c:pt>
                <c:pt idx="10">
                  <c:v>1842.1052631578948</c:v>
                </c:pt>
                <c:pt idx="11">
                  <c:v>2026.3157894736842</c:v>
                </c:pt>
                <c:pt idx="12">
                  <c:v>2210.5263157894738</c:v>
                </c:pt>
                <c:pt idx="13">
                  <c:v>2394.7368421052633</c:v>
                </c:pt>
                <c:pt idx="14">
                  <c:v>2500</c:v>
                </c:pt>
                <c:pt idx="15">
                  <c:v>2578.9473684210525</c:v>
                </c:pt>
                <c:pt idx="16">
                  <c:v>2763.1578947368421</c:v>
                </c:pt>
                <c:pt idx="17">
                  <c:v>2947.3684210526317</c:v>
                </c:pt>
                <c:pt idx="18">
                  <c:v>3131.5789473684213</c:v>
                </c:pt>
                <c:pt idx="19">
                  <c:v>3315.7894736842109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3F-470D-B63D-CEA434D111E5}"/>
            </c:ext>
          </c:extLst>
        </c:ser>
        <c:ser>
          <c:idx val="1"/>
          <c:order val="1"/>
          <c:tx>
            <c:strRef>
              <c:f>Фонтан_расчет!$H$14</c:f>
              <c:strCache>
                <c:ptCount val="1"/>
                <c:pt idx="0">
                  <c:v>Измерения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Фонтан_расчет!$I$16:$I$36</c:f>
              <c:numCache>
                <c:formatCode>General</c:formatCode>
                <c:ptCount val="21"/>
                <c:pt idx="0">
                  <c:v>12</c:v>
                </c:pt>
                <c:pt idx="1">
                  <c:v>16.978153001228488</c:v>
                </c:pt>
                <c:pt idx="2">
                  <c:v>22.808159517353957</c:v>
                </c:pt>
                <c:pt idx="3">
                  <c:v>29.78946407595685</c:v>
                </c:pt>
                <c:pt idx="4">
                  <c:v>38.734369437593315</c:v>
                </c:pt>
                <c:pt idx="5">
                  <c:v>49.937391904010141</c:v>
                </c:pt>
                <c:pt idx="6">
                  <c:v>62.075251209721038</c:v>
                </c:pt>
                <c:pt idx="7">
                  <c:v>74.478662565209234</c:v>
                </c:pt>
                <c:pt idx="8">
                  <c:v>87.106336418809121</c:v>
                </c:pt>
                <c:pt idx="9">
                  <c:v>99.974449993853753</c:v>
                </c:pt>
                <c:pt idx="10">
                  <c:v>113.08814204317881</c:v>
                </c:pt>
                <c:pt idx="11">
                  <c:v>126.29628597527667</c:v>
                </c:pt>
                <c:pt idx="12">
                  <c:v>139.51713685419199</c:v>
                </c:pt>
                <c:pt idx="13">
                  <c:v>152.73830775043135</c:v>
                </c:pt>
                <c:pt idx="14">
                  <c:v>165.95680463762446</c:v>
                </c:pt>
                <c:pt idx="15">
                  <c:v>179.17039572645322</c:v>
                </c:pt>
                <c:pt idx="16">
                  <c:v>192.38366838177041</c:v>
                </c:pt>
                <c:pt idx="17">
                  <c:v>205.5969410370885</c:v>
                </c:pt>
                <c:pt idx="18">
                  <c:v>218.81021369240568</c:v>
                </c:pt>
                <c:pt idx="19">
                  <c:v>232.02348634772284</c:v>
                </c:pt>
                <c:pt idx="20">
                  <c:v>245.23675900304099</c:v>
                </c:pt>
              </c:numCache>
            </c:numRef>
          </c:xVal>
          <c:yVal>
            <c:numRef>
              <c:f>Фонтан_расчет!$H$16:$H$36</c:f>
              <c:numCache>
                <c:formatCode>General</c:formatCode>
                <c:ptCount val="21"/>
                <c:pt idx="0">
                  <c:v>0</c:v>
                </c:pt>
                <c:pt idx="1">
                  <c:v>168.75</c:v>
                </c:pt>
                <c:pt idx="2">
                  <c:v>337.5</c:v>
                </c:pt>
                <c:pt idx="3">
                  <c:v>506.25</c:v>
                </c:pt>
                <c:pt idx="4">
                  <c:v>675</c:v>
                </c:pt>
                <c:pt idx="5">
                  <c:v>843.75</c:v>
                </c:pt>
                <c:pt idx="6">
                  <c:v>1012.5</c:v>
                </c:pt>
                <c:pt idx="7">
                  <c:v>1181.25</c:v>
                </c:pt>
                <c:pt idx="8">
                  <c:v>1350</c:v>
                </c:pt>
                <c:pt idx="9">
                  <c:v>1518.75</c:v>
                </c:pt>
                <c:pt idx="10">
                  <c:v>1687.5</c:v>
                </c:pt>
                <c:pt idx="11">
                  <c:v>1856.25</c:v>
                </c:pt>
                <c:pt idx="12">
                  <c:v>2025</c:v>
                </c:pt>
                <c:pt idx="13">
                  <c:v>2193.75</c:v>
                </c:pt>
                <c:pt idx="14">
                  <c:v>2362.5</c:v>
                </c:pt>
                <c:pt idx="15">
                  <c:v>2531.25</c:v>
                </c:pt>
                <c:pt idx="16">
                  <c:v>2700</c:v>
                </c:pt>
                <c:pt idx="17">
                  <c:v>2868.75</c:v>
                </c:pt>
                <c:pt idx="18">
                  <c:v>3037.5</c:v>
                </c:pt>
                <c:pt idx="19">
                  <c:v>3206.25</c:v>
                </c:pt>
                <c:pt idx="20">
                  <c:v>3375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83F-470D-B63D-CEA434D111E5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9"/>
            <c:spPr>
              <a:solidFill>
                <a:srgbClr val="FF000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4.1841004184100417E-2"/>
                  <c:y val="1.0632642211589561E-2"/>
                </c:manualLayout>
              </c:layout>
              <c:tx>
                <c:rich>
                  <a:bodyPr/>
                  <a:lstStyle/>
                  <a:p>
                    <a:fld id="{5ADEBDC0-5D8D-4E83-BD56-9978DA82CF49}" type="CELLRANGE">
                      <a:rPr lang="en-US" baseline="0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3C08C85D-103C-4D6D-93F4-A9270A100496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970-4310-9FAC-339FA793ABAB}"/>
                </c:ext>
              </c:extLst>
            </c:dLbl>
            <c:dLbl>
              <c:idx val="1"/>
              <c:layout>
                <c:manualLayout>
                  <c:x val="3.9051603905160388E-2"/>
                  <c:y val="4.2530568846358321E-2"/>
                </c:manualLayout>
              </c:layout>
              <c:tx>
                <c:rich>
                  <a:bodyPr/>
                  <a:lstStyle/>
                  <a:p>
                    <a:fld id="{C64DAFEE-C62E-4DE8-92E7-67B4D94E45E8}" type="CELLRANGE">
                      <a:rPr lang="en-US" baseline="0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90A85B52-A899-4C37-97FC-CB6C647B7F66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970-4310-9FAC-339FA793ABA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EAEC760-7C3A-4ADD-89F1-BF3D104FD1CA}" type="CELLRANGE">
                      <a:rPr lang="en-US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705DCBB1-36EC-4136-80CD-C8A38D5FB487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970-4310-9FAC-339FA793ABA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Фонтан_расчет!$V$16:$V$18</c:f>
              <c:numCache>
                <c:formatCode>0</c:formatCode>
                <c:ptCount val="3"/>
                <c:pt idx="0">
                  <c:v>5</c:v>
                </c:pt>
                <c:pt idx="1">
                  <c:v>20.234375</c:v>
                </c:pt>
                <c:pt idx="2">
                  <c:v>203.60613975729535</c:v>
                </c:pt>
              </c:numCache>
            </c:numRef>
          </c:xVal>
          <c:yVal>
            <c:numRef>
              <c:f>Фонтан_расчет!$U$16:$U$18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3500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Фонтан_расчет!$P$10:$P$12</c15:f>
                <c15:dlblRangeCache>
                  <c:ptCount val="3"/>
                  <c:pt idx="0">
                    <c:v>Рlin</c:v>
                  </c:pt>
                  <c:pt idx="1">
                    <c:v>Pwh</c:v>
                  </c:pt>
                  <c:pt idx="2">
                    <c:v>Pwf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970-4310-9FAC-339FA793AB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2576"/>
        <c:axId val="338873152"/>
      </c:scatterChart>
      <c:valAx>
        <c:axId val="33887257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3152"/>
        <c:crosses val="autoZero"/>
        <c:crossBetween val="midCat"/>
      </c:valAx>
      <c:valAx>
        <c:axId val="33887315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2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4938907741134869"/>
          <c:y val="0.95135541071720098"/>
          <c:w val="0.55143105019822314"/>
          <c:h val="3.5885418628891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температуры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Расчет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Фонтан_расчет!$Q$16:$Q$36</c:f>
              <c:numCache>
                <c:formatCode>General</c:formatCode>
                <c:ptCount val="21"/>
                <c:pt idx="0">
                  <c:v>30</c:v>
                </c:pt>
                <c:pt idx="1">
                  <c:v>30.614035087719298</c:v>
                </c:pt>
                <c:pt idx="2">
                  <c:v>31.228070175438596</c:v>
                </c:pt>
                <c:pt idx="3">
                  <c:v>31.842105263157894</c:v>
                </c:pt>
                <c:pt idx="4">
                  <c:v>32.456140350877192</c:v>
                </c:pt>
                <c:pt idx="5">
                  <c:v>33.070175438596493</c:v>
                </c:pt>
                <c:pt idx="6">
                  <c:v>33.67</c:v>
                </c:pt>
                <c:pt idx="7">
                  <c:v>34.247368421052634</c:v>
                </c:pt>
                <c:pt idx="8">
                  <c:v>34.801929824561405</c:v>
                </c:pt>
                <c:pt idx="9">
                  <c:v>40.511578947368434</c:v>
                </c:pt>
                <c:pt idx="10">
                  <c:v>48.920789473684216</c:v>
                </c:pt>
                <c:pt idx="11">
                  <c:v>56.959473684210522</c:v>
                </c:pt>
                <c:pt idx="12">
                  <c:v>64.627631578947373</c:v>
                </c:pt>
                <c:pt idx="13">
                  <c:v>71.91947368421053</c:v>
                </c:pt>
                <c:pt idx="14">
                  <c:v>75.92</c:v>
                </c:pt>
                <c:pt idx="15">
                  <c:v>78.829210526315777</c:v>
                </c:pt>
                <c:pt idx="16">
                  <c:v>85.368421052631589</c:v>
                </c:pt>
                <c:pt idx="17">
                  <c:v>87.351315789473688</c:v>
                </c:pt>
                <c:pt idx="18">
                  <c:v>88.234210526315792</c:v>
                </c:pt>
                <c:pt idx="19">
                  <c:v>89.117105263157882</c:v>
                </c:pt>
                <c:pt idx="20">
                  <c:v>90</c:v>
                </c:pt>
              </c:numCache>
            </c:numRef>
          </c:xVal>
          <c:yVal>
            <c:numRef>
              <c:f>Фонтан_расчет!$N$16:$N$36</c:f>
              <c:numCache>
                <c:formatCode>General</c:formatCode>
                <c:ptCount val="21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1105.2631578947369</c:v>
                </c:pt>
                <c:pt idx="7">
                  <c:v>1289.4736842105262</c:v>
                </c:pt>
                <c:pt idx="8">
                  <c:v>1473.6842105263158</c:v>
                </c:pt>
                <c:pt idx="9">
                  <c:v>1657.8947368421054</c:v>
                </c:pt>
                <c:pt idx="10">
                  <c:v>1842.1052631578948</c:v>
                </c:pt>
                <c:pt idx="11">
                  <c:v>2026.3157894736842</c:v>
                </c:pt>
                <c:pt idx="12">
                  <c:v>2210.5263157894738</c:v>
                </c:pt>
                <c:pt idx="13">
                  <c:v>2394.7368421052633</c:v>
                </c:pt>
                <c:pt idx="14">
                  <c:v>2500</c:v>
                </c:pt>
                <c:pt idx="15">
                  <c:v>2578.9473684210525</c:v>
                </c:pt>
                <c:pt idx="16">
                  <c:v>2763.1578947368421</c:v>
                </c:pt>
                <c:pt idx="17">
                  <c:v>2947.3684210526317</c:v>
                </c:pt>
                <c:pt idx="18">
                  <c:v>3131.5789473684213</c:v>
                </c:pt>
                <c:pt idx="19">
                  <c:v>3315.7894736842109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501-45A8-BBC4-9F40C1F03457}"/>
            </c:ext>
          </c:extLst>
        </c:ser>
        <c:ser>
          <c:idx val="1"/>
          <c:order val="1"/>
          <c:tx>
            <c:v>Геотерма</c:v>
          </c:tx>
          <c:spPr>
            <a:ln w="25400" cap="rnd">
              <a:solidFill>
                <a:schemeClr val="tx1">
                  <a:lumMod val="85000"/>
                  <a:lumOff val="1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Фонтан_расчет!$M$16:$M$36</c:f>
              <c:numCache>
                <c:formatCode>General</c:formatCode>
                <c:ptCount val="21"/>
                <c:pt idx="0">
                  <c:v>30</c:v>
                </c:pt>
                <c:pt idx="1">
                  <c:v>30.614035087719298</c:v>
                </c:pt>
                <c:pt idx="2">
                  <c:v>31.228070175438596</c:v>
                </c:pt>
                <c:pt idx="3">
                  <c:v>31.842105263157894</c:v>
                </c:pt>
                <c:pt idx="4">
                  <c:v>32.456140350877192</c:v>
                </c:pt>
                <c:pt idx="5">
                  <c:v>33.070175438596493</c:v>
                </c:pt>
                <c:pt idx="6">
                  <c:v>33.67</c:v>
                </c:pt>
                <c:pt idx="7">
                  <c:v>34.247368421052634</c:v>
                </c:pt>
                <c:pt idx="8">
                  <c:v>34.801929824561405</c:v>
                </c:pt>
                <c:pt idx="9">
                  <c:v>40.511578947368434</c:v>
                </c:pt>
                <c:pt idx="10">
                  <c:v>48.920789473684216</c:v>
                </c:pt>
                <c:pt idx="11">
                  <c:v>56.959473684210522</c:v>
                </c:pt>
                <c:pt idx="12">
                  <c:v>64.627631578947373</c:v>
                </c:pt>
                <c:pt idx="13">
                  <c:v>71.91947368421053</c:v>
                </c:pt>
                <c:pt idx="14">
                  <c:v>75.92</c:v>
                </c:pt>
                <c:pt idx="15">
                  <c:v>78.829210526315777</c:v>
                </c:pt>
                <c:pt idx="16">
                  <c:v>85.368421052631589</c:v>
                </c:pt>
                <c:pt idx="17">
                  <c:v>87.351315789473688</c:v>
                </c:pt>
                <c:pt idx="18">
                  <c:v>88.234210526315792</c:v>
                </c:pt>
                <c:pt idx="19">
                  <c:v>89.117105263157882</c:v>
                </c:pt>
                <c:pt idx="20">
                  <c:v>90</c:v>
                </c:pt>
              </c:numCache>
            </c:numRef>
          </c:xVal>
          <c:yVal>
            <c:numRef>
              <c:f>Фонтан_расчет!$K$16:$K$36</c:f>
              <c:numCache>
                <c:formatCode>General</c:formatCode>
                <c:ptCount val="21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1105.2631578947369</c:v>
                </c:pt>
                <c:pt idx="7">
                  <c:v>1289.4736842105262</c:v>
                </c:pt>
                <c:pt idx="8">
                  <c:v>1473.6842105263158</c:v>
                </c:pt>
                <c:pt idx="9">
                  <c:v>1657.8947368421054</c:v>
                </c:pt>
                <c:pt idx="10">
                  <c:v>1842.1052631578948</c:v>
                </c:pt>
                <c:pt idx="11">
                  <c:v>2026.3157894736842</c:v>
                </c:pt>
                <c:pt idx="12">
                  <c:v>2210.5263157894738</c:v>
                </c:pt>
                <c:pt idx="13">
                  <c:v>2394.7368421052633</c:v>
                </c:pt>
                <c:pt idx="14">
                  <c:v>2500</c:v>
                </c:pt>
                <c:pt idx="15">
                  <c:v>2578.9473684210525</c:v>
                </c:pt>
                <c:pt idx="16">
                  <c:v>2763.1578947368421</c:v>
                </c:pt>
                <c:pt idx="17">
                  <c:v>2947.3684210526317</c:v>
                </c:pt>
                <c:pt idx="18">
                  <c:v>3131.5789473684213</c:v>
                </c:pt>
                <c:pt idx="19">
                  <c:v>3315.7894736842109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501-45A8-BBC4-9F40C1F03457}"/>
            </c:ext>
          </c:extLst>
        </c:ser>
        <c:ser>
          <c:idx val="2"/>
          <c:order val="2"/>
          <c:tx>
            <c:v>Измерение</c:v>
          </c:tx>
          <c:spPr>
            <a:effectLst/>
          </c:spPr>
          <c:marker>
            <c:symbol val="diamond"/>
            <c:size val="7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Фонтан_расчет!$J$16:$J$36</c:f>
              <c:numCache>
                <c:formatCode>General</c:formatCode>
                <c:ptCount val="21"/>
                <c:pt idx="0">
                  <c:v>33</c:v>
                </c:pt>
                <c:pt idx="1">
                  <c:v>34.35</c:v>
                </c:pt>
                <c:pt idx="2">
                  <c:v>35.700000000000003</c:v>
                </c:pt>
                <c:pt idx="3">
                  <c:v>37.049999999999997</c:v>
                </c:pt>
                <c:pt idx="4">
                  <c:v>38.4</c:v>
                </c:pt>
                <c:pt idx="5">
                  <c:v>39.75</c:v>
                </c:pt>
                <c:pt idx="6">
                  <c:v>41.1</c:v>
                </c:pt>
                <c:pt idx="7">
                  <c:v>42.45</c:v>
                </c:pt>
                <c:pt idx="8">
                  <c:v>43.8</c:v>
                </c:pt>
                <c:pt idx="9">
                  <c:v>45.15</c:v>
                </c:pt>
                <c:pt idx="10">
                  <c:v>46.5</c:v>
                </c:pt>
                <c:pt idx="11">
                  <c:v>47.85</c:v>
                </c:pt>
                <c:pt idx="12">
                  <c:v>49.2</c:v>
                </c:pt>
                <c:pt idx="13">
                  <c:v>50.55</c:v>
                </c:pt>
                <c:pt idx="14">
                  <c:v>51.9</c:v>
                </c:pt>
                <c:pt idx="15">
                  <c:v>53.25</c:v>
                </c:pt>
                <c:pt idx="16">
                  <c:v>54.6</c:v>
                </c:pt>
                <c:pt idx="17">
                  <c:v>55.95</c:v>
                </c:pt>
                <c:pt idx="18">
                  <c:v>57.3</c:v>
                </c:pt>
                <c:pt idx="19">
                  <c:v>58.65</c:v>
                </c:pt>
                <c:pt idx="20">
                  <c:v>60</c:v>
                </c:pt>
              </c:numCache>
            </c:numRef>
          </c:xVal>
          <c:yVal>
            <c:numRef>
              <c:f>Фонтан_расчет!$H$16:$H$36</c:f>
              <c:numCache>
                <c:formatCode>General</c:formatCode>
                <c:ptCount val="21"/>
                <c:pt idx="0">
                  <c:v>0</c:v>
                </c:pt>
                <c:pt idx="1">
                  <c:v>168.75</c:v>
                </c:pt>
                <c:pt idx="2">
                  <c:v>337.5</c:v>
                </c:pt>
                <c:pt idx="3">
                  <c:v>506.25</c:v>
                </c:pt>
                <c:pt idx="4">
                  <c:v>675</c:v>
                </c:pt>
                <c:pt idx="5">
                  <c:v>843.75</c:v>
                </c:pt>
                <c:pt idx="6">
                  <c:v>1012.5</c:v>
                </c:pt>
                <c:pt idx="7">
                  <c:v>1181.25</c:v>
                </c:pt>
                <c:pt idx="8">
                  <c:v>1350</c:v>
                </c:pt>
                <c:pt idx="9">
                  <c:v>1518.75</c:v>
                </c:pt>
                <c:pt idx="10">
                  <c:v>1687.5</c:v>
                </c:pt>
                <c:pt idx="11">
                  <c:v>1856.25</c:v>
                </c:pt>
                <c:pt idx="12">
                  <c:v>2025</c:v>
                </c:pt>
                <c:pt idx="13">
                  <c:v>2193.75</c:v>
                </c:pt>
                <c:pt idx="14">
                  <c:v>2362.5</c:v>
                </c:pt>
                <c:pt idx="15">
                  <c:v>2531.25</c:v>
                </c:pt>
                <c:pt idx="16">
                  <c:v>2700</c:v>
                </c:pt>
                <c:pt idx="17">
                  <c:v>2868.75</c:v>
                </c:pt>
                <c:pt idx="18">
                  <c:v>3037.5</c:v>
                </c:pt>
                <c:pt idx="19">
                  <c:v>3206.25</c:v>
                </c:pt>
                <c:pt idx="20">
                  <c:v>3375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501-45A8-BBC4-9F40C1F034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5456"/>
        <c:axId val="338876032"/>
      </c:scatterChart>
      <c:valAx>
        <c:axId val="33887545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Температура, 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6032"/>
        <c:crosses val="autoZero"/>
        <c:crossBetween val="midCat"/>
      </c:valAx>
      <c:valAx>
        <c:axId val="33887603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5456"/>
        <c:crosses val="autoZero"/>
        <c:crossBetween val="midCat"/>
      </c:valAx>
      <c:spPr>
        <a:solidFill>
          <a:schemeClr val="accent6">
            <a:lumMod val="20000"/>
            <a:lumOff val="80000"/>
          </a:schemeClr>
        </a:solidFill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  <c:extLst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Drop" dropLines="2" dropStyle="combo" dx="22" fmlaLink="$X$3" fmlaRange="$Y$3:$Y$4" noThreeD="1" sel="1" val="0"/>
</file>

<file path=xl/ctrlProps/ctrlProp10.xml><?xml version="1.0" encoding="utf-8"?>
<formControlPr xmlns="http://schemas.microsoft.com/office/spreadsheetml/2009/9/main" objectType="Drop" dropLines="6" dropStyle="combo" dx="22" fmlaLink="$AB$3" fmlaRange="$AC$3:$AC$8" noThreeD="1" sel="1" val="0"/>
</file>

<file path=xl/ctrlProps/ctrlProp11.xml><?xml version="1.0" encoding="utf-8"?>
<formControlPr xmlns="http://schemas.microsoft.com/office/spreadsheetml/2009/9/main" objectType="Drop" dropLines="3" dropStyle="combo" dx="22" fmlaLink="$AG$3" fmlaRange="$AH$3:$AH$5" noThreeD="1" sel="2" val="0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390525</xdr:colOff>
      <xdr:row>0</xdr:row>
      <xdr:rowOff>114300</xdr:rowOff>
    </xdr:from>
    <xdr:to>
      <xdr:col>26</xdr:col>
      <xdr:colOff>409575</xdr:colOff>
      <xdr:row>31</xdr:row>
      <xdr:rowOff>19050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1363325" y="114300"/>
          <a:ext cx="4895850" cy="58102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История</a:t>
          </a:r>
          <a:r>
            <a:rPr lang="ru-RU" sz="1100" baseline="0"/>
            <a:t> исправлений</a:t>
          </a:r>
        </a:p>
        <a:p>
          <a:endParaRPr lang="ru-RU" sz="1100" baseline="0"/>
        </a:p>
        <a:p>
          <a:r>
            <a:rPr lang="ru-RU" sz="1100" baseline="0"/>
            <a:t>02.06.2018</a:t>
          </a:r>
        </a:p>
        <a:p>
          <a:r>
            <a:rPr lang="ru-RU" sz="1100" baseline="0"/>
            <a:t> - модуль </a:t>
          </a:r>
          <a:r>
            <a:rPr lang="en-US" sz="1100" baseline="0"/>
            <a:t>PVT </a:t>
          </a:r>
          <a:r>
            <a:rPr lang="ru-RU" sz="1100" baseline="0"/>
            <a:t>сделан. С диаграммой рассогласованности</a:t>
          </a:r>
        </a:p>
        <a:p>
          <a:r>
            <a:rPr lang="ru-RU" sz="1100" baseline="0"/>
            <a:t> - страница задания конструкции скважины для фонтана сделана</a:t>
          </a:r>
        </a:p>
        <a:p>
          <a:r>
            <a:rPr lang="ru-RU" sz="1100" baseline="0"/>
            <a:t> - расчет распределения давления фонтана сделан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142875</xdr:colOff>
          <xdr:row>55</xdr:row>
          <xdr:rowOff>0</xdr:rowOff>
        </xdr:from>
        <xdr:to>
          <xdr:col>13</xdr:col>
          <xdr:colOff>647700</xdr:colOff>
          <xdr:row>55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Перестроить графики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94772</xdr:colOff>
      <xdr:row>58</xdr:row>
      <xdr:rowOff>166608</xdr:rowOff>
    </xdr:from>
    <xdr:to>
      <xdr:col>9</xdr:col>
      <xdr:colOff>339116</xdr:colOff>
      <xdr:row>78</xdr:row>
      <xdr:rowOff>74379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402713</xdr:colOff>
      <xdr:row>58</xdr:row>
      <xdr:rowOff>163886</xdr:rowOff>
    </xdr:from>
    <xdr:to>
      <xdr:col>17</xdr:col>
      <xdr:colOff>468464</xdr:colOff>
      <xdr:row>78</xdr:row>
      <xdr:rowOff>71657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81243</xdr:colOff>
      <xdr:row>78</xdr:row>
      <xdr:rowOff>116261</xdr:rowOff>
    </xdr:from>
    <xdr:to>
      <xdr:col>9</xdr:col>
      <xdr:colOff>325587</xdr:colOff>
      <xdr:row>98</xdr:row>
      <xdr:rowOff>24032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426524</xdr:colOff>
      <xdr:row>78</xdr:row>
      <xdr:rowOff>128167</xdr:rowOff>
    </xdr:from>
    <xdr:to>
      <xdr:col>17</xdr:col>
      <xdr:colOff>492275</xdr:colOff>
      <xdr:row>98</xdr:row>
      <xdr:rowOff>35938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380997</xdr:colOff>
      <xdr:row>0</xdr:row>
      <xdr:rowOff>63103</xdr:rowOff>
    </xdr:from>
    <xdr:to>
      <xdr:col>28</xdr:col>
      <xdr:colOff>47624</xdr:colOff>
      <xdr:row>18</xdr:row>
      <xdr:rowOff>119062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19050</xdr:colOff>
          <xdr:row>8</xdr:row>
          <xdr:rowOff>180975</xdr:rowOff>
        </xdr:from>
        <xdr:to>
          <xdr:col>20</xdr:col>
          <xdr:colOff>600075</xdr:colOff>
          <xdr:row>11</xdr:row>
          <xdr:rowOff>57150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диаграмму рассогласованности</a:t>
              </a:r>
            </a:p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Подобрать γ</a:t>
              </a:r>
              <a:r>
                <a:rPr lang="ru-RU" sz="1100" b="0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g</a:t>
              </a: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558193</xdr:colOff>
      <xdr:row>20</xdr:row>
      <xdr:rowOff>65134</xdr:rowOff>
    </xdr:from>
    <xdr:to>
      <xdr:col>27</xdr:col>
      <xdr:colOff>415318</xdr:colOff>
      <xdr:row>29</xdr:row>
      <xdr:rowOff>11206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11741664" y="4211310"/>
          <a:ext cx="5908301" cy="1862278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Диаграмма</a:t>
          </a:r>
          <a:r>
            <a:rPr lang="ru-RU" sz="1100" baseline="0"/>
            <a:t> рассогласованности показывает насколько согласованы между собой исходные данные по нефти  - относительные плотности нефти и газа и газосодержание и калибровочные параметры  - давление насыщения, объемный коэффициент при давлении насыщения, вязкость нефти при давлении насыщения (газодержанию при давлении насыщения верим и под сомнение не ставим)</a:t>
          </a:r>
          <a:r>
            <a:rPr lang="en-US" sz="1100" baseline="0"/>
            <a:t>.</a:t>
          </a:r>
        </a:p>
        <a:p>
          <a:r>
            <a:rPr lang="ru-RU" sz="1100" baseline="0"/>
            <a:t>Чем больше отклонение на диаграмме - тем менее согласованы между собой данные.</a:t>
          </a:r>
        </a:p>
        <a:p>
          <a:r>
            <a:rPr lang="ru-RU" sz="1100" baseline="0"/>
            <a:t>Кнопки на диаграмме позволяют оценить чувствительность параметров нефти к значения плотности нефти и газа. Небольшое изменение плотностей может улучшить согласованность с другими калибровочными параметрами. Кнопка сброс диаграммы убирает расхождение плотностей</a:t>
          </a:r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19050</xdr:colOff>
          <xdr:row>11</xdr:row>
          <xdr:rowOff>85725</xdr:rowOff>
        </xdr:from>
        <xdr:to>
          <xdr:col>20</xdr:col>
          <xdr:colOff>600075</xdr:colOff>
          <xdr:row>14</xdr:row>
          <xdr:rowOff>9525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диаграмму рассогласованности</a:t>
              </a:r>
            </a:p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Подобрать γ</a:t>
              </a:r>
              <a:r>
                <a:rPr lang="ru-RU" sz="1100" b="0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g</a:t>
              </a: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γ</a:t>
              </a:r>
              <a:r>
                <a:rPr lang="ru-RU" sz="1100" b="0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o</a:t>
              </a: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19050</xdr:colOff>
          <xdr:row>14</xdr:row>
          <xdr:rowOff>28575</xdr:rowOff>
        </xdr:from>
        <xdr:to>
          <xdr:col>20</xdr:col>
          <xdr:colOff>590550</xdr:colOff>
          <xdr:row>16</xdr:row>
          <xdr:rowOff>114300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Сброс диаграммы рассогласованности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171450</xdr:colOff>
          <xdr:row>55</xdr:row>
          <xdr:rowOff>104775</xdr:rowOff>
        </xdr:from>
        <xdr:to>
          <xdr:col>21</xdr:col>
          <xdr:colOff>276225</xdr:colOff>
          <xdr:row>58</xdr:row>
          <xdr:rowOff>47625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графики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549088</xdr:colOff>
      <xdr:row>58</xdr:row>
      <xdr:rowOff>145677</xdr:rowOff>
    </xdr:from>
    <xdr:to>
      <xdr:col>26</xdr:col>
      <xdr:colOff>403412</xdr:colOff>
      <xdr:row>78</xdr:row>
      <xdr:rowOff>53448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80 °С</a:t>
          </a:fld>
          <a:endParaRPr lang="ru-RU" sz="9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80 °С</a:t>
          </a:fld>
          <a:endParaRPr lang="ru-RU" sz="9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80 °С</a:t>
          </a:fld>
          <a:endParaRPr lang="ru-RU" sz="9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80 °С</a:t>
          </a:fld>
          <a:endParaRPr lang="ru-RU" sz="9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0.03023</cdr:x>
      <cdr:y>0.13306</cdr:y>
    </cdr:from>
    <cdr:to>
      <cdr:x>0.20638</cdr:x>
      <cdr:y>0.22351</cdr:y>
    </cdr:to>
    <cdr:sp macro="" textlink="PVT!$AD$32">
      <cdr:nvSpPr>
        <cdr:cNvPr id="2" name="TextBox 1"/>
        <cdr:cNvSpPr txBox="1"/>
      </cdr:nvSpPr>
      <cdr:spPr>
        <a:xfrm xmlns:a="http://schemas.openxmlformats.org/drawingml/2006/main">
          <a:off x="191142" y="508434"/>
          <a:ext cx="1113782" cy="34562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C7073647-E560-4FD9-9BFE-6B7B46F28310}" type="TxLink">
            <a:rPr lang="ru-RU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Сумм откл = 32.9%</a:t>
          </a:fld>
          <a:endParaRPr lang="ru-RU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80 °С</a:t>
          </a:fld>
          <a:endParaRPr lang="ru-RU" sz="900"/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432627</xdr:colOff>
      <xdr:row>38</xdr:row>
      <xdr:rowOff>99850</xdr:rowOff>
    </xdr:from>
    <xdr:to>
      <xdr:col>17</xdr:col>
      <xdr:colOff>273326</xdr:colOff>
      <xdr:row>66</xdr:row>
      <xdr:rowOff>165651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328300</xdr:colOff>
      <xdr:row>38</xdr:row>
      <xdr:rowOff>91209</xdr:rowOff>
    </xdr:from>
    <xdr:to>
      <xdr:col>23</xdr:col>
      <xdr:colOff>422413</xdr:colOff>
      <xdr:row>66</xdr:row>
      <xdr:rowOff>182218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32816</xdr:colOff>
      <xdr:row>38</xdr:row>
      <xdr:rowOff>112057</xdr:rowOff>
    </xdr:from>
    <xdr:to>
      <xdr:col>11</xdr:col>
      <xdr:colOff>331372</xdr:colOff>
      <xdr:row>66</xdr:row>
      <xdr:rowOff>134470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228600</xdr:colOff>
          <xdr:row>9</xdr:row>
          <xdr:rowOff>66675</xdr:rowOff>
        </xdr:from>
        <xdr:to>
          <xdr:col>18</xdr:col>
          <xdr:colOff>285750</xdr:colOff>
          <xdr:row>14</xdr:row>
          <xdr:rowOff>28575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Проверить данные по конструкции скважин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361950</xdr:colOff>
      <xdr:row>44</xdr:row>
      <xdr:rowOff>0</xdr:rowOff>
    </xdr:from>
    <xdr:to>
      <xdr:col>12</xdr:col>
      <xdr:colOff>600075</xdr:colOff>
      <xdr:row>68</xdr:row>
      <xdr:rowOff>114300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325211</xdr:colOff>
      <xdr:row>15</xdr:row>
      <xdr:rowOff>78922</xdr:rowOff>
    </xdr:from>
    <xdr:to>
      <xdr:col>27</xdr:col>
      <xdr:colOff>506186</xdr:colOff>
      <xdr:row>46</xdr:row>
      <xdr:rowOff>145597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540204</xdr:colOff>
      <xdr:row>15</xdr:row>
      <xdr:rowOff>46265</xdr:rowOff>
    </xdr:from>
    <xdr:to>
      <xdr:col>35</xdr:col>
      <xdr:colOff>145369</xdr:colOff>
      <xdr:row>46</xdr:row>
      <xdr:rowOff>151039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333375</xdr:colOff>
          <xdr:row>3</xdr:row>
          <xdr:rowOff>142875</xdr:rowOff>
        </xdr:from>
        <xdr:to>
          <xdr:col>27</xdr:col>
          <xdr:colOff>352425</xdr:colOff>
          <xdr:row>7</xdr:row>
          <xdr:rowOff>57150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 распределения давления снизу вверх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352425</xdr:colOff>
          <xdr:row>7</xdr:row>
          <xdr:rowOff>114300</xdr:rowOff>
        </xdr:from>
        <xdr:to>
          <xdr:col>27</xdr:col>
          <xdr:colOff>381000</xdr:colOff>
          <xdr:row>11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 распределения давления сверху вниз</a:t>
              </a:r>
            </a:p>
          </xdr:txBody>
        </xdr:sp>
        <xdr:clientData fPrintsWithSheet="0"/>
      </xdr:twoCellAnchor>
    </mc:Choice>
    <mc:Fallback/>
  </mc:AlternateContent>
  <xdr:twoCellAnchor>
    <xdr:from>
      <xdr:col>21</xdr:col>
      <xdr:colOff>352425</xdr:colOff>
      <xdr:row>7</xdr:row>
      <xdr:rowOff>161925</xdr:rowOff>
    </xdr:from>
    <xdr:to>
      <xdr:col>22</xdr:col>
      <xdr:colOff>228600</xdr:colOff>
      <xdr:row>11</xdr:row>
      <xdr:rowOff>9525</xdr:rowOff>
    </xdr:to>
    <xdr:sp macro="" textlink="">
      <xdr:nvSpPr>
        <xdr:cNvPr id="5" name="Стрелка: вниз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13154025" y="1190625"/>
          <a:ext cx="485775" cy="6477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21</xdr:col>
      <xdr:colOff>361950</xdr:colOff>
      <xdr:row>4</xdr:row>
      <xdr:rowOff>9525</xdr:rowOff>
    </xdr:from>
    <xdr:to>
      <xdr:col>22</xdr:col>
      <xdr:colOff>238125</xdr:colOff>
      <xdr:row>7</xdr:row>
      <xdr:rowOff>9525</xdr:rowOff>
    </xdr:to>
    <xdr:sp macro="" textlink="">
      <xdr:nvSpPr>
        <xdr:cNvPr id="9" name="Стрелка: вниз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 rot="10800000">
          <a:off x="13163550" y="390525"/>
          <a:ext cx="485775" cy="6477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38100</xdr:rowOff>
        </xdr:from>
        <xdr:to>
          <xdr:col>3</xdr:col>
          <xdr:colOff>600075</xdr:colOff>
          <xdr:row>3</xdr:row>
          <xdr:rowOff>57150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</xdr:row>
          <xdr:rowOff>28575</xdr:rowOff>
        </xdr:from>
        <xdr:to>
          <xdr:col>9</xdr:col>
          <xdr:colOff>9525</xdr:colOff>
          <xdr:row>3</xdr:row>
          <xdr:rowOff>47625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3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</xdr:row>
          <xdr:rowOff>9525</xdr:rowOff>
        </xdr:from>
        <xdr:to>
          <xdr:col>14</xdr:col>
          <xdr:colOff>0</xdr:colOff>
          <xdr:row>3</xdr:row>
          <xdr:rowOff>19050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3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UniflocVBA7.2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База насосов"/>
      <sheetName val="Лист1"/>
    </sheetNames>
    <definedNames>
      <definedName name="PVT_Bg_m3m3"/>
      <definedName name="PVT_Bo_m3m3"/>
      <definedName name="PVT_Bw_m3m3"/>
      <definedName name="PVT_Mug_cP"/>
      <definedName name="PVT_Mumix_cP"/>
      <definedName name="PVT_Muo_cP"/>
      <definedName name="PVT_Muw_cP"/>
      <definedName name="PVT_Pb_atma"/>
      <definedName name="PVT_Qmix_m3day"/>
      <definedName name="PVT_Rhog_kgm3"/>
      <definedName name="PVT_Rhomix_kgm3"/>
      <definedName name="PVT_Rhoo_kgm3"/>
      <definedName name="PVT_Rhow_kgm3"/>
      <definedName name="PVT_Rs_m3m3"/>
      <definedName name="PVT_z"/>
    </definedNames>
    <sheetDataSet>
      <sheetData sheetId="0"/>
      <sheetData sheetId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9.xml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4"/>
  <dimension ref="A1:E4"/>
  <sheetViews>
    <sheetView workbookViewId="0">
      <selection activeCell="F7" sqref="F7"/>
    </sheetView>
  </sheetViews>
  <sheetFormatPr defaultRowHeight="15" x14ac:dyDescent="0.25"/>
  <sheetData>
    <row r="1" spans="1:5" x14ac:dyDescent="0.25">
      <c r="A1" t="str">
        <f>"вер "&amp;B1</f>
        <v>вер 7.21</v>
      </c>
      <c r="B1" s="18">
        <v>7.21</v>
      </c>
    </row>
    <row r="2" spans="1:5" x14ac:dyDescent="0.25">
      <c r="A2" t="s">
        <v>161</v>
      </c>
    </row>
    <row r="4" spans="1:5" x14ac:dyDescent="0.25">
      <c r="A4" s="63" t="str">
        <f>"Унифлок "&amp;версия_номер_</f>
        <v>Унифлок 7.21</v>
      </c>
      <c r="B4" s="63"/>
      <c r="C4" s="63"/>
      <c r="D4" s="63"/>
      <c r="E4" s="63"/>
    </row>
  </sheetData>
  <mergeCells count="1">
    <mergeCell ref="A4:E4"/>
  </mergeCells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>
    <outlinePr summaryBelow="0"/>
  </sheetPr>
  <dimension ref="A1:AG101"/>
  <sheetViews>
    <sheetView zoomScale="115" zoomScaleNormal="115" workbookViewId="0">
      <selection activeCell="R16" sqref="R16"/>
    </sheetView>
  </sheetViews>
  <sheetFormatPr defaultRowHeight="15" outlineLevelRow="1" x14ac:dyDescent="0.25"/>
  <cols>
    <col min="1" max="1" width="7.28515625" style="11" customWidth="1"/>
    <col min="2" max="2" width="12.28515625" customWidth="1"/>
    <col min="4" max="4" width="10.140625" customWidth="1"/>
    <col min="7" max="7" width="12.28515625" style="1" customWidth="1"/>
    <col min="8" max="8" width="13.140625" customWidth="1"/>
    <col min="9" max="9" width="11" customWidth="1"/>
    <col min="13" max="13" width="10" customWidth="1"/>
    <col min="14" max="14" width="10.140625" customWidth="1"/>
  </cols>
  <sheetData>
    <row r="1" spans="1:17" x14ac:dyDescent="0.25">
      <c r="A1" s="11" t="str">
        <f>версия_</f>
        <v>вер 7.21</v>
      </c>
      <c r="J1" s="2" t="s">
        <v>23</v>
      </c>
      <c r="K1" s="2"/>
      <c r="L1" s="2"/>
    </row>
    <row r="2" spans="1:17" ht="18" x14ac:dyDescent="0.25">
      <c r="A2" s="63" t="s">
        <v>0</v>
      </c>
      <c r="B2" s="63"/>
      <c r="C2" s="63"/>
      <c r="D2" s="63"/>
      <c r="E2" s="63"/>
      <c r="J2" s="6" t="s">
        <v>26</v>
      </c>
      <c r="K2" s="9">
        <v>1</v>
      </c>
      <c r="L2" s="5" t="s">
        <v>6</v>
      </c>
    </row>
    <row r="3" spans="1:17" ht="18" customHeight="1" x14ac:dyDescent="0.25">
      <c r="F3" s="64" t="s">
        <v>74</v>
      </c>
      <c r="G3" s="64"/>
      <c r="H3" s="9">
        <v>0</v>
      </c>
      <c r="J3" s="5" t="s">
        <v>27</v>
      </c>
      <c r="K3" s="9">
        <v>15</v>
      </c>
      <c r="L3" s="5" t="s">
        <v>24</v>
      </c>
    </row>
    <row r="6" spans="1:17" x14ac:dyDescent="0.25">
      <c r="B6" s="3" t="s">
        <v>1</v>
      </c>
      <c r="C6" s="4"/>
      <c r="D6" s="4"/>
      <c r="E6" s="2"/>
      <c r="F6" s="2"/>
      <c r="G6" s="10"/>
      <c r="H6" s="2"/>
      <c r="I6" s="2"/>
      <c r="J6" s="2"/>
      <c r="K6" s="2"/>
      <c r="L6" s="2"/>
      <c r="M6" s="2"/>
      <c r="N6" s="2"/>
      <c r="O6" s="2"/>
      <c r="P6" s="2"/>
      <c r="Q6" s="2"/>
    </row>
    <row r="7" spans="1:17" x14ac:dyDescent="0.25">
      <c r="B7" s="2" t="s">
        <v>3</v>
      </c>
      <c r="C7" s="2"/>
      <c r="D7" s="2"/>
      <c r="F7" s="2" t="s">
        <v>4</v>
      </c>
      <c r="G7" s="2"/>
      <c r="H7" s="2"/>
      <c r="J7" s="2" t="s">
        <v>8</v>
      </c>
      <c r="K7" s="2"/>
      <c r="L7" s="2"/>
      <c r="N7" s="65" t="s">
        <v>28</v>
      </c>
      <c r="O7" s="65"/>
      <c r="P7" s="65"/>
      <c r="Q7" s="65"/>
    </row>
    <row r="8" spans="1:17" ht="18" x14ac:dyDescent="0.25">
      <c r="B8" s="21" t="s">
        <v>10</v>
      </c>
      <c r="C8" s="9">
        <v>80</v>
      </c>
      <c r="D8" s="5" t="s">
        <v>2</v>
      </c>
      <c r="F8" s="6" t="s">
        <v>12</v>
      </c>
      <c r="G8" s="9">
        <v>0.86</v>
      </c>
      <c r="H8" s="5"/>
      <c r="J8" s="7" t="s">
        <v>32</v>
      </c>
      <c r="K8" s="9">
        <v>100</v>
      </c>
      <c r="L8" s="5" t="s">
        <v>33</v>
      </c>
      <c r="N8" s="6" t="s">
        <v>29</v>
      </c>
      <c r="O8" s="9">
        <v>0</v>
      </c>
      <c r="P8" s="5"/>
      <c r="Q8" s="2"/>
    </row>
    <row r="9" spans="1:17" ht="18" x14ac:dyDescent="0.25">
      <c r="B9" s="21" t="s">
        <v>11</v>
      </c>
      <c r="C9" s="9">
        <v>80</v>
      </c>
      <c r="D9" s="5" t="s">
        <v>25</v>
      </c>
      <c r="F9" s="5" t="s">
        <v>13</v>
      </c>
      <c r="G9" s="9">
        <v>0.8</v>
      </c>
      <c r="H9" s="5"/>
      <c r="J9" s="5" t="s">
        <v>19</v>
      </c>
      <c r="K9" s="9">
        <v>12</v>
      </c>
      <c r="L9" s="5" t="s">
        <v>9</v>
      </c>
      <c r="N9" s="5" t="s">
        <v>30</v>
      </c>
      <c r="O9" s="9">
        <v>20</v>
      </c>
      <c r="P9" s="5" t="s">
        <v>2</v>
      </c>
      <c r="Q9" s="2"/>
    </row>
    <row r="10" spans="1:17" ht="18" x14ac:dyDescent="0.25">
      <c r="F10" s="5" t="s">
        <v>14</v>
      </c>
      <c r="G10" s="9">
        <v>1</v>
      </c>
      <c r="H10" s="5"/>
      <c r="J10" s="7" t="s">
        <v>34</v>
      </c>
      <c r="K10" s="12">
        <f>Ql_scm3day_*(1-wc_perc_/100)*gamma_oil_</f>
        <v>75.679999999999993</v>
      </c>
      <c r="L10" s="5" t="s">
        <v>35</v>
      </c>
      <c r="N10" s="5" t="s">
        <v>31</v>
      </c>
      <c r="O10" s="9">
        <v>30</v>
      </c>
      <c r="P10" s="5" t="s">
        <v>25</v>
      </c>
      <c r="Q10" s="2"/>
    </row>
    <row r="11" spans="1:17" ht="18" x14ac:dyDescent="0.25">
      <c r="F11" s="7" t="s">
        <v>15</v>
      </c>
      <c r="G11" s="9">
        <v>130</v>
      </c>
      <c r="H11" s="5" t="s">
        <v>17</v>
      </c>
      <c r="J11" s="7" t="s">
        <v>18</v>
      </c>
      <c r="K11" s="9">
        <v>130</v>
      </c>
      <c r="L11" s="5" t="s">
        <v>17</v>
      </c>
    </row>
    <row r="12" spans="1:17" ht="18" x14ac:dyDescent="0.25">
      <c r="F12" s="5" t="s">
        <v>16</v>
      </c>
      <c r="G12" s="9">
        <v>80</v>
      </c>
      <c r="H12" s="5" t="s">
        <v>75</v>
      </c>
      <c r="J12" s="7" t="s">
        <v>18</v>
      </c>
      <c r="K12" s="13">
        <f>Rp_m3m3_/gamma_oil_</f>
        <v>151.16279069767441</v>
      </c>
      <c r="L12" s="5" t="s">
        <v>36</v>
      </c>
    </row>
    <row r="13" spans="1:17" x14ac:dyDescent="0.25">
      <c r="G13"/>
    </row>
    <row r="14" spans="1:17" x14ac:dyDescent="0.25">
      <c r="F14" s="2" t="s">
        <v>5</v>
      </c>
      <c r="G14" s="2"/>
      <c r="H14" s="2"/>
    </row>
    <row r="15" spans="1:17" ht="18" x14ac:dyDescent="0.25">
      <c r="F15" s="5" t="s">
        <v>20</v>
      </c>
      <c r="G15" s="9">
        <v>120</v>
      </c>
      <c r="H15" s="5" t="s">
        <v>2</v>
      </c>
    </row>
    <row r="16" spans="1:17" ht="18" x14ac:dyDescent="0.25">
      <c r="F16" s="7" t="s">
        <v>21</v>
      </c>
      <c r="G16" s="9">
        <v>1.2</v>
      </c>
      <c r="H16" s="5" t="s">
        <v>17</v>
      </c>
    </row>
    <row r="17" spans="2:33" ht="18" x14ac:dyDescent="0.25">
      <c r="F17" s="8" t="s">
        <v>22</v>
      </c>
      <c r="G17" s="9">
        <v>1</v>
      </c>
      <c r="H17" s="5" t="s">
        <v>7</v>
      </c>
    </row>
    <row r="20" spans="2:33" x14ac:dyDescent="0.25">
      <c r="B20" s="22" t="s">
        <v>76</v>
      </c>
      <c r="C20" s="23"/>
      <c r="D20" s="23"/>
      <c r="E20" s="23"/>
      <c r="F20" s="23"/>
      <c r="G20" s="24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</row>
    <row r="21" spans="2:33" outlineLevel="1" x14ac:dyDescent="0.25"/>
    <row r="22" spans="2:33" outlineLevel="1" x14ac:dyDescent="0.25">
      <c r="B22" s="25" t="s">
        <v>77</v>
      </c>
      <c r="C22" s="2"/>
      <c r="D22" s="2"/>
      <c r="E22" s="2"/>
      <c r="F22" s="2"/>
      <c r="G22" s="25" t="s">
        <v>78</v>
      </c>
      <c r="H22" s="2"/>
    </row>
    <row r="23" spans="2:33" ht="18" outlineLevel="1" x14ac:dyDescent="0.25">
      <c r="B23" s="5" t="s">
        <v>79</v>
      </c>
      <c r="C23" s="26">
        <f>[1]!PVT_Pb_atma(Tres_C_,gamma_gas_,gamma_oil_,gamma_w_,Rsb_m3m3_,,Pb_atma_,Tres_C_,Bob_m3m3_,mu_cP_,PVT_correlation_,Ksep_,Psep_atma_,Tsep_C_)</f>
        <v>119.99999999999999</v>
      </c>
      <c r="D23" s="5" t="s">
        <v>2</v>
      </c>
      <c r="E23" s="2"/>
      <c r="F23" s="2"/>
      <c r="G23" s="27">
        <f>[1]!PVT_Pb_atma(T_C_,gamma_gas_,gamma_oil_,gamma_w_,Rsb_m3m3_,,Pb_atma_,Tres_C_,Bob_m3m3_,mu_cP_,PVT_correlation_,Ksep_,Psep_atma_,Tsep_C_)</f>
        <v>119.99999999999999</v>
      </c>
      <c r="H23" s="2"/>
    </row>
    <row r="24" spans="2:33" ht="18" outlineLevel="1" x14ac:dyDescent="0.25">
      <c r="B24" s="5" t="s">
        <v>16</v>
      </c>
      <c r="C24" s="28">
        <f>Tres_C_</f>
        <v>80</v>
      </c>
      <c r="D24" s="5" t="s">
        <v>25</v>
      </c>
      <c r="E24" s="2"/>
      <c r="F24" s="2"/>
      <c r="G24" s="29">
        <f>T_C_</f>
        <v>80</v>
      </c>
      <c r="H24" s="2"/>
    </row>
    <row r="25" spans="2:33" ht="18" outlineLevel="1" x14ac:dyDescent="0.25">
      <c r="B25" s="7" t="s">
        <v>15</v>
      </c>
      <c r="C25" s="28">
        <f>Rsb_m3m3_</f>
        <v>130</v>
      </c>
      <c r="D25" s="5" t="s">
        <v>17</v>
      </c>
      <c r="E25" s="2"/>
      <c r="F25" s="2"/>
      <c r="G25" s="10"/>
      <c r="H25" s="2"/>
    </row>
    <row r="26" spans="2:33" ht="18" outlineLevel="1" x14ac:dyDescent="0.25">
      <c r="B26" s="7" t="s">
        <v>80</v>
      </c>
      <c r="C26" s="30">
        <f>[1]!PVT_Bo_m3m3(C23,Tres_C_,gamma_gas_,gamma_oil_,gamma_w_,Rsb_m3m3_,,Pb_atma_,Tres_C_,Bob_m3m3_,mu_cP_,PVT_correlation_,Ksep_,Psep_atma_,Tsep_C_)</f>
        <v>1.1988410729447061</v>
      </c>
      <c r="D26" s="5" t="s">
        <v>17</v>
      </c>
      <c r="E26" s="2"/>
      <c r="F26" s="2"/>
      <c r="G26" s="10"/>
      <c r="H26" s="2"/>
    </row>
    <row r="27" spans="2:33" ht="18" outlineLevel="1" x14ac:dyDescent="0.25">
      <c r="B27" s="8" t="s">
        <v>81</v>
      </c>
      <c r="C27" s="26">
        <f>[1]!PVT_Rhoo_kgm3(C23,Tres_C_,gamma_gas_,gamma_oil_,gamma_w_,Rsb_m3m3_,,Pb_atma_,Tres_C_,Bob_m3m3_,mu_cP_,PVT_correlation_,Ksep_,Psep_atma_,Tsep_C_)</f>
        <v>822.69960751122812</v>
      </c>
      <c r="D27" s="5" t="s">
        <v>82</v>
      </c>
      <c r="E27" s="2"/>
      <c r="F27" s="2"/>
      <c r="G27" s="10"/>
      <c r="H27" s="2"/>
    </row>
    <row r="28" spans="2:33" ht="18" outlineLevel="1" x14ac:dyDescent="0.25">
      <c r="B28" s="8" t="s">
        <v>83</v>
      </c>
      <c r="C28" s="31">
        <f>[1]!PVT_Muo_cP(C23,Tres_C_,gamma_gas_,gamma_oil_,gamma_w_,Rsb_m3m3_,,Pb_atma_,Tres_C_,Bob_m3m3_,mu_cP_,PVT_correlation_,Ksep_,Psep_atma_,Tsep_C_)</f>
        <v>1.0036940425749747</v>
      </c>
      <c r="D28" s="5" t="s">
        <v>7</v>
      </c>
      <c r="E28" s="2"/>
      <c r="F28" s="2"/>
      <c r="G28" s="10"/>
      <c r="H28" s="2"/>
    </row>
    <row r="29" spans="2:33" outlineLevel="1" x14ac:dyDescent="0.25"/>
    <row r="30" spans="2:33" outlineLevel="1" x14ac:dyDescent="0.25"/>
    <row r="31" spans="2:33" outlineLevel="1" x14ac:dyDescent="0.25">
      <c r="B31" s="25" t="s">
        <v>84</v>
      </c>
      <c r="C31" s="2"/>
      <c r="D31" s="2"/>
      <c r="E31" s="2"/>
      <c r="F31" s="2"/>
      <c r="G31" s="32"/>
      <c r="H31" s="25" t="s">
        <v>85</v>
      </c>
      <c r="I31" s="2"/>
      <c r="J31" s="2"/>
      <c r="K31" s="2"/>
      <c r="L31" s="25" t="s">
        <v>86</v>
      </c>
      <c r="M31" s="2"/>
      <c r="N31" s="2"/>
      <c r="Q31" s="33" t="s">
        <v>87</v>
      </c>
      <c r="R31" s="2"/>
      <c r="S31" s="2"/>
      <c r="T31" s="2"/>
      <c r="U31" s="2"/>
      <c r="V31" s="2"/>
      <c r="W31" s="33"/>
      <c r="X31" s="33"/>
      <c r="Z31" s="2" t="s">
        <v>88</v>
      </c>
      <c r="AA31" s="2"/>
      <c r="AB31" s="2"/>
    </row>
    <row r="32" spans="2:33" ht="18" outlineLevel="1" x14ac:dyDescent="0.35">
      <c r="B32" s="5" t="s">
        <v>89</v>
      </c>
      <c r="C32" s="26">
        <f>[1]!PVT_Rhoo_kgm3(Psc_atma_,Tsc_C_,gamma_gas_,gamma_oil_,gamma_w_,Rsb_m3m3_,,Pb_atma_,Tres_C_,Bob_m3m3_,mu_cP_,PVT_correlation_,Ksep_,Psep_atma_,Tsep_C_)</f>
        <v>862.2476418337701</v>
      </c>
      <c r="D32" s="5" t="s">
        <v>82</v>
      </c>
      <c r="E32" s="34">
        <f>[1]!PVT_Rhoo_kgm3(Psc_atma_,Tsc_C_,gamma_gas_,gamma_oil_,gamma_w_,Rsb_m3m3_,,,,,,PVT_correlation_,Ksep_,Psep_atma_,Tsep_C_)</f>
        <v>864.32768283801556</v>
      </c>
      <c r="F32" s="35">
        <f t="shared" ref="F32:F37" si="0">(E32-C32)/E32</f>
        <v>2.4065421547249935E-3</v>
      </c>
      <c r="G32" s="36"/>
      <c r="H32" s="5" t="s">
        <v>90</v>
      </c>
      <c r="I32" s="31">
        <f>[1]!PVT_Rhog_kgm3(Psc_atma_,Tsc_C_,gamma_gas_,gamma_oil_,gamma_w_,Rsb_m3m3_,,Pb_atma_,Tres_C_,Bob_m3m3_,mu_cP_,PVT_correlation_,Ksep_,Psep_atma_,Tsep_C_)</f>
        <v>0.99328178176718174</v>
      </c>
      <c r="J32" s="5" t="s">
        <v>82</v>
      </c>
      <c r="L32" s="5" t="s">
        <v>91</v>
      </c>
      <c r="M32" s="26">
        <f>[1]!PVT_Rhow_kgm3(Psc_atma_,Tsc_C_,gamma_gas_,gamma_oil_,gamma_w_,Rsb_m3m3_,,Pb_atma_,Tres_C_,Bob_m3m3_,mu_cP_,PVT_correlation_,Ksep_,Psep_atma_,Tsep_C_)</f>
        <v>1000.3400421663305</v>
      </c>
      <c r="N32" s="5" t="s">
        <v>82</v>
      </c>
      <c r="Q32" s="37" t="s">
        <v>92</v>
      </c>
      <c r="R32" s="38">
        <v>0.90740209683346451</v>
      </c>
      <c r="S32" s="33"/>
      <c r="T32" s="33" t="s">
        <v>93</v>
      </c>
      <c r="U32" s="33"/>
      <c r="V32" s="33" t="s">
        <v>94</v>
      </c>
      <c r="W32" s="33"/>
      <c r="X32" s="33" t="s">
        <v>95</v>
      </c>
      <c r="Z32" s="5" t="s">
        <v>79</v>
      </c>
      <c r="AA32" s="39">
        <f>ABS(U33)</f>
        <v>0.39134724434220269</v>
      </c>
      <c r="AB32" s="40">
        <f>ABS(Pb_diff_)</f>
        <v>0.48264684995454271</v>
      </c>
      <c r="AD32" s="33" t="str">
        <f>Q34&amp; " = "&amp;IFERROR(TEXT(gamma_gas_diff_total_*100,"0.0") &amp; "%",TEXT(gamma_gas_diff_total_*100,"0,0") &amp; "%")</f>
        <v>Сумм откл = 32.9%</v>
      </c>
      <c r="AE32" s="33"/>
      <c r="AF32" s="2"/>
      <c r="AG32" s="2"/>
    </row>
    <row r="33" spans="2:33" ht="18" outlineLevel="1" x14ac:dyDescent="0.25">
      <c r="B33" s="5" t="s">
        <v>96</v>
      </c>
      <c r="C33" s="31">
        <f>[1]!PVT_Muo_cP(Psc_atma_,Tsc_C_,gamma_gas_,gamma_oil_,gamma_w_,Rsb_m3m3_,,Pb_atma_,Tres_C_,Bob_m3m3_,mu_cP_,PVT_correlation_,Ksep_,Psep_atma_,Tsep_C_)</f>
        <v>23.441731432813782</v>
      </c>
      <c r="D33" s="5" t="s">
        <v>7</v>
      </c>
      <c r="E33" s="34">
        <f>[1]!PVT_Muo_cP(Psc_atma_,Tsc_C_,gamma_gas_,gamma_oil_,gamma_w_,Rsb_m3m3_,,,,,,PVT_correlation_,Ksep_,Psep_atma_,Tsep_C_)</f>
        <v>106.32463765574272</v>
      </c>
      <c r="F33" s="35">
        <f t="shared" si="0"/>
        <v>0.77952681570650373</v>
      </c>
      <c r="G33" s="36"/>
      <c r="H33" s="5" t="s">
        <v>97</v>
      </c>
      <c r="I33" s="26">
        <f>[1]!PVT_Mug_cP(Psc_atma_,Tsc_C_,gamma_gas_,gamma_oil_,gamma_w_,Rsb_m3m3_,,Pb_atma_,Tres_C_,Bob_m3m3_,mu_cP_,PVT_correlation_,Ksep_,Psep_atma_,Tsep_C_)</f>
        <v>9.8176385576621353E-3</v>
      </c>
      <c r="J33" s="5" t="s">
        <v>7</v>
      </c>
      <c r="L33" s="5" t="s">
        <v>98</v>
      </c>
      <c r="M33" s="30">
        <f>[1]!PVT_Muw_cP(Psc_atma_,Tsc_C_,gamma_gas_,gamma_oil_,gamma_w_,Rsb_m3m3_,,Pb_atma_,Tres_C_,Bob_m3m3_,mu_cP_,PVT_correlation_,Ksep_,Psep_atma_,Tsep_C_)</f>
        <v>1.1439045251512716</v>
      </c>
      <c r="N33" s="5" t="s">
        <v>7</v>
      </c>
      <c r="Q33" s="37" t="s">
        <v>99</v>
      </c>
      <c r="R33" s="41">
        <v>0.88616552274364935</v>
      </c>
      <c r="S33" s="5" t="s">
        <v>79</v>
      </c>
      <c r="T33" s="34">
        <f>[1]!PVT_Pb_atma(Tres_C_,gamma_gas_,gamma_oil_,gamma_w_,Rsb_m3m3_,,,Tres_C_,,,PVT_correlation_,Ksep_,Psep_atma_,Tsep_C_)</f>
        <v>197.15675134060768</v>
      </c>
      <c r="U33" s="35">
        <f>(T33-C23)/T33</f>
        <v>0.39134724434220269</v>
      </c>
      <c r="V33" s="42">
        <f>[1]!PVT_Pb_atma(Tres_C_,gamma_gas_new_,gamma_oil_new_,gamma_w_,Rsb_m3m3_,,,Tres_C_,,,PVT_correlation_,Ksep_,Psep_atma_,Tsep_C_)</f>
        <v>231.94987793049327</v>
      </c>
      <c r="W33" s="43">
        <f>(V33-C23)/V33</f>
        <v>0.48264684995454271</v>
      </c>
      <c r="X33" s="33">
        <v>2</v>
      </c>
      <c r="Z33" s="7" t="s">
        <v>80</v>
      </c>
      <c r="AA33" s="39">
        <f>ABS(U34)</f>
        <v>0.52416499140309414</v>
      </c>
      <c r="AB33" s="39">
        <f>ABS(W34)</f>
        <v>0.53513900042020446</v>
      </c>
      <c r="AD33" s="33" t="str">
        <f>F9 &amp;" = "&amp;IFERROR(  TEXT(gamma_gas_,"0.00"),TEXT(gamma_gas_,"0,00")) &amp;",  "&amp; F8 &amp;" = "&amp;  IFERROR(TEXT(gamma_oil_,"0.00"),TEXT(gamma_oil_,"0,00"))</f>
        <v>γg = 0.80,  γo = 0.86</v>
      </c>
      <c r="AE33" s="33"/>
      <c r="AF33" s="2"/>
      <c r="AG33" s="2"/>
    </row>
    <row r="34" spans="2:33" ht="18" outlineLevel="1" x14ac:dyDescent="0.25">
      <c r="B34" s="5" t="s">
        <v>100</v>
      </c>
      <c r="C34" s="31">
        <f>[1]!PVT_Rs_m3m3(P_atma_,T_C_,gamma_gas_,gamma_oil_,gamma_w_,Rsb_m3m3_,,Pb_atma_,Tres_C_,Bob_m3m3_,mu_cP_,PVT_correlation_,Ksep_,Psep_atma_,Tsep_C_)</f>
        <v>79.302530663087197</v>
      </c>
      <c r="D34" s="5" t="s">
        <v>17</v>
      </c>
      <c r="E34" s="34">
        <f>[1]!PVT_Rs_m3m3(P_atma_,T_C_,gamma_gas_,gamma_oil_,gamma_w_,Rsb_m3m3_,,,,,,PVT_correlation_,Ksep_,Psep_atma_,Tsep_C_)</f>
        <v>43.618229781930921</v>
      </c>
      <c r="F34" s="35">
        <f t="shared" si="0"/>
        <v>-0.81810520645976981</v>
      </c>
      <c r="G34" s="36"/>
      <c r="H34" s="5" t="s">
        <v>101</v>
      </c>
      <c r="I34" s="26">
        <f>[1]!PVT_z(P_atma_,T_C_,gamma_gas_,gamma_oil_,gamma_w_,Rsb_m3m3_,,Pb_atma_,Tres_C_,Bob_m3m3_,mu_cP_,PVT_correlation_,Ksep_,Psep_atma_,Tsep_C_)</f>
        <v>0.94399080811572067</v>
      </c>
      <c r="J34" s="5"/>
      <c r="L34" s="5" t="s">
        <v>102</v>
      </c>
      <c r="M34" s="26"/>
      <c r="N34" s="5"/>
      <c r="Q34" s="44" t="s">
        <v>103</v>
      </c>
      <c r="R34" s="45">
        <f>((X33*W33^2+X34*W34^2+X35*W35^2+X36*W36^2+X37*W37^2+X38*W38^2)/SUM(X33:X38))^0.5</f>
        <v>0.32937149467567939</v>
      </c>
      <c r="S34" s="7" t="s">
        <v>80</v>
      </c>
      <c r="T34" s="46">
        <f>[1]!PVT_Bo_m3m3(T33,Tres_C_,gamma_gas_,gamma_oil_,gamma_w_,Rsb_m3m3_,,,,,,PVT_correlation_,Ksep_,Psep_atma_,Tsep_C_)</f>
        <v>1.4178781917098293</v>
      </c>
      <c r="U34" s="35">
        <f>(T34-C26)/(T34-1)</f>
        <v>0.52416499140309414</v>
      </c>
      <c r="V34" s="47">
        <f>[1]!PVT_Bo_m3m3(V33,Tres_C_,gamma_gas_new_,gamma_oil_new_,gamma_w_,Rsb_m3m3_,,,,,,PVT_correlation_,Ksep_,Psep_atma_,Tsep_C_)</f>
        <v>1.4277430740037251</v>
      </c>
      <c r="W34" s="43">
        <f>(V34-C26)/(V34-1)</f>
        <v>0.53513900042020446</v>
      </c>
      <c r="X34" s="33">
        <v>2</v>
      </c>
      <c r="Z34" s="8" t="s">
        <v>83</v>
      </c>
      <c r="AA34" s="39">
        <f>ABS(U36)</f>
        <v>0.72208309249808289</v>
      </c>
      <c r="AB34" s="39">
        <f>ABS(W36)</f>
        <v>0.10451197309979772</v>
      </c>
      <c r="AD34" s="33" t="str">
        <f>Q33&amp;" = "&amp;IFERROR(TEXT(gamma_gas_new_,"0.00"),TEXT(gamma_gas_new_,"0,00"))&amp;",  "&amp;Q32&amp;" = "&amp;IFERROR(TEXT(gamma_oil_new_,"0.00"),TEXT(gamma_oil_new_,"0,00"))</f>
        <v>γg new  = 0.89,  γo new  = 0.91</v>
      </c>
      <c r="AE34" s="33"/>
      <c r="AF34" s="2"/>
      <c r="AG34" s="2"/>
    </row>
    <row r="35" spans="2:33" ht="18" outlineLevel="1" x14ac:dyDescent="0.25">
      <c r="B35" s="5" t="s">
        <v>104</v>
      </c>
      <c r="C35" s="30">
        <f>[1]!PVT_Bo_m3m3(P_atma_,T_C_,gamma_gas_,gamma_oil_,gamma_w_,Rsb_m3m3_,,Pb_atma_,Tres_C_,Bob_m3m3_,mu_cP_,PVT_correlation_,Ksep_,Psep_atma_,Tsep_C_)</f>
        <v>1.1275863029855937</v>
      </c>
      <c r="D35" s="5" t="s">
        <v>17</v>
      </c>
      <c r="E35" s="34">
        <f>[1]!PVT_Bo_m3m3(P_atma_,T_C_,gamma_gas_,gamma_oil_,gamma_w_,Rsb_m3m3_,,,,,,PVT_correlation_,Ksep_,Psep_atma_,Tsep_C_)</f>
        <v>1.1674365030581872</v>
      </c>
      <c r="F35" s="35">
        <f t="shared" si="0"/>
        <v>3.4134790173343872E-2</v>
      </c>
      <c r="G35" s="36"/>
      <c r="H35" s="5" t="s">
        <v>105</v>
      </c>
      <c r="I35" s="26">
        <f>[1]!PVT_Bg_m3m3(P_atma_,T_C_,gamma_gas_,gamma_oil_,gamma_w_,Rsb_m3m3_,,Pb_atma_,Tres_C_,Bob_m3m3_,mu_cP_,PVT_correlation_,Ksep_,Psep_atma_,Tsep_C_)</f>
        <v>1.427383276623008E-2</v>
      </c>
      <c r="J35" s="5" t="s">
        <v>17</v>
      </c>
      <c r="L35" s="5" t="s">
        <v>106</v>
      </c>
      <c r="M35" s="30">
        <f>[1]!PVT_Bw_m3m3(P_atma_,T_C_,gamma_gas_,gamma_oil_,gamma_w_,Rsb_m3m3_,,Pb_atma_,Tres_C_,Bob_m3m3_,mu_cP_,PVT_correlation_,Ksep_,Psep_atma_,Tsep_C_)</f>
        <v>1.0291228915097659</v>
      </c>
      <c r="N35" s="5" t="s">
        <v>17</v>
      </c>
      <c r="S35" s="8" t="s">
        <v>81</v>
      </c>
      <c r="T35" s="34">
        <f>[1]!PVT_Rhoo_kgm3(C23,Tres_C_,gamma_gas_,gamma_oil_,gamma_w_,Rsb_m3m3_,,,,,,PVT_correlation_,Ksep_,Psep_atma_,Tsep_C_)</f>
        <v>746.93697170818382</v>
      </c>
      <c r="U35" s="35">
        <f>(T35-C27)/T35</f>
        <v>-0.1014310961603378</v>
      </c>
      <c r="V35" s="42">
        <f>[1]!PVT_Rhoo_kgm3(G23,Tres_C_,gamma_gas_new_,gamma_oil_new_,gamma_w_,Rsb_m3m3_,,,,,,PVT_correlation_,Ksep_,Psep_atma_,Tsep_C_)</f>
        <v>800.5183304139324</v>
      </c>
      <c r="W35" s="43">
        <f>(V35-C27)/V35</f>
        <v>-2.7708643580748756E-2</v>
      </c>
      <c r="X35" s="33">
        <v>0</v>
      </c>
      <c r="Z35" s="5" t="s">
        <v>110</v>
      </c>
      <c r="AA35" s="40">
        <f>ABS((gamma_oil_-gamma_oil_)/(gamma_oil_))</f>
        <v>0</v>
      </c>
      <c r="AB35" s="39">
        <f>ABS((gamma_oil_new_-gamma_oil_)/(gamma_oil_))</f>
        <v>5.5118717248214565E-2</v>
      </c>
    </row>
    <row r="36" spans="2:33" ht="18" outlineLevel="1" x14ac:dyDescent="0.25">
      <c r="B36" s="5" t="s">
        <v>107</v>
      </c>
      <c r="C36" s="26">
        <f>[1]!PVT_Rhoo_kgm3(P_atma_,T_C_,gamma_gas_,gamma_oil_,gamma_w_,Rsb_m3m3_,,Pb_atma_,Tres_C_,Bob_m3m3_,mu_cP_,PVT_correlation_,Ksep_,Psep_atma_,Tsep_C_)</f>
        <v>831.42826308422502</v>
      </c>
      <c r="D36" s="5" t="s">
        <v>82</v>
      </c>
      <c r="E36" s="34">
        <f>[1]!PVT_Rhoo_kgm3(P_atma_,T_C_,gamma_gas_,gamma_oil_,gamma_w_,Rsb_m3m3_,,,,,,PVT_correlation_,Ksep_,Psep_atma_,Tsep_C_)</f>
        <v>773.17328239708058</v>
      </c>
      <c r="F36" s="35">
        <f t="shared" si="0"/>
        <v>-7.5345310053311285E-2</v>
      </c>
      <c r="G36" s="36"/>
      <c r="H36" s="5" t="s">
        <v>108</v>
      </c>
      <c r="I36" s="26">
        <f>[1]!PVT_Rhog_kgm3(P_atma_,T_C_,gamma_gas_,gamma_oil_,gamma_w_,Rsb_m3m3_,,Pb_atma_,Tres_C_,Bob_m3m3_,mu_cP_,PVT_correlation_,Ksep_,Psep_atma_,Tsep_C_)</f>
        <v>68.472148721841492</v>
      </c>
      <c r="J36" s="5" t="s">
        <v>82</v>
      </c>
      <c r="L36" s="5" t="s">
        <v>109</v>
      </c>
      <c r="M36" s="26">
        <f>[1]!PVT_Rhow_kgm3(P_atma_,T_C_,gamma_gas_,gamma_oil_,gamma_w_,Rsb_m3m3_,,Pb_atma_,Tres_C_,Bob_m3m3_,mu_cP_,PVT_correlation_,Ksep_,Psep_atma_,Tsep_C_)</f>
        <v>971.70124991871342</v>
      </c>
      <c r="N36" s="5" t="s">
        <v>82</v>
      </c>
      <c r="S36" s="8" t="s">
        <v>83</v>
      </c>
      <c r="T36" s="48">
        <f>[1]!PVT_Muo_cP(T33,Tres_C_,gamma_gas_,gamma_oil_,gamma_w_,Rsb_m3m3_,,,,,,PVT_correlation_,Ksep_,Psep_atma_,Tsep_C_)</f>
        <v>0.58283717373881139</v>
      </c>
      <c r="U36" s="35">
        <f>(T36-C28)/T36</f>
        <v>-0.72208309249808289</v>
      </c>
      <c r="V36" s="49">
        <f>[1]!PVT_Muo_cP(V33,Tres_C_,gamma_gas_new_,gamma_oil_new_,gamma_w_,Rsb_m3m3_,,,,,,PVT_correlation_,Ksep_,Psep_atma_,Tsep_C_)</f>
        <v>0.90872174047884802</v>
      </c>
      <c r="W36" s="43">
        <f>(V36-C28)/V36</f>
        <v>-0.10451197309979772</v>
      </c>
      <c r="X36" s="33">
        <v>2</v>
      </c>
      <c r="Z36" s="5" t="s">
        <v>13</v>
      </c>
      <c r="AA36" s="40">
        <f>ABS(gamma_gas_-gamma_gas_)/gamma_gas_</f>
        <v>0</v>
      </c>
      <c r="AB36" s="39">
        <f>ABS(gamma_gas_new_-gamma_gas_)/gamma_gas_</f>
        <v>0.10770690342956163</v>
      </c>
    </row>
    <row r="37" spans="2:33" ht="18" outlineLevel="1" x14ac:dyDescent="0.25">
      <c r="B37" s="5" t="s">
        <v>111</v>
      </c>
      <c r="C37" s="31">
        <f>[1]!PVT_Muo_cP(P_atma_,T_C_,gamma_gas_,gamma_oil_,gamma_w_,Rsb_m3m3_,,Pb_atma_,Tres_C_,Bob_m3m3_,mu_cP_,PVT_correlation_,Ksep_,Psep_atma_,Tsep_C_)</f>
        <v>1.3410909140658147</v>
      </c>
      <c r="D37" s="5" t="s">
        <v>7</v>
      </c>
      <c r="E37" s="34">
        <f>[1]!PVT_Muo_cP(P_atma_,T_C_,gamma_gas_,gamma_oil_,gamma_w_,Rsb_m3m3_,,,,,,PVT_correlation_,Ksep_,Psep_atma_,Tsep_C_)</f>
        <v>1.081753847325162</v>
      </c>
      <c r="F37" s="35">
        <f t="shared" si="0"/>
        <v>-0.2397375959252763</v>
      </c>
      <c r="G37" s="36"/>
      <c r="H37" s="5" t="s">
        <v>112</v>
      </c>
      <c r="I37" s="50">
        <f>[1]!PVT_Mug_cP(P_atma_,T_C_,gamma_gas_,gamma_oil_,gamma_w_,Rsb_m3m3_,,Pb_atma_,Tres_C_,Bob_m3m3_,mu_cP_,PVT_correlation_,Ksep_,Psep_atma_,Tsep_C_)</f>
        <v>1.4281265311255864E-2</v>
      </c>
      <c r="J37" s="5" t="s">
        <v>7</v>
      </c>
      <c r="L37" s="5" t="s">
        <v>113</v>
      </c>
      <c r="M37" s="30">
        <f>[1]!PVT_Muw_cP(P_atma_,T_C_,gamma_gas_,gamma_oil_,gamma_w_,Rsb_m3m3_,,Pb_atma_,Tres_C_,Bob_m3m3_,mu_cP_,PVT_correlation_,Ksep_,Psep_atma_,Tsep_C_)</f>
        <v>0.3501871209218988</v>
      </c>
      <c r="N37" s="5" t="s">
        <v>7</v>
      </c>
      <c r="S37" s="6" t="s">
        <v>12</v>
      </c>
      <c r="W37" s="43">
        <f>(R32-G8)/R32</f>
        <v>5.2239351219136788E-2</v>
      </c>
      <c r="X37" s="33">
        <v>2</v>
      </c>
    </row>
    <row r="38" spans="2:33" ht="18" outlineLevel="1" x14ac:dyDescent="0.25">
      <c r="B38" s="5" t="s">
        <v>114</v>
      </c>
      <c r="C38" s="31"/>
      <c r="D38" s="5"/>
      <c r="E38" s="34"/>
      <c r="F38" s="35"/>
      <c r="G38" s="36"/>
      <c r="H38" s="5" t="s">
        <v>115</v>
      </c>
      <c r="I38" s="26"/>
      <c r="J38" s="5"/>
      <c r="L38" s="5" t="s">
        <v>116</v>
      </c>
      <c r="M38" s="26"/>
      <c r="N38" s="5"/>
      <c r="S38" s="5" t="s">
        <v>13</v>
      </c>
      <c r="W38" s="43">
        <f>(R33-G9)/R33</f>
        <v>9.7234117703962328E-2</v>
      </c>
      <c r="X38" s="33">
        <v>2</v>
      </c>
      <c r="Z38" s="8" t="s">
        <v>81</v>
      </c>
      <c r="AA38" s="39">
        <f>ABS(U35)</f>
        <v>0.1014310961603378</v>
      </c>
      <c r="AB38" s="39">
        <f>ABS(W35)</f>
        <v>2.7708643580748756E-2</v>
      </c>
    </row>
    <row r="39" spans="2:33" ht="18" outlineLevel="1" x14ac:dyDescent="0.25">
      <c r="B39" s="5" t="s">
        <v>117</v>
      </c>
      <c r="C39" s="31"/>
      <c r="D39" s="5"/>
      <c r="E39" s="34"/>
      <c r="F39" s="35"/>
      <c r="G39" s="36"/>
      <c r="H39" s="5" t="s">
        <v>118</v>
      </c>
      <c r="I39" s="26"/>
      <c r="J39" s="5"/>
      <c r="L39" s="5" t="s">
        <v>119</v>
      </c>
      <c r="M39" s="26"/>
      <c r="N39" s="5"/>
    </row>
    <row r="40" spans="2:33" outlineLevel="1" x14ac:dyDescent="0.25">
      <c r="L40" s="36"/>
    </row>
    <row r="41" spans="2:33" outlineLevel="1" x14ac:dyDescent="0.25">
      <c r="L41" s="36"/>
    </row>
    <row r="42" spans="2:33" outlineLevel="1" x14ac:dyDescent="0.25">
      <c r="B42" s="25" t="s">
        <v>120</v>
      </c>
      <c r="C42" s="2"/>
      <c r="D42" s="2"/>
      <c r="E42" s="32"/>
      <c r="F42" s="36"/>
      <c r="L42" s="36"/>
    </row>
    <row r="43" spans="2:33" ht="18" outlineLevel="1" x14ac:dyDescent="0.25">
      <c r="B43" s="7" t="s">
        <v>121</v>
      </c>
      <c r="C43" s="51">
        <f>[1]!PVT_Qmix_m3day(Ql_scm3day_,wc_perc_,P_atma_,T_C_,gamma_gas_,gamma_oil_,gamma_w_,Rsb_m3m3_,Rp_m3m3_,Pb_atma_,Tres_C_,Bob_m3m3_,mu_cP_,PVT_correlation_,Ksep_,Psep_atma_,Tsep_C_)</f>
        <v>175.25802287163245</v>
      </c>
      <c r="D43" s="5" t="s">
        <v>33</v>
      </c>
      <c r="E43" s="32"/>
      <c r="F43" s="36"/>
      <c r="L43" s="36"/>
    </row>
    <row r="44" spans="2:33" ht="18" outlineLevel="1" x14ac:dyDescent="0.25">
      <c r="B44" s="5" t="s">
        <v>122</v>
      </c>
      <c r="C44" s="51">
        <f>[1]!PVT_Rhomix_kgm3(Ql_scm3day_,wc_perc_,P_atma_,T_C_,gamma_gas_,gamma_oil_,gamma_w_,Rsb_m3m3_,Rp_m3m3_,Pb_atma_,Tres_C_,Bob_m3m3_,mu_cP_,PVT_correlation_,Ksep_,Psep_atma_,Tsep_C_)</f>
        <v>564.92050366535193</v>
      </c>
      <c r="D44" s="5" t="s">
        <v>82</v>
      </c>
      <c r="E44" s="32"/>
      <c r="F44" s="36"/>
      <c r="X44">
        <f>gamma_gas_</f>
        <v>0.8</v>
      </c>
    </row>
    <row r="45" spans="2:33" ht="18" outlineLevel="1" x14ac:dyDescent="0.25">
      <c r="B45" s="5" t="s">
        <v>123</v>
      </c>
      <c r="C45" s="51">
        <f>[1]!PVT_Mumix_cP(Ql_scm3day_,wc_perc_,P_atma_,T_C_,gamma_gas_,gamma_oil_,gamma_w_,Rsb_m3m3_,Rp_m3m3_,Pb_atma_,Tres_C_,Bob_m3m3_,mu_cP_,PVT_correlation_,Ksep_,Psep_atma_,Tsep_C_)</f>
        <v>0.79306677131822922</v>
      </c>
      <c r="D45" s="5" t="s">
        <v>7</v>
      </c>
      <c r="E45" s="32"/>
      <c r="F45" s="36"/>
    </row>
    <row r="46" spans="2:33" ht="18" outlineLevel="1" x14ac:dyDescent="0.25">
      <c r="B46" s="5" t="s">
        <v>124</v>
      </c>
      <c r="E46" s="36"/>
      <c r="F46" s="36"/>
    </row>
    <row r="47" spans="2:33" ht="18" outlineLevel="1" x14ac:dyDescent="0.25">
      <c r="B47" s="5" t="s">
        <v>125</v>
      </c>
      <c r="E47" s="36"/>
      <c r="F47" s="36"/>
    </row>
    <row r="48" spans="2:33" ht="18" outlineLevel="1" x14ac:dyDescent="0.25">
      <c r="B48" s="5" t="s">
        <v>126</v>
      </c>
      <c r="E48" s="36"/>
      <c r="F48" s="36"/>
    </row>
    <row r="49" spans="1:29" outlineLevel="1" x14ac:dyDescent="0.25">
      <c r="E49" s="36"/>
      <c r="F49" s="36"/>
    </row>
    <row r="50" spans="1:29" outlineLevel="1" x14ac:dyDescent="0.25">
      <c r="E50" s="36"/>
      <c r="F50" s="36"/>
    </row>
    <row r="51" spans="1:29" outlineLevel="1" x14ac:dyDescent="0.25">
      <c r="E51" s="36"/>
      <c r="F51" s="36"/>
    </row>
    <row r="52" spans="1:29" outlineLevel="1" x14ac:dyDescent="0.25"/>
    <row r="53" spans="1:29" outlineLevel="1" x14ac:dyDescent="0.25"/>
    <row r="54" spans="1:29" x14ac:dyDescent="0.25">
      <c r="L54" s="36"/>
    </row>
    <row r="55" spans="1:29" x14ac:dyDescent="0.25">
      <c r="B55" s="52" t="s">
        <v>127</v>
      </c>
      <c r="C55" s="23"/>
      <c r="D55" s="23"/>
      <c r="E55" s="23"/>
      <c r="F55" s="23"/>
      <c r="G55" s="24"/>
      <c r="H55" s="23"/>
      <c r="I55" s="23"/>
      <c r="J55" s="23"/>
      <c r="K55" s="23"/>
      <c r="L55" s="53"/>
      <c r="M55" s="5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</row>
    <row r="56" spans="1:29" outlineLevel="1" x14ac:dyDescent="0.25">
      <c r="B56" t="str">
        <f>"Температура = " &amp;T_C_&amp;" °С"</f>
        <v>Температура = 80 °С</v>
      </c>
      <c r="L56" s="36"/>
      <c r="M56" s="36"/>
    </row>
    <row r="57" spans="1:29" outlineLevel="1" x14ac:dyDescent="0.25">
      <c r="L57" s="36"/>
      <c r="M57" s="36"/>
    </row>
    <row r="58" spans="1:29" ht="18" outlineLevel="1" x14ac:dyDescent="0.25">
      <c r="A58" s="54"/>
      <c r="B58" s="5" t="s">
        <v>128</v>
      </c>
      <c r="C58" s="5" t="s">
        <v>128</v>
      </c>
      <c r="D58" s="5" t="s">
        <v>100</v>
      </c>
      <c r="E58" s="5" t="s">
        <v>129</v>
      </c>
      <c r="F58" s="5" t="s">
        <v>162</v>
      </c>
      <c r="G58" s="5" t="s">
        <v>104</v>
      </c>
      <c r="H58" s="5" t="s">
        <v>130</v>
      </c>
      <c r="I58" s="5" t="s">
        <v>163</v>
      </c>
      <c r="J58" s="5" t="s">
        <v>107</v>
      </c>
      <c r="K58" s="5" t="s">
        <v>131</v>
      </c>
      <c r="L58" s="5" t="s">
        <v>164</v>
      </c>
      <c r="M58" s="5" t="s">
        <v>111</v>
      </c>
      <c r="N58" s="5" t="s">
        <v>132</v>
      </c>
      <c r="O58" s="5" t="s">
        <v>165</v>
      </c>
      <c r="P58" s="61" t="s">
        <v>166</v>
      </c>
      <c r="Q58" s="61" t="s">
        <v>167</v>
      </c>
      <c r="R58" s="61" t="s">
        <v>168</v>
      </c>
    </row>
    <row r="59" spans="1:29" outlineLevel="1" x14ac:dyDescent="0.25">
      <c r="A59" s="55">
        <v>1</v>
      </c>
      <c r="B59" s="56">
        <v>1</v>
      </c>
      <c r="C59" s="2">
        <v>1</v>
      </c>
      <c r="D59" s="2">
        <v>0.22302199258814231</v>
      </c>
      <c r="E59" s="2">
        <v>0.22302199258814231</v>
      </c>
      <c r="F59">
        <v>0.22302199258814231</v>
      </c>
      <c r="G59" s="2">
        <v>1.055315297496489</v>
      </c>
      <c r="H59" s="10">
        <v>1.055315297496489</v>
      </c>
      <c r="I59">
        <v>1.055315297496489</v>
      </c>
      <c r="J59" s="2">
        <v>815.12887647450964</v>
      </c>
      <c r="K59" s="2">
        <v>815.12887647450964</v>
      </c>
      <c r="L59">
        <v>815.12887647450964</v>
      </c>
      <c r="M59" s="2">
        <v>2.6758386599815993</v>
      </c>
      <c r="N59" s="2">
        <v>2.6758386599815993</v>
      </c>
      <c r="O59">
        <v>2.6758386599815993</v>
      </c>
      <c r="P59">
        <v>0.99242844397927155</v>
      </c>
      <c r="Q59">
        <v>0.99242844397927155</v>
      </c>
      <c r="R59">
        <v>0.99242844397927155</v>
      </c>
    </row>
    <row r="60" spans="1:29" outlineLevel="1" x14ac:dyDescent="0.25">
      <c r="A60" s="55">
        <v>2</v>
      </c>
      <c r="B60" s="57">
        <f>($B$79-$B$59)/($A$79-$A$59)+B59</f>
        <v>6.9499999999999993</v>
      </c>
      <c r="C60" s="2">
        <v>10.807837567030385</v>
      </c>
      <c r="D60" s="2">
        <v>3.9171411187132152</v>
      </c>
      <c r="E60" s="2">
        <v>3.9171411187132152</v>
      </c>
      <c r="F60">
        <v>3.9171411187132152</v>
      </c>
      <c r="G60" s="2">
        <v>1.0642678398527434</v>
      </c>
      <c r="H60" s="10">
        <v>1.0642678398527434</v>
      </c>
      <c r="I60">
        <v>1.0642678398527434</v>
      </c>
      <c r="J60" s="2">
        <v>811.66453095426471</v>
      </c>
      <c r="K60" s="2">
        <v>811.66453095426471</v>
      </c>
      <c r="L60">
        <v>811.66453095426471</v>
      </c>
      <c r="M60" s="2">
        <v>2.3307115732532013</v>
      </c>
      <c r="N60" s="2">
        <v>2.3307115732532013</v>
      </c>
      <c r="O60">
        <v>2.3307115732532013</v>
      </c>
      <c r="P60">
        <v>0.92013357555153319</v>
      </c>
      <c r="Q60">
        <v>0.92013357555153319</v>
      </c>
      <c r="R60">
        <v>0.92013357555153319</v>
      </c>
    </row>
    <row r="61" spans="1:29" outlineLevel="1" x14ac:dyDescent="0.25">
      <c r="A61" s="55">
        <v>3</v>
      </c>
      <c r="B61" s="57">
        <f t="shared" ref="B61:B78" si="1">($B$79-$B$59)/($A$79-$A$59)+B60</f>
        <v>12.899999999999999</v>
      </c>
      <c r="C61" s="2">
        <v>20.615675134060769</v>
      </c>
      <c r="D61" s="2">
        <v>8.5239630062617433</v>
      </c>
      <c r="E61" s="2">
        <v>8.5239630062617433</v>
      </c>
      <c r="F61">
        <v>8.5239630062617433</v>
      </c>
      <c r="G61" s="2">
        <v>1.0756154436347216</v>
      </c>
      <c r="H61" s="10">
        <v>1.0756154436347216</v>
      </c>
      <c r="I61">
        <v>1.0756154436347216</v>
      </c>
      <c r="J61" s="2">
        <v>807.28757254501147</v>
      </c>
      <c r="K61" s="2">
        <v>807.28757254501147</v>
      </c>
      <c r="L61">
        <v>807.28757254501147</v>
      </c>
      <c r="M61" s="2">
        <v>2.0203373782219134</v>
      </c>
      <c r="N61" s="2">
        <v>2.0203373782219134</v>
      </c>
      <c r="O61">
        <v>2.0203373782219134</v>
      </c>
      <c r="P61">
        <v>0.85058617759997512</v>
      </c>
      <c r="Q61">
        <v>0.85058617759997512</v>
      </c>
      <c r="R61">
        <v>0.85058617759997512</v>
      </c>
    </row>
    <row r="62" spans="1:29" outlineLevel="1" x14ac:dyDescent="0.25">
      <c r="A62" s="55">
        <v>4</v>
      </c>
      <c r="B62" s="57">
        <f t="shared" si="1"/>
        <v>18.849999999999998</v>
      </c>
      <c r="C62" s="2">
        <v>30.423512701091155</v>
      </c>
      <c r="D62" s="2">
        <v>13.618577814848402</v>
      </c>
      <c r="E62" s="2">
        <v>13.618577814848402</v>
      </c>
      <c r="F62">
        <v>13.618577814848402</v>
      </c>
      <c r="G62" s="2">
        <v>1.0883834701206292</v>
      </c>
      <c r="H62" s="10">
        <v>1.0883834701206292</v>
      </c>
      <c r="I62">
        <v>1.0883834701206292</v>
      </c>
      <c r="J62" s="2">
        <v>802.39205867057899</v>
      </c>
      <c r="K62" s="2">
        <v>802.39205867057899</v>
      </c>
      <c r="L62">
        <v>802.39205867057899</v>
      </c>
      <c r="M62" s="2">
        <v>1.7714822489996405</v>
      </c>
      <c r="N62" s="2">
        <v>1.7714822489996405</v>
      </c>
      <c r="O62">
        <v>1.7714822489996405</v>
      </c>
      <c r="P62">
        <v>0.78358072411922886</v>
      </c>
      <c r="Q62">
        <v>0.78358072411922886</v>
      </c>
      <c r="R62">
        <v>0.78358072411922886</v>
      </c>
    </row>
    <row r="63" spans="1:29" outlineLevel="1" x14ac:dyDescent="0.25">
      <c r="A63" s="55">
        <v>5</v>
      </c>
      <c r="B63" s="57">
        <f t="shared" si="1"/>
        <v>24.799999999999997</v>
      </c>
      <c r="C63" s="2">
        <v>40.231350268121538</v>
      </c>
      <c r="D63" s="2">
        <v>19.065292857917989</v>
      </c>
      <c r="E63" s="2">
        <v>19.065292857917989</v>
      </c>
      <c r="F63">
        <v>19.065292857917989</v>
      </c>
      <c r="G63" s="2">
        <v>1.1022684840202757</v>
      </c>
      <c r="H63" s="10">
        <v>1.1022684840202757</v>
      </c>
      <c r="I63">
        <v>1.1022684840202757</v>
      </c>
      <c r="J63" s="2">
        <v>797.11401293357915</v>
      </c>
      <c r="K63" s="2">
        <v>797.11401293357915</v>
      </c>
      <c r="L63">
        <v>797.11401293357915</v>
      </c>
      <c r="M63" s="2">
        <v>1.5734648143139371</v>
      </c>
      <c r="N63" s="32">
        <v>1.5734648143139371</v>
      </c>
      <c r="O63">
        <v>1.5734648143139371</v>
      </c>
      <c r="P63">
        <v>0.71916414202507684</v>
      </c>
      <c r="Q63">
        <v>0.71916414202507684</v>
      </c>
      <c r="R63">
        <v>0.71916414202507684</v>
      </c>
    </row>
    <row r="64" spans="1:29" outlineLevel="1" x14ac:dyDescent="0.25">
      <c r="A64" s="55">
        <v>6</v>
      </c>
      <c r="B64" s="57">
        <f t="shared" si="1"/>
        <v>30.749999999999996</v>
      </c>
      <c r="C64" s="2">
        <v>50.039187835151921</v>
      </c>
      <c r="D64" s="2">
        <v>24.792323800683441</v>
      </c>
      <c r="E64" s="2">
        <v>24.792323800683441</v>
      </c>
      <c r="F64">
        <v>24.792323800683441</v>
      </c>
      <c r="G64" s="2">
        <v>1.1171097288316882</v>
      </c>
      <c r="H64" s="10">
        <v>1.1171097288316882</v>
      </c>
      <c r="I64">
        <v>1.1171097288316882</v>
      </c>
      <c r="J64" s="2">
        <v>791.53462078841187</v>
      </c>
      <c r="K64" s="2">
        <v>791.53462078841187</v>
      </c>
      <c r="L64">
        <v>791.53462078841187</v>
      </c>
      <c r="M64" s="2">
        <v>1.4142308508471479</v>
      </c>
      <c r="N64" s="2">
        <v>1.4142308508471479</v>
      </c>
      <c r="O64">
        <v>1.4142308508471479</v>
      </c>
      <c r="P64">
        <v>0.65740312145671187</v>
      </c>
      <c r="Q64">
        <v>0.65740312145671187</v>
      </c>
      <c r="R64">
        <v>0.65740312145671187</v>
      </c>
    </row>
    <row r="65" spans="1:18" outlineLevel="1" x14ac:dyDescent="0.25">
      <c r="A65" s="55">
        <v>7</v>
      </c>
      <c r="B65" s="57">
        <f t="shared" si="1"/>
        <v>36.699999999999996</v>
      </c>
      <c r="C65" s="2">
        <v>59.847025402182304</v>
      </c>
      <c r="D65" s="2">
        <v>30.754377808332812</v>
      </c>
      <c r="E65" s="2">
        <v>30.754377808332812</v>
      </c>
      <c r="F65">
        <v>30.754377808332812</v>
      </c>
      <c r="G65" s="2">
        <v>1.1328040276489428</v>
      </c>
      <c r="H65" s="10">
        <v>1.1328040276489428</v>
      </c>
      <c r="I65">
        <v>1.1328040276489428</v>
      </c>
      <c r="J65" s="2">
        <v>785.71233591215844</v>
      </c>
      <c r="K65" s="2">
        <v>785.71233591215844</v>
      </c>
      <c r="L65">
        <v>785.71233591215844</v>
      </c>
      <c r="M65" s="2">
        <v>1.284292370570796</v>
      </c>
      <c r="N65" s="2">
        <v>1.284292370570796</v>
      </c>
      <c r="O65">
        <v>1.284292370570796</v>
      </c>
      <c r="P65">
        <v>0.59833048656378218</v>
      </c>
      <c r="Q65">
        <v>0.59833048656378218</v>
      </c>
      <c r="R65">
        <v>0.59833048656378218</v>
      </c>
    </row>
    <row r="66" spans="1:18" outlineLevel="1" x14ac:dyDescent="0.25">
      <c r="A66" s="55">
        <v>8</v>
      </c>
      <c r="B66" s="57">
        <f t="shared" si="1"/>
        <v>42.649999999999991</v>
      </c>
      <c r="C66" s="2">
        <v>69.654862969212687</v>
      </c>
      <c r="D66" s="2">
        <v>36.919960531684509</v>
      </c>
      <c r="E66" s="2">
        <v>36.919960531684509</v>
      </c>
      <c r="F66">
        <v>36.919960531684509</v>
      </c>
      <c r="G66" s="2">
        <v>1.1492777046961387</v>
      </c>
      <c r="H66" s="10">
        <v>1.1492777046961387</v>
      </c>
      <c r="I66">
        <v>1.1492777046961387</v>
      </c>
      <c r="J66" s="2">
        <v>779.69327079408174</v>
      </c>
      <c r="K66" s="2">
        <v>779.69327079408174</v>
      </c>
      <c r="L66">
        <v>779.69327079408174</v>
      </c>
      <c r="M66" s="2">
        <v>1.1766701902064214</v>
      </c>
      <c r="N66" s="2">
        <v>1.1766701902064214</v>
      </c>
      <c r="O66">
        <v>1.1766701902064214</v>
      </c>
      <c r="P66">
        <v>0.54193363096009273</v>
      </c>
      <c r="Q66">
        <v>0.54193363096009273</v>
      </c>
      <c r="R66">
        <v>0.54193363096009273</v>
      </c>
    </row>
    <row r="67" spans="1:18" outlineLevel="1" x14ac:dyDescent="0.25">
      <c r="A67" s="55">
        <v>9</v>
      </c>
      <c r="B67" s="57">
        <f t="shared" si="1"/>
        <v>48.599999999999994</v>
      </c>
      <c r="C67" s="2">
        <v>79.462700536243076</v>
      </c>
      <c r="D67" s="2">
        <v>43.265759267328114</v>
      </c>
      <c r="E67" s="2">
        <v>43.265759267328114</v>
      </c>
      <c r="F67">
        <v>43.265759267328114</v>
      </c>
      <c r="G67" s="2">
        <v>1.1664744606199513</v>
      </c>
      <c r="H67" s="10">
        <v>1.1664744606199513</v>
      </c>
      <c r="I67">
        <v>1.1664744606199513</v>
      </c>
      <c r="J67" s="2">
        <v>773.5156258783187</v>
      </c>
      <c r="K67" s="2">
        <v>773.5156258783187</v>
      </c>
      <c r="L67">
        <v>773.5156258783187</v>
      </c>
      <c r="M67" s="2">
        <v>1.0862859978933075</v>
      </c>
      <c r="N67" s="2">
        <v>1.0862859978933075</v>
      </c>
      <c r="O67">
        <v>1.0862859978933075</v>
      </c>
      <c r="P67">
        <v>0.48815739783972967</v>
      </c>
      <c r="Q67">
        <v>0.48815739783972967</v>
      </c>
      <c r="R67">
        <v>0.48815739783972967</v>
      </c>
    </row>
    <row r="68" spans="1:18" outlineLevel="1" x14ac:dyDescent="0.25">
      <c r="A68" s="55">
        <v>10</v>
      </c>
      <c r="B68" s="57">
        <f t="shared" si="1"/>
        <v>54.55</v>
      </c>
      <c r="C68" s="2">
        <v>89.270538103273466</v>
      </c>
      <c r="D68" s="2">
        <v>49.773743733538367</v>
      </c>
      <c r="E68" s="2">
        <v>49.773743733538367</v>
      </c>
      <c r="F68">
        <v>49.773743733538367</v>
      </c>
      <c r="G68" s="2">
        <v>1.1843492361300076</v>
      </c>
      <c r="H68" s="10">
        <v>1.1843492361300076</v>
      </c>
      <c r="I68">
        <v>1.1843492361300076</v>
      </c>
      <c r="J68" s="2">
        <v>767.21193247400186</v>
      </c>
      <c r="K68" s="2">
        <v>767.21193247400186</v>
      </c>
      <c r="L68">
        <v>767.21193247400186</v>
      </c>
      <c r="M68" s="2">
        <v>1.0094198453402949</v>
      </c>
      <c r="N68" s="2">
        <v>1.0094198453402949</v>
      </c>
      <c r="O68">
        <v>1.0094198453402949</v>
      </c>
      <c r="P68">
        <v>0.43691203055200867</v>
      </c>
      <c r="Q68">
        <v>0.43691203055200867</v>
      </c>
      <c r="R68">
        <v>0.43691203055200867</v>
      </c>
    </row>
    <row r="69" spans="1:18" outlineLevel="1" x14ac:dyDescent="0.25">
      <c r="A69" s="55">
        <v>11</v>
      </c>
      <c r="B69" s="57">
        <f t="shared" si="1"/>
        <v>60.5</v>
      </c>
      <c r="C69" s="2">
        <v>99.078375670303856</v>
      </c>
      <c r="D69" s="2">
        <v>56.429507615623692</v>
      </c>
      <c r="E69" s="2">
        <v>56.429507615623692</v>
      </c>
      <c r="F69">
        <v>56.429507615623692</v>
      </c>
      <c r="G69" s="2">
        <v>1.2028647510010473</v>
      </c>
      <c r="H69" s="10">
        <v>1.2028647510010473</v>
      </c>
      <c r="I69">
        <v>1.2028647510010473</v>
      </c>
      <c r="J69" s="2">
        <v>760.81034281002815</v>
      </c>
      <c r="K69" s="2">
        <v>760.81034281002815</v>
      </c>
      <c r="L69">
        <v>760.81034281002815</v>
      </c>
      <c r="M69" s="2">
        <v>0.94331191264146697</v>
      </c>
      <c r="N69" s="2">
        <v>0.94331191264146697</v>
      </c>
      <c r="O69">
        <v>0.94331191264146697</v>
      </c>
      <c r="P69">
        <v>0.38808233195720038</v>
      </c>
      <c r="Q69">
        <v>0.38808233195720038</v>
      </c>
      <c r="R69">
        <v>0.38808233195720038</v>
      </c>
    </row>
    <row r="70" spans="1:18" outlineLevel="1" x14ac:dyDescent="0.25">
      <c r="A70" s="55">
        <v>12</v>
      </c>
      <c r="B70" s="57">
        <f t="shared" si="1"/>
        <v>66.45</v>
      </c>
      <c r="C70" s="2">
        <v>108.88621323733425</v>
      </c>
      <c r="D70" s="2">
        <v>63.221246840020797</v>
      </c>
      <c r="E70" s="2">
        <v>63.221246840020797</v>
      </c>
      <c r="F70">
        <v>63.221246840020797</v>
      </c>
      <c r="G70" s="2">
        <v>1.2219893897562828</v>
      </c>
      <c r="H70" s="10">
        <v>1.2219893897562828</v>
      </c>
      <c r="I70">
        <v>1.2219893897562828</v>
      </c>
      <c r="J70" s="2">
        <v>754.3354513048655</v>
      </c>
      <c r="K70" s="2">
        <v>754.3354513048655</v>
      </c>
      <c r="L70">
        <v>754.3354513048655</v>
      </c>
      <c r="M70" s="2">
        <v>0.88588467856016206</v>
      </c>
      <c r="N70" s="2">
        <v>0.88588467856016206</v>
      </c>
      <c r="O70">
        <v>0.88588467856016206</v>
      </c>
      <c r="P70">
        <v>0.34153636497272327</v>
      </c>
      <c r="Q70">
        <v>0.34153636497272327</v>
      </c>
      <c r="R70">
        <v>0.34153636497272327</v>
      </c>
    </row>
    <row r="71" spans="1:18" outlineLevel="1" x14ac:dyDescent="0.25">
      <c r="A71" s="55">
        <v>13</v>
      </c>
      <c r="B71" s="57">
        <f t="shared" si="1"/>
        <v>72.400000000000006</v>
      </c>
      <c r="C71" s="2">
        <v>118.69405080436464</v>
      </c>
      <c r="D71" s="2">
        <v>70.139093658051422</v>
      </c>
      <c r="E71" s="2">
        <v>70.139093658051422</v>
      </c>
      <c r="F71">
        <v>70.139093658051422</v>
      </c>
      <c r="G71" s="2">
        <v>1.2416958278891055</v>
      </c>
      <c r="H71" s="10">
        <v>1.2416958278891055</v>
      </c>
      <c r="I71">
        <v>1.2416958278891055</v>
      </c>
      <c r="J71" s="2">
        <v>747.80886246205625</v>
      </c>
      <c r="K71" s="2">
        <v>747.80886246205625</v>
      </c>
      <c r="L71">
        <v>747.80886246205625</v>
      </c>
      <c r="M71" s="2">
        <v>0.83555112107454399</v>
      </c>
      <c r="N71" s="2">
        <v>0.83555112107454399</v>
      </c>
      <c r="O71">
        <v>0.83555112107454399</v>
      </c>
      <c r="P71">
        <v>0.29713304057882739</v>
      </c>
      <c r="Q71">
        <v>0.29713304057882739</v>
      </c>
      <c r="R71">
        <v>0.29713304057882739</v>
      </c>
    </row>
    <row r="72" spans="1:18" outlineLevel="1" x14ac:dyDescent="0.25">
      <c r="A72" s="55">
        <v>14</v>
      </c>
      <c r="B72" s="57">
        <f t="shared" si="1"/>
        <v>78.350000000000009</v>
      </c>
      <c r="C72" s="2">
        <v>128.50188837139501</v>
      </c>
      <c r="D72" s="2">
        <v>77.174662959514549</v>
      </c>
      <c r="E72" s="2">
        <v>77.174662959514549</v>
      </c>
      <c r="F72">
        <v>77.174662959514549</v>
      </c>
      <c r="G72" s="2">
        <v>1.2619600943421767</v>
      </c>
      <c r="H72" s="10">
        <v>1.2619600943421767</v>
      </c>
      <c r="I72">
        <v>1.2619600943421767</v>
      </c>
      <c r="J72" s="2">
        <v>741.24961065248453</v>
      </c>
      <c r="K72" s="2">
        <v>741.24961065248453</v>
      </c>
      <c r="L72">
        <v>741.24961065248453</v>
      </c>
      <c r="M72" s="2">
        <v>0.7910817212753618</v>
      </c>
      <c r="N72" s="2">
        <v>0.7910817212753618</v>
      </c>
      <c r="O72">
        <v>0.7910817212753618</v>
      </c>
      <c r="P72">
        <v>0.25472843848676019</v>
      </c>
      <c r="Q72">
        <v>0.25472843848676019</v>
      </c>
      <c r="R72">
        <v>0.25472843848676019</v>
      </c>
    </row>
    <row r="73" spans="1:18" outlineLevel="1" x14ac:dyDescent="0.25">
      <c r="A73" s="55">
        <v>15</v>
      </c>
      <c r="B73" s="57">
        <f t="shared" si="1"/>
        <v>84.300000000000011</v>
      </c>
      <c r="C73" s="2">
        <v>138.3097259384254</v>
      </c>
      <c r="D73" s="2">
        <v>84.320731892097271</v>
      </c>
      <c r="E73" s="2">
        <v>84.320731892097271</v>
      </c>
      <c r="F73">
        <v>84.320731892097271</v>
      </c>
      <c r="G73" s="2">
        <v>1.2827609056497578</v>
      </c>
      <c r="H73" s="10">
        <v>1.2827609056497578</v>
      </c>
      <c r="I73">
        <v>1.2827609056497578</v>
      </c>
      <c r="J73" s="2">
        <v>734.67448717163677</v>
      </c>
      <c r="K73" s="2">
        <v>734.67448717163677</v>
      </c>
      <c r="L73">
        <v>734.67448717163677</v>
      </c>
      <c r="M73" s="2">
        <v>0.75151126668649693</v>
      </c>
      <c r="N73" s="2">
        <v>0.75151126668649693</v>
      </c>
      <c r="O73">
        <v>0.75151126668649693</v>
      </c>
      <c r="P73">
        <v>0.21418094903675705</v>
      </c>
      <c r="Q73">
        <v>0.21418094903675705</v>
      </c>
      <c r="R73">
        <v>0.21418094903675705</v>
      </c>
    </row>
    <row r="74" spans="1:18" outlineLevel="1" x14ac:dyDescent="0.25">
      <c r="A74" s="55">
        <v>16</v>
      </c>
      <c r="B74" s="57">
        <f t="shared" si="1"/>
        <v>90.250000000000014</v>
      </c>
      <c r="C74" s="2">
        <v>148.11756350545579</v>
      </c>
      <c r="D74" s="2">
        <v>91.571006811155542</v>
      </c>
      <c r="E74" s="2">
        <v>91.571006811155542</v>
      </c>
      <c r="F74">
        <v>91.571006811155542</v>
      </c>
      <c r="G74" s="2">
        <v>1.3040791771666136</v>
      </c>
      <c r="H74" s="10">
        <v>1.3040791771666136</v>
      </c>
      <c r="I74">
        <v>1.3040791771666136</v>
      </c>
      <c r="J74" s="2">
        <v>728.09830556449401</v>
      </c>
      <c r="K74" s="2">
        <v>728.09830556449401</v>
      </c>
      <c r="L74">
        <v>728.09830556449401</v>
      </c>
      <c r="M74" s="2">
        <v>0.71607269341030877</v>
      </c>
      <c r="N74" s="2">
        <v>0.71607269341030877</v>
      </c>
      <c r="O74">
        <v>0.71607269341030877</v>
      </c>
      <c r="P74">
        <v>0.17535543223367112</v>
      </c>
      <c r="Q74">
        <v>0.17535543223367112</v>
      </c>
      <c r="R74">
        <v>0.17535543223367112</v>
      </c>
    </row>
    <row r="75" spans="1:18" outlineLevel="1" x14ac:dyDescent="0.25">
      <c r="A75" s="55">
        <v>17</v>
      </c>
      <c r="B75" s="57">
        <f t="shared" si="1"/>
        <v>96.200000000000017</v>
      </c>
      <c r="C75" s="2">
        <v>157.92540107248618</v>
      </c>
      <c r="D75" s="2">
        <v>98.919949476008185</v>
      </c>
      <c r="E75" s="2">
        <v>98.919949476008185</v>
      </c>
      <c r="F75">
        <v>98.919949476008185</v>
      </c>
      <c r="G75" s="2">
        <v>1.3258976542482241</v>
      </c>
      <c r="H75" s="10">
        <v>1.3258976542482241</v>
      </c>
      <c r="I75">
        <v>1.3258976542482241</v>
      </c>
      <c r="J75" s="2">
        <v>721.53412350842666</v>
      </c>
      <c r="K75" s="2">
        <v>721.53412350842666</v>
      </c>
      <c r="L75">
        <v>721.53412350842666</v>
      </c>
      <c r="M75" s="2">
        <v>0.68414947584042696</v>
      </c>
      <c r="N75" s="2">
        <v>0.68414947584042696</v>
      </c>
      <c r="O75">
        <v>0.68414947584042696</v>
      </c>
      <c r="P75">
        <v>0.13812662244754365</v>
      </c>
      <c r="Q75">
        <v>0.13812662244754365</v>
      </c>
      <c r="R75">
        <v>0.13812662244754365</v>
      </c>
    </row>
    <row r="76" spans="1:18" outlineLevel="1" x14ac:dyDescent="0.25">
      <c r="A76" s="55">
        <v>18</v>
      </c>
      <c r="B76" s="57">
        <f t="shared" si="1"/>
        <v>102.15000000000002</v>
      </c>
      <c r="C76" s="2">
        <v>167.73323863951657</v>
      </c>
      <c r="D76" s="2">
        <v>106.36264464474959</v>
      </c>
      <c r="E76" s="2">
        <v>106.36264464474959</v>
      </c>
      <c r="F76">
        <v>106.36264464474959</v>
      </c>
      <c r="G76" s="2">
        <v>1.348200627374089</v>
      </c>
      <c r="H76" s="10">
        <v>1.348200627374089</v>
      </c>
      <c r="I76">
        <v>1.348200627374089</v>
      </c>
      <c r="J76" s="2">
        <v>714.99343257798478</v>
      </c>
      <c r="K76" s="2">
        <v>714.99343257798478</v>
      </c>
      <c r="L76">
        <v>714.99343257798478</v>
      </c>
      <c r="M76" s="2">
        <v>0.65524089485930148</v>
      </c>
      <c r="N76" s="2">
        <v>0.65524089485930148</v>
      </c>
      <c r="O76">
        <v>0.65524089485930148</v>
      </c>
      <c r="P76">
        <v>0.10238199799950358</v>
      </c>
      <c r="Q76">
        <v>0.10238199799950358</v>
      </c>
      <c r="R76">
        <v>0.10238199799950358</v>
      </c>
    </row>
    <row r="77" spans="1:18" outlineLevel="1" x14ac:dyDescent="0.25">
      <c r="A77" s="55">
        <v>19</v>
      </c>
      <c r="B77" s="57">
        <f t="shared" si="1"/>
        <v>108.10000000000002</v>
      </c>
      <c r="C77" s="2">
        <v>177.54107620654696</v>
      </c>
      <c r="D77" s="2">
        <v>113.8946973372466</v>
      </c>
      <c r="E77" s="2">
        <v>113.8946973372466</v>
      </c>
      <c r="F77">
        <v>113.8946973372466</v>
      </c>
      <c r="G77" s="2">
        <v>1.3709737076827364</v>
      </c>
      <c r="H77" s="10">
        <v>1.3709737076827364</v>
      </c>
      <c r="I77">
        <v>1.3709737076827364</v>
      </c>
      <c r="J77" s="2">
        <v>708.4863232215306</v>
      </c>
      <c r="K77" s="2">
        <v>708.4863232215306</v>
      </c>
      <c r="L77">
        <v>708.4863232215306</v>
      </c>
      <c r="M77" s="2">
        <v>0.62893636577126166</v>
      </c>
      <c r="N77" s="2">
        <v>0.62893636577126166</v>
      </c>
      <c r="O77">
        <v>0.62893636577126166</v>
      </c>
      <c r="P77">
        <v>6.8024300669982204E-2</v>
      </c>
      <c r="Q77">
        <v>6.8024300669982204E-2</v>
      </c>
      <c r="R77">
        <v>6.8024300669982204E-2</v>
      </c>
    </row>
    <row r="78" spans="1:18" outlineLevel="1" x14ac:dyDescent="0.25">
      <c r="A78" s="55">
        <v>20</v>
      </c>
      <c r="B78" s="57">
        <f t="shared" si="1"/>
        <v>114.05000000000003</v>
      </c>
      <c r="C78" s="2">
        <v>187.34891377357735</v>
      </c>
      <c r="D78" s="2">
        <v>121.51215183090807</v>
      </c>
      <c r="E78" s="2">
        <v>121.51215183090807</v>
      </c>
      <c r="F78">
        <v>121.51215183090807</v>
      </c>
      <c r="G78" s="2">
        <v>1.3942036470497792</v>
      </c>
      <c r="H78" s="10">
        <v>1.3942036470497792</v>
      </c>
      <c r="I78">
        <v>1.3942036470497792</v>
      </c>
      <c r="J78" s="2">
        <v>702.02162989931571</v>
      </c>
      <c r="K78" s="2">
        <v>702.02162989931571</v>
      </c>
      <c r="L78">
        <v>702.02162989931571</v>
      </c>
      <c r="M78" s="2">
        <v>0.60489622403723109</v>
      </c>
      <c r="N78" s="2">
        <v>0.60489622403723109</v>
      </c>
      <c r="O78">
        <v>0.60489622403723109</v>
      </c>
      <c r="P78">
        <v>3.4973838795687433E-2</v>
      </c>
      <c r="Q78">
        <v>3.4973838795687433E-2</v>
      </c>
      <c r="R78">
        <v>3.4973838795687433E-2</v>
      </c>
    </row>
    <row r="79" spans="1:18" outlineLevel="1" x14ac:dyDescent="0.25">
      <c r="A79" s="55">
        <v>21</v>
      </c>
      <c r="B79" s="58">
        <f>G23</f>
        <v>119.99999999999999</v>
      </c>
      <c r="C79" s="2">
        <v>197.15675134060768</v>
      </c>
      <c r="D79" s="2">
        <v>129.21142688461711</v>
      </c>
      <c r="E79" s="2">
        <v>129.21142688461711</v>
      </c>
      <c r="F79">
        <v>129.21142688461711</v>
      </c>
      <c r="G79" s="2">
        <v>1.4178781917098293</v>
      </c>
      <c r="H79" s="10">
        <v>1.4178781917098293</v>
      </c>
      <c r="I79">
        <v>1.4178781917098293</v>
      </c>
      <c r="J79" s="2">
        <v>695.60705986356982</v>
      </c>
      <c r="K79" s="2">
        <v>695.60705986356982</v>
      </c>
      <c r="L79">
        <v>695.60705986356982</v>
      </c>
      <c r="M79" s="2">
        <v>0.58283717373881139</v>
      </c>
      <c r="N79" s="2">
        <v>0.58283717373881139</v>
      </c>
      <c r="O79">
        <v>0.58283717373881139</v>
      </c>
      <c r="P79">
        <v>3.1706411019746888E-3</v>
      </c>
      <c r="Q79">
        <v>3.1706411019746888E-3</v>
      </c>
      <c r="R79">
        <v>3.1706411019746888E-3</v>
      </c>
    </row>
    <row r="80" spans="1:18" outlineLevel="1" x14ac:dyDescent="0.25">
      <c r="A80" s="55">
        <v>22</v>
      </c>
      <c r="B80" s="57">
        <f t="shared" ref="B80:B98" si="2">($B$99-$B$79)/($A$99-$A$79)+B79</f>
        <v>129</v>
      </c>
      <c r="C80" s="2">
        <v>202.29891377357731</v>
      </c>
      <c r="D80" s="2">
        <v>130</v>
      </c>
      <c r="E80" s="2">
        <v>130</v>
      </c>
      <c r="F80">
        <v>130</v>
      </c>
      <c r="G80" s="2">
        <v>1.4186268912358007</v>
      </c>
      <c r="H80" s="10">
        <v>1.4186268912358007</v>
      </c>
      <c r="I80">
        <v>1.4186268912358007</v>
      </c>
      <c r="J80" s="2">
        <v>695.78322961307367</v>
      </c>
      <c r="K80" s="2">
        <v>695.78322961307367</v>
      </c>
      <c r="L80">
        <v>695.78322961307367</v>
      </c>
      <c r="M80" s="2">
        <v>0.58465602872172595</v>
      </c>
      <c r="N80" s="2">
        <v>0.58465602872172595</v>
      </c>
      <c r="O80">
        <v>0.58465602872172595</v>
      </c>
      <c r="P80">
        <v>0</v>
      </c>
      <c r="Q80">
        <v>0</v>
      </c>
      <c r="R80">
        <v>0</v>
      </c>
    </row>
    <row r="81" spans="1:18" outlineLevel="1" x14ac:dyDescent="0.25">
      <c r="A81" s="55">
        <v>23</v>
      </c>
      <c r="B81" s="57">
        <f t="shared" si="2"/>
        <v>138</v>
      </c>
      <c r="C81" s="2">
        <v>207.44107620654694</v>
      </c>
      <c r="D81" s="2">
        <v>130</v>
      </c>
      <c r="E81" s="2">
        <v>130</v>
      </c>
      <c r="F81">
        <v>130</v>
      </c>
      <c r="G81" s="2">
        <v>1.417025512670065</v>
      </c>
      <c r="H81" s="10">
        <v>1.417025512670065</v>
      </c>
      <c r="I81">
        <v>1.417025512670065</v>
      </c>
      <c r="J81" s="2">
        <v>696.56953327545534</v>
      </c>
      <c r="K81" s="2">
        <v>696.56953327545534</v>
      </c>
      <c r="L81">
        <v>696.56953327545534</v>
      </c>
      <c r="M81" s="2">
        <v>0.58873062206204108</v>
      </c>
      <c r="N81" s="2">
        <v>0.58873062206204108</v>
      </c>
      <c r="O81">
        <v>0.58873062206204108</v>
      </c>
      <c r="P81">
        <v>0</v>
      </c>
      <c r="Q81">
        <v>0</v>
      </c>
      <c r="R81">
        <v>0</v>
      </c>
    </row>
    <row r="82" spans="1:18" outlineLevel="1" x14ac:dyDescent="0.25">
      <c r="A82" s="55">
        <v>24</v>
      </c>
      <c r="B82" s="57">
        <f t="shared" si="2"/>
        <v>147</v>
      </c>
      <c r="C82" s="2">
        <v>212.58323863951657</v>
      </c>
      <c r="D82" s="2">
        <v>130</v>
      </c>
      <c r="E82" s="2">
        <v>130</v>
      </c>
      <c r="F82">
        <v>130</v>
      </c>
      <c r="G82" s="2">
        <v>1.4155032840345112</v>
      </c>
      <c r="H82" s="10">
        <v>1.4155032840345112</v>
      </c>
      <c r="I82">
        <v>1.4155032840345112</v>
      </c>
      <c r="J82" s="2">
        <v>697.31862238189956</v>
      </c>
      <c r="K82" s="2">
        <v>697.31862238189956</v>
      </c>
      <c r="L82">
        <v>697.31862238189956</v>
      </c>
      <c r="M82" s="2">
        <v>0.59291328574740609</v>
      </c>
      <c r="N82" s="2">
        <v>0.59291328574740609</v>
      </c>
      <c r="O82">
        <v>0.59291328574740609</v>
      </c>
      <c r="P82">
        <v>0</v>
      </c>
      <c r="Q82">
        <v>0</v>
      </c>
      <c r="R82">
        <v>0</v>
      </c>
    </row>
    <row r="83" spans="1:18" outlineLevel="1" x14ac:dyDescent="0.25">
      <c r="A83" s="55">
        <v>25</v>
      </c>
      <c r="B83" s="57">
        <f t="shared" si="2"/>
        <v>156</v>
      </c>
      <c r="C83" s="2">
        <v>217.72540107248619</v>
      </c>
      <c r="D83" s="2">
        <v>130</v>
      </c>
      <c r="E83" s="2">
        <v>130</v>
      </c>
      <c r="F83">
        <v>130</v>
      </c>
      <c r="G83" s="2">
        <v>1.4140544795573473</v>
      </c>
      <c r="H83" s="10">
        <v>1.4140544795573473</v>
      </c>
      <c r="I83">
        <v>1.4140544795573473</v>
      </c>
      <c r="J83" s="2">
        <v>698.03307741649826</v>
      </c>
      <c r="K83" s="2">
        <v>698.03307741649826</v>
      </c>
      <c r="L83">
        <v>698.03307741649826</v>
      </c>
      <c r="M83" s="2">
        <v>0.5972015664745528</v>
      </c>
      <c r="N83" s="2">
        <v>0.5972015664745528</v>
      </c>
      <c r="O83">
        <v>0.5972015664745528</v>
      </c>
      <c r="P83">
        <v>0</v>
      </c>
      <c r="Q83">
        <v>0</v>
      </c>
      <c r="R83">
        <v>0</v>
      </c>
    </row>
    <row r="84" spans="1:18" outlineLevel="1" x14ac:dyDescent="0.25">
      <c r="A84" s="55">
        <v>26</v>
      </c>
      <c r="B84" s="57">
        <f t="shared" si="2"/>
        <v>165</v>
      </c>
      <c r="C84" s="2">
        <v>222.86756350545582</v>
      </c>
      <c r="D84" s="2">
        <v>130</v>
      </c>
      <c r="E84" s="2">
        <v>130</v>
      </c>
      <c r="F84">
        <v>130</v>
      </c>
      <c r="G84" s="2">
        <v>1.4126739126671428</v>
      </c>
      <c r="H84" s="10">
        <v>1.4126739126671428</v>
      </c>
      <c r="I84">
        <v>1.4126739126671428</v>
      </c>
      <c r="J84" s="2">
        <v>698.71524571189013</v>
      </c>
      <c r="K84" s="2">
        <v>698.71524571189013</v>
      </c>
      <c r="L84">
        <v>698.71524571189013</v>
      </c>
      <c r="M84" s="2">
        <v>0.60159311453524822</v>
      </c>
      <c r="N84" s="2">
        <v>0.60159311453524822</v>
      </c>
      <c r="O84">
        <v>0.60159311453524822</v>
      </c>
      <c r="P84">
        <v>0</v>
      </c>
      <c r="Q84">
        <v>0</v>
      </c>
      <c r="R84">
        <v>0</v>
      </c>
    </row>
    <row r="85" spans="1:18" outlineLevel="1" x14ac:dyDescent="0.25">
      <c r="A85" s="55">
        <v>27</v>
      </c>
      <c r="B85" s="57">
        <f t="shared" si="2"/>
        <v>174</v>
      </c>
      <c r="C85" s="2">
        <v>228.00972593842545</v>
      </c>
      <c r="D85" s="2">
        <v>130</v>
      </c>
      <c r="E85" s="2">
        <v>130</v>
      </c>
      <c r="F85">
        <v>130</v>
      </c>
      <c r="G85" s="2">
        <v>1.4113568739893438</v>
      </c>
      <c r="H85" s="10">
        <v>1.4113568739893438</v>
      </c>
      <c r="I85">
        <v>1.4113568739893438</v>
      </c>
      <c r="J85" s="2">
        <v>699.36726719584647</v>
      </c>
      <c r="K85" s="2">
        <v>699.36726719584647</v>
      </c>
      <c r="L85">
        <v>699.36726719584647</v>
      </c>
      <c r="M85" s="2">
        <v>0.60608567481584175</v>
      </c>
      <c r="N85" s="2">
        <v>0.60608567481584175</v>
      </c>
      <c r="O85">
        <v>0.60608567481584175</v>
      </c>
      <c r="P85">
        <v>0</v>
      </c>
      <c r="Q85">
        <v>0</v>
      </c>
      <c r="R85">
        <v>0</v>
      </c>
    </row>
    <row r="86" spans="1:18" outlineLevel="1" x14ac:dyDescent="0.25">
      <c r="A86" s="55">
        <v>28</v>
      </c>
      <c r="B86" s="57">
        <f t="shared" si="2"/>
        <v>183</v>
      </c>
      <c r="C86" s="2">
        <v>233.15188837139507</v>
      </c>
      <c r="D86" s="2">
        <v>130</v>
      </c>
      <c r="E86" s="2">
        <v>130</v>
      </c>
      <c r="F86">
        <v>130</v>
      </c>
      <c r="G86" s="2">
        <v>1.4100990777053124</v>
      </c>
      <c r="H86" s="10">
        <v>1.4100990777053124</v>
      </c>
      <c r="I86">
        <v>1.4100990777053124</v>
      </c>
      <c r="J86" s="2">
        <v>699.99109680027652</v>
      </c>
      <c r="K86" s="2">
        <v>699.99109680027652</v>
      </c>
      <c r="L86">
        <v>699.99109680027652</v>
      </c>
      <c r="M86" s="2">
        <v>0.61067707858150111</v>
      </c>
      <c r="N86" s="2">
        <v>0.61067707858150111</v>
      </c>
      <c r="O86">
        <v>0.61067707858150111</v>
      </c>
      <c r="P86">
        <v>0</v>
      </c>
      <c r="Q86">
        <v>0</v>
      </c>
      <c r="R86">
        <v>0</v>
      </c>
    </row>
    <row r="87" spans="1:18" outlineLevel="1" x14ac:dyDescent="0.25">
      <c r="A87" s="55">
        <v>29</v>
      </c>
      <c r="B87" s="57">
        <f t="shared" si="2"/>
        <v>192</v>
      </c>
      <c r="C87" s="2">
        <v>238.2940508043647</v>
      </c>
      <c r="D87" s="2">
        <v>130</v>
      </c>
      <c r="E87" s="2">
        <v>130</v>
      </c>
      <c r="F87">
        <v>130</v>
      </c>
      <c r="G87" s="2">
        <v>1.4088966149871167</v>
      </c>
      <c r="H87" s="10">
        <v>1.4088966149871167</v>
      </c>
      <c r="I87">
        <v>1.4088966149871167</v>
      </c>
      <c r="J87" s="2">
        <v>700.5885240266731</v>
      </c>
      <c r="K87" s="2">
        <v>700.5885240266731</v>
      </c>
      <c r="L87">
        <v>700.5885240266731</v>
      </c>
      <c r="M87" s="2">
        <v>0.61536523596598403</v>
      </c>
      <c r="N87" s="2">
        <v>0.61536523596598403</v>
      </c>
      <c r="O87">
        <v>0.61536523596598403</v>
      </c>
      <c r="P87">
        <v>0</v>
      </c>
      <c r="Q87">
        <v>0</v>
      </c>
      <c r="R87">
        <v>0</v>
      </c>
    </row>
    <row r="88" spans="1:18" outlineLevel="1" x14ac:dyDescent="0.25">
      <c r="A88" s="55">
        <v>30</v>
      </c>
      <c r="B88" s="57">
        <f t="shared" si="2"/>
        <v>201</v>
      </c>
      <c r="C88" s="2">
        <v>243.43621323733433</v>
      </c>
      <c r="D88" s="2">
        <v>130</v>
      </c>
      <c r="E88" s="2">
        <v>130</v>
      </c>
      <c r="F88">
        <v>130</v>
      </c>
      <c r="G88" s="2">
        <v>1.4077459134426862</v>
      </c>
      <c r="H88" s="10">
        <v>1.4077459134426862</v>
      </c>
      <c r="I88">
        <v>1.4077459134426862</v>
      </c>
      <c r="J88" s="2">
        <v>701.16119008019143</v>
      </c>
      <c r="K88" s="2">
        <v>701.16119008019143</v>
      </c>
      <c r="L88">
        <v>701.16119008019143</v>
      </c>
      <c r="M88" s="2">
        <v>0.62014812909724837</v>
      </c>
      <c r="N88" s="2">
        <v>0.62014812909724837</v>
      </c>
      <c r="O88">
        <v>0.62014812909724837</v>
      </c>
      <c r="P88">
        <v>0</v>
      </c>
      <c r="Q88">
        <v>0</v>
      </c>
      <c r="R88">
        <v>0</v>
      </c>
    </row>
    <row r="89" spans="1:18" outlineLevel="1" x14ac:dyDescent="0.25">
      <c r="A89" s="55">
        <v>31</v>
      </c>
      <c r="B89" s="57">
        <f t="shared" si="2"/>
        <v>210</v>
      </c>
      <c r="C89" s="2">
        <v>248.57837567030396</v>
      </c>
      <c r="D89" s="2">
        <v>130</v>
      </c>
      <c r="E89" s="2">
        <v>130</v>
      </c>
      <c r="F89">
        <v>130</v>
      </c>
      <c r="G89" s="2">
        <v>1.4066437016854056</v>
      </c>
      <c r="H89" s="10">
        <v>1.4066437016854056</v>
      </c>
      <c r="I89">
        <v>1.4066437016854056</v>
      </c>
      <c r="J89" s="2">
        <v>701.71060291766355</v>
      </c>
      <c r="K89" s="2">
        <v>701.71060291766355</v>
      </c>
      <c r="L89">
        <v>701.71060291766355</v>
      </c>
      <c r="M89" s="2">
        <v>0.62502380579738293</v>
      </c>
      <c r="N89" s="2">
        <v>0.62502380579738293</v>
      </c>
      <c r="O89">
        <v>0.62502380579738293</v>
      </c>
      <c r="P89">
        <v>0</v>
      </c>
      <c r="Q89">
        <v>0</v>
      </c>
      <c r="R89">
        <v>0</v>
      </c>
    </row>
    <row r="90" spans="1:18" outlineLevel="1" x14ac:dyDescent="0.25">
      <c r="A90" s="55">
        <v>32</v>
      </c>
      <c r="B90" s="57">
        <f t="shared" si="2"/>
        <v>219</v>
      </c>
      <c r="C90" s="2">
        <v>253.72053810327358</v>
      </c>
      <c r="D90" s="2">
        <v>130</v>
      </c>
      <c r="E90" s="2">
        <v>130</v>
      </c>
      <c r="F90">
        <v>130</v>
      </c>
      <c r="G90" s="2">
        <v>1.4055869782883672</v>
      </c>
      <c r="H90" s="10">
        <v>1.4055869782883672</v>
      </c>
      <c r="I90">
        <v>1.4055869782883672</v>
      </c>
      <c r="J90" s="2">
        <v>702.23815049992413</v>
      </c>
      <c r="K90" s="2">
        <v>702.23815049992413</v>
      </c>
      <c r="L90">
        <v>702.23815049992413</v>
      </c>
      <c r="M90" s="2">
        <v>0.62999037380240752</v>
      </c>
      <c r="N90" s="2">
        <v>0.62999037380240752</v>
      </c>
      <c r="O90">
        <v>0.62999037380240752</v>
      </c>
      <c r="P90">
        <v>0</v>
      </c>
      <c r="Q90">
        <v>0</v>
      </c>
      <c r="R90">
        <v>0</v>
      </c>
    </row>
    <row r="91" spans="1:18" outlineLevel="1" x14ac:dyDescent="0.25">
      <c r="A91" s="55">
        <v>33</v>
      </c>
      <c r="B91" s="57">
        <f t="shared" si="2"/>
        <v>228</v>
      </c>
      <c r="C91" s="2">
        <v>258.86270053624321</v>
      </c>
      <c r="D91" s="2">
        <v>130</v>
      </c>
      <c r="E91" s="2">
        <v>130</v>
      </c>
      <c r="F91">
        <v>130</v>
      </c>
      <c r="G91" s="2">
        <v>1.4045729845030741</v>
      </c>
      <c r="H91" s="10">
        <v>1.4045729845030741</v>
      </c>
      <c r="I91">
        <v>1.4045729845030741</v>
      </c>
      <c r="J91" s="2">
        <v>702.74511249353998</v>
      </c>
      <c r="K91" s="2">
        <v>702.74511249353998</v>
      </c>
      <c r="L91">
        <v>702.74511249353998</v>
      </c>
      <c r="M91" s="2">
        <v>0.63504599545364859</v>
      </c>
      <c r="N91" s="2">
        <v>0.63504599545364859</v>
      </c>
      <c r="O91">
        <v>0.63504599545364859</v>
      </c>
      <c r="P91">
        <v>0</v>
      </c>
      <c r="Q91">
        <v>0</v>
      </c>
      <c r="R91">
        <v>0</v>
      </c>
    </row>
    <row r="92" spans="1:18" outlineLevel="1" x14ac:dyDescent="0.25">
      <c r="A92" s="55">
        <v>34</v>
      </c>
      <c r="B92" s="57">
        <f t="shared" si="2"/>
        <v>237</v>
      </c>
      <c r="C92" s="2">
        <v>264.00486296921281</v>
      </c>
      <c r="D92" s="2">
        <v>130</v>
      </c>
      <c r="E92" s="2">
        <v>130</v>
      </c>
      <c r="F92">
        <v>130</v>
      </c>
      <c r="G92" s="2">
        <v>1.40359918022066</v>
      </c>
      <c r="H92" s="10">
        <v>1.40359918022066</v>
      </c>
      <c r="I92">
        <v>1.40359918022066</v>
      </c>
      <c r="J92" s="2">
        <v>703.23267062953448</v>
      </c>
      <c r="K92" s="2">
        <v>703.23267062953448</v>
      </c>
      <c r="L92">
        <v>703.23267062953448</v>
      </c>
      <c r="M92" s="2">
        <v>0.64018888281774511</v>
      </c>
      <c r="N92" s="2">
        <v>0.64018888281774511</v>
      </c>
      <c r="O92">
        <v>0.64018888281774511</v>
      </c>
      <c r="P92">
        <v>0</v>
      </c>
      <c r="Q92">
        <v>0</v>
      </c>
      <c r="R92">
        <v>0</v>
      </c>
    </row>
    <row r="93" spans="1:18" outlineLevel="1" x14ac:dyDescent="0.25">
      <c r="A93" s="55">
        <v>35</v>
      </c>
      <c r="B93" s="57">
        <f t="shared" si="2"/>
        <v>246</v>
      </c>
      <c r="C93" s="2">
        <v>269.14702540218241</v>
      </c>
      <c r="D93" s="2">
        <v>130</v>
      </c>
      <c r="E93" s="2">
        <v>130</v>
      </c>
      <c r="F93">
        <v>130</v>
      </c>
      <c r="G93" s="2">
        <v>1.402663222734774</v>
      </c>
      <c r="H93" s="10">
        <v>1.402663222734774</v>
      </c>
      <c r="I93">
        <v>1.402663222734774</v>
      </c>
      <c r="J93" s="2">
        <v>703.70191789554042</v>
      </c>
      <c r="K93" s="2">
        <v>703.70191789554042</v>
      </c>
      <c r="L93">
        <v>703.70191789554042</v>
      </c>
      <c r="M93" s="2">
        <v>0.64541729319702246</v>
      </c>
      <c r="N93" s="2">
        <v>0.64541729319702246</v>
      </c>
      <c r="O93">
        <v>0.64541729319702246</v>
      </c>
      <c r="P93">
        <v>0</v>
      </c>
      <c r="Q93">
        <v>0</v>
      </c>
      <c r="R93">
        <v>0</v>
      </c>
    </row>
    <row r="94" spans="1:18" outlineLevel="1" x14ac:dyDescent="0.25">
      <c r="A94" s="55">
        <v>36</v>
      </c>
      <c r="B94" s="57">
        <f t="shared" si="2"/>
        <v>255</v>
      </c>
      <c r="C94" s="2">
        <v>274.28918783515201</v>
      </c>
      <c r="D94" s="2">
        <v>130</v>
      </c>
      <c r="E94" s="2">
        <v>130</v>
      </c>
      <c r="F94">
        <v>130</v>
      </c>
      <c r="G94" s="2">
        <v>1.401762947932474</v>
      </c>
      <c r="H94" s="10">
        <v>1.401762947932474</v>
      </c>
      <c r="I94">
        <v>1.401762947932474</v>
      </c>
      <c r="J94" s="2">
        <v>704.15386671181204</v>
      </c>
      <c r="K94" s="2">
        <v>704.15386671181204</v>
      </c>
      <c r="L94">
        <v>704.15386671181204</v>
      </c>
      <c r="M94" s="2">
        <v>0.65072952499606274</v>
      </c>
      <c r="N94" s="2">
        <v>0.65072952499606274</v>
      </c>
      <c r="O94">
        <v>0.65072952499606274</v>
      </c>
      <c r="P94">
        <v>0</v>
      </c>
      <c r="Q94">
        <v>0</v>
      </c>
      <c r="R94">
        <v>0</v>
      </c>
    </row>
    <row r="95" spans="1:18" outlineLevel="1" x14ac:dyDescent="0.25">
      <c r="A95" s="55">
        <v>37</v>
      </c>
      <c r="B95" s="57">
        <f t="shared" si="2"/>
        <v>264</v>
      </c>
      <c r="C95" s="2">
        <v>279.43135026812161</v>
      </c>
      <c r="D95" s="2">
        <v>130</v>
      </c>
      <c r="E95" s="2">
        <v>130</v>
      </c>
      <c r="F95">
        <v>130</v>
      </c>
      <c r="G95" s="2">
        <v>1.4008963535953527</v>
      </c>
      <c r="H95" s="10">
        <v>1.4008963535953527</v>
      </c>
      <c r="I95">
        <v>1.4008963535953527</v>
      </c>
      <c r="J95" s="2">
        <v>704.5894562197642</v>
      </c>
      <c r="K95" s="2">
        <v>704.5894562197642</v>
      </c>
      <c r="L95">
        <v>704.5894562197642</v>
      </c>
      <c r="M95" s="2">
        <v>0.65612391391389813</v>
      </c>
      <c r="N95" s="2">
        <v>0.65612391391389813</v>
      </c>
      <c r="O95">
        <v>0.65612391391389813</v>
      </c>
      <c r="P95">
        <v>0</v>
      </c>
      <c r="Q95">
        <v>0</v>
      </c>
      <c r="R95">
        <v>0</v>
      </c>
    </row>
    <row r="96" spans="1:18" outlineLevel="1" x14ac:dyDescent="0.25">
      <c r="A96" s="55">
        <v>38</v>
      </c>
      <c r="B96" s="57">
        <f t="shared" si="2"/>
        <v>273</v>
      </c>
      <c r="C96" s="2">
        <v>284.5735127010912</v>
      </c>
      <c r="D96" s="2">
        <v>130</v>
      </c>
      <c r="E96" s="2">
        <v>130</v>
      </c>
      <c r="F96">
        <v>130</v>
      </c>
      <c r="G96" s="2">
        <v>1.4000615845397781</v>
      </c>
      <c r="H96" s="10">
        <v>1.4000615845397781</v>
      </c>
      <c r="I96">
        <v>1.4000615845397781</v>
      </c>
      <c r="J96" s="2">
        <v>705.00955879341609</v>
      </c>
      <c r="K96" s="2">
        <v>705.00955879341609</v>
      </c>
      <c r="L96">
        <v>705.00955879341609</v>
      </c>
      <c r="M96" s="2">
        <v>0.66159882943440962</v>
      </c>
      <c r="N96" s="2">
        <v>0.66159882943440962</v>
      </c>
      <c r="O96">
        <v>0.66159882943440962</v>
      </c>
      <c r="P96">
        <v>0</v>
      </c>
      <c r="Q96">
        <v>0</v>
      </c>
      <c r="R96">
        <v>0</v>
      </c>
    </row>
    <row r="97" spans="1:18" outlineLevel="1" x14ac:dyDescent="0.25">
      <c r="A97" s="55">
        <v>39</v>
      </c>
      <c r="B97" s="57">
        <f t="shared" si="2"/>
        <v>282</v>
      </c>
      <c r="C97" s="2">
        <v>289.7156751340608</v>
      </c>
      <c r="D97" s="2">
        <v>130</v>
      </c>
      <c r="E97" s="2">
        <v>130</v>
      </c>
      <c r="F97">
        <v>130</v>
      </c>
      <c r="G97" s="2">
        <v>1.399256919364221</v>
      </c>
      <c r="H97" s="10">
        <v>1.399256919364221</v>
      </c>
      <c r="I97">
        <v>1.399256919364221</v>
      </c>
      <c r="J97" s="2">
        <v>705.41498586870523</v>
      </c>
      <c r="K97" s="2">
        <v>705.41498586870523</v>
      </c>
      <c r="L97">
        <v>705.41498586870523</v>
      </c>
      <c r="M97" s="2">
        <v>0.66715267159031022</v>
      </c>
      <c r="N97" s="2">
        <v>0.66715267159031022</v>
      </c>
      <c r="O97">
        <v>0.66715267159031022</v>
      </c>
      <c r="P97">
        <v>0</v>
      </c>
      <c r="Q97">
        <v>0</v>
      </c>
      <c r="R97">
        <v>0</v>
      </c>
    </row>
    <row r="98" spans="1:18" outlineLevel="1" x14ac:dyDescent="0.25">
      <c r="A98" s="55">
        <v>40</v>
      </c>
      <c r="B98" s="57">
        <f t="shared" si="2"/>
        <v>291</v>
      </c>
      <c r="C98" s="2">
        <v>294.8578375670304</v>
      </c>
      <c r="D98" s="2">
        <v>130</v>
      </c>
      <c r="E98" s="2">
        <v>130</v>
      </c>
      <c r="F98">
        <v>130</v>
      </c>
      <c r="G98" s="2">
        <v>1.3984807586044941</v>
      </c>
      <c r="H98" s="10">
        <v>1.3984807586044941</v>
      </c>
      <c r="I98">
        <v>1.3984807586044941</v>
      </c>
      <c r="J98" s="2">
        <v>705.80649317260338</v>
      </c>
      <c r="K98" s="2">
        <v>705.80649317260338</v>
      </c>
      <c r="L98">
        <v>705.80649317260338</v>
      </c>
      <c r="M98" s="2">
        <v>0.67278386797854128</v>
      </c>
      <c r="N98" s="2">
        <v>0.67278386797854128</v>
      </c>
      <c r="O98">
        <v>0.67278386797854128</v>
      </c>
      <c r="P98">
        <v>0</v>
      </c>
      <c r="Q98">
        <v>0</v>
      </c>
      <c r="R98">
        <v>0</v>
      </c>
    </row>
    <row r="99" spans="1:18" outlineLevel="1" x14ac:dyDescent="0.25">
      <c r="A99" s="55">
        <v>41</v>
      </c>
      <c r="B99" s="56">
        <v>300</v>
      </c>
      <c r="C99" s="2">
        <v>300</v>
      </c>
      <c r="D99" s="2">
        <v>130</v>
      </c>
      <c r="E99" s="2">
        <v>130</v>
      </c>
      <c r="F99">
        <v>130</v>
      </c>
      <c r="G99" s="2">
        <v>1.3977316141254568</v>
      </c>
      <c r="H99" s="10">
        <v>1.3977316141254568</v>
      </c>
      <c r="I99">
        <v>1.3977316141254568</v>
      </c>
      <c r="J99" s="2">
        <v>706.18478542290757</v>
      </c>
      <c r="K99" s="2">
        <v>706.18478542290757</v>
      </c>
      <c r="L99">
        <v>706.18478542290757</v>
      </c>
      <c r="M99" s="2">
        <v>0.67849087100709848</v>
      </c>
      <c r="N99" s="2">
        <v>0.67849087100709848</v>
      </c>
      <c r="O99">
        <v>0.67849087100709848</v>
      </c>
      <c r="P99">
        <v>0</v>
      </c>
      <c r="Q99">
        <v>0</v>
      </c>
    </row>
    <row r="100" spans="1:18" outlineLevel="1" x14ac:dyDescent="0.25"/>
    <row r="101" spans="1:18" outlineLevel="1" x14ac:dyDescent="0.25"/>
  </sheetData>
  <mergeCells count="3">
    <mergeCell ref="A2:E2"/>
    <mergeCell ref="F3:G3"/>
    <mergeCell ref="N7:Q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>
                <anchor moveWithCells="1" sizeWithCells="1">
                  <from>
                    <xdr:col>11</xdr:col>
                    <xdr:colOff>142875</xdr:colOff>
                    <xdr:row>55</xdr:row>
                    <xdr:rowOff>0</xdr:rowOff>
                  </from>
                  <to>
                    <xdr:col>13</xdr:col>
                    <xdr:colOff>647700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Кнопка48_Расчет_диаграммы_рассогласованности">
                <anchor moveWithCells="1" sizeWithCells="1">
                  <from>
                    <xdr:col>18</xdr:col>
                    <xdr:colOff>19050</xdr:colOff>
                    <xdr:row>8</xdr:row>
                    <xdr:rowOff>180975</xdr:rowOff>
                  </from>
                  <to>
                    <xdr:col>20</xdr:col>
                    <xdr:colOff>600075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Кнопка48_Расчет_диаграммы_рассогласованности2">
                <anchor moveWithCells="1" sizeWithCells="1">
                  <from>
                    <xdr:col>18</xdr:col>
                    <xdr:colOff>19050</xdr:colOff>
                    <xdr:row>11</xdr:row>
                    <xdr:rowOff>85725</xdr:rowOff>
                  </from>
                  <to>
                    <xdr:col>20</xdr:col>
                    <xdr:colOff>600075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Кнопка51_Сброс_диаграммы_рассогласованности">
                <anchor moveWithCells="1" sizeWithCells="1">
                  <from>
                    <xdr:col>18</xdr:col>
                    <xdr:colOff>19050</xdr:colOff>
                    <xdr:row>14</xdr:row>
                    <xdr:rowOff>28575</xdr:rowOff>
                  </from>
                  <to>
                    <xdr:col>20</xdr:col>
                    <xdr:colOff>590550</xdr:colOff>
                    <xdr:row>16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Кнопка_Обновить_графики">
                <anchor moveWithCells="1" sizeWithCells="1">
                  <from>
                    <xdr:col>18</xdr:col>
                    <xdr:colOff>171450</xdr:colOff>
                    <xdr:row>55</xdr:row>
                    <xdr:rowOff>104775</xdr:rowOff>
                  </from>
                  <to>
                    <xdr:col>21</xdr:col>
                    <xdr:colOff>276225</xdr:colOff>
                    <xdr:row>58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AC176"/>
  <sheetViews>
    <sheetView zoomScale="70" zoomScaleNormal="70" workbookViewId="0">
      <selection activeCell="AA31" sqref="AA31"/>
    </sheetView>
  </sheetViews>
  <sheetFormatPr defaultRowHeight="15" x14ac:dyDescent="0.25"/>
  <sheetData>
    <row r="1" spans="1:16" x14ac:dyDescent="0.25">
      <c r="A1" t="str">
        <f>версия_</f>
        <v>вер 7.21</v>
      </c>
    </row>
    <row r="6" spans="1:16" x14ac:dyDescent="0.25">
      <c r="A6" s="11"/>
      <c r="B6" t="s">
        <v>37</v>
      </c>
      <c r="G6" s="1"/>
    </row>
    <row r="7" spans="1:16" x14ac:dyDescent="0.25">
      <c r="A7" s="11"/>
      <c r="G7" s="1"/>
    </row>
    <row r="8" spans="1:16" x14ac:dyDescent="0.25">
      <c r="A8" s="11"/>
      <c r="B8" s="19" t="s">
        <v>52</v>
      </c>
      <c r="C8" s="2"/>
      <c r="D8" s="2"/>
      <c r="G8" s="1"/>
    </row>
    <row r="9" spans="1:16" ht="18" x14ac:dyDescent="0.35">
      <c r="A9" s="11"/>
      <c r="B9" s="14" t="s">
        <v>39</v>
      </c>
      <c r="C9" s="9">
        <v>3500</v>
      </c>
      <c r="D9" s="5" t="s">
        <v>38</v>
      </c>
      <c r="G9" s="1"/>
    </row>
    <row r="10" spans="1:16" ht="18" x14ac:dyDescent="0.35">
      <c r="A10" s="11"/>
      <c r="B10" s="14" t="s">
        <v>40</v>
      </c>
      <c r="C10" s="9">
        <v>2500</v>
      </c>
      <c r="D10" s="5" t="s">
        <v>25</v>
      </c>
      <c r="G10" s="1"/>
    </row>
    <row r="11" spans="1:16" ht="18" x14ac:dyDescent="0.35">
      <c r="A11" s="11"/>
      <c r="B11" s="14" t="s">
        <v>49</v>
      </c>
      <c r="C11" s="9">
        <v>140</v>
      </c>
      <c r="D11" s="5" t="s">
        <v>41</v>
      </c>
      <c r="G11" s="1"/>
    </row>
    <row r="12" spans="1:16" ht="18" x14ac:dyDescent="0.35">
      <c r="A12" s="11"/>
      <c r="B12" s="14" t="s">
        <v>50</v>
      </c>
      <c r="C12" s="9">
        <v>65</v>
      </c>
      <c r="D12" s="5" t="s">
        <v>41</v>
      </c>
      <c r="G12" s="1"/>
    </row>
    <row r="13" spans="1:16" ht="18" x14ac:dyDescent="0.35">
      <c r="A13" s="11"/>
      <c r="B13" s="15" t="s">
        <v>48</v>
      </c>
      <c r="C13" s="9">
        <v>12</v>
      </c>
      <c r="D13" s="5" t="s">
        <v>41</v>
      </c>
      <c r="G13" s="1"/>
    </row>
    <row r="14" spans="1:16" x14ac:dyDescent="0.25">
      <c r="A14" s="11"/>
      <c r="G14" s="1"/>
    </row>
    <row r="15" spans="1:16" x14ac:dyDescent="0.25">
      <c r="A15" s="11"/>
      <c r="G15" s="1"/>
    </row>
    <row r="16" spans="1:16" x14ac:dyDescent="0.25">
      <c r="A16" s="11"/>
      <c r="B16" s="2" t="s">
        <v>42</v>
      </c>
      <c r="C16" s="2"/>
      <c r="E16" t="s">
        <v>73</v>
      </c>
      <c r="G16" s="1"/>
      <c r="H16" t="s">
        <v>67</v>
      </c>
      <c r="I16" s="1"/>
      <c r="J16" t="s">
        <v>71</v>
      </c>
      <c r="P16" t="s">
        <v>133</v>
      </c>
    </row>
    <row r="17" spans="1:29" ht="18" x14ac:dyDescent="0.35">
      <c r="A17" s="11"/>
      <c r="B17" s="5" t="s">
        <v>70</v>
      </c>
      <c r="C17" s="5" t="s">
        <v>69</v>
      </c>
      <c r="E17" s="5" t="s">
        <v>69</v>
      </c>
      <c r="F17" s="5" t="s">
        <v>11</v>
      </c>
      <c r="G17" s="1"/>
      <c r="H17" s="5" t="s">
        <v>70</v>
      </c>
      <c r="I17" s="17" t="s">
        <v>68</v>
      </c>
      <c r="J17" s="5" t="s">
        <v>70</v>
      </c>
      <c r="K17" s="17" t="s">
        <v>72</v>
      </c>
      <c r="P17" t="s">
        <v>134</v>
      </c>
      <c r="R17" t="s">
        <v>137</v>
      </c>
      <c r="S17" t="s">
        <v>136</v>
      </c>
      <c r="T17" t="s">
        <v>135</v>
      </c>
      <c r="U17" t="s">
        <v>134</v>
      </c>
      <c r="V17" t="s">
        <v>138</v>
      </c>
      <c r="W17" t="s">
        <v>134</v>
      </c>
      <c r="X17" t="s">
        <v>139</v>
      </c>
    </row>
    <row r="18" spans="1:29" x14ac:dyDescent="0.25">
      <c r="A18" s="11"/>
      <c r="B18" s="5" t="s">
        <v>38</v>
      </c>
      <c r="C18" s="5" t="s">
        <v>38</v>
      </c>
      <c r="E18" s="5" t="s">
        <v>38</v>
      </c>
      <c r="F18" s="5" t="s">
        <v>25</v>
      </c>
      <c r="G18" s="1"/>
      <c r="H18" s="5" t="s">
        <v>38</v>
      </c>
      <c r="I18" s="5" t="s">
        <v>41</v>
      </c>
      <c r="J18" s="5" t="s">
        <v>38</v>
      </c>
      <c r="K18" s="5" t="s">
        <v>41</v>
      </c>
      <c r="O18">
        <v>0</v>
      </c>
      <c r="P18">
        <v>0</v>
      </c>
      <c r="Q18">
        <v>0</v>
      </c>
      <c r="R18">
        <v>0</v>
      </c>
      <c r="S18">
        <v>0</v>
      </c>
      <c r="T18">
        <v>30</v>
      </c>
      <c r="U18">
        <v>0</v>
      </c>
      <c r="V18">
        <v>150</v>
      </c>
      <c r="W18">
        <v>0</v>
      </c>
      <c r="X18">
        <v>72</v>
      </c>
      <c r="AC18">
        <v>0</v>
      </c>
    </row>
    <row r="19" spans="1:29" x14ac:dyDescent="0.25">
      <c r="A19" s="11"/>
      <c r="B19" s="9">
        <v>0</v>
      </c>
      <c r="C19" s="9">
        <v>0</v>
      </c>
      <c r="E19" s="18">
        <v>0</v>
      </c>
      <c r="F19" s="18">
        <v>30</v>
      </c>
      <c r="G19" s="1"/>
      <c r="H19" s="18">
        <v>0</v>
      </c>
      <c r="I19" s="59">
        <v>150</v>
      </c>
      <c r="J19" s="18">
        <v>0</v>
      </c>
      <c r="K19" s="59">
        <v>72</v>
      </c>
      <c r="O19">
        <v>1</v>
      </c>
      <c r="P19">
        <v>175</v>
      </c>
      <c r="Q19">
        <v>175</v>
      </c>
      <c r="R19">
        <v>0</v>
      </c>
      <c r="S19">
        <v>125</v>
      </c>
      <c r="T19">
        <v>30.416666666666668</v>
      </c>
      <c r="U19">
        <v>205.88235294117646</v>
      </c>
      <c r="V19">
        <v>150</v>
      </c>
      <c r="W19">
        <v>147.05882352941177</v>
      </c>
      <c r="X19">
        <v>72</v>
      </c>
      <c r="AC19">
        <v>1000</v>
      </c>
    </row>
    <row r="20" spans="1:29" x14ac:dyDescent="0.25">
      <c r="A20" s="11"/>
      <c r="B20" s="9">
        <v>1000</v>
      </c>
      <c r="C20" s="9">
        <v>1000</v>
      </c>
      <c r="E20" s="18">
        <v>1500</v>
      </c>
      <c r="F20" s="18">
        <v>35</v>
      </c>
      <c r="G20" s="1"/>
      <c r="H20" s="18">
        <v>500</v>
      </c>
      <c r="I20" s="59">
        <v>125</v>
      </c>
      <c r="J20" s="18">
        <v>500</v>
      </c>
      <c r="K20" s="59">
        <v>60</v>
      </c>
      <c r="O20">
        <v>2</v>
      </c>
      <c r="P20">
        <v>350</v>
      </c>
      <c r="Q20">
        <v>350</v>
      </c>
      <c r="R20">
        <v>0</v>
      </c>
      <c r="S20">
        <v>250</v>
      </c>
      <c r="T20">
        <v>30.833333333333332</v>
      </c>
      <c r="U20">
        <v>411.76470588235293</v>
      </c>
      <c r="V20">
        <v>150</v>
      </c>
      <c r="W20">
        <v>294.11764705882354</v>
      </c>
      <c r="X20">
        <v>72</v>
      </c>
      <c r="AC20">
        <v>1096</v>
      </c>
    </row>
    <row r="21" spans="1:29" x14ac:dyDescent="0.25">
      <c r="A21" s="11"/>
      <c r="B21" s="9">
        <v>1100</v>
      </c>
      <c r="C21" s="9">
        <v>1096</v>
      </c>
      <c r="E21" s="18">
        <v>2500</v>
      </c>
      <c r="F21" s="18">
        <v>90</v>
      </c>
      <c r="G21" s="1"/>
      <c r="H21" s="18">
        <v>3500</v>
      </c>
      <c r="I21" s="59">
        <v>125</v>
      </c>
      <c r="J21" s="18">
        <v>2500</v>
      </c>
      <c r="K21" s="59">
        <v>60</v>
      </c>
      <c r="O21">
        <v>3</v>
      </c>
      <c r="P21">
        <v>525</v>
      </c>
      <c r="Q21">
        <v>525</v>
      </c>
      <c r="R21">
        <v>0</v>
      </c>
      <c r="S21">
        <v>375</v>
      </c>
      <c r="T21">
        <v>31.25</v>
      </c>
      <c r="U21">
        <v>499.99</v>
      </c>
      <c r="V21">
        <v>150</v>
      </c>
      <c r="W21">
        <v>441.1764705882353</v>
      </c>
      <c r="X21">
        <v>72</v>
      </c>
      <c r="AC21">
        <v>1191</v>
      </c>
    </row>
    <row r="22" spans="1:29" x14ac:dyDescent="0.25">
      <c r="A22" s="11"/>
      <c r="B22" s="9">
        <v>1200</v>
      </c>
      <c r="C22" s="9">
        <v>1191</v>
      </c>
      <c r="E22" s="18"/>
      <c r="F22" s="18"/>
      <c r="G22" s="1"/>
      <c r="H22" s="18"/>
      <c r="I22" s="18"/>
      <c r="J22" s="18"/>
      <c r="K22" s="18"/>
      <c r="O22">
        <v>4</v>
      </c>
      <c r="P22">
        <v>700</v>
      </c>
      <c r="Q22">
        <v>700</v>
      </c>
      <c r="R22">
        <v>0</v>
      </c>
      <c r="S22">
        <v>500</v>
      </c>
      <c r="T22">
        <v>31.666666666666668</v>
      </c>
      <c r="U22">
        <v>500</v>
      </c>
      <c r="V22">
        <v>125</v>
      </c>
      <c r="W22">
        <v>499.99</v>
      </c>
      <c r="X22">
        <v>72</v>
      </c>
      <c r="AC22">
        <v>1284</v>
      </c>
    </row>
    <row r="23" spans="1:29" x14ac:dyDescent="0.25">
      <c r="A23" s="11"/>
      <c r="B23" s="9">
        <v>1300</v>
      </c>
      <c r="C23" s="9">
        <v>1284</v>
      </c>
      <c r="E23" s="18"/>
      <c r="F23" s="18"/>
      <c r="G23" s="1"/>
      <c r="H23" s="18"/>
      <c r="I23" s="18"/>
      <c r="J23" s="18"/>
      <c r="K23" s="18"/>
      <c r="O23">
        <v>5</v>
      </c>
      <c r="P23">
        <v>875</v>
      </c>
      <c r="Q23">
        <v>875</v>
      </c>
      <c r="R23">
        <v>0</v>
      </c>
      <c r="S23">
        <v>625</v>
      </c>
      <c r="T23">
        <v>32.083333333333336</v>
      </c>
      <c r="U23">
        <v>617.64705882352939</v>
      </c>
      <c r="V23">
        <v>125</v>
      </c>
      <c r="W23">
        <v>500</v>
      </c>
      <c r="X23">
        <v>60</v>
      </c>
      <c r="AC23">
        <v>1375</v>
      </c>
    </row>
    <row r="24" spans="1:29" x14ac:dyDescent="0.25">
      <c r="A24" s="11"/>
      <c r="B24" s="9">
        <v>1400</v>
      </c>
      <c r="C24" s="9">
        <v>1375</v>
      </c>
      <c r="E24" s="18"/>
      <c r="F24" s="18"/>
      <c r="G24" s="1"/>
      <c r="H24" s="18"/>
      <c r="I24" s="18"/>
      <c r="J24" s="18"/>
      <c r="K24" s="18"/>
      <c r="O24">
        <v>6</v>
      </c>
      <c r="P24">
        <v>1050</v>
      </c>
      <c r="Q24">
        <v>1048</v>
      </c>
      <c r="R24">
        <v>2</v>
      </c>
      <c r="S24">
        <v>750</v>
      </c>
      <c r="T24">
        <v>32.5</v>
      </c>
      <c r="U24">
        <v>823.52941176470586</v>
      </c>
      <c r="V24">
        <v>125</v>
      </c>
      <c r="W24">
        <v>588.23529411764707</v>
      </c>
      <c r="X24">
        <v>60</v>
      </c>
      <c r="AC24">
        <v>1464</v>
      </c>
    </row>
    <row r="25" spans="1:29" x14ac:dyDescent="0.25">
      <c r="A25" s="11"/>
      <c r="B25" s="9">
        <v>1500</v>
      </c>
      <c r="C25" s="9">
        <v>1464</v>
      </c>
      <c r="E25" s="18"/>
      <c r="F25" s="18"/>
      <c r="G25" s="1"/>
      <c r="H25" s="18"/>
      <c r="I25" s="18"/>
      <c r="J25" s="18"/>
      <c r="K25" s="18"/>
      <c r="M25" s="16"/>
      <c r="N25" s="16"/>
      <c r="O25">
        <v>7</v>
      </c>
      <c r="P25">
        <v>1225</v>
      </c>
      <c r="Q25">
        <v>1214.25</v>
      </c>
      <c r="R25">
        <v>10.75</v>
      </c>
      <c r="S25">
        <v>875</v>
      </c>
      <c r="T25">
        <v>32.916666666666664</v>
      </c>
      <c r="U25">
        <v>1029.4117647058824</v>
      </c>
      <c r="V25">
        <v>125</v>
      </c>
      <c r="W25">
        <v>735.29411764705878</v>
      </c>
      <c r="X25">
        <v>60</v>
      </c>
      <c r="AC25">
        <v>1551</v>
      </c>
    </row>
    <row r="26" spans="1:29" x14ac:dyDescent="0.25">
      <c r="A26" s="11"/>
      <c r="B26" s="9">
        <v>1600</v>
      </c>
      <c r="C26" s="9">
        <v>1551</v>
      </c>
      <c r="E26" s="18"/>
      <c r="F26" s="18"/>
      <c r="G26" s="1"/>
      <c r="H26" s="18"/>
      <c r="I26" s="18"/>
      <c r="J26" s="18"/>
      <c r="K26" s="18"/>
      <c r="M26" s="16"/>
      <c r="N26" s="16"/>
      <c r="O26">
        <v>8</v>
      </c>
      <c r="P26">
        <v>1400</v>
      </c>
      <c r="Q26">
        <v>1375</v>
      </c>
      <c r="R26">
        <v>25</v>
      </c>
      <c r="S26">
        <v>1000</v>
      </c>
      <c r="T26">
        <v>33.333333333333336</v>
      </c>
      <c r="U26">
        <v>1235.2941176470588</v>
      </c>
      <c r="V26">
        <v>125</v>
      </c>
      <c r="W26">
        <v>882.35294117647061</v>
      </c>
      <c r="X26">
        <v>60</v>
      </c>
      <c r="AC26">
        <v>1636</v>
      </c>
    </row>
    <row r="27" spans="1:29" x14ac:dyDescent="0.25">
      <c r="A27" s="11"/>
      <c r="B27" s="9">
        <v>1700</v>
      </c>
      <c r="C27" s="9">
        <v>1636</v>
      </c>
      <c r="E27" s="18"/>
      <c r="F27" s="18"/>
      <c r="G27" s="1"/>
      <c r="H27" s="18"/>
      <c r="I27" s="18"/>
      <c r="J27" s="18"/>
      <c r="K27" s="18"/>
      <c r="M27" s="16"/>
      <c r="N27" s="16"/>
      <c r="O27">
        <v>9</v>
      </c>
      <c r="P27">
        <v>1575</v>
      </c>
      <c r="Q27">
        <v>1529.25</v>
      </c>
      <c r="R27">
        <v>45.75</v>
      </c>
      <c r="S27">
        <v>1125</v>
      </c>
      <c r="T27">
        <v>33.75</v>
      </c>
      <c r="U27">
        <v>1441.1764705882351</v>
      </c>
      <c r="V27">
        <v>125</v>
      </c>
      <c r="W27">
        <v>1029.4117647058824</v>
      </c>
      <c r="X27">
        <v>60</v>
      </c>
      <c r="AC27">
        <v>1719</v>
      </c>
    </row>
    <row r="28" spans="1:29" x14ac:dyDescent="0.25">
      <c r="A28" s="11"/>
      <c r="B28" s="9">
        <v>1800</v>
      </c>
      <c r="C28" s="9">
        <v>1719</v>
      </c>
      <c r="E28" s="18"/>
      <c r="F28" s="18"/>
      <c r="G28" s="1"/>
      <c r="H28" s="18"/>
      <c r="I28" s="18"/>
      <c r="J28" s="18"/>
      <c r="K28" s="18"/>
      <c r="M28" s="16"/>
      <c r="N28" s="16"/>
      <c r="O28">
        <v>10</v>
      </c>
      <c r="P28">
        <v>1750</v>
      </c>
      <c r="Q28">
        <v>1677.5</v>
      </c>
      <c r="R28">
        <v>72.5</v>
      </c>
      <c r="S28">
        <v>1250</v>
      </c>
      <c r="T28">
        <v>34.166666666666664</v>
      </c>
      <c r="U28">
        <v>1647.0588235294117</v>
      </c>
      <c r="V28">
        <v>125</v>
      </c>
      <c r="W28">
        <v>1176.4705882352941</v>
      </c>
      <c r="X28">
        <v>60</v>
      </c>
      <c r="AC28">
        <v>1800</v>
      </c>
    </row>
    <row r="29" spans="1:29" x14ac:dyDescent="0.25">
      <c r="A29" s="11"/>
      <c r="B29" s="9">
        <v>1900</v>
      </c>
      <c r="C29" s="9">
        <v>1800</v>
      </c>
      <c r="E29" s="18"/>
      <c r="F29" s="18"/>
      <c r="G29" s="1"/>
      <c r="H29" s="18"/>
      <c r="I29" s="18"/>
      <c r="J29" s="18"/>
      <c r="K29" s="18"/>
      <c r="M29" s="16"/>
      <c r="N29" s="16"/>
      <c r="O29">
        <v>11</v>
      </c>
      <c r="P29">
        <v>1925</v>
      </c>
      <c r="Q29">
        <v>1819.75</v>
      </c>
      <c r="R29">
        <v>105.25</v>
      </c>
      <c r="S29">
        <v>1375</v>
      </c>
      <c r="T29">
        <v>34.583333333333336</v>
      </c>
      <c r="U29">
        <v>1852.9411764705883</v>
      </c>
      <c r="V29">
        <v>125</v>
      </c>
      <c r="W29">
        <v>1323.5294117647059</v>
      </c>
      <c r="X29">
        <v>60</v>
      </c>
      <c r="AC29">
        <v>1879</v>
      </c>
    </row>
    <row r="30" spans="1:29" x14ac:dyDescent="0.25">
      <c r="A30" s="11"/>
      <c r="B30" s="9">
        <v>2000</v>
      </c>
      <c r="C30" s="9">
        <v>1879</v>
      </c>
      <c r="E30" s="18"/>
      <c r="F30" s="18"/>
      <c r="G30" s="1"/>
      <c r="H30" s="18"/>
      <c r="I30" s="18"/>
      <c r="J30" s="18"/>
      <c r="K30" s="18"/>
      <c r="M30" s="16"/>
      <c r="N30" s="16"/>
      <c r="O30">
        <v>12</v>
      </c>
      <c r="P30">
        <v>2100</v>
      </c>
      <c r="Q30">
        <v>1956</v>
      </c>
      <c r="R30">
        <v>144</v>
      </c>
      <c r="S30">
        <v>1500</v>
      </c>
      <c r="T30">
        <v>35</v>
      </c>
      <c r="U30">
        <v>2058.8235294117649</v>
      </c>
      <c r="V30">
        <v>125</v>
      </c>
      <c r="W30">
        <v>1470.5882352941176</v>
      </c>
      <c r="X30">
        <v>60</v>
      </c>
      <c r="AC30">
        <v>1956</v>
      </c>
    </row>
    <row r="31" spans="1:29" x14ac:dyDescent="0.25">
      <c r="A31" s="11"/>
      <c r="B31" s="9">
        <v>2100</v>
      </c>
      <c r="C31" s="9">
        <v>1956</v>
      </c>
      <c r="E31" s="18"/>
      <c r="F31" s="18"/>
      <c r="G31" s="1"/>
      <c r="H31" s="18"/>
      <c r="I31" s="18"/>
      <c r="J31" s="18"/>
      <c r="K31" s="18"/>
      <c r="M31" s="16"/>
      <c r="N31" s="16"/>
      <c r="O31">
        <v>13</v>
      </c>
      <c r="P31">
        <v>2275</v>
      </c>
      <c r="Q31">
        <v>2085.75</v>
      </c>
      <c r="R31">
        <v>189.25</v>
      </c>
      <c r="S31">
        <v>1625</v>
      </c>
      <c r="T31">
        <v>41.875</v>
      </c>
      <c r="U31">
        <v>2264.705882352941</v>
      </c>
      <c r="V31">
        <v>125</v>
      </c>
      <c r="W31">
        <v>1617.6470588235295</v>
      </c>
      <c r="X31">
        <v>60</v>
      </c>
      <c r="AC31">
        <v>2031</v>
      </c>
    </row>
    <row r="32" spans="1:29" x14ac:dyDescent="0.25">
      <c r="A32" s="11"/>
      <c r="B32" s="9">
        <v>2200</v>
      </c>
      <c r="C32" s="9">
        <v>2031</v>
      </c>
      <c r="E32" s="18"/>
      <c r="F32" s="18"/>
      <c r="G32" s="1"/>
      <c r="H32" s="18"/>
      <c r="I32" s="18"/>
      <c r="J32" s="18"/>
      <c r="K32" s="18"/>
      <c r="M32" s="16"/>
      <c r="N32" s="16"/>
      <c r="O32">
        <v>14</v>
      </c>
      <c r="P32">
        <v>2450</v>
      </c>
      <c r="Q32">
        <v>2209.5</v>
      </c>
      <c r="R32">
        <v>240.5</v>
      </c>
      <c r="S32">
        <v>1750</v>
      </c>
      <c r="T32">
        <v>48.75</v>
      </c>
      <c r="U32">
        <v>2470.5882352941176</v>
      </c>
      <c r="V32">
        <v>125</v>
      </c>
      <c r="W32">
        <v>1764.7058823529412</v>
      </c>
      <c r="X32">
        <v>60</v>
      </c>
      <c r="AC32">
        <v>2104</v>
      </c>
    </row>
    <row r="33" spans="1:29" x14ac:dyDescent="0.25">
      <c r="A33" s="11"/>
      <c r="B33" s="9">
        <v>2300</v>
      </c>
      <c r="C33" s="9">
        <v>2104</v>
      </c>
      <c r="E33" s="18"/>
      <c r="F33" s="18"/>
      <c r="G33" s="1"/>
      <c r="H33" s="18"/>
      <c r="I33" s="18"/>
      <c r="J33" s="18"/>
      <c r="K33" s="18"/>
      <c r="M33" s="16"/>
      <c r="N33" s="16"/>
      <c r="O33">
        <v>15</v>
      </c>
      <c r="P33">
        <v>2625</v>
      </c>
      <c r="Q33">
        <v>2327.25</v>
      </c>
      <c r="R33">
        <v>297.75</v>
      </c>
      <c r="S33">
        <v>1875</v>
      </c>
      <c r="T33">
        <v>55.625</v>
      </c>
      <c r="U33">
        <v>2676.4705882352941</v>
      </c>
      <c r="V33">
        <v>125</v>
      </c>
      <c r="W33">
        <v>1911.7647058823529</v>
      </c>
      <c r="X33">
        <v>60</v>
      </c>
      <c r="AC33">
        <v>2175</v>
      </c>
    </row>
    <row r="34" spans="1:29" x14ac:dyDescent="0.25">
      <c r="A34" s="11"/>
      <c r="B34" s="9">
        <v>2400</v>
      </c>
      <c r="C34" s="9">
        <v>2175</v>
      </c>
      <c r="E34" s="18"/>
      <c r="F34" s="18"/>
      <c r="G34" s="1"/>
      <c r="H34" s="18"/>
      <c r="I34" s="18"/>
      <c r="J34" s="18"/>
      <c r="K34" s="18"/>
      <c r="M34" s="16"/>
      <c r="N34" s="16"/>
      <c r="O34">
        <v>16</v>
      </c>
      <c r="P34">
        <v>2800</v>
      </c>
      <c r="Q34">
        <v>2439</v>
      </c>
      <c r="R34">
        <v>361</v>
      </c>
      <c r="S34">
        <v>2000</v>
      </c>
      <c r="T34">
        <v>62.5</v>
      </c>
      <c r="U34">
        <v>2882.3529411764703</v>
      </c>
      <c r="V34">
        <v>125</v>
      </c>
      <c r="W34">
        <v>2058.8235294117649</v>
      </c>
      <c r="X34">
        <v>60</v>
      </c>
      <c r="AC34">
        <v>2244</v>
      </c>
    </row>
    <row r="35" spans="1:29" x14ac:dyDescent="0.25">
      <c r="A35" s="11"/>
      <c r="B35" s="9">
        <v>2500</v>
      </c>
      <c r="C35" s="9">
        <v>2244</v>
      </c>
      <c r="E35" s="18"/>
      <c r="F35" s="18"/>
      <c r="G35" s="1"/>
      <c r="H35" s="18"/>
      <c r="I35" s="18"/>
      <c r="J35" s="18"/>
      <c r="K35" s="18"/>
      <c r="M35" s="16"/>
      <c r="N35" s="16"/>
      <c r="O35">
        <v>17</v>
      </c>
      <c r="P35">
        <v>2975</v>
      </c>
      <c r="Q35">
        <v>2454.25</v>
      </c>
      <c r="R35">
        <v>520.75</v>
      </c>
      <c r="S35">
        <v>2125</v>
      </c>
      <c r="T35">
        <v>69.375</v>
      </c>
      <c r="U35">
        <v>3088.2352941176468</v>
      </c>
      <c r="V35">
        <v>125</v>
      </c>
      <c r="W35">
        <v>2205.8823529411766</v>
      </c>
      <c r="X35">
        <v>60</v>
      </c>
      <c r="AC35">
        <v>2311</v>
      </c>
    </row>
    <row r="36" spans="1:29" x14ac:dyDescent="0.25">
      <c r="A36" s="11"/>
      <c r="B36" s="9">
        <v>2600</v>
      </c>
      <c r="C36" s="9">
        <v>2311</v>
      </c>
      <c r="E36" s="18"/>
      <c r="F36" s="18"/>
      <c r="G36" s="1"/>
      <c r="H36" s="18"/>
      <c r="I36" s="18"/>
      <c r="J36" s="18"/>
      <c r="K36" s="18"/>
      <c r="M36" s="16"/>
      <c r="N36" s="16"/>
      <c r="O36">
        <v>18</v>
      </c>
      <c r="P36">
        <v>3150</v>
      </c>
      <c r="Q36">
        <v>2469.5</v>
      </c>
      <c r="R36">
        <v>680.5</v>
      </c>
      <c r="S36">
        <v>2250</v>
      </c>
      <c r="T36">
        <v>76.25</v>
      </c>
      <c r="U36">
        <v>3294.1176470588234</v>
      </c>
      <c r="V36">
        <v>125</v>
      </c>
      <c r="W36">
        <v>2352.9411764705883</v>
      </c>
      <c r="X36">
        <v>60</v>
      </c>
      <c r="AC36">
        <v>2376</v>
      </c>
    </row>
    <row r="37" spans="1:29" x14ac:dyDescent="0.25">
      <c r="A37" s="11"/>
      <c r="B37" s="9">
        <v>2700</v>
      </c>
      <c r="C37" s="9">
        <v>2376</v>
      </c>
      <c r="E37" s="18"/>
      <c r="F37" s="18"/>
      <c r="G37" s="1"/>
      <c r="H37" s="18"/>
      <c r="I37" s="18"/>
      <c r="J37" s="18"/>
      <c r="K37" s="18"/>
      <c r="M37" s="16"/>
      <c r="N37" s="16"/>
      <c r="O37">
        <v>19</v>
      </c>
      <c r="P37">
        <v>3325</v>
      </c>
      <c r="Q37">
        <v>2484.75</v>
      </c>
      <c r="R37">
        <v>840.25</v>
      </c>
      <c r="S37">
        <v>2375</v>
      </c>
      <c r="T37">
        <v>83.125</v>
      </c>
      <c r="U37">
        <v>3499.99</v>
      </c>
      <c r="V37">
        <v>125</v>
      </c>
      <c r="W37">
        <v>2499.9899999999998</v>
      </c>
      <c r="X37">
        <v>60</v>
      </c>
      <c r="AC37">
        <v>2439</v>
      </c>
    </row>
    <row r="38" spans="1:29" x14ac:dyDescent="0.25">
      <c r="A38" s="11"/>
      <c r="B38" s="9">
        <v>2800</v>
      </c>
      <c r="C38" s="9">
        <v>2439</v>
      </c>
      <c r="E38" s="18"/>
      <c r="F38" s="18"/>
      <c r="G38" s="1"/>
      <c r="H38" s="18"/>
      <c r="I38" s="18"/>
      <c r="J38" s="18"/>
      <c r="K38" s="18"/>
      <c r="M38" s="16"/>
      <c r="N38" s="16"/>
      <c r="O38">
        <v>20</v>
      </c>
      <c r="P38">
        <v>3500</v>
      </c>
      <c r="Q38">
        <v>2500</v>
      </c>
      <c r="R38">
        <v>1000</v>
      </c>
      <c r="S38">
        <v>2500</v>
      </c>
      <c r="T38">
        <v>90</v>
      </c>
      <c r="U38">
        <v>3500</v>
      </c>
      <c r="V38">
        <v>125</v>
      </c>
      <c r="W38">
        <v>2500</v>
      </c>
      <c r="X38">
        <v>60</v>
      </c>
      <c r="AC38">
        <v>2500</v>
      </c>
    </row>
    <row r="39" spans="1:29" x14ac:dyDescent="0.25">
      <c r="A39" s="11"/>
      <c r="B39" s="9">
        <v>3500</v>
      </c>
      <c r="C39" s="9">
        <v>2500</v>
      </c>
      <c r="G39" s="1"/>
      <c r="M39" s="16"/>
      <c r="N39" s="16"/>
    </row>
    <row r="40" spans="1:29" x14ac:dyDescent="0.25">
      <c r="A40" s="11"/>
      <c r="B40" s="18"/>
      <c r="C40" s="18"/>
      <c r="G40" s="1"/>
      <c r="M40" s="16"/>
      <c r="N40" s="16"/>
    </row>
    <row r="41" spans="1:29" x14ac:dyDescent="0.25">
      <c r="A41" s="11"/>
      <c r="B41" s="18"/>
      <c r="C41" s="18"/>
      <c r="G41" s="1"/>
      <c r="M41" s="16"/>
      <c r="N41" s="16"/>
    </row>
    <row r="42" spans="1:29" x14ac:dyDescent="0.25">
      <c r="A42" s="11"/>
      <c r="B42" s="18"/>
      <c r="C42" s="18"/>
      <c r="G42" s="1"/>
      <c r="M42" s="16"/>
      <c r="N42" s="16"/>
    </row>
    <row r="43" spans="1:29" x14ac:dyDescent="0.25">
      <c r="A43" s="11"/>
      <c r="B43" s="18"/>
      <c r="C43" s="18"/>
      <c r="G43" s="1"/>
      <c r="M43" s="16"/>
      <c r="N43" s="16"/>
    </row>
    <row r="44" spans="1:29" x14ac:dyDescent="0.25">
      <c r="A44" s="11"/>
      <c r="B44" s="18"/>
      <c r="C44" s="18"/>
      <c r="G44" s="1"/>
      <c r="M44" s="16"/>
      <c r="N44" s="16"/>
    </row>
    <row r="45" spans="1:29" x14ac:dyDescent="0.25">
      <c r="A45" s="11"/>
      <c r="B45" s="18"/>
      <c r="C45" s="18"/>
      <c r="G45" s="1"/>
      <c r="M45" s="16"/>
      <c r="N45" s="16"/>
    </row>
    <row r="46" spans="1:29" x14ac:dyDescent="0.25">
      <c r="A46" s="11"/>
      <c r="B46" s="18"/>
      <c r="C46" s="18"/>
      <c r="G46" s="1"/>
    </row>
    <row r="47" spans="1:29" x14ac:dyDescent="0.25">
      <c r="A47" s="11"/>
      <c r="B47" s="18"/>
      <c r="C47" s="18"/>
      <c r="G47" s="1"/>
    </row>
    <row r="48" spans="1:29" x14ac:dyDescent="0.25">
      <c r="A48" s="11"/>
      <c r="B48" s="18"/>
      <c r="C48" s="18"/>
      <c r="G48" s="1"/>
    </row>
    <row r="49" spans="1:7" x14ac:dyDescent="0.25">
      <c r="A49" s="11"/>
      <c r="B49" s="18"/>
      <c r="C49" s="18"/>
      <c r="G49" s="1"/>
    </row>
    <row r="50" spans="1:7" x14ac:dyDescent="0.25">
      <c r="A50" s="11"/>
      <c r="B50" s="18"/>
      <c r="C50" s="18"/>
      <c r="G50" s="1"/>
    </row>
    <row r="51" spans="1:7" x14ac:dyDescent="0.25">
      <c r="A51" s="11"/>
      <c r="B51" s="18"/>
      <c r="C51" s="18"/>
      <c r="G51" s="1"/>
    </row>
    <row r="52" spans="1:7" x14ac:dyDescent="0.25">
      <c r="A52" s="11"/>
      <c r="B52" s="18"/>
      <c r="C52" s="18"/>
      <c r="G52" s="1"/>
    </row>
    <row r="53" spans="1:7" x14ac:dyDescent="0.25">
      <c r="A53" s="11"/>
      <c r="B53" s="18"/>
      <c r="C53" s="18"/>
      <c r="G53" s="1"/>
    </row>
    <row r="54" spans="1:7" x14ac:dyDescent="0.25">
      <c r="A54" s="11"/>
      <c r="B54" s="18"/>
      <c r="C54" s="18"/>
      <c r="G54" s="1"/>
    </row>
    <row r="55" spans="1:7" x14ac:dyDescent="0.25">
      <c r="A55" s="11"/>
      <c r="B55" s="18"/>
      <c r="C55" s="18"/>
      <c r="G55" s="1"/>
    </row>
    <row r="56" spans="1:7" x14ac:dyDescent="0.25">
      <c r="A56" s="11"/>
      <c r="B56" s="18"/>
      <c r="C56" s="18"/>
      <c r="G56" s="1"/>
    </row>
    <row r="57" spans="1:7" x14ac:dyDescent="0.25">
      <c r="A57" s="11"/>
      <c r="B57" s="18"/>
      <c r="C57" s="18"/>
      <c r="G57" s="1"/>
    </row>
    <row r="58" spans="1:7" x14ac:dyDescent="0.25">
      <c r="A58" s="11"/>
      <c r="B58" s="18"/>
      <c r="C58" s="18"/>
      <c r="G58" s="1"/>
    </row>
    <row r="59" spans="1:7" x14ac:dyDescent="0.25">
      <c r="A59" s="11"/>
      <c r="B59" s="18"/>
      <c r="C59" s="18"/>
      <c r="G59" s="1"/>
    </row>
    <row r="60" spans="1:7" x14ac:dyDescent="0.25">
      <c r="A60" s="11"/>
      <c r="B60" s="18"/>
      <c r="C60" s="18"/>
      <c r="G60" s="1"/>
    </row>
    <row r="61" spans="1:7" x14ac:dyDescent="0.25">
      <c r="A61" s="11"/>
      <c r="B61" s="18"/>
      <c r="C61" s="18"/>
      <c r="G61" s="1"/>
    </row>
    <row r="62" spans="1:7" x14ac:dyDescent="0.25">
      <c r="A62" s="11"/>
      <c r="B62" s="18"/>
      <c r="C62" s="18"/>
      <c r="G62" s="1"/>
    </row>
    <row r="63" spans="1:7" x14ac:dyDescent="0.25">
      <c r="A63" s="11"/>
      <c r="B63" s="18"/>
      <c r="C63" s="18"/>
      <c r="G63" s="1"/>
    </row>
    <row r="64" spans="1:7" x14ac:dyDescent="0.25">
      <c r="A64" s="11"/>
      <c r="B64" s="18"/>
      <c r="C64" s="18"/>
      <c r="G64" s="1"/>
    </row>
    <row r="65" spans="1:7" x14ac:dyDescent="0.25">
      <c r="A65" s="11"/>
      <c r="B65" s="18"/>
      <c r="C65" s="18"/>
      <c r="G65" s="1"/>
    </row>
    <row r="66" spans="1:7" x14ac:dyDescent="0.25">
      <c r="A66" s="11"/>
      <c r="B66" s="18"/>
      <c r="C66" s="18"/>
      <c r="G66" s="1"/>
    </row>
    <row r="67" spans="1:7" x14ac:dyDescent="0.25">
      <c r="A67" s="11"/>
      <c r="B67" s="18"/>
      <c r="C67" s="18"/>
      <c r="G67" s="1"/>
    </row>
    <row r="68" spans="1:7" x14ac:dyDescent="0.25">
      <c r="A68" s="11"/>
      <c r="B68" s="18"/>
      <c r="C68" s="18"/>
      <c r="G68" s="1"/>
    </row>
    <row r="69" spans="1:7" x14ac:dyDescent="0.25">
      <c r="A69" s="11"/>
      <c r="B69" s="18"/>
      <c r="C69" s="18"/>
      <c r="G69" s="1"/>
    </row>
    <row r="70" spans="1:7" x14ac:dyDescent="0.25">
      <c r="A70" s="11"/>
      <c r="B70" s="18"/>
      <c r="C70" s="18"/>
      <c r="G70" s="1"/>
    </row>
    <row r="71" spans="1:7" x14ac:dyDescent="0.25">
      <c r="A71" s="11"/>
      <c r="B71" s="18"/>
      <c r="C71" s="18"/>
      <c r="G71" s="1"/>
    </row>
    <row r="72" spans="1:7" x14ac:dyDescent="0.25">
      <c r="A72" s="11"/>
      <c r="B72" s="18"/>
      <c r="C72" s="18"/>
      <c r="G72" s="1"/>
    </row>
    <row r="73" spans="1:7" x14ac:dyDescent="0.25">
      <c r="A73" s="11"/>
      <c r="B73" s="18"/>
      <c r="C73" s="18"/>
      <c r="G73" s="1"/>
    </row>
    <row r="74" spans="1:7" x14ac:dyDescent="0.25">
      <c r="A74" s="11"/>
      <c r="B74" s="18"/>
      <c r="C74" s="18"/>
      <c r="G74" s="1"/>
    </row>
    <row r="75" spans="1:7" x14ac:dyDescent="0.25">
      <c r="A75" s="11"/>
      <c r="B75" s="18"/>
      <c r="C75" s="18"/>
      <c r="G75" s="1"/>
    </row>
    <row r="76" spans="1:7" x14ac:dyDescent="0.25">
      <c r="A76" s="11"/>
      <c r="B76" s="18"/>
      <c r="C76" s="18"/>
      <c r="G76" s="1"/>
    </row>
    <row r="77" spans="1:7" x14ac:dyDescent="0.25">
      <c r="A77" s="11"/>
      <c r="B77" s="18"/>
      <c r="C77" s="18"/>
      <c r="G77" s="1"/>
    </row>
    <row r="78" spans="1:7" x14ac:dyDescent="0.25">
      <c r="A78" s="11"/>
      <c r="B78" s="18"/>
      <c r="C78" s="18"/>
      <c r="G78" s="1"/>
    </row>
    <row r="79" spans="1:7" x14ac:dyDescent="0.25">
      <c r="A79" s="11"/>
      <c r="B79" s="18"/>
      <c r="C79" s="18"/>
      <c r="G79" s="1"/>
    </row>
    <row r="80" spans="1:7" x14ac:dyDescent="0.25">
      <c r="A80" s="11"/>
      <c r="B80" s="18"/>
      <c r="C80" s="18"/>
      <c r="G80" s="1"/>
    </row>
    <row r="81" spans="1:7" x14ac:dyDescent="0.25">
      <c r="A81" s="11"/>
      <c r="B81" s="18"/>
      <c r="C81" s="18"/>
      <c r="G81" s="1"/>
    </row>
    <row r="82" spans="1:7" x14ac:dyDescent="0.25">
      <c r="A82" s="11"/>
      <c r="B82" s="18"/>
      <c r="C82" s="18"/>
      <c r="G82" s="1"/>
    </row>
    <row r="83" spans="1:7" x14ac:dyDescent="0.25">
      <c r="A83" s="11"/>
      <c r="B83" s="18"/>
      <c r="C83" s="18"/>
      <c r="G83" s="1"/>
    </row>
    <row r="84" spans="1:7" x14ac:dyDescent="0.25">
      <c r="A84" s="11"/>
      <c r="B84" s="18"/>
      <c r="C84" s="18"/>
      <c r="G84" s="1"/>
    </row>
    <row r="85" spans="1:7" x14ac:dyDescent="0.25">
      <c r="A85" s="11"/>
      <c r="B85" s="18"/>
      <c r="C85" s="18"/>
      <c r="G85" s="1"/>
    </row>
    <row r="86" spans="1:7" x14ac:dyDescent="0.25">
      <c r="A86" s="11"/>
      <c r="B86" s="18"/>
      <c r="C86" s="18"/>
      <c r="G86" s="1"/>
    </row>
    <row r="87" spans="1:7" x14ac:dyDescent="0.25">
      <c r="A87" s="11"/>
      <c r="B87" s="18"/>
      <c r="C87" s="18"/>
      <c r="G87" s="1"/>
    </row>
    <row r="88" spans="1:7" x14ac:dyDescent="0.25">
      <c r="A88" s="11"/>
      <c r="B88" s="18"/>
      <c r="C88" s="18"/>
      <c r="G88" s="1"/>
    </row>
    <row r="89" spans="1:7" x14ac:dyDescent="0.25">
      <c r="A89" s="11"/>
      <c r="B89" s="18"/>
      <c r="C89" s="18"/>
      <c r="G89" s="1"/>
    </row>
    <row r="90" spans="1:7" x14ac:dyDescent="0.25">
      <c r="A90" s="11"/>
      <c r="B90" s="18"/>
      <c r="C90" s="18"/>
      <c r="G90" s="1"/>
    </row>
    <row r="91" spans="1:7" x14ac:dyDescent="0.25">
      <c r="A91" s="11"/>
      <c r="B91" s="18"/>
      <c r="C91" s="18"/>
      <c r="G91" s="1"/>
    </row>
    <row r="92" spans="1:7" x14ac:dyDescent="0.25">
      <c r="A92" s="11"/>
      <c r="B92" s="18"/>
      <c r="C92" s="18"/>
      <c r="G92" s="1"/>
    </row>
    <row r="93" spans="1:7" x14ac:dyDescent="0.25">
      <c r="A93" s="11"/>
      <c r="B93" s="18"/>
      <c r="C93" s="18"/>
      <c r="G93" s="1"/>
    </row>
    <row r="94" spans="1:7" x14ac:dyDescent="0.25">
      <c r="A94" s="11"/>
      <c r="B94" s="18"/>
      <c r="C94" s="18"/>
      <c r="G94" s="1"/>
    </row>
    <row r="95" spans="1:7" x14ac:dyDescent="0.25">
      <c r="A95" s="11"/>
      <c r="B95" s="18"/>
      <c r="C95" s="18"/>
      <c r="G95" s="1"/>
    </row>
    <row r="96" spans="1:7" x14ac:dyDescent="0.25">
      <c r="A96" s="11"/>
      <c r="B96" s="18"/>
      <c r="C96" s="18"/>
      <c r="G96" s="1"/>
    </row>
    <row r="97" spans="1:7" x14ac:dyDescent="0.25">
      <c r="A97" s="11"/>
      <c r="B97" s="18"/>
      <c r="C97" s="18"/>
      <c r="G97" s="1"/>
    </row>
    <row r="98" spans="1:7" x14ac:dyDescent="0.25">
      <c r="A98" s="11"/>
      <c r="B98" s="18"/>
      <c r="C98" s="18"/>
      <c r="G98" s="1"/>
    </row>
    <row r="99" spans="1:7" x14ac:dyDescent="0.25">
      <c r="A99" s="11"/>
      <c r="B99" s="18"/>
      <c r="C99" s="18"/>
      <c r="G99" s="1"/>
    </row>
    <row r="100" spans="1:7" x14ac:dyDescent="0.25">
      <c r="A100" s="11"/>
      <c r="B100" s="18"/>
      <c r="C100" s="18"/>
      <c r="G100" s="1"/>
    </row>
    <row r="101" spans="1:7" x14ac:dyDescent="0.25">
      <c r="A101" s="11"/>
      <c r="B101" s="18"/>
      <c r="C101" s="18"/>
      <c r="G101" s="1"/>
    </row>
    <row r="102" spans="1:7" x14ac:dyDescent="0.25">
      <c r="A102" s="11"/>
      <c r="B102" s="18"/>
      <c r="C102" s="18"/>
      <c r="G102" s="1"/>
    </row>
    <row r="103" spans="1:7" x14ac:dyDescent="0.25">
      <c r="A103" s="11"/>
      <c r="B103" s="18"/>
      <c r="C103" s="18"/>
      <c r="G103" s="1"/>
    </row>
    <row r="104" spans="1:7" x14ac:dyDescent="0.25">
      <c r="A104" s="11"/>
      <c r="B104" s="18"/>
      <c r="C104" s="18"/>
      <c r="G104" s="1"/>
    </row>
    <row r="105" spans="1:7" x14ac:dyDescent="0.25">
      <c r="A105" s="11"/>
      <c r="B105" s="18"/>
      <c r="C105" s="18"/>
      <c r="G105" s="1"/>
    </row>
    <row r="106" spans="1:7" x14ac:dyDescent="0.25">
      <c r="A106" s="11"/>
      <c r="B106" s="18"/>
      <c r="C106" s="18"/>
      <c r="G106" s="1"/>
    </row>
    <row r="107" spans="1:7" x14ac:dyDescent="0.25">
      <c r="A107" s="11"/>
      <c r="B107" s="18"/>
      <c r="C107" s="18"/>
      <c r="G107" s="1"/>
    </row>
    <row r="108" spans="1:7" x14ac:dyDescent="0.25">
      <c r="A108" s="11"/>
      <c r="B108" s="18"/>
      <c r="C108" s="18"/>
      <c r="G108" s="1"/>
    </row>
    <row r="109" spans="1:7" x14ac:dyDescent="0.25">
      <c r="A109" s="11"/>
      <c r="B109" s="18"/>
      <c r="C109" s="18"/>
      <c r="G109" s="1"/>
    </row>
    <row r="110" spans="1:7" x14ac:dyDescent="0.25">
      <c r="A110" s="11"/>
      <c r="B110" s="18"/>
      <c r="C110" s="18"/>
      <c r="G110" s="1"/>
    </row>
    <row r="111" spans="1:7" x14ac:dyDescent="0.25">
      <c r="A111" s="11"/>
      <c r="B111" s="18"/>
      <c r="C111" s="18"/>
      <c r="G111" s="1"/>
    </row>
    <row r="112" spans="1:7" x14ac:dyDescent="0.25">
      <c r="A112" s="11"/>
      <c r="B112" s="18"/>
      <c r="C112" s="18"/>
      <c r="G112" s="1"/>
    </row>
    <row r="113" spans="1:7" x14ac:dyDescent="0.25">
      <c r="A113" s="11"/>
      <c r="B113" s="18"/>
      <c r="C113" s="18"/>
      <c r="G113" s="1"/>
    </row>
    <row r="114" spans="1:7" x14ac:dyDescent="0.25">
      <c r="A114" s="11"/>
      <c r="B114" s="18"/>
      <c r="C114" s="18"/>
      <c r="G114" s="1"/>
    </row>
    <row r="115" spans="1:7" x14ac:dyDescent="0.25">
      <c r="A115" s="11"/>
      <c r="B115" s="18"/>
      <c r="C115" s="18"/>
      <c r="G115" s="1"/>
    </row>
    <row r="116" spans="1:7" x14ac:dyDescent="0.25">
      <c r="A116" s="11"/>
      <c r="B116" s="18"/>
      <c r="C116" s="18"/>
      <c r="G116" s="1"/>
    </row>
    <row r="117" spans="1:7" x14ac:dyDescent="0.25">
      <c r="A117" s="11"/>
      <c r="B117" s="18"/>
      <c r="C117" s="18"/>
      <c r="G117" s="1"/>
    </row>
    <row r="118" spans="1:7" x14ac:dyDescent="0.25">
      <c r="A118" s="11"/>
      <c r="B118" s="18"/>
      <c r="C118" s="18"/>
      <c r="G118" s="1"/>
    </row>
    <row r="119" spans="1:7" x14ac:dyDescent="0.25">
      <c r="A119" s="11"/>
      <c r="B119" s="18"/>
      <c r="C119" s="18"/>
      <c r="G119" s="1"/>
    </row>
    <row r="120" spans="1:7" x14ac:dyDescent="0.25">
      <c r="A120" s="11"/>
      <c r="B120" s="18"/>
      <c r="C120" s="18"/>
      <c r="G120" s="1"/>
    </row>
    <row r="121" spans="1:7" x14ac:dyDescent="0.25">
      <c r="A121" s="11"/>
      <c r="B121" s="18"/>
      <c r="C121" s="18"/>
      <c r="G121" s="1"/>
    </row>
    <row r="122" spans="1:7" x14ac:dyDescent="0.25">
      <c r="A122" s="11"/>
      <c r="B122" s="18"/>
      <c r="C122" s="18"/>
      <c r="G122" s="1"/>
    </row>
    <row r="123" spans="1:7" x14ac:dyDescent="0.25">
      <c r="A123" s="11"/>
      <c r="B123" s="18"/>
      <c r="C123" s="18"/>
      <c r="G123" s="1"/>
    </row>
    <row r="124" spans="1:7" x14ac:dyDescent="0.25">
      <c r="A124" s="11"/>
      <c r="B124" s="18"/>
      <c r="C124" s="18"/>
      <c r="G124" s="1"/>
    </row>
    <row r="125" spans="1:7" x14ac:dyDescent="0.25">
      <c r="A125" s="11"/>
      <c r="B125" s="18"/>
      <c r="C125" s="18"/>
      <c r="G125" s="1"/>
    </row>
    <row r="126" spans="1:7" x14ac:dyDescent="0.25">
      <c r="A126" s="11"/>
      <c r="B126" s="18"/>
      <c r="C126" s="18"/>
      <c r="G126" s="1"/>
    </row>
    <row r="127" spans="1:7" x14ac:dyDescent="0.25">
      <c r="A127" s="11"/>
      <c r="B127" s="18"/>
      <c r="C127" s="18"/>
      <c r="G127" s="1"/>
    </row>
    <row r="128" spans="1:7" x14ac:dyDescent="0.25">
      <c r="A128" s="11"/>
      <c r="B128" s="18"/>
      <c r="C128" s="18"/>
      <c r="G128" s="1"/>
    </row>
    <row r="129" spans="1:7" x14ac:dyDescent="0.25">
      <c r="A129" s="11"/>
      <c r="B129" s="18"/>
      <c r="C129" s="18"/>
      <c r="G129" s="1"/>
    </row>
    <row r="130" spans="1:7" x14ac:dyDescent="0.25">
      <c r="A130" s="11"/>
      <c r="B130" s="18"/>
      <c r="C130" s="18"/>
      <c r="G130" s="1"/>
    </row>
    <row r="131" spans="1:7" x14ac:dyDescent="0.25">
      <c r="A131" s="11"/>
      <c r="B131" s="18"/>
      <c r="C131" s="18"/>
      <c r="G131" s="1"/>
    </row>
    <row r="132" spans="1:7" x14ac:dyDescent="0.25">
      <c r="A132" s="11"/>
      <c r="B132" s="18"/>
      <c r="C132" s="18"/>
      <c r="G132" s="1"/>
    </row>
    <row r="133" spans="1:7" x14ac:dyDescent="0.25">
      <c r="A133" s="11"/>
      <c r="B133" s="18"/>
      <c r="C133" s="18"/>
      <c r="G133" s="1"/>
    </row>
    <row r="134" spans="1:7" x14ac:dyDescent="0.25">
      <c r="A134" s="11"/>
      <c r="B134" s="18"/>
      <c r="C134" s="18"/>
      <c r="G134" s="1"/>
    </row>
    <row r="135" spans="1:7" x14ac:dyDescent="0.25">
      <c r="A135" s="11"/>
      <c r="B135" s="18"/>
      <c r="C135" s="18"/>
      <c r="G135" s="1"/>
    </row>
    <row r="136" spans="1:7" x14ac:dyDescent="0.25">
      <c r="A136" s="11"/>
      <c r="B136" s="18"/>
      <c r="C136" s="18"/>
      <c r="G136" s="1"/>
    </row>
    <row r="137" spans="1:7" x14ac:dyDescent="0.25">
      <c r="A137" s="11"/>
      <c r="B137" s="18"/>
      <c r="C137" s="18"/>
      <c r="G137" s="1"/>
    </row>
    <row r="138" spans="1:7" x14ac:dyDescent="0.25">
      <c r="A138" s="11"/>
      <c r="B138" s="18"/>
      <c r="C138" s="18"/>
      <c r="G138" s="1"/>
    </row>
    <row r="139" spans="1:7" x14ac:dyDescent="0.25">
      <c r="A139" s="11"/>
      <c r="B139" s="18"/>
      <c r="C139" s="18"/>
      <c r="G139" s="1"/>
    </row>
    <row r="140" spans="1:7" x14ac:dyDescent="0.25">
      <c r="A140" s="11"/>
      <c r="B140" s="18"/>
      <c r="C140" s="18"/>
      <c r="G140" s="1"/>
    </row>
    <row r="141" spans="1:7" x14ac:dyDescent="0.25">
      <c r="A141" s="11"/>
      <c r="B141" s="18"/>
      <c r="C141" s="18"/>
      <c r="G141" s="1"/>
    </row>
    <row r="142" spans="1:7" x14ac:dyDescent="0.25">
      <c r="A142" s="11"/>
      <c r="B142" s="18"/>
      <c r="C142" s="18"/>
      <c r="G142" s="1"/>
    </row>
    <row r="143" spans="1:7" x14ac:dyDescent="0.25">
      <c r="A143" s="11"/>
      <c r="B143" s="18"/>
      <c r="C143" s="18"/>
      <c r="G143" s="1"/>
    </row>
    <row r="144" spans="1:7" x14ac:dyDescent="0.25">
      <c r="A144" s="11"/>
      <c r="B144" s="18"/>
      <c r="C144" s="18"/>
      <c r="G144" s="1"/>
    </row>
    <row r="145" spans="1:7" x14ac:dyDescent="0.25">
      <c r="A145" s="11"/>
      <c r="B145" s="18"/>
      <c r="C145" s="18"/>
      <c r="G145" s="1"/>
    </row>
    <row r="146" spans="1:7" x14ac:dyDescent="0.25">
      <c r="A146" s="11"/>
      <c r="B146" s="18"/>
      <c r="C146" s="18"/>
      <c r="G146" s="1"/>
    </row>
    <row r="147" spans="1:7" x14ac:dyDescent="0.25">
      <c r="A147" s="11"/>
      <c r="B147" s="18"/>
      <c r="C147" s="18"/>
      <c r="G147" s="1"/>
    </row>
    <row r="148" spans="1:7" x14ac:dyDescent="0.25">
      <c r="A148" s="11"/>
      <c r="B148" s="18"/>
      <c r="C148" s="18"/>
      <c r="G148" s="1"/>
    </row>
    <row r="149" spans="1:7" x14ac:dyDescent="0.25">
      <c r="A149" s="11"/>
      <c r="B149" s="18"/>
      <c r="C149" s="18"/>
      <c r="G149" s="1"/>
    </row>
    <row r="150" spans="1:7" x14ac:dyDescent="0.25">
      <c r="A150" s="11"/>
      <c r="B150" s="18"/>
      <c r="C150" s="18"/>
      <c r="G150" s="1"/>
    </row>
    <row r="151" spans="1:7" x14ac:dyDescent="0.25">
      <c r="A151" s="11"/>
      <c r="B151" s="18"/>
      <c r="C151" s="18"/>
      <c r="G151" s="1"/>
    </row>
    <row r="152" spans="1:7" x14ac:dyDescent="0.25">
      <c r="A152" s="11"/>
      <c r="B152" s="18"/>
      <c r="C152" s="18"/>
      <c r="G152" s="1"/>
    </row>
    <row r="153" spans="1:7" x14ac:dyDescent="0.25">
      <c r="A153" s="11"/>
      <c r="B153" s="18"/>
      <c r="C153" s="18"/>
      <c r="G153" s="1"/>
    </row>
    <row r="154" spans="1:7" x14ac:dyDescent="0.25">
      <c r="A154" s="11"/>
      <c r="B154" s="18"/>
      <c r="C154" s="18"/>
      <c r="G154" s="1"/>
    </row>
    <row r="155" spans="1:7" x14ac:dyDescent="0.25">
      <c r="A155" s="11"/>
      <c r="B155" s="18"/>
      <c r="C155" s="18"/>
      <c r="G155" s="1"/>
    </row>
    <row r="156" spans="1:7" x14ac:dyDescent="0.25">
      <c r="A156" s="11"/>
      <c r="B156" s="18"/>
      <c r="C156" s="18"/>
      <c r="G156" s="1"/>
    </row>
    <row r="157" spans="1:7" x14ac:dyDescent="0.25">
      <c r="A157" s="11"/>
      <c r="B157" s="18"/>
      <c r="C157" s="18"/>
      <c r="G157" s="1"/>
    </row>
    <row r="158" spans="1:7" x14ac:dyDescent="0.25">
      <c r="A158" s="11"/>
      <c r="B158" s="18"/>
      <c r="C158" s="18"/>
      <c r="G158" s="1"/>
    </row>
    <row r="159" spans="1:7" x14ac:dyDescent="0.25">
      <c r="A159" s="11"/>
      <c r="B159" s="18"/>
      <c r="C159" s="18"/>
      <c r="G159" s="1"/>
    </row>
    <row r="160" spans="1:7" x14ac:dyDescent="0.25">
      <c r="A160" s="11"/>
      <c r="B160" s="18"/>
      <c r="C160" s="18"/>
      <c r="G160" s="1"/>
    </row>
    <row r="161" spans="1:7" x14ac:dyDescent="0.25">
      <c r="A161" s="11"/>
      <c r="B161" s="18"/>
      <c r="C161" s="18"/>
      <c r="G161" s="1"/>
    </row>
    <row r="162" spans="1:7" x14ac:dyDescent="0.25">
      <c r="A162" s="11"/>
      <c r="B162" s="18"/>
      <c r="C162" s="18"/>
      <c r="G162" s="1"/>
    </row>
    <row r="163" spans="1:7" x14ac:dyDescent="0.25">
      <c r="A163" s="11"/>
      <c r="B163" s="18"/>
      <c r="C163" s="18"/>
      <c r="G163" s="1"/>
    </row>
    <row r="164" spans="1:7" x14ac:dyDescent="0.25">
      <c r="A164" s="11"/>
      <c r="B164" s="18"/>
      <c r="C164" s="18"/>
      <c r="G164" s="1"/>
    </row>
    <row r="165" spans="1:7" x14ac:dyDescent="0.25">
      <c r="A165" s="11"/>
      <c r="B165" s="18"/>
      <c r="C165" s="18"/>
      <c r="G165" s="1"/>
    </row>
    <row r="166" spans="1:7" x14ac:dyDescent="0.25">
      <c r="A166" s="11"/>
      <c r="B166" s="18"/>
      <c r="C166" s="18"/>
      <c r="G166" s="1"/>
    </row>
    <row r="167" spans="1:7" x14ac:dyDescent="0.25">
      <c r="A167" s="11"/>
      <c r="B167" s="18"/>
      <c r="C167" s="18"/>
      <c r="G167" s="1"/>
    </row>
    <row r="168" spans="1:7" x14ac:dyDescent="0.25">
      <c r="A168" s="11"/>
      <c r="B168" s="18"/>
      <c r="C168" s="18"/>
      <c r="G168" s="1"/>
    </row>
    <row r="169" spans="1:7" x14ac:dyDescent="0.25">
      <c r="A169" s="11"/>
      <c r="B169" s="18"/>
      <c r="C169" s="18"/>
      <c r="G169" s="1"/>
    </row>
    <row r="170" spans="1:7" x14ac:dyDescent="0.25">
      <c r="A170" s="11"/>
      <c r="B170" s="18"/>
      <c r="C170" s="18"/>
      <c r="G170" s="1"/>
    </row>
    <row r="171" spans="1:7" x14ac:dyDescent="0.25">
      <c r="A171" s="11"/>
      <c r="B171" s="18"/>
      <c r="C171" s="18"/>
      <c r="G171" s="1"/>
    </row>
    <row r="172" spans="1:7" x14ac:dyDescent="0.25">
      <c r="A172" s="11"/>
      <c r="B172" s="18"/>
      <c r="C172" s="18"/>
      <c r="G172" s="1"/>
    </row>
    <row r="173" spans="1:7" x14ac:dyDescent="0.25">
      <c r="A173" s="11"/>
      <c r="B173" s="18"/>
      <c r="C173" s="18"/>
      <c r="G173" s="1"/>
    </row>
    <row r="174" spans="1:7" x14ac:dyDescent="0.25">
      <c r="A174" s="11"/>
      <c r="B174" s="18"/>
      <c r="C174" s="18"/>
      <c r="G174" s="1"/>
    </row>
    <row r="175" spans="1:7" x14ac:dyDescent="0.25">
      <c r="A175" s="11"/>
      <c r="G175" s="1"/>
    </row>
    <row r="176" spans="1:7" x14ac:dyDescent="0.25">
      <c r="A176" s="11"/>
      <c r="G176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Проверка_конструкции_фонтан">
                <anchor moveWithCells="1" sizeWithCells="1">
                  <from>
                    <xdr:col>13</xdr:col>
                    <xdr:colOff>228600</xdr:colOff>
                    <xdr:row>9</xdr:row>
                    <xdr:rowOff>66675</xdr:rowOff>
                  </from>
                  <to>
                    <xdr:col>18</xdr:col>
                    <xdr:colOff>285750</xdr:colOff>
                    <xdr:row>14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2"/>
  <dimension ref="A1:AH44"/>
  <sheetViews>
    <sheetView tabSelected="1" zoomScaleNormal="100" workbookViewId="0">
      <selection activeCell="F11" sqref="F11"/>
    </sheetView>
  </sheetViews>
  <sheetFormatPr defaultRowHeight="15" x14ac:dyDescent="0.25"/>
  <cols>
    <col min="15" max="15" width="10.140625" customWidth="1"/>
    <col min="22" max="22" width="10.7109375" customWidth="1"/>
  </cols>
  <sheetData>
    <row r="1" spans="1:34" x14ac:dyDescent="0.25">
      <c r="A1" t="str">
        <f>версия_</f>
        <v>вер 7.21</v>
      </c>
    </row>
    <row r="2" spans="1:34" x14ac:dyDescent="0.25">
      <c r="C2" t="s">
        <v>140</v>
      </c>
      <c r="E2">
        <f>X3-1</f>
        <v>0</v>
      </c>
      <c r="G2" t="s">
        <v>141</v>
      </c>
      <c r="J2">
        <f>AB3-1</f>
        <v>0</v>
      </c>
      <c r="L2" t="s">
        <v>142</v>
      </c>
      <c r="O2">
        <f>AG3-1</f>
        <v>1</v>
      </c>
      <c r="Y2" t="s">
        <v>151</v>
      </c>
      <c r="AC2" t="s">
        <v>152</v>
      </c>
      <c r="AG2" t="s">
        <v>153</v>
      </c>
    </row>
    <row r="3" spans="1:34" x14ac:dyDescent="0.25">
      <c r="X3">
        <v>1</v>
      </c>
      <c r="Y3" t="s">
        <v>143</v>
      </c>
      <c r="AB3">
        <v>1</v>
      </c>
      <c r="AC3" t="s">
        <v>145</v>
      </c>
      <c r="AG3">
        <v>2</v>
      </c>
      <c r="AH3" t="s">
        <v>160</v>
      </c>
    </row>
    <row r="4" spans="1:34" x14ac:dyDescent="0.25">
      <c r="P4" s="19" t="s">
        <v>53</v>
      </c>
      <c r="Q4" s="2"/>
      <c r="R4" s="2"/>
      <c r="Y4" t="s">
        <v>144</v>
      </c>
      <c r="AC4" t="s">
        <v>146</v>
      </c>
      <c r="AH4" t="s">
        <v>169</v>
      </c>
    </row>
    <row r="5" spans="1:34" ht="18" x14ac:dyDescent="0.35">
      <c r="B5" s="19" t="s">
        <v>159</v>
      </c>
      <c r="C5" s="2"/>
      <c r="D5" s="2"/>
      <c r="G5" s="19" t="s">
        <v>155</v>
      </c>
      <c r="H5" s="2"/>
      <c r="I5" s="2"/>
      <c r="L5" s="19" t="s">
        <v>51</v>
      </c>
      <c r="M5" s="2"/>
      <c r="N5" s="2"/>
      <c r="P5" s="15" t="s">
        <v>45</v>
      </c>
      <c r="Q5" s="9">
        <v>5</v>
      </c>
      <c r="R5" s="5" t="s">
        <v>44</v>
      </c>
      <c r="AC5" t="s">
        <v>147</v>
      </c>
      <c r="AH5" t="s">
        <v>154</v>
      </c>
    </row>
    <row r="6" spans="1:34" ht="18" x14ac:dyDescent="0.35">
      <c r="B6" s="7" t="s">
        <v>32</v>
      </c>
      <c r="C6" s="9">
        <v>100</v>
      </c>
      <c r="D6" s="5" t="s">
        <v>33</v>
      </c>
      <c r="G6" s="21" t="s">
        <v>157</v>
      </c>
      <c r="H6" s="9">
        <v>1.1000000000000001</v>
      </c>
      <c r="I6" s="5"/>
      <c r="L6" s="14" t="s">
        <v>156</v>
      </c>
      <c r="M6" s="9">
        <v>90</v>
      </c>
      <c r="N6" s="5" t="s">
        <v>25</v>
      </c>
      <c r="P6" s="15" t="s">
        <v>46</v>
      </c>
      <c r="Q6" s="9">
        <v>25</v>
      </c>
      <c r="R6" s="5" t="s">
        <v>44</v>
      </c>
      <c r="AC6" t="s">
        <v>148</v>
      </c>
    </row>
    <row r="7" spans="1:34" ht="18" x14ac:dyDescent="0.35">
      <c r="B7" s="5" t="s">
        <v>19</v>
      </c>
      <c r="C7" s="9">
        <v>12</v>
      </c>
      <c r="D7" s="5" t="s">
        <v>9</v>
      </c>
      <c r="G7" s="21" t="s">
        <v>158</v>
      </c>
      <c r="H7" s="9">
        <v>0.9</v>
      </c>
      <c r="I7" s="5"/>
      <c r="L7" s="14" t="s">
        <v>56</v>
      </c>
      <c r="M7" s="9">
        <v>60</v>
      </c>
      <c r="N7" s="5" t="s">
        <v>25</v>
      </c>
      <c r="P7" s="15" t="s">
        <v>47</v>
      </c>
      <c r="Q7" s="9">
        <v>260</v>
      </c>
      <c r="R7" s="5" t="s">
        <v>44</v>
      </c>
      <c r="AC7" t="s">
        <v>149</v>
      </c>
    </row>
    <row r="8" spans="1:34" ht="18" x14ac:dyDescent="0.25">
      <c r="B8" s="7" t="s">
        <v>34</v>
      </c>
      <c r="C8" s="12" t="s">
        <v>63</v>
      </c>
      <c r="D8" s="5" t="s">
        <v>35</v>
      </c>
      <c r="AC8" t="s">
        <v>150</v>
      </c>
    </row>
    <row r="9" spans="1:34" ht="18" x14ac:dyDescent="0.25">
      <c r="B9" s="7" t="s">
        <v>18</v>
      </c>
      <c r="C9" s="9">
        <v>130</v>
      </c>
      <c r="D9" s="5" t="s">
        <v>17</v>
      </c>
      <c r="P9" s="19" t="s">
        <v>54</v>
      </c>
      <c r="Q9" s="2"/>
      <c r="R9" s="2"/>
      <c r="S9" s="19"/>
      <c r="T9" s="2"/>
      <c r="U9" s="2"/>
    </row>
    <row r="10" spans="1:34" ht="18" x14ac:dyDescent="0.35">
      <c r="B10" s="7" t="s">
        <v>18</v>
      </c>
      <c r="C10" s="13">
        <f>Rp_m3m3_/PVT!gamma_oil_</f>
        <v>151.16279069767441</v>
      </c>
      <c r="D10" s="5" t="s">
        <v>36</v>
      </c>
      <c r="P10" s="15" t="s">
        <v>45</v>
      </c>
      <c r="Q10" s="29">
        <v>5</v>
      </c>
      <c r="R10" s="5" t="s">
        <v>44</v>
      </c>
      <c r="S10" s="15" t="s">
        <v>55</v>
      </c>
      <c r="T10" s="29">
        <v>30</v>
      </c>
      <c r="U10" s="5" t="s">
        <v>25</v>
      </c>
    </row>
    <row r="11" spans="1:34" ht="18" x14ac:dyDescent="0.35">
      <c r="P11" s="15" t="s">
        <v>46</v>
      </c>
      <c r="Q11" s="29">
        <v>20.234375</v>
      </c>
      <c r="R11" s="5" t="s">
        <v>44</v>
      </c>
      <c r="S11" s="15" t="s">
        <v>56</v>
      </c>
      <c r="T11" s="29">
        <v>30</v>
      </c>
      <c r="U11" s="5" t="s">
        <v>25</v>
      </c>
    </row>
    <row r="12" spans="1:34" ht="18" x14ac:dyDescent="0.35">
      <c r="M12" t="s">
        <v>63</v>
      </c>
      <c r="P12" s="15" t="s">
        <v>47</v>
      </c>
      <c r="Q12" s="29">
        <v>203.60613975729535</v>
      </c>
      <c r="R12" s="5" t="s">
        <v>44</v>
      </c>
      <c r="S12" s="15" t="s">
        <v>57</v>
      </c>
      <c r="T12" s="29">
        <v>90</v>
      </c>
      <c r="U12" s="5" t="s">
        <v>25</v>
      </c>
    </row>
    <row r="13" spans="1:34" x14ac:dyDescent="0.25">
      <c r="D13" s="1"/>
    </row>
    <row r="14" spans="1:34" x14ac:dyDescent="0.25">
      <c r="B14" s="2" t="s">
        <v>58</v>
      </c>
      <c r="C14" s="2"/>
      <c r="D14" s="10"/>
      <c r="E14" s="2"/>
      <c r="H14" t="s">
        <v>65</v>
      </c>
      <c r="N14" t="s">
        <v>66</v>
      </c>
    </row>
    <row r="15" spans="1:34" ht="30" x14ac:dyDescent="0.25">
      <c r="B15" s="2"/>
      <c r="C15" s="2" t="s">
        <v>43</v>
      </c>
      <c r="D15" s="10" t="s">
        <v>62</v>
      </c>
      <c r="E15" s="2" t="s">
        <v>61</v>
      </c>
      <c r="G15" t="s">
        <v>64</v>
      </c>
      <c r="H15" s="1"/>
      <c r="I15" s="1"/>
      <c r="J15" s="1"/>
      <c r="K15" s="1"/>
      <c r="N15" s="1"/>
      <c r="O15" s="1"/>
      <c r="P15" s="1"/>
      <c r="Q15" s="1"/>
      <c r="R15" s="1"/>
      <c r="S15" s="1"/>
      <c r="U15" s="5" t="s">
        <v>170</v>
      </c>
      <c r="V15" s="1" t="s">
        <v>171</v>
      </c>
    </row>
    <row r="16" spans="1:34" x14ac:dyDescent="0.25">
      <c r="B16" s="2" t="s">
        <v>59</v>
      </c>
      <c r="C16" s="60">
        <v>0</v>
      </c>
      <c r="D16" s="60">
        <v>0</v>
      </c>
      <c r="E16" s="60">
        <v>32</v>
      </c>
      <c r="G16" s="16">
        <v>0</v>
      </c>
      <c r="H16">
        <v>0</v>
      </c>
      <c r="I16">
        <v>12</v>
      </c>
      <c r="J16">
        <v>33</v>
      </c>
      <c r="K16">
        <v>0</v>
      </c>
      <c r="M16">
        <v>30</v>
      </c>
      <c r="N16">
        <v>0</v>
      </c>
      <c r="O16">
        <v>20.234375</v>
      </c>
      <c r="P16">
        <v>0</v>
      </c>
      <c r="Q16">
        <v>30</v>
      </c>
      <c r="R16">
        <v>0</v>
      </c>
      <c r="S16">
        <v>0.35338017659758486</v>
      </c>
      <c r="U16">
        <v>0</v>
      </c>
      <c r="V16" s="62">
        <f>Pline_out_atma_</f>
        <v>5</v>
      </c>
    </row>
    <row r="17" spans="2:22" x14ac:dyDescent="0.25">
      <c r="B17" s="2" t="s">
        <v>60</v>
      </c>
      <c r="C17" s="20">
        <v>0</v>
      </c>
      <c r="D17" s="20">
        <v>12</v>
      </c>
      <c r="E17" s="20">
        <v>33</v>
      </c>
      <c r="G17" s="16">
        <v>1</v>
      </c>
      <c r="H17">
        <v>168.75</v>
      </c>
      <c r="I17">
        <v>16.978153001228488</v>
      </c>
      <c r="J17">
        <v>34.35</v>
      </c>
      <c r="K17">
        <v>184.21052631578948</v>
      </c>
      <c r="M17">
        <v>30.614035087719298</v>
      </c>
      <c r="N17">
        <v>184.21052631578948</v>
      </c>
      <c r="O17">
        <v>27.378101774850709</v>
      </c>
      <c r="P17">
        <v>184.21052631578948</v>
      </c>
      <c r="Q17">
        <v>30.614035087719298</v>
      </c>
      <c r="R17">
        <v>175</v>
      </c>
      <c r="S17">
        <v>0.41991837759293899</v>
      </c>
      <c r="U17">
        <v>0</v>
      </c>
      <c r="V17" s="62">
        <f>Pbuf_out_atma_</f>
        <v>20.234375</v>
      </c>
    </row>
    <row r="18" spans="2:22" x14ac:dyDescent="0.25">
      <c r="B18" s="2"/>
      <c r="C18" s="20">
        <v>125</v>
      </c>
      <c r="D18" s="20">
        <v>15.557467590458288</v>
      </c>
      <c r="E18" s="20">
        <v>34</v>
      </c>
      <c r="G18" s="16">
        <v>2</v>
      </c>
      <c r="H18">
        <v>337.5</v>
      </c>
      <c r="I18">
        <v>22.808159517353957</v>
      </c>
      <c r="J18">
        <v>35.700000000000003</v>
      </c>
      <c r="K18">
        <v>368.42105263157896</v>
      </c>
      <c r="M18">
        <v>31.228070175438596</v>
      </c>
      <c r="N18">
        <v>368.42105263157896</v>
      </c>
      <c r="O18">
        <v>35.743163781898289</v>
      </c>
      <c r="P18">
        <v>368.42105263157896</v>
      </c>
      <c r="Q18">
        <v>31.228070175438596</v>
      </c>
      <c r="R18">
        <v>350</v>
      </c>
      <c r="S18">
        <v>0.48880962279105994</v>
      </c>
      <c r="U18">
        <f>Hperf_m_</f>
        <v>3500</v>
      </c>
      <c r="V18" s="62">
        <f>Pwf_out_atma_</f>
        <v>203.60613975729535</v>
      </c>
    </row>
    <row r="19" spans="2:22" x14ac:dyDescent="0.25">
      <c r="B19" s="2"/>
      <c r="C19" s="20">
        <v>250</v>
      </c>
      <c r="D19" s="20">
        <v>19.616568764087436</v>
      </c>
      <c r="E19" s="20">
        <v>35</v>
      </c>
      <c r="G19" s="16">
        <v>3</v>
      </c>
      <c r="H19">
        <v>506.25</v>
      </c>
      <c r="I19">
        <v>29.78946407595685</v>
      </c>
      <c r="J19">
        <v>37.049999999999997</v>
      </c>
      <c r="K19">
        <v>552.63157894736844</v>
      </c>
      <c r="M19">
        <v>31.842105263157894</v>
      </c>
      <c r="N19">
        <v>552.63157894736844</v>
      </c>
      <c r="O19">
        <v>45.325506944678523</v>
      </c>
      <c r="P19">
        <v>552.63157894736844</v>
      </c>
      <c r="Q19">
        <v>31.842105263157894</v>
      </c>
      <c r="R19">
        <v>525</v>
      </c>
      <c r="S19">
        <v>0.54312869823768162</v>
      </c>
    </row>
    <row r="20" spans="2:22" x14ac:dyDescent="0.25">
      <c r="B20" s="2"/>
      <c r="C20" s="20">
        <v>375</v>
      </c>
      <c r="D20" s="20">
        <v>24.17598412589675</v>
      </c>
      <c r="E20" s="20">
        <v>36</v>
      </c>
      <c r="G20" s="16">
        <v>4</v>
      </c>
      <c r="H20">
        <v>675</v>
      </c>
      <c r="I20">
        <v>38.734369437593315</v>
      </c>
      <c r="J20">
        <v>38.4</v>
      </c>
      <c r="K20">
        <v>736.84210526315792</v>
      </c>
      <c r="M20">
        <v>32.456140350877192</v>
      </c>
      <c r="N20">
        <v>736.84210526315792</v>
      </c>
      <c r="O20">
        <v>56.042320968108655</v>
      </c>
      <c r="P20">
        <v>736.84210526315792</v>
      </c>
      <c r="Q20">
        <v>32.456140350877192</v>
      </c>
      <c r="R20">
        <v>700</v>
      </c>
      <c r="S20">
        <v>0.61230492290887206</v>
      </c>
    </row>
    <row r="21" spans="2:22" x14ac:dyDescent="0.25">
      <c r="B21" s="2"/>
      <c r="C21" s="20">
        <v>500</v>
      </c>
      <c r="D21" s="20">
        <v>29.478342712963183</v>
      </c>
      <c r="E21" s="20">
        <v>37</v>
      </c>
      <c r="G21" s="16">
        <v>5</v>
      </c>
      <c r="H21">
        <v>843.75</v>
      </c>
      <c r="I21">
        <v>49.937391904010141</v>
      </c>
      <c r="J21">
        <v>39.75</v>
      </c>
      <c r="K21">
        <v>921.0526315789474</v>
      </c>
      <c r="M21">
        <v>33.070175438596493</v>
      </c>
      <c r="N21">
        <v>921.0526315789474</v>
      </c>
      <c r="O21">
        <v>67.952493872812866</v>
      </c>
      <c r="P21">
        <v>921.0526315789474</v>
      </c>
      <c r="Q21">
        <v>33.070175438596493</v>
      </c>
      <c r="R21">
        <v>875</v>
      </c>
      <c r="S21">
        <v>0.68079592262051558</v>
      </c>
    </row>
    <row r="22" spans="2:22" x14ac:dyDescent="0.25">
      <c r="B22" s="2"/>
      <c r="C22" s="20">
        <v>625</v>
      </c>
      <c r="D22" s="20">
        <v>35.700769972836554</v>
      </c>
      <c r="E22" s="20">
        <v>38</v>
      </c>
      <c r="G22" s="16">
        <v>6</v>
      </c>
      <c r="H22">
        <v>1012.5</v>
      </c>
      <c r="I22">
        <v>62.075251209721038</v>
      </c>
      <c r="J22">
        <v>41.1</v>
      </c>
      <c r="K22">
        <v>1105.2631578947369</v>
      </c>
      <c r="M22">
        <v>33.67</v>
      </c>
      <c r="N22">
        <v>1105.2631578947369</v>
      </c>
      <c r="O22">
        <v>81.042509840437944</v>
      </c>
      <c r="P22">
        <v>1105.2631578947369</v>
      </c>
      <c r="Q22">
        <v>33.67</v>
      </c>
      <c r="R22">
        <v>1050</v>
      </c>
      <c r="S22">
        <v>0.7888465484682301</v>
      </c>
    </row>
    <row r="23" spans="2:22" x14ac:dyDescent="0.25">
      <c r="B23" s="2"/>
      <c r="C23" s="20">
        <v>750</v>
      </c>
      <c r="D23" s="20">
        <v>43.284768634728451</v>
      </c>
      <c r="E23" s="20">
        <v>39</v>
      </c>
      <c r="G23" s="16">
        <v>7</v>
      </c>
      <c r="H23">
        <v>1181.25</v>
      </c>
      <c r="I23">
        <v>74.478662565209234</v>
      </c>
      <c r="J23">
        <v>42.45</v>
      </c>
      <c r="K23">
        <v>1289.4736842105262</v>
      </c>
      <c r="M23">
        <v>34.247368421052634</v>
      </c>
      <c r="N23">
        <v>1289.4736842105262</v>
      </c>
      <c r="O23">
        <v>94.95007208364386</v>
      </c>
      <c r="P23">
        <v>1289.4736842105262</v>
      </c>
      <c r="Q23">
        <v>34.247368421052634</v>
      </c>
      <c r="R23">
        <v>1225</v>
      </c>
      <c r="S23">
        <v>0.87760198516813026</v>
      </c>
    </row>
    <row r="24" spans="2:22" x14ac:dyDescent="0.25">
      <c r="B24" s="2"/>
      <c r="C24" s="20">
        <v>875</v>
      </c>
      <c r="D24" s="20">
        <v>52.1549329937707</v>
      </c>
      <c r="E24" s="20">
        <v>40</v>
      </c>
      <c r="G24" s="16">
        <v>8</v>
      </c>
      <c r="H24">
        <v>1350</v>
      </c>
      <c r="I24">
        <v>87.106336418809121</v>
      </c>
      <c r="J24">
        <v>43.8</v>
      </c>
      <c r="K24">
        <v>1473.6842105263158</v>
      </c>
      <c r="M24">
        <v>34.801929824561405</v>
      </c>
      <c r="N24">
        <v>1473.6842105263158</v>
      </c>
      <c r="O24">
        <v>109.88322815856289</v>
      </c>
      <c r="P24">
        <v>1473.6842105263158</v>
      </c>
      <c r="Q24">
        <v>34.801929824561405</v>
      </c>
      <c r="R24">
        <v>1400</v>
      </c>
      <c r="S24">
        <v>1</v>
      </c>
    </row>
    <row r="25" spans="2:22" x14ac:dyDescent="0.25">
      <c r="B25" s="2"/>
      <c r="C25" s="20">
        <v>1000</v>
      </c>
      <c r="D25" s="20">
        <v>61.160926173744272</v>
      </c>
      <c r="E25" s="20">
        <v>41</v>
      </c>
      <c r="G25" s="16">
        <v>9</v>
      </c>
      <c r="H25">
        <v>1518.75</v>
      </c>
      <c r="I25">
        <v>99.974449993853753</v>
      </c>
      <c r="J25">
        <v>45.15</v>
      </c>
      <c r="K25">
        <v>1657.8947368421054</v>
      </c>
      <c r="M25">
        <v>40.511578947368434</v>
      </c>
      <c r="N25">
        <v>1657.8947368421054</v>
      </c>
      <c r="O25">
        <v>124.45317348253947</v>
      </c>
      <c r="P25">
        <v>1657.8947368421054</v>
      </c>
      <c r="Q25">
        <v>40.511578947368434</v>
      </c>
      <c r="R25">
        <v>1575</v>
      </c>
      <c r="S25">
        <v>1</v>
      </c>
    </row>
    <row r="26" spans="2:22" x14ac:dyDescent="0.25">
      <c r="B26" s="2"/>
      <c r="C26" s="20">
        <v>1125</v>
      </c>
      <c r="D26" s="20">
        <v>70.304176533511935</v>
      </c>
      <c r="E26" s="20">
        <v>42</v>
      </c>
      <c r="G26" s="16">
        <v>10</v>
      </c>
      <c r="H26">
        <v>1687.5</v>
      </c>
      <c r="I26">
        <v>113.08814204317881</v>
      </c>
      <c r="J26">
        <v>46.5</v>
      </c>
      <c r="K26">
        <v>1842.1052631578948</v>
      </c>
      <c r="M26">
        <v>48.920789473684216</v>
      </c>
      <c r="N26">
        <v>1842.1052631578948</v>
      </c>
      <c r="O26">
        <v>138.38557339230908</v>
      </c>
      <c r="P26">
        <v>1842.1052631578948</v>
      </c>
      <c r="Q26">
        <v>48.920789473684216</v>
      </c>
      <c r="R26">
        <v>1750</v>
      </c>
      <c r="S26">
        <v>1</v>
      </c>
    </row>
    <row r="27" spans="2:22" x14ac:dyDescent="0.25">
      <c r="B27" s="2"/>
      <c r="C27" s="20">
        <v>1250</v>
      </c>
      <c r="D27" s="20">
        <v>79.580812159505939</v>
      </c>
      <c r="E27" s="20">
        <v>43</v>
      </c>
      <c r="G27" s="16">
        <v>11</v>
      </c>
      <c r="H27">
        <v>1856.25</v>
      </c>
      <c r="I27">
        <v>126.29628597527667</v>
      </c>
      <c r="J27">
        <v>47.85</v>
      </c>
      <c r="K27">
        <v>2026.3157894736842</v>
      </c>
      <c r="M27">
        <v>56.959473684210522</v>
      </c>
      <c r="N27">
        <v>2026.3157894736842</v>
      </c>
      <c r="O27">
        <v>151.67468374925491</v>
      </c>
      <c r="P27">
        <v>2026.3157894736842</v>
      </c>
      <c r="Q27">
        <v>56.959473684210522</v>
      </c>
      <c r="R27">
        <v>1925</v>
      </c>
      <c r="S27">
        <v>1</v>
      </c>
    </row>
    <row r="28" spans="2:22" x14ac:dyDescent="0.25">
      <c r="B28" s="2"/>
      <c r="C28" s="20">
        <v>1375</v>
      </c>
      <c r="D28" s="20">
        <v>88.98771748363491</v>
      </c>
      <c r="E28" s="20">
        <v>44</v>
      </c>
      <c r="G28" s="16">
        <v>12</v>
      </c>
      <c r="H28">
        <v>2025</v>
      </c>
      <c r="I28">
        <v>139.51713685419199</v>
      </c>
      <c r="J28">
        <v>49.2</v>
      </c>
      <c r="K28">
        <v>2210.5263157894738</v>
      </c>
      <c r="M28">
        <v>64.627631578947373</v>
      </c>
      <c r="N28">
        <v>2210.5263157894738</v>
      </c>
      <c r="O28">
        <v>164.32240961167409</v>
      </c>
      <c r="P28">
        <v>2210.5263157894738</v>
      </c>
      <c r="Q28">
        <v>64.627631578947373</v>
      </c>
      <c r="R28">
        <v>2100</v>
      </c>
      <c r="S28">
        <v>1</v>
      </c>
    </row>
    <row r="29" spans="2:22" x14ac:dyDescent="0.25">
      <c r="B29" s="2"/>
      <c r="C29" s="20">
        <v>1500</v>
      </c>
      <c r="D29" s="20">
        <v>98.522439771087946</v>
      </c>
      <c r="E29" s="20">
        <v>45</v>
      </c>
      <c r="G29" s="16">
        <v>13</v>
      </c>
      <c r="H29">
        <v>2193.75</v>
      </c>
      <c r="I29">
        <v>152.73830775043135</v>
      </c>
      <c r="J29">
        <v>50.55</v>
      </c>
      <c r="K29">
        <v>2394.7368421052633</v>
      </c>
      <c r="M29">
        <v>71.91947368421053</v>
      </c>
      <c r="N29">
        <v>2394.7368421052633</v>
      </c>
      <c r="O29">
        <v>176.32120025929916</v>
      </c>
      <c r="P29">
        <v>2394.7368421052633</v>
      </c>
      <c r="Q29">
        <v>71.91947368421053</v>
      </c>
      <c r="R29">
        <v>2275</v>
      </c>
      <c r="S29">
        <v>1</v>
      </c>
    </row>
    <row r="30" spans="2:22" x14ac:dyDescent="0.25">
      <c r="B30" s="2"/>
      <c r="C30" s="20">
        <v>1625</v>
      </c>
      <c r="D30" s="20">
        <v>108.20250792285998</v>
      </c>
      <c r="E30" s="20">
        <v>46</v>
      </c>
      <c r="G30" s="16">
        <v>14</v>
      </c>
      <c r="H30">
        <v>2362.5</v>
      </c>
      <c r="I30">
        <v>165.95680463762446</v>
      </c>
      <c r="J30">
        <v>51.9</v>
      </c>
      <c r="K30">
        <v>2500</v>
      </c>
      <c r="M30">
        <v>75.92</v>
      </c>
      <c r="N30">
        <v>2500</v>
      </c>
      <c r="O30">
        <v>182.89203401762629</v>
      </c>
      <c r="P30">
        <v>2500</v>
      </c>
      <c r="Q30">
        <v>75.92</v>
      </c>
      <c r="R30">
        <v>2450</v>
      </c>
      <c r="S30">
        <v>1</v>
      </c>
    </row>
    <row r="31" spans="2:22" x14ac:dyDescent="0.25">
      <c r="B31" s="2"/>
      <c r="C31" s="20">
        <v>1750</v>
      </c>
      <c r="D31" s="20">
        <v>117.97377616349763</v>
      </c>
      <c r="E31" s="20">
        <v>47</v>
      </c>
      <c r="G31" s="16">
        <v>15</v>
      </c>
      <c r="H31">
        <v>2531.25</v>
      </c>
      <c r="I31">
        <v>179.17039572645322</v>
      </c>
      <c r="J31">
        <v>53.25</v>
      </c>
      <c r="K31">
        <v>2578.9473684210525</v>
      </c>
      <c r="M31">
        <v>78.829210526315777</v>
      </c>
      <c r="N31">
        <v>2578.9473684210525</v>
      </c>
      <c r="O31">
        <v>187.63251054872742</v>
      </c>
      <c r="P31">
        <v>2578.9473684210525</v>
      </c>
      <c r="Q31">
        <v>78.829210526315777</v>
      </c>
      <c r="R31">
        <v>2625</v>
      </c>
      <c r="S31">
        <v>1</v>
      </c>
    </row>
    <row r="32" spans="2:22" x14ac:dyDescent="0.25">
      <c r="B32" s="2"/>
      <c r="C32" s="20">
        <v>1875</v>
      </c>
      <c r="D32" s="20">
        <v>127.76496417735532</v>
      </c>
      <c r="E32" s="20">
        <v>48</v>
      </c>
      <c r="G32" s="16">
        <v>16</v>
      </c>
      <c r="H32">
        <v>2700</v>
      </c>
      <c r="I32">
        <v>192.38366838177041</v>
      </c>
      <c r="J32">
        <v>54.6</v>
      </c>
      <c r="K32">
        <v>2763.1578947368421</v>
      </c>
      <c r="M32">
        <v>85.368421052631589</v>
      </c>
      <c r="N32">
        <v>2763.1578947368421</v>
      </c>
      <c r="O32">
        <v>196.83235113850324</v>
      </c>
      <c r="P32">
        <v>2763.1578947368421</v>
      </c>
      <c r="Q32">
        <v>85.368421052631589</v>
      </c>
      <c r="R32">
        <v>2800</v>
      </c>
      <c r="S32">
        <v>1</v>
      </c>
    </row>
    <row r="33" spans="2:19" x14ac:dyDescent="0.25">
      <c r="B33" s="2"/>
      <c r="C33" s="20">
        <v>2000</v>
      </c>
      <c r="D33" s="20">
        <v>137.55836102001658</v>
      </c>
      <c r="E33" s="20">
        <v>49</v>
      </c>
      <c r="G33" s="16">
        <v>17</v>
      </c>
      <c r="H33">
        <v>2868.75</v>
      </c>
      <c r="I33">
        <v>205.5969410370885</v>
      </c>
      <c r="J33">
        <v>55.95</v>
      </c>
      <c r="K33">
        <v>2947.3684210526317</v>
      </c>
      <c r="M33">
        <v>87.351315789473688</v>
      </c>
      <c r="N33">
        <v>2947.3684210526317</v>
      </c>
      <c r="O33">
        <v>199.23477106572182</v>
      </c>
      <c r="P33">
        <v>2947.3684210526317</v>
      </c>
      <c r="Q33">
        <v>87.351315789473688</v>
      </c>
      <c r="R33">
        <v>2975</v>
      </c>
      <c r="S33">
        <v>1</v>
      </c>
    </row>
    <row r="34" spans="2:19" x14ac:dyDescent="0.25">
      <c r="B34" s="2"/>
      <c r="C34" s="20">
        <v>2125</v>
      </c>
      <c r="D34" s="20">
        <v>147.3522401908937</v>
      </c>
      <c r="E34" s="20">
        <v>50</v>
      </c>
      <c r="G34" s="16">
        <v>18</v>
      </c>
      <c r="H34">
        <v>3037.5</v>
      </c>
      <c r="I34">
        <v>218.81021369240568</v>
      </c>
      <c r="J34">
        <v>57.3</v>
      </c>
      <c r="K34">
        <v>3131.5789473684213</v>
      </c>
      <c r="M34">
        <v>88.234210526315792</v>
      </c>
      <c r="N34">
        <v>3131.5789473684213</v>
      </c>
      <c r="O34">
        <v>200.69226753841809</v>
      </c>
      <c r="P34">
        <v>3131.5789473684213</v>
      </c>
      <c r="Q34">
        <v>88.234210526315792</v>
      </c>
      <c r="R34">
        <v>3150</v>
      </c>
      <c r="S34">
        <v>1</v>
      </c>
    </row>
    <row r="35" spans="2:19" x14ac:dyDescent="0.25">
      <c r="B35" s="2"/>
      <c r="C35" s="20">
        <v>2250</v>
      </c>
      <c r="D35" s="20">
        <v>157.14509029914396</v>
      </c>
      <c r="E35" s="20">
        <v>51</v>
      </c>
      <c r="G35" s="16">
        <v>19</v>
      </c>
      <c r="H35">
        <v>3206.25</v>
      </c>
      <c r="I35">
        <v>232.02348634772284</v>
      </c>
      <c r="J35">
        <v>58.65</v>
      </c>
      <c r="K35">
        <v>3315.7894736842109</v>
      </c>
      <c r="M35">
        <v>89.117105263157882</v>
      </c>
      <c r="N35">
        <v>3315.7894736842109</v>
      </c>
      <c r="O35">
        <v>202.1493908469572</v>
      </c>
      <c r="P35">
        <v>3315.7894736842109</v>
      </c>
      <c r="Q35">
        <v>89.117105263157882</v>
      </c>
      <c r="R35">
        <v>3325</v>
      </c>
      <c r="S35">
        <v>1</v>
      </c>
    </row>
    <row r="36" spans="2:19" x14ac:dyDescent="0.25">
      <c r="B36" s="2"/>
      <c r="C36" s="20">
        <v>2375</v>
      </c>
      <c r="D36" s="20">
        <v>166.93588400856675</v>
      </c>
      <c r="E36" s="20">
        <v>52</v>
      </c>
      <c r="G36" s="16">
        <v>20</v>
      </c>
      <c r="H36">
        <v>3375</v>
      </c>
      <c r="I36">
        <v>245.23675900304099</v>
      </c>
      <c r="J36">
        <v>60</v>
      </c>
      <c r="K36">
        <v>3500</v>
      </c>
      <c r="M36">
        <v>90</v>
      </c>
      <c r="N36">
        <v>3500</v>
      </c>
      <c r="O36">
        <v>203.60613975729535</v>
      </c>
      <c r="P36">
        <v>3500</v>
      </c>
      <c r="Q36">
        <v>90</v>
      </c>
      <c r="R36">
        <v>3500</v>
      </c>
      <c r="S36">
        <v>1</v>
      </c>
    </row>
    <row r="37" spans="2:19" x14ac:dyDescent="0.25">
      <c r="B37" s="2"/>
      <c r="C37" s="20">
        <v>2500</v>
      </c>
      <c r="D37" s="20">
        <v>176.72349338287597</v>
      </c>
      <c r="E37" s="20">
        <v>53</v>
      </c>
    </row>
    <row r="38" spans="2:19" x14ac:dyDescent="0.25">
      <c r="C38" s="20">
        <v>2625</v>
      </c>
      <c r="D38" s="20">
        <v>186.511102757185</v>
      </c>
      <c r="E38" s="20">
        <v>54</v>
      </c>
    </row>
    <row r="39" spans="2:19" x14ac:dyDescent="0.25">
      <c r="C39" s="20">
        <v>2750</v>
      </c>
      <c r="D39" s="20">
        <v>196.298712131494</v>
      </c>
      <c r="E39" s="20">
        <v>55</v>
      </c>
    </row>
    <row r="40" spans="2:19" x14ac:dyDescent="0.25">
      <c r="C40" s="20">
        <v>2875</v>
      </c>
      <c r="D40" s="20">
        <v>206.08632150580399</v>
      </c>
      <c r="E40" s="20">
        <v>56</v>
      </c>
    </row>
    <row r="41" spans="2:19" x14ac:dyDescent="0.25">
      <c r="C41" s="20">
        <v>3000</v>
      </c>
      <c r="D41" s="20">
        <v>215.87393088011299</v>
      </c>
      <c r="E41" s="20">
        <v>57</v>
      </c>
    </row>
    <row r="42" spans="2:19" x14ac:dyDescent="0.25">
      <c r="C42" s="20">
        <v>3125</v>
      </c>
      <c r="D42" s="20">
        <v>225.66154025442199</v>
      </c>
      <c r="E42" s="20">
        <v>58</v>
      </c>
    </row>
    <row r="43" spans="2:19" x14ac:dyDescent="0.25">
      <c r="C43" s="20">
        <v>3250</v>
      </c>
      <c r="D43" s="20">
        <v>235.44914962873099</v>
      </c>
      <c r="E43" s="20">
        <v>59</v>
      </c>
    </row>
    <row r="44" spans="2:19" x14ac:dyDescent="0.25">
      <c r="C44" s="20">
        <v>3375</v>
      </c>
      <c r="D44" s="20">
        <v>245.23675900304099</v>
      </c>
      <c r="E44" s="20">
        <v>60</v>
      </c>
    </row>
  </sheetData>
  <dataConsolidate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Кнопка52_Расчет_снизу_вверх">
                <anchor moveWithCells="1" sizeWithCells="1">
                  <from>
                    <xdr:col>22</xdr:col>
                    <xdr:colOff>333375</xdr:colOff>
                    <xdr:row>3</xdr:row>
                    <xdr:rowOff>142875</xdr:rowOff>
                  </from>
                  <to>
                    <xdr:col>27</xdr:col>
                    <xdr:colOff>352425</xdr:colOff>
                    <xdr:row>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Кнопка52_Расчет_сверху_вниз">
                <anchor moveWithCells="1" sizeWithCells="1">
                  <from>
                    <xdr:col>22</xdr:col>
                    <xdr:colOff>352425</xdr:colOff>
                    <xdr:row>7</xdr:row>
                    <xdr:rowOff>114300</xdr:rowOff>
                  </from>
                  <to>
                    <xdr:col>27</xdr:col>
                    <xdr:colOff>381000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Drop Down 3">
              <controlPr defaultSize="0" autoLine="0" autoPict="0">
                <anchor moveWithCells="1">
                  <from>
                    <xdr:col>2</xdr:col>
                    <xdr:colOff>9525</xdr:colOff>
                    <xdr:row>2</xdr:row>
                    <xdr:rowOff>38100</xdr:rowOff>
                  </from>
                  <to>
                    <xdr:col>3</xdr:col>
                    <xdr:colOff>600075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Drop Down 4">
              <controlPr defaultSize="0" autoLine="0" autoPict="0">
                <anchor moveWithCells="1">
                  <from>
                    <xdr:col>6</xdr:col>
                    <xdr:colOff>9525</xdr:colOff>
                    <xdr:row>2</xdr:row>
                    <xdr:rowOff>28575</xdr:rowOff>
                  </from>
                  <to>
                    <xdr:col>9</xdr:col>
                    <xdr:colOff>9525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Drop Down 5">
              <controlPr defaultSize="0" autoLine="0" autoPict="0">
                <anchor mov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14</xdr:col>
                    <xdr:colOff>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109</vt:i4>
      </vt:variant>
    </vt:vector>
  </HeadingPairs>
  <TitlesOfParts>
    <vt:vector size="113" baseType="lpstr">
      <vt:lpstr>Унифлок</vt:lpstr>
      <vt:lpstr>PVT</vt:lpstr>
      <vt:lpstr>Конструкция фонтан</vt:lpstr>
      <vt:lpstr>Фонтан_расчет</vt:lpstr>
      <vt:lpstr>betta_fric_</vt:lpstr>
      <vt:lpstr>betta_grav_</vt:lpstr>
      <vt:lpstr>bo_list1_</vt:lpstr>
      <vt:lpstr>bo_list2_</vt:lpstr>
      <vt:lpstr>bo_list3_</vt:lpstr>
      <vt:lpstr>PVT!Bob_m3m3_</vt:lpstr>
      <vt:lpstr>correlation_MF_fontan_</vt:lpstr>
      <vt:lpstr>correlation_PVT_fontan_</vt:lpstr>
      <vt:lpstr>correlation_T_fontan_</vt:lpstr>
      <vt:lpstr>dcas_arr_mm_</vt:lpstr>
      <vt:lpstr>dcas_mm_</vt:lpstr>
      <vt:lpstr>dcas_out_mm_</vt:lpstr>
      <vt:lpstr>dchoke_mm_</vt:lpstr>
      <vt:lpstr>dtub_arr_mm_</vt:lpstr>
      <vt:lpstr>dtub_mm_</vt:lpstr>
      <vt:lpstr>dtub_out_mm_</vt:lpstr>
      <vt:lpstr>PVT!gamma_gas_</vt:lpstr>
      <vt:lpstr>gamma_gas_diff_total_</vt:lpstr>
      <vt:lpstr>gamma_gas_new_</vt:lpstr>
      <vt:lpstr>PVT!gamma_oil_</vt:lpstr>
      <vt:lpstr>gamma_oil_new_</vt:lpstr>
      <vt:lpstr>PVT!gamma_w_</vt:lpstr>
      <vt:lpstr>gammas</vt:lpstr>
      <vt:lpstr>gasfrac_list1_</vt:lpstr>
      <vt:lpstr>gasfrac_list2_</vt:lpstr>
      <vt:lpstr>gasfrac_list3_</vt:lpstr>
      <vt:lpstr>Hlout_</vt:lpstr>
      <vt:lpstr>Hlout_hmes_m_</vt:lpstr>
      <vt:lpstr>hmes_dcas_m_</vt:lpstr>
      <vt:lpstr>hmes_dcas_out_m_</vt:lpstr>
      <vt:lpstr>hmes_dtub_m_</vt:lpstr>
      <vt:lpstr>hmes_dtub_out_m_</vt:lpstr>
      <vt:lpstr>hmes_incl_m_</vt:lpstr>
      <vt:lpstr>hmes_incl_out_m_</vt:lpstr>
      <vt:lpstr>Hmes_mes_m_</vt:lpstr>
      <vt:lpstr>hmes_out_</vt:lpstr>
      <vt:lpstr>hmes_tamb_m_</vt:lpstr>
      <vt:lpstr>Фонтан_расчет!hmes_tamb_out_m_</vt:lpstr>
      <vt:lpstr>hmes_tamb_out_m_</vt:lpstr>
      <vt:lpstr>Hout_</vt:lpstr>
      <vt:lpstr>Hperf_m_</vt:lpstr>
      <vt:lpstr>Htub_m_</vt:lpstr>
      <vt:lpstr>hvert_incl_m_</vt:lpstr>
      <vt:lpstr>hvert_incl_out_m_</vt:lpstr>
      <vt:lpstr>Фонтан_расчет!hvert_tamb_out_m_</vt:lpstr>
      <vt:lpstr>HydrCorr_</vt:lpstr>
      <vt:lpstr>HydrCorr_selector_</vt:lpstr>
      <vt:lpstr>PVT!Ksep_</vt:lpstr>
      <vt:lpstr>PVT!mu_cP_</vt:lpstr>
      <vt:lpstr>muo_list1_</vt:lpstr>
      <vt:lpstr>muo_list2_</vt:lpstr>
      <vt:lpstr>muo_list3_</vt:lpstr>
      <vt:lpstr>PVT!P_atma_</vt:lpstr>
      <vt:lpstr>P_mes_atma_</vt:lpstr>
      <vt:lpstr>PVT!Pb_atma_</vt:lpstr>
      <vt:lpstr>Pb_diff_</vt:lpstr>
      <vt:lpstr>Pbuf_atma_</vt:lpstr>
      <vt:lpstr>Pbuf_out_atma_</vt:lpstr>
      <vt:lpstr>Plin_mes_atma_</vt:lpstr>
      <vt:lpstr>Pline_atma_</vt:lpstr>
      <vt:lpstr>Pline_out_atma_</vt:lpstr>
      <vt:lpstr>pmes_out_</vt:lpstr>
      <vt:lpstr>Pout_</vt:lpstr>
      <vt:lpstr>Pout_atma_</vt:lpstr>
      <vt:lpstr>Pout_hmes_m_</vt:lpstr>
      <vt:lpstr>press_list0_</vt:lpstr>
      <vt:lpstr>press_list1_</vt:lpstr>
      <vt:lpstr>PVT!Psc_atma_</vt:lpstr>
      <vt:lpstr>PVT!Psep_atma_</vt:lpstr>
      <vt:lpstr>PVT!PVT_correlation_</vt:lpstr>
      <vt:lpstr>PVT_selector_</vt:lpstr>
      <vt:lpstr>Pwf_atma_</vt:lpstr>
      <vt:lpstr>Pwf_out_atma_</vt:lpstr>
      <vt:lpstr>PVT!Ql_scm3day_</vt:lpstr>
      <vt:lpstr>Фонтан_расчет!Ql_scm3day_</vt:lpstr>
      <vt:lpstr>PVT!Qo_sctday_</vt:lpstr>
      <vt:lpstr>rhoo_list1_</vt:lpstr>
      <vt:lpstr>rhoo_list2_</vt:lpstr>
      <vt:lpstr>rhoo_list3_</vt:lpstr>
      <vt:lpstr>PVT!Rp_m3m3_</vt:lpstr>
      <vt:lpstr>Фонтан_расчет!Rp_m3m3_</vt:lpstr>
      <vt:lpstr>PVT!Rp_tm3_</vt:lpstr>
      <vt:lpstr>rs_list1_</vt:lpstr>
      <vt:lpstr>rs_list2_</vt:lpstr>
      <vt:lpstr>rs_list3_</vt:lpstr>
      <vt:lpstr>PVT!Rsb_m3m3_</vt:lpstr>
      <vt:lpstr>PVT!T_C_</vt:lpstr>
      <vt:lpstr>T_label_</vt:lpstr>
      <vt:lpstr>T_mes_C_</vt:lpstr>
      <vt:lpstr>tamb_C_</vt:lpstr>
      <vt:lpstr>Фонтан_расчет!tamb_out_C_</vt:lpstr>
      <vt:lpstr>tamb_out_C_</vt:lpstr>
      <vt:lpstr>Tbh_c_</vt:lpstr>
      <vt:lpstr>Tbuf_out_C_</vt:lpstr>
      <vt:lpstr>Tlin_mes_C_</vt:lpstr>
      <vt:lpstr>Tline_out_C_</vt:lpstr>
      <vt:lpstr>tmes_out_</vt:lpstr>
      <vt:lpstr>Tout_C_</vt:lpstr>
      <vt:lpstr>Tout_hmes_m_</vt:lpstr>
      <vt:lpstr>PVT!Tres_C_</vt:lpstr>
      <vt:lpstr>PVT!Tsc_C_</vt:lpstr>
      <vt:lpstr>PVT!Tsep_C_</vt:lpstr>
      <vt:lpstr>Twf_out_C_</vt:lpstr>
      <vt:lpstr>Twh_C_</vt:lpstr>
      <vt:lpstr>udl_out_m_</vt:lpstr>
      <vt:lpstr>PVT!wc_perc_</vt:lpstr>
      <vt:lpstr>Фонтан_расчет!wc_perc_</vt:lpstr>
      <vt:lpstr>версия_</vt:lpstr>
      <vt:lpstr>версия_номер_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Ринат Хабибуллин</dc:creator>
  <cp:lastModifiedBy>Ринат Хабибуллин</cp:lastModifiedBy>
  <dcterms:created xsi:type="dcterms:W3CDTF">2018-04-24T09:42:46Z</dcterms:created>
  <dcterms:modified xsi:type="dcterms:W3CDTF">2018-06-25T10:43:10Z</dcterms:modified>
</cp:coreProperties>
</file>