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C:\Users\Ринат\YandexDisk\Teaching\2015 МД ЗН\"/>
    </mc:Choice>
  </mc:AlternateContent>
  <bookViews>
    <workbookView xWindow="0" yWindow="0" windowWidth="24000" windowHeight="14235" activeTab="1"/>
  </bookViews>
  <sheets>
    <sheet name="Упражнение 1" sheetId="1" r:id="rId1"/>
    <sheet name="Упражнение 2" sheetId="5"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 i="5" l="1"/>
  <c r="C16" i="1"/>
</calcChain>
</file>

<file path=xl/sharedStrings.xml><?xml version="1.0" encoding="utf-8"?>
<sst xmlns="http://schemas.openxmlformats.org/spreadsheetml/2006/main" count="105" uniqueCount="44">
  <si>
    <t>Упражнения к учебному курсу "Механизированная добыча нефти"</t>
  </si>
  <si>
    <t>Упражнение</t>
  </si>
  <si>
    <t>Описание</t>
  </si>
  <si>
    <t>атм</t>
  </si>
  <si>
    <t>%</t>
  </si>
  <si>
    <t>м3/сут</t>
  </si>
  <si>
    <t>Вариант 2</t>
  </si>
  <si>
    <t>Забойное давление</t>
  </si>
  <si>
    <t>Вариант 3</t>
  </si>
  <si>
    <t>м</t>
  </si>
  <si>
    <t>Расчет распределения давления в стволе фонтанирующей скважины</t>
  </si>
  <si>
    <t>Режим работы</t>
  </si>
  <si>
    <t>Qж</t>
  </si>
  <si>
    <t>Qн</t>
  </si>
  <si>
    <t>т/сут</t>
  </si>
  <si>
    <t>Обводнен</t>
  </si>
  <si>
    <t>Физ-хим. Свойства</t>
  </si>
  <si>
    <t>пл-ть нефти</t>
  </si>
  <si>
    <t>г/см3</t>
  </si>
  <si>
    <t>пл-ть воды</t>
  </si>
  <si>
    <t>пл-ть газа удел.</t>
  </si>
  <si>
    <t>(по воздуху)</t>
  </si>
  <si>
    <t>ГФ</t>
  </si>
  <si>
    <t>м3/т</t>
  </si>
  <si>
    <t>Рнас</t>
  </si>
  <si>
    <t>Туст</t>
  </si>
  <si>
    <t>град С</t>
  </si>
  <si>
    <t>Тзаб</t>
  </si>
  <si>
    <t>Конструкция скважины</t>
  </si>
  <si>
    <t>Нсп</t>
  </si>
  <si>
    <t>Dнкт (внутр)</t>
  </si>
  <si>
    <t>мм</t>
  </si>
  <si>
    <t>Шерохов. относит</t>
  </si>
  <si>
    <t>доли</t>
  </si>
  <si>
    <t xml:space="preserve">Используя различные расчетный модуль для распределения давления в стволе скважины рассчитать 
 1. Забойное давление по заданному буферному давлению 
 2. Буферное давление при заданному забойном давлении на скважине 
 3. Оценить возможные параметры работы скважины если известно и буферное и забойные давления </t>
  </si>
  <si>
    <t>Задача 1</t>
  </si>
  <si>
    <t>Буферное давление</t>
  </si>
  <si>
    <t xml:space="preserve">Вариант 1 </t>
  </si>
  <si>
    <t>Задача 2</t>
  </si>
  <si>
    <t>Построение кривой лифта</t>
  </si>
  <si>
    <t>Используя различные расчетный модуль для распределения давления в стволе скважины рассчитать 
 1. расчитать кривую лифта для скважины (зависимость забойного давления от дебита) для различных значений буферного давления
2. Выполните тот же расчет при условии заданного линейного давления на скважин и заданного диаметра штуцера</t>
  </si>
  <si>
    <t>Дебит</t>
  </si>
  <si>
    <t>линейное давление</t>
  </si>
  <si>
    <t>Диаметр штуцера, мм</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</si>
</sst>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 _₽_-;\-* #,##0.00\ _₽_-;_-* &quot;-&quot;??\ _₽_-;_-@_-"/>
    <numFmt numFmtId="165" formatCode="0.000"/>
    <numFmt numFmtId="166" formatCode="0.0"/>
    <numFmt numFmtId="167" formatCode="0.0000"/>
  </numFmts>
  <fonts count="6" x14ac:knownFonts="1">
    <font>
      <sz val="11"/>
      <color theme="1"/>
      <name val="Calibri"/>
      <family val="2"/>
      <charset val="204"/>
      <scheme val="minor"/>
    </font>
    <font>
      <b/>
      <sz val="11"/>
      <color theme="1"/>
      <name val="Calibri"/>
      <family val="2"/>
      <charset val="204"/>
      <scheme val="minor"/>
    </font>
    <font>
      <sz val="11"/>
      <color theme="1"/>
      <name val="Calibri"/>
      <family val="2"/>
      <charset val="204"/>
      <scheme val="minor"/>
    </font>
    <font>
      <b/>
      <sz val="10"/>
      <name val="Arial Cyr"/>
      <charset val="204"/>
    </font>
    <font>
      <sz val="10"/>
      <name val="Arial"/>
      <family val="2"/>
      <charset val="204"/>
    </font>
    <font>
      <sz val="10"/>
      <name val="Arial Cyr"/>
      <charset val="204"/>
    </font>
  </fonts>
  <fills count="8">
    <fill>
      <patternFill patternType="none"/>
    </fill>
    <fill>
      <patternFill patternType="gray125"/>
    </fill>
    <fill>
      <patternFill patternType="solid">
        <fgColor theme="6"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15"/>
        <bgColor indexed="64"/>
      </patternFill>
    </fill>
    <fill>
      <patternFill patternType="solid">
        <fgColor indexed="22"/>
        <bgColor indexed="64"/>
      </patternFill>
    </fill>
    <fill>
      <patternFill patternType="solid">
        <fgColor indexed="43"/>
        <bgColor indexed="64"/>
      </patternFill>
    </fill>
  </fills>
  <borders count="1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s>
  <cellStyleXfs count="2">
    <xf numFmtId="0" fontId="0" fillId="0" borderId="0"/>
    <xf numFmtId="43" fontId="2" fillId="0" borderId="0" applyFont="0" applyFill="0" applyBorder="0" applyAlignment="0" applyProtection="0"/>
  </cellStyleXfs>
  <cellXfs count="32">
    <xf numFmtId="0" fontId="0" fillId="0" borderId="0" xfId="0"/>
    <xf numFmtId="0" fontId="1" fillId="0" borderId="0" xfId="0" applyFont="1"/>
    <xf numFmtId="0" fontId="0" fillId="2" borderId="0" xfId="0" applyFill="1"/>
    <xf numFmtId="0" fontId="0" fillId="3" borderId="0" xfId="0" applyFill="1"/>
    <xf numFmtId="0" fontId="0" fillId="4" borderId="0" xfId="0" applyFill="1"/>
    <xf numFmtId="0" fontId="0" fillId="0" borderId="0" xfId="0" applyAlignment="1">
      <alignment horizontal="center"/>
    </xf>
    <xf numFmtId="0" fontId="0" fillId="3" borderId="0" xfId="0" applyFill="1" applyAlignment="1">
      <alignment horizontal="left" vertical="top" wrapText="1"/>
    </xf>
    <xf numFmtId="0" fontId="3" fillId="5" borderId="1" xfId="0" applyFont="1" applyFill="1" applyBorder="1" applyAlignment="1" applyProtection="1">
      <alignment horizontal="center"/>
    </xf>
    <xf numFmtId="0" fontId="3" fillId="5" borderId="2" xfId="0" applyFont="1" applyFill="1" applyBorder="1" applyAlignment="1" applyProtection="1">
      <alignment horizontal="center"/>
    </xf>
    <xf numFmtId="0" fontId="3" fillId="5" borderId="3" xfId="0" applyFont="1" applyFill="1" applyBorder="1" applyAlignment="1" applyProtection="1">
      <alignment horizontal="center"/>
    </xf>
    <xf numFmtId="0" fontId="3" fillId="6" borderId="4" xfId="0" applyFont="1" applyFill="1" applyBorder="1" applyProtection="1"/>
    <xf numFmtId="0" fontId="4" fillId="7" borderId="5" xfId="0" applyFont="1" applyFill="1" applyBorder="1" applyAlignment="1" applyProtection="1">
      <alignment horizontal="center" vertical="top"/>
      <protection locked="0"/>
    </xf>
    <xf numFmtId="0" fontId="5" fillId="6" borderId="6" xfId="0" applyFont="1" applyFill="1" applyBorder="1" applyAlignment="1" applyProtection="1">
      <alignment horizontal="center"/>
    </xf>
    <xf numFmtId="2" fontId="4" fillId="6" borderId="7" xfId="0" applyNumberFormat="1" applyFont="1" applyFill="1" applyBorder="1" applyAlignment="1" applyProtection="1">
      <alignment horizontal="center"/>
    </xf>
    <xf numFmtId="1" fontId="4" fillId="7" borderId="7" xfId="1" applyNumberFormat="1" applyFont="1" applyFill="1" applyBorder="1" applyAlignment="1" applyProtection="1">
      <alignment horizontal="center" vertical="top"/>
      <protection locked="0"/>
    </xf>
    <xf numFmtId="0" fontId="3" fillId="6" borderId="8" xfId="0" applyFont="1" applyFill="1" applyBorder="1" applyProtection="1"/>
    <xf numFmtId="0" fontId="5" fillId="6" borderId="10" xfId="0" applyFont="1" applyFill="1" applyBorder="1" applyAlignment="1" applyProtection="1">
      <alignment horizontal="center"/>
    </xf>
    <xf numFmtId="0" fontId="3" fillId="6" borderId="11" xfId="0" applyFont="1" applyFill="1" applyBorder="1" applyProtection="1"/>
    <xf numFmtId="165" fontId="4" fillId="7" borderId="5" xfId="0" applyNumberFormat="1" applyFont="1" applyFill="1" applyBorder="1" applyAlignment="1" applyProtection="1">
      <alignment horizontal="center" vertical="top"/>
      <protection locked="0"/>
    </xf>
    <xf numFmtId="0" fontId="5" fillId="6" borderId="12" xfId="0" applyFont="1" applyFill="1" applyBorder="1" applyAlignment="1" applyProtection="1">
      <alignment horizontal="center"/>
    </xf>
    <xf numFmtId="165" fontId="4" fillId="7" borderId="5" xfId="0" applyNumberFormat="1" applyFont="1" applyFill="1" applyBorder="1" applyAlignment="1" applyProtection="1">
      <alignment horizontal="center"/>
      <protection locked="0"/>
    </xf>
    <xf numFmtId="1" fontId="4" fillId="7" borderId="5" xfId="0" applyNumberFormat="1" applyFont="1" applyFill="1" applyBorder="1" applyAlignment="1" applyProtection="1">
      <alignment horizontal="center"/>
      <protection locked="0"/>
    </xf>
    <xf numFmtId="166" fontId="4" fillId="7" borderId="5" xfId="0" applyNumberFormat="1" applyFont="1" applyFill="1" applyBorder="1" applyAlignment="1" applyProtection="1">
      <alignment horizontal="center"/>
      <protection locked="0"/>
    </xf>
    <xf numFmtId="0" fontId="3" fillId="6" borderId="13" xfId="0" applyFont="1" applyFill="1" applyBorder="1" applyProtection="1"/>
    <xf numFmtId="1" fontId="4" fillId="7" borderId="14" xfId="0" applyNumberFormat="1" applyFont="1" applyFill="1" applyBorder="1" applyAlignment="1" applyProtection="1">
      <alignment horizontal="center"/>
      <protection locked="0"/>
    </xf>
    <xf numFmtId="0" fontId="5" fillId="6" borderId="15" xfId="0" applyFont="1" applyFill="1" applyBorder="1" applyAlignment="1" applyProtection="1">
      <alignment horizontal="center"/>
    </xf>
    <xf numFmtId="1" fontId="4" fillId="7" borderId="16" xfId="0" applyNumberFormat="1" applyFont="1" applyFill="1" applyBorder="1" applyAlignment="1" applyProtection="1">
      <alignment horizontal="center" vertical="top"/>
      <protection locked="0"/>
    </xf>
    <xf numFmtId="0" fontId="4" fillId="7" borderId="5" xfId="0" applyNumberFormat="1" applyFont="1" applyFill="1" applyBorder="1" applyAlignment="1" applyProtection="1">
      <alignment horizontal="center"/>
      <protection locked="0"/>
    </xf>
    <xf numFmtId="167" fontId="4" fillId="7" borderId="9" xfId="0" applyNumberFormat="1" applyFont="1" applyFill="1" applyBorder="1" applyAlignment="1" applyProtection="1">
      <alignment horizontal="center" vertical="top"/>
      <protection locked="0"/>
    </xf>
    <xf numFmtId="0" fontId="3" fillId="6" borderId="0" xfId="0" applyFont="1" applyFill="1" applyBorder="1" applyProtection="1"/>
    <xf numFmtId="0" fontId="0" fillId="3" borderId="0" xfId="0" applyFill="1" applyAlignment="1">
      <alignment horizontal="center"/>
    </xf>
    <xf numFmtId="0" fontId="0" fillId="4" borderId="0" xfId="0" applyFill="1" applyAlignment="1">
      <alignment horizontal="center"/>
    </xf>
  </cellXfs>
  <cellStyles count="2">
    <cellStyle name="Обычный" xfId="0" builtinId="0"/>
    <cellStyle name="Финансовый" xfId="1" builtinId="3"/>
  </cellStyles>
  <dxfs count="19">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color auto="1"/>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Кривая лифта</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smoothMarker"/>
        <c:varyColors val="0"/>
        <c:ser>
          <c:idx val="0"/>
          <c:order val="0"/>
          <c:tx>
            <c:strRef>
              <c:f>'Упражнение 2'!$C$38</c:f>
              <c:strCache>
                <c:ptCount val="1"/>
                <c:pt idx="0">
                  <c:v>Вариант 1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'Упражнение 2'!$B$39:$B$43</c:f>
              <c:numCache>
                <c:formatCode>General</c:formatCode>
                <c:ptCount val="5"/>
                <c:pt idx="0">
                  <c:v>1</c:v>
                </c:pt>
                <c:pt idx="1">
                  <c:v>10</c:v>
                </c:pt>
                <c:pt idx="2">
                  <c:v>25</c:v>
                </c:pt>
                <c:pt idx="3">
                  <c:v>50</c:v>
                </c:pt>
                <c:pt idx="4">
                  <c:v>100</c:v>
                </c:pt>
              </c:numCache>
            </c:numRef>
          </c:xVal>
          <c:yVal>
            <c:numRef>
              <c:f>'Упражнение 2'!$C$39:$C$43</c:f>
              <c:numCache>
                <c:formatCode>General</c:formatCode>
                <c:ptCount val="5"/>
              </c:numCache>
            </c:numRef>
          </c:yVal>
          <c:smooth val="1"/>
        </c:ser>
        <c:ser>
          <c:idx val="1"/>
          <c:order val="1"/>
          <c:tx>
            <c:strRef>
              <c:f>'Упражнение 2'!$D$38</c:f>
              <c:strCache>
                <c:ptCount val="1"/>
                <c:pt idx="0">
                  <c:v>Вариант 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'Упражнение 2'!$B$39:$B$43</c:f>
              <c:numCache>
                <c:formatCode>General</c:formatCode>
                <c:ptCount val="5"/>
                <c:pt idx="0">
                  <c:v>1</c:v>
                </c:pt>
                <c:pt idx="1">
                  <c:v>10</c:v>
                </c:pt>
                <c:pt idx="2">
                  <c:v>25</c:v>
                </c:pt>
                <c:pt idx="3">
                  <c:v>50</c:v>
                </c:pt>
                <c:pt idx="4">
                  <c:v>100</c:v>
                </c:pt>
              </c:numCache>
            </c:numRef>
          </c:xVal>
          <c:yVal>
            <c:numRef>
              <c:f>'Упражнение 2'!$D$39:$D$43</c:f>
              <c:numCache>
                <c:formatCode>General</c:formatCode>
                <c:ptCount val="5"/>
              </c:numCache>
            </c:numRef>
          </c:yVal>
          <c:smooth val="1"/>
        </c:ser>
        <c:ser>
          <c:idx val="2"/>
          <c:order val="2"/>
          <c:tx>
            <c:strRef>
              <c:f>'Упражнение 2'!$E$38</c:f>
              <c:strCache>
                <c:ptCount val="1"/>
                <c:pt idx="0">
                  <c:v>Вариант 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'Упражнение 2'!$B$39:$B$43</c:f>
              <c:numCache>
                <c:formatCode>General</c:formatCode>
                <c:ptCount val="5"/>
                <c:pt idx="0">
                  <c:v>1</c:v>
                </c:pt>
                <c:pt idx="1">
                  <c:v>10</c:v>
                </c:pt>
                <c:pt idx="2">
                  <c:v>25</c:v>
                </c:pt>
                <c:pt idx="3">
                  <c:v>50</c:v>
                </c:pt>
                <c:pt idx="4">
                  <c:v>100</c:v>
                </c:pt>
              </c:numCache>
            </c:numRef>
          </c:xVal>
          <c:yVal>
            <c:numRef>
              <c:f>'Упражнение 2'!$E$39:$E$43</c:f>
              <c:numCache>
                <c:formatCode>General</c:formatCode>
                <c:ptCount val="5"/>
              </c:numCache>
            </c:numRef>
          </c:yVal>
          <c:smooth val="1"/>
        </c:ser>
        <c:dLbls>
          <c:showLegendKey val="0"/>
          <c:showVal val="0"/>
          <c:showCatName val="0"/>
          <c:showSerName val="0"/>
          <c:showPercent val="0"/>
          <c:showBubbleSize val="0"/>
        </c:dLbls>
        <c:axId val="423349312"/>
        <c:axId val="345831200"/>
      </c:scatterChart>
      <c:valAx>
        <c:axId val="4233493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45831200"/>
        <c:crosses val="autoZero"/>
        <c:crossBetween val="midCat"/>
      </c:valAx>
      <c:valAx>
        <c:axId val="345831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2334931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Кривая лифта</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smoothMarker"/>
        <c:varyColors val="0"/>
        <c:ser>
          <c:idx val="0"/>
          <c:order val="0"/>
          <c:tx>
            <c:strRef>
              <c:f>'Упражнение 2'!$C$38</c:f>
              <c:strCache>
                <c:ptCount val="1"/>
                <c:pt idx="0">
                  <c:v>Вариант 1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'Упражнение 2'!$B$61:$B$65</c:f>
              <c:numCache>
                <c:formatCode>General</c:formatCode>
                <c:ptCount val="5"/>
                <c:pt idx="0">
                  <c:v>1</c:v>
                </c:pt>
                <c:pt idx="1">
                  <c:v>10</c:v>
                </c:pt>
                <c:pt idx="2">
                  <c:v>25</c:v>
                </c:pt>
                <c:pt idx="3">
                  <c:v>50</c:v>
                </c:pt>
                <c:pt idx="4">
                  <c:v>100</c:v>
                </c:pt>
              </c:numCache>
            </c:numRef>
          </c:xVal>
          <c:yVal>
            <c:numRef>
              <c:f>'Упражнение 2'!$C$61:$C$65</c:f>
              <c:numCache>
                <c:formatCode>General</c:formatCode>
                <c:ptCount val="5"/>
              </c:numCache>
            </c:numRef>
          </c:yVal>
          <c:smooth val="1"/>
        </c:ser>
        <c:ser>
          <c:idx val="1"/>
          <c:order val="1"/>
          <c:tx>
            <c:strRef>
              <c:f>'Упражнение 2'!$D$38</c:f>
              <c:strCache>
                <c:ptCount val="1"/>
                <c:pt idx="0">
                  <c:v>Вариант 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'Упражнение 2'!$B$61:$B$65</c:f>
              <c:numCache>
                <c:formatCode>General</c:formatCode>
                <c:ptCount val="5"/>
                <c:pt idx="0">
                  <c:v>1</c:v>
                </c:pt>
                <c:pt idx="1">
                  <c:v>10</c:v>
                </c:pt>
                <c:pt idx="2">
                  <c:v>25</c:v>
                </c:pt>
                <c:pt idx="3">
                  <c:v>50</c:v>
                </c:pt>
                <c:pt idx="4">
                  <c:v>100</c:v>
                </c:pt>
              </c:numCache>
            </c:numRef>
          </c:xVal>
          <c:yVal>
            <c:numRef>
              <c:f>'Упражнение 2'!$D$61:$D$65</c:f>
              <c:numCache>
                <c:formatCode>General</c:formatCode>
                <c:ptCount val="5"/>
              </c:numCache>
            </c:numRef>
          </c:yVal>
          <c:smooth val="1"/>
        </c:ser>
        <c:ser>
          <c:idx val="2"/>
          <c:order val="2"/>
          <c:tx>
            <c:strRef>
              <c:f>'Упражнение 2'!$E$38</c:f>
              <c:strCache>
                <c:ptCount val="1"/>
                <c:pt idx="0">
                  <c:v>Вариант 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'Упражнение 2'!$B$61:$B$65</c:f>
              <c:numCache>
                <c:formatCode>General</c:formatCode>
                <c:ptCount val="5"/>
                <c:pt idx="0">
                  <c:v>1</c:v>
                </c:pt>
                <c:pt idx="1">
                  <c:v>10</c:v>
                </c:pt>
                <c:pt idx="2">
                  <c:v>25</c:v>
                </c:pt>
                <c:pt idx="3">
                  <c:v>50</c:v>
                </c:pt>
                <c:pt idx="4">
                  <c:v>100</c:v>
                </c:pt>
              </c:numCache>
            </c:numRef>
          </c:xVal>
          <c:yVal>
            <c:numRef>
              <c:f>'Упражнение 2'!$E$61:$E$65</c:f>
              <c:numCache>
                <c:formatCode>General</c:formatCode>
                <c:ptCount val="5"/>
              </c:numCache>
            </c:numRef>
          </c:yVal>
          <c:smooth val="1"/>
        </c:ser>
        <c:dLbls>
          <c:showLegendKey val="0"/>
          <c:showVal val="0"/>
          <c:showCatName val="0"/>
          <c:showSerName val="0"/>
          <c:showPercent val="0"/>
          <c:showBubbleSize val="0"/>
        </c:dLbls>
        <c:axId val="423346568"/>
        <c:axId val="423347352"/>
      </c:scatterChart>
      <c:valAx>
        <c:axId val="423346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23347352"/>
        <c:crosses val="autoZero"/>
        <c:crossBetween val="midCat"/>
      </c:valAx>
      <c:valAx>
        <c:axId val="423347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233465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190500</xdr:colOff>
      <xdr:row>52</xdr:row>
      <xdr:rowOff>28575</xdr:rowOff>
    </xdr:from>
    <xdr:to>
      <xdr:col>14</xdr:col>
      <xdr:colOff>561975</xdr:colOff>
      <xdr:row>63</xdr:row>
      <xdr:rowOff>57150</xdr:rowOff>
    </xdr:to>
    <xdr:sp macro="" textlink="">
      <xdr:nvSpPr>
        <xdr:cNvPr id="4" name="TextBox 3"/>
        <xdr:cNvSpPr txBox="1"/>
      </xdr:nvSpPr>
      <xdr:spPr>
        <a:xfrm>
          <a:off x="1057275" y="10001250"/>
          <a:ext cx="9934575" cy="2124075"/>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Вопросы для размышления</a:t>
          </a:r>
        </a:p>
        <a:p>
          <a:endParaRPr lang="ru-RU" sz="1100"/>
        </a:p>
        <a:p>
          <a:r>
            <a:rPr lang="ru-RU" sz="1100"/>
            <a:t>1.</a:t>
          </a:r>
          <a:r>
            <a:rPr lang="ru-RU" sz="1100" baseline="0"/>
            <a:t>  Можно ли зная забойное и устьевое давление в скважине определить дебит скважины? (виртуальный расходомер)</a:t>
          </a:r>
        </a:p>
        <a:p>
          <a:endParaRPr lang="ru-RU" sz="1100" baseline="0"/>
        </a:p>
        <a:p>
          <a:r>
            <a:rPr lang="ru-RU" sz="1100" baseline="0"/>
            <a:t>2. Чем отличается расчет снизу вверх и сверху вниз для простой фонтанирующей скважины? </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95250</xdr:colOff>
      <xdr:row>66</xdr:row>
      <xdr:rowOff>104775</xdr:rowOff>
    </xdr:from>
    <xdr:to>
      <xdr:col>14</xdr:col>
      <xdr:colOff>466725</xdr:colOff>
      <xdr:row>77</xdr:row>
      <xdr:rowOff>133350</xdr:rowOff>
    </xdr:to>
    <xdr:sp macro="" textlink="">
      <xdr:nvSpPr>
        <xdr:cNvPr id="2" name="TextBox 1"/>
        <xdr:cNvSpPr txBox="1"/>
      </xdr:nvSpPr>
      <xdr:spPr>
        <a:xfrm>
          <a:off x="962025" y="12744450"/>
          <a:ext cx="9934575" cy="2124075"/>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Вопросы для размышления</a:t>
          </a:r>
        </a:p>
        <a:p>
          <a:endParaRPr lang="ru-RU" sz="1100"/>
        </a:p>
        <a:p>
          <a:r>
            <a:rPr lang="ru-RU" sz="1100"/>
            <a:t>1.</a:t>
          </a:r>
          <a:r>
            <a:rPr lang="ru-RU" sz="1100" baseline="0"/>
            <a:t>  Будет ли кривая лифта скважины зависеть от продуктивности скважины?</a:t>
          </a:r>
        </a:p>
        <a:p>
          <a:endParaRPr lang="ru-RU" sz="1100" baseline="0"/>
        </a:p>
        <a:p>
          <a:r>
            <a:rPr lang="ru-RU" sz="1100" baseline="0"/>
            <a:t>2. Можно ли перепад давления между буферным и линейным давлением на скважине использовать для оценки дебита скважины? (виртуальный расходомер)</a:t>
          </a:r>
          <a:endParaRPr lang="ru-RU" sz="1100"/>
        </a:p>
      </xdr:txBody>
    </xdr:sp>
    <xdr:clientData/>
  </xdr:twoCellAnchor>
  <xdr:twoCellAnchor>
    <xdr:from>
      <xdr:col>7</xdr:col>
      <xdr:colOff>466725</xdr:colOff>
      <xdr:row>33</xdr:row>
      <xdr:rowOff>176212</xdr:rowOff>
    </xdr:from>
    <xdr:to>
      <xdr:col>15</xdr:col>
      <xdr:colOff>161925</xdr:colOff>
      <xdr:row>48</xdr:row>
      <xdr:rowOff>61912</xdr:rowOff>
    </xdr:to>
    <xdr:graphicFrame macro="">
      <xdr:nvGraphicFramePr>
        <xdr:cNvPr id="3" name="Диаграмма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504825</xdr:colOff>
      <xdr:row>51</xdr:row>
      <xdr:rowOff>0</xdr:rowOff>
    </xdr:from>
    <xdr:to>
      <xdr:col>15</xdr:col>
      <xdr:colOff>200025</xdr:colOff>
      <xdr:row>65</xdr:row>
      <xdr:rowOff>76200</xdr:rowOff>
    </xdr:to>
    <xdr:graphicFrame macro="">
      <xdr:nvGraphicFramePr>
        <xdr:cNvPr id="4" name="Диаграмма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J46"/>
  <sheetViews>
    <sheetView zoomScaleNormal="100" zoomScaleSheetLayoutView="115" workbookViewId="0">
      <selection activeCell="E25" sqref="E25:F25"/>
    </sheetView>
  </sheetViews>
  <sheetFormatPr defaultRowHeight="15" x14ac:dyDescent="0.25"/>
  <cols>
    <col min="1" max="1" width="13" customWidth="1"/>
    <col min="2" max="2" width="24.42578125" customWidth="1"/>
    <col min="3" max="3" width="10.7109375" customWidth="1"/>
    <col min="4" max="6" width="11.7109375" customWidth="1"/>
  </cols>
  <sheetData>
    <row r="1" spans="1:10" x14ac:dyDescent="0.25">
      <c r="A1" s="1" t="s">
        <v>0</v>
      </c>
    </row>
    <row r="3" spans="1:10" x14ac:dyDescent="0.25">
      <c r="A3" s="2" t="s">
        <v>1</v>
      </c>
      <c r="B3" s="3" t="s">
        <v>10</v>
      </c>
      <c r="C3" s="3"/>
      <c r="D3" s="3"/>
      <c r="E3" s="3"/>
      <c r="F3" s="3"/>
      <c r="G3" s="3"/>
      <c r="H3" s="3"/>
      <c r="I3" s="3"/>
      <c r="J3" s="3"/>
    </row>
    <row r="5" spans="1:10" x14ac:dyDescent="0.25">
      <c r="A5" s="4" t="s">
        <v>2</v>
      </c>
      <c r="B5" s="6" t="s">
        <v>34</v>
      </c>
      <c r="C5" s="6"/>
      <c r="D5" s="6"/>
      <c r="E5" s="6"/>
      <c r="F5" s="6"/>
      <c r="G5" s="6"/>
      <c r="H5" s="6"/>
      <c r="I5" s="6"/>
      <c r="J5" s="6"/>
    </row>
    <row r="6" spans="1:10" x14ac:dyDescent="0.25">
      <c r="B6" s="6"/>
      <c r="C6" s="6"/>
      <c r="D6" s="6"/>
      <c r="E6" s="6"/>
      <c r="F6" s="6"/>
      <c r="G6" s="6"/>
      <c r="H6" s="6"/>
      <c r="I6" s="6"/>
      <c r="J6" s="6"/>
    </row>
    <row r="7" spans="1:10" x14ac:dyDescent="0.25">
      <c r="B7" s="6"/>
      <c r="C7" s="6"/>
      <c r="D7" s="6"/>
      <c r="E7" s="6"/>
      <c r="F7" s="6"/>
      <c r="G7" s="6"/>
      <c r="H7" s="6"/>
      <c r="I7" s="6"/>
      <c r="J7" s="6"/>
    </row>
    <row r="8" spans="1:10" x14ac:dyDescent="0.25">
      <c r="B8" s="6"/>
      <c r="C8" s="6"/>
      <c r="D8" s="6"/>
      <c r="E8" s="6"/>
      <c r="F8" s="6"/>
      <c r="G8" s="6"/>
      <c r="H8" s="6"/>
      <c r="I8" s="6"/>
      <c r="J8" s="6"/>
    </row>
    <row r="9" spans="1:10" x14ac:dyDescent="0.25">
      <c r="B9" s="6"/>
      <c r="C9" s="6"/>
      <c r="D9" s="6"/>
      <c r="E9" s="6"/>
      <c r="F9" s="6"/>
      <c r="G9" s="6"/>
      <c r="H9" s="6"/>
      <c r="I9" s="6"/>
      <c r="J9" s="6"/>
    </row>
    <row r="12" spans="1:10" x14ac:dyDescent="0.25">
      <c r="C12" s="5"/>
    </row>
    <row r="13" spans="1:10" ht="15.75" thickBot="1" x14ac:dyDescent="0.3">
      <c r="C13" s="5"/>
    </row>
    <row r="14" spans="1:10" ht="15.75" thickBot="1" x14ac:dyDescent="0.3">
      <c r="B14" s="7" t="s">
        <v>11</v>
      </c>
      <c r="C14" s="8"/>
      <c r="D14" s="9"/>
    </row>
    <row r="15" spans="1:10" x14ac:dyDescent="0.25">
      <c r="B15" s="10" t="s">
        <v>12</v>
      </c>
      <c r="C15" s="11">
        <v>45</v>
      </c>
      <c r="D15" s="12" t="s">
        <v>5</v>
      </c>
    </row>
    <row r="16" spans="1:10" x14ac:dyDescent="0.25">
      <c r="B16" s="10" t="s">
        <v>13</v>
      </c>
      <c r="C16" s="13">
        <f>C15*(1-C17/100)*C19</f>
        <v>36.823500000000003</v>
      </c>
      <c r="D16" s="12" t="s">
        <v>14</v>
      </c>
    </row>
    <row r="17" spans="2:4" ht="15.75" thickBot="1" x14ac:dyDescent="0.3">
      <c r="B17" s="10" t="s">
        <v>15</v>
      </c>
      <c r="C17" s="14">
        <v>2</v>
      </c>
      <c r="D17" s="12" t="s">
        <v>4</v>
      </c>
    </row>
    <row r="18" spans="2:4" ht="15.75" thickBot="1" x14ac:dyDescent="0.3">
      <c r="B18" s="7" t="s">
        <v>16</v>
      </c>
      <c r="C18" s="8"/>
      <c r="D18" s="9"/>
    </row>
    <row r="19" spans="2:4" x14ac:dyDescent="0.25">
      <c r="B19" s="17" t="s">
        <v>17</v>
      </c>
      <c r="C19" s="18">
        <v>0.83499999999999996</v>
      </c>
      <c r="D19" s="19" t="s">
        <v>18</v>
      </c>
    </row>
    <row r="20" spans="2:4" x14ac:dyDescent="0.25">
      <c r="B20" s="10" t="s">
        <v>19</v>
      </c>
      <c r="C20" s="18">
        <v>1</v>
      </c>
      <c r="D20" s="12" t="s">
        <v>18</v>
      </c>
    </row>
    <row r="21" spans="2:4" x14ac:dyDescent="0.25">
      <c r="B21" s="10" t="s">
        <v>20</v>
      </c>
      <c r="C21" s="20">
        <v>0.9</v>
      </c>
      <c r="D21" s="12" t="s">
        <v>21</v>
      </c>
    </row>
    <row r="22" spans="2:4" x14ac:dyDescent="0.25">
      <c r="B22" s="10" t="s">
        <v>22</v>
      </c>
      <c r="C22" s="21">
        <v>50</v>
      </c>
      <c r="D22" s="12" t="s">
        <v>23</v>
      </c>
    </row>
    <row r="23" spans="2:4" x14ac:dyDescent="0.25">
      <c r="B23" s="10" t="s">
        <v>24</v>
      </c>
      <c r="C23" s="22">
        <v>90</v>
      </c>
      <c r="D23" s="12" t="s">
        <v>3</v>
      </c>
    </row>
    <row r="24" spans="2:4" x14ac:dyDescent="0.25">
      <c r="B24" s="23" t="s">
        <v>25</v>
      </c>
      <c r="C24" s="24">
        <v>30</v>
      </c>
      <c r="D24" s="25" t="s">
        <v>26</v>
      </c>
    </row>
    <row r="25" spans="2:4" ht="15.75" thickBot="1" x14ac:dyDescent="0.3">
      <c r="B25" s="23" t="s">
        <v>27</v>
      </c>
      <c r="C25" s="24">
        <v>30</v>
      </c>
      <c r="D25" s="25" t="s">
        <v>26</v>
      </c>
    </row>
    <row r="26" spans="2:4" ht="15.75" thickBot="1" x14ac:dyDescent="0.3">
      <c r="B26" s="7" t="s">
        <v>28</v>
      </c>
      <c r="C26" s="8"/>
      <c r="D26" s="9"/>
    </row>
    <row r="27" spans="2:4" x14ac:dyDescent="0.25">
      <c r="B27" s="17" t="s">
        <v>29</v>
      </c>
      <c r="C27" s="26">
        <v>2900</v>
      </c>
      <c r="D27" s="19" t="s">
        <v>9</v>
      </c>
    </row>
    <row r="28" spans="2:4" x14ac:dyDescent="0.25">
      <c r="B28" s="10" t="s">
        <v>30</v>
      </c>
      <c r="C28" s="27">
        <v>62</v>
      </c>
      <c r="D28" s="12" t="s">
        <v>31</v>
      </c>
    </row>
    <row r="29" spans="2:4" ht="15.75" thickBot="1" x14ac:dyDescent="0.3">
      <c r="B29" s="15" t="s">
        <v>32</v>
      </c>
      <c r="C29" s="28">
        <v>2.0000000000000001E-4</v>
      </c>
      <c r="D29" s="16" t="s">
        <v>33</v>
      </c>
    </row>
    <row r="32" spans="2:4" x14ac:dyDescent="0.25">
      <c r="B32" s="29" t="s">
        <v>35</v>
      </c>
    </row>
    <row r="33" spans="2:5" x14ac:dyDescent="0.25">
      <c r="B33" s="4"/>
      <c r="C33" s="4" t="s">
        <v>37</v>
      </c>
      <c r="D33" s="4" t="s">
        <v>6</v>
      </c>
      <c r="E33" s="4" t="s">
        <v>8</v>
      </c>
    </row>
    <row r="34" spans="2:5" x14ac:dyDescent="0.25">
      <c r="B34" s="4" t="s">
        <v>36</v>
      </c>
      <c r="C34" s="30">
        <v>10</v>
      </c>
      <c r="D34" s="30">
        <v>15</v>
      </c>
      <c r="E34" s="30">
        <v>20</v>
      </c>
    </row>
    <row r="38" spans="2:5" x14ac:dyDescent="0.25">
      <c r="B38" s="29" t="s">
        <v>38</v>
      </c>
    </row>
    <row r="39" spans="2:5" x14ac:dyDescent="0.25">
      <c r="B39" s="4"/>
      <c r="C39" s="4" t="s">
        <v>37</v>
      </c>
      <c r="D39" s="4" t="s">
        <v>6</v>
      </c>
      <c r="E39" s="4" t="s">
        <v>8</v>
      </c>
    </row>
    <row r="40" spans="2:5" x14ac:dyDescent="0.25">
      <c r="B40" s="4" t="s">
        <v>7</v>
      </c>
      <c r="C40" s="30">
        <v>100</v>
      </c>
      <c r="D40" s="30">
        <v>200</v>
      </c>
      <c r="E40" s="30">
        <v>300</v>
      </c>
    </row>
    <row r="43" spans="2:5" x14ac:dyDescent="0.25">
      <c r="B43" s="29" t="s">
        <v>38</v>
      </c>
    </row>
    <row r="44" spans="2:5" x14ac:dyDescent="0.25">
      <c r="B44" s="4"/>
      <c r="C44" s="4" t="s">
        <v>37</v>
      </c>
      <c r="D44" s="4" t="s">
        <v>6</v>
      </c>
      <c r="E44" s="4" t="s">
        <v>8</v>
      </c>
    </row>
    <row r="45" spans="2:5" x14ac:dyDescent="0.25">
      <c r="B45" s="4" t="s">
        <v>7</v>
      </c>
      <c r="C45" s="30">
        <v>170</v>
      </c>
      <c r="D45" s="30">
        <v>180</v>
      </c>
      <c r="E45" s="30">
        <v>190</v>
      </c>
    </row>
    <row r="46" spans="2:5" x14ac:dyDescent="0.25">
      <c r="B46" s="4" t="s">
        <v>36</v>
      </c>
      <c r="C46" s="30">
        <v>15</v>
      </c>
      <c r="D46" s="30">
        <v>15</v>
      </c>
      <c r="E46" s="30">
        <v>15</v>
      </c>
    </row>
  </sheetData>
  <mergeCells count="4">
    <mergeCell ref="B5:J9"/>
    <mergeCell ref="B14:D14"/>
    <mergeCell ref="B18:D18"/>
    <mergeCell ref="B26:D26"/>
  </mergeCells>
  <conditionalFormatting sqref="C29">
    <cfRule type="expression" dxfId="18" priority="7" stopIfTrue="1">
      <formula>OR(#REF!&lt;0.0000001,#REF!&gt;0.01)</formula>
    </cfRule>
  </conditionalFormatting>
  <conditionalFormatting sqref="C28">
    <cfRule type="expression" dxfId="17" priority="2" stopIfTrue="1">
      <formula>OR(#REF!&lt;75,#REF!&gt;300)</formula>
    </cfRule>
  </conditionalFormatting>
  <conditionalFormatting sqref="C19:C20">
    <cfRule type="expression" dxfId="16" priority="1" stopIfTrue="1">
      <formula>OR(#REF!&lt;0.5,#REF!&gt;1.05)</formula>
    </cfRule>
  </conditionalFormatting>
  <conditionalFormatting sqref="C21">
    <cfRule type="expression" dxfId="15" priority="8" stopIfTrue="1">
      <formula>OR(#REF!&lt;0.4,#REF!&gt;1)</formula>
    </cfRule>
  </conditionalFormatting>
  <conditionalFormatting sqref="C23">
    <cfRule type="expression" dxfId="14" priority="3" stopIfTrue="1">
      <formula>OR(#REF!&lt;0,#REF!&gt;300)</formula>
    </cfRule>
  </conditionalFormatting>
  <conditionalFormatting sqref="C24:C25">
    <cfRule type="expression" dxfId="13" priority="4" stopIfTrue="1">
      <formula>OR(#REF!&lt;10,#REF!&gt;200)</formula>
    </cfRule>
  </conditionalFormatting>
  <conditionalFormatting sqref="C22">
    <cfRule type="expression" dxfId="12" priority="6" stopIfTrue="1">
      <formula>OR(#REF!&lt;0,#REF!&gt;5000)</formula>
    </cfRule>
  </conditionalFormatting>
  <conditionalFormatting sqref="C17">
    <cfRule type="expression" dxfId="10" priority="5" stopIfTrue="1">
      <formula>OR(#REF!&lt;0,#REF!&gt;100)</formula>
    </cfRule>
  </conditionalFormatting>
  <conditionalFormatting sqref="C15">
    <cfRule type="expression" dxfId="9" priority="9" stopIfTrue="1">
      <formula>OR(#REF!&lt;=0,#REF!&gt;3000)</formula>
    </cfRule>
  </conditionalFormatting>
  <pageMargins left="0.7" right="0.7" top="0.75" bottom="0.75" header="0.3" footer="0.3"/>
  <pageSetup paperSize="9" scale="4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J65"/>
  <sheetViews>
    <sheetView tabSelected="1" topLeftCell="A43" zoomScaleNormal="100" zoomScaleSheetLayoutView="115" workbookViewId="0">
      <selection activeCell="G58" sqref="G58"/>
    </sheetView>
  </sheetViews>
  <sheetFormatPr defaultRowHeight="15" x14ac:dyDescent="0.25"/>
  <cols>
    <col min="1" max="1" width="13" customWidth="1"/>
    <col min="2" max="2" width="24.42578125" customWidth="1"/>
    <col min="3" max="3" width="10.7109375" customWidth="1"/>
    <col min="4" max="6" width="11.7109375" customWidth="1"/>
  </cols>
  <sheetData>
    <row r="1" spans="1:10" x14ac:dyDescent="0.25">
      <c r="A1" s="1" t="s">
        <v>0</v>
      </c>
    </row>
    <row r="3" spans="1:10" x14ac:dyDescent="0.25">
      <c r="A3" s="2" t="s">
        <v>1</v>
      </c>
      <c r="B3" s="3" t="s">
        <v>39</v>
      </c>
      <c r="C3" s="3"/>
      <c r="D3" s="3"/>
      <c r="E3" s="3"/>
      <c r="F3" s="3"/>
      <c r="G3" s="3"/>
      <c r="H3" s="3"/>
      <c r="I3" s="3"/>
      <c r="J3" s="3"/>
    </row>
    <row r="5" spans="1:10" x14ac:dyDescent="0.25">
      <c r="A5" s="4" t="s">
        <v>2</v>
      </c>
      <c r="B5" s="6" t="s">
        <v>40</v>
      </c>
      <c r="C5" s="6"/>
      <c r="D5" s="6"/>
      <c r="E5" s="6"/>
      <c r="F5" s="6"/>
      <c r="G5" s="6"/>
      <c r="H5" s="6"/>
      <c r="I5" s="6"/>
      <c r="J5" s="6"/>
    </row>
    <row r="6" spans="1:10" x14ac:dyDescent="0.25">
      <c r="B6" s="6"/>
      <c r="C6" s="6"/>
      <c r="D6" s="6"/>
      <c r="E6" s="6"/>
      <c r="F6" s="6"/>
      <c r="G6" s="6"/>
      <c r="H6" s="6"/>
      <c r="I6" s="6"/>
      <c r="J6" s="6"/>
    </row>
    <row r="7" spans="1:10" x14ac:dyDescent="0.25">
      <c r="B7" s="6"/>
      <c r="C7" s="6"/>
      <c r="D7" s="6"/>
      <c r="E7" s="6"/>
      <c r="F7" s="6"/>
      <c r="G7" s="6"/>
      <c r="H7" s="6"/>
      <c r="I7" s="6"/>
      <c r="J7" s="6"/>
    </row>
    <row r="8" spans="1:10" x14ac:dyDescent="0.25">
      <c r="B8" s="6"/>
      <c r="C8" s="6"/>
      <c r="D8" s="6"/>
      <c r="E8" s="6"/>
      <c r="F8" s="6"/>
      <c r="G8" s="6"/>
      <c r="H8" s="6"/>
      <c r="I8" s="6"/>
      <c r="J8" s="6"/>
    </row>
    <row r="9" spans="1:10" x14ac:dyDescent="0.25">
      <c r="B9" s="6"/>
      <c r="C9" s="6"/>
      <c r="D9" s="6"/>
      <c r="E9" s="6"/>
      <c r="F9" s="6"/>
      <c r="G9" s="6"/>
      <c r="H9" s="6"/>
      <c r="I9" s="6"/>
      <c r="J9" s="6"/>
    </row>
    <row r="10" spans="1:10" x14ac:dyDescent="0.25">
      <c r="B10">
        <v>2</v>
      </c>
    </row>
    <row r="12" spans="1:10" x14ac:dyDescent="0.25">
      <c r="C12" s="5"/>
    </row>
    <row r="13" spans="1:10" ht="15.75" thickBot="1" x14ac:dyDescent="0.3">
      <c r="C13" s="5"/>
    </row>
    <row r="14" spans="1:10" ht="15.75" thickBot="1" x14ac:dyDescent="0.3">
      <c r="B14" s="7" t="s">
        <v>11</v>
      </c>
      <c r="C14" s="8"/>
      <c r="D14" s="9"/>
    </row>
    <row r="15" spans="1:10" x14ac:dyDescent="0.25">
      <c r="B15" s="10" t="s">
        <v>12</v>
      </c>
      <c r="C15" s="11">
        <v>45</v>
      </c>
      <c r="D15" s="12" t="s">
        <v>5</v>
      </c>
    </row>
    <row r="16" spans="1:10" x14ac:dyDescent="0.25">
      <c r="B16" s="10" t="s">
        <v>13</v>
      </c>
      <c r="C16" s="13">
        <f>C15*(1-C17/100)*C19</f>
        <v>36.823500000000003</v>
      </c>
      <c r="D16" s="12" t="s">
        <v>14</v>
      </c>
    </row>
    <row r="17" spans="2:4" ht="15.75" thickBot="1" x14ac:dyDescent="0.3">
      <c r="B17" s="10" t="s">
        <v>15</v>
      </c>
      <c r="C17" s="14">
        <v>2</v>
      </c>
      <c r="D17" s="12" t="s">
        <v>4</v>
      </c>
    </row>
    <row r="18" spans="2:4" ht="15.75" thickBot="1" x14ac:dyDescent="0.3">
      <c r="B18" s="7" t="s">
        <v>16</v>
      </c>
      <c r="C18" s="8"/>
      <c r="D18" s="9"/>
    </row>
    <row r="19" spans="2:4" x14ac:dyDescent="0.25">
      <c r="B19" s="17" t="s">
        <v>17</v>
      </c>
      <c r="C19" s="18">
        <v>0.83499999999999996</v>
      </c>
      <c r="D19" s="19" t="s">
        <v>18</v>
      </c>
    </row>
    <row r="20" spans="2:4" x14ac:dyDescent="0.25">
      <c r="B20" s="10" t="s">
        <v>19</v>
      </c>
      <c r="C20" s="18">
        <v>1</v>
      </c>
      <c r="D20" s="12" t="s">
        <v>18</v>
      </c>
    </row>
    <row r="21" spans="2:4" x14ac:dyDescent="0.25">
      <c r="B21" s="10" t="s">
        <v>20</v>
      </c>
      <c r="C21" s="20">
        <v>0.9</v>
      </c>
      <c r="D21" s="12" t="s">
        <v>21</v>
      </c>
    </row>
    <row r="22" spans="2:4" x14ac:dyDescent="0.25">
      <c r="B22" s="10" t="s">
        <v>22</v>
      </c>
      <c r="C22" s="21">
        <v>50</v>
      </c>
      <c r="D22" s="12" t="s">
        <v>23</v>
      </c>
    </row>
    <row r="23" spans="2:4" x14ac:dyDescent="0.25">
      <c r="B23" s="10" t="s">
        <v>24</v>
      </c>
      <c r="C23" s="22">
        <v>90</v>
      </c>
      <c r="D23" s="12" t="s">
        <v>3</v>
      </c>
    </row>
    <row r="24" spans="2:4" x14ac:dyDescent="0.25">
      <c r="B24" s="23" t="s">
        <v>25</v>
      </c>
      <c r="C24" s="24">
        <v>30</v>
      </c>
      <c r="D24" s="25" t="s">
        <v>26</v>
      </c>
    </row>
    <row r="25" spans="2:4" ht="15.75" thickBot="1" x14ac:dyDescent="0.3">
      <c r="B25" s="23" t="s">
        <v>27</v>
      </c>
      <c r="C25" s="24">
        <v>30</v>
      </c>
      <c r="D25" s="25" t="s">
        <v>26</v>
      </c>
    </row>
    <row r="26" spans="2:4" ht="15.75" thickBot="1" x14ac:dyDescent="0.3">
      <c r="B26" s="7" t="s">
        <v>28</v>
      </c>
      <c r="C26" s="8"/>
      <c r="D26" s="9"/>
    </row>
    <row r="27" spans="2:4" x14ac:dyDescent="0.25">
      <c r="B27" s="17" t="s">
        <v>29</v>
      </c>
      <c r="C27" s="26">
        <v>2900</v>
      </c>
      <c r="D27" s="19" t="s">
        <v>9</v>
      </c>
    </row>
    <row r="28" spans="2:4" x14ac:dyDescent="0.25">
      <c r="B28" s="10" t="s">
        <v>30</v>
      </c>
      <c r="C28" s="27">
        <v>62</v>
      </c>
      <c r="D28" s="12" t="s">
        <v>31</v>
      </c>
    </row>
    <row r="29" spans="2:4" ht="15.75" thickBot="1" x14ac:dyDescent="0.3">
      <c r="B29" s="15" t="s">
        <v>32</v>
      </c>
      <c r="C29" s="28">
        <v>2.0000000000000001E-4</v>
      </c>
      <c r="D29" s="16" t="s">
        <v>33</v>
      </c>
    </row>
    <row r="32" spans="2:4" x14ac:dyDescent="0.25">
      <c r="B32" s="29" t="s">
        <v>35</v>
      </c>
    </row>
    <row r="33" spans="2:5" x14ac:dyDescent="0.25">
      <c r="B33" s="4"/>
      <c r="C33" s="4" t="s">
        <v>37</v>
      </c>
      <c r="D33" s="4" t="s">
        <v>6</v>
      </c>
      <c r="E33" s="4" t="s">
        <v>8</v>
      </c>
    </row>
    <row r="34" spans="2:5" x14ac:dyDescent="0.25">
      <c r="B34" s="4" t="s">
        <v>36</v>
      </c>
      <c r="C34" s="30">
        <v>10</v>
      </c>
      <c r="D34" s="30">
        <v>15</v>
      </c>
      <c r="E34" s="30">
        <v>20</v>
      </c>
    </row>
    <row r="37" spans="2:5" x14ac:dyDescent="0.25">
      <c r="C37" t="s">
        <v>7</v>
      </c>
    </row>
    <row r="38" spans="2:5" x14ac:dyDescent="0.25">
      <c r="B38" s="4" t="s">
        <v>41</v>
      </c>
      <c r="C38" s="4" t="s">
        <v>37</v>
      </c>
      <c r="D38" s="4" t="s">
        <v>6</v>
      </c>
      <c r="E38" s="4" t="s">
        <v>8</v>
      </c>
    </row>
    <row r="39" spans="2:5" x14ac:dyDescent="0.25">
      <c r="B39" s="31">
        <v>1</v>
      </c>
      <c r="C39" s="30"/>
      <c r="D39" s="30"/>
      <c r="E39" s="30"/>
    </row>
    <row r="40" spans="2:5" x14ac:dyDescent="0.25">
      <c r="B40" s="31">
        <v>10</v>
      </c>
      <c r="C40" s="30"/>
      <c r="D40" s="30"/>
      <c r="E40" s="30"/>
    </row>
    <row r="41" spans="2:5" x14ac:dyDescent="0.25">
      <c r="B41" s="31">
        <v>25</v>
      </c>
      <c r="C41" s="30"/>
      <c r="D41" s="30"/>
      <c r="E41" s="30"/>
    </row>
    <row r="42" spans="2:5" x14ac:dyDescent="0.25">
      <c r="B42" s="31">
        <v>50</v>
      </c>
      <c r="C42" s="30"/>
      <c r="D42" s="30"/>
      <c r="E42" s="30"/>
    </row>
    <row r="43" spans="2:5" x14ac:dyDescent="0.25">
      <c r="B43" s="31">
        <v>100</v>
      </c>
      <c r="C43" s="30"/>
      <c r="D43" s="30"/>
      <c r="E43" s="30"/>
    </row>
    <row r="51" spans="2:5" x14ac:dyDescent="0.25">
      <c r="B51" s="29" t="s">
        <v>38</v>
      </c>
    </row>
    <row r="52" spans="2:5" x14ac:dyDescent="0.25">
      <c r="B52" s="4"/>
      <c r="C52" s="4" t="s">
        <v>37</v>
      </c>
      <c r="D52" s="4" t="s">
        <v>6</v>
      </c>
      <c r="E52" s="4" t="s">
        <v>8</v>
      </c>
    </row>
    <row r="53" spans="2:5" x14ac:dyDescent="0.25">
      <c r="B53" s="4" t="s">
        <v>42</v>
      </c>
      <c r="C53" s="30">
        <v>10</v>
      </c>
      <c r="D53" s="30">
        <v>15</v>
      </c>
      <c r="E53" s="30">
        <v>20</v>
      </c>
    </row>
    <row r="54" spans="2:5" x14ac:dyDescent="0.25">
      <c r="B54" s="4" t="s">
        <v>43</v>
      </c>
      <c r="C54" s="30">
        <v>5</v>
      </c>
      <c r="D54" s="30">
        <v>5</v>
      </c>
      <c r="E54" s="30">
        <v>5</v>
      </c>
    </row>
    <row r="59" spans="2:5" x14ac:dyDescent="0.25">
      <c r="C59" t="s">
        <v>7</v>
      </c>
    </row>
    <row r="60" spans="2:5" x14ac:dyDescent="0.25">
      <c r="B60" s="4" t="s">
        <v>41</v>
      </c>
      <c r="C60" s="4" t="s">
        <v>37</v>
      </c>
      <c r="D60" s="4" t="s">
        <v>6</v>
      </c>
      <c r="E60" s="4" t="s">
        <v>8</v>
      </c>
    </row>
    <row r="61" spans="2:5" x14ac:dyDescent="0.25">
      <c r="B61" s="31">
        <v>1</v>
      </c>
      <c r="C61" s="30"/>
      <c r="D61" s="30"/>
      <c r="E61" s="30"/>
    </row>
    <row r="62" spans="2:5" x14ac:dyDescent="0.25">
      <c r="B62" s="31">
        <v>10</v>
      </c>
      <c r="C62" s="30"/>
      <c r="D62" s="30"/>
      <c r="E62" s="30"/>
    </row>
    <row r="63" spans="2:5" x14ac:dyDescent="0.25">
      <c r="B63" s="31">
        <v>25</v>
      </c>
      <c r="C63" s="30"/>
      <c r="D63" s="30"/>
      <c r="E63" s="30"/>
    </row>
    <row r="64" spans="2:5" x14ac:dyDescent="0.25">
      <c r="B64" s="31">
        <v>50</v>
      </c>
      <c r="C64" s="30"/>
      <c r="D64" s="30"/>
      <c r="E64" s="30"/>
    </row>
    <row r="65" spans="2:5" x14ac:dyDescent="0.25">
      <c r="B65" s="31">
        <v>100</v>
      </c>
      <c r="C65" s="30"/>
      <c r="D65" s="30"/>
      <c r="E65" s="30"/>
    </row>
  </sheetData>
  <mergeCells count="4">
    <mergeCell ref="B5:J9"/>
    <mergeCell ref="B14:D14"/>
    <mergeCell ref="B18:D18"/>
    <mergeCell ref="B26:D26"/>
  </mergeCells>
  <conditionalFormatting sqref="C29">
    <cfRule type="expression" dxfId="8" priority="7" stopIfTrue="1">
      <formula>OR(#REF!&lt;0.0000001,#REF!&gt;0.01)</formula>
    </cfRule>
  </conditionalFormatting>
  <conditionalFormatting sqref="C28">
    <cfRule type="expression" dxfId="7" priority="2" stopIfTrue="1">
      <formula>OR(#REF!&lt;75,#REF!&gt;300)</formula>
    </cfRule>
  </conditionalFormatting>
  <conditionalFormatting sqref="C19:C20">
    <cfRule type="expression" dxfId="6" priority="1" stopIfTrue="1">
      <formula>OR(#REF!&lt;0.5,#REF!&gt;1.05)</formula>
    </cfRule>
  </conditionalFormatting>
  <conditionalFormatting sqref="C21">
    <cfRule type="expression" dxfId="5" priority="8" stopIfTrue="1">
      <formula>OR(#REF!&lt;0.4,#REF!&gt;1)</formula>
    </cfRule>
  </conditionalFormatting>
  <conditionalFormatting sqref="C23">
    <cfRule type="expression" dxfId="4" priority="3" stopIfTrue="1">
      <formula>OR(#REF!&lt;0,#REF!&gt;300)</formula>
    </cfRule>
  </conditionalFormatting>
  <conditionalFormatting sqref="C24:C25">
    <cfRule type="expression" dxfId="3" priority="4" stopIfTrue="1">
      <formula>OR(#REF!&lt;10,#REF!&gt;200)</formula>
    </cfRule>
  </conditionalFormatting>
  <conditionalFormatting sqref="C22">
    <cfRule type="expression" dxfId="2" priority="6" stopIfTrue="1">
      <formula>OR(#REF!&lt;0,#REF!&gt;5000)</formula>
    </cfRule>
  </conditionalFormatting>
  <conditionalFormatting sqref="C17">
    <cfRule type="expression" dxfId="1" priority="5" stopIfTrue="1">
      <formula>OR(#REF!&lt;0,#REF!&gt;100)</formula>
    </cfRule>
  </conditionalFormatting>
  <conditionalFormatting sqref="C15">
    <cfRule type="expression" dxfId="0" priority="9" stopIfTrue="1">
      <formula>OR(#REF!&lt;=0,#REF!&gt;3000)</formula>
    </cfRule>
  </conditionalFormatting>
  <pageMargins left="0.7" right="0.7" top="0.75" bottom="0.75" header="0.3" footer="0.3"/>
  <pageSetup paperSize="9" scale="4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Упражнение 1</vt:lpstr>
      <vt:lpstr>Упражнение 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Ринат Хабибуллин</dc:creator>
  <cp:lastModifiedBy>Ринат Хабибуллин</cp:lastModifiedBy>
  <cp:lastPrinted>2015-02-09T14:10:52Z</cp:lastPrinted>
  <dcterms:created xsi:type="dcterms:W3CDTF">2015-02-09T13:20:04Z</dcterms:created>
  <dcterms:modified xsi:type="dcterms:W3CDTF">2015-02-16T20:12:27Z</dcterms:modified>
</cp:coreProperties>
</file>