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" hidePivotFieldList="1"/>
  <bookViews>
    <workbookView xWindow="0" yWindow="120" windowWidth="14205" windowHeight="8025" tabRatio="422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definedNames>
    <definedName name="_xlnm._FilterDatabase" localSheetId="1" hidden="1">'База насосов'!$A$3:$O$1267</definedName>
    <definedName name="Bob_" localSheetId="0">Упражнения!$C$13</definedName>
    <definedName name="Dcas_" localSheetId="0">Упражнения!$C$20</definedName>
    <definedName name="Dintake_" localSheetId="0">Упражнения!$C$23</definedName>
    <definedName name="Dtub_" localSheetId="0">Упражнения!$C$22</definedName>
    <definedName name="Dtub_out_" localSheetId="0">Упражнения!$C$21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Упражнения!$C$17</definedName>
    <definedName name="Hpump_" localSheetId="0">Упражнения!$C$19</definedName>
    <definedName name="Kdegr_" localSheetId="0">Упражнения!#REF!</definedName>
    <definedName name="KsepGasSep_" localSheetId="0">Упражнения!#REF!</definedName>
    <definedName name="N_" localSheetId="0">Упражнения!$C$36</definedName>
    <definedName name="NumStage_" localSheetId="0">Упражнения!#REF!</definedName>
    <definedName name="Pb_" localSheetId="0">Упражнения!$C$11</definedName>
    <definedName name="Pbuf_" localSheetId="0">Упражнения!$C$24</definedName>
    <definedName name="Pdis_" localSheetId="0">Упражнения!$C$28</definedName>
    <definedName name="PI_" localSheetId="0">Упражнения!$C$34</definedName>
    <definedName name="PI_1">Упражнения!$B$77</definedName>
    <definedName name="Pintake_" localSheetId="0">Упражнения!$C$25</definedName>
    <definedName name="Pres_" localSheetId="0">Упражнения!$C$33</definedName>
    <definedName name="PumpID_" localSheetId="0">Упражнения!#REF!</definedName>
    <definedName name="Pwf_" localSheetId="0">Упражнения!$C$27</definedName>
    <definedName name="Pwf_1">Упражнения!$B$74</definedName>
    <definedName name="Pwf_test">Упражнения!$C$18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Упражнения!$C$17</definedName>
    <definedName name="Qmax" localSheetId="0">Упражнения!#REF!</definedName>
    <definedName name="Qmax_">Упражнения!$F$73</definedName>
    <definedName name="Qreal_" localSheetId="0">Упражнения!#REF!</definedName>
    <definedName name="Qtest_">Упражнения!$C$39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Упражнения!$C$29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Упражнения!$C$32</definedName>
    <definedName name="Tintake_" localSheetId="0">Упражнения!$C$26</definedName>
    <definedName name="Tres_" localSheetId="0">Упражнения!$C$12</definedName>
    <definedName name="Udl_" localSheetId="0">Упражнения!$C$18</definedName>
    <definedName name="wc_" localSheetId="0">Упражнения!$C$14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45621"/>
</workbook>
</file>

<file path=xl/calcChain.xml><?xml version="1.0" encoding="utf-8"?>
<calcChain xmlns="http://schemas.openxmlformats.org/spreadsheetml/2006/main">
  <c r="E127" i="108" l="1"/>
  <c r="E125" i="108"/>
  <c r="E126" i="108" l="1"/>
  <c r="E128" i="108"/>
  <c r="E129" i="108"/>
  <c r="E130" i="108"/>
  <c r="E131" i="108"/>
  <c r="E132" i="108"/>
  <c r="E133" i="108"/>
  <c r="E134" i="108"/>
  <c r="E135" i="108"/>
  <c r="E136" i="108"/>
  <c r="E137" i="108"/>
  <c r="E138" i="108"/>
  <c r="E139" i="108"/>
  <c r="E140" i="108"/>
  <c r="E141" i="108"/>
  <c r="E142" i="108"/>
  <c r="E143" i="108"/>
  <c r="E144" i="108"/>
  <c r="E99" i="108" l="1"/>
  <c r="D99" i="108"/>
  <c r="C101" i="108"/>
  <c r="C102" i="108" s="1"/>
  <c r="C103" i="108" s="1"/>
  <c r="C104" i="108" s="1"/>
  <c r="C105" i="108" s="1"/>
  <c r="C106" i="108" s="1"/>
  <c r="C107" i="108" s="1"/>
  <c r="C108" i="108" s="1"/>
  <c r="C109" i="108" s="1"/>
  <c r="C110" i="108" s="1"/>
  <c r="C111" i="108" s="1"/>
  <c r="C112" i="108" s="1"/>
  <c r="C113" i="108" s="1"/>
  <c r="C114" i="108" s="1"/>
  <c r="C115" i="108" s="1"/>
  <c r="C116" i="108" s="1"/>
  <c r="C117" i="108" s="1"/>
  <c r="C118" i="108" s="1"/>
  <c r="C119" i="108" s="1"/>
  <c r="C100" i="108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>
  <authors>
    <author>rnt</author>
  </authors>
  <commentList>
    <comment ref="P3" authorId="0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<sst xmlns="http://schemas.openxmlformats.org/spreadsheetml/2006/main" count="2823" uniqueCount="341">
  <si>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</si>
  <si>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</si>
  <si>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</si>
  <si>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</si>
  <si>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</si>
  <si>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</si>
  <si>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</si>
  <si>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</si>
  <si>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</si>
  <si>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</si>
  <si>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</si>
  <si>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</si>
  <si>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</si>
  <si>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</si>
  <si>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</si>
  <si>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</si>
  <si>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</si>
  <si>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</si>
  <si>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</si>
  <si>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</si>
  <si>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</si>
  <si>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</si>
  <si>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</si>
  <si>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</si>
  <si>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</si>
  <si>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</si>
  <si>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</si>
  <si>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</si>
  <si>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</si>
  <si>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</si>
  <si>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</si>
  <si>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</si>
  <si>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</si>
  <si>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</si>
  <si>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</si>
  <si>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</si>
  <si>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</si>
  <si>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</si>
  <si>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</si>
  <si>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</si>
  <si>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</si>
  <si>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</si>
  <si>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</si>
  <si>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</si>
  <si>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</si>
  <si>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</si>
  <si>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</si>
  <si>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</si>
  <si>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</si>
  <si>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</si>
  <si>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</si>
  <si>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</si>
  <si>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</si>
  <si>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</si>
  <si>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</si>
  <si>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</si>
  <si>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</si>
  <si>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</si>
  <si>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</si>
  <si>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</si>
  <si>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</si>
  <si>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</si>
  <si>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</si>
  <si>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</si>
  <si>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</si>
  <si>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</si>
  <si>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</si>
  <si>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</si>
  <si>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</si>
  <si>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</si>
  <si>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</si>
  <si>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</si>
  <si>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</si>
  <si>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</si>
  <si>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</si>
  <si>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</si>
  <si>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</si>
  <si>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</si>
  <si>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</si>
  <si>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</si>
  <si>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</si>
  <si>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</si>
  <si>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</si>
  <si>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</si>
  <si>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</si>
  <si>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</si>
  <si>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</si>
  <si>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</si>
  <si>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</si>
  <si>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</si>
  <si>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</si>
  <si>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</si>
  <si>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</si>
  <si>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</si>
  <si>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</si>
  <si>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</si>
  <si>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</si>
  <si>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</si>
  <si>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</si>
  <si>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</si>
  <si>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</si>
  <si>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</si>
  <si>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</si>
  <si>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</si>
  <si>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</si>
  <si>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</si>
  <si>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</si>
  <si>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</si>
  <si>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</si>
  <si>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</si>
  <si>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</si>
  <si>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</si>
  <si>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</si>
  <si>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</si>
  <si>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</si>
  <si>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</si>
  <si>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</si>
  <si>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</si>
  <si>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</si>
  <si>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</si>
  <si>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</si>
  <si>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</si>
  <si>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</si>
  <si>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</si>
  <si>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</si>
  <si>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</si>
  <si>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</si>
  <si>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</si>
  <si>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</si>
  <si>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</si>
  <si>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</si>
  <si>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</si>
  <si>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</si>
  <si>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</si>
  <si>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</si>
  <si>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</si>
  <si>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</si>
  <si>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</si>
  <si>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</si>
  <si>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</si>
  <si>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</si>
  <si>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</si>
  <si>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</si>
  <si>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</si>
  <si>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</si>
  <si>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</si>
  <si>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</si>
  <si>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</si>
  <si>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</si>
  <si>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</si>
  <si>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</si>
  <si>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</si>
  <si>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</si>
  <si>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</si>
  <si>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</si>
  <si>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</si>
  <si>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</si>
  <si>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</si>
  <si>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</si>
  <si>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</si>
  <si>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</si>
  <si>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</si>
  <si>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</si>
  <si>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</si>
  <si>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</si>
  <si>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</si>
  <si>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</si>
  <si>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</si>
  <si>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</si>
  <si>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</si>
  <si>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</si>
  <si>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</si>
  <si>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</si>
  <si>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</si>
  <si>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</si>
  <si>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</si>
  <si>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</si>
  <si>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</si>
  <si>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</si>
  <si>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</si>
  <si>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</si>
  <si>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</si>
  <si>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</si>
  <si>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</si>
  <si>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</si>
  <si>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</si>
  <si>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</si>
  <si>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</si>
  <si>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</si>
  <si>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</si>
  <si>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</si>
  <si>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</si>
  <si>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</si>
  <si>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</si>
  <si>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</si>
  <si>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</si>
  <si>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</si>
  <si>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</si>
  <si>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</si>
  <si>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</si>
  <si>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</si>
  <si>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</si>
  <si>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</si>
  <si>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</si>
  <si>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</si>
  <si>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</si>
  <si>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</si>
  <si>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</si>
  <si>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</si>
  <si>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</si>
  <si>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</si>
  <si>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</si>
  <si>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</si>
  <si>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</si>
  <si>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</si>
  <si>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</si>
  <si>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</si>
  <si>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</si>
  <si>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</si>
  <si>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</si>
  <si>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</si>
  <si>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</si>
  <si>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</si>
  <si>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</si>
  <si>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</si>
  <si>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</si>
  <si>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</si>
  <si>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</si>
  <si>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</si>
  <si>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</si>
  <si>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</si>
  <si>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</si>
  <si>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</si>
  <si>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</si>
  <si>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</si>
  <si>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</si>
  <si>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</si>
  <si>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</si>
  <si>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</si>
  <si>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</si>
  <si>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</si>
  <si>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</si>
  <si>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</si>
  <si>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</si>
  <si>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</si>
  <si>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</si>
  <si>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</si>
  <si>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</si>
  <si>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</si>
  <si>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</si>
  <si>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</si>
  <si>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</si>
  <si>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</si>
  <si>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</si>
  <si>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</si>
  <si>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</si>
  <si>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</si>
  <si>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</si>
  <si>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</si>
  <si>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</si>
  <si>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</si>
  <si>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</si>
  <si>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</si>
  <si>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</si>
  <si>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</si>
  <si>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</si>
  <si>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</si>
  <si>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</si>
  <si>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</si>
  <si>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</si>
  <si>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</si>
  <si>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</si>
  <si>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</si>
  <si>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</si>
  <si>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</si>
  <si>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</si>
  <si>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</si>
  <si>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</si>
  <si>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</si>
  <si>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</si>
  <si>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</si>
  <si>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</si>
  <si>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</si>
  <si>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</si>
  <si>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</si>
  <si>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</si>
  <si>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</si>
  <si>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</si>
  <si>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</si>
  <si>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</si>
  <si>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</si>
  <si>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</si>
  <si>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</si>
  <si>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</si>
  <si>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</si>
  <si>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</si>
  <si>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</si>
  <si>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</si>
  <si>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N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</si>
  <si>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</si>
  <si>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</si>
  <si>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</si>
  <si>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</si>
  <si>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</si>
  <si>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</si>
  <si>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</si>
  <si>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</si>
  <si>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</si>
  <si>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</si>
  <si>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</si>
  <si>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Объемный коээфициент нефти (при пластовом давлении и температуре)</t>
  </si>
  <si>
    <t>Данные по скважине</t>
  </si>
  <si>
    <t>Глубина измеренная</t>
  </si>
  <si>
    <t>Удлинение</t>
  </si>
  <si>
    <t>Глубина насоса</t>
  </si>
  <si>
    <t>Диаметр э/к внутр</t>
  </si>
  <si>
    <t>Диаметр НКТ внеш</t>
  </si>
  <si>
    <t>Диаметр НКТ внутр</t>
  </si>
  <si>
    <t>Диамет приемной сетки насоса</t>
  </si>
  <si>
    <t>Давление на устье (буферное)</t>
  </si>
  <si>
    <t>Давление на приеме насоса</t>
  </si>
  <si>
    <t>Температура на приеме насоса</t>
  </si>
  <si>
    <t>Давление на забое</t>
  </si>
  <si>
    <t>Давление на выкиде</t>
  </si>
  <si>
    <t>Пласт</t>
  </si>
  <si>
    <t>Темп град</t>
  </si>
  <si>
    <t>Пластовое давление</t>
  </si>
  <si>
    <t>Коэффициет продуктивности</t>
  </si>
  <si>
    <t>м3/сут/атм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</si>
  <si>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</si>
  <si>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</si>
  <si>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</si>
  <si>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</si>
  <si>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</si>
  <si>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</si>
  <si>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</si>
  <si>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</si>
  <si>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</si>
  <si>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</si>
  <si>
    <t>Распределение давления в трубе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</si>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</sst>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38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2" fontId="0" fillId="8" borderId="2" xfId="0" applyNumberForma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</cellXfs>
  <cellStyles count="7">
    <cellStyle name="Iau?iue_AA_1" xfId="1"/>
    <cellStyle name="Гиперссылка" xfId="6" builtinId="8"/>
    <cellStyle name="Обычный" xfId="0" builtinId="0"/>
    <cellStyle name="Обычный 2" xfId="2"/>
    <cellStyle name="Обычный 3" xfId="3"/>
    <cellStyle name="Обычный 3 2" xfId="5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Упражнения!$E$124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Упражнения!$E$125:$E$144</c:f>
              <c:numCache>
                <c:formatCode>0.00</c:formatCode>
                <c:ptCount val="20"/>
                <c:pt idx="0">
                  <c:v>0.1901559853068413</c:v>
                </c:pt>
                <c:pt idx="1">
                  <c:v>0.35668579177538362</c:v>
                </c:pt>
                <c:pt idx="2">
                  <c:v>0.5060448126033279</c:v>
                </c:pt>
                <c:pt idx="3">
                  <c:v>0.64139756243875468</c:v>
                </c:pt>
                <c:pt idx="4">
                  <c:v>0.76416526716808875</c:v>
                </c:pt>
                <c:pt idx="5">
                  <c:v>0.94050047432464368</c:v>
                </c:pt>
                <c:pt idx="6">
                  <c:v>1.1043228879021214</c:v>
                </c:pt>
                <c:pt idx="7">
                  <c:v>1.1451456230862362</c:v>
                </c:pt>
                <c:pt idx="8">
                  <c:v>1.1850608566354168</c:v>
                </c:pt>
                <c:pt idx="9">
                  <c:v>1.2242416569665124</c:v>
                </c:pt>
                <c:pt idx="10">
                  <c:v>1.2628200574457367</c:v>
                </c:pt>
                <c:pt idx="11">
                  <c:v>1.3008995588842254</c:v>
                </c:pt>
                <c:pt idx="12">
                  <c:v>1.3385630303731375</c:v>
                </c:pt>
                <c:pt idx="13">
                  <c:v>1.3758779475146667</c:v>
                </c:pt>
                <c:pt idx="14">
                  <c:v>1.4129000033068735</c:v>
                </c:pt>
                <c:pt idx="15">
                  <c:v>1.4496756785274982</c:v>
                </c:pt>
                <c:pt idx="16">
                  <c:v>1.4862441213376769</c:v>
                </c:pt>
                <c:pt idx="17">
                  <c:v>1.5226385535046063</c:v>
                </c:pt>
                <c:pt idx="18">
                  <c:v>1.5588873433341064</c:v>
                </c:pt>
                <c:pt idx="19">
                  <c:v>1.5950148384201839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0032"/>
        <c:axId val="297060608"/>
      </c:scatterChart>
      <c:valAx>
        <c:axId val="2970600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608"/>
        <c:crosses val="autoZero"/>
        <c:crossBetween val="midCat"/>
      </c:valAx>
      <c:valAx>
        <c:axId val="2970606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Упражнения!$F$98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Упражнения!$F$99:$F$119</c:f>
              <c:numCache>
                <c:formatCode>0.00</c:formatCode>
                <c:ptCount val="21"/>
                <c:pt idx="0">
                  <c:v>1.0552018442401485</c:v>
                </c:pt>
                <c:pt idx="1">
                  <c:v>1.0741686942009063</c:v>
                </c:pt>
                <c:pt idx="2">
                  <c:v>1.0955761651027944</c:v>
                </c:pt>
                <c:pt idx="3">
                  <c:v>1.1194376009248548</c:v>
                </c:pt>
                <c:pt idx="4">
                  <c:v>1.1456893599452511</c:v>
                </c:pt>
                <c:pt idx="5">
                  <c:v>1.1741934054451573</c:v>
                </c:pt>
                <c:pt idx="6">
                  <c:v>1.2059838909325431</c:v>
                </c:pt>
                <c:pt idx="7">
                  <c:v>1.2369350694314121</c:v>
                </c:pt>
                <c:pt idx="8">
                  <c:v>1.2379279454138048</c:v>
                </c:pt>
                <c:pt idx="9">
                  <c:v>1.2392337101555524</c:v>
                </c:pt>
                <c:pt idx="10">
                  <c:v>1.2407666935213961</c:v>
                </c:pt>
                <c:pt idx="11">
                  <c:v>1.2424701146887447</c:v>
                </c:pt>
                <c:pt idx="12">
                  <c:v>1.2443048550616611</c:v>
                </c:pt>
                <c:pt idx="13">
                  <c:v>1.2462430868580081</c:v>
                </c:pt>
                <c:pt idx="14">
                  <c:v>1.2482644730514312</c:v>
                </c:pt>
                <c:pt idx="15">
                  <c:v>1.2503538047500069</c:v>
                </c:pt>
                <c:pt idx="16">
                  <c:v>1.2524994795093924</c:v>
                </c:pt>
                <c:pt idx="17">
                  <c:v>1.2546924910545081</c:v>
                </c:pt>
                <c:pt idx="18">
                  <c:v>1.2569257405906864</c:v>
                </c:pt>
                <c:pt idx="19">
                  <c:v>1.2591935563280237</c:v>
                </c:pt>
                <c:pt idx="20">
                  <c:v>1.2614913513209784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Упражнения!$G$98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Упражнения!$G$99:$G$119</c:f>
              <c:numCache>
                <c:formatCode>0.00</c:formatCode>
                <c:ptCount val="21"/>
                <c:pt idx="0">
                  <c:v>15.818494693333786</c:v>
                </c:pt>
                <c:pt idx="1">
                  <c:v>9.9458523498796332</c:v>
                </c:pt>
                <c:pt idx="2">
                  <c:v>6.6715078926294353</c:v>
                </c:pt>
                <c:pt idx="3">
                  <c:v>4.7196734990465474</c:v>
                </c:pt>
                <c:pt idx="4">
                  <c:v>3.4903307682403755</c:v>
                </c:pt>
                <c:pt idx="5">
                  <c:v>2.6794967849856568</c:v>
                </c:pt>
                <c:pt idx="6">
                  <c:v>2.1133645014450892</c:v>
                </c:pt>
                <c:pt idx="7">
                  <c:v>1.7318756261644206</c:v>
                </c:pt>
                <c:pt idx="8">
                  <c:v>1.6050914650710049</c:v>
                </c:pt>
                <c:pt idx="9">
                  <c:v>1.5021105513180799</c:v>
                </c:pt>
                <c:pt idx="10">
                  <c:v>1.4174305672282501</c:v>
                </c:pt>
                <c:pt idx="11">
                  <c:v>1.3470598937228604</c:v>
                </c:pt>
                <c:pt idx="12">
                  <c:v>1.2880427439369433</c:v>
                </c:pt>
                <c:pt idx="13">
                  <c:v>1.2381499032148984</c:v>
                </c:pt>
                <c:pt idx="14">
                  <c:v>1.1956722576886711</c:v>
                </c:pt>
                <c:pt idx="15">
                  <c:v>1.1592798556810564</c:v>
                </c:pt>
                <c:pt idx="16">
                  <c:v>1.1279237648212477</c:v>
                </c:pt>
                <c:pt idx="17">
                  <c:v>1.1007664876431216</c:v>
                </c:pt>
                <c:pt idx="18">
                  <c:v>1.0771318118357864</c:v>
                </c:pt>
                <c:pt idx="19">
                  <c:v>1.0564681239745004</c:v>
                </c:pt>
                <c:pt idx="20">
                  <c:v>1.0383212032072688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2912"/>
        <c:axId val="297063488"/>
      </c:scatterChart>
      <c:valAx>
        <c:axId val="2970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3488"/>
        <c:crosses val="autoZero"/>
        <c:crossBetween val="midCat"/>
      </c:valAx>
      <c:valAx>
        <c:axId val="2970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Упражнения!$K$98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Упражнения!$K$99:$K$119</c:f>
              <c:numCache>
                <c:formatCode>0.00</c:formatCode>
                <c:ptCount val="21"/>
                <c:pt idx="0">
                  <c:v>23.668170630216011</c:v>
                </c:pt>
                <c:pt idx="1">
                  <c:v>29.814090251183568</c:v>
                </c:pt>
                <c:pt idx="2">
                  <c:v>36.662749504266117</c:v>
                </c:pt>
                <c:pt idx="3">
                  <c:v>44.190712887507104</c:v>
                </c:pt>
                <c:pt idx="4">
                  <c:v>52.351300696184005</c:v>
                </c:pt>
                <c:pt idx="5">
                  <c:v>61.07766130512595</c:v>
                </c:pt>
                <c:pt idx="6">
                  <c:v>70.703504477345433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2928"/>
        <c:axId val="297853504"/>
      </c:scatterChart>
      <c:valAx>
        <c:axId val="2978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3504"/>
        <c:crosses val="autoZero"/>
        <c:crossBetween val="midCat"/>
      </c:valAx>
      <c:valAx>
        <c:axId val="2978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Упражнения!$H$98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Упражнения!$H$99:$H$119</c:f>
              <c:numCache>
                <c:formatCode>0.000</c:formatCode>
                <c:ptCount val="21"/>
                <c:pt idx="0">
                  <c:v>1.0170555879696215E-2</c:v>
                </c:pt>
                <c:pt idx="1">
                  <c:v>1.0440120454721672E-2</c:v>
                </c:pt>
                <c:pt idx="2">
                  <c:v>1.0734336508631965E-2</c:v>
                </c:pt>
                <c:pt idx="3">
                  <c:v>1.1054234221396793E-2</c:v>
                </c:pt>
                <c:pt idx="4">
                  <c:v>1.1400054023900199E-2</c:v>
                </c:pt>
                <c:pt idx="5">
                  <c:v>1.1771195618427294E-2</c:v>
                </c:pt>
                <c:pt idx="6">
                  <c:v>1.2180230730342734E-2</c:v>
                </c:pt>
                <c:pt idx="7">
                  <c:v>1.2641616076226965E-2</c:v>
                </c:pt>
                <c:pt idx="8">
                  <c:v>1.3131513213178372E-2</c:v>
                </c:pt>
                <c:pt idx="9">
                  <c:v>1.3631288011696991E-2</c:v>
                </c:pt>
                <c:pt idx="10">
                  <c:v>1.413822386397557E-2</c:v>
                </c:pt>
                <c:pt idx="11">
                  <c:v>1.4649399516354338E-2</c:v>
                </c:pt>
                <c:pt idx="12">
                  <c:v>1.5161705270677216E-2</c:v>
                </c:pt>
                <c:pt idx="13">
                  <c:v>1.5671920555528615E-2</c:v>
                </c:pt>
                <c:pt idx="14">
                  <c:v>1.6176829253688824E-2</c:v>
                </c:pt>
                <c:pt idx="15">
                  <c:v>1.6673346765223033E-2</c:v>
                </c:pt>
                <c:pt idx="16">
                  <c:v>1.7158636129794375E-2</c:v>
                </c:pt>
                <c:pt idx="17">
                  <c:v>1.7630197475355613E-2</c:v>
                </c:pt>
                <c:pt idx="18">
                  <c:v>1.8085923133391035E-2</c:v>
                </c:pt>
                <c:pt idx="19">
                  <c:v>1.8524117940101382E-2</c:v>
                </c:pt>
                <c:pt idx="20">
                  <c:v>1.8943489354045696E-2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4656"/>
        <c:axId val="297855232"/>
      </c:scatterChart>
      <c:valAx>
        <c:axId val="2978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5232"/>
        <c:crosses val="autoZero"/>
        <c:crossBetween val="midCat"/>
      </c:valAx>
      <c:valAx>
        <c:axId val="2978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Упражнения!$I$98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Упражнения!$I$99:$I$119</c:f>
              <c:numCache>
                <c:formatCode>0.00</c:formatCode>
                <c:ptCount val="21"/>
                <c:pt idx="0">
                  <c:v>839.67239868791899</c:v>
                </c:pt>
                <c:pt idx="1">
                  <c:v>831.13713094947366</c:v>
                </c:pt>
                <c:pt idx="2">
                  <c:v>821.77015313029585</c:v>
                </c:pt>
                <c:pt idx="3">
                  <c:v>811.64775400660506</c:v>
                </c:pt>
                <c:pt idx="4">
                  <c:v>800.88186006922729</c:v>
                </c:pt>
                <c:pt idx="5">
                  <c:v>789.61158922820198</c:v>
                </c:pt>
                <c:pt idx="6">
                  <c:v>777.57309308075014</c:v>
                </c:pt>
                <c:pt idx="7">
                  <c:v>766.380082048894</c:v>
                </c:pt>
                <c:pt idx="8">
                  <c:v>765.76540945856311</c:v>
                </c:pt>
                <c:pt idx="9">
                  <c:v>764.9585322215039</c:v>
                </c:pt>
                <c:pt idx="10">
                  <c:v>764.01341601909553</c:v>
                </c:pt>
                <c:pt idx="11">
                  <c:v>762.96595692160952</c:v>
                </c:pt>
                <c:pt idx="12">
                  <c:v>761.84095573027719</c:v>
                </c:pt>
                <c:pt idx="13">
                  <c:v>760.65609510418653</c:v>
                </c:pt>
                <c:pt idx="14">
                  <c:v>759.42432109973367</c:v>
                </c:pt>
                <c:pt idx="15">
                  <c:v>758.15532883473213</c:v>
                </c:pt>
                <c:pt idx="16">
                  <c:v>756.85652210515855</c:v>
                </c:pt>
                <c:pt idx="17">
                  <c:v>755.53365207699903</c:v>
                </c:pt>
                <c:pt idx="18">
                  <c:v>754.1912536173453</c:v>
                </c:pt>
                <c:pt idx="19">
                  <c:v>752.83295029271335</c:v>
                </c:pt>
                <c:pt idx="20">
                  <c:v>751.46167193880115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Упражнения!$J$98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Упражнения!$J$99:$J$119</c:f>
              <c:numCache>
                <c:formatCode>0.00</c:formatCode>
                <c:ptCount val="21"/>
                <c:pt idx="0">
                  <c:v>23.445775262397689</c:v>
                </c:pt>
                <c:pt idx="1">
                  <c:v>28.736151882649473</c:v>
                </c:pt>
                <c:pt idx="2">
                  <c:v>34.50961719176243</c:v>
                </c:pt>
                <c:pt idx="3">
                  <c:v>40.734300903810031</c:v>
                </c:pt>
                <c:pt idx="4">
                  <c:v>47.357500859134319</c:v>
                </c:pt>
                <c:pt idx="5">
                  <c:v>54.309726511694386</c:v>
                </c:pt>
                <c:pt idx="6">
                  <c:v>61.837678102114808</c:v>
                </c:pt>
                <c:pt idx="7">
                  <c:v>70.173027430879159</c:v>
                </c:pt>
                <c:pt idx="8">
                  <c:v>78.684684320393316</c:v>
                </c:pt>
                <c:pt idx="9">
                  <c:v>86.965141073071379</c:v>
                </c:pt>
                <c:pt idx="10">
                  <c:v>94.984932877791252</c:v>
                </c:pt>
                <c:pt idx="11">
                  <c:v>102.71559880973248</c:v>
                </c:pt>
                <c:pt idx="12">
                  <c:v>110.13010319333654</c:v>
                </c:pt>
                <c:pt idx="13">
                  <c:v>117.20395611288856</c:v>
                </c:pt>
                <c:pt idx="14">
                  <c:v>123.91650953576281</c:v>
                </c:pt>
                <c:pt idx="15">
                  <c:v>130.25203294095155</c:v>
                </c:pt>
                <c:pt idx="16">
                  <c:v>136.2003429650826</c:v>
                </c:pt>
                <c:pt idx="17">
                  <c:v>141.75692186829278</c:v>
                </c:pt>
                <c:pt idx="18">
                  <c:v>146.922577790166</c:v>
                </c:pt>
                <c:pt idx="19">
                  <c:v>151.7027658498825</c:v>
                </c:pt>
                <c:pt idx="20">
                  <c:v>156.10670915486691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7536"/>
        <c:axId val="297858112"/>
      </c:scatterChart>
      <c:valAx>
        <c:axId val="29785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8112"/>
        <c:crosses val="autoZero"/>
        <c:crossBetween val="midCat"/>
      </c:valAx>
      <c:valAx>
        <c:axId val="2978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Упражнения!$G$125:$G$144</c:f>
              <c:numCache>
                <c:formatCode>General</c:formatCode>
                <c:ptCount val="20"/>
                <c:pt idx="0">
                  <c:v>2.5035761121742182</c:v>
                </c:pt>
                <c:pt idx="1">
                  <c:v>1.8138280543274927</c:v>
                </c:pt>
                <c:pt idx="2">
                  <c:v>1.2943793859572257</c:v>
                </c:pt>
                <c:pt idx="3">
                  <c:v>0.8978739063374106</c:v>
                </c:pt>
                <c:pt idx="4">
                  <c:v>0.59208587394331991</c:v>
                </c:pt>
                <c:pt idx="5">
                  <c:v>0.3543841057955554</c:v>
                </c:pt>
                <c:pt idx="6">
                  <c:v>0.16295447855840098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Упражнения!$C$100:$C$119</c:f>
              <c:numCache>
                <c:formatCode>0.00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1520"/>
        <c:axId val="297860416"/>
      </c:scatterChart>
      <c:valAx>
        <c:axId val="297451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60416"/>
        <c:crosses val="autoZero"/>
        <c:crossBetween val="midCat"/>
      </c:valAx>
      <c:valAx>
        <c:axId val="2978604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45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5552"/>
        <c:axId val="297456128"/>
      </c:scatterChart>
      <c:valAx>
        <c:axId val="297455552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6128"/>
        <c:crosses val="autoZero"/>
        <c:crossBetween val="midCat"/>
      </c:valAx>
      <c:valAx>
        <c:axId val="297456128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7856"/>
        <c:axId val="297458432"/>
      </c:scatterChart>
      <c:valAx>
        <c:axId val="297457856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8432"/>
        <c:crosses val="autoZero"/>
        <c:crossBetween val="midCat"/>
      </c:valAx>
      <c:valAx>
        <c:axId val="297458432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60288"/>
        <c:axId val="297460864"/>
      </c:scatterChart>
      <c:valAx>
        <c:axId val="297460288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864"/>
        <c:crosses val="autoZero"/>
        <c:crossBetween val="midCat"/>
      </c:valAx>
      <c:valAx>
        <c:axId val="297460864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4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849381</xdr:colOff>
      <xdr:row>7</xdr:row>
      <xdr:rowOff>136516</xdr:rowOff>
    </xdr:from>
    <xdr:to>
      <xdr:col>12</xdr:col>
      <xdr:colOff>680313</xdr:colOff>
      <xdr:row>33</xdr:row>
      <xdr:rowOff>58495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7</xdr:row>
      <xdr:rowOff>95250</xdr:rowOff>
    </xdr:from>
    <xdr:to>
      <xdr:col>27</xdr:col>
      <xdr:colOff>234623</xdr:colOff>
      <xdr:row>30</xdr:row>
      <xdr:rowOff>70370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30</xdr:row>
      <xdr:rowOff>10839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71436</xdr:colOff>
      <xdr:row>31</xdr:row>
      <xdr:rowOff>95251</xdr:rowOff>
    </xdr:from>
    <xdr:to>
      <xdr:col>42</xdr:col>
      <xdr:colOff>115559</xdr:colOff>
      <xdr:row>60</xdr:row>
      <xdr:rowOff>165621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428622</xdr:colOff>
      <xdr:row>31</xdr:row>
      <xdr:rowOff>47627</xdr:rowOff>
    </xdr:from>
    <xdr:to>
      <xdr:col>27</xdr:col>
      <xdr:colOff>425119</xdr:colOff>
      <xdr:row>60</xdr:row>
      <xdr:rowOff>117997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</xdr:row>
          <xdr:rowOff>57150</xdr:rowOff>
        </xdr:from>
        <xdr:to>
          <xdr:col>8</xdr:col>
          <xdr:colOff>381000</xdr:colOff>
          <xdr:row>6</xdr:row>
          <xdr:rowOff>371475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Построение КРД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PVT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0</xdr:row>
          <xdr:rowOff>142875</xdr:rowOff>
        </xdr:from>
        <xdr:to>
          <xdr:col>14</xdr:col>
          <xdr:colOff>133350</xdr:colOff>
          <xdr:row>6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потерь давления на трение и расчетного газосодержания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642937</xdr:colOff>
      <xdr:row>36</xdr:row>
      <xdr:rowOff>47624</xdr:rowOff>
    </xdr:from>
    <xdr:to>
      <xdr:col>12</xdr:col>
      <xdr:colOff>473869</xdr:colOff>
      <xdr:row>68</xdr:row>
      <xdr:rowOff>64853</xdr:rowOff>
    </xdr:to>
    <xdr:graphicFrame macro="">
      <xdr:nvGraphicFramePr>
        <xdr:cNvPr id="23" name="Диаграмма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/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outlinePr summaryBelow="0"/>
  </sheetPr>
  <dimension ref="A1:S144"/>
  <sheetViews>
    <sheetView tabSelected="1" topLeftCell="B58" zoomScale="80" zoomScaleNormal="80" workbookViewId="0">
      <selection activeCell="E13" sqref="E13"/>
    </sheetView>
  </sheetViews>
  <sheetFormatPr defaultRowHeight="12.75" outlineLevelRow="1" x14ac:dyDescent="0.2"/>
  <cols>
    <col min="2" max="2" width="26.28515625" customWidth="1"/>
    <col min="3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6.7109375" bestFit="1" customWidth="1"/>
    <col min="17" max="17" width="10.7109375" bestFit="1" customWidth="1"/>
    <col min="18" max="18" width="10.5703125" bestFit="1" customWidth="1"/>
  </cols>
  <sheetData>
    <row r="1" spans="1:19" x14ac:dyDescent="0.2">
      <c r="C1">
        <v>200</v>
      </c>
    </row>
    <row r="2" spans="1:19" x14ac:dyDescent="0.2">
      <c r="B2" t="s">
        <v>302</v>
      </c>
    </row>
    <row r="6" spans="1:19" x14ac:dyDescent="0.2">
      <c r="A6" s="52" t="s">
        <v>303</v>
      </c>
    </row>
    <row r="7" spans="1:19" ht="30.75" customHeight="1" outlineLevel="1" x14ac:dyDescent="0.2">
      <c r="B7" s="53" t="s">
        <v>304</v>
      </c>
      <c r="C7" s="54">
        <v>0.86</v>
      </c>
      <c r="D7" s="53"/>
      <c r="E7" s="55">
        <f>gamma_oil_*1000</f>
        <v>860</v>
      </c>
      <c r="F7" s="56" t="s">
        <v>288</v>
      </c>
      <c r="K7" s="92"/>
      <c r="L7" s="92"/>
      <c r="M7" s="93"/>
      <c r="N7" s="94"/>
      <c r="O7" s="94"/>
      <c r="P7" s="94"/>
      <c r="Q7" s="94"/>
      <c r="R7" s="94"/>
      <c r="S7" s="95"/>
    </row>
    <row r="8" spans="1:19" outlineLevel="1" x14ac:dyDescent="0.2">
      <c r="B8" s="53" t="s">
        <v>305</v>
      </c>
      <c r="C8" s="54">
        <v>0.9</v>
      </c>
      <c r="D8" s="53"/>
      <c r="E8" s="55">
        <f>gamma_gas_*1.22</f>
        <v>1.0980000000000001</v>
      </c>
      <c r="F8" s="56" t="s">
        <v>288</v>
      </c>
      <c r="K8" s="70"/>
      <c r="L8" s="70"/>
      <c r="M8" s="73"/>
      <c r="N8" s="98">
        <v>1.0552018442401485</v>
      </c>
      <c r="O8" s="98">
        <v>15.818494693333786</v>
      </c>
      <c r="P8" s="99">
        <v>1.0170555879696215E-2</v>
      </c>
      <c r="Q8" s="98">
        <v>839.67239868791899</v>
      </c>
      <c r="R8" s="100">
        <v>23.445775262397689</v>
      </c>
      <c r="S8" s="98">
        <v>23.668170630216011</v>
      </c>
    </row>
    <row r="9" spans="1:19" ht="25.5" outlineLevel="1" x14ac:dyDescent="0.2">
      <c r="B9" s="57" t="s">
        <v>306</v>
      </c>
      <c r="C9" s="54">
        <v>80</v>
      </c>
      <c r="D9" s="53" t="s">
        <v>289</v>
      </c>
      <c r="E9" s="58">
        <f>Rsb_/gamma_oil_</f>
        <v>93.023255813953483</v>
      </c>
      <c r="F9" s="56" t="s">
        <v>290</v>
      </c>
      <c r="K9" s="70"/>
      <c r="L9" s="70"/>
      <c r="M9" s="98">
        <v>24.538827324799868</v>
      </c>
      <c r="N9" s="98">
        <v>1.07430138612013</v>
      </c>
      <c r="O9" s="98">
        <v>9.9320291314232954</v>
      </c>
      <c r="P9" s="99">
        <v>1.0441542403976208E-2</v>
      </c>
      <c r="Q9" s="98">
        <v>831.08611854667356</v>
      </c>
      <c r="R9" s="100">
        <v>28.779264182118165</v>
      </c>
      <c r="S9" s="98">
        <v>29.864550435086016</v>
      </c>
    </row>
    <row r="10" spans="1:19" outlineLevel="1" x14ac:dyDescent="0.2">
      <c r="B10" s="57" t="s">
        <v>307</v>
      </c>
      <c r="C10" s="54">
        <v>80</v>
      </c>
      <c r="D10" s="53" t="s">
        <v>289</v>
      </c>
      <c r="E10" s="58">
        <f>Rsb_/gamma_oil_</f>
        <v>93.023255813953483</v>
      </c>
      <c r="F10" s="56" t="s">
        <v>290</v>
      </c>
      <c r="K10" s="70"/>
      <c r="L10" s="70"/>
      <c r="M10" s="98">
        <v>29.499860446252423</v>
      </c>
      <c r="N10" s="98">
        <v>1.0958638089005699</v>
      </c>
      <c r="O10" s="98">
        <v>6.6554804080827052</v>
      </c>
      <c r="P10" s="99">
        <v>1.0737436480801053E-2</v>
      </c>
      <c r="Q10" s="98">
        <v>821.6611310959355</v>
      </c>
      <c r="R10" s="100">
        <v>34.59879530265308</v>
      </c>
      <c r="S10" s="98">
        <v>36.76907110160014</v>
      </c>
    </row>
    <row r="11" spans="1:19" ht="25.5" outlineLevel="1" x14ac:dyDescent="0.2">
      <c r="B11" s="57" t="s">
        <v>308</v>
      </c>
      <c r="C11" s="54">
        <v>80</v>
      </c>
      <c r="D11" s="53" t="s">
        <v>291</v>
      </c>
      <c r="K11" s="70"/>
      <c r="L11" s="70"/>
      <c r="M11" s="98">
        <v>34.869646649397495</v>
      </c>
      <c r="N11" s="98">
        <v>1.1199027614231565</v>
      </c>
      <c r="O11" s="98">
        <v>4.7048864028014616</v>
      </c>
      <c r="P11" s="99">
        <v>1.10592918018211E-2</v>
      </c>
      <c r="Q11" s="98">
        <v>811.47504787735681</v>
      </c>
      <c r="R11" s="100">
        <v>40.872410537717563</v>
      </c>
      <c r="S11" s="98">
        <v>44.358177533891741</v>
      </c>
    </row>
    <row r="12" spans="1:19" outlineLevel="1" x14ac:dyDescent="0.2">
      <c r="B12" s="53" t="s">
        <v>309</v>
      </c>
      <c r="C12" s="54">
        <v>120</v>
      </c>
      <c r="D12" s="53" t="s">
        <v>292</v>
      </c>
      <c r="K12" s="70"/>
      <c r="L12" s="70"/>
      <c r="M12" s="98">
        <v>40.621269330924555</v>
      </c>
      <c r="N12" s="98">
        <v>1.1463516716197402</v>
      </c>
      <c r="O12" s="98">
        <v>3.4776245494340636</v>
      </c>
      <c r="P12" s="99">
        <v>1.1407337445073057E-2</v>
      </c>
      <c r="Q12" s="98">
        <v>800.64232383073193</v>
      </c>
      <c r="R12" s="100">
        <v>47.546371019624893</v>
      </c>
      <c r="S12" s="98">
        <v>52.583982513321921</v>
      </c>
    </row>
    <row r="13" spans="1:19" ht="38.25" outlineLevel="1" x14ac:dyDescent="0.2">
      <c r="B13" s="57" t="s">
        <v>310</v>
      </c>
      <c r="C13" s="54"/>
      <c r="D13" s="53" t="s">
        <v>289</v>
      </c>
      <c r="K13" s="70"/>
      <c r="L13" s="70"/>
      <c r="M13" s="98">
        <v>46.724283234932656</v>
      </c>
      <c r="N13" s="98">
        <v>1.1751001383246131</v>
      </c>
      <c r="O13" s="98">
        <v>2.6684675702978553</v>
      </c>
      <c r="P13" s="99">
        <v>1.1781301602829333E-2</v>
      </c>
      <c r="Q13" s="98">
        <v>789.29368862775164</v>
      </c>
      <c r="R13" s="100">
        <v>54.558694091434738</v>
      </c>
      <c r="S13" s="98">
        <v>61.389068679540436</v>
      </c>
    </row>
    <row r="14" spans="1:19" outlineLevel="1" x14ac:dyDescent="0.2">
      <c r="B14" s="57" t="s">
        <v>139</v>
      </c>
      <c r="C14" s="54">
        <v>10</v>
      </c>
      <c r="D14" s="53" t="s">
        <v>293</v>
      </c>
      <c r="K14" s="70"/>
      <c r="L14" s="70"/>
      <c r="M14" s="98">
        <v>53.420563227494775</v>
      </c>
      <c r="N14" s="98">
        <v>1.2073103272991921</v>
      </c>
      <c r="O14" s="98">
        <v>2.1027955594794587</v>
      </c>
      <c r="P14" s="99">
        <v>1.2195260148147419E-2</v>
      </c>
      <c r="Q14" s="98">
        <v>777.12471648927249</v>
      </c>
      <c r="R14" s="100">
        <v>62.188778938962848</v>
      </c>
      <c r="S14" s="98">
        <v>71.149214497972267</v>
      </c>
    </row>
    <row r="15" spans="1:19" x14ac:dyDescent="0.2">
      <c r="B15" s="59"/>
      <c r="C15" s="60"/>
      <c r="K15" s="70"/>
      <c r="L15" s="70"/>
      <c r="M15" s="98">
        <v>60.872675972055085</v>
      </c>
      <c r="N15" s="98">
        <v>1.2367994542949798</v>
      </c>
      <c r="O15" s="98">
        <v>1.7332866432785714</v>
      </c>
      <c r="P15" s="99">
        <v>1.2661484425816825E-2</v>
      </c>
      <c r="Q15" s="98">
        <v>766.46411567215046</v>
      </c>
      <c r="R15" s="100">
        <v>70.611691029095539</v>
      </c>
      <c r="S15" s="98">
        <v>80</v>
      </c>
    </row>
    <row r="16" spans="1:19" x14ac:dyDescent="0.2">
      <c r="A16" s="52" t="s">
        <v>311</v>
      </c>
      <c r="B16" s="59"/>
      <c r="C16" s="60"/>
      <c r="K16" s="70"/>
      <c r="L16" s="70"/>
      <c r="M16" s="98">
        <v>68.5622204731376</v>
      </c>
      <c r="N16" s="98">
        <v>1.237809781338431</v>
      </c>
      <c r="O16" s="98">
        <v>1.6066105651886837</v>
      </c>
      <c r="P16" s="99">
        <v>1.3153379139606037E-2</v>
      </c>
      <c r="Q16" s="98">
        <v>765.83851112808145</v>
      </c>
      <c r="R16" s="100">
        <v>79.141465360665393</v>
      </c>
      <c r="S16" s="98">
        <v>80</v>
      </c>
    </row>
    <row r="17" spans="1:19" outlineLevel="1" x14ac:dyDescent="0.2">
      <c r="B17" s="57" t="s">
        <v>312</v>
      </c>
      <c r="C17" s="54">
        <v>2000</v>
      </c>
      <c r="D17" s="53" t="s">
        <v>294</v>
      </c>
      <c r="K17" s="70"/>
      <c r="L17" s="70"/>
      <c r="M17" s="98">
        <v>76.24339854960229</v>
      </c>
      <c r="N17" s="98">
        <v>1.2391285367546332</v>
      </c>
      <c r="O17" s="98">
        <v>1.503716314078692</v>
      </c>
      <c r="P17" s="99">
        <v>1.3655178801340345E-2</v>
      </c>
      <c r="Q17" s="98">
        <v>765.0234595377666</v>
      </c>
      <c r="R17" s="100">
        <v>87.438844217655216</v>
      </c>
      <c r="S17" s="98">
        <v>80</v>
      </c>
    </row>
    <row r="18" spans="1:19" outlineLevel="1" x14ac:dyDescent="0.2">
      <c r="B18" s="57" t="s">
        <v>313</v>
      </c>
      <c r="C18" s="54">
        <v>0</v>
      </c>
      <c r="D18" s="53" t="s">
        <v>294</v>
      </c>
      <c r="K18" s="70"/>
      <c r="L18" s="70"/>
      <c r="M18" s="98">
        <v>83.914945837728695</v>
      </c>
      <c r="N18" s="98">
        <v>1.2406714894864033</v>
      </c>
      <c r="O18" s="98">
        <v>1.4191076990652558</v>
      </c>
      <c r="P18" s="99">
        <v>1.4164150713863505E-2</v>
      </c>
      <c r="Q18" s="98">
        <v>764.07204327103932</v>
      </c>
      <c r="R18" s="100">
        <v>95.474267895907658</v>
      </c>
      <c r="S18" s="98">
        <v>80</v>
      </c>
    </row>
    <row r="19" spans="1:19" outlineLevel="1" x14ac:dyDescent="0.2">
      <c r="B19" s="57" t="s">
        <v>314</v>
      </c>
      <c r="C19" s="54" t="s">
        <v>340</v>
      </c>
      <c r="D19" s="53" t="s">
        <v>294</v>
      </c>
      <c r="K19" s="70"/>
      <c r="L19" s="70"/>
      <c r="M19" s="98">
        <v>91.575942252518544</v>
      </c>
      <c r="N19" s="98">
        <v>1.2423827501458073</v>
      </c>
      <c r="O19" s="98">
        <v>1.3487971746477219</v>
      </c>
      <c r="P19" s="99">
        <v>1.4677347115557451E-2</v>
      </c>
      <c r="Q19" s="98">
        <v>763.0196088031214</v>
      </c>
      <c r="R19" s="100">
        <v>103.21905069965457</v>
      </c>
      <c r="S19" s="98">
        <v>80</v>
      </c>
    </row>
    <row r="20" spans="1:19" outlineLevel="1" x14ac:dyDescent="0.2">
      <c r="B20" s="57" t="s">
        <v>315</v>
      </c>
      <c r="C20" s="54">
        <v>125</v>
      </c>
      <c r="D20" s="53" t="s">
        <v>295</v>
      </c>
      <c r="K20" s="70"/>
      <c r="L20" s="70"/>
      <c r="M20" s="98">
        <v>99.225699607745128</v>
      </c>
      <c r="N20" s="98">
        <v>1.2442237785701171</v>
      </c>
      <c r="O20" s="98">
        <v>1.2898317123062824</v>
      </c>
      <c r="P20" s="99">
        <v>1.5191624302798986E-2</v>
      </c>
      <c r="Q20" s="98">
        <v>761.890599044341</v>
      </c>
      <c r="R20" s="100">
        <v>110.64587433777353</v>
      </c>
      <c r="S20" s="98">
        <v>80</v>
      </c>
    </row>
    <row r="21" spans="1:19" outlineLevel="1" x14ac:dyDescent="0.2">
      <c r="B21" s="57" t="s">
        <v>316</v>
      </c>
      <c r="C21" s="54">
        <v>73</v>
      </c>
      <c r="D21" s="53" t="s">
        <v>295</v>
      </c>
      <c r="K21" s="70"/>
      <c r="L21" s="70"/>
      <c r="M21" s="98">
        <v>106.86369151284551</v>
      </c>
      <c r="N21" s="98">
        <v>1.2461671369670793</v>
      </c>
      <c r="O21" s="98">
        <v>1.2399839929779641</v>
      </c>
      <c r="P21" s="99">
        <v>1.5703724011682272E-2</v>
      </c>
      <c r="Q21" s="98">
        <v>760.70245465399626</v>
      </c>
      <c r="R21" s="100">
        <v>117.72997348726356</v>
      </c>
      <c r="S21" s="98">
        <v>80</v>
      </c>
    </row>
    <row r="22" spans="1:19" outlineLevel="1" x14ac:dyDescent="0.2">
      <c r="B22" s="57" t="s">
        <v>317</v>
      </c>
      <c r="C22" s="54">
        <v>62</v>
      </c>
      <c r="D22" s="53" t="s">
        <v>295</v>
      </c>
      <c r="K22" s="70"/>
      <c r="L22" s="70"/>
      <c r="M22" s="98">
        <v>114.48950783819619</v>
      </c>
      <c r="N22" s="98">
        <v>1.2481927598398093</v>
      </c>
      <c r="O22" s="98">
        <v>1.1975462206464342</v>
      </c>
      <c r="P22" s="99">
        <v>1.6210392676316746E-2</v>
      </c>
      <c r="Q22" s="98">
        <v>759.4679527877247</v>
      </c>
      <c r="R22" s="100">
        <v>124.45048042885965</v>
      </c>
      <c r="S22" s="98">
        <v>80</v>
      </c>
    </row>
    <row r="23" spans="1:19" ht="25.5" outlineLevel="1" x14ac:dyDescent="0.2">
      <c r="B23" s="57" t="s">
        <v>318</v>
      </c>
      <c r="C23" s="54" t="s">
        <v>340</v>
      </c>
      <c r="D23" s="53" t="s">
        <v>295</v>
      </c>
      <c r="K23" s="70"/>
      <c r="L23" s="70"/>
      <c r="M23" s="98">
        <v>122.10282411585999</v>
      </c>
      <c r="N23" s="98">
        <v>1.2502856325934231</v>
      </c>
      <c r="O23" s="98">
        <v>1.1611893676754135</v>
      </c>
      <c r="P23" s="99">
        <v>1.6708511884558318E-2</v>
      </c>
      <c r="Q23" s="98">
        <v>758.19666745563995</v>
      </c>
      <c r="R23" s="100">
        <v>130.79152874667687</v>
      </c>
      <c r="S23" s="98">
        <v>80</v>
      </c>
    </row>
    <row r="24" spans="1:19" ht="25.5" outlineLevel="1" x14ac:dyDescent="0.2">
      <c r="B24" s="57" t="s">
        <v>319</v>
      </c>
      <c r="C24" s="54">
        <v>20</v>
      </c>
      <c r="D24" s="53" t="s">
        <v>291</v>
      </c>
      <c r="K24" s="70"/>
      <c r="L24" s="70"/>
      <c r="M24" s="98">
        <v>129.70338037174722</v>
      </c>
      <c r="N24" s="98">
        <v>1.2524342951320069</v>
      </c>
      <c r="O24" s="98">
        <v>1.1298651532483066</v>
      </c>
      <c r="P24" s="99">
        <v>1.7195216929257073E-2</v>
      </c>
      <c r="Q24" s="98">
        <v>756.89591356972903</v>
      </c>
      <c r="R24" s="100">
        <v>136.74289163058225</v>
      </c>
      <c r="S24" s="98">
        <v>80</v>
      </c>
    </row>
    <row r="25" spans="1:19" outlineLevel="1" x14ac:dyDescent="0.2">
      <c r="B25" s="57" t="s">
        <v>320</v>
      </c>
      <c r="C25" s="54" t="s">
        <v>340</v>
      </c>
      <c r="D25" s="53" t="s">
        <v>291</v>
      </c>
      <c r="K25" s="70"/>
      <c r="L25" s="70"/>
      <c r="M25" s="98">
        <v>137.29096611061894</v>
      </c>
      <c r="N25" s="98">
        <v>1.2546298476306577</v>
      </c>
      <c r="O25" s="98">
        <v>1.1027365405975509</v>
      </c>
      <c r="P25" s="99">
        <v>1.7667987566389518E-2</v>
      </c>
      <c r="Q25" s="98">
        <v>755.5713757250453</v>
      </c>
      <c r="R25" s="100">
        <v>142.30009383714682</v>
      </c>
      <c r="S25" s="98">
        <v>80</v>
      </c>
    </row>
    <row r="26" spans="1:19" ht="25.5" outlineLevel="1" x14ac:dyDescent="0.2">
      <c r="B26" s="57" t="s">
        <v>321</v>
      </c>
      <c r="C26" s="54" t="s">
        <v>340</v>
      </c>
      <c r="D26" s="53" t="s">
        <v>292</v>
      </c>
      <c r="K26" s="70"/>
      <c r="L26" s="70"/>
      <c r="M26" s="98">
        <v>144.86540942994165</v>
      </c>
      <c r="N26" s="98">
        <v>1.2568652723456291</v>
      </c>
      <c r="O26" s="98">
        <v>1.0791276431785966</v>
      </c>
      <c r="P26" s="99">
        <v>1.8124703397034092E-2</v>
      </c>
      <c r="Q26" s="98">
        <v>754.22753803266596</v>
      </c>
      <c r="R26" s="100">
        <v>147.46405585090443</v>
      </c>
      <c r="S26" s="98">
        <v>80</v>
      </c>
    </row>
    <row r="27" spans="1:19" outlineLevel="1" x14ac:dyDescent="0.2">
      <c r="B27" s="57" t="s">
        <v>322</v>
      </c>
      <c r="C27" s="54" t="s">
        <v>340</v>
      </c>
      <c r="D27" s="53" t="s">
        <v>291</v>
      </c>
      <c r="K27" s="70"/>
      <c r="L27" s="70"/>
      <c r="M27" s="98">
        <v>152.42656897369511</v>
      </c>
      <c r="N27" s="98">
        <v>1.2591349601893387</v>
      </c>
      <c r="O27" s="98">
        <v>1.0584870773460744</v>
      </c>
      <c r="P27" s="99">
        <v>1.8563663620795583E-2</v>
      </c>
      <c r="Q27" s="98">
        <v>752.86798474521981</v>
      </c>
      <c r="R27" s="100">
        <v>152.24039463302478</v>
      </c>
      <c r="S27" s="98">
        <v>80</v>
      </c>
    </row>
    <row r="28" spans="1:19" outlineLevel="1" x14ac:dyDescent="0.2">
      <c r="B28" s="57" t="s">
        <v>323</v>
      </c>
      <c r="C28" s="54" t="s">
        <v>340</v>
      </c>
      <c r="D28" s="53" t="s">
        <v>291</v>
      </c>
      <c r="K28" s="70"/>
      <c r="L28" s="70"/>
      <c r="M28" s="98">
        <v>159.9743278826783</v>
      </c>
      <c r="N28" s="98">
        <v>1.2591349601893387</v>
      </c>
      <c r="O28" s="98">
        <v>1.0584870773460744</v>
      </c>
      <c r="P28" s="99">
        <v>1.8563663620795583E-2</v>
      </c>
      <c r="Q28" s="98">
        <v>752.86798474521981</v>
      </c>
      <c r="R28" s="100">
        <v>152.24039463302478</v>
      </c>
      <c r="S28" s="98">
        <v>80</v>
      </c>
    </row>
    <row r="29" spans="1:19" outlineLevel="1" x14ac:dyDescent="0.2">
      <c r="B29" s="57" t="s">
        <v>330</v>
      </c>
      <c r="C29" s="54">
        <v>20</v>
      </c>
      <c r="D29" s="53" t="s">
        <v>292</v>
      </c>
      <c r="Q29" s="67"/>
    </row>
    <row r="31" spans="1:19" x14ac:dyDescent="0.2">
      <c r="A31" s="52" t="s">
        <v>324</v>
      </c>
    </row>
    <row r="32" spans="1:19" x14ac:dyDescent="0.2">
      <c r="B32" s="53" t="s">
        <v>325</v>
      </c>
      <c r="C32" s="54">
        <v>3</v>
      </c>
      <c r="D32" s="53" t="s">
        <v>297</v>
      </c>
    </row>
    <row r="33" spans="1:8" x14ac:dyDescent="0.2">
      <c r="B33" s="53" t="s">
        <v>326</v>
      </c>
      <c r="C33" s="54" t="s">
        <v>340</v>
      </c>
      <c r="D33" s="53" t="s">
        <v>291</v>
      </c>
    </row>
    <row r="34" spans="1:8" x14ac:dyDescent="0.2">
      <c r="B34" s="53" t="s">
        <v>327</v>
      </c>
      <c r="C34" s="66" t="s">
        <v>340</v>
      </c>
      <c r="D34" s="53" t="s">
        <v>328</v>
      </c>
    </row>
    <row r="36" spans="1:8" x14ac:dyDescent="0.2">
      <c r="B36" s="53" t="s">
        <v>298</v>
      </c>
      <c r="C36" s="54">
        <v>20</v>
      </c>
      <c r="D36" s="53"/>
    </row>
    <row r="37" spans="1:8" outlineLevel="1" x14ac:dyDescent="0.2"/>
    <row r="38" spans="1:8" x14ac:dyDescent="0.2">
      <c r="A38" s="64" t="s">
        <v>329</v>
      </c>
      <c r="B38" s="64"/>
      <c r="C38" s="64"/>
      <c r="D38" s="52"/>
    </row>
    <row r="39" spans="1:8" outlineLevel="1" x14ac:dyDescent="0.2">
      <c r="B39" s="57" t="s">
        <v>174</v>
      </c>
      <c r="C39" s="54">
        <v>100</v>
      </c>
      <c r="D39" s="65" t="s">
        <v>296</v>
      </c>
    </row>
    <row r="40" spans="1:8" outlineLevel="1" x14ac:dyDescent="0.2">
      <c r="B40" s="68"/>
      <c r="C40" s="70"/>
      <c r="D40" s="69"/>
    </row>
    <row r="41" spans="1:8" outlineLevel="1" x14ac:dyDescent="0.2"/>
    <row r="42" spans="1:8" outlineLevel="1" x14ac:dyDescent="0.2"/>
    <row r="43" spans="1:8" outlineLevel="1" x14ac:dyDescent="0.2"/>
    <row r="44" spans="1:8" outlineLevel="1" x14ac:dyDescent="0.2"/>
    <row r="45" spans="1:8" outlineLevel="1" x14ac:dyDescent="0.2"/>
    <row r="46" spans="1:8" outlineLevel="1" x14ac:dyDescent="0.2"/>
    <row r="47" spans="1:8" outlineLevel="1" x14ac:dyDescent="0.2">
      <c r="C47" s="96"/>
      <c r="D47" s="96"/>
      <c r="E47" s="97"/>
      <c r="F47" s="67"/>
      <c r="G47" s="97"/>
    </row>
    <row r="48" spans="1:8" outlineLevel="1" x14ac:dyDescent="0.2">
      <c r="C48" s="70"/>
      <c r="D48" s="70"/>
      <c r="E48" s="74"/>
      <c r="F48" s="73"/>
      <c r="G48" s="74"/>
      <c r="H48" s="62"/>
    </row>
    <row r="49" spans="3:7" outlineLevel="1" x14ac:dyDescent="0.2">
      <c r="C49" s="70"/>
      <c r="D49" s="70"/>
      <c r="E49" s="74"/>
      <c r="F49" s="69"/>
      <c r="G49" s="74"/>
    </row>
    <row r="50" spans="3:7" outlineLevel="1" x14ac:dyDescent="0.2">
      <c r="C50" s="70"/>
      <c r="D50" s="70"/>
      <c r="E50" s="74"/>
      <c r="F50" s="69"/>
      <c r="G50" s="74"/>
    </row>
    <row r="51" spans="3:7" outlineLevel="1" x14ac:dyDescent="0.2">
      <c r="C51" s="70"/>
      <c r="D51" s="70"/>
      <c r="E51" s="74"/>
      <c r="F51" s="69"/>
      <c r="G51" s="74"/>
    </row>
    <row r="52" spans="3:7" outlineLevel="1" x14ac:dyDescent="0.2">
      <c r="C52" s="70"/>
      <c r="D52" s="70"/>
      <c r="E52" s="74"/>
      <c r="F52" s="69"/>
      <c r="G52" s="74"/>
    </row>
    <row r="53" spans="3:7" outlineLevel="1" x14ac:dyDescent="0.2">
      <c r="C53" s="70"/>
      <c r="D53" s="70"/>
      <c r="E53" s="74"/>
      <c r="F53" s="69"/>
      <c r="G53" s="74"/>
    </row>
    <row r="54" spans="3:7" outlineLevel="1" x14ac:dyDescent="0.2">
      <c r="C54" s="70"/>
      <c r="D54" s="70"/>
      <c r="E54" s="74"/>
      <c r="F54" s="69"/>
      <c r="G54" s="74"/>
    </row>
    <row r="55" spans="3:7" outlineLevel="1" x14ac:dyDescent="0.2">
      <c r="C55" s="70"/>
      <c r="D55" s="70"/>
      <c r="E55" s="74"/>
      <c r="F55" s="69"/>
      <c r="G55" s="74"/>
    </row>
    <row r="56" spans="3:7" outlineLevel="1" x14ac:dyDescent="0.2">
      <c r="C56" s="70"/>
      <c r="D56" s="70"/>
      <c r="E56" s="74"/>
      <c r="F56" s="69"/>
      <c r="G56" s="74"/>
    </row>
    <row r="57" spans="3:7" outlineLevel="1" x14ac:dyDescent="0.2">
      <c r="C57" s="70"/>
      <c r="D57" s="70"/>
      <c r="E57" s="74"/>
      <c r="F57" s="69"/>
      <c r="G57" s="74"/>
    </row>
    <row r="58" spans="3:7" outlineLevel="1" x14ac:dyDescent="0.2">
      <c r="C58" s="70"/>
      <c r="D58" s="70"/>
      <c r="E58" s="74"/>
      <c r="F58" s="69"/>
      <c r="G58" s="74"/>
    </row>
    <row r="59" spans="3:7" outlineLevel="1" x14ac:dyDescent="0.2">
      <c r="C59" s="70"/>
      <c r="D59" s="70"/>
      <c r="E59" s="74"/>
      <c r="F59" s="69"/>
      <c r="G59" s="74"/>
    </row>
    <row r="60" spans="3:7" outlineLevel="1" x14ac:dyDescent="0.2">
      <c r="C60" s="70"/>
      <c r="D60" s="70"/>
      <c r="E60" s="74"/>
      <c r="F60" s="69"/>
      <c r="G60" s="74"/>
    </row>
    <row r="61" spans="3:7" outlineLevel="1" x14ac:dyDescent="0.2">
      <c r="C61" s="70"/>
      <c r="D61" s="70"/>
      <c r="E61" s="74"/>
      <c r="F61" s="69"/>
      <c r="G61" s="74"/>
    </row>
    <row r="62" spans="3:7" outlineLevel="1" x14ac:dyDescent="0.2">
      <c r="C62" s="70"/>
      <c r="D62" s="70"/>
      <c r="E62" s="74"/>
      <c r="F62" s="69"/>
      <c r="G62" s="74"/>
    </row>
    <row r="63" spans="3:7" outlineLevel="1" x14ac:dyDescent="0.2">
      <c r="C63" s="70"/>
      <c r="D63" s="70"/>
      <c r="E63" s="74"/>
      <c r="F63" s="69"/>
      <c r="G63" s="74"/>
    </row>
    <row r="64" spans="3:7" outlineLevel="1" x14ac:dyDescent="0.2">
      <c r="C64" s="70"/>
      <c r="D64" s="70"/>
      <c r="E64" s="74"/>
      <c r="F64" s="69"/>
      <c r="G64" s="74"/>
    </row>
    <row r="65" spans="1:9" outlineLevel="1" x14ac:dyDescent="0.2">
      <c r="C65" s="70"/>
      <c r="D65" s="70"/>
      <c r="E65" s="74"/>
      <c r="F65" s="69"/>
      <c r="G65" s="74"/>
    </row>
    <row r="66" spans="1:9" outlineLevel="1" x14ac:dyDescent="0.2">
      <c r="C66" s="70"/>
      <c r="D66" s="70"/>
      <c r="E66" s="74"/>
      <c r="F66" s="69"/>
      <c r="G66" s="74"/>
    </row>
    <row r="67" spans="1:9" outlineLevel="1" x14ac:dyDescent="0.2">
      <c r="C67" s="70"/>
      <c r="D67" s="70"/>
      <c r="E67" s="74"/>
      <c r="F67" s="69"/>
      <c r="G67" s="74"/>
    </row>
    <row r="68" spans="1:9" outlineLevel="1" x14ac:dyDescent="0.2">
      <c r="C68" s="70"/>
      <c r="D68" s="70"/>
      <c r="E68" s="74"/>
      <c r="F68" s="69"/>
      <c r="G68" s="74"/>
    </row>
    <row r="69" spans="1:9" outlineLevel="1" x14ac:dyDescent="0.2"/>
    <row r="70" spans="1:9" outlineLevel="1" x14ac:dyDescent="0.2"/>
    <row r="71" spans="1:9" outlineLevel="1" x14ac:dyDescent="0.2"/>
    <row r="72" spans="1:9" outlineLevel="1" x14ac:dyDescent="0.2">
      <c r="A72" s="67"/>
      <c r="B72" s="67"/>
      <c r="C72" s="67"/>
      <c r="D72" s="67"/>
      <c r="E72" s="67"/>
      <c r="F72" s="67"/>
      <c r="G72" s="67"/>
      <c r="H72" s="67"/>
    </row>
    <row r="73" spans="1:9" x14ac:dyDescent="0.2">
      <c r="A73" s="67"/>
      <c r="B73" s="67"/>
      <c r="C73" s="67"/>
      <c r="D73" s="67"/>
      <c r="E73" s="67"/>
      <c r="F73" s="72"/>
      <c r="G73" s="67"/>
      <c r="H73" s="67"/>
    </row>
    <row r="74" spans="1:9" x14ac:dyDescent="0.2">
      <c r="A74" s="67"/>
      <c r="B74" s="73"/>
      <c r="C74" s="69"/>
      <c r="D74" s="69"/>
      <c r="E74" s="69"/>
      <c r="F74" s="69"/>
      <c r="G74" s="69"/>
      <c r="H74" s="69"/>
    </row>
    <row r="75" spans="1:9" x14ac:dyDescent="0.2">
      <c r="A75" s="67"/>
      <c r="B75" s="69"/>
      <c r="C75" s="69"/>
      <c r="D75" s="69"/>
      <c r="E75" s="69"/>
      <c r="F75" s="69"/>
      <c r="G75" s="69"/>
      <c r="H75" s="69"/>
    </row>
    <row r="76" spans="1:9" x14ac:dyDescent="0.2">
      <c r="A76" s="67"/>
      <c r="B76" s="69"/>
      <c r="C76" s="69"/>
      <c r="D76" s="69"/>
      <c r="E76" s="71"/>
      <c r="F76" s="71"/>
      <c r="G76" s="71"/>
      <c r="H76" s="71"/>
      <c r="I76" s="71"/>
    </row>
    <row r="77" spans="1:9" x14ac:dyDescent="0.2">
      <c r="A77" s="67"/>
      <c r="B77" s="73"/>
      <c r="C77" s="69"/>
      <c r="D77" s="69"/>
      <c r="E77" s="74"/>
      <c r="F77" s="74"/>
      <c r="G77" s="74"/>
      <c r="H77" s="74"/>
      <c r="I77" s="67"/>
    </row>
    <row r="78" spans="1:9" x14ac:dyDescent="0.2">
      <c r="A78" s="67"/>
      <c r="B78" s="69"/>
      <c r="C78" s="69"/>
      <c r="D78" s="69"/>
      <c r="E78" s="74"/>
      <c r="F78" s="74"/>
      <c r="G78" s="74"/>
      <c r="H78" s="74"/>
      <c r="I78" s="67"/>
    </row>
    <row r="79" spans="1:9" x14ac:dyDescent="0.2">
      <c r="A79" s="67"/>
      <c r="B79" s="69"/>
      <c r="C79" s="69"/>
      <c r="D79" s="69"/>
      <c r="E79" s="74"/>
      <c r="F79" s="74"/>
      <c r="G79" s="74"/>
      <c r="H79" s="74"/>
      <c r="I79" s="67"/>
    </row>
    <row r="80" spans="1:9" x14ac:dyDescent="0.2">
      <c r="A80" s="67"/>
      <c r="B80" s="69"/>
      <c r="C80" s="69"/>
      <c r="D80" s="69"/>
      <c r="E80" s="74"/>
      <c r="F80" s="74"/>
      <c r="G80" s="74"/>
      <c r="H80" s="74"/>
      <c r="I80" s="67"/>
    </row>
    <row r="81" spans="1:9" x14ac:dyDescent="0.2">
      <c r="A81" s="67"/>
      <c r="B81" s="69"/>
      <c r="C81" s="69"/>
      <c r="D81" s="69"/>
      <c r="E81" s="74"/>
      <c r="F81" s="74"/>
      <c r="G81" s="74"/>
      <c r="H81" s="74"/>
      <c r="I81" s="67"/>
    </row>
    <row r="82" spans="1:9" x14ac:dyDescent="0.2">
      <c r="A82" s="67"/>
      <c r="B82" s="69"/>
      <c r="C82" s="69"/>
      <c r="D82" s="69"/>
      <c r="E82" s="74"/>
      <c r="F82" s="74"/>
      <c r="G82" s="74"/>
      <c r="H82" s="74"/>
      <c r="I82" s="67"/>
    </row>
    <row r="83" spans="1:9" x14ac:dyDescent="0.2">
      <c r="A83" s="67"/>
      <c r="B83" s="69"/>
      <c r="C83" s="69"/>
      <c r="D83" s="69"/>
      <c r="E83" s="74"/>
      <c r="F83" s="74"/>
      <c r="G83" s="74"/>
      <c r="H83" s="74"/>
      <c r="I83" s="67"/>
    </row>
    <row r="84" spans="1:9" x14ac:dyDescent="0.2">
      <c r="A84" s="67"/>
      <c r="B84" s="69"/>
      <c r="C84" s="69"/>
      <c r="D84" s="69"/>
      <c r="E84" s="74"/>
      <c r="F84" s="74"/>
      <c r="G84" s="74"/>
      <c r="H84" s="74"/>
      <c r="I84" s="67"/>
    </row>
    <row r="85" spans="1:9" x14ac:dyDescent="0.2">
      <c r="A85" s="67"/>
      <c r="B85" s="69"/>
      <c r="C85" s="69"/>
      <c r="D85" s="69"/>
      <c r="E85" s="74"/>
      <c r="F85" s="74"/>
      <c r="G85" s="74"/>
      <c r="H85" s="74"/>
      <c r="I85" s="67"/>
    </row>
    <row r="86" spans="1:9" x14ac:dyDescent="0.2">
      <c r="A86" s="67"/>
      <c r="B86" s="69"/>
      <c r="C86" s="69"/>
      <c r="D86" s="69"/>
      <c r="E86" s="74"/>
      <c r="F86" s="74"/>
      <c r="G86" s="74"/>
      <c r="H86" s="74"/>
      <c r="I86" s="67"/>
    </row>
    <row r="87" spans="1:9" x14ac:dyDescent="0.2">
      <c r="A87" s="67"/>
      <c r="B87" s="69"/>
      <c r="C87" s="69"/>
      <c r="D87" s="69"/>
      <c r="E87" s="74"/>
      <c r="F87" s="74"/>
      <c r="G87" s="74"/>
      <c r="H87" s="74"/>
      <c r="I87" s="67"/>
    </row>
    <row r="88" spans="1:9" x14ac:dyDescent="0.2">
      <c r="A88" s="67"/>
      <c r="B88" s="69"/>
      <c r="C88" s="69"/>
      <c r="D88" s="69"/>
      <c r="E88" s="74"/>
      <c r="F88" s="74"/>
      <c r="G88" s="74"/>
      <c r="H88" s="74"/>
      <c r="I88" s="67"/>
    </row>
    <row r="89" spans="1:9" x14ac:dyDescent="0.2">
      <c r="A89" s="67"/>
      <c r="B89" s="69"/>
      <c r="C89" s="69"/>
      <c r="D89" s="69"/>
      <c r="E89" s="74"/>
      <c r="F89" s="74"/>
      <c r="G89" s="74"/>
      <c r="H89" s="74"/>
      <c r="I89" s="67"/>
    </row>
    <row r="90" spans="1:9" x14ac:dyDescent="0.2">
      <c r="A90" s="67"/>
      <c r="B90" s="69"/>
      <c r="C90" s="69"/>
      <c r="D90" s="69"/>
      <c r="E90" s="74"/>
      <c r="F90" s="74"/>
      <c r="G90" s="74"/>
      <c r="H90" s="74"/>
      <c r="I90" s="67"/>
    </row>
    <row r="91" spans="1:9" x14ac:dyDescent="0.2">
      <c r="A91" s="67"/>
      <c r="B91" s="69"/>
      <c r="C91" s="69"/>
      <c r="D91" s="69"/>
      <c r="E91" s="76"/>
      <c r="F91" s="74"/>
      <c r="G91" s="74"/>
      <c r="H91" s="74"/>
      <c r="I91" s="67"/>
    </row>
    <row r="92" spans="1:9" x14ac:dyDescent="0.2">
      <c r="A92" s="67"/>
      <c r="B92" s="69"/>
      <c r="C92" s="69"/>
      <c r="D92" s="69"/>
      <c r="E92" s="74"/>
      <c r="F92" s="74"/>
      <c r="G92" s="74"/>
      <c r="H92" s="74"/>
      <c r="I92" s="67"/>
    </row>
    <row r="93" spans="1:9" x14ac:dyDescent="0.2">
      <c r="A93" s="67"/>
      <c r="B93" s="69"/>
      <c r="C93" s="69"/>
      <c r="D93" s="69"/>
      <c r="E93" s="74"/>
      <c r="F93" s="74"/>
      <c r="G93" s="74"/>
      <c r="H93" s="74"/>
      <c r="I93" s="67"/>
    </row>
    <row r="94" spans="1:9" x14ac:dyDescent="0.2">
      <c r="A94" s="67"/>
      <c r="B94" s="69"/>
      <c r="C94" s="69"/>
      <c r="D94" s="69"/>
      <c r="E94" s="74"/>
      <c r="F94" s="74"/>
      <c r="G94" s="74"/>
      <c r="H94" s="74"/>
      <c r="I94" s="67"/>
    </row>
    <row r="95" spans="1:9" x14ac:dyDescent="0.2">
      <c r="A95" s="67"/>
      <c r="B95" s="69"/>
      <c r="C95" s="69"/>
      <c r="D95" s="69"/>
      <c r="E95" s="74"/>
      <c r="F95" s="74"/>
      <c r="G95" s="74"/>
      <c r="H95" s="74"/>
      <c r="I95" s="67"/>
    </row>
    <row r="96" spans="1:9" x14ac:dyDescent="0.2">
      <c r="A96" s="67"/>
      <c r="B96" s="69"/>
      <c r="C96" s="69"/>
      <c r="D96" s="69"/>
      <c r="E96" s="74"/>
      <c r="F96" s="74"/>
      <c r="G96" s="74"/>
      <c r="H96" s="74"/>
      <c r="I96" s="67"/>
    </row>
    <row r="97" spans="1:11" x14ac:dyDescent="0.2">
      <c r="A97" s="67"/>
      <c r="B97" s="69"/>
      <c r="C97" s="69"/>
      <c r="D97" s="69"/>
      <c r="E97" s="74"/>
      <c r="F97" s="74"/>
      <c r="G97" s="74"/>
      <c r="H97" s="74"/>
      <c r="I97" s="67"/>
    </row>
    <row r="98" spans="1:11" ht="15.75" x14ac:dyDescent="0.2">
      <c r="B98" s="75"/>
      <c r="C98" s="81" t="s">
        <v>300</v>
      </c>
      <c r="D98" s="82" t="s">
        <v>339</v>
      </c>
      <c r="E98" s="82" t="s">
        <v>299</v>
      </c>
      <c r="F98" s="83" t="s">
        <v>331</v>
      </c>
      <c r="G98" s="83" t="s">
        <v>332</v>
      </c>
      <c r="H98" s="83" t="s">
        <v>335</v>
      </c>
      <c r="I98" s="84" t="s">
        <v>333</v>
      </c>
      <c r="J98" s="84" t="s">
        <v>336</v>
      </c>
      <c r="K98" s="85" t="s">
        <v>334</v>
      </c>
    </row>
    <row r="99" spans="1:11" x14ac:dyDescent="0.2">
      <c r="C99" s="79">
        <v>0</v>
      </c>
      <c r="D99" s="61">
        <f>Pbuf_</f>
        <v>20</v>
      </c>
      <c r="E99" s="80">
        <f>Tbuf_</f>
        <v>20</v>
      </c>
      <c r="F99" s="61">
        <v>1.0552018442401485</v>
      </c>
      <c r="G99" s="61">
        <v>15.818494693333786</v>
      </c>
      <c r="H99" s="86">
        <v>1.0170555879696215E-2</v>
      </c>
      <c r="I99" s="61">
        <v>839.67239868791899</v>
      </c>
      <c r="J99" s="61">
        <v>23.445775262397689</v>
      </c>
      <c r="K99" s="61">
        <v>23.668170630216011</v>
      </c>
    </row>
    <row r="100" spans="1:11" x14ac:dyDescent="0.2">
      <c r="C100" s="79">
        <f>C99+100</f>
        <v>100</v>
      </c>
      <c r="D100" s="61">
        <v>24.504385800236893</v>
      </c>
      <c r="E100" s="80">
        <v>23</v>
      </c>
      <c r="F100" s="61">
        <v>1.0741686942009063</v>
      </c>
      <c r="G100" s="61">
        <v>9.9458523498796332</v>
      </c>
      <c r="H100" s="86">
        <v>1.0440120454721672E-2</v>
      </c>
      <c r="I100" s="61">
        <v>831.13713094947366</v>
      </c>
      <c r="J100" s="61">
        <v>28.736151882649473</v>
      </c>
      <c r="K100" s="61">
        <v>29.814090251183568</v>
      </c>
    </row>
    <row r="101" spans="1:11" x14ac:dyDescent="0.2">
      <c r="C101" s="79">
        <f t="shared" ref="C101:C119" si="0">C100+100</f>
        <v>200</v>
      </c>
      <c r="D101" s="61">
        <v>29.428994301844341</v>
      </c>
      <c r="E101" s="80">
        <v>26</v>
      </c>
      <c r="F101" s="61">
        <v>1.0955761651027944</v>
      </c>
      <c r="G101" s="61">
        <v>6.6715078926294353</v>
      </c>
      <c r="H101" s="86">
        <v>1.0734336508631965E-2</v>
      </c>
      <c r="I101" s="61">
        <v>821.77015313029585</v>
      </c>
      <c r="J101" s="61">
        <v>34.50961719176243</v>
      </c>
      <c r="K101" s="61">
        <v>36.662749504266117</v>
      </c>
    </row>
    <row r="102" spans="1:11" x14ac:dyDescent="0.2">
      <c r="C102" s="79">
        <f t="shared" si="0"/>
        <v>300</v>
      </c>
      <c r="D102" s="61">
        <v>34.760273785088472</v>
      </c>
      <c r="E102" s="80">
        <v>29</v>
      </c>
      <c r="F102" s="61">
        <v>1.1194376009248548</v>
      </c>
      <c r="G102" s="61">
        <v>4.7196734990465474</v>
      </c>
      <c r="H102" s="86">
        <v>1.1054234221396793E-2</v>
      </c>
      <c r="I102" s="61">
        <v>811.64775400660506</v>
      </c>
      <c r="J102" s="61">
        <v>40.734300903810031</v>
      </c>
      <c r="K102" s="61">
        <v>44.190712887507104</v>
      </c>
    </row>
    <row r="103" spans="1:11" x14ac:dyDescent="0.2">
      <c r="C103" s="79">
        <f t="shared" si="0"/>
        <v>400</v>
      </c>
      <c r="D103" s="61">
        <v>40.471921461743648</v>
      </c>
      <c r="E103" s="80">
        <v>32</v>
      </c>
      <c r="F103" s="61">
        <v>1.1456893599452511</v>
      </c>
      <c r="G103" s="61">
        <v>3.4903307682403755</v>
      </c>
      <c r="H103" s="86">
        <v>1.1400054023900199E-2</v>
      </c>
      <c r="I103" s="61">
        <v>800.88186006922729</v>
      </c>
      <c r="J103" s="61">
        <v>47.357500859134319</v>
      </c>
      <c r="K103" s="61">
        <v>52.351300696184005</v>
      </c>
    </row>
    <row r="104" spans="1:11" x14ac:dyDescent="0.2">
      <c r="C104" s="79">
        <f t="shared" si="0"/>
        <v>500</v>
      </c>
      <c r="D104" s="61">
        <v>46.527340041837483</v>
      </c>
      <c r="E104" s="80">
        <v>35</v>
      </c>
      <c r="F104" s="61">
        <v>1.1741934054451573</v>
      </c>
      <c r="G104" s="61">
        <v>2.6794967849856568</v>
      </c>
      <c r="H104" s="86">
        <v>1.1771195618427294E-2</v>
      </c>
      <c r="I104" s="61">
        <v>789.61158922820198</v>
      </c>
      <c r="J104" s="61">
        <v>54.309726511694386</v>
      </c>
      <c r="K104" s="61">
        <v>61.07766130512595</v>
      </c>
    </row>
    <row r="105" spans="1:11" x14ac:dyDescent="0.2">
      <c r="C105" s="79">
        <f t="shared" si="0"/>
        <v>600</v>
      </c>
      <c r="D105" s="61">
        <v>53.142466901610597</v>
      </c>
      <c r="E105" s="80">
        <v>38</v>
      </c>
      <c r="F105" s="61">
        <v>1.2059838909325431</v>
      </c>
      <c r="G105" s="61">
        <v>2.1133645014450892</v>
      </c>
      <c r="H105" s="86">
        <v>1.2180230730342734E-2</v>
      </c>
      <c r="I105" s="61">
        <v>777.57309308075014</v>
      </c>
      <c r="J105" s="61">
        <v>61.837678102114808</v>
      </c>
      <c r="K105" s="61">
        <v>70.703504477345433</v>
      </c>
    </row>
    <row r="106" spans="1:11" x14ac:dyDescent="0.2">
      <c r="C106" s="79">
        <f t="shared" si="0"/>
        <v>700</v>
      </c>
      <c r="D106" s="61">
        <v>60.524780735373881</v>
      </c>
      <c r="E106" s="80">
        <v>41</v>
      </c>
      <c r="F106" s="77">
        <v>1.2369350694314121</v>
      </c>
      <c r="G106" s="78">
        <v>1.7318756261644206</v>
      </c>
      <c r="H106" s="87">
        <v>1.2641616076226965E-2</v>
      </c>
      <c r="I106" s="61">
        <v>766.380082048894</v>
      </c>
      <c r="J106" s="61">
        <v>70.173027430879159</v>
      </c>
      <c r="K106" s="61">
        <v>80</v>
      </c>
    </row>
    <row r="107" spans="1:11" x14ac:dyDescent="0.2">
      <c r="C107" s="79">
        <f t="shared" si="0"/>
        <v>800</v>
      </c>
      <c r="D107" s="61">
        <v>68.199185883154584</v>
      </c>
      <c r="E107" s="80">
        <v>44</v>
      </c>
      <c r="F107" s="77">
        <v>1.2379279454138048</v>
      </c>
      <c r="G107" s="77">
        <v>1.6050914650710049</v>
      </c>
      <c r="H107" s="88">
        <v>1.3131513213178372E-2</v>
      </c>
      <c r="I107" s="61">
        <v>765.76540945856311</v>
      </c>
      <c r="J107" s="61">
        <v>78.684684320393316</v>
      </c>
      <c r="K107" s="61">
        <v>80</v>
      </c>
    </row>
    <row r="108" spans="1:11" x14ac:dyDescent="0.2">
      <c r="C108" s="79">
        <f t="shared" si="0"/>
        <v>900</v>
      </c>
      <c r="D108" s="61">
        <v>75.865541421886519</v>
      </c>
      <c r="E108" s="80">
        <v>47</v>
      </c>
      <c r="F108" s="77">
        <v>1.2392337101555524</v>
      </c>
      <c r="G108" s="77">
        <v>1.5021105513180799</v>
      </c>
      <c r="H108" s="88">
        <v>1.3631288011696991E-2</v>
      </c>
      <c r="I108" s="61">
        <v>764.9585322215039</v>
      </c>
      <c r="J108" s="61">
        <v>86.965141073071379</v>
      </c>
      <c r="K108" s="61">
        <v>80</v>
      </c>
    </row>
    <row r="109" spans="1:11" x14ac:dyDescent="0.2">
      <c r="C109" s="79">
        <f t="shared" si="0"/>
        <v>1000</v>
      </c>
      <c r="D109" s="61">
        <v>83.522509609148813</v>
      </c>
      <c r="E109" s="80">
        <v>50</v>
      </c>
      <c r="F109" s="77">
        <v>1.2407666935213961</v>
      </c>
      <c r="G109" s="77">
        <v>1.4174305672282501</v>
      </c>
      <c r="H109" s="88">
        <v>1.413822386397557E-2</v>
      </c>
      <c r="I109" s="61">
        <v>764.01341601909553</v>
      </c>
      <c r="J109" s="61">
        <v>94.984932877791252</v>
      </c>
      <c r="K109" s="61">
        <v>80</v>
      </c>
    </row>
    <row r="110" spans="1:11" x14ac:dyDescent="0.2">
      <c r="C110" s="79">
        <f t="shared" si="0"/>
        <v>1100</v>
      </c>
      <c r="D110" s="61">
        <v>91.169118307768059</v>
      </c>
      <c r="E110" s="80">
        <v>53</v>
      </c>
      <c r="F110" s="77">
        <v>1.2424701146887447</v>
      </c>
      <c r="G110" s="77">
        <v>1.3470598937228604</v>
      </c>
      <c r="H110" s="88">
        <v>1.4649399516354338E-2</v>
      </c>
      <c r="I110" s="61">
        <v>762.96595692160952</v>
      </c>
      <c r="J110" s="61">
        <v>102.71559880973248</v>
      </c>
      <c r="K110" s="61">
        <v>80</v>
      </c>
    </row>
    <row r="111" spans="1:11" x14ac:dyDescent="0.2">
      <c r="C111" s="79">
        <f t="shared" si="0"/>
        <v>1200</v>
      </c>
      <c r="D111" s="61">
        <v>98.804641422231413</v>
      </c>
      <c r="E111" s="80">
        <v>56</v>
      </c>
      <c r="F111" s="77">
        <v>1.2443048550616611</v>
      </c>
      <c r="G111" s="77">
        <v>1.2880427439369433</v>
      </c>
      <c r="H111" s="88">
        <v>1.5161705270677216E-2</v>
      </c>
      <c r="I111" s="61">
        <v>761.84095573027719</v>
      </c>
      <c r="J111" s="61">
        <v>110.13010319333654</v>
      </c>
      <c r="K111" s="61">
        <v>80</v>
      </c>
    </row>
    <row r="112" spans="1:11" x14ac:dyDescent="0.2">
      <c r="C112" s="79">
        <f t="shared" si="0"/>
        <v>1300</v>
      </c>
      <c r="D112" s="61">
        <v>106.42852433960115</v>
      </c>
      <c r="E112" s="80">
        <v>59</v>
      </c>
      <c r="F112" s="77">
        <v>1.2462430868580081</v>
      </c>
      <c r="G112" s="77">
        <v>1.2381499032148984</v>
      </c>
      <c r="H112" s="88">
        <v>1.5671920555528615E-2</v>
      </c>
      <c r="I112" s="61">
        <v>760.65609510418653</v>
      </c>
      <c r="J112" s="61">
        <v>117.20395611288856</v>
      </c>
      <c r="K112" s="61">
        <v>80</v>
      </c>
    </row>
    <row r="113" spans="3:11" x14ac:dyDescent="0.2">
      <c r="C113" s="79">
        <f t="shared" si="0"/>
        <v>1400</v>
      </c>
      <c r="D113" s="61">
        <v>114.04033551977089</v>
      </c>
      <c r="E113" s="80">
        <v>62</v>
      </c>
      <c r="F113" s="77">
        <v>1.2482644730514312</v>
      </c>
      <c r="G113" s="77">
        <v>1.1956722576886711</v>
      </c>
      <c r="H113" s="88">
        <v>1.6176829253688824E-2</v>
      </c>
      <c r="I113" s="61">
        <v>759.42432109973367</v>
      </c>
      <c r="J113" s="61">
        <v>123.91650953576281</v>
      </c>
      <c r="K113" s="61">
        <v>80</v>
      </c>
    </row>
    <row r="114" spans="3:11" x14ac:dyDescent="0.2">
      <c r="C114" s="79">
        <f t="shared" si="0"/>
        <v>1500</v>
      </c>
      <c r="D114" s="61">
        <v>121.63973398015563</v>
      </c>
      <c r="E114" s="80">
        <v>65</v>
      </c>
      <c r="F114" s="77">
        <v>1.2503538047500069</v>
      </c>
      <c r="G114" s="77">
        <v>1.1592798556810564</v>
      </c>
      <c r="H114" s="88">
        <v>1.6673346765223033E-2</v>
      </c>
      <c r="I114" s="61">
        <v>758.15532883473213</v>
      </c>
      <c r="J114" s="61">
        <v>130.25203294095155</v>
      </c>
      <c r="K114" s="61">
        <v>80</v>
      </c>
    </row>
    <row r="115" spans="3:11" x14ac:dyDescent="0.2">
      <c r="C115" s="79">
        <f t="shared" si="0"/>
        <v>1600</v>
      </c>
      <c r="D115" s="61">
        <v>129.22644681586516</v>
      </c>
      <c r="E115" s="80">
        <v>68</v>
      </c>
      <c r="F115" s="77">
        <v>1.2524994795093924</v>
      </c>
      <c r="G115" s="77">
        <v>1.1279237648212477</v>
      </c>
      <c r="H115" s="88">
        <v>1.7158636129794375E-2</v>
      </c>
      <c r="I115" s="61">
        <v>756.85652210515855</v>
      </c>
      <c r="J115" s="61">
        <v>136.2003429650826</v>
      </c>
      <c r="K115" s="61">
        <v>80</v>
      </c>
    </row>
    <row r="116" spans="3:11" x14ac:dyDescent="0.2">
      <c r="C116" s="79">
        <f t="shared" si="0"/>
        <v>1700</v>
      </c>
      <c r="D116" s="61">
        <v>136.80025326553664</v>
      </c>
      <c r="E116" s="80">
        <v>71</v>
      </c>
      <c r="F116" s="77">
        <v>1.2546924910545081</v>
      </c>
      <c r="G116" s="77">
        <v>1.1007664876431216</v>
      </c>
      <c r="H116" s="88">
        <v>1.7630197475355613E-2</v>
      </c>
      <c r="I116" s="61">
        <v>755.53365207699903</v>
      </c>
      <c r="J116" s="61">
        <v>141.75692186829278</v>
      </c>
      <c r="K116" s="61">
        <v>80</v>
      </c>
    </row>
    <row r="117" spans="3:11" x14ac:dyDescent="0.2">
      <c r="C117" s="79">
        <f t="shared" si="0"/>
        <v>1800</v>
      </c>
      <c r="D117" s="61">
        <v>144.36097316848961</v>
      </c>
      <c r="E117" s="80">
        <v>74</v>
      </c>
      <c r="F117" s="77">
        <v>1.2569257405906864</v>
      </c>
      <c r="G117" s="77">
        <v>1.0771318118357864</v>
      </c>
      <c r="H117" s="88">
        <v>1.8085923133391035E-2</v>
      </c>
      <c r="I117" s="61">
        <v>754.1912536173453</v>
      </c>
      <c r="J117" s="61">
        <v>146.922577790166</v>
      </c>
      <c r="K117" s="61">
        <v>80</v>
      </c>
    </row>
    <row r="118" spans="3:11" x14ac:dyDescent="0.2">
      <c r="C118" s="79">
        <f t="shared" si="0"/>
        <v>1900</v>
      </c>
      <c r="D118" s="61">
        <v>151.90845844136237</v>
      </c>
      <c r="E118" s="80">
        <v>77</v>
      </c>
      <c r="F118" s="77">
        <v>1.2591935563280237</v>
      </c>
      <c r="G118" s="77">
        <v>1.0564681239745004</v>
      </c>
      <c r="H118" s="88">
        <v>1.8524117940101382E-2</v>
      </c>
      <c r="I118" s="61">
        <v>752.83295029271335</v>
      </c>
      <c r="J118" s="61">
        <v>151.7027658498825</v>
      </c>
      <c r="K118" s="61">
        <v>80</v>
      </c>
    </row>
    <row r="119" spans="3:11" x14ac:dyDescent="0.2">
      <c r="C119" s="79">
        <f t="shared" si="0"/>
        <v>2000</v>
      </c>
      <c r="D119" s="61">
        <v>159.4425866765632</v>
      </c>
      <c r="E119" s="80">
        <v>80</v>
      </c>
      <c r="F119" s="77">
        <v>1.2614913513209784</v>
      </c>
      <c r="G119" s="77">
        <v>1.0383212032072688</v>
      </c>
      <c r="H119" s="88">
        <v>1.8943489354045696E-2</v>
      </c>
      <c r="I119" s="61">
        <v>751.46167193880115</v>
      </c>
      <c r="J119" s="61">
        <v>156.10670915486691</v>
      </c>
      <c r="K119" s="61">
        <v>80</v>
      </c>
    </row>
    <row r="120" spans="3:11" x14ac:dyDescent="0.2">
      <c r="C120" s="76"/>
      <c r="F120" s="70"/>
      <c r="G120" s="74"/>
      <c r="H120" s="74"/>
    </row>
    <row r="121" spans="3:11" x14ac:dyDescent="0.2">
      <c r="C121" s="76"/>
      <c r="F121" s="70"/>
      <c r="G121" s="74"/>
      <c r="H121" s="74"/>
    </row>
    <row r="122" spans="3:11" x14ac:dyDescent="0.2">
      <c r="C122" s="76"/>
      <c r="F122" s="70"/>
      <c r="G122" s="74"/>
      <c r="H122" s="74"/>
    </row>
    <row r="123" spans="3:11" x14ac:dyDescent="0.2">
      <c r="F123" s="70"/>
    </row>
    <row r="124" spans="3:11" x14ac:dyDescent="0.2">
      <c r="E124" s="52" t="s">
        <v>338</v>
      </c>
      <c r="G124" s="91" t="s">
        <v>337</v>
      </c>
      <c r="I124" s="74"/>
    </row>
    <row r="125" spans="3:11" x14ac:dyDescent="0.2">
      <c r="D125">
        <v>24.314229814930052</v>
      </c>
      <c r="E125" s="62">
        <f>D100-D125</f>
        <v>0.1901559853068413</v>
      </c>
      <c r="F125" s="89"/>
      <c r="G125">
        <v>2.5035761121742182</v>
      </c>
      <c r="H125" s="74"/>
    </row>
    <row r="126" spans="3:11" x14ac:dyDescent="0.2">
      <c r="D126">
        <v>29.072308510068957</v>
      </c>
      <c r="E126" s="62">
        <f t="shared" ref="E126:E144" si="1">D101-D126</f>
        <v>0.35668579177538362</v>
      </c>
      <c r="F126" s="89"/>
      <c r="G126">
        <v>1.8138280543274927</v>
      </c>
      <c r="H126" s="74"/>
      <c r="K126" t="s">
        <v>301</v>
      </c>
    </row>
    <row r="127" spans="3:11" x14ac:dyDescent="0.2">
      <c r="D127">
        <v>34.254228972485144</v>
      </c>
      <c r="E127" s="62">
        <f>D102-D127</f>
        <v>0.5060448126033279</v>
      </c>
      <c r="F127" s="89"/>
      <c r="G127">
        <v>1.2943793859572257</v>
      </c>
      <c r="H127" s="74"/>
    </row>
    <row r="128" spans="3:11" x14ac:dyDescent="0.2">
      <c r="D128">
        <v>39.830523899304893</v>
      </c>
      <c r="E128" s="62">
        <f t="shared" si="1"/>
        <v>0.64139756243875468</v>
      </c>
      <c r="F128" s="90"/>
      <c r="G128">
        <v>0.8978739063374106</v>
      </c>
    </row>
    <row r="129" spans="4:11" x14ac:dyDescent="0.2">
      <c r="D129">
        <v>45.763174774669395</v>
      </c>
      <c r="E129" s="62">
        <f t="shared" si="1"/>
        <v>0.76416526716808875</v>
      </c>
      <c r="F129" s="90"/>
      <c r="G129">
        <v>0.59208587394331991</v>
      </c>
    </row>
    <row r="130" spans="4:11" x14ac:dyDescent="0.2">
      <c r="D130">
        <v>52.201966427285953</v>
      </c>
      <c r="E130" s="62">
        <f t="shared" si="1"/>
        <v>0.94050047432464368</v>
      </c>
      <c r="F130" s="90"/>
      <c r="G130">
        <v>0.3543841057955554</v>
      </c>
    </row>
    <row r="131" spans="4:11" x14ac:dyDescent="0.2">
      <c r="D131">
        <v>59.420457847471759</v>
      </c>
      <c r="E131" s="62">
        <f t="shared" si="1"/>
        <v>1.1043228879021214</v>
      </c>
      <c r="F131" s="90"/>
      <c r="G131">
        <v>0.16295447855840098</v>
      </c>
    </row>
    <row r="132" spans="4:11" x14ac:dyDescent="0.2">
      <c r="D132">
        <v>67.054040260068348</v>
      </c>
      <c r="E132" s="62">
        <f t="shared" si="1"/>
        <v>1.1451456230862362</v>
      </c>
      <c r="F132" s="90"/>
      <c r="G132">
        <v>0</v>
      </c>
    </row>
    <row r="133" spans="4:11" x14ac:dyDescent="0.2">
      <c r="D133">
        <v>74.680480565251102</v>
      </c>
      <c r="E133" s="62">
        <f t="shared" si="1"/>
        <v>1.1850608566354168</v>
      </c>
      <c r="F133" s="90"/>
      <c r="G133">
        <v>0</v>
      </c>
    </row>
    <row r="134" spans="4:11" x14ac:dyDescent="0.2">
      <c r="D134">
        <v>82.2982679521823</v>
      </c>
      <c r="E134" s="62">
        <f t="shared" si="1"/>
        <v>1.2242416569665124</v>
      </c>
      <c r="F134" s="90"/>
      <c r="G134">
        <v>0</v>
      </c>
    </row>
    <row r="135" spans="4:11" x14ac:dyDescent="0.2">
      <c r="D135">
        <v>89.906298250322322</v>
      </c>
      <c r="E135" s="62">
        <f t="shared" si="1"/>
        <v>1.2628200574457367</v>
      </c>
      <c r="F135" s="90"/>
      <c r="G135">
        <v>0</v>
      </c>
    </row>
    <row r="136" spans="4:11" x14ac:dyDescent="0.2">
      <c r="D136">
        <v>97.503741863347187</v>
      </c>
      <c r="E136" s="62">
        <f t="shared" si="1"/>
        <v>1.3008995588842254</v>
      </c>
      <c r="F136" s="90"/>
      <c r="G136">
        <v>0</v>
      </c>
    </row>
    <row r="137" spans="4:11" x14ac:dyDescent="0.2">
      <c r="D137">
        <v>105.08996130922802</v>
      </c>
      <c r="E137" s="62">
        <f t="shared" si="1"/>
        <v>1.3385630303731375</v>
      </c>
      <c r="F137" s="90"/>
      <c r="G137">
        <v>0</v>
      </c>
      <c r="K137" s="63"/>
    </row>
    <row r="138" spans="4:11" x14ac:dyDescent="0.2">
      <c r="D138">
        <v>112.66445757225623</v>
      </c>
      <c r="E138" s="62">
        <f t="shared" si="1"/>
        <v>1.3758779475146667</v>
      </c>
      <c r="F138" s="90"/>
      <c r="G138">
        <v>0</v>
      </c>
    </row>
    <row r="139" spans="4:11" x14ac:dyDescent="0.2">
      <c r="D139">
        <v>120.22683397684875</v>
      </c>
      <c r="E139" s="62">
        <f t="shared" si="1"/>
        <v>1.4129000033068735</v>
      </c>
      <c r="F139" s="90"/>
      <c r="G139">
        <v>0</v>
      </c>
    </row>
    <row r="140" spans="4:11" x14ac:dyDescent="0.2">
      <c r="D140">
        <v>127.77677113733766</v>
      </c>
      <c r="E140" s="62">
        <f t="shared" si="1"/>
        <v>1.4496756785274982</v>
      </c>
      <c r="F140" s="90"/>
      <c r="G140">
        <v>0</v>
      </c>
    </row>
    <row r="141" spans="4:11" x14ac:dyDescent="0.2">
      <c r="D141">
        <v>135.31400914419896</v>
      </c>
      <c r="E141" s="62">
        <f t="shared" si="1"/>
        <v>1.4862441213376769</v>
      </c>
      <c r="F141" s="90"/>
      <c r="G141">
        <v>0</v>
      </c>
    </row>
    <row r="142" spans="4:11" x14ac:dyDescent="0.2">
      <c r="D142">
        <v>142.838334614985</v>
      </c>
      <c r="E142" s="62">
        <f t="shared" si="1"/>
        <v>1.5226385535046063</v>
      </c>
      <c r="F142" s="90"/>
      <c r="G142">
        <v>0</v>
      </c>
    </row>
    <row r="143" spans="4:11" x14ac:dyDescent="0.2">
      <c r="D143">
        <v>150.34957109802826</v>
      </c>
      <c r="E143" s="62">
        <f t="shared" si="1"/>
        <v>1.5588873433341064</v>
      </c>
      <c r="F143" s="90"/>
      <c r="G143">
        <v>0</v>
      </c>
    </row>
    <row r="144" spans="4:11" x14ac:dyDescent="0.2">
      <c r="D144">
        <v>157.84757183814301</v>
      </c>
      <c r="E144" s="62">
        <f t="shared" si="1"/>
        <v>1.5950148384201839</v>
      </c>
      <c r="F144" s="90"/>
      <c r="G144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ipe_dP">
                <anchor moveWithCells="1" sizeWithCells="1">
                  <from>
                    <xdr:col>6</xdr:col>
                    <xdr:colOff>676275</xdr:colOff>
                    <xdr:row>1</xdr:row>
                    <xdr:rowOff>57150</xdr:rowOff>
                  </from>
                  <to>
                    <xdr:col>8</xdr:col>
                    <xdr:colOff>381000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dp_Pipe_fric">
                <anchor moveWithCells="1" sizeWithCells="1">
                  <from>
                    <xdr:col>9</xdr:col>
                    <xdr:colOff>247650</xdr:colOff>
                    <xdr:row>0</xdr:row>
                    <xdr:rowOff>142875</xdr:rowOff>
                  </from>
                  <to>
                    <xdr:col>14</xdr:col>
                    <xdr:colOff>133350</xdr:colOff>
                    <xdr:row>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01" t="s">
        <v>161</v>
      </c>
      <c r="C2" s="101"/>
      <c r="D2" s="101"/>
      <c r="E2" s="101"/>
      <c r="F2" s="101"/>
      <c r="G2" s="101"/>
      <c r="H2" s="101"/>
      <c r="I2" s="101"/>
      <c r="J2" s="101"/>
      <c r="K2" s="101"/>
      <c r="L2" s="101" t="s">
        <v>162</v>
      </c>
      <c r="M2" s="101"/>
      <c r="N2" s="101"/>
      <c r="O2" s="101"/>
      <c r="V2" s="102" t="s">
        <v>163</v>
      </c>
      <c r="W2" s="102"/>
      <c r="X2" s="102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30" t="s">
        <v>23</v>
      </c>
      <c r="K1" s="131"/>
      <c r="L1" s="135">
        <f>AV7-1</f>
        <v>-1</v>
      </c>
      <c r="M1" s="136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32" t="s">
        <v>24</v>
      </c>
      <c r="K2" s="133"/>
      <c r="L2" s="108">
        <f>AY11-1</f>
        <v>-1</v>
      </c>
      <c r="M2" s="134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07" t="s">
        <v>21</v>
      </c>
      <c r="C4" s="108"/>
      <c r="D4" s="109"/>
    </row>
    <row r="5" spans="1:20" x14ac:dyDescent="0.2">
      <c r="A5" s="2" t="s">
        <v>3</v>
      </c>
      <c r="B5" s="110">
        <v>1</v>
      </c>
      <c r="C5" s="111"/>
      <c r="D5" s="112"/>
    </row>
    <row r="6" spans="1:20" ht="13.5" thickBot="1" x14ac:dyDescent="0.25">
      <c r="A6" s="3" t="s">
        <v>4</v>
      </c>
      <c r="B6" s="113" t="s">
        <v>6</v>
      </c>
      <c r="C6" s="114"/>
      <c r="D6" s="115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16" t="s">
        <v>22</v>
      </c>
      <c r="B8" s="117"/>
      <c r="D8" s="116" t="s">
        <v>70</v>
      </c>
      <c r="E8" s="117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>
        <f>Qж__м3_сут*(1-B11/100)*B24</f>
        <v>38.700000000000003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18" t="s">
        <v>12</v>
      </c>
      <c r="B18" s="119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18" t="s">
        <v>5</v>
      </c>
      <c r="B23" s="119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03" t="s">
        <v>7</v>
      </c>
      <c r="B42" s="104"/>
      <c r="C42" s="122" t="s">
        <v>0</v>
      </c>
      <c r="D42" s="123"/>
      <c r="E42" s="123"/>
      <c r="F42" s="123"/>
      <c r="G42" s="123"/>
      <c r="H42" s="124"/>
      <c r="I42" s="125" t="s">
        <v>13</v>
      </c>
      <c r="J42" s="126"/>
      <c r="L42" s="137" t="s">
        <v>26</v>
      </c>
      <c r="M42" s="137"/>
      <c r="N42" s="137" t="s">
        <v>27</v>
      </c>
      <c r="O42" s="137"/>
      <c r="P42" s="137" t="s">
        <v>28</v>
      </c>
      <c r="Q42" s="137"/>
      <c r="R42" s="137" t="s">
        <v>31</v>
      </c>
      <c r="S42" s="137"/>
      <c r="T42" s="137" t="s">
        <v>33</v>
      </c>
      <c r="U42" s="137"/>
      <c r="V42" s="137" t="s">
        <v>79</v>
      </c>
      <c r="W42" s="137"/>
      <c r="X42" s="137" t="s">
        <v>35</v>
      </c>
      <c r="Y42" s="137"/>
      <c r="Z42" s="137" t="s">
        <v>36</v>
      </c>
      <c r="AA42" s="137"/>
      <c r="AB42" s="137" t="s">
        <v>37</v>
      </c>
      <c r="AC42" s="137"/>
      <c r="AD42" s="137" t="s">
        <v>38</v>
      </c>
      <c r="AE42" s="137"/>
      <c r="AF42" s="137" t="s">
        <v>39</v>
      </c>
      <c r="AG42" s="137"/>
      <c r="AH42" s="137" t="s">
        <v>40</v>
      </c>
      <c r="AI42" s="137"/>
      <c r="AJ42" s="137" t="s">
        <v>41</v>
      </c>
      <c r="AK42" s="137"/>
      <c r="AL42" s="137"/>
      <c r="AM42" s="137"/>
      <c r="AN42" s="137"/>
      <c r="AO42" s="137"/>
      <c r="AP42" s="137"/>
      <c r="AQ42" s="137"/>
      <c r="AR42" s="137"/>
      <c r="AS42" s="137"/>
      <c r="AT42" s="22"/>
    </row>
    <row r="43" spans="1:46" ht="13.5" thickBot="1" x14ac:dyDescent="0.25">
      <c r="A43" s="105"/>
      <c r="B43" s="106"/>
      <c r="C43" s="105" t="s">
        <v>69</v>
      </c>
      <c r="D43" s="106"/>
      <c r="E43" s="129"/>
      <c r="F43" s="105" t="s">
        <v>8</v>
      </c>
      <c r="G43" s="106"/>
      <c r="H43" s="129"/>
      <c r="I43" s="127"/>
      <c r="J43" s="128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20" t="s">
        <v>68</v>
      </c>
      <c r="D44" s="121"/>
      <c r="E44" s="9" t="s">
        <v>11</v>
      </c>
      <c r="F44" s="120" t="s">
        <v>68</v>
      </c>
      <c r="G44" s="121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R42:AS42"/>
    <mergeCell ref="AF42:AG42"/>
    <mergeCell ref="AH42:AI42"/>
    <mergeCell ref="AJ42:AK42"/>
    <mergeCell ref="AL42:AM42"/>
    <mergeCell ref="AN42:AO42"/>
    <mergeCell ref="AP42:AQ42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C44:D44"/>
    <mergeCell ref="F44:G44"/>
    <mergeCell ref="C42:H42"/>
    <mergeCell ref="I42:J43"/>
    <mergeCell ref="C43:E43"/>
    <mergeCell ref="F43:H43"/>
    <mergeCell ref="A42:B43"/>
    <mergeCell ref="B4:D4"/>
    <mergeCell ref="B5:D5"/>
    <mergeCell ref="B6:D6"/>
    <mergeCell ref="A8:B8"/>
    <mergeCell ref="A18:B18"/>
    <mergeCell ref="A23:B23"/>
    <mergeCell ref="D8:E8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D9" sqref="D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72</vt:i4>
      </vt:variant>
    </vt:vector>
  </HeadingPairs>
  <TitlesOfParts>
    <vt:vector size="76" baseType="lpstr">
      <vt:lpstr>Упражнения</vt:lpstr>
      <vt:lpstr>База насосов</vt:lpstr>
      <vt:lpstr>Фонтан</vt:lpstr>
      <vt:lpstr>Лист1</vt:lpstr>
      <vt:lpstr>Упражнения!Bob_</vt:lpstr>
      <vt:lpstr>Упражнения!Dcas_</vt:lpstr>
      <vt:lpstr>Упражнения!Dintake_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Упражнения!Hpump_</vt:lpstr>
      <vt:lpstr>Упражнения!N_</vt:lpstr>
      <vt:lpstr>Упражнения!Pb_</vt:lpstr>
      <vt:lpstr>Упражнения!Pbuf_</vt:lpstr>
      <vt:lpstr>Упражнения!Pdis_</vt:lpstr>
      <vt:lpstr>Упражнения!PI_</vt:lpstr>
      <vt:lpstr>PI_1</vt:lpstr>
      <vt:lpstr>Упражнения!Pintake_</vt:lpstr>
      <vt:lpstr>Упражнения!Pres_</vt:lpstr>
      <vt:lpstr>Упражнения!Pwf_</vt:lpstr>
      <vt:lpstr>Pwf_1</vt:lpstr>
      <vt:lpstr>Pwf_test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Qmax_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Упражнения!Tintake_</vt:lpstr>
      <vt:lpstr>Упражнения!Tres_</vt:lpstr>
      <vt:lpstr>Упражнения!Udl_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Киян Артём</cp:lastModifiedBy>
  <cp:lastPrinted>2007-08-27T05:31:44Z</cp:lastPrinted>
  <dcterms:created xsi:type="dcterms:W3CDTF">2005-04-11T05:46:28Z</dcterms:created>
  <dcterms:modified xsi:type="dcterms:W3CDTF">2018-09-11T18:38:40Z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