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apps\"/>
    </mc:Choice>
  </mc:AlternateContent>
  <xr:revisionPtr revIDLastSave="0" documentId="13_ncr:1_{9D72D9CD-F277-452E-A19B-A5EF3158FC0B}" xr6:coauthVersionLast="45" xr6:coauthVersionMax="45" xr10:uidLastSave="{00000000-0000-0000-0000-000000000000}"/>
  <bookViews>
    <workbookView xWindow="-38520" yWindow="-120" windowWidth="38640" windowHeight="21840" tabRatio="529" activeTab="1" xr2:uid="{00000000-000D-0000-FFFF-FFFF00000000}"/>
  </bookViews>
  <sheets>
    <sheet name="Unifloc" sheetId="6" r:id="rId1"/>
    <sheet name="PVT" sheetId="4" r:id="rId2"/>
  </sheets>
  <externalReferences>
    <externalReference r:id="rId3"/>
  </externalReferences>
  <definedNames>
    <definedName name="betta_fric_">#REF!</definedName>
    <definedName name="betta_grav_">#REF!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d_valves_mm_">#REF!</definedName>
    <definedName name="dcas_arr_mm_">#REF!</definedName>
    <definedName name="dcas_mm_">#REF!</definedName>
    <definedName name="dcas_out_mm_">#REF!</definedName>
    <definedName name="dchoke_mm_">#REF!</definedName>
    <definedName name="dtub_arr_mm_">#REF!</definedName>
    <definedName name="dtub_mm_">#REF!</definedName>
    <definedName name="dtub_out_mm_">#REF!</definedName>
    <definedName name="ESP_eff_list_">#REF!</definedName>
    <definedName name="ESP_freq_">#REF!</definedName>
    <definedName name="ESP_head_list_">#REF!</definedName>
    <definedName name="ESP_head_nom_">#REF!</definedName>
    <definedName name="ESP_ID_">#REF!</definedName>
    <definedName name="ESP_name_">#REF!</definedName>
    <definedName name="ESP_power_list_">#REF!</definedName>
    <definedName name="ESP_qmax_">#REF!</definedName>
    <definedName name="ESP_rate_list_">#REF!</definedName>
    <definedName name="ESP_rate_nom_">#REF!</definedName>
    <definedName name="ESP_stages_">#REF!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lout_">#REF!</definedName>
    <definedName name="Hlout_hmes_m_">#REF!</definedName>
    <definedName name="hmes_dcas_m_">#REF!</definedName>
    <definedName name="hmes_dcas_out_m_">#REF!</definedName>
    <definedName name="hmes_dtub_m_">#REF!</definedName>
    <definedName name="hmes_dtub_out_m_">#REF!</definedName>
    <definedName name="hmes_incl_m_">#REF!</definedName>
    <definedName name="hmes_incl_out_m_">#REF!</definedName>
    <definedName name="Hmes_mes_m_">#REF!</definedName>
    <definedName name="hmes_out_">#REF!</definedName>
    <definedName name="hmes_tamb_m_">#REF!</definedName>
    <definedName name="hmes_tamb_out_m_">#REF!</definedName>
    <definedName name="Hmes_valves_m_">#REF!</definedName>
    <definedName name="Hout_">#REF!</definedName>
    <definedName name="Hperf_m_">#REF!</definedName>
    <definedName name="Hpump_">#REF!</definedName>
    <definedName name="Htub_m_">#REF!</definedName>
    <definedName name="hvert_incl_m_">#REF!</definedName>
    <definedName name="hvert_incl_out_m_">#REF!</definedName>
    <definedName name="HydrCorr_">#REF!</definedName>
    <definedName name="HydrCorr_selector_">#REF!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#REF!</definedName>
    <definedName name="P_atma_" localSheetId="1">PVT!$C$8</definedName>
    <definedName name="p_charge_GLV_">#REF!</definedName>
    <definedName name="P_mes_atma_">#REF!</definedName>
    <definedName name="Pb_atma_" localSheetId="1">PVT!$G$15</definedName>
    <definedName name="Pb_diff_">PVT!$W$34</definedName>
    <definedName name="Pbuf_atma_">#REF!</definedName>
    <definedName name="Pbuf_out_atma_">#REF!</definedName>
    <definedName name="Pcas_atma_">#REF!</definedName>
    <definedName name="Pcas_hmes_">#REF!</definedName>
    <definedName name="Pcas_out_atma_">#REF!</definedName>
    <definedName name="Plin_mes_atma_">#REF!</definedName>
    <definedName name="Pline_atma_">#REF!</definedName>
    <definedName name="Pline_out_atma_">#REF!</definedName>
    <definedName name="pmes_out_">#REF!</definedName>
    <definedName name="Pout_">#REF!</definedName>
    <definedName name="Pout_atma_">#REF!</definedName>
    <definedName name="Pout_hmes_m_">#REF!</definedName>
    <definedName name="Power_Motor_nom_">#REF!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#REF!</definedName>
    <definedName name="PVT_correlation_" localSheetId="1">PVT!$H$3</definedName>
    <definedName name="PVT_selector_">#REF!</definedName>
    <definedName name="PVTstr_">PVT!$C$19</definedName>
    <definedName name="Pwf_atma_">#REF!</definedName>
    <definedName name="Pwf_out_atma_">#REF!</definedName>
    <definedName name="Qg_scm3day_">#REF!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PVT!$R$34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0.55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1.5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>#REF!</definedName>
    <definedName name="tamb_C_">#REF!</definedName>
    <definedName name="tamb_out_C_">#REF!</definedName>
    <definedName name="Tbh_c_">#REF!</definedName>
    <definedName name="Tbuf_out_C_">#REF!</definedName>
    <definedName name="Tlin_mes_C_">#REF!</definedName>
    <definedName name="Tline_out_C_">#REF!</definedName>
    <definedName name="tmes_out_">#REF!</definedName>
    <definedName name="Tout_C_">#REF!</definedName>
    <definedName name="Tout_hmes_m_">#REF!</definedName>
    <definedName name="Toutcas_C_">#REF!</definedName>
    <definedName name="Toutcas_hmes_m_">#REF!</definedName>
    <definedName name="Tres_C_" localSheetId="1">PVT!$G$14</definedName>
    <definedName name="Tsc_C_" localSheetId="1">PVT!$K$3</definedName>
    <definedName name="Tsep_C_" localSheetId="1">PVT!$O$10</definedName>
    <definedName name="Twf_out_C_">#REF!</definedName>
    <definedName name="Twh_C_">#REF!</definedName>
    <definedName name="U_V_">#REF!</definedName>
    <definedName name="udl_out_m_">#REF!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K10" i="4"/>
  <c r="H3" i="4"/>
  <c r="C24" i="4"/>
  <c r="C19" i="4"/>
  <c r="E38" i="4"/>
  <c r="C44" i="4"/>
  <c r="M36" i="4"/>
  <c r="I36" i="4"/>
  <c r="E37" i="4"/>
  <c r="I34" i="4"/>
  <c r="C38" i="4"/>
  <c r="C36" i="4"/>
  <c r="M37" i="4"/>
  <c r="E35" i="4"/>
  <c r="V36" i="4"/>
  <c r="C34" i="4"/>
  <c r="G24" i="4"/>
  <c r="I33" i="4"/>
  <c r="C27" i="4"/>
  <c r="E34" i="4"/>
  <c r="E33" i="4"/>
  <c r="C37" i="4"/>
  <c r="M38" i="4"/>
  <c r="C33" i="4"/>
  <c r="B1" i="6"/>
  <c r="C50" i="4"/>
  <c r="M35" i="4"/>
  <c r="E36" i="4"/>
  <c r="T36" i="4"/>
  <c r="M33" i="4"/>
  <c r="C29" i="4"/>
  <c r="I38" i="4"/>
  <c r="M34" i="4"/>
  <c r="M41" i="4"/>
  <c r="T34" i="4"/>
  <c r="C35" i="4"/>
  <c r="C46" i="4"/>
  <c r="I37" i="4"/>
  <c r="C41" i="4"/>
  <c r="C45" i="4"/>
  <c r="V34" i="4"/>
  <c r="I35" i="4"/>
  <c r="T37" i="4"/>
  <c r="T35" i="4"/>
  <c r="V35" i="4"/>
  <c r="W35" i="4" l="1"/>
  <c r="AB34" i="4" s="1"/>
  <c r="U37" i="4"/>
  <c r="AA35" i="4" s="1"/>
  <c r="U35" i="4"/>
  <c r="AA34" i="4" s="1"/>
  <c r="B80" i="4"/>
  <c r="W34" i="4"/>
  <c r="F38" i="4"/>
  <c r="F34" i="4"/>
  <c r="F35" i="4"/>
  <c r="F37" i="4"/>
  <c r="F36" i="4"/>
  <c r="F33" i="4"/>
  <c r="U34" i="4"/>
  <c r="AA33" i="4" s="1"/>
  <c r="V37" i="4"/>
  <c r="C28" i="4"/>
  <c r="W36" i="4" l="1"/>
  <c r="AB39" i="4" s="1"/>
  <c r="U36" i="4"/>
  <c r="AA39" i="4" s="1"/>
  <c r="W37" i="4"/>
  <c r="AB35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R35" i="4" l="1"/>
  <c r="AD33" i="4" s="1"/>
  <c r="A4" i="6"/>
  <c r="A1" i="6"/>
  <c r="A1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sharedStrings.xml><?xml version="1.0" encoding="utf-8"?>
<sst xmlns="http://schemas.openxmlformats.org/spreadsheetml/2006/main" count="162" uniqueCount="112">
  <si>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</si>
  <si>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</si>
  <si>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</si>
  <si>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</si>
  <si>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</si>
  <si>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</si>
  <si>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</si>
  <si>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</si>
  <si>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</si>
  <si>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</si>
  <si>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</si>
  <si>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</si>
  <si>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</si>
  <si>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</si>
  <si>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</si>
  <si>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</si>
  <si>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</si>
  <si>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</si>
  <si>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</si>
  <si>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</si>
  <si>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</si>
  <si>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</si>
  <si>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</si>
  <si>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</si>
  <si>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</si>
  <si>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</si>
  <si>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</si>
  <si>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</si>
  <si>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</si>
  <si>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</si>
  <si>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</si>
  <si>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</si>
  <si>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</si>
  <si>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</si>
  <si>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</si>
  <si>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</si>
  <si>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</si>
  <si>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</si>
  <si>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</si>
  <si>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</si>
  <si>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</si>
  <si>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</si>
  <si>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</si>
  <si>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</si>
  <si>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</si>
  <si>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</si>
  <si>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</si>
  <si>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</si>
  <si>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</si>
  <si>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</si>
  <si>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</si>
  <si>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</si>
  <si>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</si>
  <si>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</si>
  <si>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</si>
  <si>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</si>
  <si>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</si>
  <si>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</si>
  <si>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</si>
  <si>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</si>
  <si>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</si>
  <si>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</si>
  <si>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</si>
  <si>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</si>
  <si>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</si>
  <si>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</si>
  <si>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</si>
  <si>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</si>
  <si>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</si>
  <si>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</si>
  <si>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</si>
  <si>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</si>
  <si>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</si>
  <si>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</si>
  <si>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</si>
  <si>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</si>
  <si>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</si>
  <si>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</si>
  <si>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</si>
  <si>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</si>
  <si>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</si>
  <si>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</si>
  <si>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</si>
  <si>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</si>
  <si>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</si>
  <si>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</si>
  <si>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</si>
  <si>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</si>
  <si>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</si>
  <si>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</si>
  <si>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</si>
  <si>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</si>
  <si>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</si>
  <si>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</si>
  <si>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</si>
  <si>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</si>
  <si>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0 - Стендинг</t>
  </si>
  <si>
    <t>1 - Маккейн</t>
  </si>
  <si>
    <t>Набор PVT корреляций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</si>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</sst>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10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5" fillId="0" borderId="0" xfId="0" applyFont="1"/>
    <xf numFmtId="165" fontId="9" fillId="3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0.22133449984131645</c:v>
                </c:pt>
                <c:pt idx="1">
                  <c:v>1.8228765556371116</c:v>
                </c:pt>
                <c:pt idx="2">
                  <c:v>3.7647027988776043</c:v>
                </c:pt>
                <c:pt idx="3">
                  <c:v>5.9008418899321589</c:v>
                </c:pt>
                <c:pt idx="4">
                  <c:v>8.1793220883460336</c:v>
                </c:pt>
                <c:pt idx="5">
                  <c:v>10.571926387206201</c:v>
                </c:pt>
                <c:pt idx="6">
                  <c:v>13.060616965810299</c:v>
                </c:pt>
                <c:pt idx="7">
                  <c:v>15.632750224600029</c:v>
                </c:pt>
                <c:pt idx="8">
                  <c:v>18.278915862630324</c:v>
                </c:pt>
                <c:pt idx="9">
                  <c:v>20.9918068812371</c:v>
                </c:pt>
                <c:pt idx="10">
                  <c:v>23.76556725360674</c:v>
                </c:pt>
                <c:pt idx="11">
                  <c:v>26.595387296077288</c:v>
                </c:pt>
                <c:pt idx="12">
                  <c:v>29.477238550183412</c:v>
                </c:pt>
                <c:pt idx="13">
                  <c:v>32.407692392251796</c:v>
                </c:pt>
                <c:pt idx="14">
                  <c:v>35.383791495264902</c:v>
                </c:pt>
                <c:pt idx="15">
                  <c:v>38.402956056640619</c:v>
                </c:pt>
                <c:pt idx="16">
                  <c:v>41.462913692820898</c:v>
                </c:pt>
                <c:pt idx="17">
                  <c:v>44.561645919397186</c:v>
                </c:pt>
                <c:pt idx="18">
                  <c:v>47.697346547198109</c:v>
                </c:pt>
                <c:pt idx="19">
                  <c:v>50.86838882632788</c:v>
                </c:pt>
                <c:pt idx="20">
                  <c:v>54.073299135041864</c:v>
                </c:pt>
                <c:pt idx="21">
                  <c:v>61.038202323953357</c:v>
                </c:pt>
                <c:pt idx="22">
                  <c:v>68.14065479401944</c:v>
                </c:pt>
                <c:pt idx="23">
                  <c:v>75.370978740393213</c:v>
                </c:pt>
                <c:pt idx="24">
                  <c:v>82.720909646987607</c:v>
                </c:pt>
                <c:pt idx="25">
                  <c:v>90.183298834856117</c:v>
                </c:pt>
                <c:pt idx="26">
                  <c:v>97.751895126069101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0.22017182201602453</c:v>
                </c:pt>
                <c:pt idx="1">
                  <c:v>1.8133009216939022</c:v>
                </c:pt>
                <c:pt idx="2">
                  <c:v>3.744926684145343</c:v>
                </c:pt>
                <c:pt idx="3">
                  <c:v>5.8698445622634186</c:v>
                </c:pt>
                <c:pt idx="4">
                  <c:v>8.1363558249534833</c:v>
                </c:pt>
                <c:pt idx="5">
                  <c:v>10.516391690221159</c:v>
                </c:pt>
                <c:pt idx="6">
                  <c:v>12.99200909066356</c:v>
                </c:pt>
                <c:pt idx="7">
                  <c:v>15.550630843990584</c:v>
                </c:pt>
                <c:pt idx="8">
                  <c:v>18.182896081895311</c:v>
                </c:pt>
                <c:pt idx="9">
                  <c:v>20.881536189631749</c:v>
                </c:pt>
                <c:pt idx="10">
                  <c:v>23.640725902298822</c:v>
                </c:pt>
                <c:pt idx="11">
                  <c:v>26.455680801670095</c:v>
                </c:pt>
                <c:pt idx="12">
                  <c:v>29.322393590912668</c:v>
                </c:pt>
                <c:pt idx="13">
                  <c:v>32.237453657032631</c:v>
                </c:pt>
                <c:pt idx="14">
                  <c:v>35.197919207954094</c:v>
                </c:pt>
                <c:pt idx="15">
                  <c:v>38.201223992887662</c:v>
                </c:pt>
                <c:pt idx="16">
                  <c:v>41.245107565185137</c:v>
                </c:pt>
                <c:pt idx="17">
                  <c:v>44.327562043606754</c:v>
                </c:pt>
                <c:pt idx="18">
                  <c:v>47.446790726955669</c:v>
                </c:pt>
                <c:pt idx="19">
                  <c:v>50.601175410709871</c:v>
                </c:pt>
                <c:pt idx="20">
                  <c:v>54.078112786098067</c:v>
                </c:pt>
                <c:pt idx="21">
                  <c:v>54.078112786098067</c:v>
                </c:pt>
                <c:pt idx="22">
                  <c:v>54.078112786098067</c:v>
                </c:pt>
                <c:pt idx="23">
                  <c:v>54.078112786098067</c:v>
                </c:pt>
                <c:pt idx="24">
                  <c:v>54.078112786098067</c:v>
                </c:pt>
                <c:pt idx="25">
                  <c:v>54.078112786098067</c:v>
                </c:pt>
                <c:pt idx="26">
                  <c:v>54.078112786098067</c:v>
                </c:pt>
                <c:pt idx="27">
                  <c:v>54.078112786098067</c:v>
                </c:pt>
                <c:pt idx="28">
                  <c:v>54.078112786098067</c:v>
                </c:pt>
                <c:pt idx="29">
                  <c:v>54.078112786098067</c:v>
                </c:pt>
                <c:pt idx="30">
                  <c:v>54.078112786098067</c:v>
                </c:pt>
                <c:pt idx="31">
                  <c:v>54.078112786098067</c:v>
                </c:pt>
                <c:pt idx="32">
                  <c:v>54.078112786098067</c:v>
                </c:pt>
                <c:pt idx="33">
                  <c:v>54.078112786098067</c:v>
                </c:pt>
                <c:pt idx="34">
                  <c:v>54.078112786098067</c:v>
                </c:pt>
                <c:pt idx="35">
                  <c:v>54.078112786098067</c:v>
                </c:pt>
                <c:pt idx="36">
                  <c:v>54.078112786098067</c:v>
                </c:pt>
                <c:pt idx="37">
                  <c:v>54.078112786098067</c:v>
                </c:pt>
                <c:pt idx="38">
                  <c:v>54.078112786098067</c:v>
                </c:pt>
                <c:pt idx="39">
                  <c:v>54.078112786098067</c:v>
                </c:pt>
                <c:pt idx="40">
                  <c:v>54.078112786098067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0.32387326600458816</c:v>
                </c:pt>
                <c:pt idx="1">
                  <c:v>2.6673699040170122</c:v>
                </c:pt>
                <c:pt idx="2">
                  <c:v>5.5087959260000545</c:v>
                </c:pt>
                <c:pt idx="3">
                  <c:v>8.6345551029738985</c:v>
                </c:pt>
                <c:pt idx="4">
                  <c:v>11.968598480378423</c:v>
                </c:pt>
                <c:pt idx="5">
                  <c:v>15.469636814140294</c:v>
                </c:pt>
                <c:pt idx="6">
                  <c:v>19.111275810072815</c:v>
                </c:pt>
                <c:pt idx="7">
                  <c:v>22.875014403561394</c:v>
                </c:pt>
                <c:pt idx="8">
                  <c:v>26.747082735395875</c:v>
                </c:pt>
                <c:pt idx="9">
                  <c:v>30.716788656256011</c:v>
                </c:pt>
                <c:pt idx="10">
                  <c:v>34.775563187824829</c:v>
                </c:pt>
                <c:pt idx="11">
                  <c:v>38.916368439682344</c:v>
                </c:pt>
                <c:pt idx="12">
                  <c:v>43.133309668799036</c:v>
                </c:pt>
                <c:pt idx="13">
                  <c:v>47.421369855470466</c:v>
                </c:pt>
                <c:pt idx="14">
                  <c:v>51.776221616660969</c:v>
                </c:pt>
                <c:pt idx="15">
                  <c:v>56.194089991447129</c:v>
                </c:pt>
                <c:pt idx="16">
                  <c:v>60.67164985751365</c:v>
                </c:pt>
                <c:pt idx="17">
                  <c:v>65.205947616852797</c:v>
                </c:pt>
                <c:pt idx="18">
                  <c:v>69.794340317794706</c:v>
                </c:pt>
                <c:pt idx="19">
                  <c:v>74.434447577696332</c:v>
                </c:pt>
                <c:pt idx="20">
                  <c:v>79.124113082527899</c:v>
                </c:pt>
                <c:pt idx="21">
                  <c:v>89.315682606554986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812.69444661495402</c:v>
                </c:pt>
                <c:pt idx="1">
                  <c:v>811.00945104401058</c:v>
                </c:pt>
                <c:pt idx="2">
                  <c:v>808.93259839976747</c:v>
                </c:pt>
                <c:pt idx="3">
                  <c:v>806.61022131696097</c:v>
                </c:pt>
                <c:pt idx="4">
                  <c:v>804.09532591156528</c:v>
                </c:pt>
                <c:pt idx="5">
                  <c:v>801.41842976149439</c:v>
                </c:pt>
                <c:pt idx="6">
                  <c:v>798.60072723145913</c:v>
                </c:pt>
                <c:pt idx="7">
                  <c:v>795.65854648280015</c:v>
                </c:pt>
                <c:pt idx="8">
                  <c:v>792.60528420799403</c:v>
                </c:pt>
                <c:pt idx="9">
                  <c:v>789.45238210188279</c:v>
                </c:pt>
                <c:pt idx="10">
                  <c:v>786.20987470298064</c:v>
                </c:pt>
                <c:pt idx="11">
                  <c:v>782.88672262243313</c:v>
                </c:pt>
                <c:pt idx="12">
                  <c:v>779.49102885378261</c:v>
                </c:pt>
                <c:pt idx="13">
                  <c:v>776.03018699421705</c:v>
                </c:pt>
                <c:pt idx="14">
                  <c:v>772.51098758399519</c:v>
                </c:pt>
                <c:pt idx="15">
                  <c:v>768.93969746654398</c:v>
                </c:pt>
                <c:pt idx="16">
                  <c:v>765.32212106368365</c:v>
                </c:pt>
                <c:pt idx="17">
                  <c:v>761.66364909854406</c:v>
                </c:pt>
                <c:pt idx="18">
                  <c:v>757.96929833321008</c:v>
                </c:pt>
                <c:pt idx="19">
                  <c:v>754.24374469451902</c:v>
                </c:pt>
                <c:pt idx="20">
                  <c:v>750.49135141200134</c:v>
                </c:pt>
                <c:pt idx="21">
                  <c:v>742.39112627609188</c:v>
                </c:pt>
                <c:pt idx="22">
                  <c:v>734.22228760834105</c:v>
                </c:pt>
                <c:pt idx="23">
                  <c:v>726.01597612749867</c:v>
                </c:pt>
                <c:pt idx="24">
                  <c:v>717.79915120727082</c:v>
                </c:pt>
                <c:pt idx="25">
                  <c:v>709.59512253842308</c:v>
                </c:pt>
                <c:pt idx="26">
                  <c:v>701.42399920011428</c:v>
                </c:pt>
                <c:pt idx="27">
                  <c:v>699.86721016208139</c:v>
                </c:pt>
                <c:pt idx="28">
                  <c:v>700.83117960825143</c:v>
                </c:pt>
                <c:pt idx="29">
                  <c:v>701.69174893193394</c:v>
                </c:pt>
                <c:pt idx="30">
                  <c:v>702.46470753442532</c:v>
                </c:pt>
                <c:pt idx="31">
                  <c:v>703.16278586006024</c:v>
                </c:pt>
                <c:pt idx="32">
                  <c:v>703.79636193705073</c:v>
                </c:pt>
                <c:pt idx="33">
                  <c:v>704.37398073895167</c:v>
                </c:pt>
                <c:pt idx="34">
                  <c:v>704.90274177188724</c:v>
                </c:pt>
                <c:pt idx="35">
                  <c:v>705.38859231071388</c:v>
                </c:pt>
                <c:pt idx="36">
                  <c:v>705.83655203485102</c:v>
                </c:pt>
                <c:pt idx="37">
                  <c:v>706.25088708406372</c:v>
                </c:pt>
                <c:pt idx="38">
                  <c:v>706.6352463403523</c:v>
                </c:pt>
                <c:pt idx="39">
                  <c:v>706.99276916598456</c:v>
                </c:pt>
                <c:pt idx="40">
                  <c:v>707.32617133713416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812.69457686375415</c:v>
                </c:pt>
                <c:pt idx="1">
                  <c:v>811.01808731075937</c:v>
                </c:pt>
                <c:pt idx="2">
                  <c:v>808.95187943037433</c:v>
                </c:pt>
                <c:pt idx="3">
                  <c:v>806.64155775185691</c:v>
                </c:pt>
                <c:pt idx="4">
                  <c:v>804.13984046619169</c:v>
                </c:pt>
                <c:pt idx="5">
                  <c:v>801.47705923518879</c:v>
                </c:pt>
                <c:pt idx="6">
                  <c:v>798.67426524085261</c:v>
                </c:pt>
                <c:pt idx="7">
                  <c:v>795.74766714833902</c:v>
                </c:pt>
                <c:pt idx="8">
                  <c:v>792.7105578570812</c:v>
                </c:pt>
                <c:pt idx="9">
                  <c:v>789.57428697437865</c:v>
                </c:pt>
                <c:pt idx="10">
                  <c:v>786.34880635933007</c:v>
                </c:pt>
                <c:pt idx="11">
                  <c:v>783.04300187632271</c:v>
                </c:pt>
                <c:pt idx="12">
                  <c:v>779.66490866911238</c:v>
                </c:pt>
                <c:pt idx="13">
                  <c:v>776.22185860298782</c:v>
                </c:pt>
                <c:pt idx="14">
                  <c:v>772.72058598647095</c:v>
                </c:pt>
                <c:pt idx="15">
                  <c:v>769.16730642191544</c:v>
                </c:pt>
                <c:pt idx="16">
                  <c:v>765.5677776479348</c:v>
                </c:pt>
                <c:pt idx="17">
                  <c:v>761.92734788644702</c:v>
                </c:pt>
                <c:pt idx="18">
                  <c:v>758.25099524837321</c:v>
                </c:pt>
                <c:pt idx="19">
                  <c:v>754.5433605624911</c:v>
                </c:pt>
                <c:pt idx="20">
                  <c:v>750.47280555421958</c:v>
                </c:pt>
                <c:pt idx="21">
                  <c:v>751.35757964299705</c:v>
                </c:pt>
                <c:pt idx="22">
                  <c:v>752.08853562310128</c:v>
                </c:pt>
                <c:pt idx="23">
                  <c:v>752.70257728646789</c:v>
                </c:pt>
                <c:pt idx="24">
                  <c:v>753.22567748056952</c:v>
                </c:pt>
                <c:pt idx="25">
                  <c:v>753.67664625151463</c:v>
                </c:pt>
                <c:pt idx="26">
                  <c:v>754.06944077380717</c:v>
                </c:pt>
                <c:pt idx="27">
                  <c:v>754.41463553166352</c:v>
                </c:pt>
                <c:pt idx="28">
                  <c:v>754.72038856476684</c:v>
                </c:pt>
                <c:pt idx="29">
                  <c:v>754.99309441082789</c:v>
                </c:pt>
                <c:pt idx="30">
                  <c:v>755.23783618729294</c:v>
                </c:pt>
                <c:pt idx="31">
                  <c:v>755.4587053841741</c:v>
                </c:pt>
                <c:pt idx="32">
                  <c:v>755.65903243008938</c:v>
                </c:pt>
                <c:pt idx="33">
                  <c:v>755.84155578562547</c:v>
                </c:pt>
                <c:pt idx="34">
                  <c:v>756.0085478716918</c:v>
                </c:pt>
                <c:pt idx="35">
                  <c:v>756.16191016357038</c:v>
                </c:pt>
                <c:pt idx="36">
                  <c:v>756.30324591357044</c:v>
                </c:pt>
                <c:pt idx="37">
                  <c:v>756.43391641077153</c:v>
                </c:pt>
                <c:pt idx="38">
                  <c:v>756.55508496776906</c:v>
                </c:pt>
                <c:pt idx="39">
                  <c:v>756.66775164839885</c:v>
                </c:pt>
                <c:pt idx="40">
                  <c:v>756.77278093318716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813.6114333995265</c:v>
                </c:pt>
                <c:pt idx="1">
                  <c:v>811.7236406963367</c:v>
                </c:pt>
                <c:pt idx="2">
                  <c:v>809.3677392593288</c:v>
                </c:pt>
                <c:pt idx="3">
                  <c:v>806.70371424075313</c:v>
                </c:pt>
                <c:pt idx="4">
                  <c:v>803.79186794632153</c:v>
                </c:pt>
                <c:pt idx="5">
                  <c:v>800.66908323435405</c:v>
                </c:pt>
                <c:pt idx="6">
                  <c:v>797.36250444665666</c:v>
                </c:pt>
                <c:pt idx="7">
                  <c:v>793.89404499325008</c:v>
                </c:pt>
                <c:pt idx="8">
                  <c:v>790.28231462556425</c:v>
                </c:pt>
                <c:pt idx="9">
                  <c:v>786.54359160320428</c:v>
                </c:pt>
                <c:pt idx="10">
                  <c:v>782.69237601630402</c:v>
                </c:pt>
                <c:pt idx="11">
                  <c:v>778.74173582717492</c:v>
                </c:pt>
                <c:pt idx="12">
                  <c:v>774.70354029695761</c:v>
                </c:pt>
                <c:pt idx="13">
                  <c:v>770.58862742900158</c:v>
                </c:pt>
                <c:pt idx="14">
                  <c:v>766.40693024108896</c:v>
                </c:pt>
                <c:pt idx="15">
                  <c:v>762.16757594024682</c:v>
                </c:pt>
                <c:pt idx="16">
                  <c:v>757.87896642678834</c:v>
                </c:pt>
                <c:pt idx="17">
                  <c:v>753.54884541280546</c:v>
                </c:pt>
                <c:pt idx="18">
                  <c:v>749.18435560608657</c:v>
                </c:pt>
                <c:pt idx="19">
                  <c:v>744.79208829329627</c:v>
                </c:pt>
                <c:pt idx="20">
                  <c:v>740.3781269502839</c:v>
                </c:pt>
                <c:pt idx="21">
                  <c:v>730.88661089194875</c:v>
                </c:pt>
                <c:pt idx="22">
                  <c:v>721.15153217953105</c:v>
                </c:pt>
                <c:pt idx="23">
                  <c:v>722.61027634141078</c:v>
                </c:pt>
                <c:pt idx="24">
                  <c:v>723.85436237414115</c:v>
                </c:pt>
                <c:pt idx="25">
                  <c:v>724.92792283962683</c:v>
                </c:pt>
                <c:pt idx="26">
                  <c:v>725.86376866092758</c:v>
                </c:pt>
                <c:pt idx="27">
                  <c:v>726.68680074835868</c:v>
                </c:pt>
                <c:pt idx="28">
                  <c:v>727.41625811859183</c:v>
                </c:pt>
                <c:pt idx="29">
                  <c:v>728.06724053750327</c:v>
                </c:pt>
                <c:pt idx="30">
                  <c:v>728.65176487416454</c:v>
                </c:pt>
                <c:pt idx="31">
                  <c:v>729.17951366705915</c:v>
                </c:pt>
                <c:pt idx="32">
                  <c:v>729.65837568156212</c:v>
                </c:pt>
                <c:pt idx="33">
                  <c:v>730.09484290706257</c:v>
                </c:pt>
                <c:pt idx="34">
                  <c:v>730.49430658869574</c:v>
                </c:pt>
                <c:pt idx="35">
                  <c:v>730.86128103259421</c:v>
                </c:pt>
                <c:pt idx="36">
                  <c:v>731.19957494006985</c:v>
                </c:pt>
                <c:pt idx="37">
                  <c:v>731.51242408299936</c:v>
                </c:pt>
                <c:pt idx="38">
                  <c:v>731.80259512801547</c:v>
                </c:pt>
                <c:pt idx="39">
                  <c:v>732.07246767298295</c:v>
                </c:pt>
                <c:pt idx="40">
                  <c:v>732.32409964968542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1.0092222070264942</c:v>
                </c:pt>
                <c:pt idx="1">
                  <c:v>1.0130078074232358</c:v>
                </c:pt>
                <c:pt idx="2">
                  <c:v>1.0176614687244241</c:v>
                </c:pt>
                <c:pt idx="3">
                  <c:v>1.0228562931285314</c:v>
                </c:pt>
                <c:pt idx="4">
                  <c:v>1.0284786489950146</c:v>
                </c:pt>
                <c:pt idx="5">
                  <c:v>1.0344671084913795</c:v>
                </c:pt>
                <c:pt idx="6">
                  <c:v>1.0407820587697671</c:v>
                </c:pt>
                <c:pt idx="7">
                  <c:v>1.0473952367488215</c:v>
                </c:pt>
                <c:pt idx="8">
                  <c:v>1.0542851059737293</c:v>
                </c:pt>
                <c:pt idx="9">
                  <c:v>1.0614344858847018</c:v>
                </c:pt>
                <c:pt idx="10">
                  <c:v>1.0688292051496744</c:v>
                </c:pt>
                <c:pt idx="11">
                  <c:v>1.0764572765250062</c:v>
                </c:pt>
                <c:pt idx="12">
                  <c:v>1.0843083606473116</c:v>
                </c:pt>
                <c:pt idx="13">
                  <c:v>1.0923734007569565</c:v>
                </c:pt>
                <c:pt idx="14">
                  <c:v>1.1006443640471673</c:v>
                </c:pt>
                <c:pt idx="15">
                  <c:v>1.109114052506289</c:v>
                </c:pt>
                <c:pt idx="16">
                  <c:v>1.1177759607575479</c:v>
                </c:pt>
                <c:pt idx="17">
                  <c:v>1.126624166703257</c:v>
                </c:pt>
                <c:pt idx="18">
                  <c:v>1.1356532457008399</c:v>
                </c:pt>
                <c:pt idx="19">
                  <c:v>1.1448582020260833</c:v>
                </c:pt>
                <c:pt idx="20">
                  <c:v>1.1542344133047182</c:v>
                </c:pt>
                <c:pt idx="21">
                  <c:v>1.1748514083411266</c:v>
                </c:pt>
                <c:pt idx="22">
                  <c:v>1.1961952414086863</c:v>
                </c:pt>
                <c:pt idx="23">
                  <c:v>1.218232843892231</c:v>
                </c:pt>
                <c:pt idx="24">
                  <c:v>1.2409350069902738</c:v>
                </c:pt>
                <c:pt idx="25">
                  <c:v>1.2642756789552245</c:v>
                </c:pt>
                <c:pt idx="26">
                  <c:v>1.2882314323765667</c:v>
                </c:pt>
                <c:pt idx="27">
                  <c:v>1.2938440133383187</c:v>
                </c:pt>
                <c:pt idx="28">
                  <c:v>1.2920643749128917</c:v>
                </c:pt>
                <c:pt idx="29">
                  <c:v>1.2904797603482121</c:v>
                </c:pt>
                <c:pt idx="30">
                  <c:v>1.2890597780752191</c:v>
                </c:pt>
                <c:pt idx="31">
                  <c:v>1.2877800392869647</c:v>
                </c:pt>
                <c:pt idx="32">
                  <c:v>1.2866207456767045</c:v>
                </c:pt>
                <c:pt idx="33">
                  <c:v>1.2855656579620234</c:v>
                </c:pt>
                <c:pt idx="34">
                  <c:v>1.2846013305663009</c:v>
                </c:pt>
                <c:pt idx="35">
                  <c:v>1.2837165356384603</c:v>
                </c:pt>
                <c:pt idx="36">
                  <c:v>1.282901823927205</c:v>
                </c:pt>
                <c:pt idx="37">
                  <c:v>1.2821491860189589</c:v>
                </c:pt>
                <c:pt idx="38">
                  <c:v>1.2814517881603869</c:v>
                </c:pt>
                <c:pt idx="39">
                  <c:v>1.2808037641858914</c:v>
                </c:pt>
                <c:pt idx="40">
                  <c:v>1.2802000501242599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1.0092208218069258</c:v>
                </c:pt>
                <c:pt idx="1">
                  <c:v>1.0129869230652906</c:v>
                </c:pt>
                <c:pt idx="2">
                  <c:v>1.0176163067087187</c:v>
                </c:pt>
                <c:pt idx="3">
                  <c:v>1.0227836942477475</c:v>
                </c:pt>
                <c:pt idx="4">
                  <c:v>1.0283760218353584</c:v>
                </c:pt>
                <c:pt idx="5">
                  <c:v>1.0343321788905961</c:v>
                </c:pt>
                <c:pt idx="6">
                  <c:v>1.0406127659611146</c:v>
                </c:pt>
                <c:pt idx="7">
                  <c:v>1.0471896788308563</c:v>
                </c:pt>
                <c:pt idx="8">
                  <c:v>1.0540415068508755</c:v>
                </c:pt>
                <c:pt idx="9">
                  <c:v>1.0611511731779575</c:v>
                </c:pt>
                <c:pt idx="10">
                  <c:v>1.0685045943853586</c:v>
                </c:pt>
                <c:pt idx="11">
                  <c:v>1.0760898592359402</c:v>
                </c:pt>
                <c:pt idx="12">
                  <c:v>1.0838966950783475</c:v>
                </c:pt>
                <c:pt idx="13">
                  <c:v>1.0919161043962067</c:v>
                </c:pt>
                <c:pt idx="14">
                  <c:v>1.1001401074907224</c:v>
                </c:pt>
                <c:pt idx="15">
                  <c:v>1.1085615543294534</c:v>
                </c:pt>
                <c:pt idx="16">
                  <c:v>1.1171739831662413</c:v>
                </c:pt>
                <c:pt idx="17">
                  <c:v>1.1259715118034186</c:v>
                </c:pt>
                <c:pt idx="18">
                  <c:v>1.1349487522662522</c:v>
                </c:pt>
                <c:pt idx="19">
                  <c:v>1.1441007426742691</c:v>
                </c:pt>
                <c:pt idx="20">
                  <c:v>1.1542684223365363</c:v>
                </c:pt>
                <c:pt idx="21">
                  <c:v>1.1529091936293969</c:v>
                </c:pt>
                <c:pt idx="22">
                  <c:v>1.1517886794483074</c:v>
                </c:pt>
                <c:pt idx="23">
                  <c:v>1.1508490702880401</c:v>
                </c:pt>
                <c:pt idx="24">
                  <c:v>1.1500498285865848</c:v>
                </c:pt>
                <c:pt idx="25">
                  <c:v>1.1493616865825798</c:v>
                </c:pt>
                <c:pt idx="26">
                  <c:v>1.1487629844601872</c:v>
                </c:pt>
                <c:pt idx="27">
                  <c:v>1.1482373491641864</c:v>
                </c:pt>
                <c:pt idx="28">
                  <c:v>1.147772174170177</c:v>
                </c:pt>
                <c:pt idx="29">
                  <c:v>1.1473575953029533</c:v>
                </c:pt>
                <c:pt idx="30">
                  <c:v>1.1469857835071717</c:v>
                </c:pt>
                <c:pt idx="31">
                  <c:v>1.1466504457487583</c:v>
                </c:pt>
                <c:pt idx="32">
                  <c:v>1.146346465928977</c:v>
                </c:pt>
                <c:pt idx="33">
                  <c:v>1.1460696420338541</c:v>
                </c:pt>
                <c:pt idx="34">
                  <c:v>1.1458164907158706</c:v>
                </c:pt>
                <c:pt idx="35">
                  <c:v>1.1455840999530902</c:v>
                </c:pt>
                <c:pt idx="36">
                  <c:v>1.1453700165297678</c:v>
                </c:pt>
                <c:pt idx="37">
                  <c:v>1.1451721591012571</c:v>
                </c:pt>
                <c:pt idx="38">
                  <c:v>1.1449887503042124</c:v>
                </c:pt>
                <c:pt idx="39">
                  <c:v>1.144818263215825</c:v>
                </c:pt>
                <c:pt idx="40">
                  <c:v>1.1446593787442536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1.0081925345505252</c:v>
                </c:pt>
                <c:pt idx="1">
                  <c:v>1.0130062337014392</c:v>
                </c:pt>
                <c:pt idx="2">
                  <c:v>1.0189571775404196</c:v>
                </c:pt>
                <c:pt idx="3">
                  <c:v>1.0256357700760346</c:v>
                </c:pt>
                <c:pt idx="4">
                  <c:v>1.0328985137106155</c:v>
                </c:pt>
                <c:pt idx="5">
                  <c:v>1.0406664827636416</c:v>
                </c:pt>
                <c:pt idx="6">
                  <c:v>1.0488877609568701</c:v>
                </c:pt>
                <c:pt idx="7">
                  <c:v>1.0575246015038693</c:v>
                </c:pt>
                <c:pt idx="8">
                  <c:v>1.0665477666469567</c:v>
                </c:pt>
                <c:pt idx="9">
                  <c:v>1.0759336157910868</c:v>
                </c:pt>
                <c:pt idx="10">
                  <c:v>1.0856624389361564</c:v>
                </c:pt>
                <c:pt idx="11">
                  <c:v>1.0957174244932204</c:v>
                </c:pt>
                <c:pt idx="12">
                  <c:v>1.106083979901783</c:v>
                </c:pt>
                <c:pt idx="13">
                  <c:v>1.1167492623890134</c:v>
                </c:pt>
                <c:pt idx="14">
                  <c:v>1.1277018420129314</c:v>
                </c:pt>
                <c:pt idx="15">
                  <c:v>1.1389314518515288</c:v>
                </c:pt>
                <c:pt idx="16">
                  <c:v>1.1504287978229197</c:v>
                </c:pt>
                <c:pt idx="17">
                  <c:v>1.1621854106387752</c:v>
                </c:pt>
                <c:pt idx="18">
                  <c:v>1.1741935283535276</c:v>
                </c:pt>
                <c:pt idx="19">
                  <c:v>1.1864460016605196</c:v>
                </c:pt>
                <c:pt idx="20">
                  <c:v>1.1989362164485626</c:v>
                </c:pt>
                <c:pt idx="21">
                  <c:v>1.2264308379030042</c:v>
                </c:pt>
                <c:pt idx="22">
                  <c:v>1.2556570423739606</c:v>
                </c:pt>
                <c:pt idx="23">
                  <c:v>1.2531222287408634</c:v>
                </c:pt>
                <c:pt idx="24">
                  <c:v>1.2509684918248254</c:v>
                </c:pt>
                <c:pt idx="25">
                  <c:v>1.2491159072104394</c:v>
                </c:pt>
                <c:pt idx="26">
                  <c:v>1.2475054398575369</c:v>
                </c:pt>
                <c:pt idx="27">
                  <c:v>1.2460925381711567</c:v>
                </c:pt>
                <c:pt idx="28">
                  <c:v>1.2448429491279966</c:v>
                </c:pt>
                <c:pt idx="29">
                  <c:v>1.2437299051272943</c:v>
                </c:pt>
                <c:pt idx="30">
                  <c:v>1.2427321851836586</c:v>
                </c:pt>
                <c:pt idx="31">
                  <c:v>1.2418327490388832</c:v>
                </c:pt>
                <c:pt idx="32">
                  <c:v>1.2410177559521183</c:v>
                </c:pt>
                <c:pt idx="33">
                  <c:v>1.2402758474425604</c:v>
                </c:pt>
                <c:pt idx="34">
                  <c:v>1.2395976147009886</c:v>
                </c:pt>
                <c:pt idx="35">
                  <c:v>1.2389751974829497</c:v>
                </c:pt>
                <c:pt idx="36">
                  <c:v>1.2384019781114035</c:v>
                </c:pt>
                <c:pt idx="37">
                  <c:v>1.237872345278523</c:v>
                </c:pt>
                <c:pt idx="38">
                  <c:v>1.2373815097520882</c:v>
                </c:pt>
                <c:pt idx="39">
                  <c:v>1.236925359149684</c:v>
                </c:pt>
                <c:pt idx="40">
                  <c:v>1.2365003424483285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3.3044756497159606</c:v>
                </c:pt>
                <c:pt idx="1">
                  <c:v>3.0463280255966114</c:v>
                </c:pt>
                <c:pt idx="2">
                  <c:v>2.7828819529534874</c:v>
                </c:pt>
                <c:pt idx="3">
                  <c:v>2.5414536156729715</c:v>
                </c:pt>
                <c:pt idx="4">
                  <c:v>2.3266621552414422</c:v>
                </c:pt>
                <c:pt idx="5">
                  <c:v>2.1375655312239479</c:v>
                </c:pt>
                <c:pt idx="6">
                  <c:v>1.9715560140794453</c:v>
                </c:pt>
                <c:pt idx="7">
                  <c:v>1.8256914170157226</c:v>
                </c:pt>
                <c:pt idx="8">
                  <c:v>1.6971821469496657</c:v>
                </c:pt>
                <c:pt idx="9">
                  <c:v>1.5835527607096513</c:v>
                </c:pt>
                <c:pt idx="10">
                  <c:v>1.482672026300256</c:v>
                </c:pt>
                <c:pt idx="11">
                  <c:v>1.3927313517744839</c:v>
                </c:pt>
                <c:pt idx="12">
                  <c:v>1.312205754415638</c:v>
                </c:pt>
                <c:pt idx="13">
                  <c:v>1.239811945537703</c:v>
                </c:pt>
                <c:pt idx="14">
                  <c:v>1.1744694069445689</c:v>
                </c:pt>
                <c:pt idx="15">
                  <c:v>1.1152664429449679</c:v>
                </c:pt>
                <c:pt idx="16">
                  <c:v>1.0614314876597817</c:v>
                </c:pt>
                <c:pt idx="17">
                  <c:v>1.0123092523613462</c:v>
                </c:pt>
                <c:pt idx="18">
                  <c:v>0.96734106551192334</c:v>
                </c:pt>
                <c:pt idx="19">
                  <c:v>0.92604873183099945</c:v>
                </c:pt>
                <c:pt idx="20">
                  <c:v>0.88802129465779334</c:v>
                </c:pt>
                <c:pt idx="21">
                  <c:v>0.81604282901948588</c:v>
                </c:pt>
                <c:pt idx="22">
                  <c:v>0.75464641476526673</c:v>
                </c:pt>
                <c:pt idx="23">
                  <c:v>0.70173514670445125</c:v>
                </c:pt>
                <c:pt idx="24">
                  <c:v>0.6557164824007039</c:v>
                </c:pt>
                <c:pt idx="25">
                  <c:v>0.61536284859829204</c:v>
                </c:pt>
                <c:pt idx="26">
                  <c:v>0.57971503069600172</c:v>
                </c:pt>
                <c:pt idx="27">
                  <c:v>0.57450848712849756</c:v>
                </c:pt>
                <c:pt idx="28">
                  <c:v>0.58063380182202895</c:v>
                </c:pt>
                <c:pt idx="29">
                  <c:v>0.58716026919752351</c:v>
                </c:pt>
                <c:pt idx="30">
                  <c:v>0.59407171276916748</c:v>
                </c:pt>
                <c:pt idx="31">
                  <c:v>0.60135369893534518</c:v>
                </c:pt>
                <c:pt idx="32">
                  <c:v>0.60899326644603313</c:v>
                </c:pt>
                <c:pt idx="33">
                  <c:v>0.61697870219666295</c:v>
                </c:pt>
                <c:pt idx="34">
                  <c:v>0.62529935388754643</c:v>
                </c:pt>
                <c:pt idx="35">
                  <c:v>0.63394547232610399</c:v>
                </c:pt>
                <c:pt idx="36">
                  <c:v>0.64290807779132253</c:v>
                </c:pt>
                <c:pt idx="37">
                  <c:v>0.65217884610161647</c:v>
                </c:pt>
                <c:pt idx="38">
                  <c:v>0.66175001094777586</c:v>
                </c:pt>
                <c:pt idx="39">
                  <c:v>0.67161427975420618</c:v>
                </c:pt>
                <c:pt idx="40">
                  <c:v>0.68176476087196747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2.1213261025909711</c:v>
                </c:pt>
                <c:pt idx="1">
                  <c:v>1.9564002071350157</c:v>
                </c:pt>
                <c:pt idx="2">
                  <c:v>1.7879501336677996</c:v>
                </c:pt>
                <c:pt idx="3">
                  <c:v>1.6334538693784904</c:v>
                </c:pt>
                <c:pt idx="4">
                  <c:v>1.4959021977125619</c:v>
                </c:pt>
                <c:pt idx="5">
                  <c:v>1.3747260398184336</c:v>
                </c:pt>
                <c:pt idx="6">
                  <c:v>1.2682828183155008</c:v>
                </c:pt>
                <c:pt idx="7">
                  <c:v>1.1747084603108804</c:v>
                </c:pt>
                <c:pt idx="8">
                  <c:v>1.0922306330686808</c:v>
                </c:pt>
                <c:pt idx="9">
                  <c:v>1.0192737218604462</c:v>
                </c:pt>
                <c:pt idx="10">
                  <c:v>0.95447934942235402</c:v>
                </c:pt>
                <c:pt idx="11">
                  <c:v>0.89669351890138072</c:v>
                </c:pt>
                <c:pt idx="12">
                  <c:v>0.84494230899075795</c:v>
                </c:pt>
                <c:pt idx="13">
                  <c:v>0.79840551861366504</c:v>
                </c:pt>
                <c:pt idx="14">
                  <c:v>0.75639208011580294</c:v>
                </c:pt>
                <c:pt idx="15">
                  <c:v>0.71831855459639848</c:v>
                </c:pt>
                <c:pt idx="16">
                  <c:v>0.6836909199228981</c:v>
                </c:pt>
                <c:pt idx="17">
                  <c:v>0.65208940772382584</c:v>
                </c:pt>
                <c:pt idx="18">
                  <c:v>0.62315599032512992</c:v>
                </c:pt>
                <c:pt idx="19">
                  <c:v>0.59658409697574599</c:v>
                </c:pt>
                <c:pt idx="20">
                  <c:v>0.57000939651220928</c:v>
                </c:pt>
                <c:pt idx="21">
                  <c:v>0.5757390527077495</c:v>
                </c:pt>
                <c:pt idx="22">
                  <c:v>0.58214665710438718</c:v>
                </c:pt>
                <c:pt idx="23">
                  <c:v>0.58919069086219444</c:v>
                </c:pt>
                <c:pt idx="24">
                  <c:v>0.59683662393692249</c:v>
                </c:pt>
                <c:pt idx="25">
                  <c:v>0.6050554346663235</c:v>
                </c:pt>
                <c:pt idx="26">
                  <c:v>0.61382250193001575</c:v>
                </c:pt>
                <c:pt idx="27">
                  <c:v>0.62311675876178596</c:v>
                </c:pt>
                <c:pt idx="28">
                  <c:v>0.63292003408229347</c:v>
                </c:pt>
                <c:pt idx="29">
                  <c:v>0.64321653272996115</c:v>
                </c:pt>
                <c:pt idx="30">
                  <c:v>0.65399241908279371</c:v>
                </c:pt>
                <c:pt idx="31">
                  <c:v>0.66523547956157136</c:v>
                </c:pt>
                <c:pt idx="32">
                  <c:v>0.67693484608390331</c:v>
                </c:pt>
                <c:pt idx="33">
                  <c:v>0.68908076723668565</c:v>
                </c:pt>
                <c:pt idx="34">
                  <c:v>0.70166441725410933</c:v>
                </c:pt>
                <c:pt idx="35">
                  <c:v>0.71467773527491751</c:v>
                </c:pt>
                <c:pt idx="36">
                  <c:v>0.72811328909522421</c:v>
                </c:pt>
                <c:pt idx="37">
                  <c:v>0.74196415892360146</c:v>
                </c:pt>
                <c:pt idx="38">
                  <c:v>0.75622383761292233</c:v>
                </c:pt>
                <c:pt idx="39">
                  <c:v>0.77088614457768612</c:v>
                </c:pt>
                <c:pt idx="40">
                  <c:v>0.78594515116852937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6.8808199688588436</c:v>
                </c:pt>
                <c:pt idx="1">
                  <c:v>6.1254479526688046</c:v>
                </c:pt>
                <c:pt idx="2">
                  <c:v>5.4067290699968424</c:v>
                </c:pt>
                <c:pt idx="3">
                  <c:v>4.7902869145423681</c:v>
                </c:pt>
                <c:pt idx="4">
                  <c:v>4.2730303205358382</c:v>
                </c:pt>
                <c:pt idx="5">
                  <c:v>3.840189002501782</c:v>
                </c:pt>
                <c:pt idx="6">
                  <c:v>3.4764769736734715</c:v>
                </c:pt>
                <c:pt idx="7">
                  <c:v>3.1687528522078887</c:v>
                </c:pt>
                <c:pt idx="8">
                  <c:v>2.9063630692355238</c:v>
                </c:pt>
                <c:pt idx="9">
                  <c:v>2.6808487292430017</c:v>
                </c:pt>
                <c:pt idx="10">
                  <c:v>2.4855307198114578</c:v>
                </c:pt>
                <c:pt idx="11">
                  <c:v>2.3151275345121229</c:v>
                </c:pt>
                <c:pt idx="12">
                  <c:v>2.1654424009159592</c:v>
                </c:pt>
                <c:pt idx="13">
                  <c:v>2.0331186146935791</c:v>
                </c:pt>
                <c:pt idx="14">
                  <c:v>1.9154517619243687</c:v>
                </c:pt>
                <c:pt idx="15">
                  <c:v>1.8102465099063763</c:v>
                </c:pt>
                <c:pt idx="16">
                  <c:v>1.7157073878440552</c:v>
                </c:pt>
                <c:pt idx="17">
                  <c:v>1.6303552064088813</c:v>
                </c:pt>
                <c:pt idx="18">
                  <c:v>1.552962760417572</c:v>
                </c:pt>
                <c:pt idx="19">
                  <c:v>1.4825050556015225</c:v>
                </c:pt>
                <c:pt idx="20">
                  <c:v>1.4181205180385463</c:v>
                </c:pt>
                <c:pt idx="21">
                  <c:v>1.2975280448390474</c:v>
                </c:pt>
                <c:pt idx="22">
                  <c:v>1.19380462012872</c:v>
                </c:pt>
                <c:pt idx="23">
                  <c:v>1.2107302411959062</c:v>
                </c:pt>
                <c:pt idx="24">
                  <c:v>1.2292628137340369</c:v>
                </c:pt>
                <c:pt idx="25">
                  <c:v>1.2493127575664098</c:v>
                </c:pt>
                <c:pt idx="26">
                  <c:v>1.2708034807817767</c:v>
                </c:pt>
                <c:pt idx="27">
                  <c:v>1.2936687015986079</c:v>
                </c:pt>
                <c:pt idx="28">
                  <c:v>1.317850371786208</c:v>
                </c:pt>
                <c:pt idx="29">
                  <c:v>1.3432970426123496</c:v>
                </c:pt>
                <c:pt idx="30">
                  <c:v>1.3699625624296814</c:v>
                </c:pt>
                <c:pt idx="31">
                  <c:v>1.3978050269371152</c:v>
                </c:pt>
                <c:pt idx="32">
                  <c:v>1.4267859248386989</c:v>
                </c:pt>
                <c:pt idx="33">
                  <c:v>1.4568694366697952</c:v>
                </c:pt>
                <c:pt idx="34">
                  <c:v>1.4880218551985771</c:v>
                </c:pt>
                <c:pt idx="35">
                  <c:v>1.520211103458263</c:v>
                </c:pt>
                <c:pt idx="36">
                  <c:v>1.5534063320453595</c:v>
                </c:pt>
                <c:pt idx="37">
                  <c:v>1.5875775814451709</c:v>
                </c:pt>
                <c:pt idx="38">
                  <c:v>1.6226954982336659</c:v>
                </c:pt>
                <c:pt idx="39">
                  <c:v>1.6587310963407249</c:v>
                </c:pt>
                <c:pt idx="40">
                  <c:v>1.6956555563443381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0.82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1.8008312880005643E-2</c:v>
                </c:pt>
                <c:pt idx="1">
                  <c:v>0.18124849734599358</c:v>
                </c:pt>
                <c:pt idx="2">
                  <c:v>1.8403966724142462E-2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0.67,  γo new  = 0.82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1.7345412819406998E-2</c:v>
                </c:pt>
                <c:pt idx="1">
                  <c:v>0.16249563521939825</c:v>
                </c:pt>
                <c:pt idx="2">
                  <c:v>1.6666924649887255E-2</c:v>
                </c:pt>
                <c:pt idx="3">
                  <c:v>0</c:v>
                </c:pt>
                <c:pt idx="4">
                  <c:v>4.4954248525321025E-2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0.99032960328831743</c:v>
                </c:pt>
                <c:pt idx="1">
                  <c:v>0.94511922750442545</c:v>
                </c:pt>
                <c:pt idx="2">
                  <c:v>0.9008886819325217</c:v>
                </c:pt>
                <c:pt idx="3">
                  <c:v>0.85737753438478326</c:v>
                </c:pt>
                <c:pt idx="4">
                  <c:v>0.81444982423249257</c:v>
                </c:pt>
                <c:pt idx="5">
                  <c:v>0.7720355851025763</c:v>
                </c:pt>
                <c:pt idx="6">
                  <c:v>0.73011410962778278</c:v>
                </c:pt>
                <c:pt idx="7">
                  <c:v>0.68870646874210228</c:v>
                </c:pt>
                <c:pt idx="8">
                  <c:v>0.64787009529234307</c:v>
                </c:pt>
                <c:pt idx="9">
                  <c:v>0.60769298449581466</c:v>
                </c:pt>
                <c:pt idx="10">
                  <c:v>0.56828667134196464</c:v>
                </c:pt>
                <c:pt idx="11">
                  <c:v>0.52977794424911029</c:v>
                </c:pt>
                <c:pt idx="12">
                  <c:v>0.49229974022377526</c:v>
                </c:pt>
                <c:pt idx="13">
                  <c:v>0.45598194644504619</c:v>
                </c:pt>
                <c:pt idx="14">
                  <c:v>0.42094292438706743</c:v>
                </c:pt>
                <c:pt idx="15">
                  <c:v>0.38728249136504728</c:v>
                </c:pt>
                <c:pt idx="16">
                  <c:v>0.35507688066483306</c:v>
                </c:pt>
                <c:pt idx="17">
                  <c:v>0.32437591667884469</c:v>
                </c:pt>
                <c:pt idx="18">
                  <c:v>0.29520235325007399</c:v>
                </c:pt>
                <c:pt idx="19">
                  <c:v>0.26755308767294572</c:v>
                </c:pt>
                <c:pt idx="20">
                  <c:v>0.24140181219337808</c:v>
                </c:pt>
                <c:pt idx="21">
                  <c:v>0.1902467541699866</c:v>
                </c:pt>
                <c:pt idx="22">
                  <c:v>0.14506447601367228</c:v>
                </c:pt>
                <c:pt idx="23">
                  <c:v>0.10504817198582464</c:v>
                </c:pt>
                <c:pt idx="24">
                  <c:v>6.9372693775669306E-2</c:v>
                </c:pt>
                <c:pt idx="25">
                  <c:v>3.7278580491392273E-2</c:v>
                </c:pt>
                <c:pt idx="26">
                  <c:v>8.1119718576800545E-3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0.98223089841576083</c:v>
                </c:pt>
                <c:pt idx="1">
                  <c:v>0.90165220554214898</c:v>
                </c:pt>
                <c:pt idx="2">
                  <c:v>0.82621711455212621</c:v>
                </c:pt>
                <c:pt idx="3">
                  <c:v>0.75490198705025813</c:v>
                </c:pt>
                <c:pt idx="4">
                  <c:v>0.68714901786792448</c:v>
                </c:pt>
                <c:pt idx="5">
                  <c:v>0.6226275079374689</c:v>
                </c:pt>
                <c:pt idx="6">
                  <c:v>0.56114815618557856</c:v>
                </c:pt>
                <c:pt idx="7">
                  <c:v>0.50261688764519463</c:v>
                </c:pt>
                <c:pt idx="8">
                  <c:v>0.44700310266806165</c:v>
                </c:pt>
                <c:pt idx="9">
                  <c:v>0.39431432518009213</c:v>
                </c:pt>
                <c:pt idx="10">
                  <c:v>0.34457466749382309</c:v>
                </c:pt>
                <c:pt idx="11">
                  <c:v>0.29780665925072791</c:v>
                </c:pt>
                <c:pt idx="12">
                  <c:v>0.25401679125887305</c:v>
                </c:pt>
                <c:pt idx="13">
                  <c:v>0.21318524536045916</c:v>
                </c:pt>
                <c:pt idx="14">
                  <c:v>0.17526002659914836</c:v>
                </c:pt>
                <c:pt idx="15">
                  <c:v>0.14015529810284771</c:v>
                </c:pt>
                <c:pt idx="16">
                  <c:v>0.10775330937806708</c:v>
                </c:pt>
                <c:pt idx="17">
                  <c:v>7.7909018636373867E-2</c:v>
                </c:pt>
                <c:pt idx="18">
                  <c:v>5.0456390378404777E-2</c:v>
                </c:pt>
                <c:pt idx="19">
                  <c:v>2.5215394730788744E-2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5.7617570043920532</c:v>
                </c:pt>
                <c:pt idx="2">
                  <c:v>10.523514008784106</c:v>
                </c:pt>
                <c:pt idx="3">
                  <c:v>15.28527101317616</c:v>
                </c:pt>
                <c:pt idx="4">
                  <c:v>20.047028017568213</c:v>
                </c:pt>
                <c:pt idx="5">
                  <c:v>24.808785021960265</c:v>
                </c:pt>
                <c:pt idx="6">
                  <c:v>29.570542026352317</c:v>
                </c:pt>
                <c:pt idx="7">
                  <c:v>34.332299030744373</c:v>
                </c:pt>
                <c:pt idx="8">
                  <c:v>39.094056035136425</c:v>
                </c:pt>
                <c:pt idx="9">
                  <c:v>43.855813039528478</c:v>
                </c:pt>
                <c:pt idx="10">
                  <c:v>48.61757004392053</c:v>
                </c:pt>
                <c:pt idx="11">
                  <c:v>53.379327048312582</c:v>
                </c:pt>
                <c:pt idx="12">
                  <c:v>58.141084052704635</c:v>
                </c:pt>
                <c:pt idx="13">
                  <c:v>62.902841057096687</c:v>
                </c:pt>
                <c:pt idx="14">
                  <c:v>67.664598061488746</c:v>
                </c:pt>
                <c:pt idx="15">
                  <c:v>72.426355065880799</c:v>
                </c:pt>
                <c:pt idx="16">
                  <c:v>77.188112070272851</c:v>
                </c:pt>
                <c:pt idx="17">
                  <c:v>81.949869074664903</c:v>
                </c:pt>
                <c:pt idx="18">
                  <c:v>86.711626079056956</c:v>
                </c:pt>
                <c:pt idx="19">
                  <c:v>91.473383083449008</c:v>
                </c:pt>
                <c:pt idx="20">
                  <c:v>96.23514008784106</c:v>
                </c:pt>
                <c:pt idx="21">
                  <c:v>106.42338308344901</c:v>
                </c:pt>
                <c:pt idx="22">
                  <c:v>116.61162607905696</c:v>
                </c:pt>
                <c:pt idx="23">
                  <c:v>126.79986907466491</c:v>
                </c:pt>
                <c:pt idx="24">
                  <c:v>136.98811207027285</c:v>
                </c:pt>
                <c:pt idx="25">
                  <c:v>147.17635506588078</c:v>
                </c:pt>
                <c:pt idx="26">
                  <c:v>157.36459806148872</c:v>
                </c:pt>
                <c:pt idx="27">
                  <c:v>167.55284105709666</c:v>
                </c:pt>
                <c:pt idx="28">
                  <c:v>177.74108405270459</c:v>
                </c:pt>
                <c:pt idx="29">
                  <c:v>187.92932704831253</c:v>
                </c:pt>
                <c:pt idx="30">
                  <c:v>198.11757004392047</c:v>
                </c:pt>
                <c:pt idx="31">
                  <c:v>208.3058130395284</c:v>
                </c:pt>
                <c:pt idx="32">
                  <c:v>218.49405603513634</c:v>
                </c:pt>
                <c:pt idx="33">
                  <c:v>228.68229903074428</c:v>
                </c:pt>
                <c:pt idx="34">
                  <c:v>238.87054202635221</c:v>
                </c:pt>
                <c:pt idx="35">
                  <c:v>249.05878502196015</c:v>
                </c:pt>
                <c:pt idx="36">
                  <c:v>259.24702801756808</c:v>
                </c:pt>
                <c:pt idx="37">
                  <c:v>269.43527101317602</c:v>
                </c:pt>
                <c:pt idx="38">
                  <c:v>279.62351400878396</c:v>
                </c:pt>
                <c:pt idx="39">
                  <c:v>289.81175700439189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0.99032953235765475</c:v>
                </c:pt>
                <c:pt idx="1">
                  <c:v>0.9446694896575365</c:v>
                </c:pt>
                <c:pt idx="2">
                  <c:v>0.89912828779938558</c:v>
                </c:pt>
                <c:pt idx="3">
                  <c:v>0.85339515723874815</c:v>
                </c:pt>
                <c:pt idx="4">
                  <c:v>0.80733025764504307</c:v>
                </c:pt>
                <c:pt idx="5">
                  <c:v>0.76088585304084078</c:v>
                </c:pt>
                <c:pt idx="6">
                  <c:v>0.71408490697998628</c:v>
                </c:pt>
                <c:pt idx="7">
                  <c:v>0.66701216412287878</c:v>
                </c:pt>
                <c:pt idx="8">
                  <c:v>0.61980766773103313</c:v>
                </c:pt>
                <c:pt idx="9">
                  <c:v>0.57265912189275459</c:v>
                </c:pt>
                <c:pt idx="10">
                  <c:v>0.52579175862655758</c:v>
                </c:pt>
                <c:pt idx="11">
                  <c:v>0.47945559325667902</c:v>
                </c:pt>
                <c:pt idx="12">
                  <c:v>0.43391078758701934</c:v>
                </c:pt>
                <c:pt idx="13">
                  <c:v>0.38941238647462839</c:v>
                </c:pt>
                <c:pt idx="14">
                  <c:v>0.34619592525464088</c:v>
                </c:pt>
                <c:pt idx="15">
                  <c:v>0.30446531405347815</c:v>
                </c:pt>
                <c:pt idx="16">
                  <c:v>0.26438404248451808</c:v>
                </c:pt>
                <c:pt idx="17">
                  <c:v>0.22607022414365632</c:v>
                </c:pt>
                <c:pt idx="18">
                  <c:v>0.18959544878863907</c:v>
                </c:pt>
                <c:pt idx="19">
                  <c:v>0.15498694908029553</c:v>
                </c:pt>
                <c:pt idx="20">
                  <c:v>0.12223229084938175</c:v>
                </c:pt>
                <c:pt idx="21">
                  <c:v>5.8130362261063551E-2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r>
            <a:rPr lang="en-US" sz="1100" baseline="0"/>
            <a:t>08.10.2019</a:t>
          </a:r>
        </a:p>
        <a:p>
          <a:r>
            <a:rPr lang="en-US" sz="1100" baseline="0"/>
            <a:t>- </a:t>
          </a:r>
          <a:r>
            <a:rPr lang="ru-RU" sz="1100" baseline="0"/>
            <a:t>обновление под новые функции унифлока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7.6%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mu_mix_cP"/>
      <definedName name="MF_q_mix_rc_m3day"/>
      <definedName name="MF_rho_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pb_atma"/>
      <definedName name="PVT_rho_gas_kgm3"/>
      <definedName name="PVT_rho_oil_kgm3"/>
      <definedName name="PVT_rho_wat_kgm3"/>
      <definedName name="PVT_rs_m3m3"/>
      <definedName name="PVT_salinity_ppm"/>
      <definedName name="PVT_ST_liqgas_Nm"/>
      <definedName name="PVT_ST_oilgas_Nm"/>
      <definedName name="PVT_ST_watgas_Nm"/>
      <definedName name="PVT_z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F10" sqref="F10"/>
    </sheetView>
  </sheetViews>
  <sheetFormatPr defaultRowHeight="15" x14ac:dyDescent="0.25"/>
  <sheetData>
    <row r="1" spans="1:5" x14ac:dyDescent="0.25">
      <c r="A1" t="str">
        <f>"вер "&amp;B1</f>
        <v>вер 7.22</v>
      </c>
      <c r="B1" s="15" t="str">
        <f>[1]!getUFVersion()</f>
        <v>7.22</v>
      </c>
    </row>
    <row r="2" spans="1:5" x14ac:dyDescent="0.25">
      <c r="A2" t="s">
        <v>99</v>
      </c>
    </row>
    <row r="4" spans="1:5" x14ac:dyDescent="0.25">
      <c r="A4" s="54" t="str">
        <f>"Унифлок "&amp;версия_номер_</f>
        <v>Унифлок 7.22</v>
      </c>
      <c r="B4" s="54"/>
      <c r="C4" s="54"/>
      <c r="D4" s="54"/>
      <c r="E4" s="54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tabSelected="1" topLeftCell="A15" zoomScale="115" zoomScaleNormal="115" workbookViewId="0">
      <selection activeCell="M41" sqref="M41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45" t="str">
        <f>"Унифлок "&amp;версия_&amp;" приложение версия 1.1"</f>
        <v>Унифлок вер 7.22 приложение версия 1.1</v>
      </c>
      <c r="J1" s="2" t="s">
        <v>23</v>
      </c>
      <c r="K1" s="2"/>
      <c r="L1" s="2"/>
    </row>
    <row r="2" spans="1:42" ht="18" x14ac:dyDescent="0.25">
      <c r="A2" s="55" t="s">
        <v>0</v>
      </c>
      <c r="B2" s="55"/>
      <c r="C2" s="55"/>
      <c r="D2" s="55"/>
      <c r="E2" s="55"/>
      <c r="J2" s="6" t="s">
        <v>26</v>
      </c>
      <c r="K2" s="9">
        <v>1</v>
      </c>
      <c r="L2" s="5" t="s">
        <v>6</v>
      </c>
      <c r="AO2" s="52"/>
      <c r="AP2" s="52" t="s">
        <v>98</v>
      </c>
    </row>
    <row r="3" spans="1:42" ht="18" customHeight="1" x14ac:dyDescent="0.25">
      <c r="F3" s="56" t="s">
        <v>37</v>
      </c>
      <c r="G3" s="56"/>
      <c r="H3" s="9">
        <f>AO3-1</f>
        <v>0</v>
      </c>
      <c r="J3" s="5" t="s">
        <v>27</v>
      </c>
      <c r="K3" s="9">
        <v>15</v>
      </c>
      <c r="L3" s="5" t="s">
        <v>24</v>
      </c>
      <c r="AO3" s="52">
        <v>1</v>
      </c>
      <c r="AP3" s="52" t="s">
        <v>96</v>
      </c>
    </row>
    <row r="4" spans="1:42" x14ac:dyDescent="0.25">
      <c r="AO4" s="52"/>
      <c r="AP4" s="52" t="s">
        <v>97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7" t="s">
        <v>28</v>
      </c>
      <c r="O7" s="57"/>
      <c r="P7" s="57"/>
      <c r="Q7" s="57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0.82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0.5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188.6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143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121.95121951219512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76</v>
      </c>
      <c r="H14" s="5" t="s">
        <v>38</v>
      </c>
    </row>
    <row r="15" spans="1:42" ht="18" x14ac:dyDescent="0.25">
      <c r="F15" s="5" t="s">
        <v>20</v>
      </c>
      <c r="G15" s="9">
        <v>190</v>
      </c>
      <c r="H15" s="5" t="s">
        <v>2</v>
      </c>
    </row>
    <row r="16" spans="1:42" ht="18" x14ac:dyDescent="0.25">
      <c r="F16" s="7" t="s">
        <v>21</v>
      </c>
      <c r="G16" s="9">
        <v>1.36</v>
      </c>
      <c r="H16" s="5" t="s">
        <v>17</v>
      </c>
    </row>
    <row r="17" spans="1:28" ht="18" x14ac:dyDescent="0.25">
      <c r="F17" s="8" t="s">
        <v>22</v>
      </c>
      <c r="G17" s="9">
        <v>0.56999999999999995</v>
      </c>
      <c r="H17" s="5" t="s">
        <v>7</v>
      </c>
    </row>
    <row r="19" spans="1:28" x14ac:dyDescent="0.25">
      <c r="B19" s="10" t="s">
        <v>111</v>
      </c>
      <c r="C19" s="49" t="str">
        <f>[1]!PVT_encode_string(gamma_gas_,gamma_oil_,gamma_wat_,Rsb_m3m3_,Rp_m3m3_,Pb_atma_,Tres_C_,Bob_m3m3_,mu_cP_,H3)</f>
        <v>gamma_gas:0.700;gamma_oil:0.820;gamma_wat:1.070;rsb_m3m3:143.000;rp_m3m3:100.000;pb_atma:190.000;tres_C:76.000;bob_m3m3:1.360;muob_cP:0.570;PVTcorr:0;ksep_fr:0.000;p_ksep_atma:-1.000;t_ksep_C:-1.000;gas_only:False;</v>
      </c>
      <c r="D19" s="49"/>
      <c r="E19" s="49"/>
      <c r="F19" s="49"/>
      <c r="G19" s="50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28" s="47" customFormat="1" ht="15.75" x14ac:dyDescent="0.25">
      <c r="A20" s="46"/>
      <c r="G20" s="48"/>
    </row>
    <row r="21" spans="1:28" x14ac:dyDescent="0.25">
      <c r="B21" s="16" t="s">
        <v>39</v>
      </c>
      <c r="C21" s="17"/>
      <c r="D21" s="17"/>
      <c r="E21" s="17"/>
      <c r="F21" s="17"/>
      <c r="G21" s="18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</row>
    <row r="22" spans="1:28" outlineLevel="1" x14ac:dyDescent="0.25"/>
    <row r="23" spans="1:28" outlineLevel="1" x14ac:dyDescent="0.25">
      <c r="B23" s="2" t="s">
        <v>40</v>
      </c>
      <c r="C23" s="2"/>
      <c r="D23" s="2"/>
      <c r="E23" s="2"/>
      <c r="F23" s="2"/>
      <c r="G23" s="2" t="s">
        <v>41</v>
      </c>
      <c r="H23" s="2"/>
    </row>
    <row r="24" spans="1:28" ht="18" outlineLevel="1" x14ac:dyDescent="0.25">
      <c r="B24" s="5" t="s">
        <v>42</v>
      </c>
      <c r="C24" s="19">
        <f>[1]!PVT_pb_atma(Tres_C_,gamma_gas_,gamma_oil_,gamma_w_,Rsb_m3m3_,,Pb_atma_,Tres_C_,Bob_m3m3_,mu_cP_,PVT_correlation_,Ksep_,Psep_atma_,Tsep_C_)</f>
        <v>114.58867108940638</v>
      </c>
      <c r="D24" s="5" t="s">
        <v>2</v>
      </c>
      <c r="E24" s="2"/>
      <c r="F24" s="2"/>
      <c r="G24" s="20">
        <f>[1]!PVT_pb_atma(T_C_,gamma_gas_,gamma_oil_,gamma_w_,Rsb_m3m3_,,Pb_atma_,Tres_C_,Bob_m3m3_,mu_cP_,PVT_correlation_,Ksep_,Psep_atma_,Tsep_C_)</f>
        <v>96.23514008784106</v>
      </c>
      <c r="H24" s="2"/>
    </row>
    <row r="25" spans="1:28" ht="18" outlineLevel="1" x14ac:dyDescent="0.25">
      <c r="B25" s="5" t="s">
        <v>16</v>
      </c>
      <c r="C25" s="21">
        <f>Tres_C_</f>
        <v>76</v>
      </c>
      <c r="D25" s="5" t="s">
        <v>25</v>
      </c>
      <c r="E25" s="2"/>
      <c r="F25" s="2"/>
      <c r="G25" s="22">
        <f>T_C_</f>
        <v>30</v>
      </c>
      <c r="H25" s="2"/>
    </row>
    <row r="26" spans="1:28" ht="18" outlineLevel="1" x14ac:dyDescent="0.25">
      <c r="B26" s="7" t="s">
        <v>15</v>
      </c>
      <c r="C26" s="21">
        <f>Rsb_m3m3_</f>
        <v>143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43</v>
      </c>
      <c r="C27" s="23">
        <f>[1]!PVT_bo_m3m3(C24,Tres_C_,gamma_gas_,gamma_oil_,gamma_w_,Rsb_m3m3_,,Pb_atma_,Tres_C_,Bob_m3m3_,mu_cP_,PVT_correlation_,Ksep_,Psep_atma_,Tsep_C_)</f>
        <v>1.2036005039791009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44</v>
      </c>
      <c r="C28" s="19">
        <f>[1]!PVT_rho_oil_kgm3(C24,Tres_C_,gamma_gas_,gamma_oil_,gamma_w_,Rsb_m3m3_,,Pb_atma_,Tres_C_,Bob_m3m3_,mu_cP_,PVT_correlation_,Ksep_,Psep_atma_,Tsep_C_)</f>
        <v>735.91543021169684</v>
      </c>
      <c r="D28" s="5" t="s">
        <v>45</v>
      </c>
      <c r="E28" s="2"/>
      <c r="F28" s="2"/>
      <c r="G28" s="10"/>
      <c r="H28" s="2"/>
    </row>
    <row r="29" spans="1:28" ht="18" outlineLevel="1" x14ac:dyDescent="0.25">
      <c r="B29" s="8" t="s">
        <v>46</v>
      </c>
      <c r="C29" s="24">
        <f>[1]!PVT_mu_oil_cP(C24,Tres_C_,gamma_gas_,gamma_oil_,gamma_w_,Rsb_m3m3_,,Pb_atma_,Tres_C_,Bob_m3m3_,mu_cP_,PVT_correlation_,Ksep_,Psep_atma_,Tsep_C_)</f>
        <v>0.57162937303655015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47</v>
      </c>
      <c r="C32" s="2"/>
      <c r="D32" s="2"/>
      <c r="E32" s="2"/>
      <c r="F32" s="2"/>
      <c r="G32" s="25"/>
      <c r="H32" s="2" t="s">
        <v>48</v>
      </c>
      <c r="I32" s="2"/>
      <c r="J32" s="2"/>
      <c r="K32" s="2"/>
      <c r="L32" s="2" t="s">
        <v>49</v>
      </c>
      <c r="M32" s="2"/>
      <c r="N32" s="2"/>
      <c r="Q32" s="2" t="s">
        <v>50</v>
      </c>
      <c r="R32" s="2"/>
      <c r="S32" s="2"/>
      <c r="T32" s="2"/>
      <c r="U32" s="2"/>
      <c r="V32" s="2"/>
      <c r="W32" s="2"/>
      <c r="X32" s="2"/>
      <c r="Z32" s="2" t="s">
        <v>51</v>
      </c>
      <c r="AA32" s="2"/>
      <c r="AB32" s="2"/>
    </row>
    <row r="33" spans="2:33" ht="18" outlineLevel="1" x14ac:dyDescent="0.35">
      <c r="B33" s="5" t="s">
        <v>52</v>
      </c>
      <c r="C33" s="19">
        <f>[1]!PVT_rho_oil_kgm3(Psc_atma_,Tsc_C_,gamma_gas_,gamma_oil_,gamma_w_,Rsb_m3m3_,,Pb_atma_,Tres_C_,Bob_m3m3_,mu_cP_,PVT_correlation_,Ksep_,Psep_atma_,Tsep_C_)</f>
        <v>823.42568190440193</v>
      </c>
      <c r="D33" s="5" t="s">
        <v>45</v>
      </c>
      <c r="E33" s="26">
        <f>[1]!PVT_rho_oil_kgm3(Psc_atma_,Tsc_C_,gamma_gas_,gamma_oil_,gamma_w_,Rsb_m3m3_,,,,,,PVT_correlation_,Ksep_,Psep_atma_,Tsep_C_)</f>
        <v>824.09281471418558</v>
      </c>
      <c r="F33" s="27">
        <f t="shared" ref="F33:F38" si="0">(E33-C33)/E33</f>
        <v>8.0953601083760113E-4</v>
      </c>
      <c r="G33" s="28"/>
      <c r="H33" s="5" t="s">
        <v>53</v>
      </c>
      <c r="I33" s="24">
        <f>[1]!PVT_rho_gas_kgm3(Psc_atma_,Tsc_C_,gamma_gas_,gamma_oil_,gamma_w_,Rsb_m3m3_,,Pb_atma_,Tres_C_,Bob_m3m3_,mu_cP_,PVT_correlation_,Ksep_,Psep_atma_,Tsep_C_)</f>
        <v>0.86902621986422079</v>
      </c>
      <c r="J33" s="5" t="s">
        <v>45</v>
      </c>
      <c r="L33" s="5" t="s">
        <v>54</v>
      </c>
      <c r="M33" s="19">
        <f>[1]!PVT_rho_wat_kgm3(Psc_atma_,Tsc_C_,gamma_gas_,gamma_oil_,gamma_w_,Rsb_m3m3_,,Pb_atma_,Tres_C_,Bob_m3m3_,mu_cP_,PVT_correlation_,Ksep_,Psep_atma_,Tsep_C_)</f>
        <v>1070.3638451179736</v>
      </c>
      <c r="N33" s="5" t="s">
        <v>45</v>
      </c>
      <c r="Q33" s="5" t="s">
        <v>55</v>
      </c>
      <c r="R33" s="29">
        <v>0.82</v>
      </c>
      <c r="S33" s="2"/>
      <c r="T33" s="2" t="s">
        <v>56</v>
      </c>
      <c r="U33" s="2"/>
      <c r="V33" s="2" t="s">
        <v>57</v>
      </c>
      <c r="W33" s="2"/>
      <c r="X33" s="2" t="s">
        <v>58</v>
      </c>
      <c r="Z33" s="5" t="s">
        <v>42</v>
      </c>
      <c r="AA33" s="30">
        <f>ABS(U34)</f>
        <v>1.8008312880005643E-2</v>
      </c>
      <c r="AB33" s="31">
        <f>ABS(Pb_diff_)</f>
        <v>1.7345412819406998E-2</v>
      </c>
      <c r="AD33" s="2" t="str">
        <f>Q35&amp; " = "&amp;IFERROR(TEXT(gamma_gas_diff_total_*100,"0.0") &amp; "%",TEXT(gamma_gas_diff_total_*100,"0,0") &amp; "%")</f>
        <v>Сумм откл = 7.6%</v>
      </c>
      <c r="AE33" s="2"/>
      <c r="AF33" s="2"/>
      <c r="AG33" s="2"/>
    </row>
    <row r="34" spans="2:33" ht="18" outlineLevel="1" x14ac:dyDescent="0.25">
      <c r="B34" s="5" t="s">
        <v>59</v>
      </c>
      <c r="C34" s="24">
        <f>[1]!PVT_mu_oil_cP(Psc_atma_,Tsc_C_,gamma_gas_,gamma_oil_,gamma_w_,Rsb_m3m3_,,Pb_atma_,Tres_C_,Bob_m3m3_,mu_cP_,PVT_correlation_,Ksep_,Psep_atma_,Tsep_C_)</f>
        <v>4.2838611193314797</v>
      </c>
      <c r="D34" s="5" t="s">
        <v>7</v>
      </c>
      <c r="E34" s="26">
        <f>[1]!PVT_mu_oil_cP(Psc_atma_,Tsc_C_,gamma_gas_,gamma_oil_,gamma_w_,Rsb_m3m3_,,,,,,PVT_correlation_,Ksep_,Psep_atma_,Tsep_C_)</f>
        <v>23.84091588412543</v>
      </c>
      <c r="F34" s="27">
        <f t="shared" si="0"/>
        <v>0.82031474209495847</v>
      </c>
      <c r="G34" s="28"/>
      <c r="H34" s="5" t="s">
        <v>60</v>
      </c>
      <c r="I34" s="36">
        <f>[1]!PVT_mu_gas_cP(Psc_atma_,Tsc_C_,gamma_gas_,gamma_oil_,gamma_w_,Rsb_m3m3_,,Pb_atma_,Tres_C_,Bob_m3m3_,mu_cP_,PVT_correlation_,Ksep_,Psep_atma_,Tsep_C_)</f>
        <v>1.0255679906379638E-2</v>
      </c>
      <c r="J34" s="5" t="s">
        <v>7</v>
      </c>
      <c r="L34" s="5" t="s">
        <v>61</v>
      </c>
      <c r="M34" s="23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62</v>
      </c>
      <c r="R34" s="29">
        <v>0.66853202603227524</v>
      </c>
      <c r="S34" s="5" t="s">
        <v>42</v>
      </c>
      <c r="T34" s="26">
        <f>[1]!PVT_pb_atma(Tres_C_,gamma_gas_,gamma_oil_,gamma_w_,Rsb_m3m3_,,,Tres_C_,,,PVT_correlation_,Ksep_,Psep_atma_,Tsep_C_)</f>
        <v>112.56162610816827</v>
      </c>
      <c r="U34" s="27">
        <f>(T34-C24)/T34</f>
        <v>-1.8008312880005643E-2</v>
      </c>
      <c r="V34" s="26">
        <f>[1]!PVT_pb_atma(Tres_C_,gamma_gas_new_,gamma_oil_new_,gamma_w_,Rsb_m3m3_,,,Tres_C_,,,PVT_correlation_,Ksep_,Psep_atma_,Tsep_C_)</f>
        <v>116.61134297269319</v>
      </c>
      <c r="W34" s="27">
        <f>(V34-C24)/V34</f>
        <v>1.7345412819406998E-2</v>
      </c>
      <c r="X34" s="2">
        <v>2</v>
      </c>
      <c r="Z34" s="7" t="s">
        <v>43</v>
      </c>
      <c r="AA34" s="30">
        <f>ABS(U35)</f>
        <v>0.18124849734599358</v>
      </c>
      <c r="AB34" s="30">
        <f>ABS(W35)</f>
        <v>0.16249563521939825</v>
      </c>
      <c r="AD34" s="2" t="str">
        <f>F9 &amp;" = "&amp;IFERROR(  TEXT(gamma_gas_,"0.00"),TEXT(gamma_gas_,"0,00")) &amp;",  "&amp; F8 &amp;" = "&amp;  IFERROR(TEXT(gamma_oil_,"0.00"),TEXT(gamma_oil_,"0,00"))</f>
        <v>γg = 0.70,  γo = 0.82</v>
      </c>
      <c r="AE34" s="2"/>
      <c r="AF34" s="2"/>
      <c r="AG34" s="2"/>
    </row>
    <row r="35" spans="2:33" ht="18" outlineLevel="1" x14ac:dyDescent="0.25">
      <c r="B35" s="5" t="s">
        <v>63</v>
      </c>
      <c r="C35" s="24">
        <f>[1]!PVT_rs_m3m3(P_atma_,T_C_,gamma_gas_,gamma_oil_,gamma_w_,Rsb_m3m3_,,Pb_atma_,Tres_C_,Bob_m3m3_,mu_cP_,PVT_correlation_,Ksep_,Psep_atma_,Tsep_C_)</f>
        <v>26.715765007391873</v>
      </c>
      <c r="D35" s="5" t="s">
        <v>17</v>
      </c>
      <c r="E35" s="26">
        <f>[1]!PVT_rs_m3m3(P_atma_,T_C_,gamma_gas_,gamma_oil_,gamma_w_,Rsb_m3m3_,,,,,,PVT_correlation_,Ksep_,Psep_atma_,Tsep_C_)</f>
        <v>27.349680214441207</v>
      </c>
      <c r="F35" s="27">
        <f t="shared" si="0"/>
        <v>2.3178157919177919E-2</v>
      </c>
      <c r="G35" s="28"/>
      <c r="H35" s="5" t="s">
        <v>64</v>
      </c>
      <c r="I35" s="23">
        <f>[1]!PVT_z(P_atma_,T_C_,gamma_gas_,gamma_oil_,gamma_w_,Rsb_m3m3_,,Pb_atma_,Tres_C_,Bob_m3m3_,mu_cP_,PVT_correlation_,Ksep_,Psep_atma_,Tsep_C_)</f>
        <v>0.8909075525006741</v>
      </c>
      <c r="J35" s="5"/>
      <c r="L35" s="5" t="s">
        <v>65</v>
      </c>
      <c r="M35" s="19">
        <f>[1]!PVT_salinity_ppm(Psc_atma_,Tsc_C_,gamma_gas_,gamma_oil_,gamma_w_,Rsb_m3m3_,,Pb_atma_,Tres_C_,Bob_m3m3_,mu_cP_,PVT_correlation_,Ksep_,Psep_atma_,Tsep_C_)</f>
        <v>97525.871265721944</v>
      </c>
      <c r="N35" s="5" t="s">
        <v>107</v>
      </c>
      <c r="Q35" s="32" t="s">
        <v>66</v>
      </c>
      <c r="R35" s="33">
        <f>((X34*W34^2+X35*W35^2+X36*W36^2+X37*W37^2+X38*W38^2+X39*W39^2)/SUM(X34:X39))^0.5</f>
        <v>7.6418702212037934E-2</v>
      </c>
      <c r="S35" s="7" t="s">
        <v>43</v>
      </c>
      <c r="T35" s="34">
        <f>[1]!PVT_bo_m3m3(T34,Tres_C_,gamma_gas_,gamma_oil_,gamma_w_,Rsb_m3m3_,,,,,,PVT_correlation_,Ksep_,Psep_atma_,Tsep_C_)</f>
        <v>1.2486719148839716</v>
      </c>
      <c r="U35" s="27">
        <f>(T35-C27)/(T35-1)</f>
        <v>0.18124849734599358</v>
      </c>
      <c r="V35" s="34">
        <f>[1]!PVT_bo_m3m3(V34,Tres_C_,gamma_gas_new_,gamma_oil_new_,gamma_w_,Rsb_m3m3_,,,,,,PVT_correlation_,Ksep_,Psep_atma_,Tsep_C_)</f>
        <v>1.2431038123991598</v>
      </c>
      <c r="W35" s="27">
        <f>(V35-C27)/(V35-1)</f>
        <v>0.16249563521939825</v>
      </c>
      <c r="X35" s="2">
        <v>2</v>
      </c>
      <c r="Z35" s="8" t="s">
        <v>46</v>
      </c>
      <c r="AA35" s="30">
        <f>ABS(U37)</f>
        <v>1.8403966724142462E-2</v>
      </c>
      <c r="AB35" s="30">
        <f>ABS(W37)</f>
        <v>1.6666924649887255E-2</v>
      </c>
      <c r="AD35" s="2" t="str">
        <f>Q34&amp;" = "&amp;IFERROR(TEXT(gamma_gas_new_,"0.00"),TEXT(gamma_gas_new_,"0,00"))&amp;",  "&amp;Q33&amp;" = "&amp;IFERROR(TEXT(gamma_oil_new_,"0.00"),TEXT(gamma_oil_new_,"0,00"))</f>
        <v>γg new  = 0.67,  γo new  = 0.82</v>
      </c>
      <c r="AE35" s="2"/>
      <c r="AF35" s="2"/>
      <c r="AG35" s="2"/>
    </row>
    <row r="36" spans="2:33" ht="18" outlineLevel="1" x14ac:dyDescent="0.25">
      <c r="B36" s="5" t="s">
        <v>67</v>
      </c>
      <c r="C36" s="23">
        <f>[1]!PVT_bo_m3m3(P_atma_,T_C_,gamma_gas_,gamma_oil_,gamma_w_,Rsb_m3m3_,,Pb_atma_,Tres_C_,Bob_m3m3_,mu_cP_,PVT_correlation_,Ksep_,Psep_atma_,Tsep_C_)</f>
        <v>1.0547948076991871</v>
      </c>
      <c r="D36" s="5" t="s">
        <v>17</v>
      </c>
      <c r="E36" s="26">
        <f>[1]!PVT_bo_m3m3(P_atma_,T_C_,gamma_gas_,gamma_oil_,gamma_w_,Rsb_m3m3_,,,,,,PVT_correlation_,Ksep_,Psep_atma_,Tsep_C_)</f>
        <v>1.0679823310567667</v>
      </c>
      <c r="F36" s="27">
        <f t="shared" si="0"/>
        <v>1.234807259828964E-2</v>
      </c>
      <c r="G36" s="28"/>
      <c r="H36" s="5" t="s">
        <v>68</v>
      </c>
      <c r="I36" s="36">
        <f>[1]!PVT_bg_m3m3(P_atma_,T_C_,gamma_gas_,gamma_oil_,gamma_w_,Rsb_m3m3_,,Pb_atma_,Tres_C_,Bob_m3m3_,mu_cP_,PVT_correlation_,Ksep_,Psep_atma_,Tsep_C_)</f>
        <v>2.3126153188976827E-2</v>
      </c>
      <c r="J36" s="5" t="s">
        <v>17</v>
      </c>
      <c r="L36" s="5" t="s">
        <v>69</v>
      </c>
      <c r="M36" s="23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44</v>
      </c>
      <c r="T36" s="26">
        <f>[1]!PVT_rho_oil_kgm3(C24,Tres_C_,gamma_gas_,gamma_oil_,gamma_w_,Rsb_m3m3_,,,,,,PVT_correlation_,Ksep_,Psep_atma_,Tsep_C_)</f>
        <v>710.16742777110164</v>
      </c>
      <c r="U36" s="27">
        <f>(T36-C28)/T36</f>
        <v>-3.625624244892036E-2</v>
      </c>
      <c r="V36" s="26">
        <f>[1]!PVT_rho_oil_kgm3(C24,Tres_C_,gamma_gas_new_,gamma_oil_new_,gamma_w_,Rsb_m3m3_,,,,,,PVT_correlation_,Ksep_,Psep_atma_,Tsep_C_)</f>
        <v>712.14248232377849</v>
      </c>
      <c r="W36" s="27">
        <f>(V36-C28)/V36</f>
        <v>-3.338229143463721E-2</v>
      </c>
      <c r="X36" s="2">
        <v>0</v>
      </c>
      <c r="Z36" s="5" t="s">
        <v>73</v>
      </c>
      <c r="AA36" s="31">
        <f>ABS((gamma_oil_-gamma_oil_)/(gamma_oil_))</f>
        <v>0</v>
      </c>
      <c r="AB36" s="30">
        <f>ABS((gamma_oil_new_-gamma_oil_)/(gamma_oil_))</f>
        <v>0</v>
      </c>
    </row>
    <row r="37" spans="2:33" ht="18" outlineLevel="1" x14ac:dyDescent="0.25">
      <c r="B37" s="5" t="s">
        <v>70</v>
      </c>
      <c r="C37" s="19">
        <f>[1]!PVT_rho_oil_kgm3(P_atma_,T_C_,gamma_gas_,gamma_oil_,gamma_w_,Rsb_m3m3_,,Pb_atma_,Tres_C_,Bob_m3m3_,mu_cP_,PVT_correlation_,Ksep_,Psep_atma_,Tsep_C_)</f>
        <v>799.06257494304975</v>
      </c>
      <c r="D37" s="5" t="s">
        <v>45</v>
      </c>
      <c r="E37" s="26">
        <f>[1]!PVT_rho_oil_kgm3(P_atma_,T_C_,gamma_gas_,gamma_oil_,gamma_w_,Rsb_m3m3_,,,,,,PVT_correlation_,Ksep_,Psep_atma_,Tsep_C_)</f>
        <v>789.70330172790011</v>
      </c>
      <c r="F37" s="27">
        <f t="shared" si="0"/>
        <v>-1.1851632372146863E-2</v>
      </c>
      <c r="G37" s="28"/>
      <c r="H37" s="5" t="s">
        <v>71</v>
      </c>
      <c r="I37" s="19">
        <f>[1]!PVT_rho_gas_kgm3(P_atma_,T_C_,gamma_gas_,gamma_oil_,gamma_w_,Rsb_m3m3_,,Pb_atma_,Tres_C_,Bob_m3m3_,mu_cP_,PVT_correlation_,Ksep_,Psep_atma_,Tsep_C_)</f>
        <v>36.979345116836363</v>
      </c>
      <c r="J37" s="5" t="s">
        <v>45</v>
      </c>
      <c r="L37" s="5" t="s">
        <v>72</v>
      </c>
      <c r="M37" s="19">
        <f>[1]!PVT_rho_wat_kgm3(P_atma_,T_C_,gamma_gas_,gamma_oil_,gamma_w_,Rsb_m3m3_,,Pb_atma_,Tres_C_,Bob_m3m3_,mu_cP_,PVT_correlation_,Ksep_,Psep_atma_,Tsep_C_)</f>
        <v>1064.6634036244029</v>
      </c>
      <c r="N37" s="5" t="s">
        <v>45</v>
      </c>
      <c r="S37" s="8" t="s">
        <v>46</v>
      </c>
      <c r="T37" s="53">
        <f>[1]!PVT_mu_oil_cP(T34,Tres_C_,gamma_gas_,gamma_oil_,gamma_w_,Rsb_m3m3_,,,,,,PVT_correlation_,Ksep_,Psep_atma_,Tsep_C_)</f>
        <v>0.56129924049224444</v>
      </c>
      <c r="U37" s="27">
        <f>(T37-C29)/T37</f>
        <v>-1.8403966724142462E-2</v>
      </c>
      <c r="V37" s="35">
        <f>[1]!PVT_mu_oil_cP(V34,Tres_C_,gamma_gas_new_,gamma_oil_new_,gamma_w_,Rsb_m3m3_,,,,,,PVT_correlation_,Ksep_,Psep_atma_,Tsep_C_)</f>
        <v>0.56225825703280741</v>
      </c>
      <c r="W37" s="27">
        <f>(V37-C29)/V37</f>
        <v>-1.6666924649887255E-2</v>
      </c>
      <c r="X37" s="2">
        <v>2</v>
      </c>
      <c r="Z37" s="5" t="s">
        <v>13</v>
      </c>
      <c r="AA37" s="31">
        <f>ABS(gamma_gas_-gamma_gas_)/gamma_gas_</f>
        <v>0</v>
      </c>
      <c r="AB37" s="30">
        <f>ABS(gamma_gas_new_-gamma_gas_)/gamma_gas_</f>
        <v>4.4954248525321025E-2</v>
      </c>
    </row>
    <row r="38" spans="2:33" ht="18" outlineLevel="1" x14ac:dyDescent="0.25">
      <c r="B38" s="5" t="s">
        <v>74</v>
      </c>
      <c r="C38" s="24">
        <f>[1]!PVT_mu_oil_cP(P_atma_,T_C_,gamma_gas_,gamma_oil_,gamma_w_,Rsb_m3m3_,,Pb_atma_,Tres_C_,Bob_m3m3_,mu_cP_,PVT_correlation_,Ksep_,Psep_atma_,Tsep_C_)</f>
        <v>1.1496045289659467</v>
      </c>
      <c r="D38" s="5" t="s">
        <v>7</v>
      </c>
      <c r="E38" s="26">
        <f>[1]!PVT_mu_oil_cP(P_atma_,T_C_,gamma_gas_,gamma_oil_,gamma_w_,Rsb_m3m3_,,,,,,PVT_correlation_,Ksep_,Psep_atma_,Tsep_C_)</f>
        <v>2.8695749745952774</v>
      </c>
      <c r="F38" s="27">
        <f t="shared" si="0"/>
        <v>0.59938160210360558</v>
      </c>
      <c r="G38" s="28"/>
      <c r="H38" s="5" t="s">
        <v>75</v>
      </c>
      <c r="I38" s="36">
        <f>[1]!PVT_mu_gas_cP(P_atma_,T_C_,gamma_gas_,gamma_oil_,gamma_w_,Rsb_m3m3_,,Pb_atma_,Tres_C_,Bob_m3m3_,mu_cP_,PVT_correlation_,Ksep_,Psep_atma_,Tsep_C_)</f>
        <v>1.1843933262921911E-2</v>
      </c>
      <c r="J38" s="5" t="s">
        <v>7</v>
      </c>
      <c r="L38" s="5" t="s">
        <v>76</v>
      </c>
      <c r="M38" s="23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27">
        <f>(R33-G8)/R33</f>
        <v>0</v>
      </c>
      <c r="X38" s="2">
        <v>2</v>
      </c>
    </row>
    <row r="39" spans="2:33" ht="18" outlineLevel="1" x14ac:dyDescent="0.25">
      <c r="B39" s="5" t="s">
        <v>77</v>
      </c>
      <c r="C39" s="24"/>
      <c r="D39" s="5"/>
      <c r="E39" s="26"/>
      <c r="F39" s="27"/>
      <c r="G39" s="28"/>
      <c r="H39" s="5" t="s">
        <v>78</v>
      </c>
      <c r="I39" s="19"/>
      <c r="J39" s="5"/>
      <c r="L39" s="5" t="s">
        <v>79</v>
      </c>
      <c r="M39" s="19"/>
      <c r="N39" s="5"/>
      <c r="S39" s="5" t="s">
        <v>13</v>
      </c>
      <c r="W39" s="27">
        <f>(R34-G9)/R34</f>
        <v>-4.7070256535781146E-2</v>
      </c>
      <c r="X39" s="2">
        <v>2</v>
      </c>
      <c r="Z39" s="8" t="s">
        <v>44</v>
      </c>
      <c r="AA39" s="30">
        <f>ABS(U36)</f>
        <v>3.625624244892036E-2</v>
      </c>
      <c r="AB39" s="30">
        <f>ABS(W36)</f>
        <v>3.338229143463721E-2</v>
      </c>
    </row>
    <row r="40" spans="2:33" ht="18" outlineLevel="1" x14ac:dyDescent="0.25">
      <c r="B40" s="5" t="s">
        <v>80</v>
      </c>
      <c r="C40" s="24"/>
      <c r="D40" s="5"/>
      <c r="E40" s="26"/>
      <c r="F40" s="27"/>
      <c r="G40" s="28"/>
      <c r="H40" s="5" t="s">
        <v>81</v>
      </c>
      <c r="I40" s="19"/>
      <c r="J40" s="5"/>
      <c r="L40" s="5" t="s">
        <v>82</v>
      </c>
      <c r="M40" s="19"/>
      <c r="N40" s="5"/>
    </row>
    <row r="41" spans="2:33" ht="18" outlineLevel="1" x14ac:dyDescent="0.25">
      <c r="B41" s="5" t="s">
        <v>109</v>
      </c>
      <c r="C41" s="51">
        <f>[1]!PVT_ST_oilgas_Nm(P_atma_,T_C_,gamma_gas_,gamma_oil_,gamma_w_,Rsb_m3m3_,,Pb_atma_,Tres_C_,Bob_m3m3_,mu_cP_,PVT_correlation_,Ksep_,Psep_atma_,Tsep_C_)</f>
        <v>4.0434478164179312E-2</v>
      </c>
      <c r="D41" s="5" t="s">
        <v>108</v>
      </c>
      <c r="L41" s="5" t="s">
        <v>110</v>
      </c>
      <c r="M41" s="51">
        <f>[1]!PVT_ST_watgas_Nm(P_atma_,T_C_,gamma_gas_,gamma_oil_,gamma_w_,Rsb_m3m3_,,Pb_atma_,Tres_C_,Bob_m3m3_,mu_cP_,PVT_correlation_,Ksep_,Psep_atma_,Tsep_C_)</f>
        <v>5.8884365535558904E-2</v>
      </c>
      <c r="N41" s="5" t="s">
        <v>108</v>
      </c>
    </row>
    <row r="42" spans="2:33" outlineLevel="1" x14ac:dyDescent="0.25">
      <c r="L42" s="28"/>
    </row>
    <row r="43" spans="2:33" outlineLevel="1" x14ac:dyDescent="0.25">
      <c r="B43" s="2" t="s">
        <v>83</v>
      </c>
      <c r="C43" s="2"/>
      <c r="D43" s="2"/>
      <c r="E43" s="25"/>
      <c r="F43" s="28"/>
      <c r="L43" s="28"/>
    </row>
    <row r="44" spans="2:33" ht="18" outlineLevel="1" x14ac:dyDescent="0.25">
      <c r="B44" s="7" t="s">
        <v>84</v>
      </c>
      <c r="C44" s="37">
        <f>[1]!MF_q_mix_rc_m3day(Ql_scm3day_,fw_perc_,P_atma_,T_C_,PVTstr_)</f>
        <v>674.7505675864918</v>
      </c>
      <c r="D44" s="5" t="s">
        <v>33</v>
      </c>
      <c r="E44" s="25"/>
      <c r="F44" s="28"/>
      <c r="L44" s="28"/>
    </row>
    <row r="45" spans="2:33" ht="18" outlineLevel="1" x14ac:dyDescent="0.25">
      <c r="B45" s="5" t="s">
        <v>85</v>
      </c>
      <c r="C45" s="37">
        <f>[1]!MF_rho_mix_kgm3(Ql_scm3day_,fw_perc_,P_atma_,T_C_,PVTstr_)</f>
        <v>308.66127426162313</v>
      </c>
      <c r="D45" s="5" t="s">
        <v>45</v>
      </c>
      <c r="E45" s="25"/>
      <c r="F45" s="28"/>
    </row>
    <row r="46" spans="2:33" ht="18" outlineLevel="1" x14ac:dyDescent="0.25">
      <c r="B46" s="5" t="s">
        <v>86</v>
      </c>
      <c r="C46" s="37">
        <f>[1]!MF_mu_mix_cP(Ql_scm3day_,fw_perc_,P_atma_,T_C_,PVTstr_)</f>
        <v>0.60678867230287636</v>
      </c>
      <c r="D46" s="5" t="s">
        <v>7</v>
      </c>
      <c r="E46" s="25"/>
      <c r="F46" s="28"/>
    </row>
    <row r="47" spans="2:33" ht="18" outlineLevel="1" x14ac:dyDescent="0.25">
      <c r="B47" s="5" t="s">
        <v>87</v>
      </c>
      <c r="E47" s="28"/>
      <c r="F47" s="28"/>
    </row>
    <row r="48" spans="2:33" ht="18" outlineLevel="1" x14ac:dyDescent="0.25">
      <c r="B48" s="5" t="s">
        <v>88</v>
      </c>
      <c r="E48" s="28"/>
      <c r="F48" s="28"/>
    </row>
    <row r="49" spans="1:29" ht="18" outlineLevel="1" x14ac:dyDescent="0.25">
      <c r="B49" s="5" t="s">
        <v>89</v>
      </c>
      <c r="E49" s="28"/>
      <c r="F49" s="28"/>
    </row>
    <row r="50" spans="1:29" outlineLevel="1" x14ac:dyDescent="0.25">
      <c r="C50">
        <f>[1]!PVT_ST_liqgas_Nm(P_atma_,T_C_,gamma_gas_,gamma_oil_,gamma_w_,Rsb_m3m3_,,Pb_atma_,Tres_C_,Bob_m3m3_,mu_cP_,PVT_correlation_,Ksep_,Psep_atma_,Tsep_C_)</f>
        <v>4.0434478164179312E-2</v>
      </c>
      <c r="D50" s="5" t="s">
        <v>108</v>
      </c>
      <c r="E50" s="28"/>
      <c r="F50" s="28"/>
    </row>
    <row r="51" spans="1:29" outlineLevel="1" x14ac:dyDescent="0.25">
      <c r="E51" s="28"/>
      <c r="F51" s="28"/>
    </row>
    <row r="52" spans="1:29" outlineLevel="1" x14ac:dyDescent="0.25">
      <c r="E52" s="28"/>
      <c r="F52" s="28"/>
    </row>
    <row r="53" spans="1:29" outlineLevel="1" x14ac:dyDescent="0.25"/>
    <row r="54" spans="1:29" outlineLevel="1" x14ac:dyDescent="0.25"/>
    <row r="55" spans="1:29" x14ac:dyDescent="0.25">
      <c r="L55" s="28"/>
    </row>
    <row r="56" spans="1:29" x14ac:dyDescent="0.25">
      <c r="B56" s="38" t="s">
        <v>90</v>
      </c>
      <c r="C56" s="17"/>
      <c r="D56" s="17"/>
      <c r="E56" s="17"/>
      <c r="F56" s="17"/>
      <c r="G56" s="18"/>
      <c r="H56" s="17"/>
      <c r="I56" s="17"/>
      <c r="J56" s="17"/>
      <c r="K56" s="17"/>
      <c r="L56" s="39"/>
      <c r="M56" s="39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outlineLevel="1" x14ac:dyDescent="0.25">
      <c r="B57" t="str">
        <f>"Температура = " &amp;T_C_&amp;" °С"</f>
        <v>Температура = 30 °С</v>
      </c>
      <c r="L57" s="28"/>
      <c r="M57" s="28"/>
    </row>
    <row r="58" spans="1:29" outlineLevel="1" x14ac:dyDescent="0.25">
      <c r="L58" s="28"/>
      <c r="M58" s="28"/>
    </row>
    <row r="59" spans="1:29" ht="18" outlineLevel="1" x14ac:dyDescent="0.25">
      <c r="A59" s="40"/>
      <c r="B59" s="5" t="s">
        <v>91</v>
      </c>
      <c r="C59" s="5" t="s">
        <v>91</v>
      </c>
      <c r="D59" s="5" t="s">
        <v>63</v>
      </c>
      <c r="E59" s="5" t="s">
        <v>92</v>
      </c>
      <c r="F59" s="5" t="s">
        <v>100</v>
      </c>
      <c r="G59" s="5" t="s">
        <v>67</v>
      </c>
      <c r="H59" s="5" t="s">
        <v>93</v>
      </c>
      <c r="I59" s="5" t="s">
        <v>101</v>
      </c>
      <c r="J59" s="5" t="s">
        <v>70</v>
      </c>
      <c r="K59" s="5" t="s">
        <v>94</v>
      </c>
      <c r="L59" s="5" t="s">
        <v>102</v>
      </c>
      <c r="M59" s="5" t="s">
        <v>74</v>
      </c>
      <c r="N59" s="5" t="s">
        <v>95</v>
      </c>
      <c r="O59" s="5" t="s">
        <v>103</v>
      </c>
      <c r="P59" s="5" t="s">
        <v>104</v>
      </c>
      <c r="Q59" s="5" t="s">
        <v>105</v>
      </c>
      <c r="R59" s="5" t="s">
        <v>106</v>
      </c>
    </row>
    <row r="60" spans="1:29" outlineLevel="1" x14ac:dyDescent="0.25">
      <c r="A60" s="41">
        <v>1</v>
      </c>
      <c r="B60" s="42">
        <v>1</v>
      </c>
      <c r="C60" s="2">
        <v>1</v>
      </c>
      <c r="D60" s="2">
        <v>0.22133449984131645</v>
      </c>
      <c r="E60" s="2">
        <v>0.22017182201602453</v>
      </c>
      <c r="F60">
        <v>0.32387326600458816</v>
      </c>
      <c r="G60" s="2">
        <v>1.0092222070264942</v>
      </c>
      <c r="H60" s="10">
        <v>1.0092208218069258</v>
      </c>
      <c r="I60">
        <v>1.0081925345505252</v>
      </c>
      <c r="J60" s="2">
        <v>812.69444661495402</v>
      </c>
      <c r="K60" s="2">
        <v>812.69457686375415</v>
      </c>
      <c r="L60">
        <v>813.6114333995265</v>
      </c>
      <c r="M60" s="2">
        <v>3.3044756497159606</v>
      </c>
      <c r="N60" s="2">
        <v>2.1213261025909711</v>
      </c>
      <c r="O60">
        <v>6.8808199688588436</v>
      </c>
      <c r="P60">
        <v>0.99032960328831743</v>
      </c>
      <c r="Q60">
        <v>0.98223089841576083</v>
      </c>
      <c r="R60">
        <v>0.99032953235765475</v>
      </c>
    </row>
    <row r="61" spans="1:29" outlineLevel="1" x14ac:dyDescent="0.25">
      <c r="A61" s="41">
        <v>2</v>
      </c>
      <c r="B61" s="43">
        <f t="shared" ref="B61:B79" si="1">($B$80-$B$60)/($A$80-$A$60)+B60</f>
        <v>5.7617570043920532</v>
      </c>
      <c r="C61" s="2">
        <v>5.7617570043920532</v>
      </c>
      <c r="D61" s="2">
        <v>1.8228765556371116</v>
      </c>
      <c r="E61" s="2">
        <v>1.8133009216939022</v>
      </c>
      <c r="F61">
        <v>2.6673699040170122</v>
      </c>
      <c r="G61" s="2">
        <v>1.0130078074232358</v>
      </c>
      <c r="H61" s="10">
        <v>1.0129869230652906</v>
      </c>
      <c r="I61">
        <v>1.0130062337014392</v>
      </c>
      <c r="J61" s="2">
        <v>811.00945104401058</v>
      </c>
      <c r="K61" s="2">
        <v>811.01808731075937</v>
      </c>
      <c r="L61">
        <v>811.7236406963367</v>
      </c>
      <c r="M61" s="2">
        <v>3.0463280255966114</v>
      </c>
      <c r="N61" s="2">
        <v>1.9564002071350157</v>
      </c>
      <c r="O61">
        <v>6.1254479526688046</v>
      </c>
      <c r="P61">
        <v>0.94511922750442545</v>
      </c>
      <c r="Q61">
        <v>0.90165220554214898</v>
      </c>
      <c r="R61">
        <v>0.9446694896575365</v>
      </c>
    </row>
    <row r="62" spans="1:29" outlineLevel="1" x14ac:dyDescent="0.25">
      <c r="A62" s="41">
        <v>3</v>
      </c>
      <c r="B62" s="43">
        <f t="shared" si="1"/>
        <v>10.523514008784106</v>
      </c>
      <c r="C62" s="2">
        <v>10.523514008784106</v>
      </c>
      <c r="D62" s="2">
        <v>3.7647027988776043</v>
      </c>
      <c r="E62" s="2">
        <v>3.744926684145343</v>
      </c>
      <c r="F62">
        <v>5.5087959260000545</v>
      </c>
      <c r="G62" s="2">
        <v>1.0176614687244241</v>
      </c>
      <c r="H62" s="10">
        <v>1.0176163067087187</v>
      </c>
      <c r="I62">
        <v>1.0189571775404196</v>
      </c>
      <c r="J62" s="2">
        <v>808.93259839976747</v>
      </c>
      <c r="K62" s="2">
        <v>808.95187943037433</v>
      </c>
      <c r="L62">
        <v>809.3677392593288</v>
      </c>
      <c r="M62" s="2">
        <v>2.7828819529534874</v>
      </c>
      <c r="N62" s="2">
        <v>1.7879501336677996</v>
      </c>
      <c r="O62">
        <v>5.4067290699968424</v>
      </c>
      <c r="P62">
        <v>0.9008886819325217</v>
      </c>
      <c r="Q62">
        <v>0.82621711455212621</v>
      </c>
      <c r="R62">
        <v>0.89912828779938558</v>
      </c>
    </row>
    <row r="63" spans="1:29" outlineLevel="1" x14ac:dyDescent="0.25">
      <c r="A63" s="41">
        <v>4</v>
      </c>
      <c r="B63" s="43">
        <f t="shared" si="1"/>
        <v>15.28527101317616</v>
      </c>
      <c r="C63" s="2">
        <v>15.28527101317616</v>
      </c>
      <c r="D63" s="2">
        <v>5.9008418899321589</v>
      </c>
      <c r="E63" s="2">
        <v>5.8698445622634186</v>
      </c>
      <c r="F63">
        <v>8.6345551029738985</v>
      </c>
      <c r="G63" s="2">
        <v>1.0228562931285314</v>
      </c>
      <c r="H63" s="10">
        <v>1.0227836942477475</v>
      </c>
      <c r="I63">
        <v>1.0256357700760346</v>
      </c>
      <c r="J63" s="2">
        <v>806.61022131696097</v>
      </c>
      <c r="K63" s="2">
        <v>806.64155775185691</v>
      </c>
      <c r="L63">
        <v>806.70371424075313</v>
      </c>
      <c r="M63" s="2">
        <v>2.5414536156729715</v>
      </c>
      <c r="N63" s="2">
        <v>1.6334538693784904</v>
      </c>
      <c r="O63">
        <v>4.7902869145423681</v>
      </c>
      <c r="P63">
        <v>0.85737753438478326</v>
      </c>
      <c r="Q63">
        <v>0.75490198705025813</v>
      </c>
      <c r="R63">
        <v>0.85339515723874815</v>
      </c>
    </row>
    <row r="64" spans="1:29" outlineLevel="1" x14ac:dyDescent="0.25">
      <c r="A64" s="41">
        <v>5</v>
      </c>
      <c r="B64" s="43">
        <f t="shared" si="1"/>
        <v>20.047028017568213</v>
      </c>
      <c r="C64" s="2">
        <v>20.047028017568213</v>
      </c>
      <c r="D64" s="2">
        <v>8.1793220883460336</v>
      </c>
      <c r="E64" s="2">
        <v>8.1363558249534833</v>
      </c>
      <c r="F64">
        <v>11.968598480378423</v>
      </c>
      <c r="G64" s="2">
        <v>1.0284786489950146</v>
      </c>
      <c r="H64" s="10">
        <v>1.0283760218353584</v>
      </c>
      <c r="I64">
        <v>1.0328985137106155</v>
      </c>
      <c r="J64" s="2">
        <v>804.09532591156528</v>
      </c>
      <c r="K64" s="2">
        <v>804.13984046619169</v>
      </c>
      <c r="L64">
        <v>803.79186794632153</v>
      </c>
      <c r="M64" s="2">
        <v>2.3266621552414422</v>
      </c>
      <c r="N64" s="25">
        <v>1.4959021977125619</v>
      </c>
      <c r="O64">
        <v>4.2730303205358382</v>
      </c>
      <c r="P64">
        <v>0.81444982423249257</v>
      </c>
      <c r="Q64">
        <v>0.68714901786792448</v>
      </c>
      <c r="R64">
        <v>0.80733025764504307</v>
      </c>
    </row>
    <row r="65" spans="1:18" outlineLevel="1" x14ac:dyDescent="0.25">
      <c r="A65" s="41">
        <v>6</v>
      </c>
      <c r="B65" s="43">
        <f t="shared" si="1"/>
        <v>24.808785021960265</v>
      </c>
      <c r="C65" s="2">
        <v>24.808785021960265</v>
      </c>
      <c r="D65" s="2">
        <v>10.571926387206201</v>
      </c>
      <c r="E65" s="2">
        <v>10.516391690221159</v>
      </c>
      <c r="F65">
        <v>15.469636814140294</v>
      </c>
      <c r="G65" s="2">
        <v>1.0344671084913795</v>
      </c>
      <c r="H65" s="10">
        <v>1.0343321788905961</v>
      </c>
      <c r="I65">
        <v>1.0406664827636416</v>
      </c>
      <c r="J65" s="2">
        <v>801.41842976149439</v>
      </c>
      <c r="K65" s="2">
        <v>801.47705923518879</v>
      </c>
      <c r="L65">
        <v>800.66908323435405</v>
      </c>
      <c r="M65" s="2">
        <v>2.1375655312239479</v>
      </c>
      <c r="N65" s="2">
        <v>1.3747260398184336</v>
      </c>
      <c r="O65">
        <v>3.840189002501782</v>
      </c>
      <c r="P65">
        <v>0.7720355851025763</v>
      </c>
      <c r="Q65">
        <v>0.6226275079374689</v>
      </c>
      <c r="R65">
        <v>0.76088585304084078</v>
      </c>
    </row>
    <row r="66" spans="1:18" outlineLevel="1" x14ac:dyDescent="0.25">
      <c r="A66" s="41">
        <v>7</v>
      </c>
      <c r="B66" s="43">
        <f t="shared" si="1"/>
        <v>29.570542026352317</v>
      </c>
      <c r="C66" s="2">
        <v>29.570542026352317</v>
      </c>
      <c r="D66" s="2">
        <v>13.060616965810299</v>
      </c>
      <c r="E66" s="2">
        <v>12.99200909066356</v>
      </c>
      <c r="F66">
        <v>19.111275810072815</v>
      </c>
      <c r="G66" s="2">
        <v>1.0407820587697671</v>
      </c>
      <c r="H66" s="10">
        <v>1.0406127659611146</v>
      </c>
      <c r="I66">
        <v>1.0488877609568701</v>
      </c>
      <c r="J66" s="2">
        <v>798.60072723145913</v>
      </c>
      <c r="K66" s="2">
        <v>798.67426524085261</v>
      </c>
      <c r="L66">
        <v>797.36250444665666</v>
      </c>
      <c r="M66" s="2">
        <v>1.9715560140794453</v>
      </c>
      <c r="N66" s="2">
        <v>1.2682828183155008</v>
      </c>
      <c r="O66">
        <v>3.4764769736734715</v>
      </c>
      <c r="P66">
        <v>0.73011410962778278</v>
      </c>
      <c r="Q66">
        <v>0.56114815618557856</v>
      </c>
      <c r="R66">
        <v>0.71408490697998628</v>
      </c>
    </row>
    <row r="67" spans="1:18" outlineLevel="1" x14ac:dyDescent="0.25">
      <c r="A67" s="41">
        <v>8</v>
      </c>
      <c r="B67" s="43">
        <f t="shared" si="1"/>
        <v>34.332299030744373</v>
      </c>
      <c r="C67" s="2">
        <v>34.332299030744373</v>
      </c>
      <c r="D67" s="2">
        <v>15.632750224600029</v>
      </c>
      <c r="E67" s="2">
        <v>15.550630843990584</v>
      </c>
      <c r="F67">
        <v>22.875014403561394</v>
      </c>
      <c r="G67" s="2">
        <v>1.0473952367488215</v>
      </c>
      <c r="H67" s="10">
        <v>1.0471896788308563</v>
      </c>
      <c r="I67">
        <v>1.0575246015038693</v>
      </c>
      <c r="J67" s="2">
        <v>795.65854648280015</v>
      </c>
      <c r="K67" s="2">
        <v>795.74766714833902</v>
      </c>
      <c r="L67">
        <v>793.89404499325008</v>
      </c>
      <c r="M67" s="2">
        <v>1.8256914170157226</v>
      </c>
      <c r="N67" s="2">
        <v>1.1747084603108804</v>
      </c>
      <c r="O67">
        <v>3.1687528522078887</v>
      </c>
      <c r="P67">
        <v>0.68870646874210228</v>
      </c>
      <c r="Q67">
        <v>0.50261688764519463</v>
      </c>
      <c r="R67">
        <v>0.66701216412287878</v>
      </c>
    </row>
    <row r="68" spans="1:18" outlineLevel="1" x14ac:dyDescent="0.25">
      <c r="A68" s="41">
        <v>9</v>
      </c>
      <c r="B68" s="43">
        <f t="shared" si="1"/>
        <v>39.094056035136425</v>
      </c>
      <c r="C68" s="2">
        <v>39.094056035136425</v>
      </c>
      <c r="D68" s="2">
        <v>18.278915862630324</v>
      </c>
      <c r="E68" s="2">
        <v>18.182896081895311</v>
      </c>
      <c r="F68">
        <v>26.747082735395875</v>
      </c>
      <c r="G68" s="2">
        <v>1.0542851059737293</v>
      </c>
      <c r="H68" s="10">
        <v>1.0540415068508755</v>
      </c>
      <c r="I68">
        <v>1.0665477666469567</v>
      </c>
      <c r="J68" s="2">
        <v>792.60528420799403</v>
      </c>
      <c r="K68" s="2">
        <v>792.7105578570812</v>
      </c>
      <c r="L68">
        <v>790.28231462556425</v>
      </c>
      <c r="M68" s="2">
        <v>1.6971821469496657</v>
      </c>
      <c r="N68" s="2">
        <v>1.0922306330686808</v>
      </c>
      <c r="O68">
        <v>2.9063630692355238</v>
      </c>
      <c r="P68">
        <v>0.64787009529234307</v>
      </c>
      <c r="Q68">
        <v>0.44700310266806165</v>
      </c>
      <c r="R68">
        <v>0.61980766773103313</v>
      </c>
    </row>
    <row r="69" spans="1:18" outlineLevel="1" x14ac:dyDescent="0.25">
      <c r="A69" s="41">
        <v>10</v>
      </c>
      <c r="B69" s="43">
        <f t="shared" si="1"/>
        <v>43.855813039528478</v>
      </c>
      <c r="C69" s="2">
        <v>43.855813039528478</v>
      </c>
      <c r="D69" s="2">
        <v>20.9918068812371</v>
      </c>
      <c r="E69" s="2">
        <v>20.881536189631749</v>
      </c>
      <c r="F69">
        <v>30.716788656256011</v>
      </c>
      <c r="G69" s="2">
        <v>1.0614344858847018</v>
      </c>
      <c r="H69" s="10">
        <v>1.0611511731779575</v>
      </c>
      <c r="I69">
        <v>1.0759336157910868</v>
      </c>
      <c r="J69" s="2">
        <v>789.45238210188279</v>
      </c>
      <c r="K69" s="2">
        <v>789.57428697437865</v>
      </c>
      <c r="L69">
        <v>786.54359160320428</v>
      </c>
      <c r="M69" s="2">
        <v>1.5835527607096513</v>
      </c>
      <c r="N69" s="2">
        <v>1.0192737218604462</v>
      </c>
      <c r="O69">
        <v>2.6808487292430017</v>
      </c>
      <c r="P69">
        <v>0.60769298449581466</v>
      </c>
      <c r="Q69">
        <v>0.39431432518009213</v>
      </c>
      <c r="R69">
        <v>0.57265912189275459</v>
      </c>
    </row>
    <row r="70" spans="1:18" outlineLevel="1" x14ac:dyDescent="0.25">
      <c r="A70" s="41">
        <v>11</v>
      </c>
      <c r="B70" s="43">
        <f t="shared" si="1"/>
        <v>48.61757004392053</v>
      </c>
      <c r="C70" s="2">
        <v>48.61757004392053</v>
      </c>
      <c r="D70" s="2">
        <v>23.76556725360674</v>
      </c>
      <c r="E70" s="2">
        <v>23.640725902298822</v>
      </c>
      <c r="F70">
        <v>34.775563187824829</v>
      </c>
      <c r="G70" s="2">
        <v>1.0688292051496744</v>
      </c>
      <c r="H70" s="10">
        <v>1.0685045943853586</v>
      </c>
      <c r="I70">
        <v>1.0856624389361564</v>
      </c>
      <c r="J70" s="2">
        <v>786.20987470298064</v>
      </c>
      <c r="K70" s="2">
        <v>786.34880635933007</v>
      </c>
      <c r="L70">
        <v>782.69237601630402</v>
      </c>
      <c r="M70" s="2">
        <v>1.482672026300256</v>
      </c>
      <c r="N70" s="2">
        <v>0.95447934942235402</v>
      </c>
      <c r="O70">
        <v>2.4855307198114578</v>
      </c>
      <c r="P70">
        <v>0.56828667134196464</v>
      </c>
      <c r="Q70">
        <v>0.34457466749382309</v>
      </c>
      <c r="R70">
        <v>0.52579175862655758</v>
      </c>
    </row>
    <row r="71" spans="1:18" outlineLevel="1" x14ac:dyDescent="0.25">
      <c r="A71" s="41">
        <v>12</v>
      </c>
      <c r="B71" s="43">
        <f t="shared" si="1"/>
        <v>53.379327048312582</v>
      </c>
      <c r="C71" s="2">
        <v>53.379327048312582</v>
      </c>
      <c r="D71" s="2">
        <v>26.595387296077288</v>
      </c>
      <c r="E71" s="2">
        <v>26.455680801670095</v>
      </c>
      <c r="F71">
        <v>38.916368439682344</v>
      </c>
      <c r="G71" s="2">
        <v>1.0764572765250062</v>
      </c>
      <c r="H71" s="10">
        <v>1.0760898592359402</v>
      </c>
      <c r="I71">
        <v>1.0957174244932204</v>
      </c>
      <c r="J71" s="2">
        <v>782.88672262243313</v>
      </c>
      <c r="K71" s="2">
        <v>783.04300187632271</v>
      </c>
      <c r="L71">
        <v>778.74173582717492</v>
      </c>
      <c r="M71" s="2">
        <v>1.3927313517744839</v>
      </c>
      <c r="N71" s="2">
        <v>0.89669351890138072</v>
      </c>
      <c r="O71">
        <v>2.3151275345121229</v>
      </c>
      <c r="P71">
        <v>0.52977794424911029</v>
      </c>
      <c r="Q71">
        <v>0.29780665925072791</v>
      </c>
      <c r="R71">
        <v>0.47945559325667902</v>
      </c>
    </row>
    <row r="72" spans="1:18" outlineLevel="1" x14ac:dyDescent="0.25">
      <c r="A72" s="41">
        <v>13</v>
      </c>
      <c r="B72" s="43">
        <f t="shared" si="1"/>
        <v>58.141084052704635</v>
      </c>
      <c r="C72" s="2">
        <v>58.141084052704635</v>
      </c>
      <c r="D72" s="2">
        <v>29.477238550183412</v>
      </c>
      <c r="E72" s="2">
        <v>29.322393590912668</v>
      </c>
      <c r="F72">
        <v>43.133309668799036</v>
      </c>
      <c r="G72" s="2">
        <v>1.0843083606473116</v>
      </c>
      <c r="H72" s="10">
        <v>1.0838966950783475</v>
      </c>
      <c r="I72">
        <v>1.106083979901783</v>
      </c>
      <c r="J72" s="2">
        <v>779.49102885378261</v>
      </c>
      <c r="K72" s="2">
        <v>779.66490866911238</v>
      </c>
      <c r="L72">
        <v>774.70354029695761</v>
      </c>
      <c r="M72" s="2">
        <v>1.312205754415638</v>
      </c>
      <c r="N72" s="2">
        <v>0.84494230899075795</v>
      </c>
      <c r="O72">
        <v>2.1654424009159592</v>
      </c>
      <c r="P72">
        <v>0.49229974022377526</v>
      </c>
      <c r="Q72">
        <v>0.25401679125887305</v>
      </c>
      <c r="R72">
        <v>0.43391078758701934</v>
      </c>
    </row>
    <row r="73" spans="1:18" outlineLevel="1" x14ac:dyDescent="0.25">
      <c r="A73" s="41">
        <v>14</v>
      </c>
      <c r="B73" s="43">
        <f t="shared" si="1"/>
        <v>62.902841057096687</v>
      </c>
      <c r="C73" s="2">
        <v>62.902841057096687</v>
      </c>
      <c r="D73" s="2">
        <v>32.407692392251796</v>
      </c>
      <c r="E73" s="2">
        <v>32.237453657032631</v>
      </c>
      <c r="F73">
        <v>47.421369855470466</v>
      </c>
      <c r="G73" s="2">
        <v>1.0923734007569565</v>
      </c>
      <c r="H73" s="10">
        <v>1.0919161043962067</v>
      </c>
      <c r="I73">
        <v>1.1167492623890134</v>
      </c>
      <c r="J73" s="2">
        <v>776.03018699421705</v>
      </c>
      <c r="K73" s="2">
        <v>776.22185860298782</v>
      </c>
      <c r="L73">
        <v>770.58862742900158</v>
      </c>
      <c r="M73" s="2">
        <v>1.239811945537703</v>
      </c>
      <c r="N73" s="2">
        <v>0.79840551861366504</v>
      </c>
      <c r="O73">
        <v>2.0331186146935791</v>
      </c>
      <c r="P73">
        <v>0.45598194644504619</v>
      </c>
      <c r="Q73">
        <v>0.21318524536045916</v>
      </c>
      <c r="R73">
        <v>0.38941238647462839</v>
      </c>
    </row>
    <row r="74" spans="1:18" outlineLevel="1" x14ac:dyDescent="0.25">
      <c r="A74" s="41">
        <v>15</v>
      </c>
      <c r="B74" s="43">
        <f t="shared" si="1"/>
        <v>67.664598061488746</v>
      </c>
      <c r="C74" s="2">
        <v>67.664598061488746</v>
      </c>
      <c r="D74" s="2">
        <v>35.383791495264902</v>
      </c>
      <c r="E74" s="2">
        <v>35.197919207954094</v>
      </c>
      <c r="F74">
        <v>51.776221616660969</v>
      </c>
      <c r="G74" s="2">
        <v>1.1006443640471673</v>
      </c>
      <c r="H74" s="10">
        <v>1.1001401074907224</v>
      </c>
      <c r="I74">
        <v>1.1277018420129314</v>
      </c>
      <c r="J74" s="2">
        <v>772.51098758399519</v>
      </c>
      <c r="K74" s="2">
        <v>772.72058598647095</v>
      </c>
      <c r="L74">
        <v>766.40693024108896</v>
      </c>
      <c r="M74" s="2">
        <v>1.1744694069445689</v>
      </c>
      <c r="N74" s="2">
        <v>0.75639208011580294</v>
      </c>
      <c r="O74">
        <v>1.9154517619243687</v>
      </c>
      <c r="P74">
        <v>0.42094292438706743</v>
      </c>
      <c r="Q74">
        <v>0.17526002659914836</v>
      </c>
      <c r="R74">
        <v>0.34619592525464088</v>
      </c>
    </row>
    <row r="75" spans="1:18" outlineLevel="1" x14ac:dyDescent="0.25">
      <c r="A75" s="41">
        <v>16</v>
      </c>
      <c r="B75" s="43">
        <f t="shared" si="1"/>
        <v>72.426355065880799</v>
      </c>
      <c r="C75" s="2">
        <v>72.426355065880799</v>
      </c>
      <c r="D75" s="2">
        <v>38.402956056640619</v>
      </c>
      <c r="E75" s="2">
        <v>38.201223992887662</v>
      </c>
      <c r="F75">
        <v>56.194089991447129</v>
      </c>
      <c r="G75" s="2">
        <v>1.109114052506289</v>
      </c>
      <c r="H75" s="10">
        <v>1.1085615543294534</v>
      </c>
      <c r="I75">
        <v>1.1389314518515288</v>
      </c>
      <c r="J75" s="2">
        <v>768.93969746654398</v>
      </c>
      <c r="K75" s="2">
        <v>769.16730642191544</v>
      </c>
      <c r="L75">
        <v>762.16757594024682</v>
      </c>
      <c r="M75" s="2">
        <v>1.1152664429449679</v>
      </c>
      <c r="N75" s="2">
        <v>0.71831855459639848</v>
      </c>
      <c r="O75">
        <v>1.8102465099063763</v>
      </c>
      <c r="P75">
        <v>0.38728249136504728</v>
      </c>
      <c r="Q75">
        <v>0.14015529810284771</v>
      </c>
      <c r="R75">
        <v>0.30446531405347815</v>
      </c>
    </row>
    <row r="76" spans="1:18" outlineLevel="1" x14ac:dyDescent="0.25">
      <c r="A76" s="41">
        <v>17</v>
      </c>
      <c r="B76" s="43">
        <f t="shared" si="1"/>
        <v>77.188112070272851</v>
      </c>
      <c r="C76" s="2">
        <v>77.188112070272851</v>
      </c>
      <c r="D76" s="2">
        <v>41.462913692820898</v>
      </c>
      <c r="E76" s="2">
        <v>41.245107565185137</v>
      </c>
      <c r="F76">
        <v>60.67164985751365</v>
      </c>
      <c r="G76" s="2">
        <v>1.1177759607575479</v>
      </c>
      <c r="H76" s="10">
        <v>1.1171739831662413</v>
      </c>
      <c r="I76">
        <v>1.1504287978229197</v>
      </c>
      <c r="J76" s="2">
        <v>765.32212106368365</v>
      </c>
      <c r="K76" s="2">
        <v>765.5677776479348</v>
      </c>
      <c r="L76">
        <v>757.87896642678834</v>
      </c>
      <c r="M76" s="2">
        <v>1.0614314876597817</v>
      </c>
      <c r="N76" s="2">
        <v>0.6836909199228981</v>
      </c>
      <c r="O76">
        <v>1.7157073878440552</v>
      </c>
      <c r="P76">
        <v>0.35507688066483306</v>
      </c>
      <c r="Q76">
        <v>0.10775330937806708</v>
      </c>
      <c r="R76">
        <v>0.26438404248451808</v>
      </c>
    </row>
    <row r="77" spans="1:18" outlineLevel="1" x14ac:dyDescent="0.25">
      <c r="A77" s="41">
        <v>18</v>
      </c>
      <c r="B77" s="43">
        <f t="shared" si="1"/>
        <v>81.949869074664903</v>
      </c>
      <c r="C77" s="2">
        <v>81.949869074664903</v>
      </c>
      <c r="D77" s="2">
        <v>44.561645919397186</v>
      </c>
      <c r="E77" s="2">
        <v>44.327562043606754</v>
      </c>
      <c r="F77">
        <v>65.205947616852797</v>
      </c>
      <c r="G77" s="2">
        <v>1.126624166703257</v>
      </c>
      <c r="H77" s="10">
        <v>1.1259715118034186</v>
      </c>
      <c r="I77">
        <v>1.1621854106387752</v>
      </c>
      <c r="J77" s="2">
        <v>761.66364909854406</v>
      </c>
      <c r="K77" s="2">
        <v>761.92734788644702</v>
      </c>
      <c r="L77">
        <v>753.54884541280546</v>
      </c>
      <c r="M77" s="2">
        <v>1.0123092523613462</v>
      </c>
      <c r="N77" s="2">
        <v>0.65208940772382584</v>
      </c>
      <c r="O77">
        <v>1.6303552064088813</v>
      </c>
      <c r="P77">
        <v>0.32437591667884469</v>
      </c>
      <c r="Q77">
        <v>7.7909018636373867E-2</v>
      </c>
      <c r="R77">
        <v>0.22607022414365632</v>
      </c>
    </row>
    <row r="78" spans="1:18" outlineLevel="1" x14ac:dyDescent="0.25">
      <c r="A78" s="41">
        <v>19</v>
      </c>
      <c r="B78" s="43">
        <f t="shared" si="1"/>
        <v>86.711626079056956</v>
      </c>
      <c r="C78" s="2">
        <v>86.711626079056956</v>
      </c>
      <c r="D78" s="2">
        <v>47.697346547198109</v>
      </c>
      <c r="E78" s="2">
        <v>47.446790726955669</v>
      </c>
      <c r="F78">
        <v>69.794340317794706</v>
      </c>
      <c r="G78" s="2">
        <v>1.1356532457008399</v>
      </c>
      <c r="H78" s="10">
        <v>1.1349487522662522</v>
      </c>
      <c r="I78">
        <v>1.1741935283535276</v>
      </c>
      <c r="J78" s="2">
        <v>757.96929833321008</v>
      </c>
      <c r="K78" s="2">
        <v>758.25099524837321</v>
      </c>
      <c r="L78">
        <v>749.18435560608657</v>
      </c>
      <c r="M78" s="2">
        <v>0.96734106551192334</v>
      </c>
      <c r="N78" s="2">
        <v>0.62315599032512992</v>
      </c>
      <c r="O78">
        <v>1.552962760417572</v>
      </c>
      <c r="P78">
        <v>0.29520235325007399</v>
      </c>
      <c r="Q78">
        <v>5.0456390378404777E-2</v>
      </c>
      <c r="R78">
        <v>0.18959544878863907</v>
      </c>
    </row>
    <row r="79" spans="1:18" outlineLevel="1" x14ac:dyDescent="0.25">
      <c r="A79" s="41">
        <v>20</v>
      </c>
      <c r="B79" s="43">
        <f t="shared" si="1"/>
        <v>91.473383083449008</v>
      </c>
      <c r="C79" s="2">
        <v>91.473383083449008</v>
      </c>
      <c r="D79" s="2">
        <v>50.86838882632788</v>
      </c>
      <c r="E79" s="2">
        <v>50.601175410709871</v>
      </c>
      <c r="F79">
        <v>74.434447577696332</v>
      </c>
      <c r="G79" s="2">
        <v>1.1448582020260833</v>
      </c>
      <c r="H79" s="10">
        <v>1.1441007426742691</v>
      </c>
      <c r="I79">
        <v>1.1864460016605196</v>
      </c>
      <c r="J79" s="2">
        <v>754.24374469451902</v>
      </c>
      <c r="K79" s="2">
        <v>754.5433605624911</v>
      </c>
      <c r="L79">
        <v>744.79208829329627</v>
      </c>
      <c r="M79" s="2">
        <v>0.92604873183099945</v>
      </c>
      <c r="N79" s="2">
        <v>0.59658409697574599</v>
      </c>
      <c r="O79">
        <v>1.4825050556015225</v>
      </c>
      <c r="P79">
        <v>0.26755308767294572</v>
      </c>
      <c r="Q79">
        <v>2.5215394730788744E-2</v>
      </c>
      <c r="R79">
        <v>0.15498694908029553</v>
      </c>
    </row>
    <row r="80" spans="1:18" outlineLevel="1" x14ac:dyDescent="0.25">
      <c r="A80" s="41">
        <v>21</v>
      </c>
      <c r="B80" s="44">
        <f>G24</f>
        <v>96.23514008784106</v>
      </c>
      <c r="C80" s="2">
        <v>96.23514008784106</v>
      </c>
      <c r="D80" s="2">
        <v>54.073299135041864</v>
      </c>
      <c r="E80" s="2">
        <v>54.078112786098067</v>
      </c>
      <c r="F80">
        <v>79.124113082527899</v>
      </c>
      <c r="G80" s="2">
        <v>1.1542344133047182</v>
      </c>
      <c r="H80" s="10">
        <v>1.1542684223365363</v>
      </c>
      <c r="I80">
        <v>1.1989362164485626</v>
      </c>
      <c r="J80" s="2">
        <v>750.49135141200134</v>
      </c>
      <c r="K80" s="2">
        <v>750.47280555421958</v>
      </c>
      <c r="L80">
        <v>740.3781269502839</v>
      </c>
      <c r="M80" s="2">
        <v>0.88802129465779334</v>
      </c>
      <c r="N80" s="2">
        <v>0.57000939651220928</v>
      </c>
      <c r="O80">
        <v>1.4181205180385463</v>
      </c>
      <c r="P80">
        <v>0.24140181219337808</v>
      </c>
      <c r="Q80">
        <v>0</v>
      </c>
      <c r="R80">
        <v>0.12223229084938175</v>
      </c>
    </row>
    <row r="81" spans="1:18" outlineLevel="1" x14ac:dyDescent="0.25">
      <c r="A81" s="41">
        <v>22</v>
      </c>
      <c r="B81" s="43">
        <f t="shared" ref="B81:B99" si="2">($B$100-$B$80)/($A$100-$A$80)+B80</f>
        <v>106.42338308344901</v>
      </c>
      <c r="C81" s="2">
        <v>106.42338308344901</v>
      </c>
      <c r="D81" s="2">
        <v>61.038202323953357</v>
      </c>
      <c r="E81" s="2">
        <v>54.078112786098067</v>
      </c>
      <c r="F81">
        <v>89.315682606554986</v>
      </c>
      <c r="G81" s="2">
        <v>1.1748514083411266</v>
      </c>
      <c r="H81" s="10">
        <v>1.1529091936293969</v>
      </c>
      <c r="I81">
        <v>1.2264308379030042</v>
      </c>
      <c r="J81" s="2">
        <v>742.39112627609188</v>
      </c>
      <c r="K81" s="2">
        <v>751.35757964299705</v>
      </c>
      <c r="L81">
        <v>730.88661089194875</v>
      </c>
      <c r="M81" s="2">
        <v>0.81604282901948588</v>
      </c>
      <c r="N81" s="2">
        <v>0.5757390527077495</v>
      </c>
      <c r="O81">
        <v>1.2975280448390474</v>
      </c>
      <c r="P81">
        <v>0.1902467541699866</v>
      </c>
      <c r="Q81">
        <v>0</v>
      </c>
      <c r="R81">
        <v>5.8130362261063551E-2</v>
      </c>
    </row>
    <row r="82" spans="1:18" outlineLevel="1" x14ac:dyDescent="0.25">
      <c r="A82" s="41">
        <v>23</v>
      </c>
      <c r="B82" s="43">
        <f t="shared" si="2"/>
        <v>116.61162607905696</v>
      </c>
      <c r="C82" s="2">
        <v>116.61162607905696</v>
      </c>
      <c r="D82" s="2">
        <v>68.14065479401944</v>
      </c>
      <c r="E82" s="2">
        <v>54.078112786098067</v>
      </c>
      <c r="F82">
        <v>100</v>
      </c>
      <c r="G82" s="2">
        <v>1.1961952414086863</v>
      </c>
      <c r="H82" s="10">
        <v>1.1517886794483074</v>
      </c>
      <c r="I82">
        <v>1.2556570423739606</v>
      </c>
      <c r="J82" s="2">
        <v>734.22228760834105</v>
      </c>
      <c r="K82" s="2">
        <v>752.08853562310128</v>
      </c>
      <c r="L82">
        <v>721.15153217953105</v>
      </c>
      <c r="M82" s="2">
        <v>0.75464641476526673</v>
      </c>
      <c r="N82" s="2">
        <v>0.58214665710438718</v>
      </c>
      <c r="O82">
        <v>1.19380462012872</v>
      </c>
      <c r="P82">
        <v>0.14506447601367228</v>
      </c>
      <c r="Q82">
        <v>0</v>
      </c>
      <c r="R82">
        <v>0</v>
      </c>
    </row>
    <row r="83" spans="1:18" outlineLevel="1" x14ac:dyDescent="0.25">
      <c r="A83" s="41">
        <v>24</v>
      </c>
      <c r="B83" s="43">
        <f t="shared" si="2"/>
        <v>126.79986907466491</v>
      </c>
      <c r="C83" s="2">
        <v>126.79986907466491</v>
      </c>
      <c r="D83" s="2">
        <v>75.370978740393213</v>
      </c>
      <c r="E83" s="2">
        <v>54.078112786098067</v>
      </c>
      <c r="F83">
        <v>100</v>
      </c>
      <c r="G83" s="2">
        <v>1.218232843892231</v>
      </c>
      <c r="H83" s="10">
        <v>1.1508490702880401</v>
      </c>
      <c r="I83">
        <v>1.2531222287408634</v>
      </c>
      <c r="J83" s="2">
        <v>726.01597612749867</v>
      </c>
      <c r="K83" s="2">
        <v>752.70257728646789</v>
      </c>
      <c r="L83">
        <v>722.61027634141078</v>
      </c>
      <c r="M83" s="2">
        <v>0.70173514670445125</v>
      </c>
      <c r="N83" s="2">
        <v>0.58919069086219444</v>
      </c>
      <c r="O83">
        <v>1.2107302411959062</v>
      </c>
      <c r="P83">
        <v>0.10504817198582464</v>
      </c>
      <c r="Q83">
        <v>0</v>
      </c>
      <c r="R83">
        <v>0</v>
      </c>
    </row>
    <row r="84" spans="1:18" outlineLevel="1" x14ac:dyDescent="0.25">
      <c r="A84" s="41">
        <v>25</v>
      </c>
      <c r="B84" s="43">
        <f t="shared" si="2"/>
        <v>136.98811207027285</v>
      </c>
      <c r="C84" s="2">
        <v>136.98811207027285</v>
      </c>
      <c r="D84" s="2">
        <v>82.720909646987607</v>
      </c>
      <c r="E84" s="2">
        <v>54.078112786098067</v>
      </c>
      <c r="F84">
        <v>100</v>
      </c>
      <c r="G84" s="2">
        <v>1.2409350069902738</v>
      </c>
      <c r="H84" s="10">
        <v>1.1500498285865848</v>
      </c>
      <c r="I84">
        <v>1.2509684918248254</v>
      </c>
      <c r="J84" s="2">
        <v>717.79915120727082</v>
      </c>
      <c r="K84" s="2">
        <v>753.22567748056952</v>
      </c>
      <c r="L84">
        <v>723.85436237414115</v>
      </c>
      <c r="M84" s="2">
        <v>0.6557164824007039</v>
      </c>
      <c r="N84" s="2">
        <v>0.59683662393692249</v>
      </c>
      <c r="O84">
        <v>1.2292628137340369</v>
      </c>
      <c r="P84">
        <v>6.9372693775669306E-2</v>
      </c>
      <c r="Q84">
        <v>0</v>
      </c>
      <c r="R84">
        <v>0</v>
      </c>
    </row>
    <row r="85" spans="1:18" outlineLevel="1" x14ac:dyDescent="0.25">
      <c r="A85" s="41">
        <v>26</v>
      </c>
      <c r="B85" s="43">
        <f t="shared" si="2"/>
        <v>147.17635506588078</v>
      </c>
      <c r="C85" s="2">
        <v>147.17635506588078</v>
      </c>
      <c r="D85" s="2">
        <v>90.183298834856117</v>
      </c>
      <c r="E85" s="2">
        <v>54.078112786098067</v>
      </c>
      <c r="F85">
        <v>100</v>
      </c>
      <c r="G85" s="2">
        <v>1.2642756789552245</v>
      </c>
      <c r="H85" s="10">
        <v>1.1493616865825798</v>
      </c>
      <c r="I85">
        <v>1.2491159072104394</v>
      </c>
      <c r="J85" s="2">
        <v>709.59512253842308</v>
      </c>
      <c r="K85" s="2">
        <v>753.67664625151463</v>
      </c>
      <c r="L85">
        <v>724.92792283962683</v>
      </c>
      <c r="M85" s="2">
        <v>0.61536284859829204</v>
      </c>
      <c r="N85" s="2">
        <v>0.6050554346663235</v>
      </c>
      <c r="O85">
        <v>1.2493127575664098</v>
      </c>
      <c r="P85">
        <v>3.7278580491392273E-2</v>
      </c>
      <c r="Q85">
        <v>0</v>
      </c>
      <c r="R85">
        <v>0</v>
      </c>
    </row>
    <row r="86" spans="1:18" outlineLevel="1" x14ac:dyDescent="0.25">
      <c r="A86" s="41">
        <v>27</v>
      </c>
      <c r="B86" s="43">
        <f t="shared" si="2"/>
        <v>157.36459806148872</v>
      </c>
      <c r="C86" s="2">
        <v>157.36459806148872</v>
      </c>
      <c r="D86" s="2">
        <v>97.751895126069101</v>
      </c>
      <c r="E86" s="2">
        <v>54.078112786098067</v>
      </c>
      <c r="F86">
        <v>100</v>
      </c>
      <c r="G86" s="2">
        <v>1.2882314323765667</v>
      </c>
      <c r="H86" s="10">
        <v>1.1487629844601872</v>
      </c>
      <c r="I86">
        <v>1.2475054398575369</v>
      </c>
      <c r="J86" s="2">
        <v>701.42399920011428</v>
      </c>
      <c r="K86" s="2">
        <v>754.06944077380717</v>
      </c>
      <c r="L86">
        <v>725.86376866092758</v>
      </c>
      <c r="M86" s="2">
        <v>0.57971503069600172</v>
      </c>
      <c r="N86" s="2">
        <v>0.61382250193001575</v>
      </c>
      <c r="O86">
        <v>1.2708034807817767</v>
      </c>
      <c r="P86">
        <v>8.1119718576800545E-3</v>
      </c>
      <c r="Q86">
        <v>0</v>
      </c>
      <c r="R86">
        <v>0</v>
      </c>
    </row>
    <row r="87" spans="1:18" outlineLevel="1" x14ac:dyDescent="0.25">
      <c r="A87" s="41">
        <v>28</v>
      </c>
      <c r="B87" s="43">
        <f t="shared" si="2"/>
        <v>167.55284105709666</v>
      </c>
      <c r="C87" s="2">
        <v>167.55284105709666</v>
      </c>
      <c r="D87" s="2">
        <v>100</v>
      </c>
      <c r="E87" s="2">
        <v>54.078112786098067</v>
      </c>
      <c r="F87">
        <v>100</v>
      </c>
      <c r="G87" s="2">
        <v>1.2938440133383187</v>
      </c>
      <c r="H87" s="10">
        <v>1.1482373491641864</v>
      </c>
      <c r="I87">
        <v>1.2460925381711567</v>
      </c>
      <c r="J87" s="2">
        <v>699.86721016208139</v>
      </c>
      <c r="K87" s="2">
        <v>754.41463553166352</v>
      </c>
      <c r="L87">
        <v>726.68680074835868</v>
      </c>
      <c r="M87" s="2">
        <v>0.57450848712849756</v>
      </c>
      <c r="N87" s="2">
        <v>0.62311675876178596</v>
      </c>
      <c r="O87">
        <v>1.2936687015986079</v>
      </c>
      <c r="P87">
        <v>0</v>
      </c>
      <c r="Q87">
        <v>0</v>
      </c>
      <c r="R87">
        <v>0</v>
      </c>
    </row>
    <row r="88" spans="1:18" outlineLevel="1" x14ac:dyDescent="0.25">
      <c r="A88" s="41">
        <v>29</v>
      </c>
      <c r="B88" s="43">
        <f t="shared" si="2"/>
        <v>177.74108405270459</v>
      </c>
      <c r="C88" s="2">
        <v>177.74108405270459</v>
      </c>
      <c r="D88" s="2">
        <v>100</v>
      </c>
      <c r="E88" s="2">
        <v>54.078112786098067</v>
      </c>
      <c r="F88">
        <v>100</v>
      </c>
      <c r="G88" s="2">
        <v>1.2920643749128917</v>
      </c>
      <c r="H88" s="10">
        <v>1.147772174170177</v>
      </c>
      <c r="I88">
        <v>1.2448429491279966</v>
      </c>
      <c r="J88" s="2">
        <v>700.83117960825143</v>
      </c>
      <c r="K88" s="2">
        <v>754.72038856476684</v>
      </c>
      <c r="L88">
        <v>727.41625811859183</v>
      </c>
      <c r="M88" s="2">
        <v>0.58063380182202895</v>
      </c>
      <c r="N88" s="2">
        <v>0.63292003408229347</v>
      </c>
      <c r="O88">
        <v>1.317850371786208</v>
      </c>
      <c r="P88">
        <v>0</v>
      </c>
      <c r="Q88">
        <v>0</v>
      </c>
      <c r="R88">
        <v>0</v>
      </c>
    </row>
    <row r="89" spans="1:18" outlineLevel="1" x14ac:dyDescent="0.25">
      <c r="A89" s="41">
        <v>30</v>
      </c>
      <c r="B89" s="43">
        <f t="shared" si="2"/>
        <v>187.92932704831253</v>
      </c>
      <c r="C89" s="2">
        <v>187.92932704831253</v>
      </c>
      <c r="D89" s="2">
        <v>100</v>
      </c>
      <c r="E89" s="2">
        <v>54.078112786098067</v>
      </c>
      <c r="F89">
        <v>100</v>
      </c>
      <c r="G89" s="2">
        <v>1.2904797603482121</v>
      </c>
      <c r="H89" s="10">
        <v>1.1473575953029533</v>
      </c>
      <c r="I89">
        <v>1.2437299051272943</v>
      </c>
      <c r="J89" s="2">
        <v>701.69174893193394</v>
      </c>
      <c r="K89" s="2">
        <v>754.99309441082789</v>
      </c>
      <c r="L89">
        <v>728.06724053750327</v>
      </c>
      <c r="M89" s="2">
        <v>0.58716026919752351</v>
      </c>
      <c r="N89" s="2">
        <v>0.64321653272996115</v>
      </c>
      <c r="O89">
        <v>1.3432970426123496</v>
      </c>
      <c r="P89">
        <v>0</v>
      </c>
      <c r="Q89">
        <v>0</v>
      </c>
      <c r="R89">
        <v>0</v>
      </c>
    </row>
    <row r="90" spans="1:18" outlineLevel="1" x14ac:dyDescent="0.25">
      <c r="A90" s="41">
        <v>31</v>
      </c>
      <c r="B90" s="43">
        <f t="shared" si="2"/>
        <v>198.11757004392047</v>
      </c>
      <c r="C90" s="2">
        <v>198.11757004392047</v>
      </c>
      <c r="D90" s="2">
        <v>100</v>
      </c>
      <c r="E90" s="2">
        <v>54.078112786098067</v>
      </c>
      <c r="F90">
        <v>100</v>
      </c>
      <c r="G90" s="2">
        <v>1.2890597780752191</v>
      </c>
      <c r="H90" s="10">
        <v>1.1469857835071717</v>
      </c>
      <c r="I90">
        <v>1.2427321851836586</v>
      </c>
      <c r="J90" s="2">
        <v>702.46470753442532</v>
      </c>
      <c r="K90" s="2">
        <v>755.23783618729294</v>
      </c>
      <c r="L90">
        <v>728.65176487416454</v>
      </c>
      <c r="M90" s="2">
        <v>0.59407171276916748</v>
      </c>
      <c r="N90" s="2">
        <v>0.65399241908279371</v>
      </c>
      <c r="O90">
        <v>1.3699625624296814</v>
      </c>
      <c r="P90">
        <v>0</v>
      </c>
      <c r="Q90">
        <v>0</v>
      </c>
      <c r="R90">
        <v>0</v>
      </c>
    </row>
    <row r="91" spans="1:18" outlineLevel="1" x14ac:dyDescent="0.25">
      <c r="A91" s="41">
        <v>32</v>
      </c>
      <c r="B91" s="43">
        <f t="shared" si="2"/>
        <v>208.3058130395284</v>
      </c>
      <c r="C91" s="2">
        <v>208.3058130395284</v>
      </c>
      <c r="D91" s="2">
        <v>100</v>
      </c>
      <c r="E91" s="2">
        <v>54.078112786098067</v>
      </c>
      <c r="F91">
        <v>100</v>
      </c>
      <c r="G91" s="2">
        <v>1.2877800392869647</v>
      </c>
      <c r="H91" s="10">
        <v>1.1466504457487583</v>
      </c>
      <c r="I91">
        <v>1.2418327490388832</v>
      </c>
      <c r="J91" s="2">
        <v>703.16278586006024</v>
      </c>
      <c r="K91" s="2">
        <v>755.4587053841741</v>
      </c>
      <c r="L91">
        <v>729.17951366705915</v>
      </c>
      <c r="M91" s="2">
        <v>0.60135369893534518</v>
      </c>
      <c r="N91" s="2">
        <v>0.66523547956157136</v>
      </c>
      <c r="O91">
        <v>1.3978050269371152</v>
      </c>
      <c r="P91">
        <v>0</v>
      </c>
      <c r="Q91">
        <v>0</v>
      </c>
      <c r="R91">
        <v>0</v>
      </c>
    </row>
    <row r="92" spans="1:18" outlineLevel="1" x14ac:dyDescent="0.25">
      <c r="A92" s="41">
        <v>33</v>
      </c>
      <c r="B92" s="43">
        <f t="shared" si="2"/>
        <v>218.49405603513634</v>
      </c>
      <c r="C92" s="2">
        <v>218.49405603513634</v>
      </c>
      <c r="D92" s="2">
        <v>100</v>
      </c>
      <c r="E92" s="2">
        <v>54.078112786098067</v>
      </c>
      <c r="F92">
        <v>100</v>
      </c>
      <c r="G92" s="2">
        <v>1.2866207456767045</v>
      </c>
      <c r="H92" s="10">
        <v>1.146346465928977</v>
      </c>
      <c r="I92">
        <v>1.2410177559521183</v>
      </c>
      <c r="J92" s="2">
        <v>703.79636193705073</v>
      </c>
      <c r="K92" s="2">
        <v>755.65903243008938</v>
      </c>
      <c r="L92">
        <v>729.65837568156212</v>
      </c>
      <c r="M92" s="2">
        <v>0.60899326644603313</v>
      </c>
      <c r="N92" s="2">
        <v>0.67693484608390331</v>
      </c>
      <c r="O92">
        <v>1.4267859248386989</v>
      </c>
      <c r="P92">
        <v>0</v>
      </c>
      <c r="Q92">
        <v>0</v>
      </c>
      <c r="R92">
        <v>0</v>
      </c>
    </row>
    <row r="93" spans="1:18" outlineLevel="1" x14ac:dyDescent="0.25">
      <c r="A93" s="41">
        <v>34</v>
      </c>
      <c r="B93" s="43">
        <f t="shared" si="2"/>
        <v>228.68229903074428</v>
      </c>
      <c r="C93" s="2">
        <v>228.68229903074428</v>
      </c>
      <c r="D93" s="2">
        <v>100</v>
      </c>
      <c r="E93" s="2">
        <v>54.078112786098067</v>
      </c>
      <c r="F93">
        <v>100</v>
      </c>
      <c r="G93" s="2">
        <v>1.2855656579620234</v>
      </c>
      <c r="H93" s="10">
        <v>1.1460696420338541</v>
      </c>
      <c r="I93">
        <v>1.2402758474425604</v>
      </c>
      <c r="J93" s="2">
        <v>704.37398073895167</v>
      </c>
      <c r="K93" s="2">
        <v>755.84155578562547</v>
      </c>
      <c r="L93">
        <v>730.09484290706257</v>
      </c>
      <c r="M93" s="2">
        <v>0.61697870219666295</v>
      </c>
      <c r="N93" s="2">
        <v>0.68908076723668565</v>
      </c>
      <c r="O93">
        <v>1.4568694366697952</v>
      </c>
      <c r="P93">
        <v>0</v>
      </c>
      <c r="Q93">
        <v>0</v>
      </c>
      <c r="R93">
        <v>0</v>
      </c>
    </row>
    <row r="94" spans="1:18" outlineLevel="1" x14ac:dyDescent="0.25">
      <c r="A94" s="41">
        <v>35</v>
      </c>
      <c r="B94" s="43">
        <f t="shared" si="2"/>
        <v>238.87054202635221</v>
      </c>
      <c r="C94" s="2">
        <v>238.87054202635221</v>
      </c>
      <c r="D94" s="2">
        <v>100</v>
      </c>
      <c r="E94" s="2">
        <v>54.078112786098067</v>
      </c>
      <c r="F94">
        <v>100</v>
      </c>
      <c r="G94" s="2">
        <v>1.2846013305663009</v>
      </c>
      <c r="H94" s="10">
        <v>1.1458164907158706</v>
      </c>
      <c r="I94">
        <v>1.2395976147009886</v>
      </c>
      <c r="J94" s="2">
        <v>704.90274177188724</v>
      </c>
      <c r="K94" s="2">
        <v>756.0085478716918</v>
      </c>
      <c r="L94">
        <v>730.49430658869574</v>
      </c>
      <c r="M94" s="2">
        <v>0.62529935388754643</v>
      </c>
      <c r="N94" s="2">
        <v>0.70166441725410933</v>
      </c>
      <c r="O94">
        <v>1.4880218551985771</v>
      </c>
      <c r="P94">
        <v>0</v>
      </c>
      <c r="Q94">
        <v>0</v>
      </c>
      <c r="R94">
        <v>0</v>
      </c>
    </row>
    <row r="95" spans="1:18" outlineLevel="1" x14ac:dyDescent="0.25">
      <c r="A95" s="41">
        <v>36</v>
      </c>
      <c r="B95" s="43">
        <f t="shared" si="2"/>
        <v>249.05878502196015</v>
      </c>
      <c r="C95" s="2">
        <v>249.05878502196015</v>
      </c>
      <c r="D95" s="2">
        <v>100</v>
      </c>
      <c r="E95" s="2">
        <v>54.078112786098067</v>
      </c>
      <c r="F95">
        <v>100</v>
      </c>
      <c r="G95" s="2">
        <v>1.2837165356384603</v>
      </c>
      <c r="H95" s="10">
        <v>1.1455840999530902</v>
      </c>
      <c r="I95">
        <v>1.2389751974829497</v>
      </c>
      <c r="J95" s="2">
        <v>705.38859231071388</v>
      </c>
      <c r="K95" s="2">
        <v>756.16191016357038</v>
      </c>
      <c r="L95">
        <v>730.86128103259421</v>
      </c>
      <c r="M95" s="2">
        <v>0.63394547232610399</v>
      </c>
      <c r="N95" s="2">
        <v>0.71467773527491751</v>
      </c>
      <c r="O95">
        <v>1.520211103458263</v>
      </c>
      <c r="P95">
        <v>0</v>
      </c>
      <c r="Q95">
        <v>0</v>
      </c>
      <c r="R95">
        <v>0</v>
      </c>
    </row>
    <row r="96" spans="1:18" outlineLevel="1" x14ac:dyDescent="0.25">
      <c r="A96" s="41">
        <v>37</v>
      </c>
      <c r="B96" s="43">
        <f t="shared" si="2"/>
        <v>259.24702801756808</v>
      </c>
      <c r="C96" s="2">
        <v>259.24702801756808</v>
      </c>
      <c r="D96" s="2">
        <v>100</v>
      </c>
      <c r="E96" s="2">
        <v>54.078112786098067</v>
      </c>
      <c r="F96">
        <v>100</v>
      </c>
      <c r="G96" s="2">
        <v>1.282901823927205</v>
      </c>
      <c r="H96" s="10">
        <v>1.1453700165297678</v>
      </c>
      <c r="I96">
        <v>1.2384019781114035</v>
      </c>
      <c r="J96" s="2">
        <v>705.83655203485102</v>
      </c>
      <c r="K96" s="2">
        <v>756.30324591357044</v>
      </c>
      <c r="L96">
        <v>731.19957494006985</v>
      </c>
      <c r="M96" s="2">
        <v>0.64290807779132253</v>
      </c>
      <c r="N96" s="2">
        <v>0.72811328909522421</v>
      </c>
      <c r="O96">
        <v>1.5534063320453595</v>
      </c>
      <c r="P96">
        <v>0</v>
      </c>
      <c r="Q96">
        <v>0</v>
      </c>
      <c r="R96">
        <v>0</v>
      </c>
    </row>
    <row r="97" spans="1:18" outlineLevel="1" x14ac:dyDescent="0.25">
      <c r="A97" s="41">
        <v>38</v>
      </c>
      <c r="B97" s="43">
        <f t="shared" si="2"/>
        <v>269.43527101317602</v>
      </c>
      <c r="C97" s="2">
        <v>269.43527101317602</v>
      </c>
      <c r="D97" s="2">
        <v>100</v>
      </c>
      <c r="E97" s="2">
        <v>54.078112786098067</v>
      </c>
      <c r="F97">
        <v>100</v>
      </c>
      <c r="G97" s="2">
        <v>1.2821491860189589</v>
      </c>
      <c r="H97" s="10">
        <v>1.1451721591012571</v>
      </c>
      <c r="I97">
        <v>1.237872345278523</v>
      </c>
      <c r="J97" s="2">
        <v>706.25088708406372</v>
      </c>
      <c r="K97" s="2">
        <v>756.43391641077153</v>
      </c>
      <c r="L97">
        <v>731.51242408299936</v>
      </c>
      <c r="M97" s="2">
        <v>0.65217884610161647</v>
      </c>
      <c r="N97" s="2">
        <v>0.74196415892360146</v>
      </c>
      <c r="O97">
        <v>1.5875775814451709</v>
      </c>
      <c r="P97">
        <v>0</v>
      </c>
      <c r="Q97">
        <v>0</v>
      </c>
      <c r="R97">
        <v>0</v>
      </c>
    </row>
    <row r="98" spans="1:18" outlineLevel="1" x14ac:dyDescent="0.25">
      <c r="A98" s="41">
        <v>39</v>
      </c>
      <c r="B98" s="43">
        <f t="shared" si="2"/>
        <v>279.62351400878396</v>
      </c>
      <c r="C98" s="2">
        <v>279.62351400878396</v>
      </c>
      <c r="D98" s="2">
        <v>100</v>
      </c>
      <c r="E98" s="2">
        <v>54.078112786098067</v>
      </c>
      <c r="F98">
        <v>100</v>
      </c>
      <c r="G98" s="2">
        <v>1.2814517881603869</v>
      </c>
      <c r="H98" s="10">
        <v>1.1449887503042124</v>
      </c>
      <c r="I98">
        <v>1.2373815097520882</v>
      </c>
      <c r="J98" s="2">
        <v>706.6352463403523</v>
      </c>
      <c r="K98" s="2">
        <v>756.55508496776906</v>
      </c>
      <c r="L98">
        <v>731.80259512801547</v>
      </c>
      <c r="M98" s="2">
        <v>0.66175001094777586</v>
      </c>
      <c r="N98" s="2">
        <v>0.75622383761292233</v>
      </c>
      <c r="O98">
        <v>1.6226954982336659</v>
      </c>
      <c r="P98">
        <v>0</v>
      </c>
      <c r="Q98">
        <v>0</v>
      </c>
      <c r="R98">
        <v>0</v>
      </c>
    </row>
    <row r="99" spans="1:18" outlineLevel="1" x14ac:dyDescent="0.25">
      <c r="A99" s="41">
        <v>40</v>
      </c>
      <c r="B99" s="43">
        <f t="shared" si="2"/>
        <v>289.81175700439189</v>
      </c>
      <c r="C99" s="2">
        <v>289.81175700439189</v>
      </c>
      <c r="D99" s="2">
        <v>100</v>
      </c>
      <c r="E99" s="2">
        <v>54.078112786098067</v>
      </c>
      <c r="F99">
        <v>100</v>
      </c>
      <c r="G99" s="2">
        <v>1.2808037641858914</v>
      </c>
      <c r="H99" s="10">
        <v>1.144818263215825</v>
      </c>
      <c r="I99">
        <v>1.236925359149684</v>
      </c>
      <c r="J99" s="2">
        <v>706.99276916598456</v>
      </c>
      <c r="K99" s="2">
        <v>756.66775164839885</v>
      </c>
      <c r="L99">
        <v>732.07246767298295</v>
      </c>
      <c r="M99" s="2">
        <v>0.67161427975420618</v>
      </c>
      <c r="N99" s="2">
        <v>0.77088614457768612</v>
      </c>
      <c r="O99">
        <v>1.6587310963407249</v>
      </c>
      <c r="P99">
        <v>0</v>
      </c>
      <c r="Q99">
        <v>0</v>
      </c>
      <c r="R99">
        <v>0</v>
      </c>
    </row>
    <row r="100" spans="1:18" outlineLevel="1" x14ac:dyDescent="0.25">
      <c r="A100" s="41">
        <v>41</v>
      </c>
      <c r="B100" s="42">
        <v>300</v>
      </c>
      <c r="C100" s="2">
        <v>300</v>
      </c>
      <c r="D100" s="2">
        <v>100</v>
      </c>
      <c r="E100" s="2">
        <v>54.078112786098067</v>
      </c>
      <c r="F100">
        <v>100</v>
      </c>
      <c r="G100" s="2">
        <v>1.2802000501242599</v>
      </c>
      <c r="H100" s="10">
        <v>1.1446593787442536</v>
      </c>
      <c r="I100">
        <v>1.2365003424483285</v>
      </c>
      <c r="J100" s="2">
        <v>707.32617133713416</v>
      </c>
      <c r="K100" s="2">
        <v>756.77278093318716</v>
      </c>
      <c r="L100">
        <v>732.32409964968542</v>
      </c>
      <c r="M100" s="2">
        <v>0.68176476087196747</v>
      </c>
      <c r="N100" s="2">
        <v>0.78594515116852937</v>
      </c>
      <c r="O100">
        <v>1.6956555563443381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disablePrompts="1"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48</vt:i4>
      </vt:variant>
    </vt:vector>
  </HeadingPairs>
  <TitlesOfParts>
    <vt:vector size="50" baseType="lpstr">
      <vt:lpstr>Unifloc</vt:lpstr>
      <vt:lpstr>PVT</vt:lpstr>
      <vt:lpstr>bo_list1_</vt:lpstr>
      <vt:lpstr>bo_list2_</vt:lpstr>
      <vt:lpstr>bo_list3_</vt:lpstr>
      <vt:lpstr>PVT!Bob_m3m3_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PVT!Ksep_</vt:lpstr>
      <vt:lpstr>PVT!mu_cP_</vt:lpstr>
      <vt:lpstr>muo_list1_</vt:lpstr>
      <vt:lpstr>muo_list2_</vt:lpstr>
      <vt:lpstr>muo_list3_</vt:lpstr>
      <vt:lpstr>PVT!P_atma_</vt:lpstr>
      <vt:lpstr>PVT!Pb_atma_</vt:lpstr>
      <vt:lpstr>Pb_diff_</vt:lpstr>
      <vt:lpstr>press_list0_</vt:lpstr>
      <vt:lpstr>press_list1_</vt:lpstr>
      <vt:lpstr>PVT!Psc_atma_</vt:lpstr>
      <vt:lpstr>PVT!Psep_atma_</vt:lpstr>
      <vt:lpstr>PVT!PVT_correlation_</vt:lpstr>
      <vt:lpstr>PVTstr_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PVT!Tres_C_</vt:lpstr>
      <vt:lpstr>PVT!Tsc_C_</vt:lpstr>
      <vt:lpstr>PVT!Tsep_C_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2020-05-03T22:48:54Z</dcterms:modified>
</cp:coreProperties>
</file>