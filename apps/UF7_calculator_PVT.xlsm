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apps\"/>
    </mc:Choice>
  </mc:AlternateContent>
  <xr:revisionPtr revIDLastSave="0" documentId="13_ncr:1_{196335BE-AFB4-4895-9BA2-E3A689C14215}" xr6:coauthVersionLast="45" xr6:coauthVersionMax="45" xr10:uidLastSave="{00000000-0000-0000-0000-000000000000}"/>
  <bookViews>
    <workbookView xWindow="5160" yWindow="1125" windowWidth="28800" windowHeight="19560" tabRatio="529" activeTab="1" xr2:uid="{00000000-000D-0000-FFFF-FFFF00000000}"/>
  </bookViews>
  <sheets>
    <sheet name="Unifloc" sheetId="6" r:id="rId1"/>
    <sheet name="PVT" sheetId="4" r:id="rId2"/>
  </sheets>
  <externalReferences>
    <externalReference r:id="rId3"/>
  </externalReferences>
  <definedNames>
    <definedName name="betta_fric_">#REF!</definedName>
    <definedName name="betta_grav_">#REF!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d_valves_mm_">#REF!</definedName>
    <definedName name="dcas_arr_mm_">#REF!</definedName>
    <definedName name="dcas_mm_">#REF!</definedName>
    <definedName name="dcas_out_mm_">#REF!</definedName>
    <definedName name="dchoke_mm_">#REF!</definedName>
    <definedName name="dtub_arr_mm_">#REF!</definedName>
    <definedName name="dtub_mm_">#REF!</definedName>
    <definedName name="dtub_out_mm_">#REF!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lout_">#REF!</definedName>
    <definedName name="Hlout_hmes_m_">#REF!</definedName>
    <definedName name="hmes_dcas_m_">#REF!</definedName>
    <definedName name="hmes_dcas_out_m_">#REF!</definedName>
    <definedName name="hmes_dtub_m_">#REF!</definedName>
    <definedName name="hmes_dtub_out_m_">#REF!</definedName>
    <definedName name="hmes_incl_m_">#REF!</definedName>
    <definedName name="hmes_incl_out_m_">#REF!</definedName>
    <definedName name="Hmes_mes_m_">#REF!</definedName>
    <definedName name="hmes_out_">#REF!</definedName>
    <definedName name="hmes_tamb_m_">#REF!</definedName>
    <definedName name="hmes_tamb_out_m_">#REF!</definedName>
    <definedName name="Hmes_valves_m_">#REF!</definedName>
    <definedName name="Hout_">#REF!</definedName>
    <definedName name="Hperf_m_">#REF!</definedName>
    <definedName name="Hpump_">#REF!</definedName>
    <definedName name="Htub_m_">#REF!</definedName>
    <definedName name="hvert_incl_m_">#REF!</definedName>
    <definedName name="hvert_incl_out_m_">#REF!</definedName>
    <definedName name="HydrCorr_">#REF!</definedName>
    <definedName name="HydrCorr_selector_">#REF!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#REF!</definedName>
    <definedName name="P_atma_" localSheetId="1">PVT!$C$8</definedName>
    <definedName name="p_charge_GLV_">#REF!</definedName>
    <definedName name="P_mes_atma_">#REF!</definedName>
    <definedName name="Pb_atma_" localSheetId="1">PVT!$G$15</definedName>
    <definedName name="Pb_diff_">PVT!$W$34</definedName>
    <definedName name="Pbuf_atma_">#REF!</definedName>
    <definedName name="Pbuf_out_atma_">#REF!</definedName>
    <definedName name="Pcas_atma_">#REF!</definedName>
    <definedName name="Pcas_hmes_">#REF!</definedName>
    <definedName name="Pcas_out_atma_">#REF!</definedName>
    <definedName name="Plin_mes_atma_">#REF!</definedName>
    <definedName name="Pline_atma_">#REF!</definedName>
    <definedName name="Pline_out_atma_">#REF!</definedName>
    <definedName name="pmes_out_">#REF!</definedName>
    <definedName name="Pout_">#REF!</definedName>
    <definedName name="Pout_atma_">#REF!</definedName>
    <definedName name="Pout_hmes_m_">#REF!</definedName>
    <definedName name="Power_Motor_nom_">#REF!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#REF!</definedName>
    <definedName name="PVTstr_">PVT!$C$19</definedName>
    <definedName name="Pwf_atma_">#REF!</definedName>
    <definedName name="Pwf_out_atma_">#REF!</definedName>
    <definedName name="Qg_scm3day_">#REF!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PVT!$R$34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>#REF!</definedName>
    <definedName name="tamb_C_">#REF!</definedName>
    <definedName name="tamb_out_C_">#REF!</definedName>
    <definedName name="Tbh_c_">#REF!</definedName>
    <definedName name="Tbuf_out_C_">#REF!</definedName>
    <definedName name="Tlin_mes_C_">#REF!</definedName>
    <definedName name="Tline_out_C_">#REF!</definedName>
    <definedName name="tmes_out_">#REF!</definedName>
    <definedName name="Tout_C_">#REF!</definedName>
    <definedName name="Tout_hmes_m_">#REF!</definedName>
    <definedName name="Toutcas_C_">#REF!</definedName>
    <definedName name="Toutcas_hmes_m_">#REF!</definedName>
    <definedName name="Tres_C_" localSheetId="1">PVT!$G$14</definedName>
    <definedName name="Tsc_C_" localSheetId="1">PVT!$K$3</definedName>
    <definedName name="Tsep_C_" localSheetId="1">PVT!$O$10</definedName>
    <definedName name="Twf_out_C_">#REF!</definedName>
    <definedName name="Twh_C_">#REF!</definedName>
    <definedName name="U_V_">#REF!</definedName>
    <definedName name="udl_out_m_">#REF!</definedName>
    <definedName name="версия_">Unifloc!$A$1</definedName>
    <definedName name="версия_номер_">Unifloc!$B$1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K10" i="4"/>
  <c r="H3" i="4"/>
  <c r="C19" i="4"/>
  <c r="E37" i="4"/>
  <c r="I33" i="4"/>
  <c r="C37" i="4"/>
  <c r="C50" i="4"/>
  <c r="M33" i="4"/>
  <c r="I38" i="4"/>
  <c r="M41" i="4"/>
  <c r="C35" i="4"/>
  <c r="I37" i="4"/>
  <c r="I36" i="4"/>
  <c r="C24" i="4"/>
  <c r="C28" i="4" s="1"/>
  <c r="E38" i="4"/>
  <c r="I34" i="4"/>
  <c r="C27" i="4"/>
  <c r="M38" i="4"/>
  <c r="M35" i="4"/>
  <c r="C29" i="4"/>
  <c r="M37" i="4"/>
  <c r="E35" i="4"/>
  <c r="C46" i="4"/>
  <c r="C41" i="4"/>
  <c r="C45" i="4"/>
  <c r="V34" i="4"/>
  <c r="V37" i="4" s="1"/>
  <c r="C44" i="4"/>
  <c r="C38" i="4"/>
  <c r="E34" i="4"/>
  <c r="C33" i="4"/>
  <c r="E36" i="4"/>
  <c r="V35" i="4"/>
  <c r="M34" i="4"/>
  <c r="T34" i="4"/>
  <c r="V36" i="4"/>
  <c r="C34" i="4"/>
  <c r="G24" i="4"/>
  <c r="I35" i="4"/>
  <c r="M36" i="4"/>
  <c r="C36" i="4"/>
  <c r="E33" i="4"/>
  <c r="B1" i="6"/>
  <c r="T36" i="4"/>
  <c r="T37" i="4"/>
  <c r="T35" i="4"/>
  <c r="W37" i="4" l="1"/>
  <c r="AB35" i="4" s="1"/>
  <c r="W35" i="4"/>
  <c r="AB34" i="4" s="1"/>
  <c r="U37" i="4"/>
  <c r="AA35" i="4" s="1"/>
  <c r="U35" i="4"/>
  <c r="AA34" i="4" s="1"/>
  <c r="W36" i="4"/>
  <c r="AB39" i="4" s="1"/>
  <c r="U36" i="4"/>
  <c r="AA39" i="4" s="1"/>
  <c r="B80" i="4"/>
  <c r="W34" i="4"/>
  <c r="F38" i="4"/>
  <c r="F34" i="4"/>
  <c r="F35" i="4"/>
  <c r="F37" i="4"/>
  <c r="F36" i="4"/>
  <c r="F33" i="4"/>
  <c r="U34" i="4"/>
  <c r="AA33" i="4" s="1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A4" i="6" l="1"/>
  <c r="A1" i="6"/>
  <c r="A1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sharedStrings.xml><?xml version="1.0" encoding="utf-8"?>
<sst xmlns="http://schemas.openxmlformats.org/spreadsheetml/2006/main" count="162" uniqueCount="112">
  <si>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</si>
  <si>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</si>
  <si>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</si>
  <si>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</si>
  <si>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</si>
  <si>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</si>
  <si>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</si>
  <si>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</si>
  <si>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</si>
  <si>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</si>
  <si>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</si>
  <si>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</si>
  <si>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</si>
  <si>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</si>
  <si>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</si>
  <si>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</si>
  <si>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</si>
  <si>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</si>
  <si>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</si>
  <si>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</si>
  <si>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</si>
  <si>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</si>
  <si>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</si>
  <si>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</si>
  <si>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</si>
  <si>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</si>
  <si>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</si>
  <si>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</si>
  <si>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</si>
  <si>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</si>
  <si>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</si>
  <si>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</si>
  <si>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</si>
  <si>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</si>
  <si>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</si>
  <si>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</si>
  <si>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</si>
  <si>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</si>
  <si>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</si>
  <si>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</si>
  <si>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</si>
  <si>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</si>
  <si>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</si>
  <si>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</si>
  <si>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</si>
  <si>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</si>
  <si>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</si>
  <si>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</si>
  <si>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</si>
  <si>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</si>
  <si>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</si>
  <si>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</si>
  <si>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</si>
  <si>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</si>
  <si>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</si>
  <si>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</si>
  <si>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</si>
  <si>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</si>
  <si>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</si>
  <si>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</si>
  <si>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</si>
  <si>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</si>
  <si>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</si>
  <si>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</si>
  <si>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</si>
  <si>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</si>
  <si>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</si>
  <si>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</si>
  <si>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</si>
  <si>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</si>
  <si>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</si>
  <si>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</si>
  <si>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</si>
  <si>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</si>
  <si>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</si>
  <si>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</si>
  <si>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</si>
  <si>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</si>
  <si>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</si>
  <si>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</si>
  <si>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</si>
  <si>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</si>
  <si>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</si>
  <si>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</si>
  <si>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</si>
  <si>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</si>
  <si>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</si>
  <si>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</si>
  <si>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</si>
  <si>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</si>
  <si>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</si>
  <si>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</si>
  <si>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</si>
  <si>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</si>
  <si>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</si>
  <si>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</si>
  <si>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0 - Стендинг</t>
  </si>
  <si>
    <t>1 - Маккейн</t>
  </si>
  <si>
    <t>Набор PVT корреляций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</si>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</sst>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10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5" fillId="0" borderId="0" xfId="0" applyFont="1"/>
    <xf numFmtId="165" fontId="9" fillId="3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0.22133449984131653</c:v>
                </c:pt>
                <c:pt idx="1">
                  <c:v>3.0887329328011783</c:v>
                </c:pt>
                <c:pt idx="2">
                  <c:v>6.6387474283119117</c:v>
                </c:pt>
                <c:pt idx="3">
                  <c:v>10.559821160221242</c:v>
                </c:pt>
                <c:pt idx="4">
                  <c:v>14.749652823764176</c:v>
                </c:pt>
                <c:pt idx="5">
                  <c:v>19.153796211618481</c:v>
                </c:pt>
                <c:pt idx="6">
                  <c:v>23.737795176178491</c:v>
                </c:pt>
                <c:pt idx="7">
                  <c:v>28.47764684886506</c:v>
                </c:pt>
                <c:pt idx="8">
                  <c:v>33.35556181374119</c:v>
                </c:pt>
                <c:pt idx="9">
                  <c:v>38.357769170054588</c:v>
                </c:pt>
                <c:pt idx="10">
                  <c:v>43.473258349515447</c:v>
                </c:pt>
                <c:pt idx="11">
                  <c:v>48.693002790850187</c:v>
                </c:pt>
                <c:pt idx="12">
                  <c:v>54.009453359823191</c:v>
                </c:pt>
                <c:pt idx="13">
                  <c:v>59.416192888107162</c:v>
                </c:pt>
                <c:pt idx="14">
                  <c:v>64.907692027368626</c:v>
                </c:pt>
                <c:pt idx="15">
                  <c:v>70.479131537404214</c:v>
                </c:pt>
                <c:pt idx="16">
                  <c:v>76.126269679158824</c:v>
                </c:pt>
                <c:pt idx="17">
                  <c:v>81.845341145515235</c:v>
                </c:pt>
                <c:pt idx="18">
                  <c:v>87.632978606387155</c:v>
                </c:pt>
                <c:pt idx="19">
                  <c:v>93.486150827600156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0.22133449984131653</c:v>
                </c:pt>
                <c:pt idx="1">
                  <c:v>3.0887329328011783</c:v>
                </c:pt>
                <c:pt idx="2">
                  <c:v>6.6387474283119117</c:v>
                </c:pt>
                <c:pt idx="3">
                  <c:v>10.559821160221242</c:v>
                </c:pt>
                <c:pt idx="4">
                  <c:v>14.749652823764176</c:v>
                </c:pt>
                <c:pt idx="5">
                  <c:v>19.153796211618481</c:v>
                </c:pt>
                <c:pt idx="6">
                  <c:v>23.737795176178491</c:v>
                </c:pt>
                <c:pt idx="7">
                  <c:v>28.47764684886506</c:v>
                </c:pt>
                <c:pt idx="8">
                  <c:v>33.35556181374119</c:v>
                </c:pt>
                <c:pt idx="9">
                  <c:v>38.357769170054588</c:v>
                </c:pt>
                <c:pt idx="10">
                  <c:v>43.473258349515447</c:v>
                </c:pt>
                <c:pt idx="11">
                  <c:v>48.693002790850187</c:v>
                </c:pt>
                <c:pt idx="12">
                  <c:v>54.009453359823191</c:v>
                </c:pt>
                <c:pt idx="13">
                  <c:v>59.416192888107162</c:v>
                </c:pt>
                <c:pt idx="14">
                  <c:v>64.907692027368626</c:v>
                </c:pt>
                <c:pt idx="15">
                  <c:v>70.479131537404214</c:v>
                </c:pt>
                <c:pt idx="16">
                  <c:v>76.126269679158824</c:v>
                </c:pt>
                <c:pt idx="17">
                  <c:v>81.845341145515235</c:v>
                </c:pt>
                <c:pt idx="18">
                  <c:v>87.632978606387155</c:v>
                </c:pt>
                <c:pt idx="19">
                  <c:v>93.486150827600156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0.32387326600458816</c:v>
                </c:pt>
                <c:pt idx="1">
                  <c:v>4.5196660415770866</c:v>
                </c:pt>
                <c:pt idx="2">
                  <c:v>9.7143139154918909</c:v>
                </c:pt>
                <c:pt idx="3">
                  <c:v>15.451923536715594</c:v>
                </c:pt>
                <c:pt idx="4">
                  <c:v>21.582799951616824</c:v>
                </c:pt>
                <c:pt idx="5">
                  <c:v>28.02727337984204</c:v>
                </c:pt>
                <c:pt idx="6">
                  <c:v>34.73492499799508</c:v>
                </c:pt>
                <c:pt idx="7">
                  <c:v>41.670632005763373</c:v>
                </c:pt>
                <c:pt idx="8">
                  <c:v>48.808363593472151</c:v>
                </c:pt>
                <c:pt idx="9">
                  <c:v>56.127969144721035</c:v>
                </c:pt>
                <c:pt idx="10">
                  <c:v>63.613337168914832</c:v>
                </c:pt>
                <c:pt idx="11">
                  <c:v>71.251259323555828</c:v>
                </c:pt>
                <c:pt idx="12">
                  <c:v>79.030689148367188</c:v>
                </c:pt>
                <c:pt idx="13">
                  <c:v>86.942236560618142</c:v>
                </c:pt>
                <c:pt idx="14">
                  <c:v>94.977810602482876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812.69444661495402</c:v>
                </c:pt>
                <c:pt idx="1">
                  <c:v>809.65951242407903</c:v>
                </c:pt>
                <c:pt idx="2">
                  <c:v>805.79974819189056</c:v>
                </c:pt>
                <c:pt idx="3">
                  <c:v>801.43205687044724</c:v>
                </c:pt>
                <c:pt idx="4">
                  <c:v>796.67179863460842</c:v>
                </c:pt>
                <c:pt idx="5">
                  <c:v>791.59077586696787</c:v>
                </c:pt>
                <c:pt idx="6">
                  <c:v>786.24241980003603</c:v>
                </c:pt>
                <c:pt idx="7">
                  <c:v>780.66991005783223</c:v>
                </c:pt>
                <c:pt idx="8">
                  <c:v>774.90966455393152</c:v>
                </c:pt>
                <c:pt idx="9">
                  <c:v>768.99314102737299</c:v>
                </c:pt>
                <c:pt idx="10">
                  <c:v>762.94789919024106</c:v>
                </c:pt>
                <c:pt idx="11">
                  <c:v>756.79829368021569</c:v>
                </c:pt>
                <c:pt idx="12">
                  <c:v>750.5659629744581</c:v>
                </c:pt>
                <c:pt idx="13">
                  <c:v>744.27019589375584</c:v>
                </c:pt>
                <c:pt idx="14">
                  <c:v>737.92821948048061</c:v>
                </c:pt>
                <c:pt idx="15">
                  <c:v>731.55543336893948</c:v>
                </c:pt>
                <c:pt idx="16">
                  <c:v>725.16560589762162</c:v>
                </c:pt>
                <c:pt idx="17">
                  <c:v>718.77104168184712</c:v>
                </c:pt>
                <c:pt idx="18">
                  <c:v>712.38272710885713</c:v>
                </c:pt>
                <c:pt idx="19">
                  <c:v>706.01045821739103</c:v>
                </c:pt>
                <c:pt idx="20">
                  <c:v>699.66295414972035</c:v>
                </c:pt>
                <c:pt idx="21">
                  <c:v>699.77003805889399</c:v>
                </c:pt>
                <c:pt idx="22">
                  <c:v>700.45389858349188</c:v>
                </c:pt>
                <c:pt idx="23">
                  <c:v>701.08518507354279</c:v>
                </c:pt>
                <c:pt idx="24">
                  <c:v>701.66973558480652</c:v>
                </c:pt>
                <c:pt idx="25">
                  <c:v>702.21255467818173</c:v>
                </c:pt>
                <c:pt idx="26">
                  <c:v>702.71795703536384</c:v>
                </c:pt>
                <c:pt idx="27">
                  <c:v>703.18968236976821</c:v>
                </c:pt>
                <c:pt idx="28">
                  <c:v>703.630988110217</c:v>
                </c:pt>
                <c:pt idx="29">
                  <c:v>704.04472471657823</c:v>
                </c:pt>
                <c:pt idx="30">
                  <c:v>704.43339730930245</c:v>
                </c:pt>
                <c:pt idx="31">
                  <c:v>704.79921642898523</c:v>
                </c:pt>
                <c:pt idx="32">
                  <c:v>705.14414009876521</c:v>
                </c:pt>
                <c:pt idx="33">
                  <c:v>705.46990887979132</c:v>
                </c:pt>
                <c:pt idx="34">
                  <c:v>705.77807524472541</c:v>
                </c:pt>
                <c:pt idx="35">
                  <c:v>706.07002831545401</c:v>
                </c:pt>
                <c:pt idx="36">
                  <c:v>706.34701479668433</c:v>
                </c:pt>
                <c:pt idx="37">
                  <c:v>706.6101567708464</c:v>
                </c:pt>
                <c:pt idx="38">
                  <c:v>706.86046688994088</c:v>
                </c:pt>
                <c:pt idx="39">
                  <c:v>707.09886139799448</c:v>
                </c:pt>
                <c:pt idx="40">
                  <c:v>707.32617133713416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812.69444661495402</c:v>
                </c:pt>
                <c:pt idx="1">
                  <c:v>809.65951242407903</c:v>
                </c:pt>
                <c:pt idx="2">
                  <c:v>805.79974819189056</c:v>
                </c:pt>
                <c:pt idx="3">
                  <c:v>801.43205687044724</c:v>
                </c:pt>
                <c:pt idx="4">
                  <c:v>796.67179863460842</c:v>
                </c:pt>
                <c:pt idx="5">
                  <c:v>791.59077586696787</c:v>
                </c:pt>
                <c:pt idx="6">
                  <c:v>786.24241980003603</c:v>
                </c:pt>
                <c:pt idx="7">
                  <c:v>780.66991005783223</c:v>
                </c:pt>
                <c:pt idx="8">
                  <c:v>774.90966455393152</c:v>
                </c:pt>
                <c:pt idx="9">
                  <c:v>768.99314102737299</c:v>
                </c:pt>
                <c:pt idx="10">
                  <c:v>762.94789919024106</c:v>
                </c:pt>
                <c:pt idx="11">
                  <c:v>756.79829368021569</c:v>
                </c:pt>
                <c:pt idx="12">
                  <c:v>750.5659629744581</c:v>
                </c:pt>
                <c:pt idx="13">
                  <c:v>744.27019589375584</c:v>
                </c:pt>
                <c:pt idx="14">
                  <c:v>737.92821948048061</c:v>
                </c:pt>
                <c:pt idx="15">
                  <c:v>731.55543336893948</c:v>
                </c:pt>
                <c:pt idx="16">
                  <c:v>725.16560589762162</c:v>
                </c:pt>
                <c:pt idx="17">
                  <c:v>718.77104168184712</c:v>
                </c:pt>
                <c:pt idx="18">
                  <c:v>712.38272710885713</c:v>
                </c:pt>
                <c:pt idx="19">
                  <c:v>706.01045821739103</c:v>
                </c:pt>
                <c:pt idx="20">
                  <c:v>699.66295414972035</c:v>
                </c:pt>
                <c:pt idx="21">
                  <c:v>699.77003805889399</c:v>
                </c:pt>
                <c:pt idx="22">
                  <c:v>700.45389858349188</c:v>
                </c:pt>
                <c:pt idx="23">
                  <c:v>701.08518507354279</c:v>
                </c:pt>
                <c:pt idx="24">
                  <c:v>701.66973558480652</c:v>
                </c:pt>
                <c:pt idx="25">
                  <c:v>702.21255467818173</c:v>
                </c:pt>
                <c:pt idx="26">
                  <c:v>702.71795703536384</c:v>
                </c:pt>
                <c:pt idx="27">
                  <c:v>703.18968236976821</c:v>
                </c:pt>
                <c:pt idx="28">
                  <c:v>703.630988110217</c:v>
                </c:pt>
                <c:pt idx="29">
                  <c:v>704.04472471657823</c:v>
                </c:pt>
                <c:pt idx="30">
                  <c:v>704.43339730930245</c:v>
                </c:pt>
                <c:pt idx="31">
                  <c:v>704.79921642898523</c:v>
                </c:pt>
                <c:pt idx="32">
                  <c:v>705.14414009876521</c:v>
                </c:pt>
                <c:pt idx="33">
                  <c:v>705.46990887979132</c:v>
                </c:pt>
                <c:pt idx="34">
                  <c:v>705.77807524472541</c:v>
                </c:pt>
                <c:pt idx="35">
                  <c:v>706.07002831545401</c:v>
                </c:pt>
                <c:pt idx="36">
                  <c:v>706.34701479668433</c:v>
                </c:pt>
                <c:pt idx="37">
                  <c:v>706.6101567708464</c:v>
                </c:pt>
                <c:pt idx="38">
                  <c:v>706.86046688994088</c:v>
                </c:pt>
                <c:pt idx="39">
                  <c:v>707.09886139799448</c:v>
                </c:pt>
                <c:pt idx="40">
                  <c:v>707.32617133713416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813.6114333995265</c:v>
                </c:pt>
                <c:pt idx="1">
                  <c:v>810.19552367166784</c:v>
                </c:pt>
                <c:pt idx="2">
                  <c:v>805.76802734183332</c:v>
                </c:pt>
                <c:pt idx="3">
                  <c:v>800.6850306145534</c:v>
                </c:pt>
                <c:pt idx="4">
                  <c:v>795.09006529504654</c:v>
                </c:pt>
                <c:pt idx="5">
                  <c:v>789.08014768945714</c:v>
                </c:pt>
                <c:pt idx="6">
                  <c:v>782.73105245114311</c:v>
                </c:pt>
                <c:pt idx="7">
                  <c:v>776.10549255445778</c:v>
                </c:pt>
                <c:pt idx="8">
                  <c:v>769.25680133764808</c:v>
                </c:pt>
                <c:pt idx="9">
                  <c:v>762.23097880475586</c:v>
                </c:pt>
                <c:pt idx="10">
                  <c:v>755.06800512130371</c:v>
                </c:pt>
                <c:pt idx="11">
                  <c:v>747.8027721559663</c:v>
                </c:pt>
                <c:pt idx="12">
                  <c:v>740.46579153001471</c:v>
                </c:pt>
                <c:pt idx="13">
                  <c:v>733.0837594549497</c:v>
                </c:pt>
                <c:pt idx="14">
                  <c:v>725.68002288909963</c:v>
                </c:pt>
                <c:pt idx="15">
                  <c:v>721.65294081447314</c:v>
                </c:pt>
                <c:pt idx="16">
                  <c:v>722.74813097838</c:v>
                </c:pt>
                <c:pt idx="17">
                  <c:v>723.71680633270137</c:v>
                </c:pt>
                <c:pt idx="18">
                  <c:v>724.57969128688705</c:v>
                </c:pt>
                <c:pt idx="19">
                  <c:v>725.35321826223662</c:v>
                </c:pt>
                <c:pt idx="20">
                  <c:v>726.05058404575288</c:v>
                </c:pt>
                <c:pt idx="21">
                  <c:v>726.61325332573233</c:v>
                </c:pt>
                <c:pt idx="22">
                  <c:v>727.13079349083807</c:v>
                </c:pt>
                <c:pt idx="23">
                  <c:v>727.60842448387507</c:v>
                </c:pt>
                <c:pt idx="24">
                  <c:v>728.05059111760636</c:v>
                </c:pt>
                <c:pt idx="25">
                  <c:v>728.46110179965547</c:v>
                </c:pt>
                <c:pt idx="26">
                  <c:v>728.84323849440977</c:v>
                </c:pt>
                <c:pt idx="27">
                  <c:v>729.19984464702839</c:v>
                </c:pt>
                <c:pt idx="28">
                  <c:v>729.53339605574047</c:v>
                </c:pt>
                <c:pt idx="29">
                  <c:v>729.84605842968892</c:v>
                </c:pt>
                <c:pt idx="30">
                  <c:v>730.13973446189891</c:v>
                </c:pt>
                <c:pt idx="31">
                  <c:v>730.41610257995467</c:v>
                </c:pt>
                <c:pt idx="32">
                  <c:v>730.67664904180367</c:v>
                </c:pt>
                <c:pt idx="33">
                  <c:v>730.9226946729267</c:v>
                </c:pt>
                <c:pt idx="34">
                  <c:v>731.15541726037884</c:v>
                </c:pt>
                <c:pt idx="35">
                  <c:v>731.37587040507015</c:v>
                </c:pt>
                <c:pt idx="36">
                  <c:v>731.58499946900258</c:v>
                </c:pt>
                <c:pt idx="37">
                  <c:v>731.78365512664641</c:v>
                </c:pt>
                <c:pt idx="38">
                  <c:v>731.97260493012948</c:v>
                </c:pt>
                <c:pt idx="39">
                  <c:v>732.15254321976624</c:v>
                </c:pt>
                <c:pt idx="40">
                  <c:v>732.32409964968542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1.0092222070264942</c:v>
                </c:pt>
                <c:pt idx="1">
                  <c:v>1.0160338276689369</c:v>
                </c:pt>
                <c:pt idx="2">
                  <c:v>1.0246682159754086</c:v>
                </c:pt>
                <c:pt idx="3">
                  <c:v>1.0344366017692548</c:v>
                </c:pt>
                <c:pt idx="4">
                  <c:v>1.0451151365284252</c:v>
                </c:pt>
                <c:pt idx="5">
                  <c:v>1.0565814565817695</c:v>
                </c:pt>
                <c:pt idx="6">
                  <c:v>1.0687547553977417</c:v>
                </c:pt>
                <c:pt idx="7">
                  <c:v>1.0815759489771175</c:v>
                </c:pt>
                <c:pt idx="8">
                  <c:v>1.0949990453350944</c:v>
                </c:pt>
                <c:pt idx="9">
                  <c:v>1.1089867192797012</c:v>
                </c:pt>
                <c:pt idx="10">
                  <c:v>1.1235077738829775</c:v>
                </c:pt>
                <c:pt idx="11">
                  <c:v>1.1385355599398232</c:v>
                </c:pt>
                <c:pt idx="12">
                  <c:v>1.1540469287817461</c:v>
                </c:pt>
                <c:pt idx="13">
                  <c:v>1.1700215040188016</c:v>
                </c:pt>
                <c:pt idx="14">
                  <c:v>1.1864411551590539</c:v>
                </c:pt>
                <c:pt idx="15">
                  <c:v>1.2032896050620017</c:v>
                </c:pt>
                <c:pt idx="16">
                  <c:v>1.2205521295667709</c:v>
                </c:pt>
                <c:pt idx="17">
                  <c:v>1.2382153226592771</c:v>
                </c:pt>
                <c:pt idx="18">
                  <c:v>1.2562669095114691</c:v>
                </c:pt>
                <c:pt idx="19">
                  <c:v>1.2746955953011505</c:v>
                </c:pt>
                <c:pt idx="20">
                  <c:v>1.2934909413098128</c:v>
                </c:pt>
                <c:pt idx="21">
                  <c:v>1.2940236802819354</c:v>
                </c:pt>
                <c:pt idx="22">
                  <c:v>1.2927603113227086</c:v>
                </c:pt>
                <c:pt idx="23">
                  <c:v>1.2915962557460294</c:v>
                </c:pt>
                <c:pt idx="24">
                  <c:v>1.2905202463168735</c:v>
                </c:pt>
                <c:pt idx="25">
                  <c:v>1.2895226580148398</c:v>
                </c:pt>
                <c:pt idx="26">
                  <c:v>1.2885952193682597</c:v>
                </c:pt>
                <c:pt idx="27">
                  <c:v>1.2877307826081528</c:v>
                </c:pt>
                <c:pt idx="28">
                  <c:v>1.2869231391187097</c:v>
                </c:pt>
                <c:pt idx="29">
                  <c:v>1.286166870101225</c:v>
                </c:pt>
                <c:pt idx="30">
                  <c:v>1.2854572248544385</c:v>
                </c:pt>
                <c:pt idx="31">
                  <c:v>1.2847900208913456</c:v>
                </c:pt>
                <c:pt idx="32">
                  <c:v>1.2841615614548956</c:v>
                </c:pt>
                <c:pt idx="33">
                  <c:v>1.2835685669965209</c:v>
                </c:pt>
                <c:pt idx="34">
                  <c:v>1.2830081179356772</c:v>
                </c:pt>
                <c:pt idx="35">
                  <c:v>1.2824776065915056</c:v>
                </c:pt>
                <c:pt idx="36">
                  <c:v>1.281974696616571</c:v>
                </c:pt>
                <c:pt idx="37">
                  <c:v>1.2814972886013294</c:v>
                </c:pt>
                <c:pt idx="38">
                  <c:v>1.2810434907813149</c:v>
                </c:pt>
                <c:pt idx="39">
                  <c:v>1.2806115939851919</c:v>
                </c:pt>
                <c:pt idx="40">
                  <c:v>1.2802000501242599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1.0092222070264942</c:v>
                </c:pt>
                <c:pt idx="1">
                  <c:v>1.0160338276689369</c:v>
                </c:pt>
                <c:pt idx="2">
                  <c:v>1.0246682159754086</c:v>
                </c:pt>
                <c:pt idx="3">
                  <c:v>1.0344366017692548</c:v>
                </c:pt>
                <c:pt idx="4">
                  <c:v>1.0451151365284252</c:v>
                </c:pt>
                <c:pt idx="5">
                  <c:v>1.0565814565817695</c:v>
                </c:pt>
                <c:pt idx="6">
                  <c:v>1.0687547553977417</c:v>
                </c:pt>
                <c:pt idx="7">
                  <c:v>1.0815759489771175</c:v>
                </c:pt>
                <c:pt idx="8">
                  <c:v>1.0949990453350944</c:v>
                </c:pt>
                <c:pt idx="9">
                  <c:v>1.1089867192797012</c:v>
                </c:pt>
                <c:pt idx="10">
                  <c:v>1.1235077738829775</c:v>
                </c:pt>
                <c:pt idx="11">
                  <c:v>1.1385355599398232</c:v>
                </c:pt>
                <c:pt idx="12">
                  <c:v>1.1540469287817461</c:v>
                </c:pt>
                <c:pt idx="13">
                  <c:v>1.1700215040188016</c:v>
                </c:pt>
                <c:pt idx="14">
                  <c:v>1.1864411551590539</c:v>
                </c:pt>
                <c:pt idx="15">
                  <c:v>1.2032896050620017</c:v>
                </c:pt>
                <c:pt idx="16">
                  <c:v>1.2205521295667709</c:v>
                </c:pt>
                <c:pt idx="17">
                  <c:v>1.2382153226592771</c:v>
                </c:pt>
                <c:pt idx="18">
                  <c:v>1.2562669095114691</c:v>
                </c:pt>
                <c:pt idx="19">
                  <c:v>1.2746955953011505</c:v>
                </c:pt>
                <c:pt idx="20">
                  <c:v>1.2934909413098128</c:v>
                </c:pt>
                <c:pt idx="21">
                  <c:v>1.2940236802819354</c:v>
                </c:pt>
                <c:pt idx="22">
                  <c:v>1.2927603113227086</c:v>
                </c:pt>
                <c:pt idx="23">
                  <c:v>1.2915962557460294</c:v>
                </c:pt>
                <c:pt idx="24">
                  <c:v>1.2905202463168735</c:v>
                </c:pt>
                <c:pt idx="25">
                  <c:v>1.2895226580148398</c:v>
                </c:pt>
                <c:pt idx="26">
                  <c:v>1.2885952193682597</c:v>
                </c:pt>
                <c:pt idx="27">
                  <c:v>1.2877307826081528</c:v>
                </c:pt>
                <c:pt idx="28">
                  <c:v>1.2869231391187097</c:v>
                </c:pt>
                <c:pt idx="29">
                  <c:v>1.286166870101225</c:v>
                </c:pt>
                <c:pt idx="30">
                  <c:v>1.2854572248544385</c:v>
                </c:pt>
                <c:pt idx="31">
                  <c:v>1.2847900208913456</c:v>
                </c:pt>
                <c:pt idx="32">
                  <c:v>1.2841615614548956</c:v>
                </c:pt>
                <c:pt idx="33">
                  <c:v>1.2835685669965209</c:v>
                </c:pt>
                <c:pt idx="34">
                  <c:v>1.2830081179356772</c:v>
                </c:pt>
                <c:pt idx="35">
                  <c:v>1.2824776065915056</c:v>
                </c:pt>
                <c:pt idx="36">
                  <c:v>1.281974696616571</c:v>
                </c:pt>
                <c:pt idx="37">
                  <c:v>1.2814972886013294</c:v>
                </c:pt>
                <c:pt idx="38">
                  <c:v>1.2810434907813149</c:v>
                </c:pt>
                <c:pt idx="39">
                  <c:v>1.2806115939851919</c:v>
                </c:pt>
                <c:pt idx="40">
                  <c:v>1.2802000501242599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1.0081925345505252</c:v>
                </c:pt>
                <c:pt idx="1">
                  <c:v>1.0168720378365952</c:v>
                </c:pt>
                <c:pt idx="2">
                  <c:v>1.0279727614036913</c:v>
                </c:pt>
                <c:pt idx="3">
                  <c:v>1.0406268365599929</c:v>
                </c:pt>
                <c:pt idx="4">
                  <c:v>1.0545439206053764</c:v>
                </c:pt>
                <c:pt idx="5">
                  <c:v>1.0695601028526336</c:v>
                </c:pt>
                <c:pt idx="6">
                  <c:v>1.0855643938593744</c:v>
                </c:pt>
                <c:pt idx="7">
                  <c:v>1.1024742331983566</c:v>
                </c:pt>
                <c:pt idx="8">
                  <c:v>1.1202246414500789</c:v>
                </c:pt>
                <c:pt idx="9">
                  <c:v>1.1387625300850055</c:v>
                </c:pt>
                <c:pt idx="10">
                  <c:v>1.1580433601778812</c:v>
                </c:pt>
                <c:pt idx="11">
                  <c:v>1.1780290168236751</c:v>
                </c:pt>
                <c:pt idx="12">
                  <c:v>1.1986863744492291</c:v>
                </c:pt>
                <c:pt idx="13">
                  <c:v>1.2199862836263469</c:v>
                </c:pt>
                <c:pt idx="14">
                  <c:v>1.2419028296537036</c:v>
                </c:pt>
                <c:pt idx="15">
                  <c:v>1.2547846046023337</c:v>
                </c:pt>
                <c:pt idx="16">
                  <c:v>1.2528832122667741</c:v>
                </c:pt>
                <c:pt idx="17">
                  <c:v>1.2512062620026014</c:v>
                </c:pt>
                <c:pt idx="18">
                  <c:v>1.2497162298211206</c:v>
                </c:pt>
                <c:pt idx="19">
                  <c:v>1.2483835146818472</c:v>
                </c:pt>
                <c:pt idx="20">
                  <c:v>1.2471844522928415</c:v>
                </c:pt>
                <c:pt idx="21">
                  <c:v>1.2462186670218445</c:v>
                </c:pt>
                <c:pt idx="22">
                  <c:v>1.2453316626198001</c:v>
                </c:pt>
                <c:pt idx="23">
                  <c:v>1.2445141775843576</c:v>
                </c:pt>
                <c:pt idx="24">
                  <c:v>1.2437583473560097</c:v>
                </c:pt>
                <c:pt idx="25">
                  <c:v>1.2430574505116674</c:v>
                </c:pt>
                <c:pt idx="26">
                  <c:v>1.24240570835308</c:v>
                </c:pt>
                <c:pt idx="27">
                  <c:v>1.2417981252290577</c:v>
                </c:pt>
                <c:pt idx="28">
                  <c:v>1.241230360249078</c:v>
                </c:pt>
                <c:pt idx="29">
                  <c:v>1.2406986234169473</c:v>
                </c:pt>
                <c:pt idx="30">
                  <c:v>1.2401995909281018</c:v>
                </c:pt>
                <c:pt idx="31">
                  <c:v>1.2397303356286258</c:v>
                </c:pt>
                <c:pt idx="32">
                  <c:v>1.2392882695614831</c:v>
                </c:pt>
                <c:pt idx="33">
                  <c:v>1.2388710962179135</c:v>
                </c:pt>
                <c:pt idx="34">
                  <c:v>1.2384767706337418</c:v>
                </c:pt>
                <c:pt idx="35">
                  <c:v>1.2381034658669847</c:v>
                </c:pt>
                <c:pt idx="36">
                  <c:v>1.237749544697119</c:v>
                </c:pt>
                <c:pt idx="37">
                  <c:v>1.2374135356211065</c:v>
                </c:pt>
                <c:pt idx="38">
                  <c:v>1.2370941124038874</c:v>
                </c:pt>
                <c:pt idx="39">
                  <c:v>1.2367900765840749</c:v>
                </c:pt>
                <c:pt idx="40">
                  <c:v>1.2365003424483285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3.3044756497159629</c:v>
                </c:pt>
                <c:pt idx="1">
                  <c:v>2.8692299574223319</c:v>
                </c:pt>
                <c:pt idx="2">
                  <c:v>2.467608617320697</c:v>
                </c:pt>
                <c:pt idx="3">
                  <c:v>2.1384432351703304</c:v>
                </c:pt>
                <c:pt idx="4">
                  <c:v>1.8731955772024904</c:v>
                </c:pt>
                <c:pt idx="5">
                  <c:v>1.6587219755804925</c:v>
                </c:pt>
                <c:pt idx="6">
                  <c:v>1.4836154068872971</c:v>
                </c:pt>
                <c:pt idx="7">
                  <c:v>1.3389996535141873</c:v>
                </c:pt>
                <c:pt idx="8">
                  <c:v>1.2181739837006491</c:v>
                </c:pt>
                <c:pt idx="9">
                  <c:v>1.1161054890791837</c:v>
                </c:pt>
                <c:pt idx="10">
                  <c:v>1.0289955473553698</c:v>
                </c:pt>
                <c:pt idx="11">
                  <c:v>0.95395120053608207</c:v>
                </c:pt>
                <c:pt idx="12">
                  <c:v>0.88874568945707777</c:v>
                </c:pt>
                <c:pt idx="13">
                  <c:v>0.83164596399528379</c:v>
                </c:pt>
                <c:pt idx="14">
                  <c:v>0.78128839451663201</c:v>
                </c:pt>
                <c:pt idx="15">
                  <c:v>0.73658868417240253</c:v>
                </c:pt>
                <c:pt idx="16">
                  <c:v>0.69667600911415128</c:v>
                </c:pt>
                <c:pt idx="17">
                  <c:v>0.66084439859759458</c:v>
                </c:pt>
                <c:pt idx="18">
                  <c:v>0.62851647490383256</c:v>
                </c:pt>
                <c:pt idx="19">
                  <c:v>0.59921613443936683</c:v>
                </c:pt>
                <c:pt idx="20">
                  <c:v>0.57254775958806015</c:v>
                </c:pt>
                <c:pt idx="21">
                  <c:v>0.57395072927628998</c:v>
                </c:pt>
                <c:pt idx="22">
                  <c:v>0.57810149023025281</c:v>
                </c:pt>
                <c:pt idx="23">
                  <c:v>0.58244612908654436</c:v>
                </c:pt>
                <c:pt idx="24">
                  <c:v>0.58697899268556808</c:v>
                </c:pt>
                <c:pt idx="25">
                  <c:v>0.59169487136950238</c:v>
                </c:pt>
                <c:pt idx="26">
                  <c:v>0.5965889493417289</c:v>
                </c:pt>
                <c:pt idx="27">
                  <c:v>0.60165676131776724</c:v>
                </c:pt>
                <c:pt idx="28">
                  <c:v>0.60689415450444917</c:v>
                </c:pt>
                <c:pt idx="29">
                  <c:v>0.61229725511668265</c:v>
                </c:pt>
                <c:pt idx="30">
                  <c:v>0.61786243877856295</c:v>
                </c:pt>
                <c:pt idx="31">
                  <c:v>0.62358630426582551</c:v>
                </c:pt>
                <c:pt idx="32">
                  <c:v>0.62946565013569655</c:v>
                </c:pt>
                <c:pt idx="33">
                  <c:v>0.63549745386263079</c:v>
                </c:pt>
                <c:pt idx="34">
                  <c:v>0.64167885315771311</c:v>
                </c:pt>
                <c:pt idx="35">
                  <c:v>0.64800712919830705</c:v>
                </c:pt>
                <c:pt idx="36">
                  <c:v>0.65447969153491636</c:v>
                </c:pt>
                <c:pt idx="37">
                  <c:v>0.66109406447584729</c:v>
                </c:pt>
                <c:pt idx="38">
                  <c:v>0.66784787477834562</c:v>
                </c:pt>
                <c:pt idx="39">
                  <c:v>0.67473884049848276</c:v>
                </c:pt>
                <c:pt idx="40">
                  <c:v>0.68176476087196758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3.3044756497159629</c:v>
                </c:pt>
                <c:pt idx="1">
                  <c:v>2.8692299574223319</c:v>
                </c:pt>
                <c:pt idx="2">
                  <c:v>2.467608617320697</c:v>
                </c:pt>
                <c:pt idx="3">
                  <c:v>2.1384432351703304</c:v>
                </c:pt>
                <c:pt idx="4">
                  <c:v>1.8731955772024904</c:v>
                </c:pt>
                <c:pt idx="5">
                  <c:v>1.6587219755804925</c:v>
                </c:pt>
                <c:pt idx="6">
                  <c:v>1.4836154068872971</c:v>
                </c:pt>
                <c:pt idx="7">
                  <c:v>1.3389996535141873</c:v>
                </c:pt>
                <c:pt idx="8">
                  <c:v>1.2181739837006491</c:v>
                </c:pt>
                <c:pt idx="9">
                  <c:v>1.1161054890791837</c:v>
                </c:pt>
                <c:pt idx="10">
                  <c:v>1.0289955473553698</c:v>
                </c:pt>
                <c:pt idx="11">
                  <c:v>0.95395120053608207</c:v>
                </c:pt>
                <c:pt idx="12">
                  <c:v>0.88874568945707777</c:v>
                </c:pt>
                <c:pt idx="13">
                  <c:v>0.83164596399528379</c:v>
                </c:pt>
                <c:pt idx="14">
                  <c:v>0.78128839451663201</c:v>
                </c:pt>
                <c:pt idx="15">
                  <c:v>0.73658868417240253</c:v>
                </c:pt>
                <c:pt idx="16">
                  <c:v>0.69667600911415128</c:v>
                </c:pt>
                <c:pt idx="17">
                  <c:v>0.66084439859759458</c:v>
                </c:pt>
                <c:pt idx="18">
                  <c:v>0.62851647490383256</c:v>
                </c:pt>
                <c:pt idx="19">
                  <c:v>0.59921613443936683</c:v>
                </c:pt>
                <c:pt idx="20">
                  <c:v>0.57254775958806015</c:v>
                </c:pt>
                <c:pt idx="21">
                  <c:v>0.57395072927628998</c:v>
                </c:pt>
                <c:pt idx="22">
                  <c:v>0.57810149023025281</c:v>
                </c:pt>
                <c:pt idx="23">
                  <c:v>0.58244612908654436</c:v>
                </c:pt>
                <c:pt idx="24">
                  <c:v>0.58697899268556808</c:v>
                </c:pt>
                <c:pt idx="25">
                  <c:v>0.59169487136950238</c:v>
                </c:pt>
                <c:pt idx="26">
                  <c:v>0.5965889493417289</c:v>
                </c:pt>
                <c:pt idx="27">
                  <c:v>0.60165676131776724</c:v>
                </c:pt>
                <c:pt idx="28">
                  <c:v>0.60689415450444917</c:v>
                </c:pt>
                <c:pt idx="29">
                  <c:v>0.61229725511668265</c:v>
                </c:pt>
                <c:pt idx="30">
                  <c:v>0.61786243877856295</c:v>
                </c:pt>
                <c:pt idx="31">
                  <c:v>0.62358630426582551</c:v>
                </c:pt>
                <c:pt idx="32">
                  <c:v>0.62946565013569655</c:v>
                </c:pt>
                <c:pt idx="33">
                  <c:v>0.63549745386263079</c:v>
                </c:pt>
                <c:pt idx="34">
                  <c:v>0.64167885315771311</c:v>
                </c:pt>
                <c:pt idx="35">
                  <c:v>0.64800712919830705</c:v>
                </c:pt>
                <c:pt idx="36">
                  <c:v>0.65447969153491636</c:v>
                </c:pt>
                <c:pt idx="37">
                  <c:v>0.66109406447584729</c:v>
                </c:pt>
                <c:pt idx="38">
                  <c:v>0.66784787477834562</c:v>
                </c:pt>
                <c:pt idx="39">
                  <c:v>0.67473884049848276</c:v>
                </c:pt>
                <c:pt idx="40">
                  <c:v>0.68176476087196758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6.8808199688588534</c:v>
                </c:pt>
                <c:pt idx="1">
                  <c:v>5.6367956557169467</c:v>
                </c:pt>
                <c:pt idx="2">
                  <c:v>4.6092645916134325</c:v>
                </c:pt>
                <c:pt idx="3">
                  <c:v>3.8421515496642464</c:v>
                </c:pt>
                <c:pt idx="4">
                  <c:v>3.2677903628503797</c:v>
                </c:pt>
                <c:pt idx="5">
                  <c:v>2.8293647304442175</c:v>
                </c:pt>
                <c:pt idx="6">
                  <c:v>2.4873364730105854</c:v>
                </c:pt>
                <c:pt idx="7">
                  <c:v>2.2149521326182371</c:v>
                </c:pt>
                <c:pt idx="8">
                  <c:v>1.9939704380552041</c:v>
                </c:pt>
                <c:pt idx="9">
                  <c:v>1.8117283652492939</c:v>
                </c:pt>
                <c:pt idx="10">
                  <c:v>1.6592524290951165</c:v>
                </c:pt>
                <c:pt idx="11">
                  <c:v>1.5300523681270621</c:v>
                </c:pt>
                <c:pt idx="12">
                  <c:v>1.419342572797208</c:v>
                </c:pt>
                <c:pt idx="13">
                  <c:v>1.3235309957581547</c:v>
                </c:pt>
                <c:pt idx="14">
                  <c:v>1.2398772325608269</c:v>
                </c:pt>
                <c:pt idx="15">
                  <c:v>1.1991281950639625</c:v>
                </c:pt>
                <c:pt idx="16">
                  <c:v>1.2125754386248058</c:v>
                </c:pt>
                <c:pt idx="17">
                  <c:v>1.2269894664545062</c:v>
                </c:pt>
                <c:pt idx="18">
                  <c:v>1.2423280931327243</c:v>
                </c:pt>
                <c:pt idx="19">
                  <c:v>1.2585540102416934</c:v>
                </c:pt>
                <c:pt idx="20">
                  <c:v>1.2756339801544456</c:v>
                </c:pt>
                <c:pt idx="21">
                  <c:v>1.291449561925496</c:v>
                </c:pt>
                <c:pt idx="22">
                  <c:v>1.3078927517006369</c:v>
                </c:pt>
                <c:pt idx="23">
                  <c:v>1.324946240838772</c:v>
                </c:pt>
                <c:pt idx="24">
                  <c:v>1.3425940216173107</c:v>
                </c:pt>
                <c:pt idx="25">
                  <c:v>1.3608212044106129</c:v>
                </c:pt>
                <c:pt idx="26">
                  <c:v>1.3796138597351855</c:v>
                </c:pt>
                <c:pt idx="27">
                  <c:v>1.3989588811663027</c:v>
                </c:pt>
                <c:pt idx="28">
                  <c:v>1.4188438658847389</c:v>
                </c:pt>
                <c:pt idx="29">
                  <c:v>1.4392570102057427</c:v>
                </c:pt>
                <c:pt idx="30">
                  <c:v>1.4601870179132534</c:v>
                </c:pt>
                <c:pt idx="31">
                  <c:v>1.4816230195987332</c:v>
                </c:pt>
                <c:pt idx="32">
                  <c:v>1.503554501506903</c:v>
                </c:pt>
                <c:pt idx="33">
                  <c:v>1.5259712426360894</c:v>
                </c:pt>
                <c:pt idx="34">
                  <c:v>1.5488632590408098</c:v>
                </c:pt>
                <c:pt idx="35">
                  <c:v>1.5722207544481024</c:v>
                </c:pt>
                <c:pt idx="36">
                  <c:v>1.5960340764340397</c:v>
                </c:pt>
                <c:pt idx="37">
                  <c:v>1.6202936775185399</c:v>
                </c:pt>
                <c:pt idx="38">
                  <c:v>1.6449900806294766</c:v>
                </c:pt>
                <c:pt idx="39">
                  <c:v>1.6701138484645435</c:v>
                </c:pt>
                <c:pt idx="40">
                  <c:v>1.6956555563443396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0.82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1.9494839573486075E-2</c:v>
                </c:pt>
                <c:pt idx="1">
                  <c:v>0.17585249578360498</c:v>
                </c:pt>
                <c:pt idx="2">
                  <c:v>0.38886680483856034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0.67,  γo new  = 0.82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1.8692543838888284E-2</c:v>
                </c:pt>
                <c:pt idx="1">
                  <c:v>0.15720807227950878</c:v>
                </c:pt>
                <c:pt idx="2">
                  <c:v>0.38884392035029575</c:v>
                </c:pt>
                <c:pt idx="3">
                  <c:v>0</c:v>
                </c:pt>
                <c:pt idx="4">
                  <c:v>4.4954248525321025E-2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0.99032960328831743</c:v>
                </c:pt>
                <c:pt idx="1">
                  <c:v>0.91561584037333521</c:v>
                </c:pt>
                <c:pt idx="2">
                  <c:v>0.84315016284177513</c:v>
                </c:pt>
                <c:pt idx="3">
                  <c:v>0.77224454791685371</c:v>
                </c:pt>
                <c:pt idx="4">
                  <c:v>0.70272208418860382</c:v>
                </c:pt>
                <c:pt idx="5">
                  <c:v>0.63473222165612275</c:v>
                </c:pt>
                <c:pt idx="6">
                  <c:v>0.56867302783119755</c:v>
                </c:pt>
                <c:pt idx="7">
                  <c:v>0.50510113623693764</c:v>
                </c:pt>
                <c:pt idx="8">
                  <c:v>0.44462091914609969</c:v>
                </c:pt>
                <c:pt idx="9">
                  <c:v>0.38777239148379006</c:v>
                </c:pt>
                <c:pt idx="10">
                  <c:v>0.33494357434890554</c:v>
                </c:pt>
                <c:pt idx="11">
                  <c:v>0.28632461968541345</c:v>
                </c:pt>
                <c:pt idx="12">
                  <c:v>0.24190587962599727</c:v>
                </c:pt>
                <c:pt idx="13">
                  <c:v>0.20150925147679349</c:v>
                </c:pt>
                <c:pt idx="14">
                  <c:v>0.16483660261581051</c:v>
                </c:pt>
                <c:pt idx="15">
                  <c:v>0.13152056213712887</c:v>
                </c:pt>
                <c:pt idx="16">
                  <c:v>0.10116810399737308</c:v>
                </c:pt>
                <c:pt idx="17">
                  <c:v>7.3392794753113583E-2</c:v>
                </c:pt>
                <c:pt idx="18">
                  <c:v>4.7835521785735503E-2</c:v>
                </c:pt>
                <c:pt idx="19">
                  <c:v>2.4175609307487776E-2</c:v>
                </c:pt>
                <c:pt idx="20">
                  <c:v>2.1348990333026987E-3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0.99032960328831743</c:v>
                </c:pt>
                <c:pt idx="1">
                  <c:v>0.91561584037333521</c:v>
                </c:pt>
                <c:pt idx="2">
                  <c:v>0.84315016284177513</c:v>
                </c:pt>
                <c:pt idx="3">
                  <c:v>0.77224454791685371</c:v>
                </c:pt>
                <c:pt idx="4">
                  <c:v>0.70272208418860382</c:v>
                </c:pt>
                <c:pt idx="5">
                  <c:v>0.63473222165612275</c:v>
                </c:pt>
                <c:pt idx="6">
                  <c:v>0.56867302783119755</c:v>
                </c:pt>
                <c:pt idx="7">
                  <c:v>0.50510113623693764</c:v>
                </c:pt>
                <c:pt idx="8">
                  <c:v>0.44462091914609969</c:v>
                </c:pt>
                <c:pt idx="9">
                  <c:v>0.38777239148379006</c:v>
                </c:pt>
                <c:pt idx="10">
                  <c:v>0.33494357434890554</c:v>
                </c:pt>
                <c:pt idx="11">
                  <c:v>0.28632461968541345</c:v>
                </c:pt>
                <c:pt idx="12">
                  <c:v>0.24190587962599727</c:v>
                </c:pt>
                <c:pt idx="13">
                  <c:v>0.20150925147679349</c:v>
                </c:pt>
                <c:pt idx="14">
                  <c:v>0.16483660261581051</c:v>
                </c:pt>
                <c:pt idx="15">
                  <c:v>0.13152056213712887</c:v>
                </c:pt>
                <c:pt idx="16">
                  <c:v>0.10116810399737308</c:v>
                </c:pt>
                <c:pt idx="17">
                  <c:v>7.3392794753113583E-2</c:v>
                </c:pt>
                <c:pt idx="18">
                  <c:v>4.7835521785735503E-2</c:v>
                </c:pt>
                <c:pt idx="19">
                  <c:v>2.4175609307487776E-2</c:v>
                </c:pt>
                <c:pt idx="20">
                  <c:v>2.1348990333026987E-3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0.99032953235765475</c:v>
                </c:pt>
                <c:pt idx="1">
                  <c:v>0.91439485160751866</c:v>
                </c:pt>
                <c:pt idx="2">
                  <c:v>0.83823297628113203</c:v>
                </c:pt>
                <c:pt idx="3">
                  <c:v>0.76111692498522898</c:v>
                </c:pt>
                <c:pt idx="4">
                  <c:v>0.68303696703331751</c:v>
                </c:pt>
                <c:pt idx="5">
                  <c:v>0.60446448046490509</c:v>
                </c:pt>
                <c:pt idx="6">
                  <c:v>0.52625406542270259</c:v>
                </c:pt>
                <c:pt idx="7">
                  <c:v>0.44951342697830754</c:v>
                </c:pt>
                <c:pt idx="8">
                  <c:v>0.37542797075020828</c:v>
                </c:pt>
                <c:pt idx="9">
                  <c:v>0.30507395451487507</c:v>
                </c:pt>
                <c:pt idx="10">
                  <c:v>0.23926789838735249</c:v>
                </c:pt>
                <c:pt idx="11">
                  <c:v>0.17848654984528672</c:v>
                </c:pt>
                <c:pt idx="12">
                  <c:v>0.12286376888380442</c:v>
                </c:pt>
                <c:pt idx="13">
                  <c:v>7.2245851372589473E-2</c:v>
                </c:pt>
                <c:pt idx="14">
                  <c:v>2.6275915462111304E-2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r>
            <a:rPr lang="en-US" sz="1100" baseline="0"/>
            <a:t>08.10.2019</a:t>
          </a:r>
        </a:p>
        <a:p>
          <a:r>
            <a:rPr lang="en-US" sz="1100" baseline="0"/>
            <a:t>- </a:t>
          </a:r>
          <a:r>
            <a:rPr lang="ru-RU" sz="1100" baseline="0"/>
            <a:t>обновление под новые функции унифлока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18.9%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mu_mix_cP"/>
      <definedName name="MF_q_mix_rc_m3day"/>
      <definedName name="MF_rho_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pb_atma"/>
      <definedName name="PVT_rho_gas_kgm3"/>
      <definedName name="PVT_rho_oil_kgm3"/>
      <definedName name="PVT_rho_wat_kgm3"/>
      <definedName name="PVT_rs_m3m3"/>
      <definedName name="PVT_salinity_ppm"/>
      <definedName name="PVT_ST_liqgas_Nm"/>
      <definedName name="PVT_ST_oilgas_Nm"/>
      <definedName name="PVT_ST_watgas_Nm"/>
      <definedName name="PVT_z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F10" sqref="F10"/>
    </sheetView>
  </sheetViews>
  <sheetFormatPr defaultRowHeight="15" x14ac:dyDescent="0.25"/>
  <sheetData>
    <row r="1" spans="1:5" x14ac:dyDescent="0.25">
      <c r="A1" t="str">
        <f>"вер "&amp;B1</f>
        <v>вер 7.19</v>
      </c>
      <c r="B1" s="15" t="str">
        <f>[1]!getUFVersion()</f>
        <v>7.19</v>
      </c>
    </row>
    <row r="2" spans="1:5" x14ac:dyDescent="0.25">
      <c r="A2" t="s">
        <v>99</v>
      </c>
    </row>
    <row r="4" spans="1:5" x14ac:dyDescent="0.25">
      <c r="A4" s="54" t="str">
        <f>"Унифлок "&amp;версия_номер_</f>
        <v>Унифлок 7.19</v>
      </c>
      <c r="B4" s="54"/>
      <c r="C4" s="54"/>
      <c r="D4" s="54"/>
      <c r="E4" s="54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tabSelected="1" zoomScale="70" zoomScaleNormal="70" workbookViewId="0">
      <selection activeCell="D15" sqref="D15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45" t="str">
        <f>"Унифлок "&amp;версия_&amp;" приложение версия 1.1"</f>
        <v>Унифлок вер 7.19 приложение версия 1.1</v>
      </c>
      <c r="J1" s="2" t="s">
        <v>23</v>
      </c>
      <c r="K1" s="2"/>
      <c r="L1" s="2"/>
    </row>
    <row r="2" spans="1:42" ht="18" x14ac:dyDescent="0.25">
      <c r="A2" s="55" t="s">
        <v>0</v>
      </c>
      <c r="B2" s="55"/>
      <c r="C2" s="55"/>
      <c r="D2" s="55"/>
      <c r="E2" s="55"/>
      <c r="J2" s="6" t="s">
        <v>26</v>
      </c>
      <c r="K2" s="9">
        <v>1</v>
      </c>
      <c r="L2" s="5" t="s">
        <v>6</v>
      </c>
      <c r="AO2" s="52"/>
      <c r="AP2" s="52" t="s">
        <v>98</v>
      </c>
    </row>
    <row r="3" spans="1:42" ht="18" customHeight="1" x14ac:dyDescent="0.25">
      <c r="F3" s="56" t="s">
        <v>37</v>
      </c>
      <c r="G3" s="56"/>
      <c r="H3" s="9">
        <f>AO3-1</f>
        <v>0</v>
      </c>
      <c r="J3" s="5" t="s">
        <v>27</v>
      </c>
      <c r="K3" s="9">
        <v>15</v>
      </c>
      <c r="L3" s="5" t="s">
        <v>24</v>
      </c>
      <c r="AO3" s="52">
        <v>1</v>
      </c>
      <c r="AP3" s="52" t="s">
        <v>96</v>
      </c>
    </row>
    <row r="4" spans="1:42" x14ac:dyDescent="0.25">
      <c r="AO4" s="52"/>
      <c r="AP4" s="52" t="s">
        <v>97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7" t="s">
        <v>28</v>
      </c>
      <c r="O7" s="57"/>
      <c r="P7" s="57"/>
      <c r="Q7" s="57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0.82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188.6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143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121.95121951219512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76</v>
      </c>
      <c r="H14" s="5" t="s">
        <v>38</v>
      </c>
    </row>
    <row r="15" spans="1:42" ht="18" x14ac:dyDescent="0.25">
      <c r="F15" s="5" t="s">
        <v>20</v>
      </c>
      <c r="G15" s="9">
        <v>190</v>
      </c>
      <c r="H15" s="5" t="s">
        <v>2</v>
      </c>
    </row>
    <row r="16" spans="1:42" ht="18" x14ac:dyDescent="0.25">
      <c r="F16" s="7" t="s">
        <v>21</v>
      </c>
      <c r="G16" s="9">
        <v>1.36</v>
      </c>
      <c r="H16" s="5" t="s">
        <v>17</v>
      </c>
    </row>
    <row r="17" spans="1:28" ht="18" x14ac:dyDescent="0.25">
      <c r="F17" s="8" t="s">
        <v>22</v>
      </c>
      <c r="G17" s="9">
        <v>0.56999999999999995</v>
      </c>
      <c r="H17" s="5" t="s">
        <v>7</v>
      </c>
    </row>
    <row r="19" spans="1:28" x14ac:dyDescent="0.25">
      <c r="B19" s="10" t="s">
        <v>111</v>
      </c>
      <c r="C19" s="49" t="str">
        <f>[1]!PVT_encode_string(gamma_gas_,gamma_oil_,gamma_wat_,Rsb_m3m3_,Rp_m3m3_,Pb_atma_,Tres_C_,Bob_m3m3_,mu_cP_,H3)</f>
        <v>gamma_gas:0.700;gamma_oil:0.820;gamma_wat:1.070;rsb_m3m3:143.000;rp_m3m3:100.000;pb_atma:190.000;tres_C:76.000;bob_m3m3:1.360;muob_cP:0.570;PVTcorr:0;ksep_fr:0.000;p_ksep_atma:-1.000;t_ksep_C:-1.000;gas_only:False;</v>
      </c>
      <c r="D19" s="49"/>
      <c r="E19" s="49"/>
      <c r="F19" s="49"/>
      <c r="G19" s="50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28" s="47" customFormat="1" ht="15.75" x14ac:dyDescent="0.25">
      <c r="A20" s="46"/>
      <c r="G20" s="48"/>
    </row>
    <row r="21" spans="1:28" x14ac:dyDescent="0.25">
      <c r="B21" s="16" t="s">
        <v>39</v>
      </c>
      <c r="C21" s="17"/>
      <c r="D21" s="17"/>
      <c r="E21" s="17"/>
      <c r="F21" s="17"/>
      <c r="G21" s="18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</row>
    <row r="22" spans="1:28" outlineLevel="1" x14ac:dyDescent="0.25"/>
    <row r="23" spans="1:28" outlineLevel="1" x14ac:dyDescent="0.25">
      <c r="B23" s="2" t="s">
        <v>40</v>
      </c>
      <c r="C23" s="2"/>
      <c r="D23" s="2"/>
      <c r="E23" s="2"/>
      <c r="F23" s="2"/>
      <c r="G23" s="2" t="s">
        <v>41</v>
      </c>
      <c r="H23" s="2"/>
    </row>
    <row r="24" spans="1:28" ht="18" outlineLevel="1" x14ac:dyDescent="0.25">
      <c r="B24" s="5" t="s">
        <v>42</v>
      </c>
      <c r="C24" s="19">
        <f>[1]!PVT_pb_atma(Tres_C_,gamma_gas_,gamma_oil_,gamma_w_,Rsb_m3m3_,,Pb_atma_,Tres_C_,Bob_m3m3_,mu_cP_,PVT_correlation_,Ksep_,Psep_atma_,Tsep_C_)</f>
        <v>190</v>
      </c>
      <c r="D24" s="5" t="s">
        <v>2</v>
      </c>
      <c r="E24" s="2"/>
      <c r="F24" s="2"/>
      <c r="G24" s="20">
        <f>[1]!PVT_pb_atma(T_C_,gamma_gas_,gamma_oil_,gamma_w_,Rsb_m3m3_,,Pb_atma_,Tres_C_,Bob_m3m3_,mu_cP_,PVT_correlation_,Ksep_,Psep_atma_,Tsep_C_)</f>
        <v>159.56792624310484</v>
      </c>
      <c r="H24" s="2"/>
    </row>
    <row r="25" spans="1:28" ht="18" outlineLevel="1" x14ac:dyDescent="0.25">
      <c r="B25" s="5" t="s">
        <v>16</v>
      </c>
      <c r="C25" s="21">
        <f>Tres_C_</f>
        <v>76</v>
      </c>
      <c r="D25" s="5" t="s">
        <v>25</v>
      </c>
      <c r="E25" s="2"/>
      <c r="F25" s="2"/>
      <c r="G25" s="22">
        <f>T_C_</f>
        <v>30</v>
      </c>
      <c r="H25" s="2"/>
    </row>
    <row r="26" spans="1:28" ht="18" outlineLevel="1" x14ac:dyDescent="0.25">
      <c r="B26" s="7" t="s">
        <v>15</v>
      </c>
      <c r="C26" s="21">
        <f>Rsb_m3m3_</f>
        <v>143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43</v>
      </c>
      <c r="C27" s="23">
        <f>[1]!PVT_bo_m3m3(C24,Tres_C_,gamma_gas_,gamma_oil_,gamma_w_,Rsb_m3m3_,,Pb_atma_,Tres_C_,Bob_m3m3_,mu_cP_,PVT_correlation_,Ksep_,Psep_atma_,Tsep_C_)</f>
        <v>1.3578192437095402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44</v>
      </c>
      <c r="C28" s="19">
        <f>[1]!PVT_rho_oil_kgm3(C24,Tres_C_,gamma_gas_,gamma_oil_,gamma_w_,Rsb_m3m3_,,Pb_atma_,Tres_C_,Bob_m3m3_,mu_cP_,PVT_correlation_,Ksep_,Psep_atma_,Tsep_C_)</f>
        <v>693.41441674256134</v>
      </c>
      <c r="D28" s="5" t="s">
        <v>45</v>
      </c>
      <c r="E28" s="2"/>
      <c r="F28" s="2"/>
      <c r="G28" s="10"/>
      <c r="H28" s="2"/>
    </row>
    <row r="29" spans="1:28" ht="18" outlineLevel="1" x14ac:dyDescent="0.25">
      <c r="B29" s="8" t="s">
        <v>46</v>
      </c>
      <c r="C29" s="24">
        <f>[1]!PVT_mu_oil_cP(C24,Tres_C_,gamma_gas_,gamma_oil_,gamma_w_,Rsb_m3m3_,,Pb_atma_,Tres_C_,Bob_m3m3_,mu_cP_,PVT_correlation_,Ksep_,Psep_atma_,Tsep_C_)</f>
        <v>0.5718773258375881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47</v>
      </c>
      <c r="C32" s="2"/>
      <c r="D32" s="2"/>
      <c r="E32" s="2"/>
      <c r="F32" s="2"/>
      <c r="G32" s="25"/>
      <c r="H32" s="2" t="s">
        <v>48</v>
      </c>
      <c r="I32" s="2"/>
      <c r="J32" s="2"/>
      <c r="K32" s="2"/>
      <c r="L32" s="2" t="s">
        <v>49</v>
      </c>
      <c r="M32" s="2"/>
      <c r="N32" s="2"/>
      <c r="Q32" s="2" t="s">
        <v>50</v>
      </c>
      <c r="R32" s="2"/>
      <c r="S32" s="2"/>
      <c r="T32" s="2"/>
      <c r="U32" s="2"/>
      <c r="V32" s="2"/>
      <c r="W32" s="2"/>
      <c r="X32" s="2"/>
      <c r="Z32" s="2" t="s">
        <v>51</v>
      </c>
      <c r="AA32" s="2"/>
      <c r="AB32" s="2"/>
    </row>
    <row r="33" spans="2:33" ht="18" outlineLevel="1" x14ac:dyDescent="0.35">
      <c r="B33" s="5" t="s">
        <v>52</v>
      </c>
      <c r="C33" s="19">
        <f>[1]!PVT_rho_oil_kgm3(Psc_atma_,Tsc_C_,gamma_gas_,gamma_oil_,gamma_w_,Rsb_m3m3_,,Pb_atma_,Tres_C_,Bob_m3m3_,mu_cP_,PVT_correlation_,Ksep_,Psep_atma_,Tsep_C_)</f>
        <v>823.42427501321731</v>
      </c>
      <c r="D33" s="5" t="s">
        <v>45</v>
      </c>
      <c r="E33" s="26">
        <f>[1]!PVT_rho_oil_kgm3(Psc_atma_,Tsc_C_,gamma_gas_,gamma_oil_,gamma_w_,Rsb_m3m3_,,,,,,PVT_correlation_,Ksep_,Psep_atma_,Tsep_C_)</f>
        <v>824.09046329784405</v>
      </c>
      <c r="F33" s="27">
        <f t="shared" ref="F33:F38" si="0">(E33-C33)/E33</f>
        <v>8.0839217816062374E-4</v>
      </c>
      <c r="G33" s="28"/>
      <c r="H33" s="5" t="s">
        <v>53</v>
      </c>
      <c r="I33" s="24">
        <f>[1]!PVT_rho_gas_kgm3(Psc_atma_,Tsc_C_,gamma_gas_,gamma_oil_,gamma_w_,Rsb_m3m3_,,Pb_atma_,Tres_C_,Bob_m3m3_,mu_cP_,PVT_correlation_,Ksep_,Psep_atma_,Tsep_C_)</f>
        <v>0.86902621986422079</v>
      </c>
      <c r="J33" s="5" t="s">
        <v>45</v>
      </c>
      <c r="L33" s="5" t="s">
        <v>54</v>
      </c>
      <c r="M33" s="19">
        <f>[1]!PVT_rho_wat_kgm3(Psc_atma_,Tsc_C_,gamma_gas_,gamma_oil_,gamma_w_,Rsb_m3m3_,,Pb_atma_,Tres_C_,Bob_m3m3_,mu_cP_,PVT_correlation_,Ksep_,Psep_atma_,Tsep_C_)</f>
        <v>1070.3638451179736</v>
      </c>
      <c r="N33" s="5" t="s">
        <v>45</v>
      </c>
      <c r="Q33" s="5" t="s">
        <v>55</v>
      </c>
      <c r="R33" s="29">
        <v>0.82</v>
      </c>
      <c r="S33" s="2"/>
      <c r="T33" s="2" t="s">
        <v>56</v>
      </c>
      <c r="U33" s="2"/>
      <c r="V33" s="2" t="s">
        <v>57</v>
      </c>
      <c r="W33" s="2"/>
      <c r="X33" s="2" t="s">
        <v>58</v>
      </c>
      <c r="Z33" s="5" t="s">
        <v>42</v>
      </c>
      <c r="AA33" s="30">
        <f>ABS(U34)</f>
        <v>1.9494839573486075E-2</v>
      </c>
      <c r="AB33" s="31">
        <f>ABS(Pb_diff_)</f>
        <v>1.8692543838888284E-2</v>
      </c>
      <c r="AD33" s="2" t="str">
        <f>Q35&amp; " = "&amp;IFERROR(TEXT(gamma_gas_diff_total_*100,"0.0") &amp; "%",TEXT(gamma_gas_diff_total_*100,"0,0") &amp; "%")</f>
        <v>Сумм откл = 18.9%</v>
      </c>
      <c r="AE33" s="2"/>
      <c r="AF33" s="2"/>
      <c r="AG33" s="2"/>
    </row>
    <row r="34" spans="2:33" ht="18" outlineLevel="1" x14ac:dyDescent="0.25">
      <c r="B34" s="5" t="s">
        <v>59</v>
      </c>
      <c r="C34" s="24">
        <f>[1]!PVT_mu_oil_cP(Psc_atma_,Tsc_C_,gamma_gas_,gamma_oil_,gamma_w_,Rsb_m3m3_,,Pb_atma_,Tres_C_,Bob_m3m3_,mu_cP_,PVT_correlation_,Ksep_,Psep_atma_,Tsep_C_)</f>
        <v>7.6341597267424657</v>
      </c>
      <c r="D34" s="5" t="s">
        <v>7</v>
      </c>
      <c r="E34" s="26">
        <f>[1]!PVT_mu_oil_cP(Psc_atma_,Tsc_C_,gamma_gas_,gamma_oil_,gamma_w_,Rsb_m3m3_,,,,,,PVT_correlation_,Ksep_,Psep_atma_,Tsep_C_)</f>
        <v>23.837937569702742</v>
      </c>
      <c r="F34" s="27">
        <f t="shared" si="0"/>
        <v>0.67974747377284694</v>
      </c>
      <c r="G34" s="28"/>
      <c r="H34" s="5" t="s">
        <v>60</v>
      </c>
      <c r="I34" s="36">
        <f>[1]!PVT_mu_gas_cP(Psc_atma_,Tsc_C_,gamma_gas_,gamma_oil_,gamma_w_,Rsb_m3m3_,,Pb_atma_,Tres_C_,Bob_m3m3_,mu_cP_,PVT_correlation_,Ksep_,Psep_atma_,Tsep_C_)</f>
        <v>1.0255679906379638E-2</v>
      </c>
      <c r="J34" s="5" t="s">
        <v>7</v>
      </c>
      <c r="L34" s="5" t="s">
        <v>61</v>
      </c>
      <c r="M34" s="23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62</v>
      </c>
      <c r="R34" s="29">
        <v>0.66853202603227524</v>
      </c>
      <c r="S34" s="5" t="s">
        <v>42</v>
      </c>
      <c r="T34" s="26">
        <f>[1]!PVT_pb_atma(Tres_C_,gamma_gas_,gamma_oil_,gamma_w_,Rsb_m3m3_,,,Tres_C_,,,PVT_correlation_,Ksep_,Psep_atma_,Tsep_C_)</f>
        <v>186.36680895755003</v>
      </c>
      <c r="U34" s="27">
        <f>(T34-C24)/T34</f>
        <v>-1.9494839573486075E-2</v>
      </c>
      <c r="V34" s="26">
        <f>[1]!PVT_pb_atma(Tres_C_,gamma_gas_new_,gamma_oil_new_,gamma_w_,Rsb_m3m3_,,,Tres_C_,,,PVT_correlation_,Ksep_,Psep_atma_,Tsep_C_)</f>
        <v>193.61923605806749</v>
      </c>
      <c r="W34" s="27">
        <f>(V34-C24)/V34</f>
        <v>1.8692543838888284E-2</v>
      </c>
      <c r="X34" s="2">
        <v>2</v>
      </c>
      <c r="Z34" s="7" t="s">
        <v>43</v>
      </c>
      <c r="AA34" s="30">
        <f>ABS(U35)</f>
        <v>0.17585249578360498</v>
      </c>
      <c r="AB34" s="30">
        <f>ABS(W35)</f>
        <v>0.15720807227950878</v>
      </c>
      <c r="AD34" s="2" t="str">
        <f>F9 &amp;" = "&amp;IFERROR(  TEXT(gamma_gas_,"0.00"),TEXT(gamma_gas_,"0,00")) &amp;",  "&amp; F8 &amp;" = "&amp;  IFERROR(TEXT(gamma_oil_,"0.00"),TEXT(gamma_oil_,"0,00"))</f>
        <v>γg = 0.70,  γo = 0.82</v>
      </c>
      <c r="AE34" s="2"/>
      <c r="AF34" s="2"/>
      <c r="AG34" s="2"/>
    </row>
    <row r="35" spans="2:33" ht="18" outlineLevel="1" x14ac:dyDescent="0.25">
      <c r="B35" s="5" t="s">
        <v>63</v>
      </c>
      <c r="C35" s="24">
        <f>[1]!PVT_rs_m3m3(P_atma_,T_C_,gamma_gas_,gamma_oil_,gamma_w_,Rsb_m3m3_,,Pb_atma_,Tres_C_,Bob_m3m3_,mu_cP_,PVT_correlation_,Ksep_,Psep_atma_,Tsep_C_)</f>
        <v>26.863324116908661</v>
      </c>
      <c r="D35" s="5" t="s">
        <v>17</v>
      </c>
      <c r="E35" s="26">
        <f>[1]!PVT_rs_m3m3(P_atma_,T_C_,gamma_gas_,gamma_oil_,gamma_w_,Rsb_m3m3_,,,,,,PVT_correlation_,Ksep_,Psep_atma_,Tsep_C_)</f>
        <v>27.49510169803326</v>
      </c>
      <c r="F35" s="27">
        <f t="shared" si="0"/>
        <v>2.2977823034194853E-2</v>
      </c>
      <c r="G35" s="28"/>
      <c r="H35" s="5" t="s">
        <v>64</v>
      </c>
      <c r="I35" s="23">
        <f>[1]!PVT_z(P_atma_,T_C_,gamma_gas_,gamma_oil_,gamma_w_,Rsb_m3m3_,,Pb_atma_,Tres_C_,Bob_m3m3_,mu_cP_,PVT_correlation_,Ksep_,Psep_atma_,Tsep_C_)</f>
        <v>0.8909075525006741</v>
      </c>
      <c r="J35" s="5"/>
      <c r="L35" s="5" t="s">
        <v>65</v>
      </c>
      <c r="M35" s="19">
        <f>[1]!PVT_salinity_ppm(Psc_atma_,Tsc_C_,gamma_gas_,gamma_oil_,gamma_w_,Rsb_m3m3_,,Pb_atma_,Tres_C_,Bob_m3m3_,mu_cP_,PVT_correlation_,Ksep_,Psep_atma_,Tsep_C_)</f>
        <v>97525.871265721944</v>
      </c>
      <c r="N35" s="5" t="s">
        <v>107</v>
      </c>
      <c r="Q35" s="32" t="s">
        <v>66</v>
      </c>
      <c r="R35" s="33">
        <f>((X34*W34^2+X35*W35^2+X36*W36^2+X37*W37^2+X38*W38^2+X39*W39^2)/SUM(X34:X39))^0.5</f>
        <v>0.18893331766988022</v>
      </c>
      <c r="S35" s="7" t="s">
        <v>43</v>
      </c>
      <c r="T35" s="34">
        <f>[1]!PVT_bo_m3m3(T34,Tres_C_,gamma_gas_,gamma_oil_,gamma_w_,Rsb_m3m3_,,,,,,PVT_correlation_,Ksep_,Psep_atma_,Tsep_C_)</f>
        <v>1.4341689344187933</v>
      </c>
      <c r="U35" s="27">
        <f>(T35-C27)/(T35-1)</f>
        <v>0.17585249578360498</v>
      </c>
      <c r="V35" s="34">
        <f>[1]!PVT_bo_m3m3(V34,Tres_C_,gamma_gas_new_,gamma_oil_new_,gamma_w_,Rsb_m3m3_,,,,,,PVT_correlation_,Ksep_,Psep_atma_,Tsep_C_)</f>
        <v>1.4245641562767906</v>
      </c>
      <c r="W35" s="27">
        <f>(V35-C27)/(V35-1)</f>
        <v>0.15720807227950878</v>
      </c>
      <c r="X35" s="2">
        <v>2</v>
      </c>
      <c r="Z35" s="8" t="s">
        <v>46</v>
      </c>
      <c r="AA35" s="30">
        <f>ABS(U37)</f>
        <v>0.38886680483856034</v>
      </c>
      <c r="AB35" s="30">
        <f>ABS(W37)</f>
        <v>0.38884392035029575</v>
      </c>
      <c r="AD35" s="2" t="str">
        <f>Q34&amp;" = "&amp;IFERROR(TEXT(gamma_gas_new_,"0.00"),TEXT(gamma_gas_new_,"0,00"))&amp;",  "&amp;Q33&amp;" = "&amp;IFERROR(TEXT(gamma_oil_new_,"0.00"),TEXT(gamma_oil_new_,"0,00"))</f>
        <v>γg new  = 0.67,  γo new  = 0.82</v>
      </c>
      <c r="AE35" s="2"/>
      <c r="AF35" s="2"/>
      <c r="AG35" s="2"/>
    </row>
    <row r="36" spans="2:33" ht="18" outlineLevel="1" x14ac:dyDescent="0.25">
      <c r="B36" s="5" t="s">
        <v>67</v>
      </c>
      <c r="C36" s="23">
        <f>[1]!PVT_bo_m3m3(P_atma_,T_C_,gamma_gas_,gamma_oil_,gamma_w_,Rsb_m3m3_,,Pb_atma_,Tres_C_,Bob_m3m3_,mu_cP_,PVT_correlation_,Ksep_,Psep_atma_,Tsep_C_)</f>
        <v>1.0550701167491432</v>
      </c>
      <c r="D36" s="5" t="s">
        <v>17</v>
      </c>
      <c r="E36" s="26">
        <f>[1]!PVT_bo_m3m3(P_atma_,T_C_,gamma_gas_,gamma_oil_,gamma_w_,Rsb_m3m3_,,,,,,PVT_correlation_,Ksep_,Psep_atma_,Tsep_C_)</f>
        <v>1.0683061753184211</v>
      </c>
      <c r="F36" s="27">
        <f t="shared" si="0"/>
        <v>1.2389761357817422E-2</v>
      </c>
      <c r="G36" s="28"/>
      <c r="H36" s="5" t="s">
        <v>68</v>
      </c>
      <c r="I36" s="36">
        <f>[1]!PVT_bg_m3m3(P_atma_,T_C_,gamma_gas_,gamma_oil_,gamma_w_,Rsb_m3m3_,,Pb_atma_,Tres_C_,Bob_m3m3_,mu_cP_,PVT_correlation_,Ksep_,Psep_atma_,Tsep_C_)</f>
        <v>2.3126153188976827E-2</v>
      </c>
      <c r="J36" s="5" t="s">
        <v>17</v>
      </c>
      <c r="L36" s="5" t="s">
        <v>69</v>
      </c>
      <c r="M36" s="23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44</v>
      </c>
      <c r="T36" s="26">
        <f>[1]!PVT_rho_oil_kgm3(C24,Tres_C_,gamma_gas_,gamma_oil_,gamma_w_,Rsb_m3m3_,,,,,,PVT_correlation_,Ksep_,Psep_atma_,Tsep_C_)</f>
        <v>656.46467222321712</v>
      </c>
      <c r="U36" s="27">
        <f>(T36-C28)/T36</f>
        <v>-5.6285960361291507E-2</v>
      </c>
      <c r="V36" s="26">
        <f>[1]!PVT_rho_oil_kgm3(C24,Tres_C_,gamma_gas_new_,gamma_oil_new_,gamma_w_,Rsb_m3m3_,,,,,,PVT_correlation_,Ksep_,Psep_atma_,Tsep_C_)</f>
        <v>659.53250799816362</v>
      </c>
      <c r="W36" s="27">
        <f>(V36-C28)/V36</f>
        <v>-5.137261368243589E-2</v>
      </c>
      <c r="X36" s="2">
        <v>0</v>
      </c>
      <c r="Z36" s="5" t="s">
        <v>73</v>
      </c>
      <c r="AA36" s="31">
        <f>ABS((gamma_oil_-gamma_oil_)/(gamma_oil_))</f>
        <v>0</v>
      </c>
      <c r="AB36" s="30">
        <f>ABS((gamma_oil_new_-gamma_oil_)/(gamma_oil_))</f>
        <v>0</v>
      </c>
    </row>
    <row r="37" spans="2:33" ht="18" outlineLevel="1" x14ac:dyDescent="0.25">
      <c r="B37" s="5" t="s">
        <v>70</v>
      </c>
      <c r="C37" s="19">
        <f>[1]!PVT_rho_oil_kgm3(P_atma_,T_C_,gamma_gas_,gamma_oil_,gamma_w_,Rsb_m3m3_,,Pb_atma_,Tres_C_,Bob_m3m3_,mu_cP_,PVT_correlation_,Ksep_,Psep_atma_,Tsep_C_)</f>
        <v>798.97367271559926</v>
      </c>
      <c r="D37" s="5" t="s">
        <v>45</v>
      </c>
      <c r="E37" s="26">
        <f>[1]!PVT_rho_oil_kgm3(P_atma_,T_C_,gamma_gas_,gamma_oil_,gamma_w_,Rsb_m3m3_,,,,,,PVT_correlation_,Ksep_,Psep_atma_,Tsep_C_)</f>
        <v>789.58032398317084</v>
      </c>
      <c r="F37" s="27">
        <f t="shared" si="0"/>
        <v>-1.1896634765468943E-2</v>
      </c>
      <c r="G37" s="28"/>
      <c r="H37" s="5" t="s">
        <v>71</v>
      </c>
      <c r="I37" s="19">
        <f>[1]!PVT_rho_gas_kgm3(P_atma_,T_C_,gamma_gas_,gamma_oil_,gamma_w_,Rsb_m3m3_,,Pb_atma_,Tres_C_,Bob_m3m3_,mu_cP_,PVT_correlation_,Ksep_,Psep_atma_,Tsep_C_)</f>
        <v>36.979345116836363</v>
      </c>
      <c r="J37" s="5" t="s">
        <v>45</v>
      </c>
      <c r="L37" s="5" t="s">
        <v>72</v>
      </c>
      <c r="M37" s="19">
        <f>[1]!PVT_rho_wat_kgm3(P_atma_,T_C_,gamma_gas_,gamma_oil_,gamma_w_,Rsb_m3m3_,,Pb_atma_,Tres_C_,Bob_m3m3_,mu_cP_,PVT_correlation_,Ksep_,Psep_atma_,Tsep_C_)</f>
        <v>1064.6634036244029</v>
      </c>
      <c r="N37" s="5" t="s">
        <v>45</v>
      </c>
      <c r="S37" s="8" t="s">
        <v>46</v>
      </c>
      <c r="T37" s="53">
        <f>[1]!PVT_mu_oil_cP(T34,Tres_C_,gamma_gas_,gamma_oil_,gamma_w_,Rsb_m3m3_,,,,,,PVT_correlation_,Ksep_,Psep_atma_,Tsep_C_)</f>
        <v>0.41175822177135424</v>
      </c>
      <c r="U37" s="27">
        <f>(T37-C29)/T37</f>
        <v>-0.38886680483856034</v>
      </c>
      <c r="V37" s="35">
        <f>[1]!PVT_mu_oil_cP(V34,Tres_C_,gamma_gas_new_,gamma_oil_new_,gamma_w_,Rsb_m3m3_,,,,,,PVT_correlation_,Ksep_,Psep_atma_,Tsep_C_)</f>
        <v>0.41176500646188419</v>
      </c>
      <c r="W37" s="27">
        <f>(V37-C29)/V37</f>
        <v>-0.38884392035029575</v>
      </c>
      <c r="X37" s="2">
        <v>2</v>
      </c>
      <c r="Z37" s="5" t="s">
        <v>13</v>
      </c>
      <c r="AA37" s="31">
        <f>ABS(gamma_gas_-gamma_gas_)/gamma_gas_</f>
        <v>0</v>
      </c>
      <c r="AB37" s="30">
        <f>ABS(gamma_gas_new_-gamma_gas_)/gamma_gas_</f>
        <v>4.4954248525321025E-2</v>
      </c>
    </row>
    <row r="38" spans="2:33" ht="18" outlineLevel="1" x14ac:dyDescent="0.25">
      <c r="B38" s="5" t="s">
        <v>74</v>
      </c>
      <c r="C38" s="24">
        <f>[1]!PVT_mu_oil_cP(P_atma_,T_C_,gamma_gas_,gamma_oil_,gamma_w_,Rsb_m3m3_,,Pb_atma_,Tres_C_,Bob_m3m3_,mu_cP_,PVT_correlation_,Ksep_,Psep_atma_,Tsep_C_)</f>
        <v>1.8110843682481927</v>
      </c>
      <c r="D38" s="5" t="s">
        <v>7</v>
      </c>
      <c r="E38" s="26">
        <f>[1]!PVT_mu_oil_cP(P_atma_,T_C_,gamma_gas_,gamma_oil_,gamma_w_,Rsb_m3m3_,,,,,,PVT_correlation_,Ksep_,Psep_atma_,Tsep_C_)</f>
        <v>2.8608438021591724</v>
      </c>
      <c r="F38" s="27">
        <f t="shared" si="0"/>
        <v>0.36694049256331013</v>
      </c>
      <c r="G38" s="28"/>
      <c r="H38" s="5" t="s">
        <v>75</v>
      </c>
      <c r="I38" s="36">
        <f>[1]!PVT_mu_gas_cP(P_atma_,T_C_,gamma_gas_,gamma_oil_,gamma_w_,Rsb_m3m3_,,Pb_atma_,Tres_C_,Bob_m3m3_,mu_cP_,PVT_correlation_,Ksep_,Psep_atma_,Tsep_C_)</f>
        <v>1.1843933262921911E-2</v>
      </c>
      <c r="J38" s="5" t="s">
        <v>7</v>
      </c>
      <c r="L38" s="5" t="s">
        <v>76</v>
      </c>
      <c r="M38" s="23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27">
        <f>(R33-G8)/R33</f>
        <v>0</v>
      </c>
      <c r="X38" s="2">
        <v>2</v>
      </c>
    </row>
    <row r="39" spans="2:33" ht="18" outlineLevel="1" x14ac:dyDescent="0.25">
      <c r="B39" s="5" t="s">
        <v>77</v>
      </c>
      <c r="C39" s="24"/>
      <c r="D39" s="5"/>
      <c r="E39" s="26"/>
      <c r="F39" s="27"/>
      <c r="G39" s="28"/>
      <c r="H39" s="5" t="s">
        <v>78</v>
      </c>
      <c r="I39" s="19"/>
      <c r="J39" s="5"/>
      <c r="L39" s="5" t="s">
        <v>79</v>
      </c>
      <c r="M39" s="19"/>
      <c r="N39" s="5"/>
      <c r="S39" s="5" t="s">
        <v>13</v>
      </c>
      <c r="W39" s="27">
        <f>(R34-G9)/R34</f>
        <v>-4.7070256535781146E-2</v>
      </c>
      <c r="X39" s="2">
        <v>2</v>
      </c>
      <c r="Z39" s="8" t="s">
        <v>44</v>
      </c>
      <c r="AA39" s="30">
        <f>ABS(U36)</f>
        <v>5.6285960361291507E-2</v>
      </c>
      <c r="AB39" s="30">
        <f>ABS(W36)</f>
        <v>5.137261368243589E-2</v>
      </c>
    </row>
    <row r="40" spans="2:33" ht="18" outlineLevel="1" x14ac:dyDescent="0.25">
      <c r="B40" s="5" t="s">
        <v>80</v>
      </c>
      <c r="C40" s="24"/>
      <c r="D40" s="5"/>
      <c r="E40" s="26"/>
      <c r="F40" s="27"/>
      <c r="G40" s="28"/>
      <c r="H40" s="5" t="s">
        <v>81</v>
      </c>
      <c r="I40" s="19"/>
      <c r="J40" s="5"/>
      <c r="L40" s="5" t="s">
        <v>82</v>
      </c>
      <c r="M40" s="19"/>
      <c r="N40" s="5"/>
    </row>
    <row r="41" spans="2:33" ht="18" outlineLevel="1" x14ac:dyDescent="0.25">
      <c r="B41" s="5" t="s">
        <v>109</v>
      </c>
      <c r="C41" s="51">
        <f>[1]!PVT_ST_oilgas_Nm(P_atma_,T_C_,gamma_gas_,gamma_oil_,gamma_w_,Rsb_m3m3_,,Pb_atma_,Tres_C_,Bob_m3m3_,mu_cP_,PVT_correlation_,Ksep_,Psep_atma_,Tsep_C_)</f>
        <v>4.0434478164179312E-2</v>
      </c>
      <c r="D41" s="5" t="s">
        <v>108</v>
      </c>
      <c r="L41" s="5" t="s">
        <v>110</v>
      </c>
      <c r="M41" s="51">
        <f>[1]!PVT_ST_watgas_Nm(P_atma_,T_C_,gamma_gas_,gamma_oil_,gamma_w_,Rsb_m3m3_,,Pb_atma_,Tres_C_,Bob_m3m3_,mu_cP_,PVT_correlation_,Ksep_,Psep_atma_,Tsep_C_)</f>
        <v>5.8884365535558904E-2</v>
      </c>
      <c r="N41" s="5" t="s">
        <v>108</v>
      </c>
    </row>
    <row r="42" spans="2:33" outlineLevel="1" x14ac:dyDescent="0.25">
      <c r="L42" s="28"/>
    </row>
    <row r="43" spans="2:33" outlineLevel="1" x14ac:dyDescent="0.25">
      <c r="B43" s="2" t="s">
        <v>83</v>
      </c>
      <c r="C43" s="2"/>
      <c r="D43" s="2"/>
      <c r="E43" s="25"/>
      <c r="F43" s="28"/>
      <c r="L43" s="28"/>
    </row>
    <row r="44" spans="2:33" ht="18" outlineLevel="1" x14ac:dyDescent="0.25">
      <c r="B44" s="7" t="s">
        <v>84</v>
      </c>
      <c r="C44" s="37">
        <f>[1]!MF_q_mix_rc_m3day(Ql_scm3day_,fw_perc_,P_atma_,T_C_,PVTstr_)</f>
        <v>674.7505675864918</v>
      </c>
      <c r="D44" s="5" t="s">
        <v>33</v>
      </c>
      <c r="E44" s="25"/>
      <c r="F44" s="28"/>
      <c r="L44" s="28"/>
    </row>
    <row r="45" spans="2:33" ht="18" outlineLevel="1" x14ac:dyDescent="0.25">
      <c r="B45" s="5" t="s">
        <v>85</v>
      </c>
      <c r="C45" s="37">
        <f>[1]!MF_rho_mix_kgm3(Ql_scm3day_,fw_perc_,P_atma_,T_C_,PVTstr_)</f>
        <v>308.66127426162313</v>
      </c>
      <c r="D45" s="5" t="s">
        <v>45</v>
      </c>
      <c r="E45" s="25"/>
      <c r="F45" s="28"/>
    </row>
    <row r="46" spans="2:33" ht="18" outlineLevel="1" x14ac:dyDescent="0.25">
      <c r="B46" s="5" t="s">
        <v>86</v>
      </c>
      <c r="C46" s="37">
        <f>[1]!MF_mu_mix_cP(Ql_scm3day_,fw_perc_,P_atma_,T_C_,PVTstr_)</f>
        <v>0.60678867230287659</v>
      </c>
      <c r="D46" s="5" t="s">
        <v>7</v>
      </c>
      <c r="E46" s="25"/>
      <c r="F46" s="28"/>
    </row>
    <row r="47" spans="2:33" ht="18" outlineLevel="1" x14ac:dyDescent="0.25">
      <c r="B47" s="5" t="s">
        <v>87</v>
      </c>
      <c r="E47" s="28"/>
      <c r="F47" s="28"/>
    </row>
    <row r="48" spans="2:33" ht="18" outlineLevel="1" x14ac:dyDescent="0.25">
      <c r="B48" s="5" t="s">
        <v>88</v>
      </c>
      <c r="E48" s="28"/>
      <c r="F48" s="28"/>
    </row>
    <row r="49" spans="1:29" ht="18" outlineLevel="1" x14ac:dyDescent="0.25">
      <c r="B49" s="5" t="s">
        <v>89</v>
      </c>
      <c r="E49" s="28"/>
      <c r="F49" s="28"/>
    </row>
    <row r="50" spans="1:29" outlineLevel="1" x14ac:dyDescent="0.25">
      <c r="C50">
        <f>[1]!PVT_ST_liqgas_Nm(P_atma_,T_C_,gamma_gas_,gamma_oil_,gamma_w_,Rsb_m3m3_,,Pb_atma_,Tres_C_,Bob_m3m3_,mu_cP_,PVT_correlation_,Ksep_,Psep_atma_,Tsep_C_)</f>
        <v>4.0434478164179312E-2</v>
      </c>
      <c r="D50" s="5" t="s">
        <v>108</v>
      </c>
      <c r="E50" s="28"/>
      <c r="F50" s="28"/>
    </row>
    <row r="51" spans="1:29" outlineLevel="1" x14ac:dyDescent="0.25">
      <c r="E51" s="28"/>
      <c r="F51" s="28"/>
    </row>
    <row r="52" spans="1:29" outlineLevel="1" x14ac:dyDescent="0.25">
      <c r="E52" s="28"/>
      <c r="F52" s="28"/>
    </row>
    <row r="53" spans="1:29" outlineLevel="1" x14ac:dyDescent="0.25"/>
    <row r="54" spans="1:29" outlineLevel="1" x14ac:dyDescent="0.25"/>
    <row r="55" spans="1:29" x14ac:dyDescent="0.25">
      <c r="L55" s="28"/>
    </row>
    <row r="56" spans="1:29" x14ac:dyDescent="0.25">
      <c r="B56" s="38" t="s">
        <v>90</v>
      </c>
      <c r="C56" s="17"/>
      <c r="D56" s="17"/>
      <c r="E56" s="17"/>
      <c r="F56" s="17"/>
      <c r="G56" s="18"/>
      <c r="H56" s="17"/>
      <c r="I56" s="17"/>
      <c r="J56" s="17"/>
      <c r="K56" s="17"/>
      <c r="L56" s="39"/>
      <c r="M56" s="39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outlineLevel="1" x14ac:dyDescent="0.25">
      <c r="B57" t="str">
        <f>"Температура = " &amp;T_C_&amp;" °С"</f>
        <v>Температура = 30 °С</v>
      </c>
      <c r="L57" s="28"/>
      <c r="M57" s="28"/>
    </row>
    <row r="58" spans="1:29" outlineLevel="1" x14ac:dyDescent="0.25">
      <c r="L58" s="28"/>
      <c r="M58" s="28"/>
    </row>
    <row r="59" spans="1:29" ht="18" outlineLevel="1" x14ac:dyDescent="0.25">
      <c r="A59" s="40"/>
      <c r="B59" s="5" t="s">
        <v>91</v>
      </c>
      <c r="C59" s="5" t="s">
        <v>91</v>
      </c>
      <c r="D59" s="5" t="s">
        <v>63</v>
      </c>
      <c r="E59" s="5" t="s">
        <v>92</v>
      </c>
      <c r="F59" s="5" t="s">
        <v>100</v>
      </c>
      <c r="G59" s="5" t="s">
        <v>67</v>
      </c>
      <c r="H59" s="5" t="s">
        <v>93</v>
      </c>
      <c r="I59" s="5" t="s">
        <v>101</v>
      </c>
      <c r="J59" s="5" t="s">
        <v>70</v>
      </c>
      <c r="K59" s="5" t="s">
        <v>94</v>
      </c>
      <c r="L59" s="5" t="s">
        <v>102</v>
      </c>
      <c r="M59" s="5" t="s">
        <v>74</v>
      </c>
      <c r="N59" s="5" t="s">
        <v>95</v>
      </c>
      <c r="O59" s="5" t="s">
        <v>103</v>
      </c>
      <c r="P59" s="5" t="s">
        <v>104</v>
      </c>
      <c r="Q59" s="5" t="s">
        <v>105</v>
      </c>
      <c r="R59" s="5" t="s">
        <v>106</v>
      </c>
    </row>
    <row r="60" spans="1:29" outlineLevel="1" x14ac:dyDescent="0.25">
      <c r="A60" s="41">
        <v>1</v>
      </c>
      <c r="B60" s="42">
        <v>1</v>
      </c>
      <c r="C60" s="2">
        <v>1</v>
      </c>
      <c r="D60" s="2">
        <v>0.22133449984131653</v>
      </c>
      <c r="E60" s="2">
        <v>0.22133449984131653</v>
      </c>
      <c r="F60">
        <v>0.32387326600458816</v>
      </c>
      <c r="G60" s="2">
        <v>1.0092222070264942</v>
      </c>
      <c r="H60" s="10">
        <v>1.0092222070264942</v>
      </c>
      <c r="I60">
        <v>1.0081925345505252</v>
      </c>
      <c r="J60" s="2">
        <v>812.69444661495402</v>
      </c>
      <c r="K60" s="2">
        <v>812.69444661495402</v>
      </c>
      <c r="L60">
        <v>813.6114333995265</v>
      </c>
      <c r="M60" s="2">
        <v>3.3044756497159629</v>
      </c>
      <c r="N60" s="2">
        <v>3.3044756497159629</v>
      </c>
      <c r="O60">
        <v>6.8808199688588534</v>
      </c>
      <c r="P60">
        <v>0.99032960328831743</v>
      </c>
      <c r="Q60">
        <v>0.99032960328831743</v>
      </c>
      <c r="R60">
        <v>0.99032953235765475</v>
      </c>
    </row>
    <row r="61" spans="1:29" outlineLevel="1" x14ac:dyDescent="0.25">
      <c r="A61" s="41">
        <v>2</v>
      </c>
      <c r="B61" s="43">
        <f t="shared" ref="B61:B79" si="1">($B$80-$B$60)/($A$80-$A$60)+B60</f>
        <v>8.9283963121552414</v>
      </c>
      <c r="C61" s="2">
        <v>8.9283963121552414</v>
      </c>
      <c r="D61" s="2">
        <v>3.0887329328011783</v>
      </c>
      <c r="E61" s="2">
        <v>3.0887329328011783</v>
      </c>
      <c r="F61">
        <v>4.5196660415770866</v>
      </c>
      <c r="G61" s="2">
        <v>1.0160338276689369</v>
      </c>
      <c r="H61" s="10">
        <v>1.0160338276689369</v>
      </c>
      <c r="I61">
        <v>1.0168720378365952</v>
      </c>
      <c r="J61" s="2">
        <v>809.65951242407903</v>
      </c>
      <c r="K61" s="2">
        <v>809.65951242407903</v>
      </c>
      <c r="L61">
        <v>810.19552367166784</v>
      </c>
      <c r="M61" s="2">
        <v>2.8692299574223319</v>
      </c>
      <c r="N61" s="2">
        <v>2.8692299574223319</v>
      </c>
      <c r="O61">
        <v>5.6367956557169467</v>
      </c>
      <c r="P61">
        <v>0.91561584037333521</v>
      </c>
      <c r="Q61">
        <v>0.91561584037333521</v>
      </c>
      <c r="R61">
        <v>0.91439485160751866</v>
      </c>
    </row>
    <row r="62" spans="1:29" outlineLevel="1" x14ac:dyDescent="0.25">
      <c r="A62" s="41">
        <v>3</v>
      </c>
      <c r="B62" s="43">
        <f t="shared" si="1"/>
        <v>16.856792624310483</v>
      </c>
      <c r="C62" s="2">
        <v>16.856792624310483</v>
      </c>
      <c r="D62" s="2">
        <v>6.6387474283119117</v>
      </c>
      <c r="E62" s="2">
        <v>6.6387474283119117</v>
      </c>
      <c r="F62">
        <v>9.7143139154918909</v>
      </c>
      <c r="G62" s="2">
        <v>1.0246682159754086</v>
      </c>
      <c r="H62" s="10">
        <v>1.0246682159754086</v>
      </c>
      <c r="I62">
        <v>1.0279727614036913</v>
      </c>
      <c r="J62" s="2">
        <v>805.79974819189056</v>
      </c>
      <c r="K62" s="2">
        <v>805.79974819189056</v>
      </c>
      <c r="L62">
        <v>805.76802734183332</v>
      </c>
      <c r="M62" s="2">
        <v>2.467608617320697</v>
      </c>
      <c r="N62" s="2">
        <v>2.467608617320697</v>
      </c>
      <c r="O62">
        <v>4.6092645916134325</v>
      </c>
      <c r="P62">
        <v>0.84315016284177513</v>
      </c>
      <c r="Q62">
        <v>0.84315016284177513</v>
      </c>
      <c r="R62">
        <v>0.83823297628113203</v>
      </c>
    </row>
    <row r="63" spans="1:29" outlineLevel="1" x14ac:dyDescent="0.25">
      <c r="A63" s="41">
        <v>4</v>
      </c>
      <c r="B63" s="43">
        <f t="shared" si="1"/>
        <v>24.785188936465723</v>
      </c>
      <c r="C63" s="2">
        <v>24.785188936465723</v>
      </c>
      <c r="D63" s="2">
        <v>10.559821160221242</v>
      </c>
      <c r="E63" s="2">
        <v>10.559821160221242</v>
      </c>
      <c r="F63">
        <v>15.451923536715594</v>
      </c>
      <c r="G63" s="2">
        <v>1.0344366017692548</v>
      </c>
      <c r="H63" s="10">
        <v>1.0344366017692548</v>
      </c>
      <c r="I63">
        <v>1.0406268365599929</v>
      </c>
      <c r="J63" s="2">
        <v>801.43205687044724</v>
      </c>
      <c r="K63" s="2">
        <v>801.43205687044724</v>
      </c>
      <c r="L63">
        <v>800.6850306145534</v>
      </c>
      <c r="M63" s="2">
        <v>2.1384432351703304</v>
      </c>
      <c r="N63" s="2">
        <v>2.1384432351703304</v>
      </c>
      <c r="O63">
        <v>3.8421515496642464</v>
      </c>
      <c r="P63">
        <v>0.77224454791685371</v>
      </c>
      <c r="Q63">
        <v>0.77224454791685371</v>
      </c>
      <c r="R63">
        <v>0.76111692498522898</v>
      </c>
    </row>
    <row r="64" spans="1:29" outlineLevel="1" x14ac:dyDescent="0.25">
      <c r="A64" s="41">
        <v>5</v>
      </c>
      <c r="B64" s="43">
        <f t="shared" si="1"/>
        <v>32.713585248620966</v>
      </c>
      <c r="C64" s="2">
        <v>32.713585248620966</v>
      </c>
      <c r="D64" s="2">
        <v>14.749652823764176</v>
      </c>
      <c r="E64" s="2">
        <v>14.749652823764176</v>
      </c>
      <c r="F64">
        <v>21.582799951616824</v>
      </c>
      <c r="G64" s="2">
        <v>1.0451151365284252</v>
      </c>
      <c r="H64" s="10">
        <v>1.0451151365284252</v>
      </c>
      <c r="I64">
        <v>1.0545439206053764</v>
      </c>
      <c r="J64" s="2">
        <v>796.67179863460842</v>
      </c>
      <c r="K64" s="2">
        <v>796.67179863460842</v>
      </c>
      <c r="L64">
        <v>795.09006529504654</v>
      </c>
      <c r="M64" s="2">
        <v>1.8731955772024904</v>
      </c>
      <c r="N64" s="25">
        <v>1.8731955772024904</v>
      </c>
      <c r="O64">
        <v>3.2677903628503797</v>
      </c>
      <c r="P64">
        <v>0.70272208418860382</v>
      </c>
      <c r="Q64">
        <v>0.70272208418860382</v>
      </c>
      <c r="R64">
        <v>0.68303696703331751</v>
      </c>
    </row>
    <row r="65" spans="1:18" outlineLevel="1" x14ac:dyDescent="0.25">
      <c r="A65" s="41">
        <v>6</v>
      </c>
      <c r="B65" s="43">
        <f t="shared" si="1"/>
        <v>40.641981560776209</v>
      </c>
      <c r="C65" s="2">
        <v>40.641981560776209</v>
      </c>
      <c r="D65" s="2">
        <v>19.153796211618481</v>
      </c>
      <c r="E65" s="2">
        <v>19.153796211618481</v>
      </c>
      <c r="F65">
        <v>28.02727337984204</v>
      </c>
      <c r="G65" s="2">
        <v>1.0565814565817695</v>
      </c>
      <c r="H65" s="10">
        <v>1.0565814565817695</v>
      </c>
      <c r="I65">
        <v>1.0695601028526336</v>
      </c>
      <c r="J65" s="2">
        <v>791.59077586696787</v>
      </c>
      <c r="K65" s="2">
        <v>791.59077586696787</v>
      </c>
      <c r="L65">
        <v>789.08014768945714</v>
      </c>
      <c r="M65" s="2">
        <v>1.6587219755804925</v>
      </c>
      <c r="N65" s="2">
        <v>1.6587219755804925</v>
      </c>
      <c r="O65">
        <v>2.8293647304442175</v>
      </c>
      <c r="P65">
        <v>0.63473222165612275</v>
      </c>
      <c r="Q65">
        <v>0.63473222165612275</v>
      </c>
      <c r="R65">
        <v>0.60446448046490509</v>
      </c>
    </row>
    <row r="66" spans="1:18" outlineLevel="1" x14ac:dyDescent="0.25">
      <c r="A66" s="41">
        <v>7</v>
      </c>
      <c r="B66" s="43">
        <f t="shared" si="1"/>
        <v>48.570377872931452</v>
      </c>
      <c r="C66" s="2">
        <v>48.570377872931452</v>
      </c>
      <c r="D66" s="2">
        <v>23.737795176178491</v>
      </c>
      <c r="E66" s="2">
        <v>23.737795176178491</v>
      </c>
      <c r="F66">
        <v>34.73492499799508</v>
      </c>
      <c r="G66" s="2">
        <v>1.0687547553977417</v>
      </c>
      <c r="H66" s="10">
        <v>1.0687547553977417</v>
      </c>
      <c r="I66">
        <v>1.0855643938593744</v>
      </c>
      <c r="J66" s="2">
        <v>786.24241980003603</v>
      </c>
      <c r="K66" s="2">
        <v>786.24241980003603</v>
      </c>
      <c r="L66">
        <v>782.73105245114311</v>
      </c>
      <c r="M66" s="2">
        <v>1.4836154068872971</v>
      </c>
      <c r="N66" s="2">
        <v>1.4836154068872971</v>
      </c>
      <c r="O66">
        <v>2.4873364730105854</v>
      </c>
      <c r="P66">
        <v>0.56867302783119755</v>
      </c>
      <c r="Q66">
        <v>0.56867302783119755</v>
      </c>
      <c r="R66">
        <v>0.52625406542270259</v>
      </c>
    </row>
    <row r="67" spans="1:18" outlineLevel="1" x14ac:dyDescent="0.25">
      <c r="A67" s="41">
        <v>8</v>
      </c>
      <c r="B67" s="43">
        <f t="shared" si="1"/>
        <v>56.498774185086695</v>
      </c>
      <c r="C67" s="2">
        <v>56.498774185086695</v>
      </c>
      <c r="D67" s="2">
        <v>28.47764684886506</v>
      </c>
      <c r="E67" s="2">
        <v>28.47764684886506</v>
      </c>
      <c r="F67">
        <v>41.670632005763373</v>
      </c>
      <c r="G67" s="2">
        <v>1.0815759489771175</v>
      </c>
      <c r="H67" s="10">
        <v>1.0815759489771175</v>
      </c>
      <c r="I67">
        <v>1.1024742331983566</v>
      </c>
      <c r="J67" s="2">
        <v>780.66991005783223</v>
      </c>
      <c r="K67" s="2">
        <v>780.66991005783223</v>
      </c>
      <c r="L67">
        <v>776.10549255445778</v>
      </c>
      <c r="M67" s="2">
        <v>1.3389996535141873</v>
      </c>
      <c r="N67" s="2">
        <v>1.3389996535141873</v>
      </c>
      <c r="O67">
        <v>2.2149521326182371</v>
      </c>
      <c r="P67">
        <v>0.50510113623693764</v>
      </c>
      <c r="Q67">
        <v>0.50510113623693764</v>
      </c>
      <c r="R67">
        <v>0.44951342697830754</v>
      </c>
    </row>
    <row r="68" spans="1:18" outlineLevel="1" x14ac:dyDescent="0.25">
      <c r="A68" s="41">
        <v>9</v>
      </c>
      <c r="B68" s="43">
        <f t="shared" si="1"/>
        <v>64.427170497241931</v>
      </c>
      <c r="C68" s="2">
        <v>64.427170497241931</v>
      </c>
      <c r="D68" s="2">
        <v>33.35556181374119</v>
      </c>
      <c r="E68" s="2">
        <v>33.35556181374119</v>
      </c>
      <c r="F68">
        <v>48.808363593472151</v>
      </c>
      <c r="G68" s="2">
        <v>1.0949990453350944</v>
      </c>
      <c r="H68" s="10">
        <v>1.0949990453350944</v>
      </c>
      <c r="I68">
        <v>1.1202246414500789</v>
      </c>
      <c r="J68" s="2">
        <v>774.90966455393152</v>
      </c>
      <c r="K68" s="2">
        <v>774.90966455393152</v>
      </c>
      <c r="L68">
        <v>769.25680133764808</v>
      </c>
      <c r="M68" s="2">
        <v>1.2181739837006491</v>
      </c>
      <c r="N68" s="2">
        <v>1.2181739837006491</v>
      </c>
      <c r="O68">
        <v>1.9939704380552041</v>
      </c>
      <c r="P68">
        <v>0.44462091914609969</v>
      </c>
      <c r="Q68">
        <v>0.44462091914609969</v>
      </c>
      <c r="R68">
        <v>0.37542797075020828</v>
      </c>
    </row>
    <row r="69" spans="1:18" outlineLevel="1" x14ac:dyDescent="0.25">
      <c r="A69" s="41">
        <v>10</v>
      </c>
      <c r="B69" s="43">
        <f t="shared" si="1"/>
        <v>72.355566809397175</v>
      </c>
      <c r="C69" s="2">
        <v>72.355566809397175</v>
      </c>
      <c r="D69" s="2">
        <v>38.357769170054588</v>
      </c>
      <c r="E69" s="2">
        <v>38.357769170054588</v>
      </c>
      <c r="F69">
        <v>56.127969144721035</v>
      </c>
      <c r="G69" s="2">
        <v>1.1089867192797012</v>
      </c>
      <c r="H69" s="10">
        <v>1.1089867192797012</v>
      </c>
      <c r="I69">
        <v>1.1387625300850055</v>
      </c>
      <c r="J69" s="2">
        <v>768.99314102737299</v>
      </c>
      <c r="K69" s="2">
        <v>768.99314102737299</v>
      </c>
      <c r="L69">
        <v>762.23097880475586</v>
      </c>
      <c r="M69" s="2">
        <v>1.1161054890791837</v>
      </c>
      <c r="N69" s="2">
        <v>1.1161054890791837</v>
      </c>
      <c r="O69">
        <v>1.8117283652492939</v>
      </c>
      <c r="P69">
        <v>0.38777239148379006</v>
      </c>
      <c r="Q69">
        <v>0.38777239148379006</v>
      </c>
      <c r="R69">
        <v>0.30507395451487507</v>
      </c>
    </row>
    <row r="70" spans="1:18" outlineLevel="1" x14ac:dyDescent="0.25">
      <c r="A70" s="41">
        <v>11</v>
      </c>
      <c r="B70" s="43">
        <f t="shared" si="1"/>
        <v>80.283963121552418</v>
      </c>
      <c r="C70" s="2">
        <v>80.283963121552418</v>
      </c>
      <c r="D70" s="2">
        <v>43.473258349515447</v>
      </c>
      <c r="E70" s="2">
        <v>43.473258349515447</v>
      </c>
      <c r="F70">
        <v>63.613337168914832</v>
      </c>
      <c r="G70" s="2">
        <v>1.1235077738829775</v>
      </c>
      <c r="H70" s="10">
        <v>1.1235077738829775</v>
      </c>
      <c r="I70">
        <v>1.1580433601778812</v>
      </c>
      <c r="J70" s="2">
        <v>762.94789919024106</v>
      </c>
      <c r="K70" s="2">
        <v>762.94789919024106</v>
      </c>
      <c r="L70">
        <v>755.06800512130371</v>
      </c>
      <c r="M70" s="2">
        <v>1.0289955473553698</v>
      </c>
      <c r="N70" s="2">
        <v>1.0289955473553698</v>
      </c>
      <c r="O70">
        <v>1.6592524290951165</v>
      </c>
      <c r="P70">
        <v>0.33494357434890554</v>
      </c>
      <c r="Q70">
        <v>0.33494357434890554</v>
      </c>
      <c r="R70">
        <v>0.23926789838735249</v>
      </c>
    </row>
    <row r="71" spans="1:18" outlineLevel="1" x14ac:dyDescent="0.25">
      <c r="A71" s="41">
        <v>12</v>
      </c>
      <c r="B71" s="43">
        <f t="shared" si="1"/>
        <v>88.212359433707661</v>
      </c>
      <c r="C71" s="2">
        <v>88.212359433707661</v>
      </c>
      <c r="D71" s="2">
        <v>48.693002790850187</v>
      </c>
      <c r="E71" s="2">
        <v>48.693002790850187</v>
      </c>
      <c r="F71">
        <v>71.251259323555828</v>
      </c>
      <c r="G71" s="2">
        <v>1.1385355599398232</v>
      </c>
      <c r="H71" s="10">
        <v>1.1385355599398232</v>
      </c>
      <c r="I71">
        <v>1.1780290168236751</v>
      </c>
      <c r="J71" s="2">
        <v>756.79829368021569</v>
      </c>
      <c r="K71" s="2">
        <v>756.79829368021569</v>
      </c>
      <c r="L71">
        <v>747.8027721559663</v>
      </c>
      <c r="M71" s="2">
        <v>0.95395120053608207</v>
      </c>
      <c r="N71" s="2">
        <v>0.95395120053608207</v>
      </c>
      <c r="O71">
        <v>1.5300523681270621</v>
      </c>
      <c r="P71">
        <v>0.28632461968541345</v>
      </c>
      <c r="Q71">
        <v>0.28632461968541345</v>
      </c>
      <c r="R71">
        <v>0.17848654984528672</v>
      </c>
    </row>
    <row r="72" spans="1:18" outlineLevel="1" x14ac:dyDescent="0.25">
      <c r="A72" s="41">
        <v>13</v>
      </c>
      <c r="B72" s="43">
        <f t="shared" si="1"/>
        <v>96.140755745862904</v>
      </c>
      <c r="C72" s="2">
        <v>96.140755745862904</v>
      </c>
      <c r="D72" s="2">
        <v>54.009453359823191</v>
      </c>
      <c r="E72" s="2">
        <v>54.009453359823191</v>
      </c>
      <c r="F72">
        <v>79.030689148367188</v>
      </c>
      <c r="G72" s="2">
        <v>1.1540469287817461</v>
      </c>
      <c r="H72" s="10">
        <v>1.1540469287817461</v>
      </c>
      <c r="I72">
        <v>1.1986863744492291</v>
      </c>
      <c r="J72" s="2">
        <v>750.5659629744581</v>
      </c>
      <c r="K72" s="2">
        <v>750.5659629744581</v>
      </c>
      <c r="L72">
        <v>740.46579153001471</v>
      </c>
      <c r="M72" s="2">
        <v>0.88874568945707777</v>
      </c>
      <c r="N72" s="2">
        <v>0.88874568945707777</v>
      </c>
      <c r="O72">
        <v>1.419342572797208</v>
      </c>
      <c r="P72">
        <v>0.24190587962599727</v>
      </c>
      <c r="Q72">
        <v>0.24190587962599727</v>
      </c>
      <c r="R72">
        <v>0.12286376888380442</v>
      </c>
    </row>
    <row r="73" spans="1:18" outlineLevel="1" x14ac:dyDescent="0.25">
      <c r="A73" s="41">
        <v>14</v>
      </c>
      <c r="B73" s="43">
        <f t="shared" si="1"/>
        <v>104.06915205801815</v>
      </c>
      <c r="C73" s="2">
        <v>104.06915205801815</v>
      </c>
      <c r="D73" s="2">
        <v>59.416192888107162</v>
      </c>
      <c r="E73" s="2">
        <v>59.416192888107162</v>
      </c>
      <c r="F73">
        <v>86.942236560618142</v>
      </c>
      <c r="G73" s="2">
        <v>1.1700215040188016</v>
      </c>
      <c r="H73" s="10">
        <v>1.1700215040188016</v>
      </c>
      <c r="I73">
        <v>1.2199862836263469</v>
      </c>
      <c r="J73" s="2">
        <v>744.27019589375584</v>
      </c>
      <c r="K73" s="2">
        <v>744.27019589375584</v>
      </c>
      <c r="L73">
        <v>733.0837594549497</v>
      </c>
      <c r="M73" s="2">
        <v>0.83164596399528379</v>
      </c>
      <c r="N73" s="2">
        <v>0.83164596399528379</v>
      </c>
      <c r="O73">
        <v>1.3235309957581547</v>
      </c>
      <c r="P73">
        <v>0.20150925147679349</v>
      </c>
      <c r="Q73">
        <v>0.20150925147679349</v>
      </c>
      <c r="R73">
        <v>7.2245851372589473E-2</v>
      </c>
    </row>
    <row r="74" spans="1:18" outlineLevel="1" x14ac:dyDescent="0.25">
      <c r="A74" s="41">
        <v>15</v>
      </c>
      <c r="B74" s="43">
        <f t="shared" si="1"/>
        <v>111.99754837017339</v>
      </c>
      <c r="C74" s="2">
        <v>111.99754837017339</v>
      </c>
      <c r="D74" s="2">
        <v>64.907692027368626</v>
      </c>
      <c r="E74" s="2">
        <v>64.907692027368626</v>
      </c>
      <c r="F74">
        <v>94.977810602482876</v>
      </c>
      <c r="G74" s="2">
        <v>1.1864411551590539</v>
      </c>
      <c r="H74" s="10">
        <v>1.1864411551590539</v>
      </c>
      <c r="I74">
        <v>1.2419028296537036</v>
      </c>
      <c r="J74" s="2">
        <v>737.92821948048061</v>
      </c>
      <c r="K74" s="2">
        <v>737.92821948048061</v>
      </c>
      <c r="L74">
        <v>725.68002288909963</v>
      </c>
      <c r="M74" s="2">
        <v>0.78128839451663201</v>
      </c>
      <c r="N74" s="2">
        <v>0.78128839451663201</v>
      </c>
      <c r="O74">
        <v>1.2398772325608269</v>
      </c>
      <c r="P74">
        <v>0.16483660261581051</v>
      </c>
      <c r="Q74">
        <v>0.16483660261581051</v>
      </c>
      <c r="R74">
        <v>2.6275915462111304E-2</v>
      </c>
    </row>
    <row r="75" spans="1:18" outlineLevel="1" x14ac:dyDescent="0.25">
      <c r="A75" s="41">
        <v>16</v>
      </c>
      <c r="B75" s="43">
        <f t="shared" si="1"/>
        <v>119.92594468232863</v>
      </c>
      <c r="C75" s="2">
        <v>119.92594468232863</v>
      </c>
      <c r="D75" s="2">
        <v>70.479131537404214</v>
      </c>
      <c r="E75" s="2">
        <v>70.479131537404214</v>
      </c>
      <c r="F75">
        <v>100</v>
      </c>
      <c r="G75" s="2">
        <v>1.2032896050620017</v>
      </c>
      <c r="H75" s="10">
        <v>1.2032896050620017</v>
      </c>
      <c r="I75">
        <v>1.2547846046023337</v>
      </c>
      <c r="J75" s="2">
        <v>731.55543336893948</v>
      </c>
      <c r="K75" s="2">
        <v>731.55543336893948</v>
      </c>
      <c r="L75">
        <v>721.65294081447314</v>
      </c>
      <c r="M75" s="2">
        <v>0.73658868417240253</v>
      </c>
      <c r="N75" s="2">
        <v>0.73658868417240253</v>
      </c>
      <c r="O75">
        <v>1.1991281950639625</v>
      </c>
      <c r="P75">
        <v>0.13152056213712887</v>
      </c>
      <c r="Q75">
        <v>0.13152056213712887</v>
      </c>
      <c r="R75">
        <v>0</v>
      </c>
    </row>
    <row r="76" spans="1:18" outlineLevel="1" x14ac:dyDescent="0.25">
      <c r="A76" s="41">
        <v>17</v>
      </c>
      <c r="B76" s="43">
        <f t="shared" si="1"/>
        <v>127.85434099448388</v>
      </c>
      <c r="C76" s="2">
        <v>127.85434099448388</v>
      </c>
      <c r="D76" s="2">
        <v>76.126269679158824</v>
      </c>
      <c r="E76" s="2">
        <v>76.126269679158824</v>
      </c>
      <c r="F76">
        <v>100</v>
      </c>
      <c r="G76" s="2">
        <v>1.2205521295667709</v>
      </c>
      <c r="H76" s="10">
        <v>1.2205521295667709</v>
      </c>
      <c r="I76">
        <v>1.2528832122667741</v>
      </c>
      <c r="J76" s="2">
        <v>725.16560589762162</v>
      </c>
      <c r="K76" s="2">
        <v>725.16560589762162</v>
      </c>
      <c r="L76">
        <v>722.74813097838</v>
      </c>
      <c r="M76" s="2">
        <v>0.69667600911415128</v>
      </c>
      <c r="N76" s="2">
        <v>0.69667600911415128</v>
      </c>
      <c r="O76">
        <v>1.2125754386248058</v>
      </c>
      <c r="P76">
        <v>0.10116810399737308</v>
      </c>
      <c r="Q76">
        <v>0.10116810399737308</v>
      </c>
      <c r="R76">
        <v>0</v>
      </c>
    </row>
    <row r="77" spans="1:18" outlineLevel="1" x14ac:dyDescent="0.25">
      <c r="A77" s="41">
        <v>18</v>
      </c>
      <c r="B77" s="43">
        <f t="shared" si="1"/>
        <v>135.78273730663912</v>
      </c>
      <c r="C77" s="2">
        <v>135.78273730663912</v>
      </c>
      <c r="D77" s="2">
        <v>81.845341145515235</v>
      </c>
      <c r="E77" s="2">
        <v>81.845341145515235</v>
      </c>
      <c r="F77">
        <v>100</v>
      </c>
      <c r="G77" s="2">
        <v>1.2382153226592771</v>
      </c>
      <c r="H77" s="10">
        <v>1.2382153226592771</v>
      </c>
      <c r="I77">
        <v>1.2512062620026014</v>
      </c>
      <c r="J77" s="2">
        <v>718.77104168184712</v>
      </c>
      <c r="K77" s="2">
        <v>718.77104168184712</v>
      </c>
      <c r="L77">
        <v>723.71680633270137</v>
      </c>
      <c r="M77" s="2">
        <v>0.66084439859759458</v>
      </c>
      <c r="N77" s="2">
        <v>0.66084439859759458</v>
      </c>
      <c r="O77">
        <v>1.2269894664545062</v>
      </c>
      <c r="P77">
        <v>7.3392794753113583E-2</v>
      </c>
      <c r="Q77">
        <v>7.3392794753113583E-2</v>
      </c>
      <c r="R77">
        <v>0</v>
      </c>
    </row>
    <row r="78" spans="1:18" outlineLevel="1" x14ac:dyDescent="0.25">
      <c r="A78" s="41">
        <v>19</v>
      </c>
      <c r="B78" s="43">
        <f t="shared" si="1"/>
        <v>143.71113361879435</v>
      </c>
      <c r="C78" s="2">
        <v>143.71113361879435</v>
      </c>
      <c r="D78" s="2">
        <v>87.632978606387155</v>
      </c>
      <c r="E78" s="2">
        <v>87.632978606387155</v>
      </c>
      <c r="F78">
        <v>100</v>
      </c>
      <c r="G78" s="2">
        <v>1.2562669095114691</v>
      </c>
      <c r="H78" s="10">
        <v>1.2562669095114691</v>
      </c>
      <c r="I78">
        <v>1.2497162298211206</v>
      </c>
      <c r="J78" s="2">
        <v>712.38272710885713</v>
      </c>
      <c r="K78" s="2">
        <v>712.38272710885713</v>
      </c>
      <c r="L78">
        <v>724.57969128688705</v>
      </c>
      <c r="M78" s="2">
        <v>0.62851647490383256</v>
      </c>
      <c r="N78" s="2">
        <v>0.62851647490383256</v>
      </c>
      <c r="O78">
        <v>1.2423280931327243</v>
      </c>
      <c r="P78">
        <v>4.7835521785735503E-2</v>
      </c>
      <c r="Q78">
        <v>4.7835521785735503E-2</v>
      </c>
      <c r="R78">
        <v>0</v>
      </c>
    </row>
    <row r="79" spans="1:18" outlineLevel="1" x14ac:dyDescent="0.25">
      <c r="A79" s="41">
        <v>20</v>
      </c>
      <c r="B79" s="43">
        <f t="shared" si="1"/>
        <v>151.63952993094958</v>
      </c>
      <c r="C79" s="2">
        <v>151.63952993094958</v>
      </c>
      <c r="D79" s="2">
        <v>93.486150827600156</v>
      </c>
      <c r="E79" s="2">
        <v>93.486150827600156</v>
      </c>
      <c r="F79">
        <v>100</v>
      </c>
      <c r="G79" s="2">
        <v>1.2746955953011505</v>
      </c>
      <c r="H79" s="10">
        <v>1.2746955953011505</v>
      </c>
      <c r="I79">
        <v>1.2483835146818472</v>
      </c>
      <c r="J79" s="2">
        <v>706.01045821739103</v>
      </c>
      <c r="K79" s="2">
        <v>706.01045821739103</v>
      </c>
      <c r="L79">
        <v>725.35321826223662</v>
      </c>
      <c r="M79" s="2">
        <v>0.59921613443936683</v>
      </c>
      <c r="N79" s="2">
        <v>0.59921613443936683</v>
      </c>
      <c r="O79">
        <v>1.2585540102416934</v>
      </c>
      <c r="P79">
        <v>2.4175609307487776E-2</v>
      </c>
      <c r="Q79">
        <v>2.4175609307487776E-2</v>
      </c>
      <c r="R79">
        <v>0</v>
      </c>
    </row>
    <row r="80" spans="1:18" outlineLevel="1" x14ac:dyDescent="0.25">
      <c r="A80" s="41">
        <v>21</v>
      </c>
      <c r="B80" s="44">
        <f>G24</f>
        <v>159.56792624310484</v>
      </c>
      <c r="C80" s="2">
        <v>159.56792624310484</v>
      </c>
      <c r="D80" s="2">
        <v>99.402113171021938</v>
      </c>
      <c r="E80" s="2">
        <v>99.402113171021938</v>
      </c>
      <c r="F80">
        <v>100</v>
      </c>
      <c r="G80" s="2">
        <v>1.2934909413098128</v>
      </c>
      <c r="H80" s="10">
        <v>1.2934909413098128</v>
      </c>
      <c r="I80">
        <v>1.2471844522928415</v>
      </c>
      <c r="J80" s="2">
        <v>699.66295414972035</v>
      </c>
      <c r="K80" s="2">
        <v>699.66295414972035</v>
      </c>
      <c r="L80">
        <v>726.05058404575288</v>
      </c>
      <c r="M80" s="2">
        <v>0.57254775958806015</v>
      </c>
      <c r="N80" s="2">
        <v>0.57254775958806015</v>
      </c>
      <c r="O80">
        <v>1.2756339801544456</v>
      </c>
      <c r="P80">
        <v>2.1348990333026987E-3</v>
      </c>
      <c r="Q80">
        <v>2.1348990333026987E-3</v>
      </c>
      <c r="R80">
        <v>0</v>
      </c>
    </row>
    <row r="81" spans="1:18" outlineLevel="1" x14ac:dyDescent="0.25">
      <c r="A81" s="41">
        <v>22</v>
      </c>
      <c r="B81" s="43">
        <f t="shared" ref="B81:B99" si="2">($B$100-$B$80)/($A$100-$A$80)+B80</f>
        <v>166.5895299309496</v>
      </c>
      <c r="C81" s="2">
        <v>166.5895299309496</v>
      </c>
      <c r="D81" s="2">
        <v>100</v>
      </c>
      <c r="E81" s="2">
        <v>100</v>
      </c>
      <c r="F81">
        <v>100</v>
      </c>
      <c r="G81" s="2">
        <v>1.2940236802819354</v>
      </c>
      <c r="H81" s="10">
        <v>1.2940236802819354</v>
      </c>
      <c r="I81">
        <v>1.2462186670218445</v>
      </c>
      <c r="J81" s="2">
        <v>699.77003805889399</v>
      </c>
      <c r="K81" s="2">
        <v>699.77003805889399</v>
      </c>
      <c r="L81">
        <v>726.61325332573233</v>
      </c>
      <c r="M81" s="2">
        <v>0.57395072927628998</v>
      </c>
      <c r="N81" s="2">
        <v>0.57395072927628998</v>
      </c>
      <c r="O81">
        <v>1.291449561925496</v>
      </c>
      <c r="P81">
        <v>0</v>
      </c>
      <c r="Q81">
        <v>0</v>
      </c>
      <c r="R81">
        <v>0</v>
      </c>
    </row>
    <row r="82" spans="1:18" outlineLevel="1" x14ac:dyDescent="0.25">
      <c r="A82" s="41">
        <v>23</v>
      </c>
      <c r="B82" s="43">
        <f t="shared" si="2"/>
        <v>173.61113361879436</v>
      </c>
      <c r="C82" s="2">
        <v>173.61113361879436</v>
      </c>
      <c r="D82" s="2">
        <v>100</v>
      </c>
      <c r="E82" s="2">
        <v>100</v>
      </c>
      <c r="F82">
        <v>100</v>
      </c>
      <c r="G82" s="2">
        <v>1.2927603113227086</v>
      </c>
      <c r="H82" s="10">
        <v>1.2927603113227086</v>
      </c>
      <c r="I82">
        <v>1.2453316626198001</v>
      </c>
      <c r="J82" s="2">
        <v>700.45389858349188</v>
      </c>
      <c r="K82" s="2">
        <v>700.45389858349188</v>
      </c>
      <c r="L82">
        <v>727.13079349083807</v>
      </c>
      <c r="M82" s="2">
        <v>0.57810149023025281</v>
      </c>
      <c r="N82" s="2">
        <v>0.57810149023025281</v>
      </c>
      <c r="O82">
        <v>1.3078927517006369</v>
      </c>
      <c r="P82">
        <v>0</v>
      </c>
      <c r="Q82">
        <v>0</v>
      </c>
      <c r="R82">
        <v>0</v>
      </c>
    </row>
    <row r="83" spans="1:18" outlineLevel="1" x14ac:dyDescent="0.25">
      <c r="A83" s="41">
        <v>24</v>
      </c>
      <c r="B83" s="43">
        <f t="shared" si="2"/>
        <v>180.63273730663911</v>
      </c>
      <c r="C83" s="2">
        <v>180.63273730663911</v>
      </c>
      <c r="D83" s="2">
        <v>100</v>
      </c>
      <c r="E83" s="2">
        <v>100</v>
      </c>
      <c r="F83">
        <v>100</v>
      </c>
      <c r="G83" s="2">
        <v>1.2915962557460294</v>
      </c>
      <c r="H83" s="10">
        <v>1.2915962557460294</v>
      </c>
      <c r="I83">
        <v>1.2445141775843576</v>
      </c>
      <c r="J83" s="2">
        <v>701.08518507354279</v>
      </c>
      <c r="K83" s="2">
        <v>701.08518507354279</v>
      </c>
      <c r="L83">
        <v>727.60842448387507</v>
      </c>
      <c r="M83" s="2">
        <v>0.58244612908654436</v>
      </c>
      <c r="N83" s="2">
        <v>0.58244612908654436</v>
      </c>
      <c r="O83">
        <v>1.324946240838772</v>
      </c>
      <c r="P83">
        <v>0</v>
      </c>
      <c r="Q83">
        <v>0</v>
      </c>
      <c r="R83">
        <v>0</v>
      </c>
    </row>
    <row r="84" spans="1:18" outlineLevel="1" x14ac:dyDescent="0.25">
      <c r="A84" s="41">
        <v>25</v>
      </c>
      <c r="B84" s="43">
        <f t="shared" si="2"/>
        <v>187.65434099448387</v>
      </c>
      <c r="C84" s="2">
        <v>187.65434099448387</v>
      </c>
      <c r="D84" s="2">
        <v>100</v>
      </c>
      <c r="E84" s="2">
        <v>100</v>
      </c>
      <c r="F84">
        <v>100</v>
      </c>
      <c r="G84" s="2">
        <v>1.2905202463168735</v>
      </c>
      <c r="H84" s="10">
        <v>1.2905202463168735</v>
      </c>
      <c r="I84">
        <v>1.2437583473560097</v>
      </c>
      <c r="J84" s="2">
        <v>701.66973558480652</v>
      </c>
      <c r="K84" s="2">
        <v>701.66973558480652</v>
      </c>
      <c r="L84">
        <v>728.05059111760636</v>
      </c>
      <c r="M84" s="2">
        <v>0.58697899268556808</v>
      </c>
      <c r="N84" s="2">
        <v>0.58697899268556808</v>
      </c>
      <c r="O84">
        <v>1.3425940216173107</v>
      </c>
      <c r="P84">
        <v>0</v>
      </c>
      <c r="Q84">
        <v>0</v>
      </c>
      <c r="R84">
        <v>0</v>
      </c>
    </row>
    <row r="85" spans="1:18" outlineLevel="1" x14ac:dyDescent="0.25">
      <c r="A85" s="41">
        <v>26</v>
      </c>
      <c r="B85" s="43">
        <f t="shared" si="2"/>
        <v>194.67594468232863</v>
      </c>
      <c r="C85" s="2">
        <v>194.67594468232863</v>
      </c>
      <c r="D85" s="2">
        <v>100</v>
      </c>
      <c r="E85" s="2">
        <v>100</v>
      </c>
      <c r="F85">
        <v>100</v>
      </c>
      <c r="G85" s="2">
        <v>1.2895226580148398</v>
      </c>
      <c r="H85" s="10">
        <v>1.2895226580148398</v>
      </c>
      <c r="I85">
        <v>1.2430574505116674</v>
      </c>
      <c r="J85" s="2">
        <v>702.21255467818173</v>
      </c>
      <c r="K85" s="2">
        <v>702.21255467818173</v>
      </c>
      <c r="L85">
        <v>728.46110179965547</v>
      </c>
      <c r="M85" s="2">
        <v>0.59169487136950238</v>
      </c>
      <c r="N85" s="2">
        <v>0.59169487136950238</v>
      </c>
      <c r="O85">
        <v>1.3608212044106129</v>
      </c>
      <c r="P85">
        <v>0</v>
      </c>
      <c r="Q85">
        <v>0</v>
      </c>
      <c r="R85">
        <v>0</v>
      </c>
    </row>
    <row r="86" spans="1:18" outlineLevel="1" x14ac:dyDescent="0.25">
      <c r="A86" s="41">
        <v>27</v>
      </c>
      <c r="B86" s="43">
        <f t="shared" si="2"/>
        <v>201.69754837017339</v>
      </c>
      <c r="C86" s="2">
        <v>201.69754837017339</v>
      </c>
      <c r="D86" s="2">
        <v>100</v>
      </c>
      <c r="E86" s="2">
        <v>100</v>
      </c>
      <c r="F86">
        <v>100</v>
      </c>
      <c r="G86" s="2">
        <v>1.2885952193682597</v>
      </c>
      <c r="H86" s="10">
        <v>1.2885952193682597</v>
      </c>
      <c r="I86">
        <v>1.24240570835308</v>
      </c>
      <c r="J86" s="2">
        <v>702.71795703536384</v>
      </c>
      <c r="K86" s="2">
        <v>702.71795703536384</v>
      </c>
      <c r="L86">
        <v>728.84323849440977</v>
      </c>
      <c r="M86" s="2">
        <v>0.5965889493417289</v>
      </c>
      <c r="N86" s="2">
        <v>0.5965889493417289</v>
      </c>
      <c r="O86">
        <v>1.3796138597351855</v>
      </c>
      <c r="P86">
        <v>0</v>
      </c>
      <c r="Q86">
        <v>0</v>
      </c>
      <c r="R86">
        <v>0</v>
      </c>
    </row>
    <row r="87" spans="1:18" outlineLevel="1" x14ac:dyDescent="0.25">
      <c r="A87" s="41">
        <v>28</v>
      </c>
      <c r="B87" s="43">
        <f t="shared" si="2"/>
        <v>208.71915205801815</v>
      </c>
      <c r="C87" s="2">
        <v>208.71915205801815</v>
      </c>
      <c r="D87" s="2">
        <v>100</v>
      </c>
      <c r="E87" s="2">
        <v>100</v>
      </c>
      <c r="F87">
        <v>100</v>
      </c>
      <c r="G87" s="2">
        <v>1.2877307826081528</v>
      </c>
      <c r="H87" s="10">
        <v>1.2877307826081528</v>
      </c>
      <c r="I87">
        <v>1.2417981252290577</v>
      </c>
      <c r="J87" s="2">
        <v>703.18968236976821</v>
      </c>
      <c r="K87" s="2">
        <v>703.18968236976821</v>
      </c>
      <c r="L87">
        <v>729.19984464702839</v>
      </c>
      <c r="M87" s="2">
        <v>0.60165676131776724</v>
      </c>
      <c r="N87" s="2">
        <v>0.60165676131776724</v>
      </c>
      <c r="O87">
        <v>1.3989588811663027</v>
      </c>
      <c r="P87">
        <v>0</v>
      </c>
      <c r="Q87">
        <v>0</v>
      </c>
      <c r="R87">
        <v>0</v>
      </c>
    </row>
    <row r="88" spans="1:18" outlineLevel="1" x14ac:dyDescent="0.25">
      <c r="A88" s="41">
        <v>29</v>
      </c>
      <c r="B88" s="43">
        <f t="shared" si="2"/>
        <v>215.74075574586291</v>
      </c>
      <c r="C88" s="2">
        <v>215.74075574586291</v>
      </c>
      <c r="D88" s="2">
        <v>100</v>
      </c>
      <c r="E88" s="2">
        <v>100</v>
      </c>
      <c r="F88">
        <v>100</v>
      </c>
      <c r="G88" s="2">
        <v>1.2869231391187097</v>
      </c>
      <c r="H88" s="10">
        <v>1.2869231391187097</v>
      </c>
      <c r="I88">
        <v>1.241230360249078</v>
      </c>
      <c r="J88" s="2">
        <v>703.630988110217</v>
      </c>
      <c r="K88" s="2">
        <v>703.630988110217</v>
      </c>
      <c r="L88">
        <v>729.53339605574047</v>
      </c>
      <c r="M88" s="2">
        <v>0.60689415450444917</v>
      </c>
      <c r="N88" s="2">
        <v>0.60689415450444917</v>
      </c>
      <c r="O88">
        <v>1.4188438658847389</v>
      </c>
      <c r="P88">
        <v>0</v>
      </c>
      <c r="Q88">
        <v>0</v>
      </c>
      <c r="R88">
        <v>0</v>
      </c>
    </row>
    <row r="89" spans="1:18" outlineLevel="1" x14ac:dyDescent="0.25">
      <c r="A89" s="41">
        <v>30</v>
      </c>
      <c r="B89" s="43">
        <f t="shared" si="2"/>
        <v>222.76235943370767</v>
      </c>
      <c r="C89" s="2">
        <v>222.76235943370767</v>
      </c>
      <c r="D89" s="2">
        <v>100</v>
      </c>
      <c r="E89" s="2">
        <v>100</v>
      </c>
      <c r="F89">
        <v>100</v>
      </c>
      <c r="G89" s="2">
        <v>1.286166870101225</v>
      </c>
      <c r="H89" s="10">
        <v>1.286166870101225</v>
      </c>
      <c r="I89">
        <v>1.2406986234169473</v>
      </c>
      <c r="J89" s="2">
        <v>704.04472471657823</v>
      </c>
      <c r="K89" s="2">
        <v>704.04472471657823</v>
      </c>
      <c r="L89">
        <v>729.84605842968892</v>
      </c>
      <c r="M89" s="2">
        <v>0.61229725511668265</v>
      </c>
      <c r="N89" s="2">
        <v>0.61229725511668265</v>
      </c>
      <c r="O89">
        <v>1.4392570102057427</v>
      </c>
      <c r="P89">
        <v>0</v>
      </c>
      <c r="Q89">
        <v>0</v>
      </c>
      <c r="R89">
        <v>0</v>
      </c>
    </row>
    <row r="90" spans="1:18" outlineLevel="1" x14ac:dyDescent="0.25">
      <c r="A90" s="41">
        <v>31</v>
      </c>
      <c r="B90" s="43">
        <f t="shared" si="2"/>
        <v>229.78396312155243</v>
      </c>
      <c r="C90" s="2">
        <v>229.78396312155243</v>
      </c>
      <c r="D90" s="2">
        <v>100</v>
      </c>
      <c r="E90" s="2">
        <v>100</v>
      </c>
      <c r="F90">
        <v>100</v>
      </c>
      <c r="G90" s="2">
        <v>1.2854572248544385</v>
      </c>
      <c r="H90" s="10">
        <v>1.2854572248544385</v>
      </c>
      <c r="I90">
        <v>1.2401995909281018</v>
      </c>
      <c r="J90" s="2">
        <v>704.43339730930245</v>
      </c>
      <c r="K90" s="2">
        <v>704.43339730930245</v>
      </c>
      <c r="L90">
        <v>730.13973446189891</v>
      </c>
      <c r="M90" s="2">
        <v>0.61786243877856295</v>
      </c>
      <c r="N90" s="2">
        <v>0.61786243877856295</v>
      </c>
      <c r="O90">
        <v>1.4601870179132534</v>
      </c>
      <c r="P90">
        <v>0</v>
      </c>
      <c r="Q90">
        <v>0</v>
      </c>
      <c r="R90">
        <v>0</v>
      </c>
    </row>
    <row r="91" spans="1:18" outlineLevel="1" x14ac:dyDescent="0.25">
      <c r="A91" s="41">
        <v>32</v>
      </c>
      <c r="B91" s="43">
        <f t="shared" si="2"/>
        <v>236.80556680939719</v>
      </c>
      <c r="C91" s="2">
        <v>236.80556680939719</v>
      </c>
      <c r="D91" s="2">
        <v>100</v>
      </c>
      <c r="E91" s="2">
        <v>100</v>
      </c>
      <c r="F91">
        <v>100</v>
      </c>
      <c r="G91" s="2">
        <v>1.2847900208913456</v>
      </c>
      <c r="H91" s="10">
        <v>1.2847900208913456</v>
      </c>
      <c r="I91">
        <v>1.2397303356286258</v>
      </c>
      <c r="J91" s="2">
        <v>704.79921642898523</v>
      </c>
      <c r="K91" s="2">
        <v>704.79921642898523</v>
      </c>
      <c r="L91">
        <v>730.41610257995467</v>
      </c>
      <c r="M91" s="2">
        <v>0.62358630426582551</v>
      </c>
      <c r="N91" s="2">
        <v>0.62358630426582551</v>
      </c>
      <c r="O91">
        <v>1.4816230195987332</v>
      </c>
      <c r="P91">
        <v>0</v>
      </c>
      <c r="Q91">
        <v>0</v>
      </c>
      <c r="R91">
        <v>0</v>
      </c>
    </row>
    <row r="92" spans="1:18" outlineLevel="1" x14ac:dyDescent="0.25">
      <c r="A92" s="41">
        <v>33</v>
      </c>
      <c r="B92" s="43">
        <f t="shared" si="2"/>
        <v>243.82717049724195</v>
      </c>
      <c r="C92" s="2">
        <v>243.82717049724195</v>
      </c>
      <c r="D92" s="2">
        <v>100</v>
      </c>
      <c r="E92" s="2">
        <v>100</v>
      </c>
      <c r="F92">
        <v>100</v>
      </c>
      <c r="G92" s="2">
        <v>1.2841615614548956</v>
      </c>
      <c r="H92" s="10">
        <v>1.2841615614548956</v>
      </c>
      <c r="I92">
        <v>1.2392882695614831</v>
      </c>
      <c r="J92" s="2">
        <v>705.14414009876521</v>
      </c>
      <c r="K92" s="2">
        <v>705.14414009876521</v>
      </c>
      <c r="L92">
        <v>730.67664904180367</v>
      </c>
      <c r="M92" s="2">
        <v>0.62946565013569655</v>
      </c>
      <c r="N92" s="2">
        <v>0.62946565013569655</v>
      </c>
      <c r="O92">
        <v>1.503554501506903</v>
      </c>
      <c r="P92">
        <v>0</v>
      </c>
      <c r="Q92">
        <v>0</v>
      </c>
      <c r="R92">
        <v>0</v>
      </c>
    </row>
    <row r="93" spans="1:18" outlineLevel="1" x14ac:dyDescent="0.25">
      <c r="A93" s="41">
        <v>34</v>
      </c>
      <c r="B93" s="43">
        <f t="shared" si="2"/>
        <v>250.84877418508671</v>
      </c>
      <c r="C93" s="2">
        <v>250.84877418508671</v>
      </c>
      <c r="D93" s="2">
        <v>100</v>
      </c>
      <c r="E93" s="2">
        <v>100</v>
      </c>
      <c r="F93">
        <v>100</v>
      </c>
      <c r="G93" s="2">
        <v>1.2835685669965209</v>
      </c>
      <c r="H93" s="10">
        <v>1.2835685669965209</v>
      </c>
      <c r="I93">
        <v>1.2388710962179135</v>
      </c>
      <c r="J93" s="2">
        <v>705.46990887979132</v>
      </c>
      <c r="K93" s="2">
        <v>705.46990887979132</v>
      </c>
      <c r="L93">
        <v>730.9226946729267</v>
      </c>
      <c r="M93" s="2">
        <v>0.63549745386263079</v>
      </c>
      <c r="N93" s="2">
        <v>0.63549745386263079</v>
      </c>
      <c r="O93">
        <v>1.5259712426360894</v>
      </c>
      <c r="P93">
        <v>0</v>
      </c>
      <c r="Q93">
        <v>0</v>
      </c>
      <c r="R93">
        <v>0</v>
      </c>
    </row>
    <row r="94" spans="1:18" outlineLevel="1" x14ac:dyDescent="0.25">
      <c r="A94" s="41">
        <v>35</v>
      </c>
      <c r="B94" s="43">
        <f t="shared" si="2"/>
        <v>257.87037787293144</v>
      </c>
      <c r="C94" s="2">
        <v>257.87037787293144</v>
      </c>
      <c r="D94" s="2">
        <v>100</v>
      </c>
      <c r="E94" s="2">
        <v>100</v>
      </c>
      <c r="F94">
        <v>100</v>
      </c>
      <c r="G94" s="2">
        <v>1.2830081179356772</v>
      </c>
      <c r="H94" s="10">
        <v>1.2830081179356772</v>
      </c>
      <c r="I94">
        <v>1.2384767706337418</v>
      </c>
      <c r="J94" s="2">
        <v>705.77807524472541</v>
      </c>
      <c r="K94" s="2">
        <v>705.77807524472541</v>
      </c>
      <c r="L94">
        <v>731.15541726037884</v>
      </c>
      <c r="M94" s="2">
        <v>0.64167885315771311</v>
      </c>
      <c r="N94" s="2">
        <v>0.64167885315771311</v>
      </c>
      <c r="O94">
        <v>1.5488632590408098</v>
      </c>
      <c r="P94">
        <v>0</v>
      </c>
      <c r="Q94">
        <v>0</v>
      </c>
      <c r="R94">
        <v>0</v>
      </c>
    </row>
    <row r="95" spans="1:18" outlineLevel="1" x14ac:dyDescent="0.25">
      <c r="A95" s="41">
        <v>36</v>
      </c>
      <c r="B95" s="43">
        <f t="shared" si="2"/>
        <v>264.89198156077617</v>
      </c>
      <c r="C95" s="2">
        <v>264.89198156077617</v>
      </c>
      <c r="D95" s="2">
        <v>100</v>
      </c>
      <c r="E95" s="2">
        <v>100</v>
      </c>
      <c r="F95">
        <v>100</v>
      </c>
      <c r="G95" s="2">
        <v>1.2824776065915056</v>
      </c>
      <c r="H95" s="10">
        <v>1.2824776065915056</v>
      </c>
      <c r="I95">
        <v>1.2381034658669847</v>
      </c>
      <c r="J95" s="2">
        <v>706.07002831545401</v>
      </c>
      <c r="K95" s="2">
        <v>706.07002831545401</v>
      </c>
      <c r="L95">
        <v>731.37587040507015</v>
      </c>
      <c r="M95" s="2">
        <v>0.64800712919830705</v>
      </c>
      <c r="N95" s="2">
        <v>0.64800712919830705</v>
      </c>
      <c r="O95">
        <v>1.5722207544481024</v>
      </c>
      <c r="P95">
        <v>0</v>
      </c>
      <c r="Q95">
        <v>0</v>
      </c>
      <c r="R95">
        <v>0</v>
      </c>
    </row>
    <row r="96" spans="1:18" outlineLevel="1" x14ac:dyDescent="0.25">
      <c r="A96" s="41">
        <v>37</v>
      </c>
      <c r="B96" s="43">
        <f t="shared" si="2"/>
        <v>271.9135852486209</v>
      </c>
      <c r="C96" s="2">
        <v>271.9135852486209</v>
      </c>
      <c r="D96" s="2">
        <v>100</v>
      </c>
      <c r="E96" s="2">
        <v>100</v>
      </c>
      <c r="F96">
        <v>100</v>
      </c>
      <c r="G96" s="2">
        <v>1.281974696616571</v>
      </c>
      <c r="H96" s="10">
        <v>1.281974696616571</v>
      </c>
      <c r="I96">
        <v>1.237749544697119</v>
      </c>
      <c r="J96" s="2">
        <v>706.34701479668433</v>
      </c>
      <c r="K96" s="2">
        <v>706.34701479668433</v>
      </c>
      <c r="L96">
        <v>731.58499946900258</v>
      </c>
      <c r="M96" s="2">
        <v>0.65447969153491636</v>
      </c>
      <c r="N96" s="2">
        <v>0.65447969153491636</v>
      </c>
      <c r="O96">
        <v>1.5960340764340397</v>
      </c>
      <c r="P96">
        <v>0</v>
      </c>
      <c r="Q96">
        <v>0</v>
      </c>
      <c r="R96">
        <v>0</v>
      </c>
    </row>
    <row r="97" spans="1:18" outlineLevel="1" x14ac:dyDescent="0.25">
      <c r="A97" s="41">
        <v>38</v>
      </c>
      <c r="B97" s="43">
        <f t="shared" si="2"/>
        <v>278.93518893646564</v>
      </c>
      <c r="C97" s="2">
        <v>278.93518893646564</v>
      </c>
      <c r="D97" s="2">
        <v>100</v>
      </c>
      <c r="E97" s="2">
        <v>100</v>
      </c>
      <c r="F97">
        <v>100</v>
      </c>
      <c r="G97" s="2">
        <v>1.2814972886013294</v>
      </c>
      <c r="H97" s="10">
        <v>1.2814972886013294</v>
      </c>
      <c r="I97">
        <v>1.2374135356211065</v>
      </c>
      <c r="J97" s="2">
        <v>706.6101567708464</v>
      </c>
      <c r="K97" s="2">
        <v>706.6101567708464</v>
      </c>
      <c r="L97">
        <v>731.78365512664641</v>
      </c>
      <c r="M97" s="2">
        <v>0.66109406447584729</v>
      </c>
      <c r="N97" s="2">
        <v>0.66109406447584729</v>
      </c>
      <c r="O97">
        <v>1.6202936775185399</v>
      </c>
      <c r="P97">
        <v>0</v>
      </c>
      <c r="Q97">
        <v>0</v>
      </c>
      <c r="R97">
        <v>0</v>
      </c>
    </row>
    <row r="98" spans="1:18" outlineLevel="1" x14ac:dyDescent="0.25">
      <c r="A98" s="41">
        <v>39</v>
      </c>
      <c r="B98" s="43">
        <f t="shared" si="2"/>
        <v>285.95679262431037</v>
      </c>
      <c r="C98" s="2">
        <v>285.95679262431037</v>
      </c>
      <c r="D98" s="2">
        <v>100</v>
      </c>
      <c r="E98" s="2">
        <v>100</v>
      </c>
      <c r="F98">
        <v>100</v>
      </c>
      <c r="G98" s="2">
        <v>1.2810434907813149</v>
      </c>
      <c r="H98" s="10">
        <v>1.2810434907813149</v>
      </c>
      <c r="I98">
        <v>1.2370941124038874</v>
      </c>
      <c r="J98" s="2">
        <v>706.86046688994088</v>
      </c>
      <c r="K98" s="2">
        <v>706.86046688994088</v>
      </c>
      <c r="L98">
        <v>731.97260493012948</v>
      </c>
      <c r="M98" s="2">
        <v>0.66784787477834562</v>
      </c>
      <c r="N98" s="2">
        <v>0.66784787477834562</v>
      </c>
      <c r="O98">
        <v>1.6449900806294766</v>
      </c>
      <c r="P98">
        <v>0</v>
      </c>
      <c r="Q98">
        <v>0</v>
      </c>
      <c r="R98">
        <v>0</v>
      </c>
    </row>
    <row r="99" spans="1:18" outlineLevel="1" x14ac:dyDescent="0.25">
      <c r="A99" s="41">
        <v>40</v>
      </c>
      <c r="B99" s="43">
        <f t="shared" si="2"/>
        <v>292.9783963121551</v>
      </c>
      <c r="C99" s="2">
        <v>292.9783963121551</v>
      </c>
      <c r="D99" s="2">
        <v>100</v>
      </c>
      <c r="E99" s="2">
        <v>100</v>
      </c>
      <c r="F99">
        <v>100</v>
      </c>
      <c r="G99" s="2">
        <v>1.2806115939851919</v>
      </c>
      <c r="H99" s="10">
        <v>1.2806115939851919</v>
      </c>
      <c r="I99">
        <v>1.2367900765840749</v>
      </c>
      <c r="J99" s="2">
        <v>707.09886139799448</v>
      </c>
      <c r="K99" s="2">
        <v>707.09886139799448</v>
      </c>
      <c r="L99">
        <v>732.15254321976624</v>
      </c>
      <c r="M99" s="2">
        <v>0.67473884049848276</v>
      </c>
      <c r="N99" s="2">
        <v>0.67473884049848276</v>
      </c>
      <c r="O99">
        <v>1.6701138484645435</v>
      </c>
      <c r="P99">
        <v>0</v>
      </c>
      <c r="Q99">
        <v>0</v>
      </c>
      <c r="R99">
        <v>0</v>
      </c>
    </row>
    <row r="100" spans="1:18" outlineLevel="1" x14ac:dyDescent="0.25">
      <c r="A100" s="41">
        <v>41</v>
      </c>
      <c r="B100" s="42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1.2802000501242599</v>
      </c>
      <c r="H100" s="10">
        <v>1.2802000501242599</v>
      </c>
      <c r="I100">
        <v>1.2365003424483285</v>
      </c>
      <c r="J100" s="2">
        <v>707.32617133713416</v>
      </c>
      <c r="K100" s="2">
        <v>707.32617133713416</v>
      </c>
      <c r="L100">
        <v>732.32409964968542</v>
      </c>
      <c r="M100" s="2">
        <v>0.68176476087196758</v>
      </c>
      <c r="N100" s="2">
        <v>0.68176476087196758</v>
      </c>
      <c r="O100">
        <v>1.6956555563443396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disablePrompts="1"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48</vt:i4>
      </vt:variant>
    </vt:vector>
  </HeadingPairs>
  <TitlesOfParts>
    <vt:vector size="50" baseType="lpstr">
      <vt:lpstr>Unifloc</vt:lpstr>
      <vt:lpstr>PVT</vt:lpstr>
      <vt:lpstr>bo_list1_</vt:lpstr>
      <vt:lpstr>bo_list2_</vt:lpstr>
      <vt:lpstr>bo_list3_</vt:lpstr>
      <vt:lpstr>PVT!Bob_m3m3_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PVT!Ksep_</vt:lpstr>
      <vt:lpstr>PVT!mu_cP_</vt:lpstr>
      <vt:lpstr>muo_list1_</vt:lpstr>
      <vt:lpstr>muo_list2_</vt:lpstr>
      <vt:lpstr>muo_list3_</vt:lpstr>
      <vt:lpstr>PVT!P_atma_</vt:lpstr>
      <vt:lpstr>PVT!Pb_atma_</vt:lpstr>
      <vt:lpstr>Pb_diff_</vt:lpstr>
      <vt:lpstr>press_list0_</vt:lpstr>
      <vt:lpstr>press_list1_</vt:lpstr>
      <vt:lpstr>PVT!Psc_atma_</vt:lpstr>
      <vt:lpstr>PVT!Psep_atma_</vt:lpstr>
      <vt:lpstr>PVT!PVT_correlation_</vt:lpstr>
      <vt:lpstr>PVTstr_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PVT!Tres_C_</vt:lpstr>
      <vt:lpstr>PVT!Tsc_C_</vt:lpstr>
      <vt:lpstr>PVT!Tsep_C_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2020-04-16T08:25:14Z</dcterms:modified>
</cp:coreProperties>
</file>