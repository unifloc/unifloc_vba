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EAEE9C4C-F851-46EC-A75C-8F3400934BBD}" xr6:coauthVersionLast="41" xr6:coauthVersionMax="41" xr10:uidLastSave="{00000000-0000-0000-0000-000000000000}"/>
  <bookViews>
    <workbookView xWindow="-103" yWindow="-103" windowWidth="22149" windowHeight="12103" tabRatio="529" activeTab="5" xr2:uid="{00000000-000D-0000-FFFF-FFFF00000000}"/>
  </bookViews>
  <sheets>
    <sheet name="Unifloc" sheetId="6" r:id="rId1"/>
    <sheet name="PVT" sheetId="4" r:id="rId2"/>
    <sheet name="Construction" sheetId="3" r:id="rId3"/>
    <sheet name="GasLift" sheetId="9" r:id="rId4"/>
    <sheet name="Calc" sheetId="2" r:id="rId5"/>
    <sheet name="Test" sheetId="8" r:id="rId6"/>
  </sheets>
  <externalReferences>
    <externalReference r:id="rId7"/>
  </externalReferences>
  <definedNames>
    <definedName name="betta_fric_">Calc!$H$7</definedName>
    <definedName name="betta_grav_">Calc!$H$6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Calc!$J$2</definedName>
    <definedName name="correlation_PVT_fontan_">Calc!$E$2</definedName>
    <definedName name="correlation_T_fontan_">Calc!$O$2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Calc!$U$16:$U$36</definedName>
    <definedName name="Hlout_hmes_m_">Calc!$T$16:$T$36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>Calc!$C$17:$C$352</definedName>
    <definedName name="hmes_out_">Calc!$H$16:$H$36</definedName>
    <definedName name="hmes_tamb_m_">Construction!$E$19:$E$38</definedName>
    <definedName name="hmes_tamb_out_m_" localSheetId="4">Calc!$K$16:$K$36</definedName>
    <definedName name="hmes_tamb_out_m_">Construction!$S$18:$S$38</definedName>
    <definedName name="Hmes_valves_m_">GasLift!$B$11:$B$20</definedName>
    <definedName name="Hout_">Calc!$N$17:$N$36</definedName>
    <definedName name="Hperf_m_">Construction!$C$9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4">Calc!$L$16:$L$36</definedName>
    <definedName name="HydrCorr_">Calc!$AA$6</definedName>
    <definedName name="HydrCorr_selector_">Calc!$AB$3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NumValves_">GasLift!$C$5</definedName>
    <definedName name="P_atma_" localSheetId="1">PVT!$C$8</definedName>
    <definedName name="p_charge_GLV_">GasLift!$D$11:$D$20</definedName>
    <definedName name="P_mes_atma_">Calc!$D$17:$D$352</definedName>
    <definedName name="Pb_atma_" localSheetId="1">PVT!$G$15</definedName>
    <definedName name="Pb_diff_">PVT!$W$33</definedName>
    <definedName name="Pbuf_atma_">Calc!$Q$6</definedName>
    <definedName name="Pbuf_out_atma_">Calc!$Q$11</definedName>
    <definedName name="Pcas_atma_">Calc!$Q$8</definedName>
    <definedName name="Pcas_hmes_">Calc!$Y$16:$Y$36</definedName>
    <definedName name="Pcas_out_atma_">Calc!$Z$16:$Z$36</definedName>
    <definedName name="Plin_mes_atma_">Calc!$D$16</definedName>
    <definedName name="Pline_atma_">Calc!$Q$5</definedName>
    <definedName name="Pline_out_atma_">Calc!$Q$10</definedName>
    <definedName name="pmes_out_">Calc!$I$16:$I$36</definedName>
    <definedName name="Pout_">Calc!$O$17:$O$36</definedName>
    <definedName name="Pout_atma_">Calc!$O$16:$O$36</definedName>
    <definedName name="Pout_hmes_m_">Calc!$N$16:$N$36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Calc!$X$3</definedName>
    <definedName name="Pwf_atma_">Calc!$Q$7</definedName>
    <definedName name="Pwf_out_atma_">Calc!$Q$12</definedName>
    <definedName name="Ql_scm3day_" localSheetId="4">Calc!$C$6</definedName>
    <definedName name="Ql_scm3day_" localSheetId="1">PVT!$K$8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4">Calc!$C$9</definedName>
    <definedName name="Rp_m3m3_" localSheetId="1">PVT!$K$11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Calc!$E$17:$E$352</definedName>
    <definedName name="tamb_C_">Construction!$F$19:$F$38</definedName>
    <definedName name="tamb_out_C_" localSheetId="4">Calc!$M$16:$M$36</definedName>
    <definedName name="tamb_out_C_">Construction!$T$18:$T$38</definedName>
    <definedName name="Tbh_c_">Calc!$M$6</definedName>
    <definedName name="Tbuf_out_C_">Calc!$T$11</definedName>
    <definedName name="Tlin_mes_C_">Calc!$E$16</definedName>
    <definedName name="Tline_out_C_">Calc!$T$10</definedName>
    <definedName name="tmes_out_">Calc!$J$16:$J$36</definedName>
    <definedName name="Tout_C_">Calc!$Q$16:$Q$36</definedName>
    <definedName name="Tout_hmes_m_">Calc!$P$16:$P$36</definedName>
    <definedName name="Toutcas_C_">Calc!$S$16:$S$36</definedName>
    <definedName name="Toutcas_hmes_m_">Calc!$R$16:$R$36</definedName>
    <definedName name="Tres_C_" localSheetId="1">PVT!$G$14</definedName>
    <definedName name="Tsc_C_" localSheetId="1">PVT!$K$3</definedName>
    <definedName name="Tsep_C_" localSheetId="1">PVT!$O$10</definedName>
    <definedName name="Twf_out_C_">Calc!$T$12</definedName>
    <definedName name="Twh_C_">Calc!$M$7</definedName>
    <definedName name="udl_out_m_">Construction!$R$18:$R$38</definedName>
    <definedName name="wc_perc_" localSheetId="4">Calc!$C$7</definedName>
    <definedName name="wc_perc_" localSheetId="1">PVT!$K$9</definedName>
    <definedName name="версия_">Unifloc!$A$1</definedName>
    <definedName name="версия_номер_">Unifloc!$B$1</definedName>
  </definedNames>
  <calcPr calcId="191029"/>
  <fileRecoveryPr autoRecover="0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16" i="2" l="1"/>
  <c r="X17" i="2"/>
  <c r="W18" i="2"/>
  <c r="X18" i="2"/>
  <c r="B15" i="8" a="1"/>
  <c r="AF10" i="2"/>
  <c r="F5" i="9"/>
  <c r="B15" i="8" l="1"/>
  <c r="C15" i="8"/>
  <c r="G15" i="8"/>
  <c r="K15" i="8"/>
  <c r="B16" i="8"/>
  <c r="F16" i="8"/>
  <c r="J16" i="8"/>
  <c r="N16" i="8"/>
  <c r="H15" i="8"/>
  <c r="L15" i="8"/>
  <c r="C16" i="8"/>
  <c r="G16" i="8"/>
  <c r="K16" i="8"/>
  <c r="E15" i="8"/>
  <c r="I15" i="8"/>
  <c r="M15" i="8"/>
  <c r="D16" i="8"/>
  <c r="H16" i="8"/>
  <c r="L16" i="8"/>
  <c r="F15" i="8"/>
  <c r="J15" i="8"/>
  <c r="N15" i="8"/>
  <c r="E16" i="8"/>
  <c r="I16" i="8"/>
  <c r="M16" i="8"/>
  <c r="D15" i="8"/>
  <c r="A1" i="9"/>
  <c r="B3" i="8"/>
  <c r="B4" i="8"/>
  <c r="F8" i="9"/>
  <c r="B5" i="8"/>
  <c r="K11" i="4" l="1"/>
  <c r="K9" i="4"/>
  <c r="K8" i="4"/>
  <c r="B8" i="8" a="1"/>
  <c r="I33" i="4"/>
  <c r="V33" i="4"/>
  <c r="C23" i="4"/>
  <c r="C34" i="4"/>
  <c r="M40" i="4"/>
  <c r="E32" i="4"/>
  <c r="C43" i="4"/>
  <c r="C33" i="4"/>
  <c r="C36" i="4"/>
  <c r="C26" i="4"/>
  <c r="E35" i="4"/>
  <c r="I34" i="4"/>
  <c r="C45" i="4"/>
  <c r="T33" i="4"/>
  <c r="I36" i="4"/>
  <c r="G23" i="4"/>
  <c r="I32" i="4"/>
  <c r="C35" i="4"/>
  <c r="M36" i="4"/>
  <c r="E34" i="4"/>
  <c r="C40" i="4"/>
  <c r="M35" i="4"/>
  <c r="I37" i="4"/>
  <c r="M37" i="4"/>
  <c r="E33" i="4"/>
  <c r="C49" i="4"/>
  <c r="C44" i="4"/>
  <c r="E37" i="4"/>
  <c r="M34" i="4"/>
  <c r="C37" i="4"/>
  <c r="M32" i="4"/>
  <c r="E36" i="4"/>
  <c r="M33" i="4"/>
  <c r="C32" i="4"/>
  <c r="I35" i="4"/>
  <c r="C9" i="8" l="1"/>
  <c r="D8" i="8"/>
  <c r="D10" i="8"/>
  <c r="E9" i="8"/>
  <c r="F8" i="8"/>
  <c r="F10" i="8"/>
  <c r="C8" i="8"/>
  <c r="D9" i="8"/>
  <c r="E8" i="8"/>
  <c r="E10" i="8"/>
  <c r="G8" i="8"/>
  <c r="G10" i="8"/>
  <c r="H9" i="8"/>
  <c r="I8" i="8"/>
  <c r="I10" i="8"/>
  <c r="B10" i="8"/>
  <c r="B8" i="8"/>
  <c r="G9" i="8"/>
  <c r="H8" i="8"/>
  <c r="H10" i="8"/>
  <c r="I9" i="8"/>
  <c r="B9" i="8"/>
  <c r="C10" i="8"/>
  <c r="F9" i="8"/>
  <c r="A4" i="6"/>
  <c r="A1" i="6"/>
  <c r="A1" i="2" s="1"/>
  <c r="AA36" i="4"/>
  <c r="AA35" i="4"/>
  <c r="AB36" i="4"/>
  <c r="AB35" i="4"/>
  <c r="W38" i="4"/>
  <c r="W37" i="4"/>
  <c r="T35" i="4"/>
  <c r="V36" i="4"/>
  <c r="V35" i="4"/>
  <c r="T36" i="4"/>
  <c r="T34" i="4"/>
  <c r="C28" i="4"/>
  <c r="V34" i="4"/>
  <c r="C27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<sst xmlns="http://schemas.openxmlformats.org/spreadsheetml/2006/main" count="290" uniqueCount="192">
  <si>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</si>
  <si>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</si>
  <si>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</si>
  <si>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</si>
  <si>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</si>
  <si>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</si>
  <si>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</si>
  <si>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</si>
  <si>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</si>
  <si>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</si>
  <si>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</si>
  <si>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</si>
  <si>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</si>
  <si>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</si>
  <si>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</si>
  <si>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</si>
  <si>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</si>
  <si>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</si>
  <si>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</si>
  <si>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</si>
  <si>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</si>
  <si>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</si>
  <si>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</si>
  <si>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</si>
  <si>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</si>
  <si>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</si>
  <si>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</si>
  <si>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</si>
  <si>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</si>
  <si>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</si>
  <si>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</si>
  <si>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</si>
  <si>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</si>
  <si>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</si>
  <si>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</si>
  <si>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</si>
  <si>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</si>
  <si>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</si>
  <si>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</si>
  <si>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</si>
  <si>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</si>
  <si>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</si>
  <si>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</si>
  <si>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</si>
  <si>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</si>
  <si>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</si>
  <si>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</si>
  <si>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</si>
  <si>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</si>
  <si>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</si>
  <si>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</si>
  <si>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</si>
  <si>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</si>
  <si>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</si>
  <si>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</si>
  <si>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</si>
  <si>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</si>
  <si>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</si>
  <si>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</si>
  <si>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</si>
  <si>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</si>
  <si>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</si>
  <si>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</si>
  <si>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</si>
  <si>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</si>
  <si>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</si>
  <si>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</si>
  <si>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</si>
  <si>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</si>
  <si>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</si>
  <si>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</si>
  <si>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</si>
  <si>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</si>
  <si>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</si>
  <si>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</si>
  <si>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</si>
  <si>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</si>
  <si>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</si>
  <si>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</si>
  <si>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</si>
  <si>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</si>
  <si>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</si>
  <si>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</si>
  <si>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</si>
  <si>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</si>
  <si>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</si>
  <si>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</si>
  <si>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</si>
  <si>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</si>
  <si>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</si>
  <si>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</si>
  <si>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</si>
  <si>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</si>
  <si>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</si>
  <si>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</si>
  <si>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</si>
  <si>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</si>
  <si>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</si>
  <si>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</si>
  <si>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</si>
  <si>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</si>
  <si>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</si>
  <si>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</si>
  <si>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</si>
  <si>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</si>
  <si>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</si>
  <si>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</si>
  <si>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</si>
  <si>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</si>
  <si>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</si>
  <si>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</si>
  <si>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</si>
  <si>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</si>
  <si>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</si>
  <si>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</si>
  <si>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</si>
  <si>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</si>
  <si>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</si>
  <si>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</si>
  <si>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</si>
  <si>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</si>
  <si>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</si>
  <si>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</si>
  <si>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</si>
  <si>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</si>
  <si>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</si>
  <si>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</si>
  <si>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</si>
  <si>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</si>
  <si>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</si>
  <si>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</si>
  <si>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</si>
  <si>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</si>
  <si>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</si>
  <si>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</si>
  <si>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</si>
  <si>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</si>
  <si>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</si>
  <si>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</si>
  <si>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</si>
  <si>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</si>
  <si>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</si>
  <si>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</si>
  <si>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</si>
  <si>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</si>
  <si>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</si>
  <si>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</si>
  <si>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</si>
  <si>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</si>
  <si>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</si>
  <si>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</si>
  <si>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</si>
  <si>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</si>
  <si>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</si>
  <si>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</si>
  <si>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</si>
  <si>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</si>
  <si>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</si>
  <si>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</si>
  <si>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</si>
  <si>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</si>
  <si>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</si>
  <si>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</si>
  <si>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</si>
  <si>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</si>
  <si>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</si>
  <si>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</si>
  <si>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</si>
  <si>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</si>
  <si>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</si>
  <si>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</si>
  <si>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</si>
  <si>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</si>
  <si>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</si>
  <si>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</si>
  <si>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</si>
  <si>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</si>
  <si>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</si>
  <si>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Ввод данных по газлифтной компоновке</t>
  </si>
  <si>
    <t>Кол-клапанов</t>
  </si>
  <si>
    <t>Диаметр</t>
  </si>
  <si>
    <t>Глубины расположения клапанов</t>
  </si>
  <si>
    <t>hmes ptub</t>
  </si>
  <si>
    <t>Ptub</t>
  </si>
  <si>
    <t>Ttub</t>
  </si>
  <si>
    <t>Hl</t>
  </si>
  <si>
    <t>Tamb</t>
  </si>
  <si>
    <t>Tcas</t>
  </si>
  <si>
    <t>pcas</t>
  </si>
  <si>
    <t>hmes Ttub</t>
  </si>
  <si>
    <t>hmes Tamb</t>
  </si>
  <si>
    <t>Давление зарядки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</si>
</sst>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Calc!$U$16:$U$36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xVal>
          <c:yVal>
            <c:numRef>
              <c:f>Calc!$T$16:$T$36</c:f>
              <c:numCache>
                <c:formatCode>General</c:formatCode>
                <c:ptCount val="2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Calc!$O$16:$O$36</c:f>
              <c:numCache>
                <c:formatCode>General</c:formatCode>
                <c:ptCount val="21"/>
                <c:pt idx="0">
                  <c:v>50.04003962043722</c:v>
                </c:pt>
                <c:pt idx="1">
                  <c:v>55.367277432052184</c:v>
                </c:pt>
                <c:pt idx="2">
                  <c:v>61.052532245010617</c:v>
                </c:pt>
                <c:pt idx="3">
                  <c:v>62.733234238923252</c:v>
                </c:pt>
                <c:pt idx="4">
                  <c:v>66.902437962504749</c:v>
                </c:pt>
                <c:pt idx="5">
                  <c:v>73.000713200353943</c:v>
                </c:pt>
                <c:pt idx="6">
                  <c:v>79.406903128242192</c:v>
                </c:pt>
                <c:pt idx="7">
                  <c:v>85.98563073264306</c:v>
                </c:pt>
                <c:pt idx="8">
                  <c:v>91.687722932519776</c:v>
                </c:pt>
                <c:pt idx="9">
                  <c:v>92.637575610960539</c:v>
                </c:pt>
                <c:pt idx="10">
                  <c:v>99.269919824680457</c:v>
                </c:pt>
                <c:pt idx="11">
                  <c:v>105.83735773016051</c:v>
                </c:pt>
                <c:pt idx="12">
                  <c:v>112.29045730842822</c:v>
                </c:pt>
                <c:pt idx="13">
                  <c:v>112.65662656623928</c:v>
                </c:pt>
                <c:pt idx="14">
                  <c:v>123.52729354633125</c:v>
                </c:pt>
                <c:pt idx="15">
                  <c:v>128.27194330086002</c:v>
                </c:pt>
                <c:pt idx="16">
                  <c:v>134.36289016174464</c:v>
                </c:pt>
                <c:pt idx="17">
                  <c:v>140.95949838669381</c:v>
                </c:pt>
                <c:pt idx="18">
                  <c:v>142.37489327399803</c:v>
                </c:pt>
                <c:pt idx="19">
                  <c:v>143.78264964668503</c:v>
                </c:pt>
                <c:pt idx="20">
                  <c:v>145.16579461519129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Calc!$H$14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FAF37CF6-8188-41BF-B1FE-9B6AE9B2D17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C8526F66-FA05-4F47-90AC-C1D4814CCDA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02E18BF8-326F-4A8D-A358-8AB093B28011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77E1919D-187A-46A6-8F91-38D8403D149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A131582-0DAE-4188-A973-B52B14B852F4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C3955106-6724-42EC-B547-487601B4BFC1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Calc!$X$16:$X$18</c:f>
              <c:numCache>
                <c:formatCode>0</c:formatCode>
                <c:ptCount val="3"/>
                <c:pt idx="0">
                  <c:v>50.04003962043722</c:v>
                </c:pt>
                <c:pt idx="1">
                  <c:v>50.04003962043722</c:v>
                </c:pt>
                <c:pt idx="2">
                  <c:v>145.16579461519129</c:v>
                </c:pt>
              </c:numCache>
            </c:numRef>
          </c:xVal>
          <c:yVal>
            <c:numRef>
              <c:f>Calc!$W$16:$W$18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Calc!$P$10:$P$12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Calc!$Z$16:$Z$36</c:f>
              <c:numCache>
                <c:formatCode>General</c:formatCode>
                <c:ptCount val="21"/>
                <c:pt idx="0">
                  <c:v>150</c:v>
                </c:pt>
                <c:pt idx="1">
                  <c:v>151.54879576224693</c:v>
                </c:pt>
                <c:pt idx="2">
                  <c:v>153.06598268388694</c:v>
                </c:pt>
                <c:pt idx="3">
                  <c:v>154.57394558136232</c:v>
                </c:pt>
                <c:pt idx="4">
                  <c:v>156.08316869242293</c:v>
                </c:pt>
                <c:pt idx="5">
                  <c:v>156.22044981841282</c:v>
                </c:pt>
                <c:pt idx="6">
                  <c:v>157.59974546818935</c:v>
                </c:pt>
                <c:pt idx="7">
                  <c:v>159.12682073039682</c:v>
                </c:pt>
                <c:pt idx="8">
                  <c:v>160.66511257647031</c:v>
                </c:pt>
                <c:pt idx="9">
                  <c:v>162.21536081387279</c:v>
                </c:pt>
                <c:pt idx="10">
                  <c:v>163.77793452369116</c:v>
                </c:pt>
                <c:pt idx="11">
                  <c:v>165.35501999909647</c:v>
                </c:pt>
                <c:pt idx="12">
                  <c:v>166.9448644758825</c:v>
                </c:pt>
                <c:pt idx="13">
                  <c:v>168.54758370225014</c:v>
                </c:pt>
                <c:pt idx="14">
                  <c:v>168.98604459477221</c:v>
                </c:pt>
                <c:pt idx="15">
                  <c:v>170.16327765442199</c:v>
                </c:pt>
                <c:pt idx="16">
                  <c:v>171.79305061222252</c:v>
                </c:pt>
                <c:pt idx="17">
                  <c:v>173.43700823782297</c:v>
                </c:pt>
                <c:pt idx="18">
                  <c:v>175.09423119825047</c:v>
                </c:pt>
                <c:pt idx="19">
                  <c:v>176.76480739183677</c:v>
                </c:pt>
                <c:pt idx="20">
                  <c:v>178.44882615713433</c:v>
                </c:pt>
              </c:numCache>
            </c:numRef>
          </c:xVal>
          <c:yVal>
            <c:numRef>
              <c:f>Calc!$Y$16:$Y$36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Calc!$Q$16:$Q$36</c:f>
              <c:numCache>
                <c:formatCode>General</c:formatCode>
                <c:ptCount val="21"/>
                <c:pt idx="0">
                  <c:v>46.380797082867986</c:v>
                </c:pt>
                <c:pt idx="1">
                  <c:v>46.365703842582157</c:v>
                </c:pt>
                <c:pt idx="2">
                  <c:v>46.34148076527304</c:v>
                </c:pt>
                <c:pt idx="3">
                  <c:v>46.332500140334204</c:v>
                </c:pt>
                <c:pt idx="4">
                  <c:v>46.307327049356999</c:v>
                </c:pt>
                <c:pt idx="5">
                  <c:v>46.250095015199136</c:v>
                </c:pt>
                <c:pt idx="6">
                  <c:v>46.1724721045723</c:v>
                </c:pt>
                <c:pt idx="7">
                  <c:v>46.091140925420369</c:v>
                </c:pt>
                <c:pt idx="8">
                  <c:v>46.010920061146919</c:v>
                </c:pt>
                <c:pt idx="9">
                  <c:v>45.994243643689103</c:v>
                </c:pt>
                <c:pt idx="10">
                  <c:v>45.850291911934363</c:v>
                </c:pt>
                <c:pt idx="11">
                  <c:v>45.594780879449559</c:v>
                </c:pt>
                <c:pt idx="12">
                  <c:v>45.078358245370509</c:v>
                </c:pt>
                <c:pt idx="13">
                  <c:v>45.041211919139869</c:v>
                </c:pt>
                <c:pt idx="14">
                  <c:v>45.12902124243012</c:v>
                </c:pt>
                <c:pt idx="15">
                  <c:v>45.212148620786678</c:v>
                </c:pt>
                <c:pt idx="16">
                  <c:v>45.426749676476391</c:v>
                </c:pt>
                <c:pt idx="17">
                  <c:v>46.386589003007074</c:v>
                </c:pt>
                <c:pt idx="18">
                  <c:v>49.458688231231456</c:v>
                </c:pt>
                <c:pt idx="19">
                  <c:v>59.215451809328293</c:v>
                </c:pt>
                <c:pt idx="20">
                  <c:v>90</c:v>
                </c:pt>
              </c:numCache>
            </c:numRef>
          </c:xVal>
          <c:yVal>
            <c:numRef>
              <c:f>Calc!$N$16:$N$36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Calc!$M$16:$M$36</c:f>
              <c:numCache>
                <c:formatCode>General</c:formatCode>
                <c:ptCount val="21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</c:numCache>
            </c:numRef>
          </c:xVal>
          <c:yVal>
            <c:numRef>
              <c:f>Calc!$K$16:$K$36</c:f>
              <c:numCache>
                <c:formatCode>General</c:formatCode>
                <c:ptCount val="21"/>
                <c:pt idx="0">
                  <c:v>0</c:v>
                </c:pt>
                <c:pt idx="1">
                  <c:v>218.75</c:v>
                </c:pt>
                <c:pt idx="2">
                  <c:v>437.5</c:v>
                </c:pt>
                <c:pt idx="3">
                  <c:v>500</c:v>
                </c:pt>
                <c:pt idx="4">
                  <c:v>656.25</c:v>
                </c:pt>
                <c:pt idx="5">
                  <c:v>875</c:v>
                </c:pt>
                <c:pt idx="6">
                  <c:v>1093.75</c:v>
                </c:pt>
                <c:pt idx="7">
                  <c:v>1312.5</c:v>
                </c:pt>
                <c:pt idx="8">
                  <c:v>1500</c:v>
                </c:pt>
                <c:pt idx="9">
                  <c:v>1531.25</c:v>
                </c:pt>
                <c:pt idx="10">
                  <c:v>1750</c:v>
                </c:pt>
                <c:pt idx="11">
                  <c:v>1968.75</c:v>
                </c:pt>
                <c:pt idx="12">
                  <c:v>2187.5</c:v>
                </c:pt>
                <c:pt idx="13">
                  <c:v>2200</c:v>
                </c:pt>
                <c:pt idx="14">
                  <c:v>2406.25</c:v>
                </c:pt>
                <c:pt idx="15">
                  <c:v>2500</c:v>
                </c:pt>
                <c:pt idx="16">
                  <c:v>2625</c:v>
                </c:pt>
                <c:pt idx="17">
                  <c:v>2843.75</c:v>
                </c:pt>
                <c:pt idx="18">
                  <c:v>3062.5</c:v>
                </c:pt>
                <c:pt idx="19">
                  <c:v>3281.25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Calc!$J$16:$J$36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Calc!$H$16:$H$36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Calc!$S$16:$S$36</c:f>
              <c:numCache>
                <c:formatCode>General</c:formatCode>
                <c:ptCount val="21"/>
                <c:pt idx="0">
                  <c:v>30</c:v>
                </c:pt>
                <c:pt idx="1">
                  <c:v>36.69013636695211</c:v>
                </c:pt>
                <c:pt idx="2">
                  <c:v>40.285255087425099</c:v>
                </c:pt>
                <c:pt idx="3">
                  <c:v>42.202281465772337</c:v>
                </c:pt>
                <c:pt idx="4">
                  <c:v>43.21507040030464</c:v>
                </c:pt>
                <c:pt idx="5">
                  <c:v>43.292237782457235</c:v>
                </c:pt>
                <c:pt idx="6">
                  <c:v>43.725472658272778</c:v>
                </c:pt>
                <c:pt idx="7">
                  <c:v>43.984007218066303</c:v>
                </c:pt>
                <c:pt idx="8">
                  <c:v>44.122973116554121</c:v>
                </c:pt>
                <c:pt idx="9">
                  <c:v>44.201570776890954</c:v>
                </c:pt>
                <c:pt idx="10">
                  <c:v>44.256534680893374</c:v>
                </c:pt>
                <c:pt idx="11">
                  <c:v>44.293360891962941</c:v>
                </c:pt>
                <c:pt idx="12">
                  <c:v>44.323620490155818</c:v>
                </c:pt>
                <c:pt idx="13">
                  <c:v>44.350310044405035</c:v>
                </c:pt>
                <c:pt idx="14">
                  <c:v>44.357317738159878</c:v>
                </c:pt>
                <c:pt idx="15">
                  <c:v>44.37507326895296</c:v>
                </c:pt>
                <c:pt idx="16">
                  <c:v>44.39876671088453</c:v>
                </c:pt>
                <c:pt idx="17">
                  <c:v>44.42192596512389</c:v>
                </c:pt>
                <c:pt idx="18">
                  <c:v>44.444834432022738</c:v>
                </c:pt>
                <c:pt idx="19">
                  <c:v>44.467610451106289</c:v>
                </c:pt>
                <c:pt idx="20">
                  <c:v>44.490318839228834</c:v>
                </c:pt>
              </c:numCache>
            </c:numRef>
          </c:xVal>
          <c:yVal>
            <c:numRef>
              <c:f>Calc!$R$16:$R$36</c:f>
              <c:numCache>
                <c:formatCode>General</c:formatCode>
                <c:ptCount val="21"/>
                <c:pt idx="0">
                  <c:v>0</c:v>
                </c:pt>
                <c:pt idx="1">
                  <c:v>122.22222222222223</c:v>
                </c:pt>
                <c:pt idx="2">
                  <c:v>244.44444444444446</c:v>
                </c:pt>
                <c:pt idx="3">
                  <c:v>366.66666666666669</c:v>
                </c:pt>
                <c:pt idx="4">
                  <c:v>488.88888888888891</c:v>
                </c:pt>
                <c:pt idx="5">
                  <c:v>500</c:v>
                </c:pt>
                <c:pt idx="6">
                  <c:v>611.11111111111109</c:v>
                </c:pt>
                <c:pt idx="7">
                  <c:v>733.33333333333337</c:v>
                </c:pt>
                <c:pt idx="8">
                  <c:v>855.55555555555566</c:v>
                </c:pt>
                <c:pt idx="9">
                  <c:v>977.77777777777783</c:v>
                </c:pt>
                <c:pt idx="10">
                  <c:v>1100</c:v>
                </c:pt>
                <c:pt idx="11">
                  <c:v>1222.2222222222222</c:v>
                </c:pt>
                <c:pt idx="12">
                  <c:v>1344.4444444444446</c:v>
                </c:pt>
                <c:pt idx="13">
                  <c:v>1466.6666666666667</c:v>
                </c:pt>
                <c:pt idx="14">
                  <c:v>1500</c:v>
                </c:pt>
                <c:pt idx="15">
                  <c:v>1588.8888888888889</c:v>
                </c:pt>
                <c:pt idx="16">
                  <c:v>1711.1111111111113</c:v>
                </c:pt>
                <c:pt idx="17">
                  <c:v>1833.3333333333335</c:v>
                </c:pt>
                <c:pt idx="18">
                  <c:v>1955.5555555555557</c:v>
                </c:pt>
                <c:pt idx="19">
                  <c:v>2077.7777777777778</c:v>
                </c:pt>
                <c:pt idx="20">
                  <c:v>2200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DF-4590-887C-36AF1B8EE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3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141514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7</xdr:row>
          <xdr:rowOff>201386</xdr:rowOff>
        </xdr:from>
        <xdr:to>
          <xdr:col>20</xdr:col>
          <xdr:colOff>598714</xdr:colOff>
          <xdr:row>11</xdr:row>
          <xdr:rowOff>59871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11</xdr:row>
          <xdr:rowOff>87086</xdr:rowOff>
        </xdr:from>
        <xdr:to>
          <xdr:col>20</xdr:col>
          <xdr:colOff>598714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10886</xdr:colOff>
          <xdr:row>14</xdr:row>
          <xdr:rowOff>212271</xdr:rowOff>
        </xdr:from>
        <xdr:to>
          <xdr:col>20</xdr:col>
          <xdr:colOff>582386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174171</xdr:colOff>
          <xdr:row>55</xdr:row>
          <xdr:rowOff>103414</xdr:rowOff>
        </xdr:from>
        <xdr:to>
          <xdr:col>21</xdr:col>
          <xdr:colOff>277586</xdr:colOff>
          <xdr:row>58</xdr:row>
          <xdr:rowOff>48986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419020</xdr:colOff>
      <xdr:row>38</xdr:row>
      <xdr:rowOff>127064</xdr:rowOff>
    </xdr:from>
    <xdr:to>
      <xdr:col>17</xdr:col>
      <xdr:colOff>259719</xdr:colOff>
      <xdr:row>67</xdr:row>
      <xdr:rowOff>2365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65314</xdr:rowOff>
        </xdr:from>
        <xdr:to>
          <xdr:col>18</xdr:col>
          <xdr:colOff>288471</xdr:colOff>
          <xdr:row>14</xdr:row>
          <xdr:rowOff>27214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27461</xdr:colOff>
      <xdr:row>40</xdr:row>
      <xdr:rowOff>1686</xdr:rowOff>
    </xdr:from>
    <xdr:to>
      <xdr:col>22</xdr:col>
      <xdr:colOff>212064</xdr:colOff>
      <xdr:row>71</xdr:row>
      <xdr:rowOff>74192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415638</xdr:colOff>
      <xdr:row>40</xdr:row>
      <xdr:rowOff>103909</xdr:rowOff>
    </xdr:from>
    <xdr:to>
      <xdr:col>30</xdr:col>
      <xdr:colOff>294411</xdr:colOff>
      <xdr:row>71</xdr:row>
      <xdr:rowOff>173181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332014</xdr:colOff>
          <xdr:row>3</xdr:row>
          <xdr:rowOff>141514</xdr:rowOff>
        </xdr:from>
        <xdr:to>
          <xdr:col>27</xdr:col>
          <xdr:colOff>353786</xdr:colOff>
          <xdr:row>7</xdr:row>
          <xdr:rowOff>59871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353786</xdr:colOff>
          <xdr:row>7</xdr:row>
          <xdr:rowOff>114300</xdr:rowOff>
        </xdr:from>
        <xdr:to>
          <xdr:col>27</xdr:col>
          <xdr:colOff>381000</xdr:colOff>
          <xdr:row>11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10886</xdr:colOff>
          <xdr:row>2</xdr:row>
          <xdr:rowOff>38100</xdr:rowOff>
        </xdr:from>
        <xdr:to>
          <xdr:col>3</xdr:col>
          <xdr:colOff>598714</xdr:colOff>
          <xdr:row>3</xdr:row>
          <xdr:rowOff>59871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10886</xdr:colOff>
          <xdr:row>2</xdr:row>
          <xdr:rowOff>27214</xdr:rowOff>
        </xdr:from>
        <xdr:to>
          <xdr:col>9</xdr:col>
          <xdr:colOff>10886</xdr:colOff>
          <xdr:row>3</xdr:row>
          <xdr:rowOff>48986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10886</xdr:colOff>
          <xdr:row>2</xdr:row>
          <xdr:rowOff>10886</xdr:rowOff>
        </xdr:from>
        <xdr:to>
          <xdr:col>14</xdr:col>
          <xdr:colOff>0</xdr:colOff>
          <xdr:row>3</xdr:row>
          <xdr:rowOff>21771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  <definedName name="s"/>
      <definedName name="Well_Encode_string"/>
      <definedName name="Well_Plin_Pwf_atma"/>
      <definedName name="WellGL_Decode_string"/>
      <definedName name="WellGL_Encode_string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unifloc"/>
  <dimension ref="A1:E4"/>
  <sheetViews>
    <sheetView workbookViewId="0">
      <selection activeCell="C2" sqref="C2"/>
    </sheetView>
  </sheetViews>
  <sheetFormatPr defaultRowHeight="14.6" x14ac:dyDescent="0.4"/>
  <sheetData>
    <row r="1" spans="1:5" x14ac:dyDescent="0.4">
      <c r="A1" t="str">
        <f>"вер "&amp;B1</f>
        <v>вер 7.5</v>
      </c>
      <c r="B1" s="16">
        <v>7.5</v>
      </c>
    </row>
    <row r="2" spans="1:5" x14ac:dyDescent="0.4">
      <c r="A2" t="s">
        <v>161</v>
      </c>
    </row>
    <row r="4" spans="1:5" x14ac:dyDescent="0.4">
      <c r="A4" s="53" t="str">
        <f>"Унифлок "&amp;версия_номер_</f>
        <v>Унифлок 7.5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_PVT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4.6" outlineLevelRow="1" x14ac:dyDescent="0.4"/>
  <cols>
    <col min="1" max="1" width="7.3046875" style="11" customWidth="1"/>
    <col min="2" max="2" width="12.3046875" customWidth="1"/>
    <col min="4" max="4" width="10.15234375" customWidth="1"/>
    <col min="7" max="7" width="12.3046875" style="1" customWidth="1"/>
    <col min="8" max="8" width="13.15234375" customWidth="1"/>
    <col min="9" max="9" width="11" customWidth="1"/>
    <col min="13" max="13" width="10" customWidth="1"/>
    <col min="14" max="14" width="10.15234375" customWidth="1"/>
  </cols>
  <sheetData>
    <row r="1" spans="1:17" x14ac:dyDescent="0.4">
      <c r="A1" s="11" t="str">
        <f>версия_</f>
        <v>вер 7.5</v>
      </c>
      <c r="J1" s="2" t="s">
        <v>23</v>
      </c>
      <c r="K1" s="2"/>
      <c r="L1" s="2"/>
    </row>
    <row r="2" spans="1:17" ht="17.149999999999999" x14ac:dyDescent="0.4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4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7.149999999999999" x14ac:dyDescent="0.4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Calc!Ql_scm3day_</f>
        <v>50</v>
      </c>
      <c r="L8" s="5" t="s">
        <v>33</v>
      </c>
      <c r="N8" s="6" t="s">
        <v>29</v>
      </c>
      <c r="O8" s="9">
        <v>0</v>
      </c>
      <c r="P8" s="5"/>
      <c r="Q8" s="2"/>
    </row>
    <row r="9" spans="1:17" ht="17.149999999999999" x14ac:dyDescent="0.4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Calc!wc_perc_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7.149999999999999" x14ac:dyDescent="0.4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43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7.149999999999999" x14ac:dyDescent="0.4">
      <c r="F11" s="7" t="s">
        <v>15</v>
      </c>
      <c r="G11" s="9">
        <v>100</v>
      </c>
      <c r="H11" s="5" t="s">
        <v>17</v>
      </c>
      <c r="J11" s="7" t="s">
        <v>18</v>
      </c>
      <c r="K11" s="52">
        <f>Calc!Rp_m3m3_</f>
        <v>100</v>
      </c>
      <c r="L11" s="5" t="s">
        <v>17</v>
      </c>
    </row>
    <row r="12" spans="1:17" ht="17.149999999999999" x14ac:dyDescent="0.4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">
      <c r="F13" s="2" t="s">
        <v>5</v>
      </c>
      <c r="G13" s="2"/>
      <c r="H13" s="2"/>
    </row>
    <row r="14" spans="1:17" ht="17.149999999999999" x14ac:dyDescent="0.4">
      <c r="F14" s="5" t="s">
        <v>16</v>
      </c>
      <c r="G14" s="9">
        <v>80</v>
      </c>
      <c r="H14" s="5" t="s">
        <v>75</v>
      </c>
    </row>
    <row r="15" spans="1:17" ht="17.149999999999999" x14ac:dyDescent="0.4">
      <c r="F15" s="5" t="s">
        <v>20</v>
      </c>
      <c r="G15" s="9">
        <v>100</v>
      </c>
      <c r="H15" s="5" t="s">
        <v>2</v>
      </c>
    </row>
    <row r="16" spans="1:17" ht="17.149999999999999" x14ac:dyDescent="0.4">
      <c r="F16" s="7" t="s">
        <v>21</v>
      </c>
      <c r="G16" s="9"/>
      <c r="H16" s="5" t="s">
        <v>17</v>
      </c>
    </row>
    <row r="17" spans="2:33" ht="17.149999999999999" x14ac:dyDescent="0.4">
      <c r="F17" s="8" t="s">
        <v>22</v>
      </c>
      <c r="G17" s="9"/>
      <c r="H17" s="5" t="s">
        <v>7</v>
      </c>
    </row>
    <row r="20" spans="2:33" x14ac:dyDescent="0.4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4"/>
    <row r="22" spans="2:33" outlineLevel="1" x14ac:dyDescent="0.4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7.149999999999999" outlineLevel="1" x14ac:dyDescent="0.4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7.149999999999999" outlineLevel="1" x14ac:dyDescent="0.4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7.149999999999999" outlineLevel="1" x14ac:dyDescent="0.4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7.149999999999999" outlineLevel="1" x14ac:dyDescent="0.4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7.149999999999999" outlineLevel="1" x14ac:dyDescent="0.4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7.149999999999999" outlineLevel="1" x14ac:dyDescent="0.4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4"/>
    <row r="30" spans="2:33" outlineLevel="1" x14ac:dyDescent="0.4"/>
    <row r="31" spans="2:33" outlineLevel="1" x14ac:dyDescent="0.4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7.149999999999999" outlineLevel="1" x14ac:dyDescent="0.55000000000000004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7.149999999999999" outlineLevel="1" x14ac:dyDescent="0.4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7.149999999999999" outlineLevel="1" x14ac:dyDescent="0.4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7.149999999999999" outlineLevel="1" x14ac:dyDescent="0.4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7.149999999999999" outlineLevel="1" x14ac:dyDescent="0.4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7.149999999999999" outlineLevel="1" x14ac:dyDescent="0.4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7.149999999999999" outlineLevel="1" x14ac:dyDescent="0.4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7.149999999999999" outlineLevel="1" x14ac:dyDescent="0.4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7.149999999999999" outlineLevel="1" x14ac:dyDescent="0.4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4">
      <c r="L41" s="31"/>
    </row>
    <row r="42" spans="2:33" outlineLevel="1" x14ac:dyDescent="0.4">
      <c r="B42" s="2" t="s">
        <v>120</v>
      </c>
      <c r="C42" s="2"/>
      <c r="D42" s="2"/>
      <c r="E42" s="28"/>
      <c r="F42" s="31"/>
      <c r="L42" s="31"/>
    </row>
    <row r="43" spans="2:33" ht="17.149999999999999" outlineLevel="1" x14ac:dyDescent="0.4">
      <c r="B43" s="7" t="s">
        <v>121</v>
      </c>
      <c r="C43" s="40" t="e">
        <f>[1]!MF_Qmix_m3day(Ql_scm3day_,wc_perc_,P_atma_,T_C_,gamma_gas_,gamma_oil_,gamma_w_,Rsb_m3m3_,Rp_m3m3_,Pb_atma_,Tres_C_,Bob_m3m3_,mu_cP_,PVT_correlation_,Ksep_,Psep_atma_,Tsep_C_)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7.149999999999999" outlineLevel="1" x14ac:dyDescent="0.4">
      <c r="B44" s="5" t="s">
        <v>122</v>
      </c>
      <c r="C44" s="40" t="e">
        <f>[1]!MF_Rhomix_kgm3(Ql_scm3day_,wc_perc_,P_atma_,T_C_,gamma_gas_,gamma_oil_,gamma_w_,Rsb_m3m3_,Rp_m3m3_,Pb_atma_,Tres_C_,Bob_m3m3_,mu_cP_,PVT_correlation_,Ksep_,Psep_atma_,Tsep_C_)</f>
        <v>#VALUE!</v>
      </c>
      <c r="D44" s="5" t="s">
        <v>82</v>
      </c>
      <c r="E44" s="28"/>
      <c r="F44" s="31"/>
      <c r="X44">
        <f>gamma_gas_</f>
        <v>0.7</v>
      </c>
    </row>
    <row r="45" spans="2:33" ht="17.149999999999999" outlineLevel="1" x14ac:dyDescent="0.4">
      <c r="B45" s="5" t="s">
        <v>123</v>
      </c>
      <c r="C45" s="40" t="e">
        <f>[1]!MF_Mumix_cP(Ql_scm3day_,wc_perc_,P_atma_,T_C_,gamma_gas_,gamma_oil_,gamma_w_,Rsb_m3m3_,Rp_m3m3_,Pb_atma_,Tres_C_,Bob_m3m3_,mu_cP_,PVT_correlation_,Ksep_,Psep_atma_,Tsep_C_)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7.149999999999999" outlineLevel="1" x14ac:dyDescent="0.4">
      <c r="B46" s="5" t="s">
        <v>124</v>
      </c>
      <c r="E46" s="31"/>
      <c r="F46" s="31"/>
    </row>
    <row r="47" spans="2:33" ht="17.149999999999999" outlineLevel="1" x14ac:dyDescent="0.4">
      <c r="B47" s="5" t="s">
        <v>125</v>
      </c>
      <c r="E47" s="31"/>
      <c r="F47" s="31"/>
    </row>
    <row r="48" spans="2:33" ht="17.149999999999999" outlineLevel="1" x14ac:dyDescent="0.4">
      <c r="B48" s="5" t="s">
        <v>126</v>
      </c>
      <c r="E48" s="31"/>
      <c r="F48" s="31"/>
    </row>
    <row r="49" spans="1:29" outlineLevel="1" x14ac:dyDescent="0.4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4">
      <c r="E50" s="31"/>
      <c r="F50" s="31"/>
    </row>
    <row r="51" spans="1:29" outlineLevel="1" x14ac:dyDescent="0.4">
      <c r="E51" s="31"/>
      <c r="F51" s="31"/>
    </row>
    <row r="52" spans="1:29" outlineLevel="1" x14ac:dyDescent="0.4"/>
    <row r="53" spans="1:29" outlineLevel="1" x14ac:dyDescent="0.4"/>
    <row r="54" spans="1:29" x14ac:dyDescent="0.4">
      <c r="L54" s="31"/>
    </row>
    <row r="55" spans="1:29" x14ac:dyDescent="0.4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4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4">
      <c r="L57" s="31"/>
      <c r="M57" s="31"/>
    </row>
    <row r="58" spans="1:29" ht="17.149999999999999" outlineLevel="1" x14ac:dyDescent="0.4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4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"/>
    <row r="101" spans="1:18" outlineLevel="1" x14ac:dyDescent="0.4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141514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21771</xdr:colOff>
                    <xdr:row>7</xdr:row>
                    <xdr:rowOff>201386</xdr:rowOff>
                  </from>
                  <to>
                    <xdr:col>20</xdr:col>
                    <xdr:colOff>598714</xdr:colOff>
                    <xdr:row>11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21771</xdr:colOff>
                    <xdr:row>11</xdr:row>
                    <xdr:rowOff>87086</xdr:rowOff>
                  </from>
                  <to>
                    <xdr:col>20</xdr:col>
                    <xdr:colOff>598714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10886</xdr:colOff>
                    <xdr:row>14</xdr:row>
                    <xdr:rowOff>212271</xdr:rowOff>
                  </from>
                  <to>
                    <xdr:col>20</xdr:col>
                    <xdr:colOff>582386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174171</xdr:colOff>
                    <xdr:row>55</xdr:row>
                    <xdr:rowOff>103414</xdr:rowOff>
                  </from>
                  <to>
                    <xdr:col>21</xdr:col>
                    <xdr:colOff>277586</xdr:colOff>
                    <xdr:row>58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_construction"/>
  <dimension ref="A1:AC176"/>
  <sheetViews>
    <sheetView topLeftCell="A13" zoomScale="70" zoomScaleNormal="70" workbookViewId="0">
      <selection activeCell="F22" sqref="F22"/>
    </sheetView>
  </sheetViews>
  <sheetFormatPr defaultRowHeight="14.6" x14ac:dyDescent="0.4"/>
  <sheetData>
    <row r="1" spans="1:16" x14ac:dyDescent="0.4">
      <c r="A1" t="str">
        <f>версия_</f>
        <v>вер 7.5</v>
      </c>
    </row>
    <row r="6" spans="1:16" x14ac:dyDescent="0.4">
      <c r="A6" s="11"/>
      <c r="B6" t="s">
        <v>37</v>
      </c>
      <c r="G6" s="1"/>
    </row>
    <row r="7" spans="1:16" x14ac:dyDescent="0.4">
      <c r="A7" s="11"/>
      <c r="G7" s="1"/>
    </row>
    <row r="8" spans="1:16" x14ac:dyDescent="0.4">
      <c r="A8" s="11"/>
      <c r="B8" s="17" t="s">
        <v>52</v>
      </c>
      <c r="C8" s="2"/>
      <c r="D8" s="2"/>
      <c r="G8" s="1"/>
    </row>
    <row r="9" spans="1:16" ht="17.149999999999999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7.149999999999999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7.149999999999999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7.149999999999999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7.149999999999999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">
      <c r="A14" s="11"/>
      <c r="G14" s="1"/>
    </row>
    <row r="15" spans="1:16" x14ac:dyDescent="0.4">
      <c r="A15" s="11"/>
      <c r="G15" s="1"/>
    </row>
    <row r="16" spans="1:16" x14ac:dyDescent="0.4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7.149999999999999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45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">
      <c r="A19" s="11"/>
      <c r="B19" s="9">
        <v>0</v>
      </c>
      <c r="C19" s="9">
        <v>0</v>
      </c>
      <c r="E19" s="16">
        <v>0</v>
      </c>
      <c r="F19" s="16">
        <v>45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45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">
      <c r="A20" s="11"/>
      <c r="B20" s="9">
        <v>1000</v>
      </c>
      <c r="C20" s="9">
        <v>1000</v>
      </c>
      <c r="E20" s="16">
        <v>1500</v>
      </c>
      <c r="F20" s="16">
        <v>45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45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">
      <c r="A21" s="11"/>
      <c r="B21" s="9">
        <v>1100</v>
      </c>
      <c r="C21" s="9">
        <v>1096</v>
      </c>
      <c r="E21" s="16">
        <v>2500</v>
      </c>
      <c r="F21" s="16">
        <v>45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45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45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45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45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45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45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45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45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45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45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45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45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45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45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45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45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">
      <c r="A39" s="11"/>
      <c r="B39" s="9">
        <v>3500</v>
      </c>
      <c r="C39" s="9">
        <v>2500</v>
      </c>
      <c r="G39" s="1"/>
      <c r="M39" s="15"/>
      <c r="N39" s="15"/>
    </row>
    <row r="40" spans="1:29" x14ac:dyDescent="0.4">
      <c r="A40" s="11"/>
      <c r="B40" s="16"/>
      <c r="C40" s="16"/>
      <c r="G40" s="1"/>
      <c r="M40" s="15"/>
      <c r="N40" s="15"/>
    </row>
    <row r="41" spans="1:29" x14ac:dyDescent="0.4">
      <c r="A41" s="11"/>
      <c r="B41" s="16"/>
      <c r="C41" s="16"/>
      <c r="G41" s="1"/>
      <c r="M41" s="15"/>
      <c r="N41" s="15"/>
    </row>
    <row r="42" spans="1:29" x14ac:dyDescent="0.4">
      <c r="A42" s="11"/>
      <c r="B42" s="16"/>
      <c r="C42" s="16"/>
      <c r="G42" s="1"/>
      <c r="M42" s="15"/>
      <c r="N42" s="15"/>
    </row>
    <row r="43" spans="1:29" x14ac:dyDescent="0.4">
      <c r="A43" s="11"/>
      <c r="B43" s="16"/>
      <c r="C43" s="16"/>
      <c r="G43" s="1"/>
      <c r="M43" s="15"/>
      <c r="N43" s="15"/>
    </row>
    <row r="44" spans="1:29" x14ac:dyDescent="0.4">
      <c r="A44" s="11"/>
      <c r="B44" s="16"/>
      <c r="C44" s="16"/>
      <c r="G44" s="1"/>
      <c r="M44" s="15"/>
      <c r="N44" s="15"/>
    </row>
    <row r="45" spans="1:29" x14ac:dyDescent="0.4">
      <c r="A45" s="11"/>
      <c r="B45" s="16"/>
      <c r="C45" s="16"/>
      <c r="G45" s="1"/>
      <c r="M45" s="15"/>
      <c r="N45" s="15"/>
    </row>
    <row r="46" spans="1:29" x14ac:dyDescent="0.4">
      <c r="A46" s="11"/>
      <c r="B46" s="16"/>
      <c r="C46" s="16"/>
      <c r="G46" s="1"/>
    </row>
    <row r="47" spans="1:29" x14ac:dyDescent="0.4">
      <c r="A47" s="11"/>
      <c r="B47" s="16"/>
      <c r="C47" s="16"/>
      <c r="G47" s="1"/>
    </row>
    <row r="48" spans="1:29" x14ac:dyDescent="0.4">
      <c r="A48" s="11"/>
      <c r="B48" s="16"/>
      <c r="C48" s="16"/>
      <c r="G48" s="1"/>
    </row>
    <row r="49" spans="1:7" x14ac:dyDescent="0.4">
      <c r="A49" s="11"/>
      <c r="B49" s="16"/>
      <c r="C49" s="16"/>
      <c r="G49" s="1"/>
    </row>
    <row r="50" spans="1:7" x14ac:dyDescent="0.4">
      <c r="A50" s="11"/>
      <c r="B50" s="16"/>
      <c r="C50" s="16"/>
      <c r="G50" s="1"/>
    </row>
    <row r="51" spans="1:7" x14ac:dyDescent="0.4">
      <c r="A51" s="11"/>
      <c r="B51" s="16"/>
      <c r="C51" s="16"/>
      <c r="G51" s="1"/>
    </row>
    <row r="52" spans="1:7" x14ac:dyDescent="0.4">
      <c r="A52" s="11"/>
      <c r="B52" s="16"/>
      <c r="C52" s="16"/>
      <c r="G52" s="1"/>
    </row>
    <row r="53" spans="1:7" x14ac:dyDescent="0.4">
      <c r="A53" s="11"/>
      <c r="B53" s="16"/>
      <c r="C53" s="16"/>
      <c r="G53" s="1"/>
    </row>
    <row r="54" spans="1:7" x14ac:dyDescent="0.4">
      <c r="A54" s="11"/>
      <c r="B54" s="16"/>
      <c r="C54" s="16"/>
      <c r="G54" s="1"/>
    </row>
    <row r="55" spans="1:7" x14ac:dyDescent="0.4">
      <c r="A55" s="11"/>
      <c r="B55" s="16"/>
      <c r="C55" s="16"/>
      <c r="G55" s="1"/>
    </row>
    <row r="56" spans="1:7" x14ac:dyDescent="0.4">
      <c r="A56" s="11"/>
      <c r="B56" s="16"/>
      <c r="C56" s="16"/>
      <c r="G56" s="1"/>
    </row>
    <row r="57" spans="1:7" x14ac:dyDescent="0.4">
      <c r="A57" s="11"/>
      <c r="B57" s="16"/>
      <c r="C57" s="16"/>
      <c r="G57" s="1"/>
    </row>
    <row r="58" spans="1:7" x14ac:dyDescent="0.4">
      <c r="A58" s="11"/>
      <c r="B58" s="16"/>
      <c r="C58" s="16"/>
      <c r="G58" s="1"/>
    </row>
    <row r="59" spans="1:7" x14ac:dyDescent="0.4">
      <c r="A59" s="11"/>
      <c r="B59" s="16"/>
      <c r="C59" s="16"/>
      <c r="G59" s="1"/>
    </row>
    <row r="60" spans="1:7" x14ac:dyDescent="0.4">
      <c r="A60" s="11"/>
      <c r="B60" s="16"/>
      <c r="C60" s="16"/>
      <c r="G60" s="1"/>
    </row>
    <row r="61" spans="1:7" x14ac:dyDescent="0.4">
      <c r="A61" s="11"/>
      <c r="B61" s="16"/>
      <c r="C61" s="16"/>
      <c r="G61" s="1"/>
    </row>
    <row r="62" spans="1:7" x14ac:dyDescent="0.4">
      <c r="A62" s="11"/>
      <c r="B62" s="16"/>
      <c r="C62" s="16"/>
      <c r="G62" s="1"/>
    </row>
    <row r="63" spans="1:7" x14ac:dyDescent="0.4">
      <c r="A63" s="11"/>
      <c r="B63" s="16"/>
      <c r="C63" s="16"/>
      <c r="G63" s="1"/>
    </row>
    <row r="64" spans="1:7" x14ac:dyDescent="0.4">
      <c r="A64" s="11"/>
      <c r="B64" s="16"/>
      <c r="C64" s="16"/>
      <c r="G64" s="1"/>
    </row>
    <row r="65" spans="1:7" x14ac:dyDescent="0.4">
      <c r="A65" s="11"/>
      <c r="B65" s="16"/>
      <c r="C65" s="16"/>
      <c r="G65" s="1"/>
    </row>
    <row r="66" spans="1:7" x14ac:dyDescent="0.4">
      <c r="A66" s="11"/>
      <c r="B66" s="16"/>
      <c r="C66" s="16"/>
      <c r="G66" s="1"/>
    </row>
    <row r="67" spans="1:7" x14ac:dyDescent="0.4">
      <c r="A67" s="11"/>
      <c r="B67" s="16"/>
      <c r="C67" s="16"/>
      <c r="G67" s="1"/>
    </row>
    <row r="68" spans="1:7" x14ac:dyDescent="0.4">
      <c r="A68" s="11"/>
      <c r="B68" s="16"/>
      <c r="C68" s="16"/>
      <c r="G68" s="1"/>
    </row>
    <row r="69" spans="1:7" x14ac:dyDescent="0.4">
      <c r="A69" s="11"/>
      <c r="B69" s="16"/>
      <c r="C69" s="16"/>
      <c r="G69" s="1"/>
    </row>
    <row r="70" spans="1:7" x14ac:dyDescent="0.4">
      <c r="A70" s="11"/>
      <c r="B70" s="16"/>
      <c r="C70" s="16"/>
      <c r="G70" s="1"/>
    </row>
    <row r="71" spans="1:7" x14ac:dyDescent="0.4">
      <c r="A71" s="11"/>
      <c r="B71" s="16"/>
      <c r="C71" s="16"/>
      <c r="G71" s="1"/>
    </row>
    <row r="72" spans="1:7" x14ac:dyDescent="0.4">
      <c r="A72" s="11"/>
      <c r="B72" s="16"/>
      <c r="C72" s="16"/>
      <c r="G72" s="1"/>
    </row>
    <row r="73" spans="1:7" x14ac:dyDescent="0.4">
      <c r="A73" s="11"/>
      <c r="B73" s="16"/>
      <c r="C73" s="16"/>
      <c r="G73" s="1"/>
    </row>
    <row r="74" spans="1:7" x14ac:dyDescent="0.4">
      <c r="A74" s="11"/>
      <c r="B74" s="16"/>
      <c r="C74" s="16"/>
      <c r="G74" s="1"/>
    </row>
    <row r="75" spans="1:7" x14ac:dyDescent="0.4">
      <c r="A75" s="11"/>
      <c r="B75" s="16"/>
      <c r="C75" s="16"/>
      <c r="G75" s="1"/>
    </row>
    <row r="76" spans="1:7" x14ac:dyDescent="0.4">
      <c r="A76" s="11"/>
      <c r="B76" s="16"/>
      <c r="C76" s="16"/>
      <c r="G76" s="1"/>
    </row>
    <row r="77" spans="1:7" x14ac:dyDescent="0.4">
      <c r="A77" s="11"/>
      <c r="B77" s="16"/>
      <c r="C77" s="16"/>
      <c r="G77" s="1"/>
    </row>
    <row r="78" spans="1:7" x14ac:dyDescent="0.4">
      <c r="A78" s="11"/>
      <c r="B78" s="16"/>
      <c r="C78" s="16"/>
      <c r="G78" s="1"/>
    </row>
    <row r="79" spans="1:7" x14ac:dyDescent="0.4">
      <c r="A79" s="11"/>
      <c r="B79" s="16"/>
      <c r="C79" s="16"/>
      <c r="G79" s="1"/>
    </row>
    <row r="80" spans="1:7" x14ac:dyDescent="0.4">
      <c r="A80" s="11"/>
      <c r="B80" s="16"/>
      <c r="C80" s="16"/>
      <c r="G80" s="1"/>
    </row>
    <row r="81" spans="1:7" x14ac:dyDescent="0.4">
      <c r="A81" s="11"/>
      <c r="B81" s="16"/>
      <c r="C81" s="16"/>
      <c r="G81" s="1"/>
    </row>
    <row r="82" spans="1:7" x14ac:dyDescent="0.4">
      <c r="A82" s="11"/>
      <c r="B82" s="16"/>
      <c r="C82" s="16"/>
      <c r="G82" s="1"/>
    </row>
    <row r="83" spans="1:7" x14ac:dyDescent="0.4">
      <c r="A83" s="11"/>
      <c r="B83" s="16"/>
      <c r="C83" s="16"/>
      <c r="G83" s="1"/>
    </row>
    <row r="84" spans="1:7" x14ac:dyDescent="0.4">
      <c r="A84" s="11"/>
      <c r="B84" s="16"/>
      <c r="C84" s="16"/>
      <c r="G84" s="1"/>
    </row>
    <row r="85" spans="1:7" x14ac:dyDescent="0.4">
      <c r="A85" s="11"/>
      <c r="B85" s="16"/>
      <c r="C85" s="16"/>
      <c r="G85" s="1"/>
    </row>
    <row r="86" spans="1:7" x14ac:dyDescent="0.4">
      <c r="A86" s="11"/>
      <c r="B86" s="16"/>
      <c r="C86" s="16"/>
      <c r="G86" s="1"/>
    </row>
    <row r="87" spans="1:7" x14ac:dyDescent="0.4">
      <c r="A87" s="11"/>
      <c r="B87" s="16"/>
      <c r="C87" s="16"/>
      <c r="G87" s="1"/>
    </row>
    <row r="88" spans="1:7" x14ac:dyDescent="0.4">
      <c r="A88" s="11"/>
      <c r="B88" s="16"/>
      <c r="C88" s="16"/>
      <c r="G88" s="1"/>
    </row>
    <row r="89" spans="1:7" x14ac:dyDescent="0.4">
      <c r="A89" s="11"/>
      <c r="B89" s="16"/>
      <c r="C89" s="16"/>
      <c r="G89" s="1"/>
    </row>
    <row r="90" spans="1:7" x14ac:dyDescent="0.4">
      <c r="A90" s="11"/>
      <c r="B90" s="16"/>
      <c r="C90" s="16"/>
      <c r="G90" s="1"/>
    </row>
    <row r="91" spans="1:7" x14ac:dyDescent="0.4">
      <c r="A91" s="11"/>
      <c r="B91" s="16"/>
      <c r="C91" s="16"/>
      <c r="G91" s="1"/>
    </row>
    <row r="92" spans="1:7" x14ac:dyDescent="0.4">
      <c r="A92" s="11"/>
      <c r="B92" s="16"/>
      <c r="C92" s="16"/>
      <c r="G92" s="1"/>
    </row>
    <row r="93" spans="1:7" x14ac:dyDescent="0.4">
      <c r="A93" s="11"/>
      <c r="B93" s="16"/>
      <c r="C93" s="16"/>
      <c r="G93" s="1"/>
    </row>
    <row r="94" spans="1:7" x14ac:dyDescent="0.4">
      <c r="A94" s="11"/>
      <c r="B94" s="16"/>
      <c r="C94" s="16"/>
      <c r="G94" s="1"/>
    </row>
    <row r="95" spans="1:7" x14ac:dyDescent="0.4">
      <c r="A95" s="11"/>
      <c r="B95" s="16"/>
      <c r="C95" s="16"/>
      <c r="G95" s="1"/>
    </row>
    <row r="96" spans="1:7" x14ac:dyDescent="0.4">
      <c r="A96" s="11"/>
      <c r="B96" s="16"/>
      <c r="C96" s="16"/>
      <c r="G96" s="1"/>
    </row>
    <row r="97" spans="1:7" x14ac:dyDescent="0.4">
      <c r="A97" s="11"/>
      <c r="B97" s="16"/>
      <c r="C97" s="16"/>
      <c r="G97" s="1"/>
    </row>
    <row r="98" spans="1:7" x14ac:dyDescent="0.4">
      <c r="A98" s="11"/>
      <c r="B98" s="16"/>
      <c r="C98" s="16"/>
      <c r="G98" s="1"/>
    </row>
    <row r="99" spans="1:7" x14ac:dyDescent="0.4">
      <c r="A99" s="11"/>
      <c r="B99" s="16"/>
      <c r="C99" s="16"/>
      <c r="G99" s="1"/>
    </row>
    <row r="100" spans="1:7" x14ac:dyDescent="0.4">
      <c r="A100" s="11"/>
      <c r="B100" s="16"/>
      <c r="C100" s="16"/>
      <c r="G100" s="1"/>
    </row>
    <row r="101" spans="1:7" x14ac:dyDescent="0.4">
      <c r="A101" s="11"/>
      <c r="B101" s="16"/>
      <c r="C101" s="16"/>
      <c r="G101" s="1"/>
    </row>
    <row r="102" spans="1:7" x14ac:dyDescent="0.4">
      <c r="A102" s="11"/>
      <c r="B102" s="16"/>
      <c r="C102" s="16"/>
      <c r="G102" s="1"/>
    </row>
    <row r="103" spans="1:7" x14ac:dyDescent="0.4">
      <c r="A103" s="11"/>
      <c r="B103" s="16"/>
      <c r="C103" s="16"/>
      <c r="G103" s="1"/>
    </row>
    <row r="104" spans="1:7" x14ac:dyDescent="0.4">
      <c r="A104" s="11"/>
      <c r="B104" s="16"/>
      <c r="C104" s="16"/>
      <c r="G104" s="1"/>
    </row>
    <row r="105" spans="1:7" x14ac:dyDescent="0.4">
      <c r="A105" s="11"/>
      <c r="B105" s="16"/>
      <c r="C105" s="16"/>
      <c r="G105" s="1"/>
    </row>
    <row r="106" spans="1:7" x14ac:dyDescent="0.4">
      <c r="A106" s="11"/>
      <c r="B106" s="16"/>
      <c r="C106" s="16"/>
      <c r="G106" s="1"/>
    </row>
    <row r="107" spans="1:7" x14ac:dyDescent="0.4">
      <c r="A107" s="11"/>
      <c r="B107" s="16"/>
      <c r="C107" s="16"/>
      <c r="G107" s="1"/>
    </row>
    <row r="108" spans="1:7" x14ac:dyDescent="0.4">
      <c r="A108" s="11"/>
      <c r="B108" s="16"/>
      <c r="C108" s="16"/>
      <c r="G108" s="1"/>
    </row>
    <row r="109" spans="1:7" x14ac:dyDescent="0.4">
      <c r="A109" s="11"/>
      <c r="B109" s="16"/>
      <c r="C109" s="16"/>
      <c r="G109" s="1"/>
    </row>
    <row r="110" spans="1:7" x14ac:dyDescent="0.4">
      <c r="A110" s="11"/>
      <c r="B110" s="16"/>
      <c r="C110" s="16"/>
      <c r="G110" s="1"/>
    </row>
    <row r="111" spans="1:7" x14ac:dyDescent="0.4">
      <c r="A111" s="11"/>
      <c r="B111" s="16"/>
      <c r="C111" s="16"/>
      <c r="G111" s="1"/>
    </row>
    <row r="112" spans="1:7" x14ac:dyDescent="0.4">
      <c r="A112" s="11"/>
      <c r="B112" s="16"/>
      <c r="C112" s="16"/>
      <c r="G112" s="1"/>
    </row>
    <row r="113" spans="1:7" x14ac:dyDescent="0.4">
      <c r="A113" s="11"/>
      <c r="B113" s="16"/>
      <c r="C113" s="16"/>
      <c r="G113" s="1"/>
    </row>
    <row r="114" spans="1:7" x14ac:dyDescent="0.4">
      <c r="A114" s="11"/>
      <c r="B114" s="16"/>
      <c r="C114" s="16"/>
      <c r="G114" s="1"/>
    </row>
    <row r="115" spans="1:7" x14ac:dyDescent="0.4">
      <c r="A115" s="11"/>
      <c r="B115" s="16"/>
      <c r="C115" s="16"/>
      <c r="G115" s="1"/>
    </row>
    <row r="116" spans="1:7" x14ac:dyDescent="0.4">
      <c r="A116" s="11"/>
      <c r="B116" s="16"/>
      <c r="C116" s="16"/>
      <c r="G116" s="1"/>
    </row>
    <row r="117" spans="1:7" x14ac:dyDescent="0.4">
      <c r="A117" s="11"/>
      <c r="B117" s="16"/>
      <c r="C117" s="16"/>
      <c r="G117" s="1"/>
    </row>
    <row r="118" spans="1:7" x14ac:dyDescent="0.4">
      <c r="A118" s="11"/>
      <c r="B118" s="16"/>
      <c r="C118" s="16"/>
      <c r="G118" s="1"/>
    </row>
    <row r="119" spans="1:7" x14ac:dyDescent="0.4">
      <c r="A119" s="11"/>
      <c r="B119" s="16"/>
      <c r="C119" s="16"/>
      <c r="G119" s="1"/>
    </row>
    <row r="120" spans="1:7" x14ac:dyDescent="0.4">
      <c r="A120" s="11"/>
      <c r="B120" s="16"/>
      <c r="C120" s="16"/>
      <c r="G120" s="1"/>
    </row>
    <row r="121" spans="1:7" x14ac:dyDescent="0.4">
      <c r="A121" s="11"/>
      <c r="B121" s="16"/>
      <c r="C121" s="16"/>
      <c r="G121" s="1"/>
    </row>
    <row r="122" spans="1:7" x14ac:dyDescent="0.4">
      <c r="A122" s="11"/>
      <c r="B122" s="16"/>
      <c r="C122" s="16"/>
      <c r="G122" s="1"/>
    </row>
    <row r="123" spans="1:7" x14ac:dyDescent="0.4">
      <c r="A123" s="11"/>
      <c r="B123" s="16"/>
      <c r="C123" s="16"/>
      <c r="G123" s="1"/>
    </row>
    <row r="124" spans="1:7" x14ac:dyDescent="0.4">
      <c r="A124" s="11"/>
      <c r="B124" s="16"/>
      <c r="C124" s="16"/>
      <c r="G124" s="1"/>
    </row>
    <row r="125" spans="1:7" x14ac:dyDescent="0.4">
      <c r="A125" s="11"/>
      <c r="B125" s="16"/>
      <c r="C125" s="16"/>
      <c r="G125" s="1"/>
    </row>
    <row r="126" spans="1:7" x14ac:dyDescent="0.4">
      <c r="A126" s="11"/>
      <c r="B126" s="16"/>
      <c r="C126" s="16"/>
      <c r="G126" s="1"/>
    </row>
    <row r="127" spans="1:7" x14ac:dyDescent="0.4">
      <c r="A127" s="11"/>
      <c r="B127" s="16"/>
      <c r="C127" s="16"/>
      <c r="G127" s="1"/>
    </row>
    <row r="128" spans="1:7" x14ac:dyDescent="0.4">
      <c r="A128" s="11"/>
      <c r="B128" s="16"/>
      <c r="C128" s="16"/>
      <c r="G128" s="1"/>
    </row>
    <row r="129" spans="1:7" x14ac:dyDescent="0.4">
      <c r="A129" s="11"/>
      <c r="B129" s="16"/>
      <c r="C129" s="16"/>
      <c r="G129" s="1"/>
    </row>
    <row r="130" spans="1:7" x14ac:dyDescent="0.4">
      <c r="A130" s="11"/>
      <c r="B130" s="16"/>
      <c r="C130" s="16"/>
      <c r="G130" s="1"/>
    </row>
    <row r="131" spans="1:7" x14ac:dyDescent="0.4">
      <c r="A131" s="11"/>
      <c r="B131" s="16"/>
      <c r="C131" s="16"/>
      <c r="G131" s="1"/>
    </row>
    <row r="132" spans="1:7" x14ac:dyDescent="0.4">
      <c r="A132" s="11"/>
      <c r="B132" s="16"/>
      <c r="C132" s="16"/>
      <c r="G132" s="1"/>
    </row>
    <row r="133" spans="1:7" x14ac:dyDescent="0.4">
      <c r="A133" s="11"/>
      <c r="B133" s="16"/>
      <c r="C133" s="16"/>
      <c r="G133" s="1"/>
    </row>
    <row r="134" spans="1:7" x14ac:dyDescent="0.4">
      <c r="A134" s="11"/>
      <c r="B134" s="16"/>
      <c r="C134" s="16"/>
      <c r="G134" s="1"/>
    </row>
    <row r="135" spans="1:7" x14ac:dyDescent="0.4">
      <c r="A135" s="11"/>
      <c r="B135" s="16"/>
      <c r="C135" s="16"/>
      <c r="G135" s="1"/>
    </row>
    <row r="136" spans="1:7" x14ac:dyDescent="0.4">
      <c r="A136" s="11"/>
      <c r="B136" s="16"/>
      <c r="C136" s="16"/>
      <c r="G136" s="1"/>
    </row>
    <row r="137" spans="1:7" x14ac:dyDescent="0.4">
      <c r="A137" s="11"/>
      <c r="B137" s="16"/>
      <c r="C137" s="16"/>
      <c r="G137" s="1"/>
    </row>
    <row r="138" spans="1:7" x14ac:dyDescent="0.4">
      <c r="A138" s="11"/>
      <c r="B138" s="16"/>
      <c r="C138" s="16"/>
      <c r="G138" s="1"/>
    </row>
    <row r="139" spans="1:7" x14ac:dyDescent="0.4">
      <c r="A139" s="11"/>
      <c r="B139" s="16"/>
      <c r="C139" s="16"/>
      <c r="G139" s="1"/>
    </row>
    <row r="140" spans="1:7" x14ac:dyDescent="0.4">
      <c r="A140" s="11"/>
      <c r="B140" s="16"/>
      <c r="C140" s="16"/>
      <c r="G140" s="1"/>
    </row>
    <row r="141" spans="1:7" x14ac:dyDescent="0.4">
      <c r="A141" s="11"/>
      <c r="B141" s="16"/>
      <c r="C141" s="16"/>
      <c r="G141" s="1"/>
    </row>
    <row r="142" spans="1:7" x14ac:dyDescent="0.4">
      <c r="A142" s="11"/>
      <c r="B142" s="16"/>
      <c r="C142" s="16"/>
      <c r="G142" s="1"/>
    </row>
    <row r="143" spans="1:7" x14ac:dyDescent="0.4">
      <c r="A143" s="11"/>
      <c r="B143" s="16"/>
      <c r="C143" s="16"/>
      <c r="G143" s="1"/>
    </row>
    <row r="144" spans="1:7" x14ac:dyDescent="0.4">
      <c r="A144" s="11"/>
      <c r="B144" s="16"/>
      <c r="C144" s="16"/>
      <c r="G144" s="1"/>
    </row>
    <row r="145" spans="1:7" x14ac:dyDescent="0.4">
      <c r="A145" s="11"/>
      <c r="B145" s="16"/>
      <c r="C145" s="16"/>
      <c r="G145" s="1"/>
    </row>
    <row r="146" spans="1:7" x14ac:dyDescent="0.4">
      <c r="A146" s="11"/>
      <c r="B146" s="16"/>
      <c r="C146" s="16"/>
      <c r="G146" s="1"/>
    </row>
    <row r="147" spans="1:7" x14ac:dyDescent="0.4">
      <c r="A147" s="11"/>
      <c r="B147" s="16"/>
      <c r="C147" s="16"/>
      <c r="G147" s="1"/>
    </row>
    <row r="148" spans="1:7" x14ac:dyDescent="0.4">
      <c r="A148" s="11"/>
      <c r="B148" s="16"/>
      <c r="C148" s="16"/>
      <c r="G148" s="1"/>
    </row>
    <row r="149" spans="1:7" x14ac:dyDescent="0.4">
      <c r="A149" s="11"/>
      <c r="B149" s="16"/>
      <c r="C149" s="16"/>
      <c r="G149" s="1"/>
    </row>
    <row r="150" spans="1:7" x14ac:dyDescent="0.4">
      <c r="A150" s="11"/>
      <c r="B150" s="16"/>
      <c r="C150" s="16"/>
      <c r="G150" s="1"/>
    </row>
    <row r="151" spans="1:7" x14ac:dyDescent="0.4">
      <c r="A151" s="11"/>
      <c r="B151" s="16"/>
      <c r="C151" s="16"/>
      <c r="G151" s="1"/>
    </row>
    <row r="152" spans="1:7" x14ac:dyDescent="0.4">
      <c r="A152" s="11"/>
      <c r="B152" s="16"/>
      <c r="C152" s="16"/>
      <c r="G152" s="1"/>
    </row>
    <row r="153" spans="1:7" x14ac:dyDescent="0.4">
      <c r="A153" s="11"/>
      <c r="B153" s="16"/>
      <c r="C153" s="16"/>
      <c r="G153" s="1"/>
    </row>
    <row r="154" spans="1:7" x14ac:dyDescent="0.4">
      <c r="A154" s="11"/>
      <c r="B154" s="16"/>
      <c r="C154" s="16"/>
      <c r="G154" s="1"/>
    </row>
    <row r="155" spans="1:7" x14ac:dyDescent="0.4">
      <c r="A155" s="11"/>
      <c r="B155" s="16"/>
      <c r="C155" s="16"/>
      <c r="G155" s="1"/>
    </row>
    <row r="156" spans="1:7" x14ac:dyDescent="0.4">
      <c r="A156" s="11"/>
      <c r="B156" s="16"/>
      <c r="C156" s="16"/>
      <c r="G156" s="1"/>
    </row>
    <row r="157" spans="1:7" x14ac:dyDescent="0.4">
      <c r="A157" s="11"/>
      <c r="B157" s="16"/>
      <c r="C157" s="16"/>
      <c r="G157" s="1"/>
    </row>
    <row r="158" spans="1:7" x14ac:dyDescent="0.4">
      <c r="A158" s="11"/>
      <c r="B158" s="16"/>
      <c r="C158" s="16"/>
      <c r="G158" s="1"/>
    </row>
    <row r="159" spans="1:7" x14ac:dyDescent="0.4">
      <c r="A159" s="11"/>
      <c r="B159" s="16"/>
      <c r="C159" s="16"/>
      <c r="G159" s="1"/>
    </row>
    <row r="160" spans="1:7" x14ac:dyDescent="0.4">
      <c r="A160" s="11"/>
      <c r="B160" s="16"/>
      <c r="C160" s="16"/>
      <c r="G160" s="1"/>
    </row>
    <row r="161" spans="1:7" x14ac:dyDescent="0.4">
      <c r="A161" s="11"/>
      <c r="B161" s="16"/>
      <c r="C161" s="16"/>
      <c r="G161" s="1"/>
    </row>
    <row r="162" spans="1:7" x14ac:dyDescent="0.4">
      <c r="A162" s="11"/>
      <c r="B162" s="16"/>
      <c r="C162" s="16"/>
      <c r="G162" s="1"/>
    </row>
    <row r="163" spans="1:7" x14ac:dyDescent="0.4">
      <c r="A163" s="11"/>
      <c r="B163" s="16"/>
      <c r="C163" s="16"/>
      <c r="G163" s="1"/>
    </row>
    <row r="164" spans="1:7" x14ac:dyDescent="0.4">
      <c r="A164" s="11"/>
      <c r="B164" s="16"/>
      <c r="C164" s="16"/>
      <c r="G164" s="1"/>
    </row>
    <row r="165" spans="1:7" x14ac:dyDescent="0.4">
      <c r="A165" s="11"/>
      <c r="B165" s="16"/>
      <c r="C165" s="16"/>
      <c r="G165" s="1"/>
    </row>
    <row r="166" spans="1:7" x14ac:dyDescent="0.4">
      <c r="A166" s="11"/>
      <c r="B166" s="16"/>
      <c r="C166" s="16"/>
      <c r="G166" s="1"/>
    </row>
    <row r="167" spans="1:7" x14ac:dyDescent="0.4">
      <c r="A167" s="11"/>
      <c r="B167" s="16"/>
      <c r="C167" s="16"/>
      <c r="G167" s="1"/>
    </row>
    <row r="168" spans="1:7" x14ac:dyDescent="0.4">
      <c r="A168" s="11"/>
      <c r="B168" s="16"/>
      <c r="C168" s="16"/>
      <c r="G168" s="1"/>
    </row>
    <row r="169" spans="1:7" x14ac:dyDescent="0.4">
      <c r="A169" s="11"/>
      <c r="B169" s="16"/>
      <c r="C169" s="16"/>
      <c r="G169" s="1"/>
    </row>
    <row r="170" spans="1:7" x14ac:dyDescent="0.4">
      <c r="A170" s="11"/>
      <c r="B170" s="16"/>
      <c r="C170" s="16"/>
      <c r="G170" s="1"/>
    </row>
    <row r="171" spans="1:7" x14ac:dyDescent="0.4">
      <c r="A171" s="11"/>
      <c r="B171" s="16"/>
      <c r="C171" s="16"/>
      <c r="G171" s="1"/>
    </row>
    <row r="172" spans="1:7" x14ac:dyDescent="0.4">
      <c r="A172" s="11"/>
      <c r="B172" s="16"/>
      <c r="C172" s="16"/>
      <c r="G172" s="1"/>
    </row>
    <row r="173" spans="1:7" x14ac:dyDescent="0.4">
      <c r="A173" s="11"/>
      <c r="B173" s="16"/>
      <c r="C173" s="16"/>
      <c r="G173" s="1"/>
    </row>
    <row r="174" spans="1:7" x14ac:dyDescent="0.4">
      <c r="A174" s="11"/>
      <c r="B174" s="16"/>
      <c r="C174" s="16"/>
      <c r="G174" s="1"/>
    </row>
    <row r="175" spans="1:7" x14ac:dyDescent="0.4">
      <c r="A175" s="11"/>
      <c r="G175" s="1"/>
    </row>
    <row r="176" spans="1:7" x14ac:dyDescent="0.4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65314</xdr:rowOff>
                  </from>
                  <to>
                    <xdr:col>18</xdr:col>
                    <xdr:colOff>288471</xdr:colOff>
                    <xdr:row>14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86B02-2E8C-4779-BD89-0D643EB11B24}">
  <sheetPr codeName="Sheet_GL"/>
  <dimension ref="A1:F20"/>
  <sheetViews>
    <sheetView workbookViewId="0">
      <selection activeCell="E28" sqref="E28"/>
    </sheetView>
  </sheetViews>
  <sheetFormatPr defaultRowHeight="14.6" x14ac:dyDescent="0.4"/>
  <cols>
    <col min="2" max="2" width="13.3046875" customWidth="1"/>
    <col min="3" max="3" width="10.53515625" customWidth="1"/>
    <col min="4" max="4" width="15.69140625" customWidth="1"/>
  </cols>
  <sheetData>
    <row r="1" spans="1:6" x14ac:dyDescent="0.4">
      <c r="A1" t="str">
        <f>версия_</f>
        <v>вер 7.5</v>
      </c>
    </row>
    <row r="3" spans="1:6" x14ac:dyDescent="0.4">
      <c r="B3" t="s">
        <v>178</v>
      </c>
    </row>
    <row r="5" spans="1:6" x14ac:dyDescent="0.4">
      <c r="B5" t="s">
        <v>179</v>
      </c>
      <c r="C5">
        <v>3</v>
      </c>
      <c r="F5" t="str">
        <f>[1]!WellGL_Encode_string(34,4,4,3,34,3,,3,,B11,C11,D11)</f>
        <v>Hperf_m:34,00000;Htub_m:4,00000;Udl_m:4,00000;dCas_mm:3,00000;dTub_mm:34,00000;dchoke_mm:3,00000;roughness_m:0,00010;Tbh_C:3,00000;Twh_C:25,00000;GLV:1;H_glv_m:500,000;d_glv_mm:0,000;p_glv_atma:50,000;</v>
      </c>
    </row>
    <row r="7" spans="1:6" x14ac:dyDescent="0.4">
      <c r="B7" t="s">
        <v>181</v>
      </c>
    </row>
    <row r="8" spans="1:6" x14ac:dyDescent="0.4">
      <c r="F8" t="str">
        <f>[1]!WellGL_Decode_string(F5,1)</f>
        <v>Hperf_m:34,00000;Htub_m:4,00000;Udl_m:4,00000;dCas_mm:3,00000;dTub_mm:34,00000;dchoke_mm:3,00000;roughness_m:0,00010;Tbh_C:3,00000;Twh_C:25,00000;GLV:1;H_glv_m:500,000;d_glv_mm:0,000;p_glv_atma:50,000;</v>
      </c>
    </row>
    <row r="9" spans="1:6" x14ac:dyDescent="0.4">
      <c r="B9" s="5" t="s">
        <v>170</v>
      </c>
      <c r="C9" s="5" t="s">
        <v>180</v>
      </c>
      <c r="D9" s="5" t="s">
        <v>191</v>
      </c>
    </row>
    <row r="10" spans="1:6" x14ac:dyDescent="0.4">
      <c r="B10" s="5" t="s">
        <v>38</v>
      </c>
      <c r="C10" s="5" t="s">
        <v>41</v>
      </c>
      <c r="D10" s="5" t="s">
        <v>2</v>
      </c>
    </row>
    <row r="11" spans="1:6" x14ac:dyDescent="0.4">
      <c r="B11" s="9">
        <v>500</v>
      </c>
      <c r="C11" s="9">
        <v>0</v>
      </c>
      <c r="D11" s="9">
        <v>50</v>
      </c>
    </row>
    <row r="12" spans="1:6" x14ac:dyDescent="0.4">
      <c r="B12" s="9">
        <v>1500</v>
      </c>
      <c r="C12" s="9">
        <v>0</v>
      </c>
      <c r="D12" s="9">
        <v>60</v>
      </c>
    </row>
    <row r="13" spans="1:6" x14ac:dyDescent="0.4">
      <c r="B13" s="9">
        <v>2200</v>
      </c>
      <c r="C13" s="9">
        <v>3</v>
      </c>
      <c r="D13" s="9">
        <v>80</v>
      </c>
    </row>
    <row r="14" spans="1:6" x14ac:dyDescent="0.4">
      <c r="B14" s="9"/>
      <c r="C14" s="9"/>
      <c r="D14" s="9"/>
    </row>
    <row r="15" spans="1:6" x14ac:dyDescent="0.4">
      <c r="B15" s="9"/>
      <c r="C15" s="9"/>
      <c r="D15" s="9"/>
    </row>
    <row r="16" spans="1:6" x14ac:dyDescent="0.4">
      <c r="B16" s="9"/>
      <c r="C16" s="9"/>
      <c r="D16" s="9"/>
    </row>
    <row r="17" spans="2:4" x14ac:dyDescent="0.4">
      <c r="B17" s="9"/>
      <c r="C17" s="9"/>
      <c r="D17" s="9"/>
    </row>
    <row r="18" spans="2:4" x14ac:dyDescent="0.4">
      <c r="B18" s="9"/>
      <c r="C18" s="9"/>
      <c r="D18" s="9"/>
    </row>
    <row r="19" spans="2:4" x14ac:dyDescent="0.4">
      <c r="B19" s="9"/>
      <c r="C19" s="9"/>
      <c r="D19" s="9"/>
    </row>
    <row r="20" spans="2:4" x14ac:dyDescent="0.4">
      <c r="B20" s="9"/>
      <c r="C20" s="9"/>
      <c r="D20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calc"/>
  <dimension ref="A1:AH44"/>
  <sheetViews>
    <sheetView zoomScale="55" zoomScaleNormal="55" workbookViewId="0">
      <selection activeCell="O11" sqref="O11"/>
    </sheetView>
  </sheetViews>
  <sheetFormatPr defaultRowHeight="14.6" x14ac:dyDescent="0.4"/>
  <cols>
    <col min="15" max="15" width="10.15234375" customWidth="1"/>
    <col min="22" max="22" width="10.69140625" customWidth="1"/>
  </cols>
  <sheetData>
    <row r="1" spans="1:34" x14ac:dyDescent="0.4">
      <c r="A1" t="str">
        <f>версия_</f>
        <v>вер 7.5</v>
      </c>
    </row>
    <row r="2" spans="1:34" x14ac:dyDescent="0.4">
      <c r="C2" t="s">
        <v>140</v>
      </c>
      <c r="E2">
        <f>X3-1</f>
        <v>0</v>
      </c>
      <c r="G2" t="s">
        <v>141</v>
      </c>
      <c r="J2">
        <f>AB3-1</f>
        <v>2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4">
      <c r="X3">
        <v>1</v>
      </c>
      <c r="Y3" t="s">
        <v>143</v>
      </c>
      <c r="AB3">
        <v>3</v>
      </c>
      <c r="AC3" t="s">
        <v>145</v>
      </c>
      <c r="AG3">
        <v>3</v>
      </c>
      <c r="AH3" t="s">
        <v>160</v>
      </c>
    </row>
    <row r="4" spans="1:34" x14ac:dyDescent="0.4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7.149999999999999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7.149999999999999" x14ac:dyDescent="0.55000000000000004">
      <c r="B6" s="7" t="s">
        <v>32</v>
      </c>
      <c r="C6" s="9">
        <v>50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7.149999999999999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180</v>
      </c>
      <c r="R7" s="5" t="s">
        <v>44</v>
      </c>
      <c r="AC7" t="s">
        <v>149</v>
      </c>
    </row>
    <row r="8" spans="1:34" ht="17.149999999999999" x14ac:dyDescent="0.55000000000000004">
      <c r="B8" s="7" t="s">
        <v>34</v>
      </c>
      <c r="C8" s="12" t="s">
        <v>63</v>
      </c>
      <c r="D8" s="5" t="s">
        <v>35</v>
      </c>
      <c r="P8" s="14" t="s">
        <v>176</v>
      </c>
      <c r="Q8" s="9">
        <v>150</v>
      </c>
      <c r="R8" s="5" t="s">
        <v>44</v>
      </c>
      <c r="AC8" t="s">
        <v>150</v>
      </c>
    </row>
    <row r="9" spans="1:34" ht="17.149999999999999" x14ac:dyDescent="0.4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7.149999999999999" x14ac:dyDescent="0.55000000000000004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50.04003962043722</v>
      </c>
      <c r="R10" s="5" t="s">
        <v>44</v>
      </c>
      <c r="S10" s="14" t="s">
        <v>55</v>
      </c>
      <c r="T10" s="25">
        <v>46.380797082867986</v>
      </c>
      <c r="U10" s="5" t="s">
        <v>25</v>
      </c>
      <c r="AF10" t="str">
        <f>[1]!s(0.2563)</f>
        <v>000,26</v>
      </c>
    </row>
    <row r="11" spans="1:34" ht="17.149999999999999" x14ac:dyDescent="0.55000000000000004">
      <c r="P11" s="14" t="s">
        <v>46</v>
      </c>
      <c r="Q11" s="25">
        <v>50.04003962043722</v>
      </c>
      <c r="R11" s="5" t="s">
        <v>44</v>
      </c>
      <c r="S11" s="14" t="s">
        <v>56</v>
      </c>
      <c r="T11" s="25">
        <v>46.380797082867986</v>
      </c>
      <c r="U11" s="5" t="s">
        <v>25</v>
      </c>
    </row>
    <row r="12" spans="1:34" ht="17.149999999999999" x14ac:dyDescent="0.55000000000000004">
      <c r="M12" t="s">
        <v>63</v>
      </c>
      <c r="P12" s="14" t="s">
        <v>47</v>
      </c>
      <c r="Q12" s="25">
        <v>145.16579461519129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4">
      <c r="D13" s="1"/>
    </row>
    <row r="14" spans="1:34" x14ac:dyDescent="0.4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.15" x14ac:dyDescent="0.4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190</v>
      </c>
      <c r="M15" t="s">
        <v>186</v>
      </c>
      <c r="N15" s="1" t="s">
        <v>182</v>
      </c>
      <c r="O15" s="1" t="s">
        <v>183</v>
      </c>
      <c r="P15" s="1" t="s">
        <v>189</v>
      </c>
      <c r="Q15" s="1" t="s">
        <v>184</v>
      </c>
      <c r="R15" s="5" t="s">
        <v>177</v>
      </c>
      <c r="S15" s="14" t="s">
        <v>187</v>
      </c>
      <c r="T15" s="1"/>
      <c r="U15" s="1" t="s">
        <v>185</v>
      </c>
      <c r="W15" s="5" t="s">
        <v>170</v>
      </c>
      <c r="X15" s="1" t="s">
        <v>171</v>
      </c>
      <c r="Y15" t="s">
        <v>177</v>
      </c>
      <c r="Z15" t="s">
        <v>188</v>
      </c>
    </row>
    <row r="16" spans="1:34" x14ac:dyDescent="0.4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45</v>
      </c>
      <c r="N16">
        <v>0</v>
      </c>
      <c r="O16">
        <v>50.04003962043722</v>
      </c>
      <c r="P16">
        <v>0</v>
      </c>
      <c r="Q16">
        <v>46.380797082867986</v>
      </c>
      <c r="R16">
        <v>0</v>
      </c>
      <c r="S16">
        <v>30</v>
      </c>
      <c r="T16">
        <v>0</v>
      </c>
      <c r="U16">
        <v>0</v>
      </c>
      <c r="W16">
        <v>0</v>
      </c>
      <c r="X16" s="50">
        <f>Pline_out_atma_</f>
        <v>50.04003962043722</v>
      </c>
      <c r="Y16">
        <v>0</v>
      </c>
      <c r="Z16">
        <v>150</v>
      </c>
    </row>
    <row r="17" spans="2:26" x14ac:dyDescent="0.4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218.75</v>
      </c>
      <c r="M17">
        <v>45</v>
      </c>
      <c r="N17">
        <v>218.75</v>
      </c>
      <c r="O17">
        <v>55.367277432052184</v>
      </c>
      <c r="P17">
        <v>218.75</v>
      </c>
      <c r="Q17">
        <v>46.365703842582157</v>
      </c>
      <c r="R17">
        <v>122.22222222222223</v>
      </c>
      <c r="S17">
        <v>36.69013636695211</v>
      </c>
      <c r="W17">
        <v>0</v>
      </c>
      <c r="X17" s="50">
        <f>Pbuf_out_atma_</f>
        <v>50.04003962043722</v>
      </c>
      <c r="Y17">
        <v>122.22222222222223</v>
      </c>
      <c r="Z17">
        <v>151.54879576224693</v>
      </c>
    </row>
    <row r="18" spans="2:26" x14ac:dyDescent="0.4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437.5</v>
      </c>
      <c r="M18">
        <v>45</v>
      </c>
      <c r="N18">
        <v>437.5</v>
      </c>
      <c r="O18">
        <v>61.052532245010617</v>
      </c>
      <c r="P18">
        <v>437.5</v>
      </c>
      <c r="Q18">
        <v>46.34148076527304</v>
      </c>
      <c r="R18">
        <v>244.44444444444446</v>
      </c>
      <c r="S18">
        <v>40.285255087425099</v>
      </c>
      <c r="W18">
        <f>Hperf_m_</f>
        <v>3500</v>
      </c>
      <c r="X18" s="50">
        <f>Pwf_out_atma_</f>
        <v>145.16579461519129</v>
      </c>
      <c r="Y18">
        <v>244.44444444444446</v>
      </c>
      <c r="Z18">
        <v>153.06598268388694</v>
      </c>
    </row>
    <row r="19" spans="2:26" x14ac:dyDescent="0.4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500</v>
      </c>
      <c r="M19">
        <v>45</v>
      </c>
      <c r="N19">
        <v>500</v>
      </c>
      <c r="O19">
        <v>62.733234238923252</v>
      </c>
      <c r="P19">
        <v>500</v>
      </c>
      <c r="Q19">
        <v>46.332500140334204</v>
      </c>
      <c r="R19">
        <v>366.66666666666669</v>
      </c>
      <c r="S19">
        <v>42.202281465772337</v>
      </c>
      <c r="Y19">
        <v>366.66666666666669</v>
      </c>
      <c r="Z19">
        <v>154.57394558136232</v>
      </c>
    </row>
    <row r="20" spans="2:26" x14ac:dyDescent="0.4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656.25</v>
      </c>
      <c r="M20">
        <v>45</v>
      </c>
      <c r="N20">
        <v>656.25</v>
      </c>
      <c r="O20">
        <v>66.902437962504749</v>
      </c>
      <c r="P20">
        <v>656.25</v>
      </c>
      <c r="Q20">
        <v>46.307327049356999</v>
      </c>
      <c r="R20">
        <v>488.88888888888891</v>
      </c>
      <c r="S20">
        <v>43.21507040030464</v>
      </c>
      <c r="Y20">
        <v>488.88888888888891</v>
      </c>
      <c r="Z20">
        <v>156.08316869242293</v>
      </c>
    </row>
    <row r="21" spans="2:26" x14ac:dyDescent="0.4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875</v>
      </c>
      <c r="M21">
        <v>45</v>
      </c>
      <c r="N21">
        <v>875</v>
      </c>
      <c r="O21">
        <v>73.000713200353943</v>
      </c>
      <c r="P21">
        <v>875</v>
      </c>
      <c r="Q21">
        <v>46.250095015199136</v>
      </c>
      <c r="R21">
        <v>500</v>
      </c>
      <c r="S21">
        <v>43.292237782457235</v>
      </c>
      <c r="Y21">
        <v>500</v>
      </c>
      <c r="Z21">
        <v>156.22044981841282</v>
      </c>
    </row>
    <row r="22" spans="2:26" x14ac:dyDescent="0.4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1093.75</v>
      </c>
      <c r="M22">
        <v>45</v>
      </c>
      <c r="N22">
        <v>1093.75</v>
      </c>
      <c r="O22">
        <v>79.406903128242192</v>
      </c>
      <c r="P22">
        <v>1093.75</v>
      </c>
      <c r="Q22">
        <v>46.1724721045723</v>
      </c>
      <c r="R22">
        <v>611.11111111111109</v>
      </c>
      <c r="S22">
        <v>43.725472658272778</v>
      </c>
      <c r="Y22">
        <v>611.11111111111109</v>
      </c>
      <c r="Z22">
        <v>157.59974546818935</v>
      </c>
    </row>
    <row r="23" spans="2:26" x14ac:dyDescent="0.4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1312.5</v>
      </c>
      <c r="M23">
        <v>45</v>
      </c>
      <c r="N23">
        <v>1312.5</v>
      </c>
      <c r="O23">
        <v>85.98563073264306</v>
      </c>
      <c r="P23">
        <v>1312.5</v>
      </c>
      <c r="Q23">
        <v>46.091140925420369</v>
      </c>
      <c r="R23">
        <v>733.33333333333337</v>
      </c>
      <c r="S23">
        <v>43.984007218066303</v>
      </c>
      <c r="Y23">
        <v>733.33333333333337</v>
      </c>
      <c r="Z23">
        <v>159.12682073039682</v>
      </c>
    </row>
    <row r="24" spans="2:26" x14ac:dyDescent="0.4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1500</v>
      </c>
      <c r="M24">
        <v>45</v>
      </c>
      <c r="N24">
        <v>1500</v>
      </c>
      <c r="O24">
        <v>91.687722932519776</v>
      </c>
      <c r="P24">
        <v>1500</v>
      </c>
      <c r="Q24">
        <v>46.010920061146919</v>
      </c>
      <c r="R24">
        <v>855.55555555555566</v>
      </c>
      <c r="S24">
        <v>44.122973116554121</v>
      </c>
      <c r="Y24">
        <v>855.55555555555566</v>
      </c>
      <c r="Z24">
        <v>160.66511257647031</v>
      </c>
    </row>
    <row r="25" spans="2:26" x14ac:dyDescent="0.4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1531.25</v>
      </c>
      <c r="M25">
        <v>45</v>
      </c>
      <c r="N25">
        <v>1531.25</v>
      </c>
      <c r="O25">
        <v>92.637575610960539</v>
      </c>
      <c r="P25">
        <v>1531.25</v>
      </c>
      <c r="Q25">
        <v>45.994243643689103</v>
      </c>
      <c r="R25">
        <v>977.77777777777783</v>
      </c>
      <c r="S25">
        <v>44.201570776890954</v>
      </c>
      <c r="Y25">
        <v>977.77777777777783</v>
      </c>
      <c r="Z25">
        <v>162.21536081387279</v>
      </c>
    </row>
    <row r="26" spans="2:26" x14ac:dyDescent="0.4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1750</v>
      </c>
      <c r="M26">
        <v>45</v>
      </c>
      <c r="N26">
        <v>1750</v>
      </c>
      <c r="O26">
        <v>99.269919824680457</v>
      </c>
      <c r="P26">
        <v>1750</v>
      </c>
      <c r="Q26">
        <v>45.850291911934363</v>
      </c>
      <c r="R26">
        <v>1100</v>
      </c>
      <c r="S26">
        <v>44.256534680893374</v>
      </c>
      <c r="Y26">
        <v>1100</v>
      </c>
      <c r="Z26">
        <v>163.77793452369116</v>
      </c>
    </row>
    <row r="27" spans="2:26" x14ac:dyDescent="0.4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1968.75</v>
      </c>
      <c r="M27">
        <v>45</v>
      </c>
      <c r="N27">
        <v>1968.75</v>
      </c>
      <c r="O27">
        <v>105.83735773016051</v>
      </c>
      <c r="P27">
        <v>1968.75</v>
      </c>
      <c r="Q27">
        <v>45.594780879449559</v>
      </c>
      <c r="R27">
        <v>1222.2222222222222</v>
      </c>
      <c r="S27">
        <v>44.293360891962941</v>
      </c>
      <c r="Y27">
        <v>1222.2222222222222</v>
      </c>
      <c r="Z27">
        <v>165.35501999909647</v>
      </c>
    </row>
    <row r="28" spans="2:26" x14ac:dyDescent="0.4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2187.5</v>
      </c>
      <c r="M28">
        <v>45</v>
      </c>
      <c r="N28">
        <v>2187.5</v>
      </c>
      <c r="O28">
        <v>112.29045730842822</v>
      </c>
      <c r="P28">
        <v>2187.5</v>
      </c>
      <c r="Q28">
        <v>45.078358245370509</v>
      </c>
      <c r="R28">
        <v>1344.4444444444446</v>
      </c>
      <c r="S28">
        <v>44.323620490155818</v>
      </c>
      <c r="Y28">
        <v>1344.4444444444446</v>
      </c>
      <c r="Z28">
        <v>166.9448644758825</v>
      </c>
    </row>
    <row r="29" spans="2:26" x14ac:dyDescent="0.4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2200</v>
      </c>
      <c r="M29">
        <v>45</v>
      </c>
      <c r="N29">
        <v>2200</v>
      </c>
      <c r="O29">
        <v>112.65662656623928</v>
      </c>
      <c r="P29">
        <v>2200</v>
      </c>
      <c r="Q29">
        <v>45.041211919139869</v>
      </c>
      <c r="R29">
        <v>1466.6666666666667</v>
      </c>
      <c r="S29">
        <v>44.350310044405035</v>
      </c>
      <c r="Y29">
        <v>1466.6666666666667</v>
      </c>
      <c r="Z29">
        <v>168.54758370225014</v>
      </c>
    </row>
    <row r="30" spans="2:26" x14ac:dyDescent="0.4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2406.25</v>
      </c>
      <c r="M30">
        <v>45</v>
      </c>
      <c r="N30">
        <v>2406.25</v>
      </c>
      <c r="O30">
        <v>123.52729354633125</v>
      </c>
      <c r="P30">
        <v>2406.25</v>
      </c>
      <c r="Q30">
        <v>45.12902124243012</v>
      </c>
      <c r="R30">
        <v>1500</v>
      </c>
      <c r="S30">
        <v>44.357317738159878</v>
      </c>
      <c r="Y30">
        <v>1500</v>
      </c>
      <c r="Z30">
        <v>168.98604459477221</v>
      </c>
    </row>
    <row r="31" spans="2:26" x14ac:dyDescent="0.4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2500</v>
      </c>
      <c r="M31">
        <v>45</v>
      </c>
      <c r="N31">
        <v>2500</v>
      </c>
      <c r="O31">
        <v>128.27194330086002</v>
      </c>
      <c r="P31">
        <v>2500</v>
      </c>
      <c r="Q31">
        <v>45.212148620786678</v>
      </c>
      <c r="R31">
        <v>1588.8888888888889</v>
      </c>
      <c r="S31">
        <v>44.37507326895296</v>
      </c>
      <c r="Y31">
        <v>1588.8888888888889</v>
      </c>
      <c r="Z31">
        <v>170.16327765442199</v>
      </c>
    </row>
    <row r="32" spans="2:26" x14ac:dyDescent="0.4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2625</v>
      </c>
      <c r="M32">
        <v>45</v>
      </c>
      <c r="N32">
        <v>2625</v>
      </c>
      <c r="O32">
        <v>134.36289016174464</v>
      </c>
      <c r="P32">
        <v>2625</v>
      </c>
      <c r="Q32">
        <v>45.426749676476391</v>
      </c>
      <c r="R32">
        <v>1711.1111111111113</v>
      </c>
      <c r="S32">
        <v>44.39876671088453</v>
      </c>
      <c r="Y32">
        <v>1711.1111111111113</v>
      </c>
      <c r="Z32">
        <v>171.79305061222252</v>
      </c>
    </row>
    <row r="33" spans="2:26" x14ac:dyDescent="0.4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2843.75</v>
      </c>
      <c r="M33">
        <v>45</v>
      </c>
      <c r="N33">
        <v>2843.75</v>
      </c>
      <c r="O33">
        <v>140.95949838669381</v>
      </c>
      <c r="P33">
        <v>2843.75</v>
      </c>
      <c r="Q33">
        <v>46.386589003007074</v>
      </c>
      <c r="R33">
        <v>1833.3333333333335</v>
      </c>
      <c r="S33">
        <v>44.42192596512389</v>
      </c>
      <c r="Y33">
        <v>1833.3333333333335</v>
      </c>
      <c r="Z33">
        <v>173.43700823782297</v>
      </c>
    </row>
    <row r="34" spans="2:26" x14ac:dyDescent="0.4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3062.5</v>
      </c>
      <c r="M34">
        <v>45</v>
      </c>
      <c r="N34">
        <v>3062.5</v>
      </c>
      <c r="O34">
        <v>142.37489327399803</v>
      </c>
      <c r="P34">
        <v>3062.5</v>
      </c>
      <c r="Q34">
        <v>49.458688231231456</v>
      </c>
      <c r="R34">
        <v>1955.5555555555557</v>
      </c>
      <c r="S34">
        <v>44.444834432022738</v>
      </c>
      <c r="Y34">
        <v>1955.5555555555557</v>
      </c>
      <c r="Z34">
        <v>175.09423119825047</v>
      </c>
    </row>
    <row r="35" spans="2:26" x14ac:dyDescent="0.4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3281.25</v>
      </c>
      <c r="M35">
        <v>45</v>
      </c>
      <c r="N35">
        <v>3281.25</v>
      </c>
      <c r="O35">
        <v>143.78264964668503</v>
      </c>
      <c r="P35">
        <v>3281.25</v>
      </c>
      <c r="Q35">
        <v>59.215451809328293</v>
      </c>
      <c r="R35">
        <v>2077.7777777777778</v>
      </c>
      <c r="S35">
        <v>44.467610451106289</v>
      </c>
      <c r="Y35">
        <v>2077.7777777777778</v>
      </c>
      <c r="Z35">
        <v>176.76480739183677</v>
      </c>
    </row>
    <row r="36" spans="2:26" x14ac:dyDescent="0.4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45</v>
      </c>
      <c r="N36">
        <v>3500</v>
      </c>
      <c r="O36">
        <v>145.16579461519129</v>
      </c>
      <c r="P36">
        <v>3500</v>
      </c>
      <c r="Q36">
        <v>90</v>
      </c>
      <c r="R36">
        <v>2200</v>
      </c>
      <c r="S36">
        <v>44.490318839228834</v>
      </c>
      <c r="Y36">
        <v>2200</v>
      </c>
      <c r="Z36">
        <v>178.44882615713433</v>
      </c>
    </row>
    <row r="37" spans="2:26" x14ac:dyDescent="0.4">
      <c r="B37" s="2"/>
      <c r="C37" s="18">
        <v>2500</v>
      </c>
      <c r="D37" s="18">
        <v>176.72349338287597</v>
      </c>
      <c r="E37" s="18">
        <v>53</v>
      </c>
    </row>
    <row r="38" spans="2:26" x14ac:dyDescent="0.4">
      <c r="C38" s="18">
        <v>2625</v>
      </c>
      <c r="D38" s="18">
        <v>186.511102757185</v>
      </c>
      <c r="E38" s="18">
        <v>54</v>
      </c>
    </row>
    <row r="39" spans="2:26" x14ac:dyDescent="0.4">
      <c r="C39" s="18">
        <v>2750</v>
      </c>
      <c r="D39" s="18">
        <v>196.298712131494</v>
      </c>
      <c r="E39" s="18">
        <v>55</v>
      </c>
    </row>
    <row r="40" spans="2:26" x14ac:dyDescent="0.4">
      <c r="C40" s="18">
        <v>2875</v>
      </c>
      <c r="D40" s="18">
        <v>206.08632150580399</v>
      </c>
      <c r="E40" s="18">
        <v>56</v>
      </c>
    </row>
    <row r="41" spans="2:26" x14ac:dyDescent="0.4">
      <c r="C41" s="18">
        <v>3000</v>
      </c>
      <c r="D41" s="18">
        <v>215.87393088011299</v>
      </c>
      <c r="E41" s="18">
        <v>57</v>
      </c>
    </row>
    <row r="42" spans="2:26" x14ac:dyDescent="0.4">
      <c r="C42" s="18">
        <v>3125</v>
      </c>
      <c r="D42" s="18">
        <v>225.66154025442199</v>
      </c>
      <c r="E42" s="18">
        <v>58</v>
      </c>
    </row>
    <row r="43" spans="2:26" x14ac:dyDescent="0.4">
      <c r="C43" s="18">
        <v>3250</v>
      </c>
      <c r="D43" s="18">
        <v>235.44914962873099</v>
      </c>
      <c r="E43" s="18">
        <v>59</v>
      </c>
    </row>
    <row r="44" spans="2:26" x14ac:dyDescent="0.4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_from_bottom">
                <anchor moveWithCells="1" sizeWithCells="1">
                  <from>
                    <xdr:col>22</xdr:col>
                    <xdr:colOff>332014</xdr:colOff>
                    <xdr:row>3</xdr:row>
                    <xdr:rowOff>141514</xdr:rowOff>
                  </from>
                  <to>
                    <xdr:col>27</xdr:col>
                    <xdr:colOff>353786</xdr:colOff>
                    <xdr:row>7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_from_top">
                <anchor moveWithCells="1" sizeWithCells="1">
                  <from>
                    <xdr:col>22</xdr:col>
                    <xdr:colOff>353786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10886</xdr:colOff>
                    <xdr:row>2</xdr:row>
                    <xdr:rowOff>38100</xdr:rowOff>
                  </from>
                  <to>
                    <xdr:col>3</xdr:col>
                    <xdr:colOff>598714</xdr:colOff>
                    <xdr:row>3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10886</xdr:colOff>
                    <xdr:row>2</xdr:row>
                    <xdr:rowOff>27214</xdr:rowOff>
                  </from>
                  <to>
                    <xdr:col>9</xdr:col>
                    <xdr:colOff>10886</xdr:colOff>
                    <xdr:row>3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10886</xdr:colOff>
                    <xdr:row>2</xdr:row>
                    <xdr:rowOff>10886</xdr:rowOff>
                  </from>
                  <to>
                    <xdr:col>14</xdr:col>
                    <xdr:colOff>0</xdr:colOff>
                    <xdr:row>3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Sheet_test"/>
  <dimension ref="B3:N16"/>
  <sheetViews>
    <sheetView tabSelected="1" workbookViewId="0">
      <selection activeCell="L13" sqref="L13"/>
    </sheetView>
  </sheetViews>
  <sheetFormatPr defaultRowHeight="14.6" x14ac:dyDescent="0.4"/>
  <sheetData>
    <row r="3" spans="2:14" x14ac:dyDescent="0.4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14" x14ac:dyDescent="0.4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14" x14ac:dyDescent="0.4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14" x14ac:dyDescent="0.4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14" x14ac:dyDescent="0.4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14" x14ac:dyDescent="0.4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  <row r="12" spans="2:14" x14ac:dyDescent="0.4">
      <c r="B12">
        <v>150</v>
      </c>
      <c r="C12">
        <v>70</v>
      </c>
    </row>
    <row r="15" spans="2:14" x14ac:dyDescent="0.4">
      <c r="B15">
        <f t="array" ref="B15:N16">WellGL_Plin_Pwf_atma(B12,C12,0,100)</f>
        <v>14.638097444157555</v>
      </c>
      <c r="C15">
        <v>14.638097444157555</v>
      </c>
      <c r="D15">
        <v>19.119147682164968</v>
      </c>
      <c r="E15">
        <v>100</v>
      </c>
      <c r="F15">
        <v>0</v>
      </c>
      <c r="G15">
        <v>150</v>
      </c>
      <c r="H15">
        <v>50</v>
      </c>
      <c r="I15">
        <v>100</v>
      </c>
      <c r="J15">
        <v>0</v>
      </c>
      <c r="K15">
        <v>0</v>
      </c>
      <c r="L15">
        <v>0</v>
      </c>
      <c r="M15">
        <v>0</v>
      </c>
      <c r="N15">
        <v>0</v>
      </c>
    </row>
    <row r="16" spans="2:14" x14ac:dyDescent="0.4">
      <c r="B16" t="str">
        <v>Plin</v>
      </c>
      <c r="C16" t="str">
        <v>Pline_atma</v>
      </c>
      <c r="D16" t="str">
        <v>Pbuf_atma</v>
      </c>
      <c r="E16" t="str">
        <v>Pcas_atma</v>
      </c>
      <c r="F16" t="str">
        <v>Pgas_inj_atma</v>
      </c>
      <c r="G16" t="str">
        <v>Pwf_atma</v>
      </c>
      <c r="H16" t="str">
        <v>Tbuf_C</v>
      </c>
      <c r="I16" t="str">
        <v>Tbh_C</v>
      </c>
      <c r="J16">
        <v>0</v>
      </c>
      <c r="K16">
        <v>0</v>
      </c>
      <c r="L16">
        <v>0</v>
      </c>
      <c r="M16">
        <v>0</v>
      </c>
      <c r="N1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118</vt:i4>
      </vt:variant>
    </vt:vector>
  </HeadingPairs>
  <TitlesOfParts>
    <vt:vector size="124" baseType="lpstr">
      <vt:lpstr>Unifloc</vt:lpstr>
      <vt:lpstr>PVT</vt:lpstr>
      <vt:lpstr>Construction</vt:lpstr>
      <vt:lpstr>GasLift</vt:lpstr>
      <vt:lpstr>Calc</vt:lpstr>
      <vt:lpstr>Test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Calc!hmes_tamb_out_m_</vt:lpstr>
      <vt:lpstr>hmes_tamb_out_m_</vt:lpstr>
      <vt:lpstr>Hmes_valves_m_</vt:lpstr>
      <vt:lpstr>Hout_</vt:lpstr>
      <vt:lpstr>Hperf_m_</vt:lpstr>
      <vt:lpstr>Htub_m_</vt:lpstr>
      <vt:lpstr>hvert_incl_m_</vt:lpstr>
      <vt:lpstr>hvert_incl_out_m_</vt:lpstr>
      <vt:lpstr>Calc!hvert_tamb_out_m_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NumValves_</vt:lpstr>
      <vt:lpstr>PVT!P_atma_</vt:lpstr>
      <vt:lpstr>p_charge_GLV_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Calc!Ql_scm3day_</vt:lpstr>
      <vt:lpstr>PVT!Ql_scm3day_</vt:lpstr>
      <vt:lpstr>PVT!Qo_sctday_</vt:lpstr>
      <vt:lpstr>rhoo_list1_</vt:lpstr>
      <vt:lpstr>rhoo_list2_</vt:lpstr>
      <vt:lpstr>rhoo_list3_</vt:lpstr>
      <vt:lpstr>Calc!Rp_m3m3_</vt:lpstr>
      <vt:lpstr>PVT!Rp_m3m3_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Calc!tamb_out_C_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Toutcas_C_</vt:lpstr>
      <vt:lpstr>Toutcas_hmes_m_</vt:lpstr>
      <vt:lpstr>PVT!Tres_C_</vt:lpstr>
      <vt:lpstr>PVT!Tsc_C_</vt:lpstr>
      <vt:lpstr>PVT!Tsep_C_</vt:lpstr>
      <vt:lpstr>Twf_out_C_</vt:lpstr>
      <vt:lpstr>Twh_C_</vt:lpstr>
      <vt:lpstr>udl_out_m_</vt:lpstr>
      <vt:lpstr>Calc!wc_perc_</vt:lpstr>
      <vt:lpstr>PVT!wc_perc_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2019-04-01T18:00:42Z</dcterms:modified>
</cp:coreProperties>
</file>