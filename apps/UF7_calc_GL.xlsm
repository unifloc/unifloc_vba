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41F0C190-1B66-4275-99ED-B0A076E92DA0}" xr6:coauthVersionLast="43" xr6:coauthVersionMax="43" xr10:uidLastSave="{00000000-0000-0000-0000-000000000000}"/>
  <bookViews>
    <workbookView xWindow="-98" yWindow="-98" windowWidth="20715" windowHeight="13276" tabRatio="529" activeTab="1" xr2:uid="{00000000-000D-0000-FFFF-FFFF00000000}"/>
  </bookViews>
  <sheets>
    <sheet name="Unifloc" sheetId="6" r:id="rId1"/>
    <sheet name="PVT" sheetId="4" r:id="rId2"/>
    <sheet name="Construction" sheetId="3" r:id="rId3"/>
    <sheet name="GasLift" sheetId="9" r:id="rId4"/>
    <sheet name="Calc" sheetId="2" r:id="rId5"/>
    <sheet name="Лист1" sheetId="10" r:id="rId6"/>
    <sheet name="Test" sheetId="8" r:id="rId7"/>
  </sheets>
  <externalReferences>
    <externalReference r:id="rId8"/>
  </externalReferences>
  <definedNames>
    <definedName name="betta_fric_">Calc!$H$7</definedName>
    <definedName name="betta_grav_">Calc!$H$6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correlation_MF_fontan_">Calc!$J$2</definedName>
    <definedName name="correlation_PVT_fontan_">Calc!$E$2</definedName>
    <definedName name="correlation_T_fontan_">Calc!$O$2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lout_">Calc!$U$16:$U$36</definedName>
    <definedName name="Hlout_hmes_m_">Calc!$T$16:$T$36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>Calc!$C$17:$C$352</definedName>
    <definedName name="hmes_out_">Calc!$H$16:$H$36</definedName>
    <definedName name="hmes_tamb_m_">Construction!$E$19:$E$38</definedName>
    <definedName name="hmes_tamb_out_m_" localSheetId="4">Calc!$K$16:$K$36</definedName>
    <definedName name="hmes_tamb_out_m_">Construction!$S$18:$S$38</definedName>
    <definedName name="Hmes_valves_m_">GasLift!$B$11:$B$20</definedName>
    <definedName name="Hout_">Calc!$N$17:$N$36</definedName>
    <definedName name="Hperf_m_">Construction!$C$9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4">Calc!$L$16:$L$36</definedName>
    <definedName name="HydrCorr_">Calc!$AA$6</definedName>
    <definedName name="HydrCorr_selector_">Calc!$AB$3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GasLift!$C$5</definedName>
    <definedName name="P_atma_" localSheetId="1">PVT!$C$8</definedName>
    <definedName name="p_charge_GLV_">GasLift!$D$11:$D$20</definedName>
    <definedName name="P_mes_atma_">Calc!$D$17:$D$352</definedName>
    <definedName name="Pb_atma_" localSheetId="1">PVT!$G$15</definedName>
    <definedName name="Pb_diff_">PVT!$W$34</definedName>
    <definedName name="Pbuf_atma_">Calc!$Q$6</definedName>
    <definedName name="Pbuf_out_atma_">Calc!$Q$11</definedName>
    <definedName name="Pcas_atma_">Calc!$Q$8</definedName>
    <definedName name="Pcas_hmes_">Calc!$Y$16:$Y$36</definedName>
    <definedName name="Pcas_out_atma_">Calc!$Z$16:$Z$36</definedName>
    <definedName name="Plin_mes_atma_">Calc!$D$16</definedName>
    <definedName name="Pline_atma_">Calc!$Q$5</definedName>
    <definedName name="Pline_out_atma_">Calc!$Q$10</definedName>
    <definedName name="pmes_out_">Calc!$I$16:$I$36</definedName>
    <definedName name="Pout_">Calc!$O$17:$O$36</definedName>
    <definedName name="Pout_atma_">Calc!$O$16:$O$36</definedName>
    <definedName name="Pout_hmes_m_">Calc!$N$16:$N$36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Calc!$X$3</definedName>
    <definedName name="PVTstr_">PVT!$C$19</definedName>
    <definedName name="Pwf_atma_">Calc!$Q$7</definedName>
    <definedName name="Pwf_out_atma_">Calc!$Q$12</definedName>
    <definedName name="Qg_scm3day_">Calc!$C$11</definedName>
    <definedName name="Ql_scm3day_" localSheetId="4">Calc!$C$6</definedName>
    <definedName name="Ql_scm3day_" localSheetId="1">PVT!$K$8</definedName>
    <definedName name="Qo_sctday_" localSheetId="1">PVT!$K$10</definedName>
    <definedName name="rhoo_list1_">PVT!$J$60:$J$100</definedName>
    <definedName name="rhoo_list2_">PVT!$K$60:$K$100</definedName>
    <definedName name="rhoo_list3_">PVT!$L$60:$L$100</definedName>
    <definedName name="Rp_m3m3_" localSheetId="4">Calc!$C$9</definedName>
    <definedName name="Rp_m3m3_" localSheetId="1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>Calc!$E$17:$E$352</definedName>
    <definedName name="tamb_C_">Construction!$F$19:$F$38</definedName>
    <definedName name="tamb_out_C_" localSheetId="4">Calc!$M$16:$M$36</definedName>
    <definedName name="tamb_out_C_">Construction!$T$18:$T$38</definedName>
    <definedName name="Tbh_c_">Calc!$M$6</definedName>
    <definedName name="Tbuf_out_C_">Calc!$T$11</definedName>
    <definedName name="Tlin_mes_C_">Calc!$E$16</definedName>
    <definedName name="Tline_out_C_">Calc!$T$10</definedName>
    <definedName name="tmes_out_">Calc!$J$16:$J$36</definedName>
    <definedName name="Tout_C_">Calc!$Q$16:$Q$36</definedName>
    <definedName name="Tout_hmes_m_">Calc!$P$16:$P$36</definedName>
    <definedName name="Toutcas_C_">Calc!$S$16:$S$36</definedName>
    <definedName name="Toutcas_hmes_m_">Calc!$R$16:$R$36</definedName>
    <definedName name="Tres_C_" localSheetId="1">PVT!$G$14</definedName>
    <definedName name="Tsc_C_" localSheetId="1">PVT!$K$3</definedName>
    <definedName name="Tsep_C_" localSheetId="1">PVT!$O$10</definedName>
    <definedName name="Twf_out_C_">Calc!$T$12</definedName>
    <definedName name="Twh_C_">Calc!$M$7</definedName>
    <definedName name="udl_out_m_">Construction!$R$18:$R$38</definedName>
    <definedName name="wc_perc_" localSheetId="4">Calc!$C$7</definedName>
    <definedName name="wc_perc_" localSheetId="1">PVT!$K$9</definedName>
    <definedName name="версия_">Unifloc!$A$1</definedName>
    <definedName name="версия_номер_">Unifloc!$B$1</definedName>
  </definedNames>
  <calcPr calcId="191029"/>
  <fileRecoveryPr autoRecover="0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7" i="4" l="1"/>
  <c r="X45" i="4"/>
  <c r="W39" i="4"/>
  <c r="W38" i="4"/>
  <c r="AB37" i="4"/>
  <c r="AA37" i="4"/>
  <c r="AB36" i="4"/>
  <c r="AA36" i="4"/>
  <c r="AD35" i="4"/>
  <c r="AD34" i="4"/>
  <c r="C26" i="4"/>
  <c r="G25" i="4"/>
  <c r="C25" i="4"/>
  <c r="K11" i="4"/>
  <c r="K12" i="4" s="1"/>
  <c r="K9" i="4"/>
  <c r="K8" i="4"/>
  <c r="K10" i="4" s="1"/>
  <c r="C46" i="4"/>
  <c r="C45" i="4"/>
  <c r="C44" i="4"/>
  <c r="C19" i="4"/>
  <c r="B1" i="6"/>
  <c r="B20" i="8" a="1"/>
  <c r="M38" i="4"/>
  <c r="E36" i="4"/>
  <c r="C6" i="10"/>
  <c r="C36" i="4"/>
  <c r="T34" i="4"/>
  <c r="C41" i="4"/>
  <c r="E35" i="4"/>
  <c r="M34" i="4"/>
  <c r="M33" i="4"/>
  <c r="C35" i="4"/>
  <c r="E38" i="4"/>
  <c r="C37" i="4"/>
  <c r="F5" i="9"/>
  <c r="M41" i="4"/>
  <c r="I38" i="4"/>
  <c r="E33" i="4"/>
  <c r="C50" i="4"/>
  <c r="G24" i="4"/>
  <c r="I37" i="4"/>
  <c r="M35" i="4"/>
  <c r="I36" i="4"/>
  <c r="M36" i="4"/>
  <c r="C38" i="4"/>
  <c r="E34" i="4"/>
  <c r="I35" i="4"/>
  <c r="I33" i="4"/>
  <c r="I34" i="4"/>
  <c r="E37" i="4"/>
  <c r="C33" i="4"/>
  <c r="M37" i="4"/>
  <c r="C24" i="4"/>
  <c r="B15" i="8" a="1"/>
  <c r="V34" i="4"/>
  <c r="V37" i="4" s="1"/>
  <c r="C34" i="4"/>
  <c r="T35" i="4"/>
  <c r="V36" i="4"/>
  <c r="C28" i="4"/>
  <c r="C29" i="4"/>
  <c r="C27" i="4"/>
  <c r="D20" i="8" l="1"/>
  <c r="L20" i="8"/>
  <c r="G21" i="8"/>
  <c r="E20" i="8"/>
  <c r="M20" i="8"/>
  <c r="H21" i="8"/>
  <c r="F20" i="8"/>
  <c r="N20" i="8"/>
  <c r="I21" i="8"/>
  <c r="G20" i="8"/>
  <c r="B21" i="8"/>
  <c r="J21" i="8"/>
  <c r="H20" i="8"/>
  <c r="C21" i="8"/>
  <c r="K21" i="8"/>
  <c r="I20" i="8"/>
  <c r="D21" i="8"/>
  <c r="L21" i="8"/>
  <c r="B20" i="8"/>
  <c r="J20" i="8"/>
  <c r="E21" i="8"/>
  <c r="M21" i="8"/>
  <c r="C20" i="8"/>
  <c r="K20" i="8"/>
  <c r="F21" i="8"/>
  <c r="N21" i="8"/>
  <c r="C15" i="8"/>
  <c r="K15" i="8"/>
  <c r="F16" i="8"/>
  <c r="N16" i="8"/>
  <c r="I16" i="8"/>
  <c r="B16" i="8"/>
  <c r="K16" i="8"/>
  <c r="D16" i="8"/>
  <c r="B15" i="8"/>
  <c r="M16" i="8"/>
  <c r="D15" i="8"/>
  <c r="L15" i="8"/>
  <c r="G16" i="8"/>
  <c r="F15" i="8"/>
  <c r="J16" i="8"/>
  <c r="H15" i="8"/>
  <c r="I15" i="8"/>
  <c r="L16" i="8"/>
  <c r="J15" i="8"/>
  <c r="E16" i="8"/>
  <c r="E15" i="8"/>
  <c r="M15" i="8"/>
  <c r="H16" i="8"/>
  <c r="N15" i="8"/>
  <c r="G15" i="8"/>
  <c r="C16" i="8"/>
  <c r="W37" i="4"/>
  <c r="AB35" i="4" s="1"/>
  <c r="F35" i="4"/>
  <c r="W34" i="4"/>
  <c r="W36" i="4"/>
  <c r="AB39" i="4" s="1"/>
  <c r="F38" i="4"/>
  <c r="B80" i="4"/>
  <c r="F33" i="4"/>
  <c r="F34" i="4"/>
  <c r="U35" i="4"/>
  <c r="AA34" i="4" s="1"/>
  <c r="F36" i="4"/>
  <c r="U34" i="4"/>
  <c r="AA33" i="4" s="1"/>
  <c r="F37" i="4"/>
  <c r="X16" i="2"/>
  <c r="X17" i="2"/>
  <c r="W18" i="2"/>
  <c r="X18" i="2"/>
  <c r="V35" i="4"/>
  <c r="B5" i="8" a="1"/>
  <c r="T37" i="4"/>
  <c r="B3" i="8" a="1"/>
  <c r="T36" i="4"/>
  <c r="AF10" i="2"/>
  <c r="B4" i="8" a="1"/>
  <c r="F8" i="9"/>
  <c r="U36" i="4" l="1"/>
  <c r="AA39" i="4" s="1"/>
  <c r="U37" i="4"/>
  <c r="AA35" i="4" s="1"/>
  <c r="W35" i="4"/>
  <c r="AB34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AB33" i="4"/>
  <c r="R35" i="4"/>
  <c r="AD33" i="4" s="1"/>
  <c r="B5" i="8"/>
  <c r="B4" i="8"/>
  <c r="B3" i="8"/>
  <c r="B8" i="8" a="1"/>
  <c r="G8" i="8" l="1"/>
  <c r="B10" i="8"/>
  <c r="E9" i="8"/>
  <c r="C9" i="8"/>
  <c r="I8" i="8"/>
  <c r="C10" i="8"/>
  <c r="H9" i="8"/>
  <c r="G9" i="8"/>
  <c r="C8" i="8"/>
  <c r="E10" i="8"/>
  <c r="G10" i="8"/>
  <c r="H8" i="8"/>
  <c r="I9" i="8"/>
  <c r="D8" i="8"/>
  <c r="H10" i="8"/>
  <c r="F8" i="8"/>
  <c r="I10" i="8"/>
  <c r="D9" i="8"/>
  <c r="F10" i="8"/>
  <c r="B9" i="8"/>
  <c r="E8" i="8"/>
  <c r="F9" i="8"/>
  <c r="B8" i="8"/>
  <c r="D10" i="8"/>
  <c r="A4" i="6"/>
  <c r="A1" i="6"/>
  <c r="A1" i="2" l="1"/>
  <c r="A1" i="4"/>
  <c r="A1" i="9"/>
  <c r="A1" i="3"/>
  <c r="C10" i="2"/>
  <c r="O2" i="2" l="1"/>
  <c r="J2" i="2"/>
  <c r="E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<sst xmlns="http://schemas.openxmlformats.org/spreadsheetml/2006/main" count="292" uniqueCount="194">
  <si>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</si>
  <si>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</si>
  <si>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</si>
  <si>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</si>
  <si>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</si>
  <si>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</si>
  <si>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</si>
  <si>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</si>
  <si>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</si>
  <si>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</si>
  <si>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</si>
  <si>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</si>
  <si>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</si>
  <si>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</si>
  <si>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</si>
  <si>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</si>
  <si>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</si>
  <si>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</si>
  <si>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</si>
  <si>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</si>
  <si>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</si>
  <si>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</si>
  <si>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</si>
  <si>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</si>
  <si>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</si>
  <si>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</si>
  <si>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</si>
  <si>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</si>
  <si>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</si>
  <si>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</si>
  <si>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</si>
  <si>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</si>
  <si>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</si>
  <si>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</si>
  <si>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</si>
  <si>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</si>
  <si>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</si>
  <si>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</si>
  <si>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</si>
  <si>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</si>
  <si>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</si>
  <si>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</si>
  <si>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</si>
  <si>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</si>
  <si>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</si>
  <si>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</si>
  <si>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</si>
  <si>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</si>
  <si>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</si>
  <si>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</si>
  <si>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</si>
  <si>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</si>
  <si>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</si>
  <si>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</si>
  <si>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</si>
  <si>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</si>
  <si>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</si>
  <si>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</si>
  <si>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</si>
  <si>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</si>
  <si>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</si>
  <si>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</si>
  <si>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</si>
  <si>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</si>
  <si>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</si>
  <si>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</si>
  <si>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</si>
  <si>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</si>
  <si>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</si>
  <si>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</si>
  <si>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</si>
  <si>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</si>
  <si>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</si>
  <si>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</si>
  <si>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</si>
  <si>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</si>
  <si>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</si>
  <si>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</si>
  <si>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</si>
  <si>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</si>
  <si>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</si>
  <si>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</si>
  <si>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</si>
  <si>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</si>
  <si>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</si>
  <si>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</si>
  <si>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</si>
  <si>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</si>
  <si>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</si>
  <si>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</si>
  <si>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</si>
  <si>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</si>
  <si>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</si>
  <si>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</si>
  <si>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</si>
  <si>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</si>
  <si>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</si>
  <si>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</si>
  <si>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</si>
  <si>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</si>
  <si>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</si>
  <si>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</si>
  <si>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</si>
  <si>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</si>
  <si>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</si>
  <si>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</si>
  <si>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</si>
  <si>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</si>
  <si>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</si>
  <si>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</si>
  <si>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</si>
  <si>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</si>
  <si>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</si>
  <si>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</si>
  <si>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</si>
  <si>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</si>
  <si>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</si>
  <si>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</si>
  <si>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</si>
  <si>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</si>
  <si>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</si>
  <si>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</si>
  <si>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</si>
  <si>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</si>
  <si>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</si>
  <si>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</si>
  <si>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</si>
  <si>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</si>
  <si>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</si>
  <si>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</si>
  <si>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</si>
  <si>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</si>
  <si>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</si>
  <si>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</si>
  <si>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</si>
  <si>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</si>
  <si>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</si>
  <si>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</si>
  <si>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</si>
  <si>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</si>
  <si>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</si>
  <si>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</si>
  <si>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</si>
  <si>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</si>
  <si>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</si>
  <si>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</si>
  <si>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</si>
  <si>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</si>
  <si>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</si>
  <si>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</si>
  <si>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</si>
  <si>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</si>
  <si>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</si>
  <si>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</si>
  <si>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</si>
  <si>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</si>
  <si>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</si>
  <si>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</si>
  <si>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</si>
  <si>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</si>
  <si>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</si>
  <si>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</si>
  <si>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</si>
  <si>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</si>
  <si>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</si>
  <si>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</si>
  <si>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</si>
  <si>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</si>
  <si>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</si>
  <si>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</si>
  <si>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</si>
  <si>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</si>
  <si>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</si>
  <si>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</si>
  <si>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</si>
  <si>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</si>
  <si>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</si>
  <si>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</si>
  <si>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Ввод данных по газлифтной компоновке</t>
  </si>
  <si>
    <t>Кол-клапанов</t>
  </si>
  <si>
    <t>Диаметр</t>
  </si>
  <si>
    <t>Глубины расположения клапанов</t>
  </si>
  <si>
    <t>hmes ptub</t>
  </si>
  <si>
    <t>Ptub</t>
  </si>
  <si>
    <t>Ttub</t>
  </si>
  <si>
    <t>Hl</t>
  </si>
  <si>
    <t>Tamb</t>
  </si>
  <si>
    <t>Tcas</t>
  </si>
  <si>
    <t>pcas</t>
  </si>
  <si>
    <t>hmes Ttub</t>
  </si>
  <si>
    <t>hmes Tamb</t>
  </si>
  <si>
    <t>Давление зарядки</t>
  </si>
  <si>
    <t>Qg_inj</t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</si>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</sst>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</font>
    <font>
      <vertAlign val="subscript"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0,70,  γo = 0,80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0.1948046302957662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0,70,  γo new  = 0,86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0.43554670446871602</c:v>
                </c:pt>
                <c:pt idx="1">
                  <c:v>3.2953163716389518E-2</c:v>
                </c:pt>
                <c:pt idx="2">
                  <c:v>0.41598758362809413</c:v>
                </c:pt>
                <c:pt idx="3">
                  <c:v>7.4999999999999928E-2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Calc!$U$16:$U$36</c:f>
              <c:numCache>
                <c:formatCode>General</c:formatCode>
                <c:ptCount val="21"/>
              </c:numCache>
            </c:numRef>
          </c:xVal>
          <c:yVal>
            <c:numRef>
              <c:f>Calc!$T$16:$T$36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Calc!$O$16:$O$36</c:f>
              <c:numCache>
                <c:formatCode>General</c:formatCode>
                <c:ptCount val="21"/>
                <c:pt idx="0">
                  <c:v>26.751020533820796</c:v>
                </c:pt>
                <c:pt idx="1">
                  <c:v>36.341614088665899</c:v>
                </c:pt>
                <c:pt idx="2">
                  <c:v>47.259819426818609</c:v>
                </c:pt>
                <c:pt idx="3">
                  <c:v>58.143150173120958</c:v>
                </c:pt>
                <c:pt idx="4">
                  <c:v>68.246010004234094</c:v>
                </c:pt>
                <c:pt idx="5">
                  <c:v>78.908874487015296</c:v>
                </c:pt>
                <c:pt idx="6">
                  <c:v>90.221208193171393</c:v>
                </c:pt>
                <c:pt idx="7">
                  <c:v>101.65416534523548</c:v>
                </c:pt>
                <c:pt idx="8">
                  <c:v>112.61025139046089</c:v>
                </c:pt>
                <c:pt idx="9">
                  <c:v>123.09665520103532</c:v>
                </c:pt>
                <c:pt idx="10">
                  <c:v>133.11424640777486</c:v>
                </c:pt>
                <c:pt idx="11">
                  <c:v>142.66458842810579</c:v>
                </c:pt>
                <c:pt idx="12">
                  <c:v>151.74968322757465</c:v>
                </c:pt>
                <c:pt idx="13">
                  <c:v>160.36459967683723</c:v>
                </c:pt>
                <c:pt idx="14">
                  <c:v>165.08065286439</c:v>
                </c:pt>
                <c:pt idx="15">
                  <c:v>168.49611968486462</c:v>
                </c:pt>
                <c:pt idx="16">
                  <c:v>175.12373648941417</c:v>
                </c:pt>
                <c:pt idx="17">
                  <c:v>176.85362443597239</c:v>
                </c:pt>
                <c:pt idx="18">
                  <c:v>177.9027068707874</c:v>
                </c:pt>
                <c:pt idx="19">
                  <c:v>178.9514989081151</c:v>
                </c:pt>
                <c:pt idx="20">
                  <c:v>180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Calc!$H$14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A6013C46-BEF5-430A-ADA6-7E2D02C5ACA9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E44F597-12B1-4C77-B622-D6F2F997B23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BCDEC965-A298-46D5-933D-D205619FD649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723E0E6-35F7-4446-8139-C838E74EE89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30981A-E4F1-45CC-9449-94F782144AC3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27B9321-9A18-4600-9B22-3901F6F7749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Calc!$X$16:$X$18</c:f>
              <c:numCache>
                <c:formatCode>0</c:formatCode>
                <c:ptCount val="3"/>
                <c:pt idx="0">
                  <c:v>26.182822587912007</c:v>
                </c:pt>
                <c:pt idx="1">
                  <c:v>26.751020533820796</c:v>
                </c:pt>
                <c:pt idx="2">
                  <c:v>180</c:v>
                </c:pt>
              </c:numCache>
            </c:numRef>
          </c:xVal>
          <c:yVal>
            <c:numRef>
              <c:f>Calc!$W$16:$W$18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Calc!$P$10:$P$12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Calc!$Z$16:$Z$36</c:f>
              <c:numCache>
                <c:formatCode>General</c:formatCode>
                <c:ptCount val="21"/>
              </c:numCache>
            </c:numRef>
          </c:xVal>
          <c:yVal>
            <c:numRef>
              <c:f>Calc!$Y$16:$Y$36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Calc!$K$16:$K$36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Calc!$J$16:$J$36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Calc!$S$16:$S$36</c:f>
              <c:numCache>
                <c:formatCode>General</c:formatCode>
                <c:ptCount val="21"/>
              </c:numCache>
            </c:numRef>
          </c:xVal>
          <c:yVal>
            <c:numRef>
              <c:f>Calc!$R$16:$R$36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DF-4590-887C-36AF1B8EE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19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23813</xdr:colOff>
          <xdr:row>7</xdr:row>
          <xdr:rowOff>200025</xdr:rowOff>
        </xdr:from>
        <xdr:to>
          <xdr:col>20</xdr:col>
          <xdr:colOff>600075</xdr:colOff>
          <xdr:row>11</xdr:row>
          <xdr:rowOff>61913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23813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214313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176213</xdr:colOff>
          <xdr:row>56</xdr:row>
          <xdr:rowOff>104775</xdr:rowOff>
        </xdr:from>
        <xdr:to>
          <xdr:col>21</xdr:col>
          <xdr:colOff>276225</xdr:colOff>
          <xdr:row>59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27,2%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419020</xdr:colOff>
      <xdr:row>38</xdr:row>
      <xdr:rowOff>127064</xdr:rowOff>
    </xdr:from>
    <xdr:to>
      <xdr:col>17</xdr:col>
      <xdr:colOff>259719</xdr:colOff>
      <xdr:row>67</xdr:row>
      <xdr:rowOff>2365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290513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616278</xdr:colOff>
      <xdr:row>19</xdr:row>
      <xdr:rowOff>140233</xdr:rowOff>
    </xdr:from>
    <xdr:to>
      <xdr:col>21</xdr:col>
      <xdr:colOff>186087</xdr:colOff>
      <xdr:row>51</xdr:row>
      <xdr:rowOff>30897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277092</xdr:colOff>
      <xdr:row>19</xdr:row>
      <xdr:rowOff>138546</xdr:rowOff>
    </xdr:from>
    <xdr:to>
      <xdr:col>29</xdr:col>
      <xdr:colOff>43296</xdr:colOff>
      <xdr:row>51</xdr:row>
      <xdr:rowOff>25976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61913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61913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23813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Nodal_Qliq_scm3day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s"/>
      <definedName name="Well_Encode_string"/>
      <definedName name="Well_Plin_Pwf_atma"/>
      <definedName name="WellGL_Decode_string"/>
      <definedName name="WellGL_Encode_string"/>
      <definedName name="WellGL_Plin_Pwf_atma"/>
      <definedName name="WellGL_Pwf_Plin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unifloc"/>
  <dimension ref="A1:E4"/>
  <sheetViews>
    <sheetView workbookViewId="0">
      <selection activeCell="B2" sqref="B2"/>
    </sheetView>
  </sheetViews>
  <sheetFormatPr defaultRowHeight="14.25" x14ac:dyDescent="0.45"/>
  <sheetData>
    <row r="1" spans="1:5" x14ac:dyDescent="0.45">
      <c r="A1" t="str">
        <f>"вер "&amp;B1</f>
        <v>вер 7.6</v>
      </c>
      <c r="B1" s="16" t="str">
        <f>getUFVersion()</f>
        <v>7.6</v>
      </c>
    </row>
    <row r="2" spans="1:5" x14ac:dyDescent="0.45">
      <c r="A2" t="s">
        <v>161</v>
      </c>
    </row>
    <row r="4" spans="1:5" x14ac:dyDescent="0.45">
      <c r="A4" s="53" t="str">
        <f>"Унифлок "&amp;версия_номер_</f>
        <v>Унифлок 7.6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PVT">
    <outlinePr summaryBelow="0"/>
  </sheetPr>
  <dimension ref="A1:AG102"/>
  <sheetViews>
    <sheetView tabSelected="1" topLeftCell="A16" zoomScale="55" zoomScaleNormal="55" workbookViewId="0">
      <selection activeCell="G46" sqref="G46"/>
    </sheetView>
  </sheetViews>
  <sheetFormatPr defaultRowHeight="14.25" outlineLevelRow="1" x14ac:dyDescent="0.45"/>
  <cols>
    <col min="1" max="1" width="7.33203125" style="11" customWidth="1"/>
    <col min="2" max="2" width="12.33203125" customWidth="1"/>
    <col min="4" max="4" width="10.1328125" customWidth="1"/>
    <col min="7" max="7" width="12.33203125" style="1" customWidth="1"/>
    <col min="8" max="8" width="13.1328125" customWidth="1"/>
    <col min="9" max="9" width="11" customWidth="1"/>
    <col min="13" max="13" width="10" customWidth="1"/>
    <col min="14" max="14" width="10.1328125" customWidth="1"/>
  </cols>
  <sheetData>
    <row r="1" spans="1:17" x14ac:dyDescent="0.45">
      <c r="A1" s="11" t="str">
        <f>версия_</f>
        <v>вер 7.6</v>
      </c>
      <c r="J1" s="2" t="s">
        <v>23</v>
      </c>
      <c r="K1" s="2"/>
      <c r="L1" s="2"/>
    </row>
    <row r="2" spans="1:17" ht="15.75" x14ac:dyDescent="0.45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45">
      <c r="F3" s="54" t="s">
        <v>74</v>
      </c>
      <c r="G3" s="54"/>
      <c r="H3" s="9">
        <v>0</v>
      </c>
      <c r="J3" s="5" t="s">
        <v>27</v>
      </c>
      <c r="K3" s="9">
        <v>15</v>
      </c>
      <c r="L3" s="5" t="s">
        <v>24</v>
      </c>
    </row>
    <row r="6" spans="1:17" x14ac:dyDescent="0.4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5.75" x14ac:dyDescent="0.45">
      <c r="B8" s="14" t="s">
        <v>10</v>
      </c>
      <c r="C8" s="9">
        <v>30</v>
      </c>
      <c r="D8" s="5" t="s">
        <v>2</v>
      </c>
      <c r="F8" s="6" t="s">
        <v>12</v>
      </c>
      <c r="G8" s="9">
        <v>0.8</v>
      </c>
      <c r="H8" s="5"/>
      <c r="J8" s="7" t="s">
        <v>32</v>
      </c>
      <c r="K8" s="52">
        <f>Calc!Ql_scm3day_</f>
        <v>50</v>
      </c>
      <c r="L8" s="5" t="s">
        <v>33</v>
      </c>
      <c r="N8" s="6" t="s">
        <v>29</v>
      </c>
      <c r="O8" s="9">
        <v>0</v>
      </c>
      <c r="P8" s="5"/>
      <c r="Q8" s="2"/>
    </row>
    <row r="9" spans="1:17" ht="15.75" x14ac:dyDescent="0.4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Calc!wc_perc_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5.75" x14ac:dyDescent="0.4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40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5.75" x14ac:dyDescent="0.45">
      <c r="F11" s="7" t="s">
        <v>15</v>
      </c>
      <c r="G11" s="9">
        <v>100</v>
      </c>
      <c r="H11" s="5" t="s">
        <v>17</v>
      </c>
      <c r="J11" s="7" t="s">
        <v>18</v>
      </c>
      <c r="K11" s="52">
        <f>Calc!Rp_m3m3_</f>
        <v>100</v>
      </c>
      <c r="L11" s="5" t="s">
        <v>17</v>
      </c>
    </row>
    <row r="12" spans="1:17" ht="15.75" x14ac:dyDescent="0.45">
      <c r="J12" s="7" t="s">
        <v>18</v>
      </c>
      <c r="K12" s="13">
        <f>Rp_m3m3_/gamma_oil_</f>
        <v>125</v>
      </c>
      <c r="L12" s="5" t="s">
        <v>36</v>
      </c>
    </row>
    <row r="13" spans="1:17" x14ac:dyDescent="0.45">
      <c r="F13" s="2" t="s">
        <v>5</v>
      </c>
      <c r="G13" s="2"/>
      <c r="H13" s="2"/>
    </row>
    <row r="14" spans="1:17" ht="15.75" x14ac:dyDescent="0.45">
      <c r="F14" s="5" t="s">
        <v>16</v>
      </c>
      <c r="G14" s="9">
        <v>80</v>
      </c>
      <c r="H14" s="5" t="s">
        <v>75</v>
      </c>
    </row>
    <row r="15" spans="1:17" ht="15.75" x14ac:dyDescent="0.45">
      <c r="F15" s="5" t="s">
        <v>20</v>
      </c>
      <c r="G15" s="9">
        <v>100</v>
      </c>
      <c r="H15" s="5" t="s">
        <v>2</v>
      </c>
    </row>
    <row r="16" spans="1:17" ht="15.75" x14ac:dyDescent="0.45">
      <c r="F16" s="7" t="s">
        <v>21</v>
      </c>
      <c r="G16" s="9"/>
      <c r="H16" s="5" t="s">
        <v>17</v>
      </c>
    </row>
    <row r="17" spans="2:28" ht="15.75" x14ac:dyDescent="0.45">
      <c r="F17" s="8" t="s">
        <v>22</v>
      </c>
      <c r="G17" s="9"/>
      <c r="H17" s="5" t="s">
        <v>7</v>
      </c>
    </row>
    <row r="19" spans="2:28" x14ac:dyDescent="0.45">
      <c r="B19" t="s">
        <v>193</v>
      </c>
      <c r="C19" t="str">
        <f>PVT_Encode_string(gamma_gas_,gamma_oil_,gamma_w_,Rsb_m3m3_,Rp_m3m3_,Pb_atma_,Tres_C_,Bob_m3m3_,mu_cP_,PVT_correlation_,Ksep_,Psep_atma_,Tsep_C_)</f>
        <v>gamma_gas:0,700;gamma_oil:0,800;gamma_wat:1,070;rsb_m3m3:100,000;Rp_m3m3:100,000;Pb_atma:100,000;Tres_C:80,000;Bob_m3m3:;Muob_cP:;PVTcorr:0;Ksep_fr:0,000;PKsep_atma:20,000;TKsep_C:30,000;</v>
      </c>
    </row>
    <row r="21" spans="2:28" x14ac:dyDescent="0.4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2:28" outlineLevel="1" x14ac:dyDescent="0.45"/>
    <row r="23" spans="2:28" outlineLevel="1" x14ac:dyDescent="0.4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2:28" ht="15.75" outlineLevel="1" x14ac:dyDescent="0.45">
      <c r="B24" s="5" t="s">
        <v>79</v>
      </c>
      <c r="C24" s="22">
        <f>[1]!PVT_Pb_atma(Tres_C_,gamma_gas_,gamma_oil_,gamma_w_,Rsb_m3m3_,,Pb_atma_,Tres_C_,Bob_m3m3_,mu_cP_,PVT_correlation_,Ksep_,Psep_atma_,Tsep_C_)</f>
        <v>100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82.717995186413432</v>
      </c>
      <c r="H24" s="2"/>
    </row>
    <row r="25" spans="2:28" ht="15.75" outlineLevel="1" x14ac:dyDescent="0.45">
      <c r="B25" s="5" t="s">
        <v>16</v>
      </c>
      <c r="C25" s="24">
        <f>Tres_C_</f>
        <v>80</v>
      </c>
      <c r="D25" s="5" t="s">
        <v>25</v>
      </c>
      <c r="E25" s="2"/>
      <c r="F25" s="2"/>
      <c r="G25" s="25">
        <f>T_C_</f>
        <v>30</v>
      </c>
      <c r="H25" s="2"/>
    </row>
    <row r="26" spans="2:28" ht="15.75" outlineLevel="1" x14ac:dyDescent="0.45">
      <c r="B26" s="7" t="s">
        <v>15</v>
      </c>
      <c r="C26" s="24">
        <f>Rsb_m3m3_</f>
        <v>100</v>
      </c>
      <c r="D26" s="5" t="s">
        <v>17</v>
      </c>
      <c r="E26" s="2"/>
      <c r="F26" s="2"/>
      <c r="G26" s="10"/>
      <c r="H26" s="2"/>
    </row>
    <row r="27" spans="2:28" ht="15.75" outlineLevel="1" x14ac:dyDescent="0.45">
      <c r="B27" s="7" t="s">
        <v>80</v>
      </c>
      <c r="C27" s="26">
        <f>[1]!PVT_Bo_m3m3(C24,Tres_C_,gamma_gas_,gamma_oil_,gamma_w_,Rsb_m3m3_,,Pb_atma_,Tres_C_,Bob_m3m3_,mu_cP_,PVT_correlation_,Ksep_,Psep_atma_,Tsep_C_)</f>
        <v>1.3184105846929839</v>
      </c>
      <c r="D27" s="5" t="s">
        <v>17</v>
      </c>
      <c r="E27" s="2"/>
      <c r="F27" s="2"/>
      <c r="G27" s="10"/>
      <c r="H27" s="2"/>
    </row>
    <row r="28" spans="2:28" ht="15.75" outlineLevel="1" x14ac:dyDescent="0.45">
      <c r="B28" s="8" t="s">
        <v>81</v>
      </c>
      <c r="C28" s="22">
        <f>[1]!PVT_Rhoo_kgm3(C24,Tres_C_,gamma_gas_,gamma_oil_,gamma_w_,Rsb_m3m3_,,Pb_atma_,Tres_C_,Bob_m3m3_,mu_cP_,PVT_correlation_,Ksep_,Psep_atma_,Tsep_C_)</f>
        <v>671.2686498711754</v>
      </c>
      <c r="D28" s="5" t="s">
        <v>82</v>
      </c>
      <c r="E28" s="2"/>
      <c r="F28" s="2"/>
      <c r="G28" s="10"/>
      <c r="H28" s="2"/>
    </row>
    <row r="29" spans="2:28" ht="15.75" outlineLevel="1" x14ac:dyDescent="0.45">
      <c r="B29" s="8" t="s">
        <v>83</v>
      </c>
      <c r="C29" s="27">
        <f>[1]!PVT_Muo_cP(C24,Tres_C_,gamma_gas_,gamma_oil_,gamma_w_,Rsb_m3m3_,,Pb_atma_,Tres_C_,Bob_m3m3_,mu_cP_,PVT_correlation_,Ksep_,Psep_atma_,Tsep_C_)</f>
        <v>0.39840090536365236</v>
      </c>
      <c r="D29" s="5" t="s">
        <v>7</v>
      </c>
      <c r="E29" s="2"/>
      <c r="F29" s="2"/>
      <c r="G29" s="10"/>
      <c r="H29" s="2"/>
    </row>
    <row r="30" spans="2:28" outlineLevel="1" x14ac:dyDescent="0.45"/>
    <row r="31" spans="2:28" outlineLevel="1" x14ac:dyDescent="0.45"/>
    <row r="32" spans="2:28" outlineLevel="1" x14ac:dyDescent="0.4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5.75" outlineLevel="1" x14ac:dyDescent="0.55000000000000004">
      <c r="B33" s="5" t="s">
        <v>89</v>
      </c>
      <c r="C33" s="22">
        <f>[1]!PVT_Rhoo_kgm3(Psc_atma_,Tsc_C_,gamma_gas_,gamma_oil_,gamma_w_,Rsb_m3m3_,,Pb_atma_,Tres_C_,Bob_m3m3_,mu_cP_,PVT_correlation_,Ksep_,Psep_atma_,Tsep_C_)</f>
        <v>803.86786048105239</v>
      </c>
      <c r="D33" s="5" t="s">
        <v>82</v>
      </c>
      <c r="E33" s="29">
        <f>[1]!PVT_Rhoo_kgm3(Psc_atma_,Tsc_C_,gamma_gas_,gamma_oil_,gamma_w_,Rsb_m3m3_,,,,,,PVT_correlation_,Ksep_,Psep_atma_,Tsep_C_)</f>
        <v>803.95213957144813</v>
      </c>
      <c r="F33" s="30">
        <f t="shared" ref="F33:F38" si="0">(E33-C33)/E33</f>
        <v>1.0483097966586026E-4</v>
      </c>
      <c r="G33" s="31"/>
      <c r="H33" s="5" t="s">
        <v>90</v>
      </c>
      <c r="I33" s="27">
        <f>[1]!PVT_Rhog_kgm3(Psc_atma_,Tsc_C_,gamma_gas_,gamma_oil_,gamma_w_,Rsb_m3m3_,,Pb_atma_,Tres_C_,Bob_m3m3_,mu_cP_,PVT_correlation_,Ksep_,Psep_atma_,Tsep_C_)</f>
        <v>0.86851485761170277</v>
      </c>
      <c r="J33" s="5" t="s">
        <v>82</v>
      </c>
      <c r="L33" s="5" t="s">
        <v>91</v>
      </c>
      <c r="M33" s="22">
        <f>[1]!PVT_Rhow_kgm3(Psc_atma_,Tsc_C_,gamma_gas_,gamma_oil_,gamma_w_,Rsb_m3m3_,,Pb_atma_,Tres_C_,Bob_m3m3_,mu_cP_,PVT_correlation_,Ksep_,Psep_atma_,Tsep_C_)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0.86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0.1948046302957662</v>
      </c>
      <c r="AB33" s="34">
        <f>ABS(Pb_diff_)</f>
        <v>0.43554670446871602</v>
      </c>
      <c r="AD33" s="2" t="str">
        <f>Q35&amp; " = "&amp;IFERROR(TEXT(gamma_gas_diff_total_*100,"0.0") &amp; "%",TEXT(gamma_gas_diff_total_*100,"0,0") &amp; "%")</f>
        <v>Сумм откл = 27,2%</v>
      </c>
      <c r="AE33" s="2"/>
      <c r="AF33" s="2"/>
      <c r="AG33" s="2"/>
    </row>
    <row r="34" spans="2:33" ht="15.75" outlineLevel="1" x14ac:dyDescent="0.45">
      <c r="B34" s="5" t="s">
        <v>96</v>
      </c>
      <c r="C34" s="27">
        <f>[1]!PVT_Muo_cP(Psc_atma_,Tsc_C_,gamma_gas_,gamma_oil_,gamma_w_,Rsb_m3m3_,,Pb_atma_,Tres_C_,Bob_m3m3_,mu_cP_,PVT_correlation_,Ksep_,Psep_atma_,Tsep_C_)</f>
        <v>12.692642772801781</v>
      </c>
      <c r="D34" s="5" t="s">
        <v>7</v>
      </c>
      <c r="E34" s="29">
        <f>[1]!PVT_Muo_cP(Psc_atma_,Tsc_C_,gamma_gas_,gamma_oil_,gamma_w_,Rsb_m3m3_,,,,,,PVT_correlation_,Ksep_,Psep_atma_,Tsep_C_)</f>
        <v>12.784396502014092</v>
      </c>
      <c r="F34" s="30">
        <f t="shared" si="0"/>
        <v>7.1770090358082668E-3</v>
      </c>
      <c r="G34" s="31"/>
      <c r="H34" s="5" t="s">
        <v>97</v>
      </c>
      <c r="I34" s="39">
        <f>[1]!PVT_Mug_cP(Psc_atma_,Tsc_C_,gamma_gas_,gamma_oil_,gamma_w_,Rsb_m3m3_,,Pb_atma_,Tres_C_,Bob_m3m3_,mu_cP_,PVT_correlation_,Ksep_,Psep_atma_,Tsep_C_)</f>
        <v>1.0255672046621608E-2</v>
      </c>
      <c r="J34" s="5" t="s">
        <v>7</v>
      </c>
      <c r="L34" s="5" t="s">
        <v>98</v>
      </c>
      <c r="M34" s="26">
        <f>[1]!PVT_Muw_cP(Psc_atma_,Tsc_C_,gamma_gas_,gamma_oil_,gamma_w_,Rsb_m3m3_,,Pb_atma_,Tres_C_,Bob_m3m3_,mu_cP_,PVT_correlation_,Ksep_,Psep_atma_,Tsep_C_)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124.19346131701208</v>
      </c>
      <c r="U34" s="30">
        <f>(T34-C24)/T34</f>
        <v>0.1948046302957662</v>
      </c>
      <c r="V34" s="29">
        <f>[1]!PVT_Pb_atma(Tres_C_,gamma_gas_new_,gamma_oil_new_,gamma_w_,Rsb_m3m3_,,,Tres_C_,,,PVT_correlation_,Ksep_,Psep_atma_,Tsep_C_)</f>
        <v>177.16257623383413</v>
      </c>
      <c r="W34" s="30">
        <f>(V34-C24)/V34</f>
        <v>0.43554670446871602</v>
      </c>
      <c r="X34" s="2">
        <v>2</v>
      </c>
      <c r="Z34" s="7" t="s">
        <v>80</v>
      </c>
      <c r="AA34" s="33">
        <f>ABS(U35)</f>
        <v>0</v>
      </c>
      <c r="AB34" s="33">
        <f>ABS(W35)</f>
        <v>3.2953163716389518E-2</v>
      </c>
      <c r="AD34" s="2" t="str">
        <f>F9 &amp;" = "&amp;IFERROR(  TEXT(gamma_gas_,"0.00"),TEXT(gamma_gas_,"0,00")) &amp;",  "&amp; F8 &amp;" = "&amp;  IFERROR(TEXT(gamma_oil_,"0.00"),TEXT(gamma_oil_,"0,00"))</f>
        <v>γg = 0,70,  γo = 0,80</v>
      </c>
      <c r="AE34" s="2"/>
      <c r="AF34" s="2"/>
      <c r="AG34" s="2"/>
    </row>
    <row r="35" spans="2:33" ht="15.75" outlineLevel="1" x14ac:dyDescent="0.45">
      <c r="B35" s="5" t="s">
        <v>100</v>
      </c>
      <c r="C35" s="27">
        <f>[1]!PVT_Rs_m3m3(P_atma_,T_C_,gamma_gas_,gamma_oil_,gamma_w_,Rsb_m3m3_,,Pb_atma_,Tres_C_,Bob_m3m3_,mu_cP_,PVT_correlation_,Ksep_,Psep_atma_,Tsep_C_)</f>
        <v>29.312928438422464</v>
      </c>
      <c r="D35" s="5" t="s">
        <v>17</v>
      </c>
      <c r="E35" s="29">
        <f>[1]!PVT_Rs_m3m3(P_atma_,T_C_,gamma_gas_,gamma_oil_,gamma_w_,Rsb_m3m3_,,,,,,PVT_correlation_,Ksep_,Psep_atma_,Tsep_C_)</f>
        <v>22.582100475787499</v>
      </c>
      <c r="F35" s="30">
        <f t="shared" si="0"/>
        <v>-0.29806031417899992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0.95008334880238299</v>
      </c>
      <c r="J35" s="5"/>
      <c r="L35" s="5" t="s">
        <v>102</v>
      </c>
      <c r="M35" s="22">
        <f>[1]!PVT_Sal_ppm(Psc_atma_,Tsc_C_,gamma_gas_,gamma_oil_,gamma_w_,Rsb_m3m3_,,Pb_atma_,Tres_C_,Bob_m3m3_,mu_cP_,PVT_correlation_,Ksep_,Psep_atma_,Tsep_C_)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0.27155110327486137</v>
      </c>
      <c r="S35" s="7" t="s">
        <v>80</v>
      </c>
      <c r="T35" s="37">
        <f>[1]!PVT_Bo_m3m3(T34,Tres_C_,gamma_gas_,gamma_oil_,gamma_w_,Rsb_m3m3_,,,,,,PVT_correlation_,Ksep_,Psep_atma_,Tsep_C_)</f>
        <v>1.3184105846929839</v>
      </c>
      <c r="U35" s="30">
        <f>(T35-C27)/(T35-1)</f>
        <v>0</v>
      </c>
      <c r="V35" s="37">
        <f>[1]!PVT_Bo_m3m3(V34,Tres_C_,gamma_gas_new_,gamma_oil_new_,gamma_w_,Rsb_m3m3_,,,,,,PVT_correlation_,Ksep_,Psep_atma_,Tsep_C_)</f>
        <v>1.3082526835460737</v>
      </c>
      <c r="W35" s="30">
        <f>(V35-C27)/(V35-1)</f>
        <v>-3.2953163716389518E-2</v>
      </c>
      <c r="X35" s="2">
        <v>2</v>
      </c>
      <c r="Z35" s="8" t="s">
        <v>83</v>
      </c>
      <c r="AA35" s="33">
        <f>ABS(U37)</f>
        <v>0</v>
      </c>
      <c r="AB35" s="33">
        <f>ABS(W37)</f>
        <v>0.41598758362809413</v>
      </c>
      <c r="AD35" s="2" t="str">
        <f>Q34&amp;" = "&amp;IFERROR(TEXT(gamma_gas_new_,"0.00"),TEXT(gamma_gas_new_,"0,00"))&amp;",  "&amp;Q33&amp;" = "&amp;IFERROR(TEXT(gamma_oil_new_,"0.00"),TEXT(gamma_oil_new_,"0,00"))</f>
        <v>γg new  = 0,70,  γo new  = 0,86</v>
      </c>
      <c r="AE35" s="2"/>
      <c r="AF35" s="2"/>
      <c r="AG35" s="2"/>
    </row>
    <row r="36" spans="2:33" ht="15.75" outlineLevel="1" x14ac:dyDescent="0.45">
      <c r="B36" s="5" t="s">
        <v>104</v>
      </c>
      <c r="C36" s="26">
        <f>[1]!PVT_Bo_m3m3(P_atma_,T_C_,gamma_gas_,gamma_oil_,gamma_w_,Rsb_m3m3_,,Pb_atma_,Tres_C_,Bob_m3m3_,mu_cP_,PVT_correlation_,Ksep_,Psep_atma_,Tsep_C_)</f>
        <v>1.073462638932454</v>
      </c>
      <c r="D36" s="5" t="s">
        <v>17</v>
      </c>
      <c r="E36" s="29">
        <f>[1]!PVT_Bo_m3m3(P_atma_,T_C_,gamma_gas_,gamma_oil_,gamma_w_,Rsb_m3m3_,,,,,,PVT_correlation_,Ksep_,Psep_atma_,Tsep_C_)</f>
        <v>1.0574959703964808</v>
      </c>
      <c r="F36" s="30">
        <f t="shared" si="0"/>
        <v>-1.5098562058810381E-2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3.288298245989392E-2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1.00512664544482</v>
      </c>
      <c r="N36" s="5" t="s">
        <v>17</v>
      </c>
      <c r="S36" s="8" t="s">
        <v>81</v>
      </c>
      <c r="T36" s="29">
        <f>[1]!PVT_Rhoo_kgm3(C24,Tres_C_,gamma_gas_,gamma_oil_,gamma_w_,Rsb_m3m3_,,,,,,PVT_correlation_,Ksep_,Psep_atma_,Tsep_C_)</f>
        <v>690.42136409905925</v>
      </c>
      <c r="U36" s="30">
        <f>(T36-C28)/T36</f>
        <v>2.7740616417448929E-2</v>
      </c>
      <c r="V36" s="29">
        <f>[1]!PVT_Rhoo_kgm3(C24,Tres_C_,gamma_gas_new_,gamma_oil_new_,gamma_w_,Rsb_m3m3_,,,,,,PVT_correlation_,Ksep_,Psep_atma_,Tsep_C_)</f>
        <v>767.67276210310854</v>
      </c>
      <c r="W36" s="30">
        <f>(V36-C28)/V36</f>
        <v>0.12557969618177595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7.4999999999999928E-2</v>
      </c>
    </row>
    <row r="37" spans="2:33" ht="15.75" outlineLevel="1" x14ac:dyDescent="0.45">
      <c r="B37" s="5" t="s">
        <v>107</v>
      </c>
      <c r="C37" s="22">
        <f>[1]!PVT_Rhoo_kgm3(P_atma_,T_C_,gamma_gas_,gamma_oil_,gamma_w_,Rsb_m3m3_,,Pb_atma_,Tres_C_,Bob_m3m3_,mu_cP_,PVT_correlation_,Ksep_,Psep_atma_,Tsep_C_)</f>
        <v>768.60441467415683</v>
      </c>
      <c r="D37" s="5" t="s">
        <v>82</v>
      </c>
      <c r="E37" s="29">
        <f>[1]!PVT_Rhoo_kgm3(P_atma_,T_C_,gamma_gas_,gamma_oil_,gamma_w_,Rsb_m3m3_,,,,,,PVT_correlation_,Ksep_,Psep_atma_,Tsep_C_)</f>
        <v>774.76606005288977</v>
      </c>
      <c r="F37" s="30">
        <f t="shared" si="0"/>
        <v>7.9529108158304124E-3</v>
      </c>
      <c r="G37" s="31"/>
      <c r="H37" s="5" t="s">
        <v>108</v>
      </c>
      <c r="I37" s="22">
        <f>[1]!PVT_Rhog_kgm3(P_atma_,T_C_,gamma_gas_,gamma_oil_,gamma_w_,Rsb_m3m3_,,Pb_atma_,Tres_C_,Bob_m3m3_,mu_cP_,PVT_correlation_,Ksep_,Psep_atma_,Tsep_C_)</f>
        <v>26.007069189756177</v>
      </c>
      <c r="J37" s="5" t="s">
        <v>82</v>
      </c>
      <c r="L37" s="5" t="s">
        <v>109</v>
      </c>
      <c r="M37" s="22">
        <f>[1]!PVT_Rhow_kgm3(P_atma_,T_C_,gamma_gas_,gamma_oil_,gamma_w_,Rsb_m3m3_,,Pb_atma_,Tres_C_,Bob_m3m3_,mu_cP_,PVT_correlation_,Ksep_,Psep_atma_,Tsep_C_)</f>
        <v>1064.5424682045616</v>
      </c>
      <c r="N37" s="5" t="s">
        <v>82</v>
      </c>
      <c r="S37" s="8" t="s">
        <v>83</v>
      </c>
      <c r="T37" s="38">
        <f>[1]!PVT_Muo_cP(T34,Tres_C_,gamma_gas_,gamma_oil_,gamma_w_,Rsb_m3m3_,,,,,,PVT_correlation_,Ksep_,Psep_atma_,Tsep_C_)</f>
        <v>0.39840090536365236</v>
      </c>
      <c r="U37" s="30">
        <f>(T37-C29)/T37</f>
        <v>0</v>
      </c>
      <c r="V37" s="38">
        <f>[1]!PVT_Muo_cP(V34,Tres_C_,gamma_gas_new_,gamma_oil_new_,gamma_w_,Rsb_m3m3_,,,,,,PVT_correlation_,Ksep_,Psep_atma_,Tsep_C_)</f>
        <v>0.68217882735894786</v>
      </c>
      <c r="W37" s="30">
        <f>(V37-C29)/V37</f>
        <v>0.41598758362809413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5.75" outlineLevel="1" x14ac:dyDescent="0.45">
      <c r="B38" s="5" t="s">
        <v>111</v>
      </c>
      <c r="C38" s="27">
        <f>[1]!PVT_Muo_cP(P_atma_,T_C_,gamma_gas_,gamma_oil_,gamma_w_,Rsb_m3m3_,,Pb_atma_,Tres_C_,Bob_m3m3_,mu_cP_,PVT_correlation_,Ksep_,Psep_atma_,Tsep_C_)</f>
        <v>1.9467994140886864</v>
      </c>
      <c r="D38" s="5" t="s">
        <v>7</v>
      </c>
      <c r="E38" s="29">
        <f>[1]!PVT_Muo_cP(P_atma_,T_C_,gamma_gas_,gamma_oil_,gamma_w_,Rsb_m3m3_,,,,,,PVT_correlation_,Ksep_,Psep_atma_,Tsep_C_)</f>
        <v>2.2192468490321611</v>
      </c>
      <c r="F38" s="30">
        <f t="shared" si="0"/>
        <v>0.12276571894753038</v>
      </c>
      <c r="G38" s="31"/>
      <c r="H38" s="5" t="s">
        <v>112</v>
      </c>
      <c r="I38" s="39">
        <f>[1]!PVT_Mug_cP(P_atma_,T_C_,gamma_gas_,gamma_oil_,gamma_w_,Rsb_m3m3_,,Pb_atma_,Tres_C_,Bob_m3m3_,mu_cP_,PVT_correlation_,Ksep_,Psep_atma_,Tsep_C_)</f>
        <v>1.1463490259589898E-2</v>
      </c>
      <c r="J38" s="5" t="s">
        <v>7</v>
      </c>
      <c r="L38" s="5" t="s">
        <v>113</v>
      </c>
      <c r="M38" s="26">
        <f>[1]!PVT_Muw_cP(P_atma_,T_C_,gamma_gas_,gamma_oil_,gamma_w_,Rsb_m3m3_,,Pb_atma_,Tres_C_,Bob_m3m3_,mu_cP_,PVT_correlation_,Ksep_,Psep_atma_,Tsep_C_)</f>
        <v>0.90972638194866384</v>
      </c>
      <c r="N38" s="5" t="s">
        <v>7</v>
      </c>
      <c r="S38" s="6" t="s">
        <v>12</v>
      </c>
      <c r="W38" s="30">
        <f>(R33-G8)/R33</f>
        <v>6.9767441860465046E-2</v>
      </c>
      <c r="X38" s="2">
        <v>2</v>
      </c>
    </row>
    <row r="39" spans="2:33" ht="15.75" outlineLevel="1" x14ac:dyDescent="0.4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2.7740616417448929E-2</v>
      </c>
      <c r="AB39" s="33">
        <f>ABS(W36)</f>
        <v>0.12557969618177595</v>
      </c>
    </row>
    <row r="40" spans="2:33" ht="15.75" outlineLevel="1" x14ac:dyDescent="0.4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5.75" outlineLevel="1" x14ac:dyDescent="0.45">
      <c r="B41" s="5" t="s">
        <v>174</v>
      </c>
      <c r="C41" s="51">
        <f>[1]!PVT_SToilgas_Nm(P_atma_,T_C_,gamma_gas_,gamma_oil_,gamma_w_,Rsb_m3m3_,,Pb_atma_,Tres_C_,Bob_m3m3_,mu_cP_,PVT_correlation_,Ksep_,Psep_atma_,Tsep_C_)</f>
        <v>4.2196451605605201E-2</v>
      </c>
      <c r="D41" s="5" t="s">
        <v>173</v>
      </c>
      <c r="L41" s="5" t="s">
        <v>175</v>
      </c>
      <c r="M41" s="51">
        <f>[1]!PVT_STwatgas_Nm(P_atma_,T_C_,gamma_gas_,gamma_oil_,gamma_w_,Rsb_m3m3_,,Pb_atma_,Tres_C_,Bob_m3m3_,mu_cP_,PVT_correlation_,Ksep_,Psep_atma_,Tsep_C_)</f>
        <v>6.0255958607435781E-2</v>
      </c>
      <c r="N41" s="5" t="s">
        <v>173</v>
      </c>
    </row>
    <row r="42" spans="2:33" outlineLevel="1" x14ac:dyDescent="0.45">
      <c r="L42" s="31"/>
    </row>
    <row r="43" spans="2:33" outlineLevel="1" x14ac:dyDescent="0.45">
      <c r="B43" s="2" t="s">
        <v>120</v>
      </c>
      <c r="C43" s="2"/>
      <c r="D43" s="2"/>
      <c r="E43" s="28"/>
      <c r="F43" s="31"/>
      <c r="L43" s="31"/>
    </row>
    <row r="44" spans="2:33" ht="15.75" outlineLevel="1" x14ac:dyDescent="0.45">
      <c r="B44" s="7" t="s">
        <v>121</v>
      </c>
      <c r="C44" s="40">
        <f>MF_Qmix_m3day(Ql_scm3day_,wc_perc_,P_atma_,T_C_,PVTstr_)</f>
        <v>169.89321866165372</v>
      </c>
      <c r="D44" s="5" t="s">
        <v>33</v>
      </c>
      <c r="E44" s="28"/>
      <c r="F44" s="31"/>
      <c r="L44" s="31"/>
    </row>
    <row r="45" spans="2:33" ht="15.75" outlineLevel="1" x14ac:dyDescent="0.45">
      <c r="B45" s="5" t="s">
        <v>122</v>
      </c>
      <c r="C45" s="40">
        <f>MF_Rhomix_kgm3(Ql_scm3day_,wc_perc_,P_atma_,T_C_,PVTstr_)</f>
        <v>260.61046078699934</v>
      </c>
      <c r="D45" s="5" t="s">
        <v>82</v>
      </c>
      <c r="E45" s="28"/>
      <c r="F45" s="31"/>
      <c r="X45">
        <f>gamma_gas_</f>
        <v>0.7</v>
      </c>
    </row>
    <row r="46" spans="2:33" ht="15.75" outlineLevel="1" x14ac:dyDescent="0.45">
      <c r="B46" s="5" t="s">
        <v>123</v>
      </c>
      <c r="C46" s="40">
        <f>MF_Mumix_cP(Ql_scm3day_,wc_perc_,P_atma_,T_C_,PVTstr_)</f>
        <v>0.61865979159876228</v>
      </c>
      <c r="D46" s="5" t="s">
        <v>7</v>
      </c>
      <c r="E46" s="28"/>
      <c r="F46" s="31"/>
    </row>
    <row r="47" spans="2:33" ht="15.75" outlineLevel="1" x14ac:dyDescent="0.45">
      <c r="B47" s="5" t="s">
        <v>124</v>
      </c>
      <c r="E47" s="31"/>
      <c r="F47" s="31"/>
    </row>
    <row r="48" spans="2:33" ht="15.75" outlineLevel="1" x14ac:dyDescent="0.45">
      <c r="B48" s="5" t="s">
        <v>125</v>
      </c>
      <c r="E48" s="31"/>
      <c r="F48" s="31"/>
    </row>
    <row r="49" spans="1:29" ht="15.75" outlineLevel="1" x14ac:dyDescent="0.45">
      <c r="B49" s="5" t="s">
        <v>126</v>
      </c>
      <c r="E49" s="31"/>
      <c r="F49" s="31"/>
    </row>
    <row r="50" spans="1:29" outlineLevel="1" x14ac:dyDescent="0.45">
      <c r="C50">
        <f>[1]!PVT_STliqgas_Nm(P_atma_,T_C_,gamma_gas_,gamma_oil_,gamma_w_,Rsb_m3m3_,,Pb_atma_,Tres_C_,Bob_m3m3_,mu_cP_,PVT_correlation_,Ksep_,Psep_atma_,Tsep_C_)</f>
        <v>4.2196451605605201E-2</v>
      </c>
      <c r="D50" s="5" t="s">
        <v>173</v>
      </c>
      <c r="E50" s="31"/>
      <c r="F50" s="31"/>
    </row>
    <row r="51" spans="1:29" outlineLevel="1" x14ac:dyDescent="0.45">
      <c r="E51" s="31"/>
      <c r="F51" s="31"/>
    </row>
    <row r="52" spans="1:29" outlineLevel="1" x14ac:dyDescent="0.45">
      <c r="E52" s="31"/>
      <c r="F52" s="31"/>
    </row>
    <row r="53" spans="1:29" outlineLevel="1" x14ac:dyDescent="0.45"/>
    <row r="54" spans="1:29" outlineLevel="1" x14ac:dyDescent="0.45"/>
    <row r="55" spans="1:29" x14ac:dyDescent="0.45">
      <c r="L55" s="31"/>
    </row>
    <row r="56" spans="1:29" x14ac:dyDescent="0.4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4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45">
      <c r="L58" s="31"/>
      <c r="M58" s="31"/>
    </row>
    <row r="59" spans="1:29" ht="15.75" outlineLevel="1" x14ac:dyDescent="0.4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45">
      <c r="A60" s="44">
        <v>1</v>
      </c>
      <c r="B60" s="45">
        <v>1</v>
      </c>
      <c r="C60" s="2">
        <v>1</v>
      </c>
      <c r="D60" s="2">
        <v>2.880082796218657</v>
      </c>
      <c r="E60" s="2">
        <v>2.880082796218657</v>
      </c>
      <c r="F60">
        <v>6.9382873606591886E-2</v>
      </c>
      <c r="G60" s="2">
        <v>1.0191441572840458</v>
      </c>
      <c r="H60" s="10">
        <v>1.0191441572840458</v>
      </c>
      <c r="I60">
        <v>1.0130144537810994</v>
      </c>
      <c r="J60" s="2">
        <v>846.26204432639554</v>
      </c>
      <c r="K60" s="2">
        <v>846.26204432639554</v>
      </c>
      <c r="L60">
        <v>849.00993498117293</v>
      </c>
      <c r="M60" s="2">
        <v>7.5285745587017709</v>
      </c>
      <c r="N60" s="2">
        <v>7.5285745587017709</v>
      </c>
      <c r="O60">
        <v>8.061355145984173</v>
      </c>
      <c r="P60">
        <v>0.99365634659680135</v>
      </c>
      <c r="Q60">
        <v>0.99365634659680135</v>
      </c>
      <c r="R60">
        <v>0.99365634659680135</v>
      </c>
    </row>
    <row r="61" spans="1:29" outlineLevel="1" x14ac:dyDescent="0.45">
      <c r="A61" s="44">
        <v>2</v>
      </c>
      <c r="B61" s="46">
        <f t="shared" ref="B61:B79" si="1">($B$80-$B$60)/($A$80-$A$60)+B60</f>
        <v>5.0858997593206716</v>
      </c>
      <c r="C61" s="2">
        <v>4.9124101772170992</v>
      </c>
      <c r="D61" s="2">
        <v>12.679590840027382</v>
      </c>
      <c r="E61" s="2">
        <v>12.679590840027382</v>
      </c>
      <c r="F61">
        <v>7.7127264557043276</v>
      </c>
      <c r="G61" s="2">
        <v>1.0402962367607123</v>
      </c>
      <c r="H61" s="10">
        <v>1.0402962367607123</v>
      </c>
      <c r="I61">
        <v>1.02960352131379</v>
      </c>
      <c r="J61" s="2">
        <v>837.11103483573731</v>
      </c>
      <c r="K61" s="2">
        <v>837.11103483573731</v>
      </c>
      <c r="L61">
        <v>841.67917902209979</v>
      </c>
      <c r="M61" s="2">
        <v>6.0695900644316536</v>
      </c>
      <c r="N61" s="2">
        <v>6.0695900644316536</v>
      </c>
      <c r="O61">
        <v>6.7422601575387819</v>
      </c>
      <c r="P61">
        <v>0.92822393325618791</v>
      </c>
      <c r="Q61">
        <v>0.92822393325618791</v>
      </c>
      <c r="R61">
        <v>0.92822393325618791</v>
      </c>
    </row>
    <row r="62" spans="1:29" outlineLevel="1" x14ac:dyDescent="0.45">
      <c r="A62" s="44">
        <v>3</v>
      </c>
      <c r="B62" s="46">
        <f t="shared" si="1"/>
        <v>9.1717995186413432</v>
      </c>
      <c r="C62" s="2">
        <v>8.8248203544341983</v>
      </c>
      <c r="D62" s="2">
        <v>19.451740802219692</v>
      </c>
      <c r="E62" s="2">
        <v>19.451740802219692</v>
      </c>
      <c r="F62">
        <v>12.233925080558164</v>
      </c>
      <c r="G62" s="2">
        <v>1.0548129832547917</v>
      </c>
      <c r="H62" s="10">
        <v>1.0548129832547917</v>
      </c>
      <c r="I62">
        <v>1.0393386106497584</v>
      </c>
      <c r="J62" s="2">
        <v>831.08091020235167</v>
      </c>
      <c r="K62" s="2">
        <v>831.08091020235167</v>
      </c>
      <c r="L62">
        <v>837.51562914174781</v>
      </c>
      <c r="M62" s="2">
        <v>5.3188451246468214</v>
      </c>
      <c r="N62" s="2">
        <v>5.3188451246468214</v>
      </c>
      <c r="O62">
        <v>6.1252156346675379</v>
      </c>
      <c r="P62">
        <v>0.86617840151612313</v>
      </c>
      <c r="Q62">
        <v>0.86617840151612313</v>
      </c>
      <c r="R62">
        <v>0.86617840151612313</v>
      </c>
    </row>
    <row r="63" spans="1:29" outlineLevel="1" x14ac:dyDescent="0.45">
      <c r="A63" s="44">
        <v>4</v>
      </c>
      <c r="B63" s="46">
        <f t="shared" si="1"/>
        <v>13.257699277962015</v>
      </c>
      <c r="C63" s="2">
        <v>12.737230531651297</v>
      </c>
      <c r="D63" s="2">
        <v>25.276018079046864</v>
      </c>
      <c r="E63" s="2">
        <v>25.276018079046864</v>
      </c>
      <c r="F63">
        <v>16.04569665474974</v>
      </c>
      <c r="G63" s="2">
        <v>1.0672552128717865</v>
      </c>
      <c r="H63" s="10">
        <v>1.0672552128717865</v>
      </c>
      <c r="I63">
        <v>1.047519466736567</v>
      </c>
      <c r="J63" s="2">
        <v>826.05902249824101</v>
      </c>
      <c r="K63" s="2">
        <v>826.05902249824101</v>
      </c>
      <c r="L63">
        <v>834.08676121710812</v>
      </c>
      <c r="M63" s="2">
        <v>4.7893134218922624</v>
      </c>
      <c r="N63" s="2">
        <v>4.7893134218922624</v>
      </c>
      <c r="O63">
        <v>5.6756063220254411</v>
      </c>
      <c r="P63">
        <v>0.80780617913436636</v>
      </c>
      <c r="Q63">
        <v>0.80780617913436636</v>
      </c>
      <c r="R63">
        <v>0.80780617913436636</v>
      </c>
    </row>
    <row r="64" spans="1:29" outlineLevel="1" x14ac:dyDescent="0.45">
      <c r="A64" s="44">
        <v>5</v>
      </c>
      <c r="B64" s="46">
        <f t="shared" si="1"/>
        <v>17.343599037282686</v>
      </c>
      <c r="C64" s="2">
        <v>16.649640708868397</v>
      </c>
      <c r="D64" s="2">
        <v>30.583045663499249</v>
      </c>
      <c r="E64" s="2">
        <v>30.583045663499249</v>
      </c>
      <c r="F64">
        <v>19.470556048842237</v>
      </c>
      <c r="G64" s="2">
        <v>1.078566096659201</v>
      </c>
      <c r="H64" s="10">
        <v>1.078566096659201</v>
      </c>
      <c r="I64">
        <v>1.0548532346671322</v>
      </c>
      <c r="J64" s="2">
        <v>821.60408858185144</v>
      </c>
      <c r="K64" s="2">
        <v>821.60408858185144</v>
      </c>
      <c r="L64">
        <v>831.06445144858844</v>
      </c>
      <c r="M64" s="2">
        <v>4.3785672691188129</v>
      </c>
      <c r="N64" s="28">
        <v>4.3785672691188129</v>
      </c>
      <c r="O64">
        <v>5.3169793720636358</v>
      </c>
      <c r="P64">
        <v>0.75327403531906711</v>
      </c>
      <c r="Q64">
        <v>0.75327403531906711</v>
      </c>
      <c r="R64">
        <v>0.75327403531906711</v>
      </c>
    </row>
    <row r="65" spans="1:18" outlineLevel="1" x14ac:dyDescent="0.45">
      <c r="A65" s="44">
        <v>6</v>
      </c>
      <c r="B65" s="46">
        <f t="shared" si="1"/>
        <v>21.429498796603358</v>
      </c>
      <c r="C65" s="2">
        <v>20.562050886085498</v>
      </c>
      <c r="D65" s="2">
        <v>35.558553830708597</v>
      </c>
      <c r="E65" s="2">
        <v>35.558553830708597</v>
      </c>
      <c r="F65">
        <v>22.641957803378673</v>
      </c>
      <c r="G65" s="2">
        <v>1.0891522568237795</v>
      </c>
      <c r="H65" s="10">
        <v>1.0891522568237795</v>
      </c>
      <c r="I65">
        <v>1.0616323318338379</v>
      </c>
      <c r="J65" s="2">
        <v>817.52511099515482</v>
      </c>
      <c r="K65" s="2">
        <v>817.52511099515482</v>
      </c>
      <c r="L65">
        <v>828.31235402832999</v>
      </c>
      <c r="M65" s="2">
        <v>4.0433874726394299</v>
      </c>
      <c r="N65" s="2">
        <v>4.0433874726394299</v>
      </c>
      <c r="O65">
        <v>5.0174129917549726</v>
      </c>
      <c r="P65">
        <v>0.70253759355470535</v>
      </c>
      <c r="Q65">
        <v>0.70253759355470535</v>
      </c>
      <c r="R65">
        <v>0.70253759355470535</v>
      </c>
    </row>
    <row r="66" spans="1:18" outlineLevel="1" x14ac:dyDescent="0.45">
      <c r="A66" s="44">
        <v>7</v>
      </c>
      <c r="B66" s="46">
        <f t="shared" si="1"/>
        <v>25.51539855592403</v>
      </c>
      <c r="C66" s="2">
        <v>24.474461063302599</v>
      </c>
      <c r="D66" s="2">
        <v>40.303946909786475</v>
      </c>
      <c r="E66" s="2">
        <v>40.303946909786475</v>
      </c>
      <c r="F66">
        <v>25.63142108720864</v>
      </c>
      <c r="G66" s="2">
        <v>1.0992356728445289</v>
      </c>
      <c r="H66" s="10">
        <v>1.0992356728445289</v>
      </c>
      <c r="I66">
        <v>1.0680134014735396</v>
      </c>
      <c r="J66" s="2">
        <v>813.71770808996462</v>
      </c>
      <c r="K66" s="2">
        <v>813.71770808996462</v>
      </c>
      <c r="L66">
        <v>825.75718037131742</v>
      </c>
      <c r="M66" s="2">
        <v>3.7609002151651727</v>
      </c>
      <c r="N66" s="2">
        <v>3.7609002151651727</v>
      </c>
      <c r="O66">
        <v>4.7598525291652454</v>
      </c>
      <c r="P66">
        <v>0.65533044724470579</v>
      </c>
      <c r="Q66">
        <v>0.65533044724470579</v>
      </c>
      <c r="R66">
        <v>0.65533044724470579</v>
      </c>
    </row>
    <row r="67" spans="1:18" outlineLevel="1" x14ac:dyDescent="0.45">
      <c r="A67" s="44">
        <v>8</v>
      </c>
      <c r="B67" s="46">
        <f t="shared" si="1"/>
        <v>29.601298315244701</v>
      </c>
      <c r="C67" s="2">
        <v>28.386871240519699</v>
      </c>
      <c r="D67" s="2">
        <v>44.882148213291984</v>
      </c>
      <c r="E67" s="2">
        <v>44.882148213291984</v>
      </c>
      <c r="F67">
        <v>28.482869346158274</v>
      </c>
      <c r="G67" s="2">
        <v>1.1089540906467237</v>
      </c>
      <c r="H67" s="10">
        <v>1.1089540906467237</v>
      </c>
      <c r="I67">
        <v>1.074092620286347</v>
      </c>
      <c r="J67" s="2">
        <v>810.11718330612155</v>
      </c>
      <c r="K67" s="2">
        <v>810.11718330612155</v>
      </c>
      <c r="L67">
        <v>823.3538228764445</v>
      </c>
      <c r="M67" s="2">
        <v>3.5173931584101576</v>
      </c>
      <c r="N67" s="2">
        <v>3.5173931584101576</v>
      </c>
      <c r="O67">
        <v>4.5339216651200225</v>
      </c>
      <c r="P67">
        <v>0.61117371972981938</v>
      </c>
      <c r="Q67">
        <v>0.61117371972981938</v>
      </c>
      <c r="R67">
        <v>0.61117371972981938</v>
      </c>
    </row>
    <row r="68" spans="1:18" outlineLevel="1" x14ac:dyDescent="0.45">
      <c r="A68" s="44">
        <v>9</v>
      </c>
      <c r="B68" s="46">
        <f t="shared" si="1"/>
        <v>33.687198074565373</v>
      </c>
      <c r="C68" s="2">
        <v>32.2992814177368</v>
      </c>
      <c r="D68" s="2">
        <v>49.335531099459175</v>
      </c>
      <c r="E68" s="2">
        <v>49.335531099459175</v>
      </c>
      <c r="F68">
        <v>31.225698062663142</v>
      </c>
      <c r="G68" s="2">
        <v>1.1184002767607817</v>
      </c>
      <c r="H68" s="10">
        <v>1.1184002767607817</v>
      </c>
      <c r="I68">
        <v>1.0799343434892963</v>
      </c>
      <c r="J68" s="2">
        <v>806.68010513548825</v>
      </c>
      <c r="K68" s="2">
        <v>806.68010513548825</v>
      </c>
      <c r="L68">
        <v>821.07204949260642</v>
      </c>
      <c r="M68" s="2">
        <v>3.3039541087956086</v>
      </c>
      <c r="N68" s="2">
        <v>3.3039541087956086</v>
      </c>
      <c r="O68">
        <v>4.332766683624298</v>
      </c>
      <c r="P68">
        <v>0.56940191489666614</v>
      </c>
      <c r="Q68">
        <v>0.56940191489666614</v>
      </c>
      <c r="R68">
        <v>0.56940191489666614</v>
      </c>
    </row>
    <row r="69" spans="1:18" outlineLevel="1" x14ac:dyDescent="0.45">
      <c r="A69" s="44">
        <v>10</v>
      </c>
      <c r="B69" s="46">
        <f t="shared" si="1"/>
        <v>37.773097833886041</v>
      </c>
      <c r="C69" s="2">
        <v>36.211691594953898</v>
      </c>
      <c r="D69" s="2">
        <v>53.694309207648516</v>
      </c>
      <c r="E69" s="2">
        <v>53.694309207648516</v>
      </c>
      <c r="F69">
        <v>33.880787081569679</v>
      </c>
      <c r="G69" s="2">
        <v>1.1276403795760945</v>
      </c>
      <c r="H69" s="10">
        <v>1.1276403795760945</v>
      </c>
      <c r="I69">
        <v>1.0855842791372243</v>
      </c>
      <c r="J69" s="2">
        <v>803.37566186823165</v>
      </c>
      <c r="K69" s="2">
        <v>803.37566186823165</v>
      </c>
      <c r="L69">
        <v>818.89036842980647</v>
      </c>
      <c r="M69" s="2">
        <v>3.1144485576678735</v>
      </c>
      <c r="N69" s="2">
        <v>3.1144485576678735</v>
      </c>
      <c r="O69">
        <v>4.1515940401620925</v>
      </c>
      <c r="P69">
        <v>0.52921618930122938</v>
      </c>
      <c r="Q69">
        <v>0.52921618930122938</v>
      </c>
      <c r="R69">
        <v>0.52921618930122938</v>
      </c>
    </row>
    <row r="70" spans="1:18" outlineLevel="1" x14ac:dyDescent="0.45">
      <c r="A70" s="44">
        <v>11</v>
      </c>
      <c r="B70" s="46">
        <f t="shared" si="1"/>
        <v>41.858997593206709</v>
      </c>
      <c r="C70" s="2">
        <v>40.124101772170995</v>
      </c>
      <c r="D70" s="2">
        <v>57.980957510500851</v>
      </c>
      <c r="E70" s="2">
        <v>57.980957510500851</v>
      </c>
      <c r="F70">
        <v>36.463632465331003</v>
      </c>
      <c r="G70" s="2">
        <v>1.1367236022408909</v>
      </c>
      <c r="H70" s="10">
        <v>1.1367236022408909</v>
      </c>
      <c r="I70">
        <v>1.0910763485497919</v>
      </c>
      <c r="J70" s="2">
        <v>800.18109350442512</v>
      </c>
      <c r="K70" s="2">
        <v>800.18109350442512</v>
      </c>
      <c r="L70">
        <v>816.79282575646153</v>
      </c>
      <c r="M70" s="2">
        <v>2.9444675548081114</v>
      </c>
      <c r="N70" s="2">
        <v>2.9444675548081114</v>
      </c>
      <c r="O70">
        <v>3.9869059317241704</v>
      </c>
      <c r="P70">
        <v>0.48979006512275197</v>
      </c>
      <c r="Q70">
        <v>0.48979006512275197</v>
      </c>
      <c r="R70">
        <v>0.48979006512275197</v>
      </c>
    </row>
    <row r="71" spans="1:18" outlineLevel="1" x14ac:dyDescent="0.45">
      <c r="A71" s="44">
        <v>12</v>
      </c>
      <c r="B71" s="46">
        <f t="shared" si="1"/>
        <v>45.944897352527377</v>
      </c>
      <c r="C71" s="2">
        <v>44.036511949388093</v>
      </c>
      <c r="D71" s="2">
        <v>62.212749493462091</v>
      </c>
      <c r="E71" s="2">
        <v>62.212749493462091</v>
      </c>
      <c r="F71">
        <v>38.986128931599687</v>
      </c>
      <c r="G71" s="2">
        <v>1.1456877522281124</v>
      </c>
      <c r="H71" s="10">
        <v>1.1456877522281124</v>
      </c>
      <c r="I71">
        <v>1.0964365897407293</v>
      </c>
      <c r="J71" s="2">
        <v>797.07906404980952</v>
      </c>
      <c r="K71" s="2">
        <v>797.07906404980952</v>
      </c>
      <c r="L71">
        <v>814.76717938814863</v>
      </c>
      <c r="M71" s="2">
        <v>2.7907331060732634</v>
      </c>
      <c r="N71" s="2">
        <v>2.7907331060732634</v>
      </c>
      <c r="O71">
        <v>3.8360649505297499</v>
      </c>
      <c r="P71">
        <v>0.45046392616810066</v>
      </c>
      <c r="Q71">
        <v>0.45046392616810066</v>
      </c>
      <c r="R71">
        <v>0.45046392616810066</v>
      </c>
    </row>
    <row r="72" spans="1:18" outlineLevel="1" x14ac:dyDescent="0.45">
      <c r="A72" s="44">
        <v>13</v>
      </c>
      <c r="B72" s="46">
        <f t="shared" si="1"/>
        <v>50.030797111848045</v>
      </c>
      <c r="C72" s="2">
        <v>47.94892212660519</v>
      </c>
      <c r="D72" s="2">
        <v>66.403310451998237</v>
      </c>
      <c r="E72" s="2">
        <v>66.403310451998237</v>
      </c>
      <c r="F72">
        <v>41.457654273731087</v>
      </c>
      <c r="G72" s="2">
        <v>1.1545626388316654</v>
      </c>
      <c r="H72" s="10">
        <v>1.1545626388316654</v>
      </c>
      <c r="I72">
        <v>1.1016855316763605</v>
      </c>
      <c r="J72" s="2">
        <v>794.05604878499059</v>
      </c>
      <c r="K72" s="2">
        <v>794.05604878499059</v>
      </c>
      <c r="L72">
        <v>812.80378620911893</v>
      </c>
      <c r="M72" s="2">
        <v>2.6507403162581586</v>
      </c>
      <c r="N72" s="2">
        <v>2.6507403162581586</v>
      </c>
      <c r="O72">
        <v>3.6970296247796419</v>
      </c>
      <c r="P72">
        <v>0.411052572424978</v>
      </c>
      <c r="Q72">
        <v>0.411052572424978</v>
      </c>
      <c r="R72">
        <v>0.411052572424978</v>
      </c>
    </row>
    <row r="73" spans="1:18" outlineLevel="1" x14ac:dyDescent="0.45">
      <c r="A73" s="44">
        <v>14</v>
      </c>
      <c r="B73" s="46">
        <f t="shared" si="1"/>
        <v>54.116696871168713</v>
      </c>
      <c r="C73" s="2">
        <v>51.861332303822287</v>
      </c>
      <c r="D73" s="2">
        <v>70.563618008915398</v>
      </c>
      <c r="E73" s="2">
        <v>70.563618008915398</v>
      </c>
      <c r="F73">
        <v>43.885764486263049</v>
      </c>
      <c r="G73" s="2">
        <v>1.1633722611787418</v>
      </c>
      <c r="H73" s="10">
        <v>1.1633722611787418</v>
      </c>
      <c r="I73">
        <v>1.1068397158921579</v>
      </c>
      <c r="J73" s="2">
        <v>791.10129336635566</v>
      </c>
      <c r="K73" s="2">
        <v>791.10129336635566</v>
      </c>
      <c r="L73">
        <v>810.89488752900502</v>
      </c>
      <c r="M73" s="2">
        <v>2.5225310598505226</v>
      </c>
      <c r="N73" s="2">
        <v>2.5225310598505226</v>
      </c>
      <c r="O73">
        <v>3.568185445810685</v>
      </c>
      <c r="P73">
        <v>0.3722088725726303</v>
      </c>
      <c r="Q73">
        <v>0.3722088725726303</v>
      </c>
      <c r="R73">
        <v>0.3722088725726303</v>
      </c>
    </row>
    <row r="74" spans="1:18" outlineLevel="1" x14ac:dyDescent="0.45">
      <c r="A74" s="44">
        <v>15</v>
      </c>
      <c r="B74" s="46">
        <f t="shared" si="1"/>
        <v>58.202596630489381</v>
      </c>
      <c r="C74" s="2">
        <v>55.773742481039385</v>
      </c>
      <c r="D74" s="2">
        <v>74.702673583481001</v>
      </c>
      <c r="E74" s="2">
        <v>74.702673583481001</v>
      </c>
      <c r="F74">
        <v>46.276658498782211</v>
      </c>
      <c r="G74" s="2">
        <v>1.1721362765908245</v>
      </c>
      <c r="H74" s="10">
        <v>1.1721362765908245</v>
      </c>
      <c r="I74">
        <v>1.1119127136069173</v>
      </c>
      <c r="J74" s="2">
        <v>788.20611380529067</v>
      </c>
      <c r="K74" s="2">
        <v>788.20611380529067</v>
      </c>
      <c r="L74">
        <v>809.03413062294635</v>
      </c>
      <c r="M74" s="2">
        <v>2.4045449600481472</v>
      </c>
      <c r="N74" s="2">
        <v>2.4045449600481472</v>
      </c>
      <c r="O74">
        <v>3.4482324207399473</v>
      </c>
      <c r="P74">
        <v>0.33559997624763432</v>
      </c>
      <c r="Q74">
        <v>0.33559997624763432</v>
      </c>
      <c r="R74">
        <v>0.33559997624763432</v>
      </c>
    </row>
    <row r="75" spans="1:18" outlineLevel="1" x14ac:dyDescent="0.45">
      <c r="A75" s="44">
        <v>16</v>
      </c>
      <c r="B75" s="46">
        <f t="shared" si="1"/>
        <v>62.288496389810049</v>
      </c>
      <c r="C75" s="2">
        <v>59.686152658256482</v>
      </c>
      <c r="D75" s="2">
        <v>78.827968571087339</v>
      </c>
      <c r="E75" s="2">
        <v>78.827968571087339</v>
      </c>
      <c r="F75">
        <v>48.635499840795688</v>
      </c>
      <c r="G75" s="2">
        <v>1.1808710199793397</v>
      </c>
      <c r="H75" s="10">
        <v>1.1808710199793397</v>
      </c>
      <c r="I75">
        <v>1.1169158296092037</v>
      </c>
      <c r="J75" s="2">
        <v>785.36340950981582</v>
      </c>
      <c r="K75" s="2">
        <v>785.36340950981582</v>
      </c>
      <c r="L75">
        <v>807.21623707697586</v>
      </c>
      <c r="M75" s="2">
        <v>2.2955179414001461</v>
      </c>
      <c r="N75" s="2">
        <v>2.2955179414001461</v>
      </c>
      <c r="O75">
        <v>3.3361076885040331</v>
      </c>
      <c r="P75">
        <v>0.30348419090129947</v>
      </c>
      <c r="Q75">
        <v>0.30348419090129947</v>
      </c>
      <c r="R75">
        <v>0.30348419090129947</v>
      </c>
    </row>
    <row r="76" spans="1:18" outlineLevel="1" x14ac:dyDescent="0.45">
      <c r="A76" s="44">
        <v>17</v>
      </c>
      <c r="B76" s="46">
        <f t="shared" si="1"/>
        <v>66.374396149130718</v>
      </c>
      <c r="C76" s="2">
        <v>63.598562835473579</v>
      </c>
      <c r="D76" s="2">
        <v>82.945817353034528</v>
      </c>
      <c r="E76" s="2">
        <v>82.945817353034528</v>
      </c>
      <c r="F76">
        <v>50.966645852604152</v>
      </c>
      <c r="G76" s="2">
        <v>1.1895902320239726</v>
      </c>
      <c r="H76" s="10">
        <v>1.1895902320239726</v>
      </c>
      <c r="I76">
        <v>1.1218586037048111</v>
      </c>
      <c r="J76" s="2">
        <v>782.56731476203095</v>
      </c>
      <c r="K76" s="2">
        <v>782.56731476203095</v>
      </c>
      <c r="L76">
        <v>805.43676616883579</v>
      </c>
      <c r="M76" s="2">
        <v>2.1944111974948997</v>
      </c>
      <c r="N76" s="2">
        <v>2.1944111974948997</v>
      </c>
      <c r="O76">
        <v>3.2309307445743847</v>
      </c>
      <c r="P76">
        <v>0.27754601698039399</v>
      </c>
      <c r="Q76">
        <v>0.27754601698039399</v>
      </c>
      <c r="R76">
        <v>0.27754601698039399</v>
      </c>
    </row>
    <row r="77" spans="1:18" outlineLevel="1" x14ac:dyDescent="0.45">
      <c r="A77" s="44">
        <v>18</v>
      </c>
      <c r="B77" s="46">
        <f t="shared" si="1"/>
        <v>70.460295908451386</v>
      </c>
      <c r="C77" s="2">
        <v>67.510973012690684</v>
      </c>
      <c r="D77" s="2">
        <v>87.061601029434456</v>
      </c>
      <c r="E77" s="2">
        <v>87.061601029434456</v>
      </c>
      <c r="F77">
        <v>53.27381511095097</v>
      </c>
      <c r="G77" s="2">
        <v>1.1983055921317907</v>
      </c>
      <c r="H77" s="10">
        <v>1.1983055921317907</v>
      </c>
      <c r="I77">
        <v>1.1267491772171485</v>
      </c>
      <c r="J77" s="2">
        <v>779.81294314246179</v>
      </c>
      <c r="K77" s="2">
        <v>779.81294314246179</v>
      </c>
      <c r="L77">
        <v>803.69194160965753</v>
      </c>
      <c r="M77" s="2">
        <v>2.1003602422552077</v>
      </c>
      <c r="N77" s="2">
        <v>2.1003602422552077</v>
      </c>
      <c r="O77">
        <v>3.1319637269255698</v>
      </c>
      <c r="P77">
        <v>0.25774483164078632</v>
      </c>
      <c r="Q77">
        <v>0.25774483164078632</v>
      </c>
      <c r="R77">
        <v>0.25774483164078632</v>
      </c>
    </row>
    <row r="78" spans="1:18" outlineLevel="1" x14ac:dyDescent="0.45">
      <c r="A78" s="44">
        <v>19</v>
      </c>
      <c r="B78" s="46">
        <f t="shared" si="1"/>
        <v>74.546195667772054</v>
      </c>
      <c r="C78" s="2">
        <v>71.423383189907781</v>
      </c>
      <c r="D78" s="2">
        <v>91.179949590815184</v>
      </c>
      <c r="E78" s="2">
        <v>91.179949590815184</v>
      </c>
      <c r="F78">
        <v>55.56021236291727</v>
      </c>
      <c r="G78" s="2">
        <v>1.207027116657339</v>
      </c>
      <c r="H78" s="10">
        <v>1.207027116657339</v>
      </c>
      <c r="I78">
        <v>1.1315945659747138</v>
      </c>
      <c r="J78" s="2">
        <v>777.09619622145556</v>
      </c>
      <c r="K78" s="2">
        <v>777.09619622145556</v>
      </c>
      <c r="L78">
        <v>801.97852243037573</v>
      </c>
      <c r="M78" s="2">
        <v>2.0126375955779401</v>
      </c>
      <c r="N78" s="2">
        <v>2.0126375955779401</v>
      </c>
      <c r="O78">
        <v>3.0385820190699424</v>
      </c>
      <c r="P78">
        <v>0.24238212454847693</v>
      </c>
      <c r="Q78">
        <v>0.24238212454847693</v>
      </c>
      <c r="R78">
        <v>0.24238212454847693</v>
      </c>
    </row>
    <row r="79" spans="1:18" outlineLevel="1" x14ac:dyDescent="0.45">
      <c r="A79" s="44">
        <v>20</v>
      </c>
      <c r="B79" s="46">
        <f t="shared" si="1"/>
        <v>78.632095427092722</v>
      </c>
      <c r="C79" s="2">
        <v>75.335793367124879</v>
      </c>
      <c r="D79" s="2">
        <v>95.304880591204977</v>
      </c>
      <c r="E79" s="2">
        <v>95.304880591204977</v>
      </c>
      <c r="F79">
        <v>57.828623502416853</v>
      </c>
      <c r="G79" s="2">
        <v>1.2157634626301626</v>
      </c>
      <c r="H79" s="10">
        <v>1.2157634626301626</v>
      </c>
      <c r="I79">
        <v>1.1364008682473754</v>
      </c>
      <c r="J79" s="2">
        <v>774.41361726396917</v>
      </c>
      <c r="K79" s="2">
        <v>774.41361726396917</v>
      </c>
      <c r="L79">
        <v>800.29370439996785</v>
      </c>
      <c r="M79" s="2">
        <v>1.9306249505060944</v>
      </c>
      <c r="N79" s="2">
        <v>1.9306249505060944</v>
      </c>
      <c r="O79">
        <v>2.950252092951565</v>
      </c>
      <c r="P79">
        <v>0.22938584901705888</v>
      </c>
      <c r="Q79">
        <v>0.22938584901705888</v>
      </c>
      <c r="R79">
        <v>0.22938584901705888</v>
      </c>
    </row>
    <row r="80" spans="1:18" outlineLevel="1" x14ac:dyDescent="0.45">
      <c r="A80" s="44">
        <v>21</v>
      </c>
      <c r="B80" s="47">
        <f>G24</f>
        <v>82.717995186413432</v>
      </c>
      <c r="C80" s="2">
        <v>79.24820354434199</v>
      </c>
      <c r="D80" s="2">
        <v>99.439906422415731</v>
      </c>
      <c r="E80" s="2">
        <v>99.439906422415731</v>
      </c>
      <c r="F80">
        <v>60.081488963085135</v>
      </c>
      <c r="G80" s="2">
        <v>1.2258162921414799</v>
      </c>
      <c r="H80" s="10">
        <v>1.2258162921414799</v>
      </c>
      <c r="I80">
        <v>1.1411734252246324</v>
      </c>
      <c r="J80" s="2">
        <v>770.9475062714472</v>
      </c>
      <c r="K80" s="2">
        <v>770.9475062714472</v>
      </c>
      <c r="L80">
        <v>798.63504389522689</v>
      </c>
      <c r="M80" s="2">
        <v>1.8537920746141914</v>
      </c>
      <c r="N80" s="2">
        <v>1.8537920746141914</v>
      </c>
      <c r="O80">
        <v>2.8665145406375006</v>
      </c>
      <c r="P80">
        <v>0.21741280605664562</v>
      </c>
      <c r="Q80">
        <v>0.21741280605664562</v>
      </c>
      <c r="R80">
        <v>0.21741280605664562</v>
      </c>
    </row>
    <row r="81" spans="1:18" outlineLevel="1" x14ac:dyDescent="0.45">
      <c r="A81" s="44">
        <v>22</v>
      </c>
      <c r="B81" s="46">
        <f t="shared" ref="B81:B99" si="2">($B$100-$B$80)/($A$100-$A$80)+B80</f>
        <v>93.582095427092767</v>
      </c>
      <c r="C81" s="2">
        <v>90.285793367124896</v>
      </c>
      <c r="D81" s="2">
        <v>100</v>
      </c>
      <c r="E81" s="2">
        <v>100</v>
      </c>
      <c r="F81">
        <v>66.371135845088489</v>
      </c>
      <c r="G81" s="2">
        <v>1.2221947587922777</v>
      </c>
      <c r="H81" s="10">
        <v>1.2221947587922777</v>
      </c>
      <c r="I81">
        <v>1.154494503969778</v>
      </c>
      <c r="J81" s="2">
        <v>773.62383793424442</v>
      </c>
      <c r="K81" s="2">
        <v>773.62383793424442</v>
      </c>
      <c r="L81">
        <v>794.07907834211733</v>
      </c>
      <c r="M81" s="2">
        <v>1.8796564968489375</v>
      </c>
      <c r="N81" s="2">
        <v>1.8796564968489375</v>
      </c>
      <c r="O81">
        <v>2.6517721562836485</v>
      </c>
      <c r="P81">
        <v>0.21266235482341828</v>
      </c>
      <c r="Q81">
        <v>0.21266235482341828</v>
      </c>
      <c r="R81">
        <v>0.21266235482341828</v>
      </c>
    </row>
    <row r="82" spans="1:18" outlineLevel="1" x14ac:dyDescent="0.45">
      <c r="A82" s="44">
        <v>23</v>
      </c>
      <c r="B82" s="46">
        <f t="shared" si="2"/>
        <v>104.4461956677721</v>
      </c>
      <c r="C82" s="2">
        <v>101.3233831899078</v>
      </c>
      <c r="D82" s="2">
        <v>100</v>
      </c>
      <c r="E82" s="2">
        <v>100</v>
      </c>
      <c r="F82">
        <v>72.592327128865549</v>
      </c>
      <c r="G82" s="2">
        <v>1.2193697020433392</v>
      </c>
      <c r="H82" s="10">
        <v>1.2193697020433392</v>
      </c>
      <c r="I82">
        <v>1.1676678836734364</v>
      </c>
      <c r="J82" s="2">
        <v>775.41618298007711</v>
      </c>
      <c r="K82" s="2">
        <v>775.41618298007711</v>
      </c>
      <c r="L82">
        <v>789.67679520011029</v>
      </c>
      <c r="M82" s="2">
        <v>1.9155386195814579</v>
      </c>
      <c r="N82" s="2">
        <v>1.9155386195814579</v>
      </c>
      <c r="O82">
        <v>2.4635702051110751</v>
      </c>
      <c r="P82">
        <v>0.20797751468139458</v>
      </c>
      <c r="Q82">
        <v>0.20797751468139458</v>
      </c>
      <c r="R82">
        <v>0.20797751468139458</v>
      </c>
    </row>
    <row r="83" spans="1:18" outlineLevel="1" x14ac:dyDescent="0.45">
      <c r="A83" s="44">
        <v>24</v>
      </c>
      <c r="B83" s="46">
        <f t="shared" si="2"/>
        <v>115.31029590845144</v>
      </c>
      <c r="C83" s="2">
        <v>112.36097301269071</v>
      </c>
      <c r="D83" s="2">
        <v>100</v>
      </c>
      <c r="E83" s="2">
        <v>100</v>
      </c>
      <c r="F83">
        <v>78.774158309884584</v>
      </c>
      <c r="G83" s="2">
        <v>1.2171044069821473</v>
      </c>
      <c r="H83" s="10">
        <v>1.2171044069821473</v>
      </c>
      <c r="I83">
        <v>1.1807570833644481</v>
      </c>
      <c r="J83" s="2">
        <v>776.85940053774618</v>
      </c>
      <c r="K83" s="2">
        <v>776.85940053774618</v>
      </c>
      <c r="L83">
        <v>785.40021949526817</v>
      </c>
      <c r="M83" s="2">
        <v>1.9514207423139782</v>
      </c>
      <c r="N83" s="2">
        <v>1.9514207423139782</v>
      </c>
      <c r="O83">
        <v>2.296888597620792</v>
      </c>
      <c r="P83">
        <v>0.20335122608945377</v>
      </c>
      <c r="Q83">
        <v>0.20335122608945377</v>
      </c>
      <c r="R83">
        <v>0.20335122608945377</v>
      </c>
    </row>
    <row r="84" spans="1:18" outlineLevel="1" x14ac:dyDescent="0.45">
      <c r="A84" s="44">
        <v>25</v>
      </c>
      <c r="B84" s="46">
        <f t="shared" si="2"/>
        <v>126.17439614913077</v>
      </c>
      <c r="C84" s="2">
        <v>123.39856283547361</v>
      </c>
      <c r="D84" s="2">
        <v>100</v>
      </c>
      <c r="E84" s="2">
        <v>100</v>
      </c>
      <c r="F84">
        <v>84.938908496608022</v>
      </c>
      <c r="G84" s="2">
        <v>1.2152475048810105</v>
      </c>
      <c r="H84" s="10">
        <v>1.2152475048810105</v>
      </c>
      <c r="I84">
        <v>1.1938106138953908</v>
      </c>
      <c r="J84" s="2">
        <v>778.04644420362695</v>
      </c>
      <c r="K84" s="2">
        <v>778.04644420362695</v>
      </c>
      <c r="L84">
        <v>781.22852511255849</v>
      </c>
      <c r="M84" s="2">
        <v>1.9873028650464986</v>
      </c>
      <c r="N84" s="2">
        <v>1.9873028650464986</v>
      </c>
      <c r="O84">
        <v>2.1480321856302989</v>
      </c>
      <c r="P84">
        <v>0.19877912939800127</v>
      </c>
      <c r="Q84">
        <v>0.19877912939800127</v>
      </c>
      <c r="R84">
        <v>0.19877912939800127</v>
      </c>
    </row>
    <row r="85" spans="1:18" outlineLevel="1" x14ac:dyDescent="0.45">
      <c r="A85" s="44">
        <v>26</v>
      </c>
      <c r="B85" s="46">
        <f t="shared" si="2"/>
        <v>137.03849638981009</v>
      </c>
      <c r="C85" s="2">
        <v>134.4361526582565</v>
      </c>
      <c r="D85" s="2">
        <v>100</v>
      </c>
      <c r="E85" s="2">
        <v>100</v>
      </c>
      <c r="F85">
        <v>91.104087624412401</v>
      </c>
      <c r="G85" s="2">
        <v>1.2136976902504677</v>
      </c>
      <c r="H85" s="10">
        <v>1.2136976902504677</v>
      </c>
      <c r="I85">
        <v>1.2068664543715215</v>
      </c>
      <c r="J85" s="2">
        <v>779.03995994659567</v>
      </c>
      <c r="K85" s="2">
        <v>779.03995994659567</v>
      </c>
      <c r="L85">
        <v>777.14588991864946</v>
      </c>
      <c r="M85" s="2">
        <v>2.0231849877790187</v>
      </c>
      <c r="N85" s="2">
        <v>2.0231849877790187</v>
      </c>
      <c r="O85">
        <v>2.0141991260889274</v>
      </c>
      <c r="P85">
        <v>0.19425810064477733</v>
      </c>
      <c r="Q85">
        <v>0.19425810064477733</v>
      </c>
      <c r="R85">
        <v>0.19425810064477733</v>
      </c>
    </row>
    <row r="86" spans="1:18" outlineLevel="1" x14ac:dyDescent="0.45">
      <c r="A86" s="44">
        <v>27</v>
      </c>
      <c r="B86" s="46">
        <f t="shared" si="2"/>
        <v>147.90259663048943</v>
      </c>
      <c r="C86" s="2">
        <v>145.47374248103941</v>
      </c>
      <c r="D86" s="2">
        <v>100</v>
      </c>
      <c r="E86" s="2">
        <v>100</v>
      </c>
      <c r="F86">
        <v>97.283752218276092</v>
      </c>
      <c r="G86" s="2">
        <v>1.212384604539003</v>
      </c>
      <c r="H86" s="10">
        <v>1.212384604539003</v>
      </c>
      <c r="I86">
        <v>1.2199549297872214</v>
      </c>
      <c r="J86" s="2">
        <v>779.88370724942024</v>
      </c>
      <c r="K86" s="2">
        <v>779.88370724942024</v>
      </c>
      <c r="L86">
        <v>773.14011282700028</v>
      </c>
      <c r="M86" s="2">
        <v>2.0590671105115392</v>
      </c>
      <c r="N86" s="2">
        <v>2.0590671105115392</v>
      </c>
      <c r="O86">
        <v>1.893211845452428</v>
      </c>
      <c r="P86">
        <v>0.18978557072058924</v>
      </c>
      <c r="Q86">
        <v>0.18978557072058924</v>
      </c>
      <c r="R86">
        <v>0.18978557072058924</v>
      </c>
    </row>
    <row r="87" spans="1:18" outlineLevel="1" x14ac:dyDescent="0.45">
      <c r="A87" s="44">
        <v>28</v>
      </c>
      <c r="B87" s="46">
        <f t="shared" si="2"/>
        <v>158.76669687116876</v>
      </c>
      <c r="C87" s="2">
        <v>156.51133230382231</v>
      </c>
      <c r="D87" s="2">
        <v>100</v>
      </c>
      <c r="E87" s="2">
        <v>100</v>
      </c>
      <c r="F87">
        <v>100</v>
      </c>
      <c r="G87" s="2">
        <v>1.2112578575719641</v>
      </c>
      <c r="H87" s="10">
        <v>1.2112578575719641</v>
      </c>
      <c r="I87">
        <v>1.2244529407113773</v>
      </c>
      <c r="J87" s="2">
        <v>780.60917754981347</v>
      </c>
      <c r="K87" s="2">
        <v>780.60917754981347</v>
      </c>
      <c r="L87">
        <v>772.19709191165521</v>
      </c>
      <c r="M87" s="2">
        <v>2.0949492332440594</v>
      </c>
      <c r="N87" s="2">
        <v>2.0949492332440594</v>
      </c>
      <c r="O87">
        <v>1.856191048821064</v>
      </c>
      <c r="P87">
        <v>0.1853592492459086</v>
      </c>
      <c r="Q87">
        <v>0.1853592492459086</v>
      </c>
      <c r="R87">
        <v>0.1853592492459086</v>
      </c>
    </row>
    <row r="88" spans="1:18" outlineLevel="1" x14ac:dyDescent="0.45">
      <c r="A88" s="44">
        <v>29</v>
      </c>
      <c r="B88" s="46">
        <f t="shared" si="2"/>
        <v>169.6307971118481</v>
      </c>
      <c r="C88" s="2">
        <v>167.54892212660522</v>
      </c>
      <c r="D88" s="2">
        <v>100</v>
      </c>
      <c r="E88" s="2">
        <v>100</v>
      </c>
      <c r="F88">
        <v>100</v>
      </c>
      <c r="G88" s="2">
        <v>1.2102804129458413</v>
      </c>
      <c r="H88" s="10">
        <v>1.2102804129458413</v>
      </c>
      <c r="I88">
        <v>1.2225918972684016</v>
      </c>
      <c r="J88" s="2">
        <v>781.23961181739037</v>
      </c>
      <c r="K88" s="2">
        <v>781.23961181739037</v>
      </c>
      <c r="L88">
        <v>773.37253920342778</v>
      </c>
      <c r="M88" s="2">
        <v>2.1308313559765799</v>
      </c>
      <c r="N88" s="2">
        <v>2.1308313559765799</v>
      </c>
      <c r="O88">
        <v>1.8752353179125607</v>
      </c>
      <c r="P88">
        <v>0.18097702393248435</v>
      </c>
      <c r="Q88">
        <v>0.18097702393248435</v>
      </c>
      <c r="R88">
        <v>0.18097702393248435</v>
      </c>
    </row>
    <row r="89" spans="1:18" outlineLevel="1" x14ac:dyDescent="0.45">
      <c r="A89" s="44">
        <v>30</v>
      </c>
      <c r="B89" s="46">
        <f t="shared" si="2"/>
        <v>180.49489735252743</v>
      </c>
      <c r="C89" s="2">
        <v>178.58651194938813</v>
      </c>
      <c r="D89" s="2">
        <v>100</v>
      </c>
      <c r="E89" s="2">
        <v>100</v>
      </c>
      <c r="F89">
        <v>100</v>
      </c>
      <c r="G89" s="2">
        <v>1.2094244393653859</v>
      </c>
      <c r="H89" s="10">
        <v>1.2094244393653859</v>
      </c>
      <c r="I89">
        <v>1.2209632243419828</v>
      </c>
      <c r="J89" s="2">
        <v>781.79253637055365</v>
      </c>
      <c r="K89" s="2">
        <v>781.79253637055365</v>
      </c>
      <c r="L89">
        <v>774.40415988742927</v>
      </c>
      <c r="M89" s="2">
        <v>2.1667134787091</v>
      </c>
      <c r="N89" s="2">
        <v>2.1667134787091</v>
      </c>
      <c r="O89">
        <v>1.8942795870040574</v>
      </c>
      <c r="P89">
        <v>0.1766369242556555</v>
      </c>
      <c r="Q89">
        <v>0.1766369242556555</v>
      </c>
      <c r="R89">
        <v>0.1766369242556555</v>
      </c>
    </row>
    <row r="90" spans="1:18" outlineLevel="1" x14ac:dyDescent="0.45">
      <c r="A90" s="44">
        <v>31</v>
      </c>
      <c r="B90" s="46">
        <f t="shared" si="2"/>
        <v>191.35899759320677</v>
      </c>
      <c r="C90" s="2">
        <v>189.62410177217103</v>
      </c>
      <c r="D90" s="2">
        <v>100</v>
      </c>
      <c r="E90" s="2">
        <v>100</v>
      </c>
      <c r="F90">
        <v>100</v>
      </c>
      <c r="G90" s="2">
        <v>1.2086686181451973</v>
      </c>
      <c r="H90" s="10">
        <v>1.2086686181451973</v>
      </c>
      <c r="I90">
        <v>1.219525959705883</v>
      </c>
      <c r="J90" s="2">
        <v>782.28141759068558</v>
      </c>
      <c r="K90" s="2">
        <v>782.28141759068558</v>
      </c>
      <c r="L90">
        <v>775.31682903087517</v>
      </c>
      <c r="M90" s="2">
        <v>2.2025956014416206</v>
      </c>
      <c r="N90" s="2">
        <v>2.2025956014416206</v>
      </c>
      <c r="O90">
        <v>1.9133238560955541</v>
      </c>
      <c r="P90">
        <v>0.17233710532507002</v>
      </c>
      <c r="Q90">
        <v>0.17233710532507002</v>
      </c>
      <c r="R90">
        <v>0.17233710532507002</v>
      </c>
    </row>
    <row r="91" spans="1:18" outlineLevel="1" x14ac:dyDescent="0.45">
      <c r="A91" s="44">
        <v>32</v>
      </c>
      <c r="B91" s="46">
        <f t="shared" si="2"/>
        <v>202.2230978338861</v>
      </c>
      <c r="C91" s="2">
        <v>200.66169159495394</v>
      </c>
      <c r="D91" s="2">
        <v>100</v>
      </c>
      <c r="E91" s="2">
        <v>100</v>
      </c>
      <c r="F91">
        <v>100</v>
      </c>
      <c r="G91" s="2">
        <v>1.2079963435420831</v>
      </c>
      <c r="H91" s="10">
        <v>1.2079963435420831</v>
      </c>
      <c r="I91">
        <v>1.2182482343174579</v>
      </c>
      <c r="J91" s="2">
        <v>782.71677315475324</v>
      </c>
      <c r="K91" s="2">
        <v>782.71677315475324</v>
      </c>
      <c r="L91">
        <v>776.12999827554961</v>
      </c>
      <c r="M91" s="2">
        <v>2.2384777241741407</v>
      </c>
      <c r="N91" s="2">
        <v>2.2384777241741407</v>
      </c>
      <c r="O91">
        <v>1.9323681251870508</v>
      </c>
      <c r="P91">
        <v>0.1680758375079901</v>
      </c>
      <c r="Q91">
        <v>0.1680758375079901</v>
      </c>
      <c r="R91">
        <v>0.1680758375079901</v>
      </c>
    </row>
    <row r="92" spans="1:18" outlineLevel="1" x14ac:dyDescent="0.45">
      <c r="A92" s="44">
        <v>33</v>
      </c>
      <c r="B92" s="46">
        <f t="shared" si="2"/>
        <v>213.08719807456544</v>
      </c>
      <c r="C92" s="2">
        <v>211.69928141773684</v>
      </c>
      <c r="D92" s="2">
        <v>100</v>
      </c>
      <c r="E92" s="2">
        <v>100</v>
      </c>
      <c r="F92">
        <v>100</v>
      </c>
      <c r="G92" s="2">
        <v>1.2073944886041885</v>
      </c>
      <c r="H92" s="10">
        <v>1.2073944886041885</v>
      </c>
      <c r="I92">
        <v>1.2171048818046477</v>
      </c>
      <c r="J92" s="2">
        <v>783.10693723065572</v>
      </c>
      <c r="K92" s="2">
        <v>783.10693723065572</v>
      </c>
      <c r="L92">
        <v>776.85909746581819</v>
      </c>
      <c r="M92" s="2">
        <v>2.2743598469066613</v>
      </c>
      <c r="N92" s="2">
        <v>2.2743598469066613</v>
      </c>
      <c r="O92">
        <v>1.9514123942785475</v>
      </c>
      <c r="P92">
        <v>0.16385149786690129</v>
      </c>
      <c r="Q92">
        <v>0.16385149786690129</v>
      </c>
      <c r="R92">
        <v>0.16385149786690129</v>
      </c>
    </row>
    <row r="93" spans="1:18" outlineLevel="1" x14ac:dyDescent="0.45">
      <c r="A93" s="44">
        <v>34</v>
      </c>
      <c r="B93" s="46">
        <f t="shared" si="2"/>
        <v>223.95129831524477</v>
      </c>
      <c r="C93" s="2">
        <v>222.73687124051975</v>
      </c>
      <c r="D93" s="2">
        <v>100</v>
      </c>
      <c r="E93" s="2">
        <v>100</v>
      </c>
      <c r="F93">
        <v>100</v>
      </c>
      <c r="G93" s="2">
        <v>1.2068525395336183</v>
      </c>
      <c r="H93" s="10">
        <v>1.2068525395336183</v>
      </c>
      <c r="I93">
        <v>1.2160757644000351</v>
      </c>
      <c r="J93" s="2">
        <v>783.45859914699338</v>
      </c>
      <c r="K93" s="2">
        <v>783.45859914699338</v>
      </c>
      <c r="L93">
        <v>777.51652296638167</v>
      </c>
      <c r="M93" s="2">
        <v>2.3102419696391814</v>
      </c>
      <c r="N93" s="2">
        <v>2.3102419696391814</v>
      </c>
      <c r="O93">
        <v>1.970456663370044</v>
      </c>
      <c r="P93">
        <v>0.15966256248560404</v>
      </c>
      <c r="Q93">
        <v>0.15966256248560404</v>
      </c>
      <c r="R93">
        <v>0.15966256248560404</v>
      </c>
    </row>
    <row r="94" spans="1:18" outlineLevel="1" x14ac:dyDescent="0.45">
      <c r="A94" s="44">
        <v>35</v>
      </c>
      <c r="B94" s="46">
        <f t="shared" si="2"/>
        <v>234.81539855592411</v>
      </c>
      <c r="C94" s="2">
        <v>233.77446106330265</v>
      </c>
      <c r="D94" s="2">
        <v>100</v>
      </c>
      <c r="E94" s="2">
        <v>100</v>
      </c>
      <c r="F94">
        <v>100</v>
      </c>
      <c r="G94" s="2">
        <v>1.206361976272706</v>
      </c>
      <c r="H94" s="10">
        <v>1.206361976272706</v>
      </c>
      <c r="I94">
        <v>1.215144576734946</v>
      </c>
      <c r="J94" s="2">
        <v>783.77719009460827</v>
      </c>
      <c r="K94" s="2">
        <v>783.77719009460827</v>
      </c>
      <c r="L94">
        <v>778.11234819528943</v>
      </c>
      <c r="M94" s="2">
        <v>2.3461240923717019</v>
      </c>
      <c r="N94" s="2">
        <v>2.3461240923717019</v>
      </c>
      <c r="O94">
        <v>1.9895009324615407</v>
      </c>
      <c r="P94">
        <v>0.15550759946200757</v>
      </c>
      <c r="Q94">
        <v>0.15550759946200757</v>
      </c>
      <c r="R94">
        <v>0.15550759946200757</v>
      </c>
    </row>
    <row r="95" spans="1:18" outlineLevel="1" x14ac:dyDescent="0.45">
      <c r="A95" s="44">
        <v>36</v>
      </c>
      <c r="B95" s="46">
        <f t="shared" si="2"/>
        <v>245.67949879660344</v>
      </c>
      <c r="C95" s="2">
        <v>244.81205088608556</v>
      </c>
      <c r="D95" s="2">
        <v>100</v>
      </c>
      <c r="E95" s="2">
        <v>100</v>
      </c>
      <c r="F95">
        <v>100</v>
      </c>
      <c r="G95" s="2">
        <v>1.2059158213034997</v>
      </c>
      <c r="H95" s="10">
        <v>1.2059158213034997</v>
      </c>
      <c r="I95">
        <v>1.2142979755847099</v>
      </c>
      <c r="J95" s="2">
        <v>784.06716563181715</v>
      </c>
      <c r="K95" s="2">
        <v>784.06716563181715</v>
      </c>
      <c r="L95">
        <v>778.65484338365366</v>
      </c>
      <c r="M95" s="2">
        <v>2.3820062151042221</v>
      </c>
      <c r="N95" s="2">
        <v>2.3820062151042221</v>
      </c>
      <c r="O95">
        <v>2.0085452015530376</v>
      </c>
      <c r="P95">
        <v>0.15138526248353421</v>
      </c>
      <c r="Q95">
        <v>0.15138526248353421</v>
      </c>
      <c r="R95">
        <v>0.15138526248353421</v>
      </c>
    </row>
    <row r="96" spans="1:18" outlineLevel="1" x14ac:dyDescent="0.45">
      <c r="A96" s="44">
        <v>37</v>
      </c>
      <c r="B96" s="46">
        <f t="shared" si="2"/>
        <v>256.54359903728277</v>
      </c>
      <c r="C96" s="2">
        <v>255.84964070886846</v>
      </c>
      <c r="D96" s="2">
        <v>100</v>
      </c>
      <c r="E96" s="2">
        <v>100</v>
      </c>
      <c r="F96">
        <v>100</v>
      </c>
      <c r="G96" s="2">
        <v>1.2055083056734803</v>
      </c>
      <c r="H96" s="10">
        <v>1.2055083056734803</v>
      </c>
      <c r="I96">
        <v>1.2135249364475436</v>
      </c>
      <c r="J96" s="2">
        <v>784.33221534028974</v>
      </c>
      <c r="K96" s="2">
        <v>784.33221534028974</v>
      </c>
      <c r="L96">
        <v>779.1508617597093</v>
      </c>
      <c r="M96" s="2">
        <v>2.4178883378367426</v>
      </c>
      <c r="N96" s="2">
        <v>2.4178883378367426</v>
      </c>
      <c r="O96">
        <v>2.0275894706445339</v>
      </c>
      <c r="P96">
        <v>0.14729428492731003</v>
      </c>
      <c r="Q96">
        <v>0.14729428492731003</v>
      </c>
      <c r="R96">
        <v>0.14729428492731003</v>
      </c>
    </row>
    <row r="97" spans="1:18" outlineLevel="1" x14ac:dyDescent="0.45">
      <c r="A97" s="44">
        <v>38</v>
      </c>
      <c r="B97" s="46">
        <f t="shared" si="2"/>
        <v>267.40769927796208</v>
      </c>
      <c r="C97" s="2">
        <v>266.88723053165137</v>
      </c>
      <c r="D97" s="2">
        <v>100</v>
      </c>
      <c r="E97" s="2">
        <v>100</v>
      </c>
      <c r="F97">
        <v>100</v>
      </c>
      <c r="G97" s="2">
        <v>1.2051346181898295</v>
      </c>
      <c r="H97" s="10">
        <v>1.2051346181898295</v>
      </c>
      <c r="I97">
        <v>1.2128162708510959</v>
      </c>
      <c r="J97" s="2">
        <v>784.57542064488632</v>
      </c>
      <c r="K97" s="2">
        <v>784.57542064488632</v>
      </c>
      <c r="L97">
        <v>779.60613056129307</v>
      </c>
      <c r="M97" s="2">
        <v>2.4537704605692632</v>
      </c>
      <c r="N97" s="2">
        <v>2.4537704605692632</v>
      </c>
      <c r="O97">
        <v>2.0466337397360306</v>
      </c>
      <c r="P97">
        <v>0.14323347443559648</v>
      </c>
      <c r="Q97">
        <v>0.14323347443559648</v>
      </c>
      <c r="R97">
        <v>0.14323347443559648</v>
      </c>
    </row>
    <row r="98" spans="1:18" outlineLevel="1" x14ac:dyDescent="0.45">
      <c r="A98" s="44">
        <v>39</v>
      </c>
      <c r="B98" s="46">
        <f t="shared" si="2"/>
        <v>278.27179951864139</v>
      </c>
      <c r="C98" s="2">
        <v>277.92482035443425</v>
      </c>
      <c r="D98" s="2">
        <v>100</v>
      </c>
      <c r="E98" s="2">
        <v>100</v>
      </c>
      <c r="F98">
        <v>100</v>
      </c>
      <c r="G98" s="2">
        <v>1.2047907145821826</v>
      </c>
      <c r="H98" s="10">
        <v>1.2047907145821826</v>
      </c>
      <c r="I98">
        <v>1.2121642594177888</v>
      </c>
      <c r="J98" s="2">
        <v>784.79937515778647</v>
      </c>
      <c r="K98" s="2">
        <v>784.79937515778647</v>
      </c>
      <c r="L98">
        <v>780.02547315999857</v>
      </c>
      <c r="M98" s="2">
        <v>2.4896525833017833</v>
      </c>
      <c r="N98" s="2">
        <v>2.4896525833017833</v>
      </c>
      <c r="O98">
        <v>2.0656780088275273</v>
      </c>
      <c r="P98">
        <v>0.13920170792236849</v>
      </c>
      <c r="Q98">
        <v>0.13920170792236849</v>
      </c>
      <c r="R98">
        <v>0.13920170792236849</v>
      </c>
    </row>
    <row r="99" spans="1:18" outlineLevel="1" x14ac:dyDescent="0.45">
      <c r="A99" s="44">
        <v>40</v>
      </c>
      <c r="B99" s="46">
        <f t="shared" si="2"/>
        <v>289.13589975932069</v>
      </c>
      <c r="C99" s="2">
        <v>288.96241017721712</v>
      </c>
      <c r="D99" s="2">
        <v>100</v>
      </c>
      <c r="E99" s="2">
        <v>100</v>
      </c>
      <c r="F99">
        <v>100</v>
      </c>
      <c r="G99" s="2">
        <v>1.2044731705465701</v>
      </c>
      <c r="H99" s="10">
        <v>1.2044731705465701</v>
      </c>
      <c r="I99">
        <v>1.2115623695461859</v>
      </c>
      <c r="J99" s="2">
        <v>785.00627753371964</v>
      </c>
      <c r="K99" s="2">
        <v>785.00627753371964</v>
      </c>
      <c r="L99">
        <v>780.41298059972132</v>
      </c>
      <c r="M99" s="2">
        <v>2.5255347060343034</v>
      </c>
      <c r="N99" s="2">
        <v>2.5255347060343034</v>
      </c>
      <c r="O99">
        <v>2.084722277919024</v>
      </c>
      <c r="P99">
        <v>0.13519792697157657</v>
      </c>
      <c r="Q99">
        <v>0.13519792697157657</v>
      </c>
      <c r="R99">
        <v>0.13519792697157657</v>
      </c>
    </row>
    <row r="100" spans="1:18" outlineLevel="1" x14ac:dyDescent="0.4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1.2041790673333377</v>
      </c>
      <c r="H100" s="10">
        <v>1.2041790673333377</v>
      </c>
      <c r="I100">
        <v>1.2110050357864179</v>
      </c>
      <c r="J100" s="2">
        <v>785.19800389310694</v>
      </c>
      <c r="K100" s="2">
        <v>785.19800389310694</v>
      </c>
      <c r="L100">
        <v>780.77214549812902</v>
      </c>
      <c r="M100" s="2">
        <v>2.5614168287668235</v>
      </c>
      <c r="N100" s="2">
        <v>2.5614168287668235</v>
      </c>
      <c r="O100">
        <v>2.1037665470105207</v>
      </c>
      <c r="P100">
        <v>0.1312211335917105</v>
      </c>
      <c r="Q100">
        <v>0.1312211335917105</v>
      </c>
    </row>
    <row r="101" spans="1:18" outlineLevel="1" x14ac:dyDescent="0.45"/>
    <row r="102" spans="1:18" outlineLevel="1" x14ac:dyDescent="0.4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23813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23813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214313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176213</xdr:colOff>
                    <xdr:row>56</xdr:row>
                    <xdr:rowOff>104775</xdr:rowOff>
                  </from>
                  <to>
                    <xdr:col>21</xdr:col>
                    <xdr:colOff>276225</xdr:colOff>
                    <xdr:row>59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_construction"/>
  <dimension ref="A1:AC176"/>
  <sheetViews>
    <sheetView topLeftCell="A13" zoomScale="70" zoomScaleNormal="70" workbookViewId="0">
      <selection activeCell="F21" sqref="F21"/>
    </sheetView>
  </sheetViews>
  <sheetFormatPr defaultRowHeight="14.25" x14ac:dyDescent="0.45"/>
  <sheetData>
    <row r="1" spans="1:16" x14ac:dyDescent="0.45">
      <c r="A1" t="str">
        <f>версия_</f>
        <v>вер 7.6</v>
      </c>
    </row>
    <row r="6" spans="1:16" x14ac:dyDescent="0.45">
      <c r="A6" s="11"/>
      <c r="B6" t="s">
        <v>37</v>
      </c>
      <c r="G6" s="1"/>
    </row>
    <row r="7" spans="1:16" x14ac:dyDescent="0.45">
      <c r="A7" s="11"/>
      <c r="G7" s="1"/>
    </row>
    <row r="8" spans="1:16" x14ac:dyDescent="0.45">
      <c r="A8" s="11"/>
      <c r="B8" s="17" t="s">
        <v>52</v>
      </c>
      <c r="C8" s="2"/>
      <c r="D8" s="2"/>
      <c r="G8" s="1"/>
    </row>
    <row r="9" spans="1:16" ht="15.75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5.75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5.75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5.75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5.75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5">
      <c r="A14" s="11"/>
      <c r="G14" s="1"/>
    </row>
    <row r="15" spans="1:16" x14ac:dyDescent="0.45">
      <c r="A15" s="11"/>
      <c r="G15" s="1"/>
    </row>
    <row r="16" spans="1:16" x14ac:dyDescent="0.4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5.75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45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5">
      <c r="A19" s="11"/>
      <c r="B19" s="9">
        <v>0</v>
      </c>
      <c r="C19" s="9">
        <v>0</v>
      </c>
      <c r="E19" s="16">
        <v>0</v>
      </c>
      <c r="F19" s="16">
        <v>45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45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5">
      <c r="A20" s="11"/>
      <c r="B20" s="9">
        <v>1000</v>
      </c>
      <c r="C20" s="9">
        <v>1000</v>
      </c>
      <c r="E20" s="16">
        <v>2500</v>
      </c>
      <c r="F20" s="16">
        <v>70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45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5">
      <c r="A21" s="11"/>
      <c r="B21" s="9">
        <v>1100</v>
      </c>
      <c r="C21" s="9">
        <v>1096</v>
      </c>
      <c r="E21" s="16"/>
      <c r="F21" s="16"/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45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45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45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45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45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45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45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45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45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45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45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45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45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45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45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45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5">
      <c r="A39" s="11"/>
      <c r="B39" s="9">
        <v>3500</v>
      </c>
      <c r="C39" s="9">
        <v>2500</v>
      </c>
      <c r="G39" s="1"/>
      <c r="M39" s="15"/>
      <c r="N39" s="15"/>
    </row>
    <row r="40" spans="1:29" x14ac:dyDescent="0.45">
      <c r="A40" s="11"/>
      <c r="B40" s="16"/>
      <c r="C40" s="16"/>
      <c r="G40" s="1"/>
      <c r="M40" s="15"/>
      <c r="N40" s="15"/>
    </row>
    <row r="41" spans="1:29" x14ac:dyDescent="0.45">
      <c r="A41" s="11"/>
      <c r="B41" s="16"/>
      <c r="C41" s="16"/>
      <c r="G41" s="1"/>
      <c r="M41" s="15"/>
      <c r="N41" s="15"/>
    </row>
    <row r="42" spans="1:29" x14ac:dyDescent="0.45">
      <c r="A42" s="11"/>
      <c r="B42" s="16"/>
      <c r="C42" s="16"/>
      <c r="G42" s="1"/>
      <c r="M42" s="15"/>
      <c r="N42" s="15"/>
    </row>
    <row r="43" spans="1:29" x14ac:dyDescent="0.45">
      <c r="A43" s="11"/>
      <c r="B43" s="16"/>
      <c r="C43" s="16"/>
      <c r="G43" s="1"/>
      <c r="M43" s="15"/>
      <c r="N43" s="15"/>
    </row>
    <row r="44" spans="1:29" x14ac:dyDescent="0.45">
      <c r="A44" s="11"/>
      <c r="B44" s="16"/>
      <c r="C44" s="16"/>
      <c r="G44" s="1"/>
      <c r="M44" s="15"/>
      <c r="N44" s="15"/>
    </row>
    <row r="45" spans="1:29" x14ac:dyDescent="0.45">
      <c r="A45" s="11"/>
      <c r="B45" s="16"/>
      <c r="C45" s="16"/>
      <c r="G45" s="1"/>
      <c r="M45" s="15"/>
      <c r="N45" s="15"/>
    </row>
    <row r="46" spans="1:29" x14ac:dyDescent="0.45">
      <c r="A46" s="11"/>
      <c r="B46" s="16"/>
      <c r="C46" s="16"/>
      <c r="G46" s="1"/>
    </row>
    <row r="47" spans="1:29" x14ac:dyDescent="0.45">
      <c r="A47" s="11"/>
      <c r="B47" s="16"/>
      <c r="C47" s="16"/>
      <c r="G47" s="1"/>
    </row>
    <row r="48" spans="1:29" x14ac:dyDescent="0.45">
      <c r="A48" s="11"/>
      <c r="B48" s="16"/>
      <c r="C48" s="16"/>
      <c r="G48" s="1"/>
    </row>
    <row r="49" spans="1:7" x14ac:dyDescent="0.45">
      <c r="A49" s="11"/>
      <c r="B49" s="16"/>
      <c r="C49" s="16"/>
      <c r="G49" s="1"/>
    </row>
    <row r="50" spans="1:7" x14ac:dyDescent="0.45">
      <c r="A50" s="11"/>
      <c r="B50" s="16"/>
      <c r="C50" s="16"/>
      <c r="G50" s="1"/>
    </row>
    <row r="51" spans="1:7" x14ac:dyDescent="0.45">
      <c r="A51" s="11"/>
      <c r="B51" s="16"/>
      <c r="C51" s="16"/>
      <c r="G51" s="1"/>
    </row>
    <row r="52" spans="1:7" x14ac:dyDescent="0.45">
      <c r="A52" s="11"/>
      <c r="B52" s="16"/>
      <c r="C52" s="16"/>
      <c r="G52" s="1"/>
    </row>
    <row r="53" spans="1:7" x14ac:dyDescent="0.45">
      <c r="A53" s="11"/>
      <c r="B53" s="16"/>
      <c r="C53" s="16"/>
      <c r="G53" s="1"/>
    </row>
    <row r="54" spans="1:7" x14ac:dyDescent="0.45">
      <c r="A54" s="11"/>
      <c r="B54" s="16"/>
      <c r="C54" s="16"/>
      <c r="G54" s="1"/>
    </row>
    <row r="55" spans="1:7" x14ac:dyDescent="0.45">
      <c r="A55" s="11"/>
      <c r="B55" s="16"/>
      <c r="C55" s="16"/>
      <c r="G55" s="1"/>
    </row>
    <row r="56" spans="1:7" x14ac:dyDescent="0.45">
      <c r="A56" s="11"/>
      <c r="B56" s="16"/>
      <c r="C56" s="16"/>
      <c r="G56" s="1"/>
    </row>
    <row r="57" spans="1:7" x14ac:dyDescent="0.45">
      <c r="A57" s="11"/>
      <c r="B57" s="16"/>
      <c r="C57" s="16"/>
      <c r="G57" s="1"/>
    </row>
    <row r="58" spans="1:7" x14ac:dyDescent="0.45">
      <c r="A58" s="11"/>
      <c r="B58" s="16"/>
      <c r="C58" s="16"/>
      <c r="G58" s="1"/>
    </row>
    <row r="59" spans="1:7" x14ac:dyDescent="0.45">
      <c r="A59" s="11"/>
      <c r="B59" s="16"/>
      <c r="C59" s="16"/>
      <c r="G59" s="1"/>
    </row>
    <row r="60" spans="1:7" x14ac:dyDescent="0.45">
      <c r="A60" s="11"/>
      <c r="B60" s="16"/>
      <c r="C60" s="16"/>
      <c r="G60" s="1"/>
    </row>
    <row r="61" spans="1:7" x14ac:dyDescent="0.45">
      <c r="A61" s="11"/>
      <c r="B61" s="16"/>
      <c r="C61" s="16"/>
      <c r="G61" s="1"/>
    </row>
    <row r="62" spans="1:7" x14ac:dyDescent="0.45">
      <c r="A62" s="11"/>
      <c r="B62" s="16"/>
      <c r="C62" s="16"/>
      <c r="G62" s="1"/>
    </row>
    <row r="63" spans="1:7" x14ac:dyDescent="0.45">
      <c r="A63" s="11"/>
      <c r="B63" s="16"/>
      <c r="C63" s="16"/>
      <c r="G63" s="1"/>
    </row>
    <row r="64" spans="1:7" x14ac:dyDescent="0.45">
      <c r="A64" s="11"/>
      <c r="B64" s="16"/>
      <c r="C64" s="16"/>
      <c r="G64" s="1"/>
    </row>
    <row r="65" spans="1:7" x14ac:dyDescent="0.45">
      <c r="A65" s="11"/>
      <c r="B65" s="16"/>
      <c r="C65" s="16"/>
      <c r="G65" s="1"/>
    </row>
    <row r="66" spans="1:7" x14ac:dyDescent="0.45">
      <c r="A66" s="11"/>
      <c r="B66" s="16"/>
      <c r="C66" s="16"/>
      <c r="G66" s="1"/>
    </row>
    <row r="67" spans="1:7" x14ac:dyDescent="0.45">
      <c r="A67" s="11"/>
      <c r="B67" s="16"/>
      <c r="C67" s="16"/>
      <c r="G67" s="1"/>
    </row>
    <row r="68" spans="1:7" x14ac:dyDescent="0.45">
      <c r="A68" s="11"/>
      <c r="B68" s="16"/>
      <c r="C68" s="16"/>
      <c r="G68" s="1"/>
    </row>
    <row r="69" spans="1:7" x14ac:dyDescent="0.45">
      <c r="A69" s="11"/>
      <c r="B69" s="16"/>
      <c r="C69" s="16"/>
      <c r="G69" s="1"/>
    </row>
    <row r="70" spans="1:7" x14ac:dyDescent="0.45">
      <c r="A70" s="11"/>
      <c r="B70" s="16"/>
      <c r="C70" s="16"/>
      <c r="G70" s="1"/>
    </row>
    <row r="71" spans="1:7" x14ac:dyDescent="0.45">
      <c r="A71" s="11"/>
      <c r="B71" s="16"/>
      <c r="C71" s="16"/>
      <c r="G71" s="1"/>
    </row>
    <row r="72" spans="1:7" x14ac:dyDescent="0.45">
      <c r="A72" s="11"/>
      <c r="B72" s="16"/>
      <c r="C72" s="16"/>
      <c r="G72" s="1"/>
    </row>
    <row r="73" spans="1:7" x14ac:dyDescent="0.45">
      <c r="A73" s="11"/>
      <c r="B73" s="16"/>
      <c r="C73" s="16"/>
      <c r="G73" s="1"/>
    </row>
    <row r="74" spans="1:7" x14ac:dyDescent="0.45">
      <c r="A74" s="11"/>
      <c r="B74" s="16"/>
      <c r="C74" s="16"/>
      <c r="G74" s="1"/>
    </row>
    <row r="75" spans="1:7" x14ac:dyDescent="0.45">
      <c r="A75" s="11"/>
      <c r="B75" s="16"/>
      <c r="C75" s="16"/>
      <c r="G75" s="1"/>
    </row>
    <row r="76" spans="1:7" x14ac:dyDescent="0.45">
      <c r="A76" s="11"/>
      <c r="B76" s="16"/>
      <c r="C76" s="16"/>
      <c r="G76" s="1"/>
    </row>
    <row r="77" spans="1:7" x14ac:dyDescent="0.45">
      <c r="A77" s="11"/>
      <c r="B77" s="16"/>
      <c r="C77" s="16"/>
      <c r="G77" s="1"/>
    </row>
    <row r="78" spans="1:7" x14ac:dyDescent="0.45">
      <c r="A78" s="11"/>
      <c r="B78" s="16"/>
      <c r="C78" s="16"/>
      <c r="G78" s="1"/>
    </row>
    <row r="79" spans="1:7" x14ac:dyDescent="0.45">
      <c r="A79" s="11"/>
      <c r="B79" s="16"/>
      <c r="C79" s="16"/>
      <c r="G79" s="1"/>
    </row>
    <row r="80" spans="1:7" x14ac:dyDescent="0.45">
      <c r="A80" s="11"/>
      <c r="B80" s="16"/>
      <c r="C80" s="16"/>
      <c r="G80" s="1"/>
    </row>
    <row r="81" spans="1:7" x14ac:dyDescent="0.45">
      <c r="A81" s="11"/>
      <c r="B81" s="16"/>
      <c r="C81" s="16"/>
      <c r="G81" s="1"/>
    </row>
    <row r="82" spans="1:7" x14ac:dyDescent="0.45">
      <c r="A82" s="11"/>
      <c r="B82" s="16"/>
      <c r="C82" s="16"/>
      <c r="G82" s="1"/>
    </row>
    <row r="83" spans="1:7" x14ac:dyDescent="0.45">
      <c r="A83" s="11"/>
      <c r="B83" s="16"/>
      <c r="C83" s="16"/>
      <c r="G83" s="1"/>
    </row>
    <row r="84" spans="1:7" x14ac:dyDescent="0.45">
      <c r="A84" s="11"/>
      <c r="B84" s="16"/>
      <c r="C84" s="16"/>
      <c r="G84" s="1"/>
    </row>
    <row r="85" spans="1:7" x14ac:dyDescent="0.45">
      <c r="A85" s="11"/>
      <c r="B85" s="16"/>
      <c r="C85" s="16"/>
      <c r="G85" s="1"/>
    </row>
    <row r="86" spans="1:7" x14ac:dyDescent="0.45">
      <c r="A86" s="11"/>
      <c r="B86" s="16"/>
      <c r="C86" s="16"/>
      <c r="G86" s="1"/>
    </row>
    <row r="87" spans="1:7" x14ac:dyDescent="0.45">
      <c r="A87" s="11"/>
      <c r="B87" s="16"/>
      <c r="C87" s="16"/>
      <c r="G87" s="1"/>
    </row>
    <row r="88" spans="1:7" x14ac:dyDescent="0.45">
      <c r="A88" s="11"/>
      <c r="B88" s="16"/>
      <c r="C88" s="16"/>
      <c r="G88" s="1"/>
    </row>
    <row r="89" spans="1:7" x14ac:dyDescent="0.45">
      <c r="A89" s="11"/>
      <c r="B89" s="16"/>
      <c r="C89" s="16"/>
      <c r="G89" s="1"/>
    </row>
    <row r="90" spans="1:7" x14ac:dyDescent="0.45">
      <c r="A90" s="11"/>
      <c r="B90" s="16"/>
      <c r="C90" s="16"/>
      <c r="G90" s="1"/>
    </row>
    <row r="91" spans="1:7" x14ac:dyDescent="0.45">
      <c r="A91" s="11"/>
      <c r="B91" s="16"/>
      <c r="C91" s="16"/>
      <c r="G91" s="1"/>
    </row>
    <row r="92" spans="1:7" x14ac:dyDescent="0.45">
      <c r="A92" s="11"/>
      <c r="B92" s="16"/>
      <c r="C92" s="16"/>
      <c r="G92" s="1"/>
    </row>
    <row r="93" spans="1:7" x14ac:dyDescent="0.45">
      <c r="A93" s="11"/>
      <c r="B93" s="16"/>
      <c r="C93" s="16"/>
      <c r="G93" s="1"/>
    </row>
    <row r="94" spans="1:7" x14ac:dyDescent="0.45">
      <c r="A94" s="11"/>
      <c r="B94" s="16"/>
      <c r="C94" s="16"/>
      <c r="G94" s="1"/>
    </row>
    <row r="95" spans="1:7" x14ac:dyDescent="0.45">
      <c r="A95" s="11"/>
      <c r="B95" s="16"/>
      <c r="C95" s="16"/>
      <c r="G95" s="1"/>
    </row>
    <row r="96" spans="1:7" x14ac:dyDescent="0.45">
      <c r="A96" s="11"/>
      <c r="B96" s="16"/>
      <c r="C96" s="16"/>
      <c r="G96" s="1"/>
    </row>
    <row r="97" spans="1:7" x14ac:dyDescent="0.45">
      <c r="A97" s="11"/>
      <c r="B97" s="16"/>
      <c r="C97" s="16"/>
      <c r="G97" s="1"/>
    </row>
    <row r="98" spans="1:7" x14ac:dyDescent="0.45">
      <c r="A98" s="11"/>
      <c r="B98" s="16"/>
      <c r="C98" s="16"/>
      <c r="G98" s="1"/>
    </row>
    <row r="99" spans="1:7" x14ac:dyDescent="0.45">
      <c r="A99" s="11"/>
      <c r="B99" s="16"/>
      <c r="C99" s="16"/>
      <c r="G99" s="1"/>
    </row>
    <row r="100" spans="1:7" x14ac:dyDescent="0.45">
      <c r="A100" s="11"/>
      <c r="B100" s="16"/>
      <c r="C100" s="16"/>
      <c r="G100" s="1"/>
    </row>
    <row r="101" spans="1:7" x14ac:dyDescent="0.45">
      <c r="A101" s="11"/>
      <c r="B101" s="16"/>
      <c r="C101" s="16"/>
      <c r="G101" s="1"/>
    </row>
    <row r="102" spans="1:7" x14ac:dyDescent="0.45">
      <c r="A102" s="11"/>
      <c r="B102" s="16"/>
      <c r="C102" s="16"/>
      <c r="G102" s="1"/>
    </row>
    <row r="103" spans="1:7" x14ac:dyDescent="0.45">
      <c r="A103" s="11"/>
      <c r="B103" s="16"/>
      <c r="C103" s="16"/>
      <c r="G103" s="1"/>
    </row>
    <row r="104" spans="1:7" x14ac:dyDescent="0.45">
      <c r="A104" s="11"/>
      <c r="B104" s="16"/>
      <c r="C104" s="16"/>
      <c r="G104" s="1"/>
    </row>
    <row r="105" spans="1:7" x14ac:dyDescent="0.45">
      <c r="A105" s="11"/>
      <c r="B105" s="16"/>
      <c r="C105" s="16"/>
      <c r="G105" s="1"/>
    </row>
    <row r="106" spans="1:7" x14ac:dyDescent="0.45">
      <c r="A106" s="11"/>
      <c r="B106" s="16"/>
      <c r="C106" s="16"/>
      <c r="G106" s="1"/>
    </row>
    <row r="107" spans="1:7" x14ac:dyDescent="0.45">
      <c r="A107" s="11"/>
      <c r="B107" s="16"/>
      <c r="C107" s="16"/>
      <c r="G107" s="1"/>
    </row>
    <row r="108" spans="1:7" x14ac:dyDescent="0.45">
      <c r="A108" s="11"/>
      <c r="B108" s="16"/>
      <c r="C108" s="16"/>
      <c r="G108" s="1"/>
    </row>
    <row r="109" spans="1:7" x14ac:dyDescent="0.45">
      <c r="A109" s="11"/>
      <c r="B109" s="16"/>
      <c r="C109" s="16"/>
      <c r="G109" s="1"/>
    </row>
    <row r="110" spans="1:7" x14ac:dyDescent="0.45">
      <c r="A110" s="11"/>
      <c r="B110" s="16"/>
      <c r="C110" s="16"/>
      <c r="G110" s="1"/>
    </row>
    <row r="111" spans="1:7" x14ac:dyDescent="0.45">
      <c r="A111" s="11"/>
      <c r="B111" s="16"/>
      <c r="C111" s="16"/>
      <c r="G111" s="1"/>
    </row>
    <row r="112" spans="1:7" x14ac:dyDescent="0.45">
      <c r="A112" s="11"/>
      <c r="B112" s="16"/>
      <c r="C112" s="16"/>
      <c r="G112" s="1"/>
    </row>
    <row r="113" spans="1:7" x14ac:dyDescent="0.45">
      <c r="A113" s="11"/>
      <c r="B113" s="16"/>
      <c r="C113" s="16"/>
      <c r="G113" s="1"/>
    </row>
    <row r="114" spans="1:7" x14ac:dyDescent="0.45">
      <c r="A114" s="11"/>
      <c r="B114" s="16"/>
      <c r="C114" s="16"/>
      <c r="G114" s="1"/>
    </row>
    <row r="115" spans="1:7" x14ac:dyDescent="0.45">
      <c r="A115" s="11"/>
      <c r="B115" s="16"/>
      <c r="C115" s="16"/>
      <c r="G115" s="1"/>
    </row>
    <row r="116" spans="1:7" x14ac:dyDescent="0.45">
      <c r="A116" s="11"/>
      <c r="B116" s="16"/>
      <c r="C116" s="16"/>
      <c r="G116" s="1"/>
    </row>
    <row r="117" spans="1:7" x14ac:dyDescent="0.45">
      <c r="A117" s="11"/>
      <c r="B117" s="16"/>
      <c r="C117" s="16"/>
      <c r="G117" s="1"/>
    </row>
    <row r="118" spans="1:7" x14ac:dyDescent="0.45">
      <c r="A118" s="11"/>
      <c r="B118" s="16"/>
      <c r="C118" s="16"/>
      <c r="G118" s="1"/>
    </row>
    <row r="119" spans="1:7" x14ac:dyDescent="0.45">
      <c r="A119" s="11"/>
      <c r="B119" s="16"/>
      <c r="C119" s="16"/>
      <c r="G119" s="1"/>
    </row>
    <row r="120" spans="1:7" x14ac:dyDescent="0.45">
      <c r="A120" s="11"/>
      <c r="B120" s="16"/>
      <c r="C120" s="16"/>
      <c r="G120" s="1"/>
    </row>
    <row r="121" spans="1:7" x14ac:dyDescent="0.45">
      <c r="A121" s="11"/>
      <c r="B121" s="16"/>
      <c r="C121" s="16"/>
      <c r="G121" s="1"/>
    </row>
    <row r="122" spans="1:7" x14ac:dyDescent="0.45">
      <c r="A122" s="11"/>
      <c r="B122" s="16"/>
      <c r="C122" s="16"/>
      <c r="G122" s="1"/>
    </row>
    <row r="123" spans="1:7" x14ac:dyDescent="0.45">
      <c r="A123" s="11"/>
      <c r="B123" s="16"/>
      <c r="C123" s="16"/>
      <c r="G123" s="1"/>
    </row>
    <row r="124" spans="1:7" x14ac:dyDescent="0.45">
      <c r="A124" s="11"/>
      <c r="B124" s="16"/>
      <c r="C124" s="16"/>
      <c r="G124" s="1"/>
    </row>
    <row r="125" spans="1:7" x14ac:dyDescent="0.45">
      <c r="A125" s="11"/>
      <c r="B125" s="16"/>
      <c r="C125" s="16"/>
      <c r="G125" s="1"/>
    </row>
    <row r="126" spans="1:7" x14ac:dyDescent="0.45">
      <c r="A126" s="11"/>
      <c r="B126" s="16"/>
      <c r="C126" s="16"/>
      <c r="G126" s="1"/>
    </row>
    <row r="127" spans="1:7" x14ac:dyDescent="0.45">
      <c r="A127" s="11"/>
      <c r="B127" s="16"/>
      <c r="C127" s="16"/>
      <c r="G127" s="1"/>
    </row>
    <row r="128" spans="1:7" x14ac:dyDescent="0.45">
      <c r="A128" s="11"/>
      <c r="B128" s="16"/>
      <c r="C128" s="16"/>
      <c r="G128" s="1"/>
    </row>
    <row r="129" spans="1:7" x14ac:dyDescent="0.45">
      <c r="A129" s="11"/>
      <c r="B129" s="16"/>
      <c r="C129" s="16"/>
      <c r="G129" s="1"/>
    </row>
    <row r="130" spans="1:7" x14ac:dyDescent="0.45">
      <c r="A130" s="11"/>
      <c r="B130" s="16"/>
      <c r="C130" s="16"/>
      <c r="G130" s="1"/>
    </row>
    <row r="131" spans="1:7" x14ac:dyDescent="0.45">
      <c r="A131" s="11"/>
      <c r="B131" s="16"/>
      <c r="C131" s="16"/>
      <c r="G131" s="1"/>
    </row>
    <row r="132" spans="1:7" x14ac:dyDescent="0.45">
      <c r="A132" s="11"/>
      <c r="B132" s="16"/>
      <c r="C132" s="16"/>
      <c r="G132" s="1"/>
    </row>
    <row r="133" spans="1:7" x14ac:dyDescent="0.45">
      <c r="A133" s="11"/>
      <c r="B133" s="16"/>
      <c r="C133" s="16"/>
      <c r="G133" s="1"/>
    </row>
    <row r="134" spans="1:7" x14ac:dyDescent="0.45">
      <c r="A134" s="11"/>
      <c r="B134" s="16"/>
      <c r="C134" s="16"/>
      <c r="G134" s="1"/>
    </row>
    <row r="135" spans="1:7" x14ac:dyDescent="0.45">
      <c r="A135" s="11"/>
      <c r="B135" s="16"/>
      <c r="C135" s="16"/>
      <c r="G135" s="1"/>
    </row>
    <row r="136" spans="1:7" x14ac:dyDescent="0.45">
      <c r="A136" s="11"/>
      <c r="B136" s="16"/>
      <c r="C136" s="16"/>
      <c r="G136" s="1"/>
    </row>
    <row r="137" spans="1:7" x14ac:dyDescent="0.45">
      <c r="A137" s="11"/>
      <c r="B137" s="16"/>
      <c r="C137" s="16"/>
      <c r="G137" s="1"/>
    </row>
    <row r="138" spans="1:7" x14ac:dyDescent="0.45">
      <c r="A138" s="11"/>
      <c r="B138" s="16"/>
      <c r="C138" s="16"/>
      <c r="G138" s="1"/>
    </row>
    <row r="139" spans="1:7" x14ac:dyDescent="0.45">
      <c r="A139" s="11"/>
      <c r="B139" s="16"/>
      <c r="C139" s="16"/>
      <c r="G139" s="1"/>
    </row>
    <row r="140" spans="1:7" x14ac:dyDescent="0.45">
      <c r="A140" s="11"/>
      <c r="B140" s="16"/>
      <c r="C140" s="16"/>
      <c r="G140" s="1"/>
    </row>
    <row r="141" spans="1:7" x14ac:dyDescent="0.45">
      <c r="A141" s="11"/>
      <c r="B141" s="16"/>
      <c r="C141" s="16"/>
      <c r="G141" s="1"/>
    </row>
    <row r="142" spans="1:7" x14ac:dyDescent="0.45">
      <c r="A142" s="11"/>
      <c r="B142" s="16"/>
      <c r="C142" s="16"/>
      <c r="G142" s="1"/>
    </row>
    <row r="143" spans="1:7" x14ac:dyDescent="0.45">
      <c r="A143" s="11"/>
      <c r="B143" s="16"/>
      <c r="C143" s="16"/>
      <c r="G143" s="1"/>
    </row>
    <row r="144" spans="1:7" x14ac:dyDescent="0.45">
      <c r="A144" s="11"/>
      <c r="B144" s="16"/>
      <c r="C144" s="16"/>
      <c r="G144" s="1"/>
    </row>
    <row r="145" spans="1:7" x14ac:dyDescent="0.45">
      <c r="A145" s="11"/>
      <c r="B145" s="16"/>
      <c r="C145" s="16"/>
      <c r="G145" s="1"/>
    </row>
    <row r="146" spans="1:7" x14ac:dyDescent="0.45">
      <c r="A146" s="11"/>
      <c r="B146" s="16"/>
      <c r="C146" s="16"/>
      <c r="G146" s="1"/>
    </row>
    <row r="147" spans="1:7" x14ac:dyDescent="0.45">
      <c r="A147" s="11"/>
      <c r="B147" s="16"/>
      <c r="C147" s="16"/>
      <c r="G147" s="1"/>
    </row>
    <row r="148" spans="1:7" x14ac:dyDescent="0.45">
      <c r="A148" s="11"/>
      <c r="B148" s="16"/>
      <c r="C148" s="16"/>
      <c r="G148" s="1"/>
    </row>
    <row r="149" spans="1:7" x14ac:dyDescent="0.45">
      <c r="A149" s="11"/>
      <c r="B149" s="16"/>
      <c r="C149" s="16"/>
      <c r="G149" s="1"/>
    </row>
    <row r="150" spans="1:7" x14ac:dyDescent="0.45">
      <c r="A150" s="11"/>
      <c r="B150" s="16"/>
      <c r="C150" s="16"/>
      <c r="G150" s="1"/>
    </row>
    <row r="151" spans="1:7" x14ac:dyDescent="0.45">
      <c r="A151" s="11"/>
      <c r="B151" s="16"/>
      <c r="C151" s="16"/>
      <c r="G151" s="1"/>
    </row>
    <row r="152" spans="1:7" x14ac:dyDescent="0.45">
      <c r="A152" s="11"/>
      <c r="B152" s="16"/>
      <c r="C152" s="16"/>
      <c r="G152" s="1"/>
    </row>
    <row r="153" spans="1:7" x14ac:dyDescent="0.45">
      <c r="A153" s="11"/>
      <c r="B153" s="16"/>
      <c r="C153" s="16"/>
      <c r="G153" s="1"/>
    </row>
    <row r="154" spans="1:7" x14ac:dyDescent="0.45">
      <c r="A154" s="11"/>
      <c r="B154" s="16"/>
      <c r="C154" s="16"/>
      <c r="G154" s="1"/>
    </row>
    <row r="155" spans="1:7" x14ac:dyDescent="0.45">
      <c r="A155" s="11"/>
      <c r="B155" s="16"/>
      <c r="C155" s="16"/>
      <c r="G155" s="1"/>
    </row>
    <row r="156" spans="1:7" x14ac:dyDescent="0.45">
      <c r="A156" s="11"/>
      <c r="B156" s="16"/>
      <c r="C156" s="16"/>
      <c r="G156" s="1"/>
    </row>
    <row r="157" spans="1:7" x14ac:dyDescent="0.45">
      <c r="A157" s="11"/>
      <c r="B157" s="16"/>
      <c r="C157" s="16"/>
      <c r="G157" s="1"/>
    </row>
    <row r="158" spans="1:7" x14ac:dyDescent="0.45">
      <c r="A158" s="11"/>
      <c r="B158" s="16"/>
      <c r="C158" s="16"/>
      <c r="G158" s="1"/>
    </row>
    <row r="159" spans="1:7" x14ac:dyDescent="0.45">
      <c r="A159" s="11"/>
      <c r="B159" s="16"/>
      <c r="C159" s="16"/>
      <c r="G159" s="1"/>
    </row>
    <row r="160" spans="1:7" x14ac:dyDescent="0.45">
      <c r="A160" s="11"/>
      <c r="B160" s="16"/>
      <c r="C160" s="16"/>
      <c r="G160" s="1"/>
    </row>
    <row r="161" spans="1:7" x14ac:dyDescent="0.45">
      <c r="A161" s="11"/>
      <c r="B161" s="16"/>
      <c r="C161" s="16"/>
      <c r="G161" s="1"/>
    </row>
    <row r="162" spans="1:7" x14ac:dyDescent="0.45">
      <c r="A162" s="11"/>
      <c r="B162" s="16"/>
      <c r="C162" s="16"/>
      <c r="G162" s="1"/>
    </row>
    <row r="163" spans="1:7" x14ac:dyDescent="0.45">
      <c r="A163" s="11"/>
      <c r="B163" s="16"/>
      <c r="C163" s="16"/>
      <c r="G163" s="1"/>
    </row>
    <row r="164" spans="1:7" x14ac:dyDescent="0.45">
      <c r="A164" s="11"/>
      <c r="B164" s="16"/>
      <c r="C164" s="16"/>
      <c r="G164" s="1"/>
    </row>
    <row r="165" spans="1:7" x14ac:dyDescent="0.45">
      <c r="A165" s="11"/>
      <c r="B165" s="16"/>
      <c r="C165" s="16"/>
      <c r="G165" s="1"/>
    </row>
    <row r="166" spans="1:7" x14ac:dyDescent="0.45">
      <c r="A166" s="11"/>
      <c r="B166" s="16"/>
      <c r="C166" s="16"/>
      <c r="G166" s="1"/>
    </row>
    <row r="167" spans="1:7" x14ac:dyDescent="0.45">
      <c r="A167" s="11"/>
      <c r="B167" s="16"/>
      <c r="C167" s="16"/>
      <c r="G167" s="1"/>
    </row>
    <row r="168" spans="1:7" x14ac:dyDescent="0.45">
      <c r="A168" s="11"/>
      <c r="B168" s="16"/>
      <c r="C168" s="16"/>
      <c r="G168" s="1"/>
    </row>
    <row r="169" spans="1:7" x14ac:dyDescent="0.45">
      <c r="A169" s="11"/>
      <c r="B169" s="16"/>
      <c r="C169" s="16"/>
      <c r="G169" s="1"/>
    </row>
    <row r="170" spans="1:7" x14ac:dyDescent="0.45">
      <c r="A170" s="11"/>
      <c r="B170" s="16"/>
      <c r="C170" s="16"/>
      <c r="G170" s="1"/>
    </row>
    <row r="171" spans="1:7" x14ac:dyDescent="0.45">
      <c r="A171" s="11"/>
      <c r="B171" s="16"/>
      <c r="C171" s="16"/>
      <c r="G171" s="1"/>
    </row>
    <row r="172" spans="1:7" x14ac:dyDescent="0.45">
      <c r="A172" s="11"/>
      <c r="B172" s="16"/>
      <c r="C172" s="16"/>
      <c r="G172" s="1"/>
    </row>
    <row r="173" spans="1:7" x14ac:dyDescent="0.45">
      <c r="A173" s="11"/>
      <c r="B173" s="16"/>
      <c r="C173" s="16"/>
      <c r="G173" s="1"/>
    </row>
    <row r="174" spans="1:7" x14ac:dyDescent="0.45">
      <c r="A174" s="11"/>
      <c r="B174" s="16"/>
      <c r="C174" s="16"/>
      <c r="G174" s="1"/>
    </row>
    <row r="175" spans="1:7" x14ac:dyDescent="0.45">
      <c r="A175" s="11"/>
      <c r="G175" s="1"/>
    </row>
    <row r="176" spans="1:7" x14ac:dyDescent="0.4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290513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86B02-2E8C-4779-BD89-0D643EB11B24}">
  <sheetPr codeName="Sheet_GL"/>
  <dimension ref="A1:F20"/>
  <sheetViews>
    <sheetView workbookViewId="0"/>
  </sheetViews>
  <sheetFormatPr defaultRowHeight="14.25" x14ac:dyDescent="0.45"/>
  <cols>
    <col min="2" max="2" width="13.33203125" customWidth="1"/>
    <col min="3" max="3" width="10.53125" customWidth="1"/>
    <col min="4" max="4" width="15.6640625" customWidth="1"/>
  </cols>
  <sheetData>
    <row r="1" spans="1:6" x14ac:dyDescent="0.45">
      <c r="A1" t="str">
        <f>версия_</f>
        <v>вер 7.6</v>
      </c>
    </row>
    <row r="3" spans="1:6" x14ac:dyDescent="0.45">
      <c r="B3" t="s">
        <v>178</v>
      </c>
    </row>
    <row r="5" spans="1:6" x14ac:dyDescent="0.45">
      <c r="B5" t="s">
        <v>179</v>
      </c>
      <c r="C5">
        <v>3</v>
      </c>
      <c r="F5" t="str">
        <f>[1]!WellGL_Encode_string(34,4,4,3,34,3,,3,,B11,C11,D11)</f>
        <v>Hperf_m:34,00000;Htub_m:4,00000;Udl_m:4,00000;dCas_mm:3,00000;dTub_mm:34,00000;dchoke_mm:3,00000;roughness_m:0,00010;Tbh_C:3,00000;Twh_C:25,00000;GLV:1;H_glv_m:500,000;d_glv_mm:0,000;p_glv_atma:50,000;</v>
      </c>
    </row>
    <row r="7" spans="1:6" x14ac:dyDescent="0.45">
      <c r="B7" t="s">
        <v>181</v>
      </c>
    </row>
    <row r="8" spans="1:6" x14ac:dyDescent="0.45">
      <c r="F8" t="str">
        <f>[1]!WellGL_Decode_string(F5,1)</f>
        <v>Hperf_m:34,00000;Htub_m:4,00000;Udl_m:4,00000;dCas_mm:3,00000;dTub_mm:34,00000;dchoke_mm:3,00000;roughness_m:0,00010;Tbh_C:3,00000;Twh_C:25,00000;GLV:1;H_glv_m:500,000;d_glv_mm:0,000;p_glv_atma:50,000;</v>
      </c>
    </row>
    <row r="9" spans="1:6" x14ac:dyDescent="0.45">
      <c r="B9" s="5" t="s">
        <v>170</v>
      </c>
      <c r="C9" s="5" t="s">
        <v>180</v>
      </c>
      <c r="D9" s="5" t="s">
        <v>191</v>
      </c>
    </row>
    <row r="10" spans="1:6" x14ac:dyDescent="0.45">
      <c r="B10" s="5" t="s">
        <v>38</v>
      </c>
      <c r="C10" s="5" t="s">
        <v>41</v>
      </c>
      <c r="D10" s="5" t="s">
        <v>2</v>
      </c>
    </row>
    <row r="11" spans="1:6" x14ac:dyDescent="0.45">
      <c r="B11" s="9">
        <v>500</v>
      </c>
      <c r="C11" s="9">
        <v>0</v>
      </c>
      <c r="D11" s="9">
        <v>50</v>
      </c>
    </row>
    <row r="12" spans="1:6" x14ac:dyDescent="0.45">
      <c r="B12" s="9">
        <v>1500</v>
      </c>
      <c r="C12" s="9">
        <v>0</v>
      </c>
      <c r="D12" s="9">
        <v>60</v>
      </c>
    </row>
    <row r="13" spans="1:6" x14ac:dyDescent="0.45">
      <c r="B13" s="9">
        <v>2200</v>
      </c>
      <c r="C13" s="9">
        <v>3</v>
      </c>
      <c r="D13" s="9">
        <v>80</v>
      </c>
    </row>
    <row r="14" spans="1:6" x14ac:dyDescent="0.45">
      <c r="B14" s="9"/>
      <c r="C14" s="9"/>
      <c r="D14" s="9"/>
    </row>
    <row r="15" spans="1:6" x14ac:dyDescent="0.45">
      <c r="B15" s="9"/>
      <c r="C15" s="9"/>
      <c r="D15" s="9"/>
    </row>
    <row r="16" spans="1:6" x14ac:dyDescent="0.45">
      <c r="B16" s="9"/>
      <c r="C16" s="9"/>
      <c r="D16" s="9"/>
    </row>
    <row r="17" spans="2:4" x14ac:dyDescent="0.45">
      <c r="B17" s="9"/>
      <c r="C17" s="9"/>
      <c r="D17" s="9"/>
    </row>
    <row r="18" spans="2:4" x14ac:dyDescent="0.45">
      <c r="B18" s="9"/>
      <c r="C18" s="9"/>
      <c r="D18" s="9"/>
    </row>
    <row r="19" spans="2:4" x14ac:dyDescent="0.45">
      <c r="B19" s="9"/>
      <c r="C19" s="9"/>
      <c r="D19" s="9"/>
    </row>
    <row r="20" spans="2:4" x14ac:dyDescent="0.45">
      <c r="B20" s="9"/>
      <c r="C20" s="9"/>
      <c r="D20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calc"/>
  <dimension ref="A1:AH44"/>
  <sheetViews>
    <sheetView zoomScale="55" zoomScaleNormal="55" workbookViewId="0">
      <selection activeCell="D55" sqref="D55"/>
    </sheetView>
  </sheetViews>
  <sheetFormatPr defaultRowHeight="14.25" x14ac:dyDescent="0.45"/>
  <cols>
    <col min="15" max="15" width="10.1328125" customWidth="1"/>
    <col min="22" max="22" width="10.6640625" customWidth="1"/>
  </cols>
  <sheetData>
    <row r="1" spans="1:34" x14ac:dyDescent="0.45">
      <c r="A1" t="str">
        <f>версия_</f>
        <v>вер 7.6</v>
      </c>
    </row>
    <row r="2" spans="1:34" x14ac:dyDescent="0.4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45">
      <c r="X3">
        <v>1</v>
      </c>
      <c r="Y3" t="s">
        <v>143</v>
      </c>
      <c r="AB3">
        <v>1</v>
      </c>
      <c r="AC3" t="s">
        <v>145</v>
      </c>
      <c r="AG3">
        <v>2</v>
      </c>
      <c r="AH3" t="s">
        <v>160</v>
      </c>
    </row>
    <row r="4" spans="1:34" x14ac:dyDescent="0.4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5.75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5.75" x14ac:dyDescent="0.55000000000000004">
      <c r="B6" s="7" t="s">
        <v>32</v>
      </c>
      <c r="C6" s="9">
        <v>50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5.75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180</v>
      </c>
      <c r="R7" s="5" t="s">
        <v>44</v>
      </c>
      <c r="AC7" t="s">
        <v>149</v>
      </c>
    </row>
    <row r="8" spans="1:34" ht="15.75" x14ac:dyDescent="0.55000000000000004">
      <c r="B8" s="7" t="s">
        <v>34</v>
      </c>
      <c r="C8" s="12" t="s">
        <v>63</v>
      </c>
      <c r="D8" s="5" t="s">
        <v>35</v>
      </c>
      <c r="P8" s="14" t="s">
        <v>176</v>
      </c>
      <c r="Q8" s="9">
        <v>150</v>
      </c>
      <c r="R8" s="5" t="s">
        <v>44</v>
      </c>
      <c r="AC8" t="s">
        <v>150</v>
      </c>
    </row>
    <row r="9" spans="1:34" ht="15.75" x14ac:dyDescent="0.4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5.75" x14ac:dyDescent="0.55000000000000004">
      <c r="B10" s="7" t="s">
        <v>18</v>
      </c>
      <c r="C10" s="13">
        <f>Rp_m3m3_/PVT!gamma_oil_</f>
        <v>125</v>
      </c>
      <c r="D10" s="5" t="s">
        <v>36</v>
      </c>
      <c r="P10" s="14" t="s">
        <v>45</v>
      </c>
      <c r="Q10" s="25">
        <v>26.182822587912007</v>
      </c>
      <c r="R10" s="5" t="s">
        <v>44</v>
      </c>
      <c r="S10" s="14" t="s">
        <v>55</v>
      </c>
      <c r="T10" s="25">
        <v>20.000000000000004</v>
      </c>
      <c r="U10" s="5" t="s">
        <v>25</v>
      </c>
      <c r="AF10" t="str">
        <f>[1]!s(0.2563)</f>
        <v>000,26</v>
      </c>
    </row>
    <row r="11" spans="1:34" ht="15.75" x14ac:dyDescent="0.55000000000000004">
      <c r="B11" s="7" t="s">
        <v>192</v>
      </c>
      <c r="C11" s="9">
        <v>0</v>
      </c>
      <c r="P11" s="14" t="s">
        <v>46</v>
      </c>
      <c r="Q11" s="25">
        <v>26.751020533820796</v>
      </c>
      <c r="R11" s="5" t="s">
        <v>44</v>
      </c>
      <c r="S11" s="14" t="s">
        <v>56</v>
      </c>
      <c r="T11" s="25">
        <v>20.000000000000004</v>
      </c>
      <c r="U11" s="5" t="s">
        <v>25</v>
      </c>
    </row>
    <row r="12" spans="1:34" ht="15.75" x14ac:dyDescent="0.55000000000000004">
      <c r="M12" t="s">
        <v>63</v>
      </c>
      <c r="P12" s="14" t="s">
        <v>47</v>
      </c>
      <c r="Q12" s="25">
        <v>180</v>
      </c>
      <c r="R12" s="5" t="s">
        <v>44</v>
      </c>
      <c r="S12" s="14" t="s">
        <v>57</v>
      </c>
      <c r="T12" s="25">
        <v>70</v>
      </c>
      <c r="U12" s="5" t="s">
        <v>25</v>
      </c>
    </row>
    <row r="13" spans="1:34" x14ac:dyDescent="0.45">
      <c r="D13" s="1"/>
    </row>
    <row r="14" spans="1:34" x14ac:dyDescent="0.4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8.5" x14ac:dyDescent="0.4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190</v>
      </c>
      <c r="M15" t="s">
        <v>186</v>
      </c>
      <c r="N15" s="1" t="s">
        <v>182</v>
      </c>
      <c r="O15" s="1" t="s">
        <v>183</v>
      </c>
      <c r="P15" s="1" t="s">
        <v>189</v>
      </c>
      <c r="Q15" s="1" t="s">
        <v>184</v>
      </c>
      <c r="R15" s="5" t="s">
        <v>177</v>
      </c>
      <c r="S15" s="14" t="s">
        <v>187</v>
      </c>
      <c r="T15" s="1"/>
      <c r="U15" s="1" t="s">
        <v>185</v>
      </c>
      <c r="W15" s="5" t="s">
        <v>170</v>
      </c>
      <c r="X15" s="1" t="s">
        <v>171</v>
      </c>
      <c r="Y15" t="s">
        <v>177</v>
      </c>
      <c r="Z15" t="s">
        <v>188</v>
      </c>
    </row>
    <row r="16" spans="1:34" x14ac:dyDescent="0.4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26.751020533820796</v>
      </c>
      <c r="P16">
        <v>0</v>
      </c>
      <c r="Q16">
        <v>20.000000000000004</v>
      </c>
      <c r="W16">
        <v>0</v>
      </c>
      <c r="X16" s="50">
        <f>Pline_out_atma_</f>
        <v>26.182822587912007</v>
      </c>
    </row>
    <row r="17" spans="2:24" x14ac:dyDescent="0.4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36.341614088665899</v>
      </c>
      <c r="P17">
        <v>184.21052631578948</v>
      </c>
      <c r="Q17">
        <v>25.526315789473689</v>
      </c>
      <c r="W17">
        <v>0</v>
      </c>
      <c r="X17" s="50">
        <f>Pbuf_out_atma_</f>
        <v>26.751020533820796</v>
      </c>
    </row>
    <row r="18" spans="2:24" x14ac:dyDescent="0.4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47.259819426818609</v>
      </c>
      <c r="P18">
        <v>368.42105263157896</v>
      </c>
      <c r="Q18">
        <v>31.05263157894737</v>
      </c>
      <c r="W18">
        <f>Hperf_m_</f>
        <v>3500</v>
      </c>
      <c r="X18" s="50">
        <f>Pwf_out_atma_</f>
        <v>180</v>
      </c>
    </row>
    <row r="19" spans="2:24" x14ac:dyDescent="0.4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58.143150173120958</v>
      </c>
      <c r="P19">
        <v>552.63157894736844</v>
      </c>
      <c r="Q19">
        <v>36.578947368421055</v>
      </c>
    </row>
    <row r="20" spans="2:24" x14ac:dyDescent="0.4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68.246010004234094</v>
      </c>
      <c r="P20">
        <v>736.84210526315792</v>
      </c>
      <c r="Q20">
        <v>42.10526315789474</v>
      </c>
    </row>
    <row r="21" spans="2:24" x14ac:dyDescent="0.4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78.908874487015296</v>
      </c>
      <c r="P21">
        <v>921.0526315789474</v>
      </c>
      <c r="Q21">
        <v>47.631578947368425</v>
      </c>
    </row>
    <row r="22" spans="2:24" x14ac:dyDescent="0.4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90.221208193171393</v>
      </c>
      <c r="P22">
        <v>1105.2631578947369</v>
      </c>
      <c r="Q22">
        <v>53.03</v>
      </c>
    </row>
    <row r="23" spans="2:24" x14ac:dyDescent="0.4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101.65416534523548</v>
      </c>
      <c r="P23">
        <v>1289.4736842105262</v>
      </c>
      <c r="Q23">
        <v>58.226315789473688</v>
      </c>
    </row>
    <row r="24" spans="2:24" x14ac:dyDescent="0.4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112.61025139046089</v>
      </c>
      <c r="P24">
        <v>1473.6842105263158</v>
      </c>
      <c r="Q24">
        <v>63.217368421052633</v>
      </c>
    </row>
    <row r="25" spans="2:24" x14ac:dyDescent="0.4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123.09665520103532</v>
      </c>
      <c r="P25">
        <v>1657.8947368421054</v>
      </c>
      <c r="Q25">
        <v>68.006315789473689</v>
      </c>
    </row>
    <row r="26" spans="2:24" x14ac:dyDescent="0.4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133.11424640777486</v>
      </c>
      <c r="P26">
        <v>1842.1052631578948</v>
      </c>
      <c r="Q26">
        <v>72.593157894736848</v>
      </c>
    </row>
    <row r="27" spans="2:24" x14ac:dyDescent="0.4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142.66458842810579</v>
      </c>
      <c r="P27">
        <v>2026.3157894736842</v>
      </c>
      <c r="Q27">
        <v>76.977894736842103</v>
      </c>
    </row>
    <row r="28" spans="2:24" x14ac:dyDescent="0.4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151.74968322757465</v>
      </c>
      <c r="P28">
        <v>2210.5263157894738</v>
      </c>
      <c r="Q28">
        <v>81.160526315789483</v>
      </c>
    </row>
    <row r="29" spans="2:24" x14ac:dyDescent="0.4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160.36459967683723</v>
      </c>
      <c r="P29">
        <v>2394.7368421052633</v>
      </c>
      <c r="Q29">
        <v>85.137894736842114</v>
      </c>
    </row>
    <row r="30" spans="2:24" x14ac:dyDescent="0.4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165.08065286439</v>
      </c>
      <c r="P30">
        <v>2500</v>
      </c>
      <c r="Q30">
        <v>87.32</v>
      </c>
    </row>
    <row r="31" spans="2:24" x14ac:dyDescent="0.4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168.49611968486462</v>
      </c>
      <c r="P31">
        <v>2578.9473684210525</v>
      </c>
      <c r="Q31">
        <v>88.906842105263152</v>
      </c>
    </row>
    <row r="32" spans="2:24" x14ac:dyDescent="0.4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175.12373648941417</v>
      </c>
      <c r="P32">
        <v>2763.1578947368421</v>
      </c>
      <c r="Q32">
        <v>92.473684210526315</v>
      </c>
    </row>
    <row r="33" spans="2:17" x14ac:dyDescent="0.4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176.85362443597239</v>
      </c>
      <c r="P33">
        <v>2947.3684210526317</v>
      </c>
      <c r="Q33">
        <v>93.555263157894743</v>
      </c>
    </row>
    <row r="34" spans="2:17" x14ac:dyDescent="0.4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177.9027068707874</v>
      </c>
      <c r="P34">
        <v>3131.5789473684213</v>
      </c>
      <c r="Q34">
        <v>94.036842105263162</v>
      </c>
    </row>
    <row r="35" spans="2:17" x14ac:dyDescent="0.4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178.9514989081151</v>
      </c>
      <c r="P35">
        <v>3315.7894736842109</v>
      </c>
      <c r="Q35">
        <v>94.518421052631581</v>
      </c>
    </row>
    <row r="36" spans="2:17" x14ac:dyDescent="0.4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180</v>
      </c>
      <c r="P36">
        <v>3500</v>
      </c>
      <c r="Q36">
        <v>95</v>
      </c>
    </row>
    <row r="37" spans="2:17" x14ac:dyDescent="0.45">
      <c r="B37" s="2"/>
      <c r="C37" s="18">
        <v>2500</v>
      </c>
      <c r="D37" s="18">
        <v>176.72349338287597</v>
      </c>
      <c r="E37" s="18">
        <v>53</v>
      </c>
    </row>
    <row r="38" spans="2:17" x14ac:dyDescent="0.45">
      <c r="C38" s="18">
        <v>2625</v>
      </c>
      <c r="D38" s="18">
        <v>186.511102757185</v>
      </c>
      <c r="E38" s="18">
        <v>54</v>
      </c>
    </row>
    <row r="39" spans="2:17" x14ac:dyDescent="0.45">
      <c r="C39" s="18">
        <v>2750</v>
      </c>
      <c r="D39" s="18">
        <v>196.298712131494</v>
      </c>
      <c r="E39" s="18">
        <v>55</v>
      </c>
    </row>
    <row r="40" spans="2:17" x14ac:dyDescent="0.45">
      <c r="C40" s="18">
        <v>2875</v>
      </c>
      <c r="D40" s="18">
        <v>206.08632150580399</v>
      </c>
      <c r="E40" s="18">
        <v>56</v>
      </c>
    </row>
    <row r="41" spans="2:17" x14ac:dyDescent="0.45">
      <c r="C41" s="18">
        <v>3000</v>
      </c>
      <c r="D41" s="18">
        <v>215.87393088011299</v>
      </c>
      <c r="E41" s="18">
        <v>57</v>
      </c>
    </row>
    <row r="42" spans="2:17" x14ac:dyDescent="0.45">
      <c r="C42" s="18">
        <v>3125</v>
      </c>
      <c r="D42" s="18">
        <v>225.66154025442199</v>
      </c>
      <c r="E42" s="18">
        <v>58</v>
      </c>
    </row>
    <row r="43" spans="2:17" x14ac:dyDescent="0.45">
      <c r="C43" s="18">
        <v>3250</v>
      </c>
      <c r="D43" s="18">
        <v>235.44914962873099</v>
      </c>
      <c r="E43" s="18">
        <v>59</v>
      </c>
    </row>
    <row r="44" spans="2:17" x14ac:dyDescent="0.4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8B452-6B9E-40A6-B774-77290D8F2C6E}">
  <sheetPr codeName="Worksheet____1"/>
  <dimension ref="C6"/>
  <sheetViews>
    <sheetView workbookViewId="0">
      <selection activeCell="D7" sqref="D7"/>
    </sheetView>
  </sheetViews>
  <sheetFormatPr defaultRowHeight="14.25" x14ac:dyDescent="0.45"/>
  <sheetData>
    <row r="6" spans="3:3" x14ac:dyDescent="0.45">
      <c r="C6">
        <f>[1]!Nodal_Qliq_scm3day(2,10,1)</f>
        <v>233.59023437500002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Sheet_test"/>
  <dimension ref="B3:N21"/>
  <sheetViews>
    <sheetView workbookViewId="0">
      <selection activeCell="B17" sqref="B17"/>
    </sheetView>
  </sheetViews>
  <sheetFormatPr defaultRowHeight="14.25" x14ac:dyDescent="0.45"/>
  <sheetData>
    <row r="3" spans="2:14" x14ac:dyDescent="0.45">
      <c r="B3" t="str">
        <f t="array" ref="B3">[1]!Well_Encode_string()</f>
        <v>Hperf_m:2000,00000;Hpump_m:1800,00000;Udl_m:0,00000;dCas_mm:150,00000;dTub_mm:72,00000;dchoke_mm:15,00000;roughness_m:0,00010;Tbh_C:85,00000;Twh_C:25,00000;</v>
      </c>
    </row>
    <row r="4" spans="2:14" x14ac:dyDescent="0.45">
      <c r="B4" t="str">
        <f t="array" ref="B4"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14" x14ac:dyDescent="0.45">
      <c r="B5" t="str">
        <f t="array" ref="B5">[1]!ESP_Encode_string(1006,2000,50)</f>
        <v>ESP_ID:1006,00000;HeadNom_m:2000,00000;ESPfreq_Hz:50,00000;ESP_U_V:1000,00000;MotorPowerNom_kW:30,00000;Tint_C:85,00000;Tdis_C:25,00000;KsepGS_fr:0,00000;</v>
      </c>
    </row>
    <row r="8" spans="2:14" x14ac:dyDescent="0.4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14" x14ac:dyDescent="0.4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14" x14ac:dyDescent="0.4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  <row r="12" spans="2:14" x14ac:dyDescent="0.45">
      <c r="B12">
        <v>140</v>
      </c>
      <c r="C12">
        <v>70</v>
      </c>
    </row>
    <row r="15" spans="2:14" x14ac:dyDescent="0.45">
      <c r="B15">
        <f t="array" ref="B15:N16">[1]!WellGL_Plin_Pwf_atma(B12,C12,0,100)</f>
        <v>140</v>
      </c>
      <c r="C15">
        <v>140</v>
      </c>
      <c r="D15">
        <v>140</v>
      </c>
      <c r="E15">
        <v>100</v>
      </c>
      <c r="F15">
        <v>100</v>
      </c>
      <c r="G15">
        <v>140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2:14" x14ac:dyDescent="0.45">
      <c r="B16" t="str">
        <v>Plin</v>
      </c>
      <c r="C16" t="str">
        <v>Pline_atma</v>
      </c>
      <c r="D16" t="str">
        <v>Pbuf_atma</v>
      </c>
      <c r="E16" t="str">
        <v>Pcas_atma</v>
      </c>
      <c r="F16" t="str">
        <v>Pgas_inj_atma</v>
      </c>
      <c r="G16" t="str">
        <v>Pwf_atma</v>
      </c>
      <c r="H16" t="str">
        <v>Tbuf_C</v>
      </c>
      <c r="I16" t="str">
        <v>Tbh_C</v>
      </c>
      <c r="J16">
        <v>0</v>
      </c>
      <c r="K16">
        <v>0</v>
      </c>
      <c r="L16">
        <v>0</v>
      </c>
      <c r="M16">
        <v>0</v>
      </c>
      <c r="N16">
        <v>0</v>
      </c>
    </row>
    <row r="18" spans="2:14" x14ac:dyDescent="0.45">
      <c r="B18">
        <v>20</v>
      </c>
      <c r="C18">
        <v>70</v>
      </c>
    </row>
    <row r="20" spans="2:14" x14ac:dyDescent="0.45">
      <c r="B20">
        <f t="array" ref="B20:N21">[1]!WellGL_Pwf_Plin_atma(B18,C18,0,100)</f>
        <v>20</v>
      </c>
      <c r="C20">
        <v>20</v>
      </c>
      <c r="D20">
        <v>20</v>
      </c>
      <c r="E20">
        <v>100</v>
      </c>
      <c r="F20">
        <v>100</v>
      </c>
      <c r="G20">
        <v>20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2:14" x14ac:dyDescent="0.45">
      <c r="B21" t="str">
        <v>Plin</v>
      </c>
      <c r="C21" t="str">
        <v>Pline_atma</v>
      </c>
      <c r="D21" t="str">
        <v>Pbuf_atma</v>
      </c>
      <c r="E21" t="str">
        <v>Pcas_atma</v>
      </c>
      <c r="F21" t="str">
        <v>Pgas_inj_atma</v>
      </c>
      <c r="G21" t="str">
        <v>Pwf_atma</v>
      </c>
      <c r="H21" t="str">
        <v>Tbuf_C</v>
      </c>
      <c r="I21" t="str">
        <v>Tbh_C</v>
      </c>
      <c r="J21">
        <v>0</v>
      </c>
      <c r="K21">
        <v>0</v>
      </c>
      <c r="L21">
        <v>0</v>
      </c>
      <c r="M21">
        <v>0</v>
      </c>
      <c r="N2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120</vt:i4>
      </vt:variant>
    </vt:vector>
  </HeadingPairs>
  <TitlesOfParts>
    <vt:vector size="127" baseType="lpstr">
      <vt:lpstr>Unifloc</vt:lpstr>
      <vt:lpstr>PVT</vt:lpstr>
      <vt:lpstr>Construction</vt:lpstr>
      <vt:lpstr>GasLift</vt:lpstr>
      <vt:lpstr>Calc</vt:lpstr>
      <vt:lpstr>Лист1</vt:lpstr>
      <vt:lpstr>Test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Calc!hmes_tamb_out_m_</vt:lpstr>
      <vt:lpstr>hmes_tamb_out_m_</vt:lpstr>
      <vt:lpstr>Hmes_valves_m_</vt:lpstr>
      <vt:lpstr>Hout_</vt:lpstr>
      <vt:lpstr>Hperf_m_</vt:lpstr>
      <vt:lpstr>Htub_m_</vt:lpstr>
      <vt:lpstr>hvert_incl_m_</vt:lpstr>
      <vt:lpstr>hvert_incl_out_m_</vt:lpstr>
      <vt:lpstr>Calc!hvert_tamb_out_m_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PVTstr_</vt:lpstr>
      <vt:lpstr>Pwf_atma_</vt:lpstr>
      <vt:lpstr>Pwf_out_atma_</vt:lpstr>
      <vt:lpstr>Qg_scm3day_</vt:lpstr>
      <vt:lpstr>Calc!Ql_scm3day_</vt:lpstr>
      <vt:lpstr>PVT!Ql_scm3day_</vt:lpstr>
      <vt:lpstr>PVT!Qo_sctday_</vt:lpstr>
      <vt:lpstr>rhoo_list1_</vt:lpstr>
      <vt:lpstr>rhoo_list2_</vt:lpstr>
      <vt:lpstr>rhoo_list3_</vt:lpstr>
      <vt:lpstr>Calc!Rp_m3m3_</vt:lpstr>
      <vt:lpstr>PVT!Rp_m3m3_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Calc!tamb_out_C_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Toutcas_C_</vt:lpstr>
      <vt:lpstr>Toutcas_hmes_m_</vt:lpstr>
      <vt:lpstr>PVT!Tres_C_</vt:lpstr>
      <vt:lpstr>PVT!Tsc_C_</vt:lpstr>
      <vt:lpstr>PVT!Tsep_C_</vt:lpstr>
      <vt:lpstr>Twf_out_C_</vt:lpstr>
      <vt:lpstr>Twh_C_</vt:lpstr>
      <vt:lpstr>udl_out_m_</vt:lpstr>
      <vt:lpstr>Calc!wc_perc_</vt:lpstr>
      <vt:lpstr>PVT!wc_perc_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2019-04-22T20:09:34Z</dcterms:modified>
</cp:coreProperties>
</file>