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14E3F23E-1FFE-4FA5-A232-5531A5246E86}" xr6:coauthVersionLast="41" xr6:coauthVersionMax="41" xr10:uidLastSave="{00000000-0000-0000-0000-000000000000}"/>
  <bookViews>
    <workbookView xWindow="-103" yWindow="-103" windowWidth="22149" windowHeight="12103" tabRatio="529" activeTab="3" xr2:uid="{00000000-000D-0000-FFFF-FFFF00000000}"/>
  </bookViews>
  <sheets>
    <sheet name="Unifloc" sheetId="6" r:id="rId1"/>
    <sheet name="PVT" sheetId="4" r:id="rId2"/>
    <sheet name="Construction" sheetId="3" r:id="rId3"/>
    <sheet name="GasLift" sheetId="9" r:id="rId4"/>
    <sheet name="Calc" sheetId="2" r:id="rId5"/>
    <sheet name="Test" sheetId="8" r:id="rId6"/>
  </sheets>
  <externalReferences>
    <externalReference r:id="rId7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Calc!$U$16:$U$36</definedName>
    <definedName name="Hlout_hmes_m_">Calc!$T$16:$T$36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mes_valves_m_">GasLift!$B$11:$B$20</definedName>
    <definedName name="Hout_">Calc!$N$17:$N$36</definedName>
    <definedName name="Hperf_m_">Construction!$C$9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charge_GLV_">GasLift!$D$11:$D$20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Calc!$Y$16:$Y$36</definedName>
    <definedName name="Pcas_out_atma_">Calc!$Z$16:$Z$36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outcas_C_">Calc!$S$16:$S$36</definedName>
    <definedName name="Toutcas_hmes_m_">Calc!$R$16:$R$36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6" i="2" l="1"/>
  <c r="X17" i="2"/>
  <c r="W18" i="2"/>
  <c r="X18" i="2"/>
  <c r="F8" i="9"/>
  <c r="F5" i="9"/>
  <c r="AF10" i="2"/>
  <c r="A1" i="9" l="1"/>
  <c r="B3" i="8"/>
  <c r="B4" i="8"/>
  <c r="B5" i="8"/>
  <c r="K11" i="4" l="1"/>
  <c r="K9" i="4"/>
  <c r="K8" i="4"/>
  <c r="M36" i="4"/>
  <c r="C36" i="4"/>
  <c r="I34" i="4"/>
  <c r="I33" i="4"/>
  <c r="C34" i="4"/>
  <c r="E35" i="4"/>
  <c r="C33" i="4"/>
  <c r="M33" i="4"/>
  <c r="M40" i="4"/>
  <c r="C49" i="4"/>
  <c r="E32" i="4"/>
  <c r="M34" i="4"/>
  <c r="C37" i="4"/>
  <c r="I35" i="4"/>
  <c r="G23" i="4"/>
  <c r="C43" i="4"/>
  <c r="E36" i="4"/>
  <c r="C32" i="4"/>
  <c r="V33" i="4"/>
  <c r="I32" i="4"/>
  <c r="I37" i="4"/>
  <c r="B8" i="8" a="1"/>
  <c r="C45" i="4"/>
  <c r="C23" i="4"/>
  <c r="T35" i="4" s="1"/>
  <c r="C44" i="4"/>
  <c r="E34" i="4"/>
  <c r="M35" i="4"/>
  <c r="T33" i="4"/>
  <c r="C26" i="4"/>
  <c r="C40" i="4"/>
  <c r="E33" i="4"/>
  <c r="M37" i="4"/>
  <c r="E37" i="4"/>
  <c r="I36" i="4"/>
  <c r="C35" i="4"/>
  <c r="M32" i="4"/>
  <c r="C9" i="8" l="1"/>
  <c r="D8" i="8"/>
  <c r="D10" i="8"/>
  <c r="E9" i="8"/>
  <c r="F8" i="8"/>
  <c r="F10" i="8"/>
  <c r="C8" i="8"/>
  <c r="D9" i="8"/>
  <c r="E8" i="8"/>
  <c r="E10" i="8"/>
  <c r="G8" i="8"/>
  <c r="G10" i="8"/>
  <c r="H9" i="8"/>
  <c r="I8" i="8"/>
  <c r="I10" i="8"/>
  <c r="B10" i="8"/>
  <c r="B8" i="8"/>
  <c r="G9" i="8"/>
  <c r="H8" i="8"/>
  <c r="H10" i="8"/>
  <c r="I9" i="8"/>
  <c r="B9" i="8"/>
  <c r="C10" i="8"/>
  <c r="F9" i="8"/>
  <c r="A4" i="6"/>
  <c r="A1" i="6"/>
  <c r="A1" i="2" s="1"/>
  <c r="AA36" i="4"/>
  <c r="AA35" i="4"/>
  <c r="AB36" i="4"/>
  <c r="AB35" i="4"/>
  <c r="W38" i="4"/>
  <c r="W37" i="4"/>
  <c r="C27" i="4"/>
  <c r="T34" i="4"/>
  <c r="V36" i="4"/>
  <c r="V34" i="4"/>
  <c r="T36" i="4"/>
  <c r="V35" i="4"/>
  <c r="C28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<sst xmlns="http://schemas.openxmlformats.org/spreadsheetml/2006/main" count="290" uniqueCount="192">
  <si>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</si>
  <si>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</si>
  <si>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</si>
  <si>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</si>
  <si>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</si>
  <si>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</si>
  <si>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</si>
  <si>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</si>
  <si>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</si>
  <si>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</si>
  <si>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</si>
  <si>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</si>
  <si>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</si>
  <si>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</si>
  <si>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</si>
  <si>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</si>
  <si>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</si>
  <si>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</si>
  <si>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</si>
  <si>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</si>
  <si>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</si>
  <si>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</si>
  <si>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</si>
  <si>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</si>
  <si>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</si>
  <si>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</si>
  <si>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</si>
  <si>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</si>
  <si>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</si>
  <si>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</si>
  <si>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</si>
  <si>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</si>
  <si>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</si>
  <si>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</si>
  <si>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</si>
  <si>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</si>
  <si>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</si>
  <si>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</si>
  <si>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</si>
  <si>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</si>
  <si>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</si>
  <si>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</si>
  <si>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</si>
  <si>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</si>
  <si>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</si>
  <si>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</si>
  <si>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</si>
  <si>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</si>
  <si>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</si>
  <si>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</si>
  <si>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</si>
  <si>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</si>
  <si>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</si>
  <si>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</si>
  <si>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</si>
  <si>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</si>
  <si>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</si>
  <si>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</si>
  <si>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</si>
  <si>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</si>
  <si>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</si>
  <si>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</si>
  <si>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</si>
  <si>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</si>
  <si>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</si>
  <si>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</si>
  <si>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</si>
  <si>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</si>
  <si>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</si>
  <si>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</si>
  <si>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</si>
  <si>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</si>
  <si>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</si>
  <si>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</si>
  <si>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</si>
  <si>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</si>
  <si>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</si>
  <si>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</si>
  <si>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</si>
  <si>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</si>
  <si>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</si>
  <si>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</si>
  <si>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</si>
  <si>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</si>
  <si>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</si>
  <si>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</si>
  <si>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</si>
  <si>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</si>
  <si>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</si>
  <si>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</si>
  <si>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</si>
  <si>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</si>
  <si>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</si>
  <si>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</si>
  <si>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</si>
  <si>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</si>
  <si>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</si>
  <si>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</si>
  <si>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</si>
  <si>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</si>
  <si>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</si>
  <si>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</si>
  <si>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</si>
  <si>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</si>
  <si>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</si>
  <si>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</si>
  <si>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</si>
  <si>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</si>
  <si>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</si>
  <si>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</si>
  <si>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</si>
  <si>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</si>
  <si>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</si>
  <si>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</si>
  <si>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</si>
  <si>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</si>
  <si>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</si>
  <si>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</si>
  <si>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</si>
  <si>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</si>
  <si>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</si>
  <si>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</si>
  <si>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</si>
  <si>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</si>
  <si>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</si>
  <si>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</si>
  <si>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</si>
  <si>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</si>
  <si>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</si>
  <si>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</si>
  <si>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</si>
  <si>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</si>
  <si>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</si>
  <si>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</si>
  <si>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</si>
  <si>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</si>
  <si>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</si>
  <si>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</si>
  <si>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</si>
  <si>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</si>
  <si>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</si>
  <si>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</si>
  <si>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</si>
  <si>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</si>
  <si>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</si>
  <si>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</si>
  <si>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</si>
  <si>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</si>
  <si>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</si>
  <si>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</si>
  <si>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</si>
  <si>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</si>
  <si>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</si>
  <si>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</si>
  <si>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</si>
  <si>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</si>
  <si>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</si>
  <si>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</si>
  <si>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</si>
  <si>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</si>
  <si>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</si>
  <si>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</si>
  <si>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</si>
  <si>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</si>
  <si>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</si>
  <si>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</si>
  <si>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</si>
  <si>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</si>
  <si>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</si>
  <si>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</si>
  <si>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</si>
  <si>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</si>
  <si>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</si>
  <si>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</si>
  <si>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</si>
  <si>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</si>
  <si>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</si>
  <si>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</si>
  <si>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</si>
  <si>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</si>
  <si>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</si>
  <si>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</si>
  <si>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</si>
  <si>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</si>
  <si>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</si>
  <si>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</si>
  <si>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</si>
  <si>
    <t>Tcas</t>
  </si>
  <si>
    <t>pcas</t>
  </si>
  <si>
    <t>hmes Ttub</t>
  </si>
  <si>
    <t>hmes Tamb</t>
  </si>
  <si>
    <t>Давление зарядки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</si>
</sst>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Calc!$U$16:$U$36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Calc!$T$16:$T$36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70.356210388830718</c:v>
                </c:pt>
                <c:pt idx="1">
                  <c:v>77.190626199083766</c:v>
                </c:pt>
                <c:pt idx="2">
                  <c:v>85.057641678688213</c:v>
                </c:pt>
                <c:pt idx="3">
                  <c:v>87.371576140820807</c:v>
                </c:pt>
                <c:pt idx="4">
                  <c:v>92.89941559723718</c:v>
                </c:pt>
                <c:pt idx="5">
                  <c:v>100.91699348988455</c:v>
                </c:pt>
                <c:pt idx="6">
                  <c:v>109.04867095352272</c:v>
                </c:pt>
                <c:pt idx="7">
                  <c:v>117.09093420744743</c:v>
                </c:pt>
                <c:pt idx="8">
                  <c:v>123.88435804228648</c:v>
                </c:pt>
                <c:pt idx="9">
                  <c:v>125.00084533936912</c:v>
                </c:pt>
                <c:pt idx="10">
                  <c:v>132.73515045955253</c:v>
                </c:pt>
                <c:pt idx="11">
                  <c:v>140.25588143738915</c:v>
                </c:pt>
                <c:pt idx="12">
                  <c:v>147.53123898371368</c:v>
                </c:pt>
                <c:pt idx="13">
                  <c:v>147.94189520227044</c:v>
                </c:pt>
                <c:pt idx="14">
                  <c:v>158.66610188846101</c:v>
                </c:pt>
                <c:pt idx="15">
                  <c:v>163.34457120343328</c:v>
                </c:pt>
                <c:pt idx="16">
                  <c:v>169.3487398620934</c:v>
                </c:pt>
                <c:pt idx="17">
                  <c:v>175.84976996619406</c:v>
                </c:pt>
                <c:pt idx="18">
                  <c:v>177.2447343653462</c:v>
                </c:pt>
                <c:pt idx="19">
                  <c:v>178.63303690928049</c:v>
                </c:pt>
                <c:pt idx="20">
                  <c:v>180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1444AB9-0D87-4207-95B7-0B89088263E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7EB6B36-7FBC-4222-8050-F3484821C3B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0070E147-0CFE-4434-8B0E-CDFB769948C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C9665DB-FE53-4455-91DD-99F8F17462B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1EA8D2-4FDE-4540-AC02-3B7BCA233A8A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2A92A50B-1FD8-44EA-B0F1-60A86F314FDE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Calc!$X$16:$X$18</c:f>
              <c:numCache>
                <c:formatCode>0</c:formatCode>
                <c:ptCount val="3"/>
                <c:pt idx="0">
                  <c:v>68.999242463850834</c:v>
                </c:pt>
                <c:pt idx="1">
                  <c:v>70.356210388830718</c:v>
                </c:pt>
                <c:pt idx="2">
                  <c:v>180</c:v>
                </c:pt>
              </c:numCache>
            </c:numRef>
          </c:xVal>
          <c:yVal>
            <c:numRef>
              <c:f>Calc!$W$16:$W$18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Calc!$Z$16:$Z$36</c:f>
              <c:numCache>
                <c:formatCode>General</c:formatCode>
                <c:ptCount val="21"/>
                <c:pt idx="0">
                  <c:v>150</c:v>
                </c:pt>
                <c:pt idx="1">
                  <c:v>151.54878772741509</c:v>
                </c:pt>
                <c:pt idx="2">
                  <c:v>153.06595916658432</c:v>
                </c:pt>
                <c:pt idx="3">
                  <c:v>154.57390322804724</c:v>
                </c:pt>
                <c:pt idx="4">
                  <c:v>156.08310565295437</c:v>
                </c:pt>
                <c:pt idx="5">
                  <c:v>156.22038486633409</c:v>
                </c:pt>
                <c:pt idx="6">
                  <c:v>157.59966045376979</c:v>
                </c:pt>
                <c:pt idx="7">
                  <c:v>159.12671274409325</c:v>
                </c:pt>
                <c:pt idx="8">
                  <c:v>160.66498078703259</c:v>
                </c:pt>
                <c:pt idx="9">
                  <c:v>162.21520441209975</c:v>
                </c:pt>
                <c:pt idx="10">
                  <c:v>163.77775270032885</c:v>
                </c:pt>
                <c:pt idx="11">
                  <c:v>165.35481180026744</c:v>
                </c:pt>
                <c:pt idx="12">
                  <c:v>166.94462904734883</c:v>
                </c:pt>
                <c:pt idx="13">
                  <c:v>168.54732016184602</c:v>
                </c:pt>
                <c:pt idx="14">
                  <c:v>168.98577329352318</c:v>
                </c:pt>
                <c:pt idx="15">
                  <c:v>170.16298508968876</c:v>
                </c:pt>
                <c:pt idx="16">
                  <c:v>171.79272800311173</c:v>
                </c:pt>
                <c:pt idx="17">
                  <c:v>173.43665452334287</c:v>
                </c:pt>
                <c:pt idx="18">
                  <c:v>175.09384535449345</c:v>
                </c:pt>
                <c:pt idx="19">
                  <c:v>176.76438835707617</c:v>
                </c:pt>
                <c:pt idx="20">
                  <c:v>178.44837282999481</c:v>
                </c:pt>
              </c:numCache>
            </c:numRef>
          </c:xVal>
          <c:yVal>
            <c:numRef>
              <c:f>Calc!$Y$16:$Y$36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46.176861587668569</c:v>
                </c:pt>
                <c:pt idx="1">
                  <c:v>46.149183746274943</c:v>
                </c:pt>
                <c:pt idx="2">
                  <c:v>46.117935830277695</c:v>
                </c:pt>
                <c:pt idx="3">
                  <c:v>46.110132645890261</c:v>
                </c:pt>
                <c:pt idx="4">
                  <c:v>46.091711826599159</c:v>
                </c:pt>
                <c:pt idx="5">
                  <c:v>46.048716423014291</c:v>
                </c:pt>
                <c:pt idx="6">
                  <c:v>45.990681385282969</c:v>
                </c:pt>
                <c:pt idx="7">
                  <c:v>45.930750457136135</c:v>
                </c:pt>
                <c:pt idx="8">
                  <c:v>45.870014039652091</c:v>
                </c:pt>
                <c:pt idx="9">
                  <c:v>45.857324396610558</c:v>
                </c:pt>
                <c:pt idx="10">
                  <c:v>45.745575270588866</c:v>
                </c:pt>
                <c:pt idx="11">
                  <c:v>45.534415241145538</c:v>
                </c:pt>
                <c:pt idx="12">
                  <c:v>45.074926054390403</c:v>
                </c:pt>
                <c:pt idx="13">
                  <c:v>45.041220844572599</c:v>
                </c:pt>
                <c:pt idx="14">
                  <c:v>45.129022179258691</c:v>
                </c:pt>
                <c:pt idx="15">
                  <c:v>45.212146920250717</c:v>
                </c:pt>
                <c:pt idx="16">
                  <c:v>45.426748064665638</c:v>
                </c:pt>
                <c:pt idx="17">
                  <c:v>46.386587776190375</c:v>
                </c:pt>
                <c:pt idx="18">
                  <c:v>49.458687438998886</c:v>
                </c:pt>
                <c:pt idx="19">
                  <c:v>59.215451465172229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  <c:pt idx="0">
                  <c:v>30</c:v>
                </c:pt>
                <c:pt idx="1">
                  <c:v>36.691464947675975</c:v>
                </c:pt>
                <c:pt idx="2">
                  <c:v>40.287252540891778</c:v>
                </c:pt>
                <c:pt idx="3">
                  <c:v>42.204618165747142</c:v>
                </c:pt>
                <c:pt idx="4">
                  <c:v>43.217582152116726</c:v>
                </c:pt>
                <c:pt idx="5">
                  <c:v>43.294762837139793</c:v>
                </c:pt>
                <c:pt idx="6">
                  <c:v>43.728075753778469</c:v>
                </c:pt>
                <c:pt idx="7">
                  <c:v>43.986663597209102</c:v>
                </c:pt>
                <c:pt idx="8">
                  <c:v>44.125666547167853</c:v>
                </c:pt>
                <c:pt idx="9">
                  <c:v>44.20429339915551</c:v>
                </c:pt>
                <c:pt idx="10">
                  <c:v>44.259282708215729</c:v>
                </c:pt>
                <c:pt idx="11">
                  <c:v>44.296132460809524</c:v>
                </c:pt>
                <c:pt idx="12">
                  <c:v>44.326414993938165</c:v>
                </c:pt>
                <c:pt idx="13">
                  <c:v>44.353127265175651</c:v>
                </c:pt>
                <c:pt idx="14">
                  <c:v>44.360141144101547</c:v>
                </c:pt>
                <c:pt idx="15">
                  <c:v>44.377913180049845</c:v>
                </c:pt>
                <c:pt idx="16">
                  <c:v>44.401629387178843</c:v>
                </c:pt>
                <c:pt idx="17">
                  <c:v>44.42481153017539</c:v>
                </c:pt>
                <c:pt idx="18">
                  <c:v>44.447743020677557</c:v>
                </c:pt>
                <c:pt idx="19">
                  <c:v>44.470542207771395</c:v>
                </c:pt>
                <c:pt idx="20">
                  <c:v>44.493273914373724</c:v>
                </c:pt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F-4590-887C-36AF1B8E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212271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27461</xdr:colOff>
      <xdr:row>40</xdr:row>
      <xdr:rowOff>1686</xdr:rowOff>
    </xdr:from>
    <xdr:to>
      <xdr:col>22</xdr:col>
      <xdr:colOff>212064</xdr:colOff>
      <xdr:row>71</xdr:row>
      <xdr:rowOff>74192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415638</xdr:colOff>
      <xdr:row>40</xdr:row>
      <xdr:rowOff>103909</xdr:rowOff>
    </xdr:from>
    <xdr:to>
      <xdr:col>30</xdr:col>
      <xdr:colOff>294411</xdr:colOff>
      <xdr:row>71</xdr:row>
      <xdr:rowOff>173181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s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unifloc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PVT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Calc!Ql_scm3day_</f>
        <v>50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43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212271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construction"/>
  <dimension ref="A1:AC176"/>
  <sheetViews>
    <sheetView topLeftCell="A13" zoomScale="70" zoomScaleNormal="70" workbookViewId="0">
      <selection activeCell="F22" sqref="F22"/>
    </sheetView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45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45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45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45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45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45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45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45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45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45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45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45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45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45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45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45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45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45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45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45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45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45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Sheet_GL"/>
  <dimension ref="A1:F20"/>
  <sheetViews>
    <sheetView tabSelected="1" workbookViewId="0">
      <selection activeCell="G11" sqref="G11"/>
    </sheetView>
  </sheetViews>
  <sheetFormatPr defaultRowHeight="14.6" x14ac:dyDescent="0.4"/>
  <cols>
    <col min="2" max="2" width="13.3046875" customWidth="1"/>
    <col min="3" max="3" width="10.53515625" customWidth="1"/>
    <col min="4" max="4" width="15.69140625" customWidth="1"/>
  </cols>
  <sheetData>
    <row r="1" spans="1:6" x14ac:dyDescent="0.4">
      <c r="A1" t="str">
        <f>версия_</f>
        <v>вер 7.5</v>
      </c>
    </row>
    <row r="3" spans="1:6" x14ac:dyDescent="0.4">
      <c r="B3" t="s">
        <v>178</v>
      </c>
    </row>
    <row r="5" spans="1:6" x14ac:dyDescent="0.4">
      <c r="B5" t="s">
        <v>179</v>
      </c>
      <c r="C5">
        <v>3</v>
      </c>
      <c r="F5" t="str">
        <f>WellGL_Encode_string(34,4,4,3,34,3,,3,,B11,C11,D11)</f>
        <v>Hperf_m:34,00000;Htub_m:4,00000;Udl_m:4,00000;dCas_mm:3,00000;dTub_mm:34,00000;dchoke_mm:3,00000;roughness_m:0,00010;Tbh_C:3,00000;Twh_C:25,00000;GLV:1;H_glv_m:500,000;d_glv_mm:0,000;p_glv_atma:50,000;</v>
      </c>
    </row>
    <row r="7" spans="1:6" x14ac:dyDescent="0.4">
      <c r="B7" t="s">
        <v>181</v>
      </c>
    </row>
    <row r="8" spans="1:6" x14ac:dyDescent="0.4">
      <c r="F8" t="str">
        <f>WellGL_Decode_string(F5,1)</f>
        <v>Hperf_m:34,00000;Htub_m:4,00000;Udl_m:4,00000;dCas_mm:3,00000;dTub_mm:34,00000;dchoke_mm:3,00000;roughness_m:0,00010;Tbh_C:3,00000;Twh_C:25,00000;GLV:1;H_glv_m:500,000;d_glv_mm:0,000;p_glv_atma:50,000;</v>
      </c>
    </row>
    <row r="9" spans="1:6" x14ac:dyDescent="0.4">
      <c r="B9" s="5" t="s">
        <v>170</v>
      </c>
      <c r="C9" s="5" t="s">
        <v>180</v>
      </c>
      <c r="D9" s="5" t="s">
        <v>191</v>
      </c>
    </row>
    <row r="10" spans="1:6" x14ac:dyDescent="0.4">
      <c r="B10" s="5" t="s">
        <v>38</v>
      </c>
      <c r="C10" s="5" t="s">
        <v>41</v>
      </c>
      <c r="D10" s="5" t="s">
        <v>2</v>
      </c>
    </row>
    <row r="11" spans="1:6" x14ac:dyDescent="0.4">
      <c r="B11" s="9">
        <v>500</v>
      </c>
      <c r="C11" s="9">
        <v>0</v>
      </c>
      <c r="D11" s="9">
        <v>50</v>
      </c>
    </row>
    <row r="12" spans="1:6" x14ac:dyDescent="0.4">
      <c r="B12" s="9">
        <v>1500</v>
      </c>
      <c r="C12" s="9">
        <v>0</v>
      </c>
      <c r="D12" s="9">
        <v>60</v>
      </c>
    </row>
    <row r="13" spans="1:6" x14ac:dyDescent="0.4">
      <c r="B13" s="9">
        <v>2200</v>
      </c>
      <c r="C13" s="9">
        <v>3</v>
      </c>
      <c r="D13" s="9">
        <v>80</v>
      </c>
    </row>
    <row r="14" spans="1:6" x14ac:dyDescent="0.4">
      <c r="B14" s="9"/>
      <c r="C14" s="9"/>
      <c r="D14" s="9"/>
    </row>
    <row r="15" spans="1:6" x14ac:dyDescent="0.4">
      <c r="B15" s="9"/>
      <c r="C15" s="9"/>
      <c r="D15" s="9"/>
    </row>
    <row r="16" spans="1:6" x14ac:dyDescent="0.4">
      <c r="B16" s="9"/>
      <c r="C16" s="9"/>
      <c r="D16" s="9"/>
    </row>
    <row r="17" spans="2:4" x14ac:dyDescent="0.4">
      <c r="B17" s="9"/>
      <c r="C17" s="9"/>
      <c r="D17" s="9"/>
    </row>
    <row r="18" spans="2:4" x14ac:dyDescent="0.4">
      <c r="B18" s="9"/>
      <c r="C18" s="9"/>
      <c r="D18" s="9"/>
    </row>
    <row r="19" spans="2:4" x14ac:dyDescent="0.4">
      <c r="B19" s="9"/>
      <c r="C19" s="9"/>
      <c r="D19" s="9"/>
    </row>
    <row r="20" spans="2:4" x14ac:dyDescent="0.4">
      <c r="B20" s="9"/>
      <c r="C20" s="9"/>
      <c r="D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calc"/>
  <dimension ref="A1:AH44"/>
  <sheetViews>
    <sheetView topLeftCell="R5" zoomScale="115" zoomScaleNormal="115" workbookViewId="0">
      <selection activeCell="W25" sqref="W25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2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50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7.149999999999999" x14ac:dyDescent="0.55000000000000004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68.999242463850834</v>
      </c>
      <c r="R10" s="5" t="s">
        <v>44</v>
      </c>
      <c r="S10" s="14" t="s">
        <v>55</v>
      </c>
      <c r="T10" s="25">
        <v>46.176861587668569</v>
      </c>
      <c r="U10" s="5" t="s">
        <v>25</v>
      </c>
      <c r="AF10" t="str">
        <f>[1]!s(0.2563)</f>
        <v>000,26</v>
      </c>
    </row>
    <row r="11" spans="1:34" ht="17.149999999999999" x14ac:dyDescent="0.55000000000000004">
      <c r="P11" s="14" t="s">
        <v>46</v>
      </c>
      <c r="Q11" s="25">
        <v>70.356210388830718</v>
      </c>
      <c r="R11" s="5" t="s">
        <v>44</v>
      </c>
      <c r="S11" s="14" t="s">
        <v>56</v>
      </c>
      <c r="T11" s="25">
        <v>46.176861587668569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180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190</v>
      </c>
      <c r="M15" t="s">
        <v>186</v>
      </c>
      <c r="N15" s="1" t="s">
        <v>182</v>
      </c>
      <c r="O15" s="1" t="s">
        <v>183</v>
      </c>
      <c r="P15" s="1" t="s">
        <v>189</v>
      </c>
      <c r="Q15" s="1" t="s">
        <v>184</v>
      </c>
      <c r="R15" s="5" t="s">
        <v>177</v>
      </c>
      <c r="S15" s="14" t="s">
        <v>187</v>
      </c>
      <c r="T15" s="1"/>
      <c r="U15" s="1" t="s">
        <v>185</v>
      </c>
      <c r="W15" s="5" t="s">
        <v>170</v>
      </c>
      <c r="X15" s="1" t="s">
        <v>171</v>
      </c>
      <c r="Y15" t="s">
        <v>177</v>
      </c>
      <c r="Z15" t="s">
        <v>188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45</v>
      </c>
      <c r="N16">
        <v>0</v>
      </c>
      <c r="O16">
        <v>70.356210388830718</v>
      </c>
      <c r="P16">
        <v>0</v>
      </c>
      <c r="Q16">
        <v>46.176861587668569</v>
      </c>
      <c r="R16">
        <v>0</v>
      </c>
      <c r="S16">
        <v>30</v>
      </c>
      <c r="T16">
        <v>0</v>
      </c>
      <c r="U16">
        <v>0</v>
      </c>
      <c r="W16">
        <v>0</v>
      </c>
      <c r="X16" s="50">
        <f>Pline_out_atma_</f>
        <v>68.999242463850834</v>
      </c>
      <c r="Y16">
        <v>0</v>
      </c>
      <c r="Z16">
        <v>150</v>
      </c>
    </row>
    <row r="17" spans="2:26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45</v>
      </c>
      <c r="N17">
        <v>218.75</v>
      </c>
      <c r="O17">
        <v>77.190626199083766</v>
      </c>
      <c r="P17">
        <v>218.75</v>
      </c>
      <c r="Q17">
        <v>46.149183746274943</v>
      </c>
      <c r="R17">
        <v>122.22222222222223</v>
      </c>
      <c r="S17">
        <v>36.691464947675975</v>
      </c>
      <c r="W17">
        <v>0</v>
      </c>
      <c r="X17" s="50">
        <f>Pbuf_out_atma_</f>
        <v>70.356210388830718</v>
      </c>
      <c r="Y17">
        <v>122.22222222222223</v>
      </c>
      <c r="Z17">
        <v>151.54878772741509</v>
      </c>
    </row>
    <row r="18" spans="2:26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45</v>
      </c>
      <c r="N18">
        <v>437.5</v>
      </c>
      <c r="O18">
        <v>85.057641678688213</v>
      </c>
      <c r="P18">
        <v>437.5</v>
      </c>
      <c r="Q18">
        <v>46.117935830277695</v>
      </c>
      <c r="R18">
        <v>244.44444444444446</v>
      </c>
      <c r="S18">
        <v>40.287252540891778</v>
      </c>
      <c r="W18">
        <f>Hperf_m_</f>
        <v>3500</v>
      </c>
      <c r="X18" s="50">
        <f>Pwf_out_atma_</f>
        <v>180</v>
      </c>
      <c r="Y18">
        <v>244.44444444444446</v>
      </c>
      <c r="Z18">
        <v>153.06595916658432</v>
      </c>
    </row>
    <row r="19" spans="2:26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45</v>
      </c>
      <c r="N19">
        <v>500</v>
      </c>
      <c r="O19">
        <v>87.371576140820807</v>
      </c>
      <c r="P19">
        <v>500</v>
      </c>
      <c r="Q19">
        <v>46.110132645890261</v>
      </c>
      <c r="R19">
        <v>366.66666666666669</v>
      </c>
      <c r="S19">
        <v>42.204618165747142</v>
      </c>
      <c r="Y19">
        <v>366.66666666666669</v>
      </c>
      <c r="Z19">
        <v>154.57390322804724</v>
      </c>
    </row>
    <row r="20" spans="2:26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45</v>
      </c>
      <c r="N20">
        <v>656.25</v>
      </c>
      <c r="O20">
        <v>92.89941559723718</v>
      </c>
      <c r="P20">
        <v>656.25</v>
      </c>
      <c r="Q20">
        <v>46.091711826599159</v>
      </c>
      <c r="R20">
        <v>488.88888888888891</v>
      </c>
      <c r="S20">
        <v>43.217582152116726</v>
      </c>
      <c r="Y20">
        <v>488.88888888888891</v>
      </c>
      <c r="Z20">
        <v>156.08310565295437</v>
      </c>
    </row>
    <row r="21" spans="2:26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45</v>
      </c>
      <c r="N21">
        <v>875</v>
      </c>
      <c r="O21">
        <v>100.91699348988455</v>
      </c>
      <c r="P21">
        <v>875</v>
      </c>
      <c r="Q21">
        <v>46.048716423014291</v>
      </c>
      <c r="R21">
        <v>500</v>
      </c>
      <c r="S21">
        <v>43.294762837139793</v>
      </c>
      <c r="Y21">
        <v>500</v>
      </c>
      <c r="Z21">
        <v>156.22038486633409</v>
      </c>
    </row>
    <row r="22" spans="2:26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45</v>
      </c>
      <c r="N22">
        <v>1093.75</v>
      </c>
      <c r="O22">
        <v>109.04867095352272</v>
      </c>
      <c r="P22">
        <v>1093.75</v>
      </c>
      <c r="Q22">
        <v>45.990681385282969</v>
      </c>
      <c r="R22">
        <v>611.11111111111109</v>
      </c>
      <c r="S22">
        <v>43.728075753778469</v>
      </c>
      <c r="Y22">
        <v>611.11111111111109</v>
      </c>
      <c r="Z22">
        <v>157.59966045376979</v>
      </c>
    </row>
    <row r="23" spans="2:26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45</v>
      </c>
      <c r="N23">
        <v>1312.5</v>
      </c>
      <c r="O23">
        <v>117.09093420744743</v>
      </c>
      <c r="P23">
        <v>1312.5</v>
      </c>
      <c r="Q23">
        <v>45.930750457136135</v>
      </c>
      <c r="R23">
        <v>733.33333333333337</v>
      </c>
      <c r="S23">
        <v>43.986663597209102</v>
      </c>
      <c r="Y23">
        <v>733.33333333333337</v>
      </c>
      <c r="Z23">
        <v>159.12671274409325</v>
      </c>
    </row>
    <row r="24" spans="2:26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45</v>
      </c>
      <c r="N24">
        <v>1500</v>
      </c>
      <c r="O24">
        <v>123.88435804228648</v>
      </c>
      <c r="P24">
        <v>1500</v>
      </c>
      <c r="Q24">
        <v>45.870014039652091</v>
      </c>
      <c r="R24">
        <v>855.55555555555566</v>
      </c>
      <c r="S24">
        <v>44.125666547167853</v>
      </c>
      <c r="Y24">
        <v>855.55555555555566</v>
      </c>
      <c r="Z24">
        <v>160.66498078703259</v>
      </c>
    </row>
    <row r="25" spans="2:26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45</v>
      </c>
      <c r="N25">
        <v>1531.25</v>
      </c>
      <c r="O25">
        <v>125.00084533936912</v>
      </c>
      <c r="P25">
        <v>1531.25</v>
      </c>
      <c r="Q25">
        <v>45.857324396610558</v>
      </c>
      <c r="R25">
        <v>977.77777777777783</v>
      </c>
      <c r="S25">
        <v>44.20429339915551</v>
      </c>
      <c r="Y25">
        <v>977.77777777777783</v>
      </c>
      <c r="Z25">
        <v>162.21520441209975</v>
      </c>
    </row>
    <row r="26" spans="2:26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45</v>
      </c>
      <c r="N26">
        <v>1750</v>
      </c>
      <c r="O26">
        <v>132.73515045955253</v>
      </c>
      <c r="P26">
        <v>1750</v>
      </c>
      <c r="Q26">
        <v>45.745575270588866</v>
      </c>
      <c r="R26">
        <v>1100</v>
      </c>
      <c r="S26">
        <v>44.259282708215729</v>
      </c>
      <c r="Y26">
        <v>1100</v>
      </c>
      <c r="Z26">
        <v>163.77775270032885</v>
      </c>
    </row>
    <row r="27" spans="2:26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45</v>
      </c>
      <c r="N27">
        <v>1968.75</v>
      </c>
      <c r="O27">
        <v>140.25588143738915</v>
      </c>
      <c r="P27">
        <v>1968.75</v>
      </c>
      <c r="Q27">
        <v>45.534415241145538</v>
      </c>
      <c r="R27">
        <v>1222.2222222222222</v>
      </c>
      <c r="S27">
        <v>44.296132460809524</v>
      </c>
      <c r="Y27">
        <v>1222.2222222222222</v>
      </c>
      <c r="Z27">
        <v>165.35481180026744</v>
      </c>
    </row>
    <row r="28" spans="2:26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45</v>
      </c>
      <c r="N28">
        <v>2187.5</v>
      </c>
      <c r="O28">
        <v>147.53123898371368</v>
      </c>
      <c r="P28">
        <v>2187.5</v>
      </c>
      <c r="Q28">
        <v>45.074926054390403</v>
      </c>
      <c r="R28">
        <v>1344.4444444444446</v>
      </c>
      <c r="S28">
        <v>44.326414993938165</v>
      </c>
      <c r="Y28">
        <v>1344.4444444444446</v>
      </c>
      <c r="Z28">
        <v>166.94462904734883</v>
      </c>
    </row>
    <row r="29" spans="2:26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45</v>
      </c>
      <c r="N29">
        <v>2200</v>
      </c>
      <c r="O29">
        <v>147.94189520227044</v>
      </c>
      <c r="P29">
        <v>2200</v>
      </c>
      <c r="Q29">
        <v>45.041220844572599</v>
      </c>
      <c r="R29">
        <v>1466.6666666666667</v>
      </c>
      <c r="S29">
        <v>44.353127265175651</v>
      </c>
      <c r="Y29">
        <v>1466.6666666666667</v>
      </c>
      <c r="Z29">
        <v>168.54732016184602</v>
      </c>
    </row>
    <row r="30" spans="2:26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45</v>
      </c>
      <c r="N30">
        <v>2406.25</v>
      </c>
      <c r="O30">
        <v>158.66610188846101</v>
      </c>
      <c r="P30">
        <v>2406.25</v>
      </c>
      <c r="Q30">
        <v>45.129022179258691</v>
      </c>
      <c r="R30">
        <v>1500</v>
      </c>
      <c r="S30">
        <v>44.360141144101547</v>
      </c>
      <c r="Y30">
        <v>1500</v>
      </c>
      <c r="Z30">
        <v>168.98577329352318</v>
      </c>
    </row>
    <row r="31" spans="2:26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45</v>
      </c>
      <c r="N31">
        <v>2500</v>
      </c>
      <c r="O31">
        <v>163.34457120343328</v>
      </c>
      <c r="P31">
        <v>2500</v>
      </c>
      <c r="Q31">
        <v>45.212146920250717</v>
      </c>
      <c r="R31">
        <v>1588.8888888888889</v>
      </c>
      <c r="S31">
        <v>44.377913180049845</v>
      </c>
      <c r="Y31">
        <v>1588.8888888888889</v>
      </c>
      <c r="Z31">
        <v>170.16298508968876</v>
      </c>
    </row>
    <row r="32" spans="2:26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45</v>
      </c>
      <c r="N32">
        <v>2625</v>
      </c>
      <c r="O32">
        <v>169.3487398620934</v>
      </c>
      <c r="P32">
        <v>2625</v>
      </c>
      <c r="Q32">
        <v>45.426748064665638</v>
      </c>
      <c r="R32">
        <v>1711.1111111111113</v>
      </c>
      <c r="S32">
        <v>44.401629387178843</v>
      </c>
      <c r="Y32">
        <v>1711.1111111111113</v>
      </c>
      <c r="Z32">
        <v>171.79272800311173</v>
      </c>
    </row>
    <row r="33" spans="2:26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45</v>
      </c>
      <c r="N33">
        <v>2843.75</v>
      </c>
      <c r="O33">
        <v>175.84976996619406</v>
      </c>
      <c r="P33">
        <v>2843.75</v>
      </c>
      <c r="Q33">
        <v>46.386587776190375</v>
      </c>
      <c r="R33">
        <v>1833.3333333333335</v>
      </c>
      <c r="S33">
        <v>44.42481153017539</v>
      </c>
      <c r="Y33">
        <v>1833.3333333333335</v>
      </c>
      <c r="Z33">
        <v>173.43665452334287</v>
      </c>
    </row>
    <row r="34" spans="2:26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45</v>
      </c>
      <c r="N34">
        <v>3062.5</v>
      </c>
      <c r="O34">
        <v>177.2447343653462</v>
      </c>
      <c r="P34">
        <v>3062.5</v>
      </c>
      <c r="Q34">
        <v>49.458687438998886</v>
      </c>
      <c r="R34">
        <v>1955.5555555555557</v>
      </c>
      <c r="S34">
        <v>44.447743020677557</v>
      </c>
      <c r="Y34">
        <v>1955.5555555555557</v>
      </c>
      <c r="Z34">
        <v>175.09384535449345</v>
      </c>
    </row>
    <row r="35" spans="2:26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45</v>
      </c>
      <c r="N35">
        <v>3281.25</v>
      </c>
      <c r="O35">
        <v>178.63303690928049</v>
      </c>
      <c r="P35">
        <v>3281.25</v>
      </c>
      <c r="Q35">
        <v>59.215451465172229</v>
      </c>
      <c r="R35">
        <v>2077.7777777777778</v>
      </c>
      <c r="S35">
        <v>44.470542207771395</v>
      </c>
      <c r="Y35">
        <v>2077.7777777777778</v>
      </c>
      <c r="Z35">
        <v>176.76438835707617</v>
      </c>
    </row>
    <row r="36" spans="2:26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45</v>
      </c>
      <c r="N36">
        <v>3500</v>
      </c>
      <c r="O36">
        <v>180</v>
      </c>
      <c r="P36">
        <v>3500</v>
      </c>
      <c r="Q36">
        <v>90</v>
      </c>
      <c r="R36">
        <v>2200</v>
      </c>
      <c r="S36">
        <v>44.493273914373724</v>
      </c>
      <c r="Y36">
        <v>2200</v>
      </c>
      <c r="Z36">
        <v>178.44837282999481</v>
      </c>
    </row>
    <row r="37" spans="2:26" x14ac:dyDescent="0.4">
      <c r="B37" s="2"/>
      <c r="C37" s="18">
        <v>2500</v>
      </c>
      <c r="D37" s="18">
        <v>176.72349338287597</v>
      </c>
      <c r="E37" s="18">
        <v>53</v>
      </c>
    </row>
    <row r="38" spans="2:26" x14ac:dyDescent="0.4">
      <c r="C38" s="18">
        <v>2625</v>
      </c>
      <c r="D38" s="18">
        <v>186.511102757185</v>
      </c>
      <c r="E38" s="18">
        <v>54</v>
      </c>
    </row>
    <row r="39" spans="2:26" x14ac:dyDescent="0.4">
      <c r="C39" s="18">
        <v>2750</v>
      </c>
      <c r="D39" s="18">
        <v>196.298712131494</v>
      </c>
      <c r="E39" s="18">
        <v>55</v>
      </c>
    </row>
    <row r="40" spans="2:26" x14ac:dyDescent="0.4">
      <c r="C40" s="18">
        <v>2875</v>
      </c>
      <c r="D40" s="18">
        <v>206.08632150580399</v>
      </c>
      <c r="E40" s="18">
        <v>56</v>
      </c>
    </row>
    <row r="41" spans="2:26" x14ac:dyDescent="0.4">
      <c r="C41" s="18">
        <v>3000</v>
      </c>
      <c r="D41" s="18">
        <v>215.87393088011299</v>
      </c>
      <c r="E41" s="18">
        <v>57</v>
      </c>
    </row>
    <row r="42" spans="2:26" x14ac:dyDescent="0.4">
      <c r="C42" s="18">
        <v>3125</v>
      </c>
      <c r="D42" s="18">
        <v>225.66154025442199</v>
      </c>
      <c r="E42" s="18">
        <v>58</v>
      </c>
    </row>
    <row r="43" spans="2:26" x14ac:dyDescent="0.4">
      <c r="C43" s="18">
        <v>3250</v>
      </c>
      <c r="D43" s="18">
        <v>235.44914962873099</v>
      </c>
      <c r="E43" s="18">
        <v>59</v>
      </c>
    </row>
    <row r="44" spans="2:26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Sheet_test"/>
  <dimension ref="B3:I10"/>
  <sheetViews>
    <sheetView workbookViewId="0">
      <selection activeCell="B8" sqref="B8"/>
    </sheetView>
  </sheetViews>
  <sheetFormatPr defaultRowHeight="14.6" x14ac:dyDescent="0.4"/>
  <sheetData>
    <row r="3" spans="2:9" x14ac:dyDescent="0.4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4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4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4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4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4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118</vt:i4>
      </vt:variant>
    </vt:vector>
  </HeadingPairs>
  <TitlesOfParts>
    <vt:vector size="124" baseType="lpstr">
      <vt:lpstr>Unifloc</vt:lpstr>
      <vt:lpstr>PVT</vt:lpstr>
      <vt:lpstr>Construction</vt:lpstr>
      <vt:lpstr>GasLift</vt:lpstr>
      <vt:lpstr>Calc</vt:lpstr>
      <vt:lpstr>Test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Toutcas_C_</vt:lpstr>
      <vt:lpstr>Toutcas_hmes_m_</vt:lpstr>
      <vt:lpstr>PVT!Tres_C_</vt:lpstr>
      <vt:lpstr>PVT!Tsc_C_</vt:lpstr>
      <vt:lpstr>PVT!Tsep_C_</vt:lpstr>
      <vt:lpstr>Twf_out_C_</vt:lpstr>
      <vt:lpstr>Twh_C_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2019-03-31T20:58:40Z</dcterms:modified>
</cp:coreProperties>
</file>