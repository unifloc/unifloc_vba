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apps\"/>
    </mc:Choice>
  </mc:AlternateContent>
  <xr:revisionPtr revIDLastSave="0" documentId="13_ncr:1_{2582436F-4E56-451E-BF6B-E07F02C27496}" xr6:coauthVersionLast="45" xr6:coauthVersionMax="45" xr10:uidLastSave="{00000000-0000-0000-0000-000000000000}"/>
  <bookViews>
    <workbookView xWindow="-38520" yWindow="-120" windowWidth="38640" windowHeight="21240" xr2:uid="{FDD81164-68A0-490D-8DED-D18A8AE4AE0D}"/>
  </bookViews>
  <sheets>
    <sheet name="Лист1" sheetId="1" r:id="rId1"/>
  </sheets>
  <definedNames>
    <definedName name="Bob">Лист1!$C$12</definedName>
    <definedName name="dcas">Лист1!$J$7</definedName>
    <definedName name="dcas_list_mm">Лист1!$H$29:$I$48</definedName>
    <definedName name="dchoke">Лист1!$J$9</definedName>
    <definedName name="dchoke_gas">Лист1!$J$10</definedName>
    <definedName name="dtub">Лист1!$J$8</definedName>
    <definedName name="dtub_list_mm">Лист1!$J$29:$K$48</definedName>
    <definedName name="fw">Лист1!$C$16</definedName>
    <definedName name="g_kf">Лист1!$S$18</definedName>
    <definedName name="gg">Лист1!$C$7</definedName>
    <definedName name="go">Лист1!$C$5</definedName>
    <definedName name="gw">Лист1!$C$6</definedName>
    <definedName name="h_1">Лист1!$AH$17</definedName>
    <definedName name="h_2">Лист1!$AH$18</definedName>
    <definedName name="hmes_habs_list_m">Лист1!$B$29:$C$51</definedName>
    <definedName name="Hpacker">Лист1!$J$6</definedName>
    <definedName name="hperf">Лист1!$J$5</definedName>
    <definedName name="hydr_corr">Лист1!$N$6</definedName>
    <definedName name="muob">Лист1!$C$13</definedName>
    <definedName name="out_1">Лист1!$V$13:$Z$22</definedName>
    <definedName name="out_p1">Лист1!$AB$27:$AC$55</definedName>
    <definedName name="out_p2">Лист1!$AE$27:$AF$55</definedName>
    <definedName name="outp">Лист1!$V$27:$W$55</definedName>
    <definedName name="outpgas">Лист1!$Y$27:$Z$55</definedName>
    <definedName name="p_safety">Лист1!$O$19</definedName>
    <definedName name="Pb_cal">Лист1!$C$10</definedName>
    <definedName name="Pbuf">Лист1!$C$18</definedName>
    <definedName name="Pgas_inj">Лист1!$C$19</definedName>
    <definedName name="Pres">Лист1!$J$19</definedName>
    <definedName name="ProdInd">Лист1!$J$18</definedName>
    <definedName name="Pwf">Лист1!$C$20</definedName>
    <definedName name="Pwf_target">Лист1!$O$18</definedName>
    <definedName name="Qgas_max">Лист1!$C$21</definedName>
    <definedName name="qliq">Лист1!$C$15</definedName>
    <definedName name="Qnom">Лист1!$J$33</definedName>
    <definedName name="Rp">Лист1!$C$9</definedName>
    <definedName name="Rsb">Лист1!$C$8</definedName>
    <definedName name="temp_list_C">Лист1!$E$29:$F$48</definedName>
    <definedName name="temp_method">Лист1!$N$5</definedName>
    <definedName name="Tres">Лист1!$C$11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1" l="1"/>
  <c r="E10" i="1"/>
  <c r="E9" i="1"/>
  <c r="E8" i="1"/>
  <c r="E7" i="1"/>
  <c r="E6" i="1"/>
  <c r="E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J5" authorId="0" shapeId="0" xr:uid="{790488E4-90D5-44F4-AE13-ACEF5CCF61C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J6" authorId="0" shapeId="0" xr:uid="{52370C77-2D1B-4E43-AA99-E6C6D8F9FC2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sharedStrings.xml><?xml version="1.0" encoding="utf-8"?>
<sst xmlns="http://schemas.openxmlformats.org/spreadsheetml/2006/main" count="96" uniqueCount="69">
  <si>
    <t>Физико - химические свойства флюида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</si>
  <si>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</si>
  <si>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</si>
  <si>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</si>
  <si>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</si>
  <si>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</si>
  <si>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</si>
  <si>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</si>
  <si>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</si>
  <si>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</si>
  <si>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</si>
  <si>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</si>
  <si>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</si>
  <si>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</si>
  <si>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</si>
  <si>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</si>
  <si>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</si>
  <si>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</si>
  <si>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</si>
  <si>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</si>
  <si>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Прототип алгоритма дизайна газлифтной скважины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</si>
  <si>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</si>
  <si>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</si>
  <si>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</si>
  <si>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м</t>
  </si>
  <si>
    <t>мм</t>
  </si>
  <si>
    <r>
      <t>P</t>
    </r>
    <r>
      <rPr>
        <vertAlign val="subscript"/>
        <sz val="11"/>
        <color theme="1"/>
        <rFont val="Calibri"/>
        <family val="2"/>
      </rPr>
      <t>wf</t>
    </r>
  </si>
  <si>
    <t xml:space="preserve">Параметры скважины </t>
  </si>
  <si>
    <t xml:space="preserve">Инклинометрия </t>
  </si>
  <si>
    <t>Температура породы</t>
  </si>
  <si>
    <t>Колонна</t>
  </si>
  <si>
    <t>НКТ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</si>
  <si>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</si>
  <si>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</si>
  <si>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</si>
  <si>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</si>
  <si>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</si>
  <si>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</si>
  <si>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t>Конструкция</t>
  </si>
  <si>
    <t>Газлифт параметры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</si>
  <si>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</si>
  <si>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t>temp model</t>
  </si>
  <si>
    <t>Нglv</t>
  </si>
  <si>
    <t>d mm</t>
  </si>
  <si>
    <r>
      <t>p</t>
    </r>
    <r>
      <rPr>
        <vertAlign val="subscript"/>
        <sz val="11"/>
        <color theme="1"/>
        <rFont val="Calibri"/>
        <family val="2"/>
      </rPr>
      <t>bel</t>
    </r>
  </si>
  <si>
    <t>hcor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</si>
  <si>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</si>
  <si>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</si>
  <si>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</si>
  <si>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P</t>
    </r>
    <r>
      <rPr>
        <vertAlign val="subscript"/>
        <sz val="11"/>
        <color theme="1"/>
        <rFont val="Calibri"/>
        <family val="2"/>
      </rPr>
      <t>buf</t>
    </r>
  </si>
  <si>
    <r>
      <t>P</t>
    </r>
    <r>
      <rPr>
        <vertAlign val="subscript"/>
        <sz val="11"/>
        <color theme="1"/>
        <rFont val="Calibri"/>
        <family val="2"/>
        <charset val="204"/>
      </rPr>
      <t>gas inj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</si>
  <si>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packer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</si>
  <si>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choke_gas</t>
    </r>
  </si>
  <si>
    <t>PI</t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</si>
  <si>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/сут/атм</t>
    </r>
  </si>
  <si>
    <t>атма</t>
  </si>
  <si>
    <r>
      <t>P</t>
    </r>
    <r>
      <rPr>
        <vertAlign val="subscript"/>
        <sz val="11"/>
        <color theme="1"/>
        <rFont val="Calibri"/>
        <family val="2"/>
        <charset val="204"/>
      </rPr>
      <t>res</t>
    </r>
  </si>
  <si>
    <t>Параметры пласта</t>
  </si>
  <si>
    <t>Целевые параметры</t>
  </si>
  <si>
    <r>
      <t>P</t>
    </r>
    <r>
      <rPr>
        <vertAlign val="subscript"/>
        <sz val="11"/>
        <color theme="1"/>
        <rFont val="Calibri"/>
        <family val="2"/>
        <charset val="204"/>
      </rPr>
      <t>wf_target</t>
    </r>
  </si>
  <si>
    <t>hmes ptub</t>
  </si>
  <si>
    <t>ptub</t>
  </si>
  <si>
    <r>
      <t>Q</t>
    </r>
    <r>
      <rPr>
        <vertAlign val="subscript"/>
        <sz val="11"/>
        <color theme="1"/>
        <rFont val="Calibri"/>
        <family val="2"/>
        <charset val="204"/>
      </rPr>
      <t>gas_max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</si>
  <si>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</si>
  <si>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kf</t>
    </r>
  </si>
  <si>
    <t>Глушение скважины</t>
  </si>
  <si>
    <t>h1</t>
  </si>
  <si>
    <t>h2</t>
  </si>
  <si>
    <t>psafety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</si>
</sst>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b/>
      <sz val="10"/>
      <name val="Arial Cyr"/>
      <charset val="204"/>
    </font>
    <font>
      <vertAlign val="superscript"/>
      <sz val="10"/>
      <name val="Arial Cyr"/>
      <charset val="204"/>
    </font>
    <font>
      <vertAlign val="subscript"/>
      <sz val="11"/>
      <color theme="1"/>
      <name val="Calibri"/>
      <family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4" borderId="1" xfId="0" applyNumberForma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wrapText="1"/>
    </xf>
    <xf numFmtId="2" fontId="0" fillId="3" borderId="1" xfId="0" applyNumberForma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10" fillId="5" borderId="0" xfId="0" applyFont="1" applyFill="1"/>
    <xf numFmtId="0" fontId="0" fillId="6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7" fillId="5" borderId="0" xfId="0" applyFont="1" applyFill="1"/>
    <xf numFmtId="0" fontId="1" fillId="5" borderId="0" xfId="0" applyFont="1" applyFill="1" applyBorder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10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Лист1!$W$27:$W$55</c:f>
              <c:numCache>
                <c:formatCode>General</c:formatCode>
                <c:ptCount val="29"/>
                <c:pt idx="0">
                  <c:v>19.955853884826176</c:v>
                </c:pt>
                <c:pt idx="1">
                  <c:v>24.341277165304589</c:v>
                </c:pt>
                <c:pt idx="2">
                  <c:v>29.117365153409779</c:v>
                </c:pt>
                <c:pt idx="3">
                  <c:v>34.265009164226846</c:v>
                </c:pt>
                <c:pt idx="4">
                  <c:v>39.759289213636912</c:v>
                </c:pt>
                <c:pt idx="5">
                  <c:v>45.544384549045674</c:v>
                </c:pt>
                <c:pt idx="6">
                  <c:v>51.591236703762036</c:v>
                </c:pt>
                <c:pt idx="7">
                  <c:v>57.899298735134423</c:v>
                </c:pt>
                <c:pt idx="8">
                  <c:v>64.444807444657329</c:v>
                </c:pt>
                <c:pt idx="9">
                  <c:v>71.311809492105652</c:v>
                </c:pt>
                <c:pt idx="10">
                  <c:v>78.34868590130236</c:v>
                </c:pt>
                <c:pt idx="11">
                  <c:v>85.414768123325999</c:v>
                </c:pt>
                <c:pt idx="12">
                  <c:v>92.433728884642647</c:v>
                </c:pt>
                <c:pt idx="13">
                  <c:v>99.399279991362434</c:v>
                </c:pt>
                <c:pt idx="14">
                  <c:v>106.37591659254653</c:v>
                </c:pt>
                <c:pt idx="15">
                  <c:v>113.33839208835592</c:v>
                </c:pt>
                <c:pt idx="16">
                  <c:v>120.23093998347257</c:v>
                </c:pt>
                <c:pt idx="17">
                  <c:v>127.03325580762969</c:v>
                </c:pt>
                <c:pt idx="18">
                  <c:v>133.73006415709182</c:v>
                </c:pt>
                <c:pt idx="19">
                  <c:v>140.2933686521514</c:v>
                </c:pt>
                <c:pt idx="20">
                  <c:v>146.68475726578842</c:v>
                </c:pt>
                <c:pt idx="21">
                  <c:v>152.89740642198734</c:v>
                </c:pt>
                <c:pt idx="22">
                  <c:v>153.81911993884975</c:v>
                </c:pt>
                <c:pt idx="23">
                  <c:v>158.86616504592033</c:v>
                </c:pt>
                <c:pt idx="24">
                  <c:v>164.59860401143487</c:v>
                </c:pt>
                <c:pt idx="25">
                  <c:v>170.07296938433998</c:v>
                </c:pt>
                <c:pt idx="26">
                  <c:v>174.6084754589337</c:v>
                </c:pt>
                <c:pt idx="27">
                  <c:v>177.44810478234234</c:v>
                </c:pt>
                <c:pt idx="28">
                  <c:v>180.03737379064245</c:v>
                </c:pt>
              </c:numCache>
            </c:numRef>
          </c:xVal>
          <c:yVal>
            <c:numRef>
              <c:f>Лист1!$V$27:$V$55</c:f>
              <c:numCache>
                <c:formatCode>General</c:formatCode>
                <c:ptCount val="29"/>
                <c:pt idx="0">
                  <c:v>0</c:v>
                </c:pt>
                <c:pt idx="1">
                  <c:v>111.11111111111111</c:v>
                </c:pt>
                <c:pt idx="2">
                  <c:v>222.22222222222223</c:v>
                </c:pt>
                <c:pt idx="3">
                  <c:v>333.33333333333337</c:v>
                </c:pt>
                <c:pt idx="4">
                  <c:v>444.44444444444446</c:v>
                </c:pt>
                <c:pt idx="5">
                  <c:v>555.55555555555554</c:v>
                </c:pt>
                <c:pt idx="6">
                  <c:v>666.66666666666674</c:v>
                </c:pt>
                <c:pt idx="7">
                  <c:v>777.77777777777783</c:v>
                </c:pt>
                <c:pt idx="8">
                  <c:v>888.88888888888891</c:v>
                </c:pt>
                <c:pt idx="9">
                  <c:v>1000</c:v>
                </c:pt>
                <c:pt idx="10">
                  <c:v>1111.1111111111111</c:v>
                </c:pt>
                <c:pt idx="11">
                  <c:v>1222.2222222222222</c:v>
                </c:pt>
                <c:pt idx="12">
                  <c:v>1333.3333333333335</c:v>
                </c:pt>
                <c:pt idx="13">
                  <c:v>1444.4444444444446</c:v>
                </c:pt>
                <c:pt idx="14">
                  <c:v>1555.5555555555557</c:v>
                </c:pt>
                <c:pt idx="15">
                  <c:v>1666.6666666666667</c:v>
                </c:pt>
                <c:pt idx="16">
                  <c:v>1777.7777777777778</c:v>
                </c:pt>
                <c:pt idx="17">
                  <c:v>1888.8888888888889</c:v>
                </c:pt>
                <c:pt idx="18">
                  <c:v>2000</c:v>
                </c:pt>
                <c:pt idx="19">
                  <c:v>2111.1111111111113</c:v>
                </c:pt>
                <c:pt idx="20">
                  <c:v>2222.2222222222222</c:v>
                </c:pt>
                <c:pt idx="21">
                  <c:v>2333.3333333333335</c:v>
                </c:pt>
                <c:pt idx="22">
                  <c:v>2350</c:v>
                </c:pt>
                <c:pt idx="23">
                  <c:v>2444.4444444444443</c:v>
                </c:pt>
                <c:pt idx="24">
                  <c:v>2555.5555555555557</c:v>
                </c:pt>
                <c:pt idx="25">
                  <c:v>2666.666666666667</c:v>
                </c:pt>
                <c:pt idx="26">
                  <c:v>2777.7777777777778</c:v>
                </c:pt>
                <c:pt idx="27">
                  <c:v>2888.8888888888891</c:v>
                </c:pt>
                <c:pt idx="2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4F-4245-B52A-FE53C3731DB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Лист1!$Z$27:$Z$55</c:f>
              <c:numCache>
                <c:formatCode>General</c:formatCode>
                <c:ptCount val="29"/>
                <c:pt idx="0">
                  <c:v>80</c:v>
                </c:pt>
                <c:pt idx="1">
                  <c:v>80.740646862358219</c:v>
                </c:pt>
                <c:pt idx="2">
                  <c:v>81.484574225859973</c:v>
                </c:pt>
                <c:pt idx="3">
                  <c:v>82.231774039021317</c:v>
                </c:pt>
                <c:pt idx="4">
                  <c:v>82.982238178203758</c:v>
                </c:pt>
                <c:pt idx="5">
                  <c:v>83.735958445521476</c:v>
                </c:pt>
                <c:pt idx="6">
                  <c:v>84.492926566751194</c:v>
                </c:pt>
                <c:pt idx="7">
                  <c:v>85.253728508964087</c:v>
                </c:pt>
                <c:pt idx="8">
                  <c:v>86.017926563886434</c:v>
                </c:pt>
                <c:pt idx="9">
                  <c:v>86.785341701436778</c:v>
                </c:pt>
                <c:pt idx="10">
                  <c:v>87.55596519241</c:v>
                </c:pt>
                <c:pt idx="11">
                  <c:v>88.326904509661119</c:v>
                </c:pt>
                <c:pt idx="12">
                  <c:v>89.091378723997423</c:v>
                </c:pt>
                <c:pt idx="13">
                  <c:v>89.836728893276131</c:v>
                </c:pt>
                <c:pt idx="14">
                  <c:v>90.574838054294119</c:v>
                </c:pt>
                <c:pt idx="15">
                  <c:v>91.303351733265885</c:v>
                </c:pt>
                <c:pt idx="16">
                  <c:v>92.021704759023152</c:v>
                </c:pt>
                <c:pt idx="17">
                  <c:v>92.729769964856132</c:v>
                </c:pt>
                <c:pt idx="18">
                  <c:v>93.427074922362962</c:v>
                </c:pt>
                <c:pt idx="19">
                  <c:v>94.110638642617971</c:v>
                </c:pt>
                <c:pt idx="20">
                  <c:v>94.769440621684836</c:v>
                </c:pt>
                <c:pt idx="21">
                  <c:v>95.407303970309485</c:v>
                </c:pt>
                <c:pt idx="22">
                  <c:v>96.0251271469008</c:v>
                </c:pt>
                <c:pt idx="23">
                  <c:v>96.623756864108586</c:v>
                </c:pt>
                <c:pt idx="24">
                  <c:v>97.203923622380628</c:v>
                </c:pt>
                <c:pt idx="25">
                  <c:v>97.765815013171405</c:v>
                </c:pt>
                <c:pt idx="26">
                  <c:v>98.307006755073701</c:v>
                </c:pt>
                <c:pt idx="27">
                  <c:v>98.831698080574981</c:v>
                </c:pt>
                <c:pt idx="28">
                  <c:v>99.34531225501749</c:v>
                </c:pt>
              </c:numCache>
            </c:numRef>
          </c:xVal>
          <c:yVal>
            <c:numRef>
              <c:f>Лист1!$Y$27:$Y$55</c:f>
              <c:numCache>
                <c:formatCode>General</c:formatCode>
                <c:ptCount val="29"/>
                <c:pt idx="0">
                  <c:v>0</c:v>
                </c:pt>
                <c:pt idx="1">
                  <c:v>83.928571428571431</c:v>
                </c:pt>
                <c:pt idx="2">
                  <c:v>167.85714285714286</c:v>
                </c:pt>
                <c:pt idx="3">
                  <c:v>251.78571428571428</c:v>
                </c:pt>
                <c:pt idx="4">
                  <c:v>335.71428571428572</c:v>
                </c:pt>
                <c:pt idx="5">
                  <c:v>419.64285714285717</c:v>
                </c:pt>
                <c:pt idx="6">
                  <c:v>503.57142857142856</c:v>
                </c:pt>
                <c:pt idx="7">
                  <c:v>587.5</c:v>
                </c:pt>
                <c:pt idx="8">
                  <c:v>671.42857142857144</c:v>
                </c:pt>
                <c:pt idx="9">
                  <c:v>755.35714285714289</c:v>
                </c:pt>
                <c:pt idx="10">
                  <c:v>839.28571428571433</c:v>
                </c:pt>
                <c:pt idx="11">
                  <c:v>923.21428571428578</c:v>
                </c:pt>
                <c:pt idx="12">
                  <c:v>1007.1428571428571</c:v>
                </c:pt>
                <c:pt idx="13">
                  <c:v>1091.0714285714287</c:v>
                </c:pt>
                <c:pt idx="14">
                  <c:v>1175</c:v>
                </c:pt>
                <c:pt idx="15">
                  <c:v>1258.9285714285716</c:v>
                </c:pt>
                <c:pt idx="16">
                  <c:v>1342.8571428571429</c:v>
                </c:pt>
                <c:pt idx="17">
                  <c:v>1426.7857142857142</c:v>
                </c:pt>
                <c:pt idx="18">
                  <c:v>1510.7142857142858</c:v>
                </c:pt>
                <c:pt idx="19">
                  <c:v>1594.6428571428571</c:v>
                </c:pt>
                <c:pt idx="20">
                  <c:v>1678.5714285714287</c:v>
                </c:pt>
                <c:pt idx="21">
                  <c:v>1762.5</c:v>
                </c:pt>
                <c:pt idx="22">
                  <c:v>1846.4285714285716</c:v>
                </c:pt>
                <c:pt idx="23">
                  <c:v>1930.3571428571429</c:v>
                </c:pt>
                <c:pt idx="24">
                  <c:v>2014.2857142857142</c:v>
                </c:pt>
                <c:pt idx="25">
                  <c:v>2098.2142857142858</c:v>
                </c:pt>
                <c:pt idx="26">
                  <c:v>2182.1428571428573</c:v>
                </c:pt>
                <c:pt idx="27">
                  <c:v>2266.0714285714284</c:v>
                </c:pt>
                <c:pt idx="28">
                  <c:v>2350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4F-4245-B52A-FE53C3731DB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Лист1!$AC$27:$AC$55</c:f>
              <c:numCache>
                <c:formatCode>General</c:formatCode>
                <c:ptCount val="29"/>
                <c:pt idx="0">
                  <c:v>20.039361193265457</c:v>
                </c:pt>
                <c:pt idx="1">
                  <c:v>29.164858857665696</c:v>
                </c:pt>
                <c:pt idx="2">
                  <c:v>38.24584449167569</c:v>
                </c:pt>
                <c:pt idx="3">
                  <c:v>47.276742827585466</c:v>
                </c:pt>
                <c:pt idx="4">
                  <c:v>56.252499398415701</c:v>
                </c:pt>
                <c:pt idx="5">
                  <c:v>65.167185095048495</c:v>
                </c:pt>
                <c:pt idx="6">
                  <c:v>74.019254540249406</c:v>
                </c:pt>
                <c:pt idx="7">
                  <c:v>82.808016776181191</c:v>
                </c:pt>
                <c:pt idx="8">
                  <c:v>91.533229099890789</c:v>
                </c:pt>
                <c:pt idx="9">
                  <c:v>100.09124282249054</c:v>
                </c:pt>
                <c:pt idx="10">
                  <c:v>108.28687802211664</c:v>
                </c:pt>
                <c:pt idx="11">
                  <c:v>116.27496736589345</c:v>
                </c:pt>
                <c:pt idx="12">
                  <c:v>124.02211498914127</c:v>
                </c:pt>
                <c:pt idx="13">
                  <c:v>131.53261904655349</c:v>
                </c:pt>
                <c:pt idx="14">
                  <c:v>138.80825833155231</c:v>
                </c:pt>
                <c:pt idx="15">
                  <c:v>145.84514252736093</c:v>
                </c:pt>
                <c:pt idx="16">
                  <c:v>152.64407982251612</c:v>
                </c:pt>
                <c:pt idx="17">
                  <c:v>159.21095574070699</c:v>
                </c:pt>
                <c:pt idx="18">
                  <c:v>165.55139145534545</c:v>
                </c:pt>
                <c:pt idx="19">
                  <c:v>171.64852228774393</c:v>
                </c:pt>
                <c:pt idx="20">
                  <c:v>177.53051382010091</c:v>
                </c:pt>
                <c:pt idx="21">
                  <c:v>183.22752992218267</c:v>
                </c:pt>
                <c:pt idx="22">
                  <c:v>184.0712609764162</c:v>
                </c:pt>
                <c:pt idx="23">
                  <c:v>188.71591823151027</c:v>
                </c:pt>
                <c:pt idx="24">
                  <c:v>193.97639513021238</c:v>
                </c:pt>
                <c:pt idx="25">
                  <c:v>198.98509074924209</c:v>
                </c:pt>
                <c:pt idx="26">
                  <c:v>203.12427614885257</c:v>
                </c:pt>
                <c:pt idx="27">
                  <c:v>205.71107028378941</c:v>
                </c:pt>
                <c:pt idx="28">
                  <c:v>208.06673369033055</c:v>
                </c:pt>
              </c:numCache>
            </c:numRef>
          </c:xVal>
          <c:yVal>
            <c:numRef>
              <c:f>Лист1!$AB$27:$AB$55</c:f>
              <c:numCache>
                <c:formatCode>General</c:formatCode>
                <c:ptCount val="29"/>
                <c:pt idx="0">
                  <c:v>0</c:v>
                </c:pt>
                <c:pt idx="1">
                  <c:v>111.11111111111111</c:v>
                </c:pt>
                <c:pt idx="2">
                  <c:v>222.22222222222223</c:v>
                </c:pt>
                <c:pt idx="3">
                  <c:v>333.33333333333337</c:v>
                </c:pt>
                <c:pt idx="4">
                  <c:v>444.44444444444446</c:v>
                </c:pt>
                <c:pt idx="5">
                  <c:v>555.55555555555554</c:v>
                </c:pt>
                <c:pt idx="6">
                  <c:v>666.66666666666674</c:v>
                </c:pt>
                <c:pt idx="7">
                  <c:v>777.77777777777783</c:v>
                </c:pt>
                <c:pt idx="8">
                  <c:v>888.88888888888891</c:v>
                </c:pt>
                <c:pt idx="9">
                  <c:v>1000</c:v>
                </c:pt>
                <c:pt idx="10">
                  <c:v>1111.1111111111111</c:v>
                </c:pt>
                <c:pt idx="11">
                  <c:v>1222.2222222222222</c:v>
                </c:pt>
                <c:pt idx="12">
                  <c:v>1333.3333333333335</c:v>
                </c:pt>
                <c:pt idx="13">
                  <c:v>1444.4444444444446</c:v>
                </c:pt>
                <c:pt idx="14">
                  <c:v>1555.5555555555557</c:v>
                </c:pt>
                <c:pt idx="15">
                  <c:v>1666.6666666666667</c:v>
                </c:pt>
                <c:pt idx="16">
                  <c:v>1777.7777777777778</c:v>
                </c:pt>
                <c:pt idx="17">
                  <c:v>1888.8888888888889</c:v>
                </c:pt>
                <c:pt idx="18">
                  <c:v>2000</c:v>
                </c:pt>
                <c:pt idx="19">
                  <c:v>2111.1111111111113</c:v>
                </c:pt>
                <c:pt idx="20">
                  <c:v>2222.2222222222222</c:v>
                </c:pt>
                <c:pt idx="21">
                  <c:v>2333.3333333333335</c:v>
                </c:pt>
                <c:pt idx="22">
                  <c:v>2350</c:v>
                </c:pt>
                <c:pt idx="23">
                  <c:v>2444.4444444444443</c:v>
                </c:pt>
                <c:pt idx="24">
                  <c:v>2555.5555555555557</c:v>
                </c:pt>
                <c:pt idx="25">
                  <c:v>2666.666666666667</c:v>
                </c:pt>
                <c:pt idx="26">
                  <c:v>2777.7777777777778</c:v>
                </c:pt>
                <c:pt idx="27">
                  <c:v>2888.8888888888891</c:v>
                </c:pt>
                <c:pt idx="2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83-4870-93C4-CAE9006EA18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Лист1!$AF$27:$AF$55</c:f>
              <c:numCache>
                <c:formatCode>General</c:formatCode>
                <c:ptCount val="29"/>
                <c:pt idx="0">
                  <c:v>19.950178020904961</c:v>
                </c:pt>
                <c:pt idx="1">
                  <c:v>22.403419694801105</c:v>
                </c:pt>
                <c:pt idx="2">
                  <c:v>25.047227733262631</c:v>
                </c:pt>
                <c:pt idx="3">
                  <c:v>27.884182874133749</c:v>
                </c:pt>
                <c:pt idx="4">
                  <c:v>30.874928284897607</c:v>
                </c:pt>
                <c:pt idx="5">
                  <c:v>33.534395730940929</c:v>
                </c:pt>
                <c:pt idx="6">
                  <c:v>36.094815316321785</c:v>
                </c:pt>
                <c:pt idx="7">
                  <c:v>38.785682198684604</c:v>
                </c:pt>
                <c:pt idx="8">
                  <c:v>38.820011759601904</c:v>
                </c:pt>
                <c:pt idx="9">
                  <c:v>48.009195197189584</c:v>
                </c:pt>
                <c:pt idx="10">
                  <c:v>57.048778011897191</c:v>
                </c:pt>
                <c:pt idx="11">
                  <c:v>65.77630646657434</c:v>
                </c:pt>
                <c:pt idx="12">
                  <c:v>74.265079846070691</c:v>
                </c:pt>
                <c:pt idx="13">
                  <c:v>82.491405648416347</c:v>
                </c:pt>
                <c:pt idx="14">
                  <c:v>90.459160622551735</c:v>
                </c:pt>
                <c:pt idx="15">
                  <c:v>98.155123079934128</c:v>
                </c:pt>
                <c:pt idx="16">
                  <c:v>105.56286710093035</c:v>
                </c:pt>
                <c:pt idx="17">
                  <c:v>112.70642576630267</c:v>
                </c:pt>
                <c:pt idx="18">
                  <c:v>119.59131269212996</c:v>
                </c:pt>
                <c:pt idx="19">
                  <c:v>126.22405009356737</c:v>
                </c:pt>
                <c:pt idx="20">
                  <c:v>132.61215551212413</c:v>
                </c:pt>
                <c:pt idx="21">
                  <c:v>138.76174033631011</c:v>
                </c:pt>
                <c:pt idx="22">
                  <c:v>140.97121239029534</c:v>
                </c:pt>
                <c:pt idx="23">
                  <c:v>144.67700395511443</c:v>
                </c:pt>
                <c:pt idx="24">
                  <c:v>150.35762733496256</c:v>
                </c:pt>
                <c:pt idx="25">
                  <c:v>155.79231808862633</c:v>
                </c:pt>
                <c:pt idx="26">
                  <c:v>160.38773576550616</c:v>
                </c:pt>
                <c:pt idx="27">
                  <c:v>163.17095614706417</c:v>
                </c:pt>
                <c:pt idx="28">
                  <c:v>165.68794648887871</c:v>
                </c:pt>
              </c:numCache>
            </c:numRef>
          </c:xVal>
          <c:yVal>
            <c:numRef>
              <c:f>Лист1!$AE$27:$AE$55</c:f>
              <c:numCache>
                <c:formatCode>General</c:formatCode>
                <c:ptCount val="29"/>
                <c:pt idx="0">
                  <c:v>0</c:v>
                </c:pt>
                <c:pt idx="1">
                  <c:v>115.38461538461539</c:v>
                </c:pt>
                <c:pt idx="2">
                  <c:v>230.76923076923077</c:v>
                </c:pt>
                <c:pt idx="3">
                  <c:v>346.15384615384619</c:v>
                </c:pt>
                <c:pt idx="4">
                  <c:v>461.53846153846155</c:v>
                </c:pt>
                <c:pt idx="5">
                  <c:v>576.92307692307691</c:v>
                </c:pt>
                <c:pt idx="6">
                  <c:v>692.30769230769238</c:v>
                </c:pt>
                <c:pt idx="7">
                  <c:v>807.69230769230774</c:v>
                </c:pt>
                <c:pt idx="8">
                  <c:v>809.13090864706362</c:v>
                </c:pt>
                <c:pt idx="9">
                  <c:v>923.07692307692309</c:v>
                </c:pt>
                <c:pt idx="10">
                  <c:v>1038.4615384615386</c:v>
                </c:pt>
                <c:pt idx="11">
                  <c:v>1153.8461538461538</c:v>
                </c:pt>
                <c:pt idx="12">
                  <c:v>1269.2307692307693</c:v>
                </c:pt>
                <c:pt idx="13">
                  <c:v>1384.6153846153848</c:v>
                </c:pt>
                <c:pt idx="14">
                  <c:v>1500</c:v>
                </c:pt>
                <c:pt idx="15">
                  <c:v>1615.3846153846155</c:v>
                </c:pt>
                <c:pt idx="16">
                  <c:v>1730.7692307692307</c:v>
                </c:pt>
                <c:pt idx="17">
                  <c:v>1846.1538461538462</c:v>
                </c:pt>
                <c:pt idx="18">
                  <c:v>1961.5384615384617</c:v>
                </c:pt>
                <c:pt idx="19">
                  <c:v>2076.9230769230771</c:v>
                </c:pt>
                <c:pt idx="20">
                  <c:v>2192.3076923076924</c:v>
                </c:pt>
                <c:pt idx="21">
                  <c:v>2307.6923076923076</c:v>
                </c:pt>
                <c:pt idx="22">
                  <c:v>2350</c:v>
                </c:pt>
                <c:pt idx="23">
                  <c:v>2423.0769230769233</c:v>
                </c:pt>
                <c:pt idx="24">
                  <c:v>2538.4615384615386</c:v>
                </c:pt>
                <c:pt idx="25">
                  <c:v>2653.8461538461538</c:v>
                </c:pt>
                <c:pt idx="26">
                  <c:v>2769.2307692307695</c:v>
                </c:pt>
                <c:pt idx="27">
                  <c:v>2884.6153846153848</c:v>
                </c:pt>
                <c:pt idx="28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A-4594-A28A-AD74128C8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365904"/>
        <c:axId val="514023728"/>
      </c:scatterChart>
      <c:valAx>
        <c:axId val="57736590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4023728"/>
        <c:crosses val="autoZero"/>
        <c:crossBetween val="midCat"/>
      </c:valAx>
      <c:valAx>
        <c:axId val="514023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7736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542925</xdr:colOff>
          <xdr:row>7</xdr:row>
          <xdr:rowOff>123825</xdr:rowOff>
        </xdr:from>
        <xdr:to>
          <xdr:col>24</xdr:col>
          <xdr:colOff>247650</xdr:colOff>
          <xdr:row>10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3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583406</xdr:colOff>
      <xdr:row>24</xdr:row>
      <xdr:rowOff>166688</xdr:rowOff>
    </xdr:from>
    <xdr:to>
      <xdr:col>20</xdr:col>
      <xdr:colOff>285749</xdr:colOff>
      <xdr:row>65</xdr:row>
      <xdr:rowOff>35719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938D6-4379-4A29-A46E-C5258A9EBA11}">
  <sheetPr codeName="Лист1"/>
  <dimension ref="B2:AH55"/>
  <sheetViews>
    <sheetView tabSelected="1" zoomScale="70" zoomScaleNormal="70" workbookViewId="0">
      <selection activeCell="AT10" sqref="AT10"/>
    </sheetView>
  </sheetViews>
  <sheetFormatPr defaultRowHeight="15" x14ac:dyDescent="0.25"/>
  <cols>
    <col min="11" max="11" width="10.85546875" customWidth="1"/>
    <col min="14" max="14" width="10.42578125" customWidth="1"/>
  </cols>
  <sheetData>
    <row r="2" spans="2:26" x14ac:dyDescent="0.25">
      <c r="B2" t="s">
        <v>20</v>
      </c>
    </row>
    <row r="4" spans="2:26" x14ac:dyDescent="0.25">
      <c r="B4" s="18" t="s">
        <v>0</v>
      </c>
      <c r="C4" s="12"/>
      <c r="D4" s="14"/>
      <c r="E4" s="12"/>
      <c r="F4" s="12"/>
      <c r="I4" s="18" t="s">
        <v>38</v>
      </c>
      <c r="J4" s="12"/>
      <c r="K4" s="12"/>
      <c r="Q4" s="18" t="s">
        <v>39</v>
      </c>
    </row>
    <row r="5" spans="2:26" ht="31.5" x14ac:dyDescent="0.35">
      <c r="B5" s="1" t="s">
        <v>1</v>
      </c>
      <c r="C5" s="2">
        <v>0.87</v>
      </c>
      <c r="D5" s="3"/>
      <c r="E5" s="4">
        <f>go*1000</f>
        <v>870</v>
      </c>
      <c r="F5" s="3" t="s">
        <v>2</v>
      </c>
      <c r="I5" s="9" t="s">
        <v>40</v>
      </c>
      <c r="J5" s="19">
        <v>3000</v>
      </c>
      <c r="K5" s="20" t="s">
        <v>24</v>
      </c>
      <c r="M5" s="8" t="s">
        <v>41</v>
      </c>
      <c r="N5" s="2">
        <v>1</v>
      </c>
      <c r="Q5" s="8" t="s">
        <v>42</v>
      </c>
      <c r="R5" s="8" t="s">
        <v>43</v>
      </c>
      <c r="S5" s="8" t="s">
        <v>44</v>
      </c>
    </row>
    <row r="6" spans="2:26" ht="18.75" x14ac:dyDescent="0.35">
      <c r="B6" s="3" t="s">
        <v>3</v>
      </c>
      <c r="C6" s="2">
        <v>1</v>
      </c>
      <c r="D6" s="3"/>
      <c r="E6" s="4">
        <f>gw*1000</f>
        <v>1000</v>
      </c>
      <c r="F6" s="3" t="s">
        <v>2</v>
      </c>
      <c r="I6" s="9" t="s">
        <v>51</v>
      </c>
      <c r="J6" s="19">
        <v>2500</v>
      </c>
      <c r="K6" s="20" t="s">
        <v>37</v>
      </c>
      <c r="M6" s="8" t="s">
        <v>45</v>
      </c>
      <c r="N6" s="2">
        <v>0</v>
      </c>
      <c r="Q6" s="2">
        <v>1000</v>
      </c>
      <c r="R6" s="2">
        <v>0</v>
      </c>
      <c r="S6" s="2">
        <v>25</v>
      </c>
    </row>
    <row r="7" spans="2:26" ht="18.75" x14ac:dyDescent="0.35">
      <c r="B7" s="3" t="s">
        <v>4</v>
      </c>
      <c r="C7" s="2">
        <v>0.8</v>
      </c>
      <c r="D7" s="3"/>
      <c r="E7" s="4">
        <f>gg*1.22</f>
        <v>0.97599999999999998</v>
      </c>
      <c r="F7" s="3" t="s">
        <v>2</v>
      </c>
      <c r="I7" s="9" t="s">
        <v>46</v>
      </c>
      <c r="J7" s="19">
        <v>140</v>
      </c>
      <c r="K7" s="20" t="s">
        <v>25</v>
      </c>
      <c r="Q7" s="2">
        <v>2000</v>
      </c>
      <c r="R7" s="2">
        <v>3</v>
      </c>
      <c r="S7" s="2">
        <v>55</v>
      </c>
    </row>
    <row r="8" spans="2:26" ht="18.75" x14ac:dyDescent="0.35">
      <c r="B8" s="5" t="s">
        <v>5</v>
      </c>
      <c r="C8" s="2">
        <v>80</v>
      </c>
      <c r="D8" s="3" t="s">
        <v>6</v>
      </c>
      <c r="E8" s="6">
        <f>Rsb/go</f>
        <v>91.954022988505741</v>
      </c>
      <c r="F8" s="3" t="s">
        <v>7</v>
      </c>
      <c r="I8" s="9" t="s">
        <v>47</v>
      </c>
      <c r="J8" s="19">
        <v>65</v>
      </c>
      <c r="K8" s="20" t="s">
        <v>25</v>
      </c>
      <c r="N8" s="10"/>
      <c r="Q8" s="2">
        <v>2450</v>
      </c>
      <c r="R8" s="2">
        <v>2</v>
      </c>
      <c r="S8" s="2">
        <v>60</v>
      </c>
    </row>
    <row r="9" spans="2:26" ht="18.75" x14ac:dyDescent="0.35">
      <c r="B9" s="5" t="s">
        <v>8</v>
      </c>
      <c r="C9" s="2">
        <v>80</v>
      </c>
      <c r="D9" s="3" t="s">
        <v>6</v>
      </c>
      <c r="E9" s="6">
        <f>Rp/go</f>
        <v>91.954022988505741</v>
      </c>
      <c r="F9" s="3" t="s">
        <v>7</v>
      </c>
      <c r="I9" s="9" t="s">
        <v>48</v>
      </c>
      <c r="J9" s="19">
        <v>12</v>
      </c>
      <c r="K9" s="20" t="s">
        <v>25</v>
      </c>
      <c r="N9" s="10"/>
      <c r="Q9" s="2"/>
      <c r="R9" s="2"/>
      <c r="S9" s="2"/>
    </row>
    <row r="10" spans="2:26" ht="18" x14ac:dyDescent="0.35">
      <c r="B10" s="3" t="s">
        <v>9</v>
      </c>
      <c r="C10" s="2">
        <v>150</v>
      </c>
      <c r="D10" s="3" t="s">
        <v>10</v>
      </c>
      <c r="E10" s="6">
        <f>Pb_cal*1.01325</f>
        <v>151.98750000000001</v>
      </c>
      <c r="F10" s="3" t="s">
        <v>11</v>
      </c>
      <c r="I10" s="9" t="s">
        <v>52</v>
      </c>
      <c r="J10" s="19">
        <v>10</v>
      </c>
      <c r="K10" s="20" t="s">
        <v>25</v>
      </c>
      <c r="N10" s="10"/>
      <c r="Q10" s="2"/>
      <c r="R10" s="2"/>
      <c r="S10" s="2"/>
    </row>
    <row r="11" spans="2:26" ht="18" x14ac:dyDescent="0.35">
      <c r="B11" s="3" t="s">
        <v>12</v>
      </c>
      <c r="C11" s="2">
        <v>80</v>
      </c>
      <c r="D11" s="3" t="s">
        <v>13</v>
      </c>
      <c r="E11" s="6">
        <f>Tres*9/5+32</f>
        <v>176</v>
      </c>
      <c r="F11" s="3" t="s">
        <v>14</v>
      </c>
    </row>
    <row r="12" spans="2:26" ht="18.75" x14ac:dyDescent="0.35">
      <c r="B12" s="5" t="s">
        <v>15</v>
      </c>
      <c r="C12" s="2">
        <v>1.2</v>
      </c>
      <c r="D12" s="3" t="s">
        <v>6</v>
      </c>
    </row>
    <row r="13" spans="2:26" ht="18" x14ac:dyDescent="0.35">
      <c r="B13" s="7" t="s">
        <v>18</v>
      </c>
      <c r="C13" s="2">
        <v>1</v>
      </c>
      <c r="D13" s="3" t="s">
        <v>19</v>
      </c>
      <c r="V13">
        <v>0.87</v>
      </c>
      <c r="W13">
        <v>0.87</v>
      </c>
      <c r="X13">
        <v>0.87</v>
      </c>
      <c r="Y13">
        <v>0.87</v>
      </c>
      <c r="Z13">
        <v>0.87</v>
      </c>
    </row>
    <row r="14" spans="2:26" x14ac:dyDescent="0.25">
      <c r="B14" s="21" t="s">
        <v>21</v>
      </c>
      <c r="C14" s="12"/>
      <c r="D14" s="12"/>
      <c r="V14">
        <v>0.87</v>
      </c>
      <c r="W14">
        <v>0.87</v>
      </c>
      <c r="X14">
        <v>0.87</v>
      </c>
      <c r="Y14">
        <v>0.87</v>
      </c>
      <c r="Z14">
        <v>0.87</v>
      </c>
    </row>
    <row r="15" spans="2:26" ht="15.75" x14ac:dyDescent="0.3">
      <c r="B15" s="8" t="s">
        <v>22</v>
      </c>
      <c r="C15" s="2">
        <v>45</v>
      </c>
      <c r="D15" s="9" t="s">
        <v>23</v>
      </c>
      <c r="V15">
        <v>0.87</v>
      </c>
      <c r="W15">
        <v>0.87</v>
      </c>
      <c r="X15">
        <v>0.87</v>
      </c>
      <c r="Y15">
        <v>0.87</v>
      </c>
      <c r="Z15">
        <v>0.87</v>
      </c>
    </row>
    <row r="16" spans="2:26" ht="15.75" x14ac:dyDescent="0.3">
      <c r="B16" s="5" t="s">
        <v>16</v>
      </c>
      <c r="C16" s="2">
        <v>0</v>
      </c>
      <c r="D16" s="3" t="s">
        <v>17</v>
      </c>
      <c r="V16">
        <v>0.87</v>
      </c>
      <c r="W16">
        <v>0.87</v>
      </c>
      <c r="X16">
        <v>0.87</v>
      </c>
      <c r="Y16">
        <v>0.87</v>
      </c>
      <c r="Z16">
        <v>0.87</v>
      </c>
    </row>
    <row r="17" spans="2:34" x14ac:dyDescent="0.25">
      <c r="B17" s="18" t="s">
        <v>27</v>
      </c>
      <c r="C17" s="12"/>
      <c r="D17" s="12"/>
      <c r="I17" s="18" t="s">
        <v>57</v>
      </c>
      <c r="J17" s="12"/>
      <c r="K17" s="12"/>
      <c r="N17" s="18" t="s">
        <v>58</v>
      </c>
      <c r="O17" s="12"/>
      <c r="P17" s="12"/>
      <c r="R17" s="24" t="s">
        <v>65</v>
      </c>
      <c r="V17">
        <v>0.87</v>
      </c>
      <c r="W17">
        <v>0.87</v>
      </c>
      <c r="X17">
        <v>0.87</v>
      </c>
      <c r="Y17">
        <v>0.87</v>
      </c>
      <c r="Z17">
        <v>0.87</v>
      </c>
      <c r="AG17" t="s">
        <v>66</v>
      </c>
      <c r="AH17">
        <v>809.13090864706362</v>
      </c>
    </row>
    <row r="18" spans="2:34" ht="18" x14ac:dyDescent="0.35">
      <c r="B18" s="8" t="s">
        <v>49</v>
      </c>
      <c r="C18" s="2">
        <v>20</v>
      </c>
      <c r="D18" s="3" t="s">
        <v>10</v>
      </c>
      <c r="I18" s="8" t="s">
        <v>53</v>
      </c>
      <c r="J18" s="2">
        <v>1</v>
      </c>
      <c r="K18" s="3" t="s">
        <v>54</v>
      </c>
      <c r="N18" s="8" t="s">
        <v>59</v>
      </c>
      <c r="O18" s="2">
        <v>150</v>
      </c>
      <c r="P18" s="3" t="s">
        <v>55</v>
      </c>
      <c r="R18" s="3" t="s">
        <v>64</v>
      </c>
      <c r="S18" s="2">
        <v>1.1000000000000001</v>
      </c>
      <c r="V18">
        <v>0.87</v>
      </c>
      <c r="W18">
        <v>0.87</v>
      </c>
      <c r="X18">
        <v>0.87</v>
      </c>
      <c r="Y18">
        <v>0.87</v>
      </c>
      <c r="Z18">
        <v>0.87</v>
      </c>
      <c r="AG18" t="s">
        <v>67</v>
      </c>
      <c r="AH18">
        <v>1514.7421280066392</v>
      </c>
    </row>
    <row r="19" spans="2:34" ht="18" x14ac:dyDescent="0.35">
      <c r="B19" s="8" t="s">
        <v>50</v>
      </c>
      <c r="C19" s="2">
        <v>80</v>
      </c>
      <c r="D19" s="9" t="s">
        <v>10</v>
      </c>
      <c r="I19" s="8" t="s">
        <v>56</v>
      </c>
      <c r="J19" s="2">
        <v>250</v>
      </c>
      <c r="K19" s="3" t="s">
        <v>55</v>
      </c>
      <c r="N19" t="s">
        <v>68</v>
      </c>
      <c r="O19">
        <v>2</v>
      </c>
      <c r="V19">
        <v>0.87</v>
      </c>
      <c r="W19">
        <v>0.87</v>
      </c>
      <c r="X19">
        <v>0.87</v>
      </c>
      <c r="Y19">
        <v>0.87</v>
      </c>
      <c r="Z19">
        <v>0.87</v>
      </c>
    </row>
    <row r="20" spans="2:34" ht="18" x14ac:dyDescent="0.35">
      <c r="B20" s="8" t="s">
        <v>26</v>
      </c>
      <c r="C20" s="11">
        <v>120</v>
      </c>
      <c r="D20" s="9" t="s">
        <v>10</v>
      </c>
      <c r="V20">
        <v>0.87</v>
      </c>
      <c r="W20">
        <v>0.87</v>
      </c>
      <c r="X20">
        <v>0.87</v>
      </c>
      <c r="Y20">
        <v>0.87</v>
      </c>
      <c r="Z20">
        <v>0.87</v>
      </c>
    </row>
    <row r="21" spans="2:34" ht="18" x14ac:dyDescent="0.35">
      <c r="B21" s="22" t="s">
        <v>62</v>
      </c>
      <c r="C21" s="23">
        <v>4000</v>
      </c>
      <c r="D21" s="9" t="s">
        <v>63</v>
      </c>
      <c r="V21">
        <v>0.87</v>
      </c>
      <c r="W21">
        <v>0.87</v>
      </c>
      <c r="X21">
        <v>0.87</v>
      </c>
      <c r="Y21">
        <v>0.87</v>
      </c>
      <c r="Z21">
        <v>0.87</v>
      </c>
    </row>
    <row r="22" spans="2:34" x14ac:dyDescent="0.25">
      <c r="V22">
        <v>0.87</v>
      </c>
      <c r="W22">
        <v>0.87</v>
      </c>
      <c r="X22">
        <v>0.87</v>
      </c>
      <c r="Y22">
        <v>0.87</v>
      </c>
      <c r="Z22">
        <v>0.87</v>
      </c>
    </row>
    <row r="26" spans="2:34" x14ac:dyDescent="0.25">
      <c r="B26" s="12" t="s">
        <v>28</v>
      </c>
      <c r="C26" s="12"/>
      <c r="E26" t="s">
        <v>29</v>
      </c>
      <c r="G26" s="10"/>
      <c r="H26" t="s">
        <v>30</v>
      </c>
      <c r="I26" s="10"/>
      <c r="J26" t="s">
        <v>31</v>
      </c>
      <c r="V26" t="s">
        <v>60</v>
      </c>
      <c r="W26" t="s">
        <v>61</v>
      </c>
      <c r="AB26" t="s">
        <v>60</v>
      </c>
      <c r="AC26" t="s">
        <v>61</v>
      </c>
      <c r="AE26" t="s">
        <v>60</v>
      </c>
      <c r="AF26" t="s">
        <v>61</v>
      </c>
    </row>
    <row r="27" spans="2:34" ht="18" x14ac:dyDescent="0.35">
      <c r="B27" s="13" t="s">
        <v>32</v>
      </c>
      <c r="C27" s="13" t="s">
        <v>33</v>
      </c>
      <c r="E27" s="13" t="s">
        <v>33</v>
      </c>
      <c r="F27" s="13" t="s">
        <v>34</v>
      </c>
      <c r="G27" s="10"/>
      <c r="H27" s="13" t="s">
        <v>32</v>
      </c>
      <c r="I27" s="14" t="s">
        <v>35</v>
      </c>
      <c r="J27" s="13" t="s">
        <v>32</v>
      </c>
      <c r="K27" s="14" t="s">
        <v>36</v>
      </c>
      <c r="V27">
        <v>0</v>
      </c>
      <c r="W27">
        <v>19.955853884826176</v>
      </c>
      <c r="Y27">
        <v>0</v>
      </c>
      <c r="Z27">
        <v>80</v>
      </c>
      <c r="AB27">
        <v>0</v>
      </c>
      <c r="AC27">
        <v>20.039361193265457</v>
      </c>
      <c r="AE27">
        <v>0</v>
      </c>
      <c r="AF27">
        <v>19.950178020904961</v>
      </c>
    </row>
    <row r="28" spans="2:34" x14ac:dyDescent="0.25">
      <c r="B28" s="13" t="s">
        <v>24</v>
      </c>
      <c r="C28" s="13" t="s">
        <v>24</v>
      </c>
      <c r="E28" s="13" t="s">
        <v>24</v>
      </c>
      <c r="F28" s="13" t="s">
        <v>37</v>
      </c>
      <c r="G28" s="10"/>
      <c r="H28" s="13" t="s">
        <v>24</v>
      </c>
      <c r="I28" s="13" t="s">
        <v>25</v>
      </c>
      <c r="J28" s="13" t="s">
        <v>24</v>
      </c>
      <c r="K28" s="13" t="s">
        <v>25</v>
      </c>
      <c r="V28">
        <v>111.11111111111111</v>
      </c>
      <c r="W28">
        <v>24.341277165304589</v>
      </c>
      <c r="Y28">
        <v>83.928571428571431</v>
      </c>
      <c r="Z28">
        <v>80.740646862358219</v>
      </c>
      <c r="AB28">
        <v>111.11111111111111</v>
      </c>
      <c r="AC28">
        <v>29.164858857665696</v>
      </c>
      <c r="AE28">
        <v>115.38461538461539</v>
      </c>
      <c r="AF28">
        <v>22.403419694801105</v>
      </c>
    </row>
    <row r="29" spans="2:34" x14ac:dyDescent="0.25">
      <c r="B29" s="15">
        <v>0</v>
      </c>
      <c r="C29" s="15">
        <v>0</v>
      </c>
      <c r="E29" s="16">
        <v>0</v>
      </c>
      <c r="F29" s="16">
        <v>20</v>
      </c>
      <c r="G29" s="10"/>
      <c r="H29" s="16">
        <v>0</v>
      </c>
      <c r="I29" s="17">
        <v>150</v>
      </c>
      <c r="J29" s="16">
        <v>0</v>
      </c>
      <c r="K29" s="17">
        <v>72</v>
      </c>
      <c r="V29">
        <v>222.22222222222223</v>
      </c>
      <c r="W29">
        <v>29.117365153409779</v>
      </c>
      <c r="Y29">
        <v>167.85714285714286</v>
      </c>
      <c r="Z29">
        <v>81.484574225859973</v>
      </c>
      <c r="AB29">
        <v>222.22222222222223</v>
      </c>
      <c r="AC29">
        <v>38.24584449167569</v>
      </c>
      <c r="AE29">
        <v>230.76923076923077</v>
      </c>
      <c r="AF29">
        <v>25.047227733262631</v>
      </c>
    </row>
    <row r="30" spans="2:34" x14ac:dyDescent="0.25">
      <c r="B30" s="15">
        <v>1000</v>
      </c>
      <c r="C30" s="15">
        <v>1000</v>
      </c>
      <c r="E30" s="16">
        <v>1500</v>
      </c>
      <c r="F30" s="16">
        <v>35</v>
      </c>
      <c r="G30" s="10"/>
      <c r="H30" s="16">
        <v>500</v>
      </c>
      <c r="I30" s="17">
        <v>125</v>
      </c>
      <c r="J30" s="16">
        <v>500</v>
      </c>
      <c r="K30" s="17">
        <v>60</v>
      </c>
      <c r="V30">
        <v>333.33333333333337</v>
      </c>
      <c r="W30">
        <v>34.265009164226846</v>
      </c>
      <c r="Y30">
        <v>251.78571428571428</v>
      </c>
      <c r="Z30">
        <v>82.231774039021317</v>
      </c>
      <c r="AB30">
        <v>333.33333333333337</v>
      </c>
      <c r="AC30">
        <v>47.276742827585466</v>
      </c>
      <c r="AE30">
        <v>346.15384615384619</v>
      </c>
      <c r="AF30">
        <v>27.884182874133749</v>
      </c>
    </row>
    <row r="31" spans="2:34" x14ac:dyDescent="0.25">
      <c r="B31" s="15">
        <v>1100</v>
      </c>
      <c r="C31" s="15">
        <v>1096</v>
      </c>
      <c r="E31" s="16">
        <v>2500</v>
      </c>
      <c r="F31" s="16">
        <v>90</v>
      </c>
      <c r="G31" s="10"/>
      <c r="H31" s="16">
        <v>3500</v>
      </c>
      <c r="I31" s="17">
        <v>125</v>
      </c>
      <c r="J31" s="16">
        <v>2350</v>
      </c>
      <c r="K31" s="17">
        <v>60</v>
      </c>
      <c r="V31">
        <v>444.44444444444446</v>
      </c>
      <c r="W31">
        <v>39.759289213636912</v>
      </c>
      <c r="Y31">
        <v>335.71428571428572</v>
      </c>
      <c r="Z31">
        <v>82.982238178203758</v>
      </c>
      <c r="AB31">
        <v>444.44444444444446</v>
      </c>
      <c r="AC31">
        <v>56.252499398415701</v>
      </c>
      <c r="AE31">
        <v>461.53846153846155</v>
      </c>
      <c r="AF31">
        <v>30.874928284897607</v>
      </c>
    </row>
    <row r="32" spans="2:34" x14ac:dyDescent="0.25">
      <c r="B32" s="15">
        <v>1200</v>
      </c>
      <c r="C32" s="15">
        <v>1191</v>
      </c>
      <c r="E32" s="16"/>
      <c r="F32" s="16"/>
      <c r="G32" s="10"/>
      <c r="H32" s="16"/>
      <c r="I32" s="16"/>
      <c r="J32" s="16"/>
      <c r="K32" s="16"/>
      <c r="V32">
        <v>555.55555555555554</v>
      </c>
      <c r="W32">
        <v>45.544384549045674</v>
      </c>
      <c r="Y32">
        <v>419.64285714285717</v>
      </c>
      <c r="Z32">
        <v>83.735958445521476</v>
      </c>
      <c r="AB32">
        <v>555.55555555555554</v>
      </c>
      <c r="AC32">
        <v>65.167185095048495</v>
      </c>
      <c r="AE32">
        <v>576.92307692307691</v>
      </c>
      <c r="AF32">
        <v>33.534395730940929</v>
      </c>
    </row>
    <row r="33" spans="2:32" x14ac:dyDescent="0.25">
      <c r="B33" s="15">
        <v>1300</v>
      </c>
      <c r="C33" s="15">
        <v>1284</v>
      </c>
      <c r="E33" s="16"/>
      <c r="F33" s="16"/>
      <c r="G33" s="10"/>
      <c r="H33" s="16"/>
      <c r="I33" s="16"/>
      <c r="J33" s="16"/>
      <c r="K33" s="16"/>
      <c r="V33">
        <v>666.66666666666674</v>
      </c>
      <c r="W33">
        <v>51.591236703762036</v>
      </c>
      <c r="Y33">
        <v>503.57142857142856</v>
      </c>
      <c r="Z33">
        <v>84.492926566751194</v>
      </c>
      <c r="AB33">
        <v>666.66666666666674</v>
      </c>
      <c r="AC33">
        <v>74.019254540249406</v>
      </c>
      <c r="AE33">
        <v>692.30769230769238</v>
      </c>
      <c r="AF33">
        <v>36.094815316321785</v>
      </c>
    </row>
    <row r="34" spans="2:32" x14ac:dyDescent="0.25">
      <c r="B34" s="15">
        <v>1400</v>
      </c>
      <c r="C34" s="15">
        <v>1375</v>
      </c>
      <c r="E34" s="16"/>
      <c r="F34" s="16"/>
      <c r="G34" s="10"/>
      <c r="H34" s="16"/>
      <c r="I34" s="16"/>
      <c r="J34" s="16"/>
      <c r="K34" s="16"/>
      <c r="V34">
        <v>777.77777777777783</v>
      </c>
      <c r="W34">
        <v>57.899298735134423</v>
      </c>
      <c r="Y34">
        <v>587.5</v>
      </c>
      <c r="Z34">
        <v>85.253728508964087</v>
      </c>
      <c r="AB34">
        <v>777.77777777777783</v>
      </c>
      <c r="AC34">
        <v>82.808016776181191</v>
      </c>
      <c r="AE34">
        <v>807.69230769230774</v>
      </c>
      <c r="AF34">
        <v>38.785682198684604</v>
      </c>
    </row>
    <row r="35" spans="2:32" x14ac:dyDescent="0.25">
      <c r="B35" s="15">
        <v>1500</v>
      </c>
      <c r="C35" s="15">
        <v>1464</v>
      </c>
      <c r="E35" s="16"/>
      <c r="F35" s="16"/>
      <c r="G35" s="10"/>
      <c r="H35" s="16"/>
      <c r="I35" s="16"/>
      <c r="J35" s="16"/>
      <c r="K35" s="16"/>
      <c r="V35">
        <v>888.88888888888891</v>
      </c>
      <c r="W35">
        <v>64.444807444657329</v>
      </c>
      <c r="Y35">
        <v>671.42857142857144</v>
      </c>
      <c r="Z35">
        <v>86.017926563886434</v>
      </c>
      <c r="AB35">
        <v>888.88888888888891</v>
      </c>
      <c r="AC35">
        <v>91.533229099890789</v>
      </c>
      <c r="AE35">
        <v>809.13090864706362</v>
      </c>
      <c r="AF35">
        <v>38.820011759601904</v>
      </c>
    </row>
    <row r="36" spans="2:32" x14ac:dyDescent="0.25">
      <c r="B36" s="15">
        <v>1600</v>
      </c>
      <c r="C36" s="15">
        <v>1551</v>
      </c>
      <c r="E36" s="16"/>
      <c r="F36" s="16"/>
      <c r="G36" s="10"/>
      <c r="H36" s="16"/>
      <c r="I36" s="16"/>
      <c r="J36" s="16"/>
      <c r="K36" s="16"/>
      <c r="V36">
        <v>1000</v>
      </c>
      <c r="W36">
        <v>71.311809492105652</v>
      </c>
      <c r="Y36">
        <v>755.35714285714289</v>
      </c>
      <c r="Z36">
        <v>86.785341701436778</v>
      </c>
      <c r="AB36">
        <v>1000</v>
      </c>
      <c r="AC36">
        <v>100.09124282249054</v>
      </c>
      <c r="AE36">
        <v>923.07692307692309</v>
      </c>
      <c r="AF36">
        <v>48.009195197189584</v>
      </c>
    </row>
    <row r="37" spans="2:32" x14ac:dyDescent="0.25">
      <c r="B37" s="15">
        <v>1700</v>
      </c>
      <c r="C37" s="15">
        <v>1636</v>
      </c>
      <c r="E37" s="16"/>
      <c r="F37" s="16"/>
      <c r="G37" s="10"/>
      <c r="H37" s="16"/>
      <c r="I37" s="16"/>
      <c r="J37" s="16"/>
      <c r="K37" s="16"/>
      <c r="V37">
        <v>1111.1111111111111</v>
      </c>
      <c r="W37">
        <v>78.34868590130236</v>
      </c>
      <c r="Y37">
        <v>839.28571428571433</v>
      </c>
      <c r="Z37">
        <v>87.55596519241</v>
      </c>
      <c r="AB37">
        <v>1111.1111111111111</v>
      </c>
      <c r="AC37">
        <v>108.28687802211664</v>
      </c>
      <c r="AE37">
        <v>1038.4615384615386</v>
      </c>
      <c r="AF37">
        <v>57.048778011897191</v>
      </c>
    </row>
    <row r="38" spans="2:32" x14ac:dyDescent="0.25">
      <c r="B38" s="15">
        <v>1800</v>
      </c>
      <c r="C38" s="15">
        <v>1719</v>
      </c>
      <c r="E38" s="16"/>
      <c r="F38" s="16"/>
      <c r="G38" s="10"/>
      <c r="H38" s="16"/>
      <c r="I38" s="16"/>
      <c r="J38" s="16"/>
      <c r="K38" s="16"/>
      <c r="V38">
        <v>1222.2222222222222</v>
      </c>
      <c r="W38">
        <v>85.414768123325999</v>
      </c>
      <c r="Y38">
        <v>923.21428571428578</v>
      </c>
      <c r="Z38">
        <v>88.326904509661119</v>
      </c>
      <c r="AB38">
        <v>1222.2222222222222</v>
      </c>
      <c r="AC38">
        <v>116.27496736589345</v>
      </c>
      <c r="AE38">
        <v>1153.8461538461538</v>
      </c>
      <c r="AF38">
        <v>65.77630646657434</v>
      </c>
    </row>
    <row r="39" spans="2:32" x14ac:dyDescent="0.25">
      <c r="B39" s="15">
        <v>1900</v>
      </c>
      <c r="C39" s="15">
        <v>1800</v>
      </c>
      <c r="E39" s="16"/>
      <c r="F39" s="16"/>
      <c r="G39" s="10"/>
      <c r="H39" s="16"/>
      <c r="I39" s="16"/>
      <c r="J39" s="16"/>
      <c r="K39" s="16"/>
      <c r="V39">
        <v>1333.3333333333335</v>
      </c>
      <c r="W39">
        <v>92.433728884642647</v>
      </c>
      <c r="Y39">
        <v>1007.1428571428571</v>
      </c>
      <c r="Z39">
        <v>89.091378723997423</v>
      </c>
      <c r="AB39">
        <v>1333.3333333333335</v>
      </c>
      <c r="AC39">
        <v>124.02211498914127</v>
      </c>
      <c r="AE39">
        <v>1269.2307692307693</v>
      </c>
      <c r="AF39">
        <v>74.265079846070691</v>
      </c>
    </row>
    <row r="40" spans="2:32" x14ac:dyDescent="0.25">
      <c r="B40" s="15">
        <v>2000</v>
      </c>
      <c r="C40" s="15">
        <v>1879</v>
      </c>
      <c r="E40" s="16"/>
      <c r="F40" s="16"/>
      <c r="G40" s="10"/>
      <c r="H40" s="16"/>
      <c r="I40" s="16"/>
      <c r="J40" s="16"/>
      <c r="K40" s="16"/>
      <c r="V40">
        <v>1444.4444444444446</v>
      </c>
      <c r="W40">
        <v>99.399279991362434</v>
      </c>
      <c r="Y40">
        <v>1091.0714285714287</v>
      </c>
      <c r="Z40">
        <v>89.836728893276131</v>
      </c>
      <c r="AB40">
        <v>1444.4444444444446</v>
      </c>
      <c r="AC40">
        <v>131.53261904655349</v>
      </c>
      <c r="AE40">
        <v>1384.6153846153848</v>
      </c>
      <c r="AF40">
        <v>82.491405648416347</v>
      </c>
    </row>
    <row r="41" spans="2:32" x14ac:dyDescent="0.25">
      <c r="B41" s="15">
        <v>2100</v>
      </c>
      <c r="C41" s="15">
        <v>1956</v>
      </c>
      <c r="E41" s="16"/>
      <c r="F41" s="16"/>
      <c r="G41" s="10"/>
      <c r="H41" s="16"/>
      <c r="I41" s="16"/>
      <c r="J41" s="16"/>
      <c r="K41" s="16"/>
      <c r="V41">
        <v>1555.5555555555557</v>
      </c>
      <c r="W41">
        <v>106.37591659254653</v>
      </c>
      <c r="Y41">
        <v>1175</v>
      </c>
      <c r="Z41">
        <v>90.574838054294119</v>
      </c>
      <c r="AB41">
        <v>1555.5555555555557</v>
      </c>
      <c r="AC41">
        <v>138.80825833155231</v>
      </c>
      <c r="AE41">
        <v>1500</v>
      </c>
      <c r="AF41">
        <v>90.459160622551735</v>
      </c>
    </row>
    <row r="42" spans="2:32" x14ac:dyDescent="0.25">
      <c r="B42" s="15">
        <v>2200</v>
      </c>
      <c r="C42" s="15">
        <v>2031</v>
      </c>
      <c r="E42" s="16"/>
      <c r="F42" s="16"/>
      <c r="G42" s="10"/>
      <c r="H42" s="16"/>
      <c r="I42" s="16"/>
      <c r="J42" s="16"/>
      <c r="K42" s="16"/>
      <c r="V42">
        <v>1666.6666666666667</v>
      </c>
      <c r="W42">
        <v>113.33839208835592</v>
      </c>
      <c r="Y42">
        <v>1258.9285714285716</v>
      </c>
      <c r="Z42">
        <v>91.303351733265885</v>
      </c>
      <c r="AB42">
        <v>1666.6666666666667</v>
      </c>
      <c r="AC42">
        <v>145.84514252736093</v>
      </c>
      <c r="AE42">
        <v>1615.3846153846155</v>
      </c>
      <c r="AF42">
        <v>98.155123079934128</v>
      </c>
    </row>
    <row r="43" spans="2:32" x14ac:dyDescent="0.25">
      <c r="B43" s="15">
        <v>2300</v>
      </c>
      <c r="C43" s="15">
        <v>2104</v>
      </c>
      <c r="E43" s="16"/>
      <c r="F43" s="16"/>
      <c r="G43" s="10"/>
      <c r="H43" s="16"/>
      <c r="I43" s="16"/>
      <c r="J43" s="16"/>
      <c r="K43" s="16"/>
      <c r="V43">
        <v>1777.7777777777778</v>
      </c>
      <c r="W43">
        <v>120.23093998347257</v>
      </c>
      <c r="Y43">
        <v>1342.8571428571429</v>
      </c>
      <c r="Z43">
        <v>92.021704759023152</v>
      </c>
      <c r="AB43">
        <v>1777.7777777777778</v>
      </c>
      <c r="AC43">
        <v>152.64407982251612</v>
      </c>
      <c r="AE43">
        <v>1730.7692307692307</v>
      </c>
      <c r="AF43">
        <v>105.56286710093035</v>
      </c>
    </row>
    <row r="44" spans="2:32" x14ac:dyDescent="0.25">
      <c r="B44" s="15">
        <v>2400</v>
      </c>
      <c r="C44" s="15">
        <v>2175</v>
      </c>
      <c r="E44" s="16"/>
      <c r="F44" s="16"/>
      <c r="G44" s="10"/>
      <c r="H44" s="16"/>
      <c r="I44" s="16"/>
      <c r="J44" s="16"/>
      <c r="K44" s="16"/>
      <c r="V44">
        <v>1888.8888888888889</v>
      </c>
      <c r="W44">
        <v>127.03325580762969</v>
      </c>
      <c r="Y44">
        <v>1426.7857142857142</v>
      </c>
      <c r="Z44">
        <v>92.729769964856132</v>
      </c>
      <c r="AB44">
        <v>1888.8888888888889</v>
      </c>
      <c r="AC44">
        <v>159.21095574070699</v>
      </c>
      <c r="AE44">
        <v>1846.1538461538462</v>
      </c>
      <c r="AF44">
        <v>112.70642576630267</v>
      </c>
    </row>
    <row r="45" spans="2:32" x14ac:dyDescent="0.25">
      <c r="B45" s="15">
        <v>2500</v>
      </c>
      <c r="C45" s="15">
        <v>2244</v>
      </c>
      <c r="E45" s="16"/>
      <c r="F45" s="16"/>
      <c r="G45" s="10"/>
      <c r="H45" s="16"/>
      <c r="I45" s="16"/>
      <c r="J45" s="16"/>
      <c r="K45" s="16"/>
      <c r="V45">
        <v>2000</v>
      </c>
      <c r="W45">
        <v>133.73006415709182</v>
      </c>
      <c r="Y45">
        <v>1510.7142857142858</v>
      </c>
      <c r="Z45">
        <v>93.427074922362962</v>
      </c>
      <c r="AB45">
        <v>2000</v>
      </c>
      <c r="AC45">
        <v>165.55139145534545</v>
      </c>
      <c r="AE45">
        <v>1961.5384615384617</v>
      </c>
      <c r="AF45">
        <v>119.59131269212996</v>
      </c>
    </row>
    <row r="46" spans="2:32" x14ac:dyDescent="0.25">
      <c r="B46" s="15">
        <v>2600</v>
      </c>
      <c r="C46" s="15">
        <v>2311</v>
      </c>
      <c r="E46" s="16"/>
      <c r="F46" s="16"/>
      <c r="G46" s="10"/>
      <c r="H46" s="16"/>
      <c r="I46" s="16"/>
      <c r="J46" s="16"/>
      <c r="K46" s="16"/>
      <c r="V46">
        <v>2111.1111111111113</v>
      </c>
      <c r="W46">
        <v>140.2933686521514</v>
      </c>
      <c r="Y46">
        <v>1594.6428571428571</v>
      </c>
      <c r="Z46">
        <v>94.110638642617971</v>
      </c>
      <c r="AB46">
        <v>2111.1111111111113</v>
      </c>
      <c r="AC46">
        <v>171.64852228774393</v>
      </c>
      <c r="AE46">
        <v>2076.9230769230771</v>
      </c>
      <c r="AF46">
        <v>126.22405009356737</v>
      </c>
    </row>
    <row r="47" spans="2:32" x14ac:dyDescent="0.25">
      <c r="B47" s="15">
        <v>2700</v>
      </c>
      <c r="C47" s="15">
        <v>2376</v>
      </c>
      <c r="E47" s="16"/>
      <c r="F47" s="16"/>
      <c r="G47" s="10"/>
      <c r="H47" s="16"/>
      <c r="I47" s="16"/>
      <c r="J47" s="16"/>
      <c r="K47" s="16"/>
      <c r="V47">
        <v>2222.2222222222222</v>
      </c>
      <c r="W47">
        <v>146.68475726578842</v>
      </c>
      <c r="Y47">
        <v>1678.5714285714287</v>
      </c>
      <c r="Z47">
        <v>94.769440621684836</v>
      </c>
      <c r="AB47">
        <v>2222.2222222222222</v>
      </c>
      <c r="AC47">
        <v>177.53051382010091</v>
      </c>
      <c r="AE47">
        <v>2192.3076923076924</v>
      </c>
      <c r="AF47">
        <v>132.61215551212413</v>
      </c>
    </row>
    <row r="48" spans="2:32" x14ac:dyDescent="0.25">
      <c r="B48" s="15">
        <v>2800</v>
      </c>
      <c r="C48" s="15">
        <v>2439</v>
      </c>
      <c r="E48" s="16"/>
      <c r="F48" s="16"/>
      <c r="G48" s="10"/>
      <c r="H48" s="16"/>
      <c r="I48" s="16"/>
      <c r="J48" s="16"/>
      <c r="K48" s="16"/>
      <c r="V48">
        <v>2333.3333333333335</v>
      </c>
      <c r="W48">
        <v>152.89740642198734</v>
      </c>
      <c r="Y48">
        <v>1762.5</v>
      </c>
      <c r="Z48">
        <v>95.407303970309485</v>
      </c>
      <c r="AB48">
        <v>2333.3333333333335</v>
      </c>
      <c r="AC48">
        <v>183.22752992218267</v>
      </c>
      <c r="AE48">
        <v>2307.6923076923076</v>
      </c>
      <c r="AF48">
        <v>138.76174033631011</v>
      </c>
    </row>
    <row r="49" spans="2:32" x14ac:dyDescent="0.25">
      <c r="B49" s="15">
        <v>3000</v>
      </c>
      <c r="C49" s="15">
        <v>2500</v>
      </c>
      <c r="G49" s="10"/>
      <c r="V49">
        <v>2350</v>
      </c>
      <c r="W49">
        <v>153.81911993884975</v>
      </c>
      <c r="Y49">
        <v>1846.4285714285716</v>
      </c>
      <c r="Z49">
        <v>96.0251271469008</v>
      </c>
      <c r="AB49">
        <v>2350</v>
      </c>
      <c r="AC49">
        <v>184.0712609764162</v>
      </c>
      <c r="AE49">
        <v>2350</v>
      </c>
      <c r="AF49">
        <v>140.97121239029534</v>
      </c>
    </row>
    <row r="50" spans="2:32" x14ac:dyDescent="0.25">
      <c r="B50" s="16"/>
      <c r="C50" s="16"/>
      <c r="G50" s="10"/>
      <c r="V50">
        <v>2444.4444444444443</v>
      </c>
      <c r="W50">
        <v>158.86616504592033</v>
      </c>
      <c r="Y50">
        <v>1930.3571428571429</v>
      </c>
      <c r="Z50">
        <v>96.623756864108586</v>
      </c>
      <c r="AB50">
        <v>2444.4444444444443</v>
      </c>
      <c r="AC50">
        <v>188.71591823151027</v>
      </c>
      <c r="AE50">
        <v>2423.0769230769233</v>
      </c>
      <c r="AF50">
        <v>144.67700395511443</v>
      </c>
    </row>
    <row r="51" spans="2:32" x14ac:dyDescent="0.25">
      <c r="B51" s="16"/>
      <c r="C51" s="16"/>
      <c r="G51" s="10"/>
      <c r="V51">
        <v>2555.5555555555557</v>
      </c>
      <c r="W51">
        <v>164.59860401143487</v>
      </c>
      <c r="Y51">
        <v>2014.2857142857142</v>
      </c>
      <c r="Z51">
        <v>97.203923622380628</v>
      </c>
      <c r="AB51">
        <v>2555.5555555555557</v>
      </c>
      <c r="AC51">
        <v>193.97639513021238</v>
      </c>
      <c r="AE51">
        <v>2538.4615384615386</v>
      </c>
      <c r="AF51">
        <v>150.35762733496256</v>
      </c>
    </row>
    <row r="52" spans="2:32" x14ac:dyDescent="0.25">
      <c r="V52">
        <v>2666.666666666667</v>
      </c>
      <c r="W52">
        <v>170.07296938433998</v>
      </c>
      <c r="Y52">
        <v>2098.2142857142858</v>
      </c>
      <c r="Z52">
        <v>97.765815013171405</v>
      </c>
      <c r="AB52">
        <v>2666.666666666667</v>
      </c>
      <c r="AC52">
        <v>198.98509074924209</v>
      </c>
      <c r="AE52">
        <v>2653.8461538461538</v>
      </c>
      <c r="AF52">
        <v>155.79231808862633</v>
      </c>
    </row>
    <row r="53" spans="2:32" x14ac:dyDescent="0.25">
      <c r="V53">
        <v>2777.7777777777778</v>
      </c>
      <c r="W53">
        <v>174.6084754589337</v>
      </c>
      <c r="Y53">
        <v>2182.1428571428573</v>
      </c>
      <c r="Z53">
        <v>98.307006755073701</v>
      </c>
      <c r="AB53">
        <v>2777.7777777777778</v>
      </c>
      <c r="AC53">
        <v>203.12427614885257</v>
      </c>
      <c r="AE53">
        <v>2769.2307692307695</v>
      </c>
      <c r="AF53">
        <v>160.38773576550616</v>
      </c>
    </row>
    <row r="54" spans="2:32" x14ac:dyDescent="0.25">
      <c r="V54">
        <v>2888.8888888888891</v>
      </c>
      <c r="W54">
        <v>177.44810478234234</v>
      </c>
      <c r="Y54">
        <v>2266.0714285714284</v>
      </c>
      <c r="Z54">
        <v>98.831698080574981</v>
      </c>
      <c r="AB54">
        <v>2888.8888888888891</v>
      </c>
      <c r="AC54">
        <v>205.71107028378941</v>
      </c>
      <c r="AE54">
        <v>2884.6153846153848</v>
      </c>
      <c r="AF54">
        <v>163.17095614706417</v>
      </c>
    </row>
    <row r="55" spans="2:32" x14ac:dyDescent="0.25">
      <c r="V55">
        <v>3000</v>
      </c>
      <c r="W55">
        <v>180.03737379064245</v>
      </c>
      <c r="Y55">
        <v>2350</v>
      </c>
      <c r="Z55">
        <v>99.34531225501749</v>
      </c>
      <c r="AB55">
        <v>3000</v>
      </c>
      <c r="AC55">
        <v>208.06673369033055</v>
      </c>
      <c r="AE55">
        <v>3000</v>
      </c>
      <c r="AF55">
        <v>165.68794648887871</v>
      </c>
    </row>
  </sheetData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>
                <anchor moveWithCells="1" sizeWithCells="1">
                  <from>
                    <xdr:col>20</xdr:col>
                    <xdr:colOff>542925</xdr:colOff>
                    <xdr:row>7</xdr:row>
                    <xdr:rowOff>123825</xdr:rowOff>
                  </from>
                  <to>
                    <xdr:col>24</xdr:col>
                    <xdr:colOff>247650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40</vt:i4>
      </vt:variant>
    </vt:vector>
  </HeadingPairs>
  <TitlesOfParts>
    <vt:vector size="41" baseType="lpstr">
      <vt:lpstr>Лист1</vt:lpstr>
      <vt:lpstr>Bob</vt:lpstr>
      <vt:lpstr>dcas</vt:lpstr>
      <vt:lpstr>dcas_list_mm</vt:lpstr>
      <vt:lpstr>dchoke</vt:lpstr>
      <vt:lpstr>dchoke_gas</vt:lpstr>
      <vt:lpstr>dtub</vt:lpstr>
      <vt:lpstr>dtub_list_mm</vt:lpstr>
      <vt:lpstr>fw</vt:lpstr>
      <vt:lpstr>g_kf</vt:lpstr>
      <vt:lpstr>gg</vt:lpstr>
      <vt:lpstr>go</vt:lpstr>
      <vt:lpstr>gw</vt:lpstr>
      <vt:lpstr>h_1</vt:lpstr>
      <vt:lpstr>h_2</vt:lpstr>
      <vt:lpstr>hmes_habs_list_m</vt:lpstr>
      <vt:lpstr>Hpacker</vt:lpstr>
      <vt:lpstr>hperf</vt:lpstr>
      <vt:lpstr>hydr_corr</vt:lpstr>
      <vt:lpstr>muob</vt:lpstr>
      <vt:lpstr>out_1</vt:lpstr>
      <vt:lpstr>out_p1</vt:lpstr>
      <vt:lpstr>out_p2</vt:lpstr>
      <vt:lpstr>outp</vt:lpstr>
      <vt:lpstr>outpgas</vt:lpstr>
      <vt:lpstr>p_safety</vt:lpstr>
      <vt:lpstr>Pb_cal</vt:lpstr>
      <vt:lpstr>Pbuf</vt:lpstr>
      <vt:lpstr>Pgas_inj</vt:lpstr>
      <vt:lpstr>Pres</vt:lpstr>
      <vt:lpstr>ProdInd</vt:lpstr>
      <vt:lpstr>Pwf</vt:lpstr>
      <vt:lpstr>Pwf_target</vt:lpstr>
      <vt:lpstr>Qgas_max</vt:lpstr>
      <vt:lpstr>qliq</vt:lpstr>
      <vt:lpstr>Qnom</vt:lpstr>
      <vt:lpstr>Rp</vt:lpstr>
      <vt:lpstr>Rsb</vt:lpstr>
      <vt:lpstr>temp_list_C</vt:lpstr>
      <vt:lpstr>temp_method</vt:lpstr>
      <vt:lpstr>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2019-11-12T07:37:08Z</dcterms:created>
  <dcterms:modified xsi:type="dcterms:W3CDTF">2019-11-20T21:29:46Z</dcterms:modified>
</cp:coreProperties>
</file>