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D:\rnt\unifloc_vba\apps\"/>
    </mc:Choice>
  </mc:AlternateContent>
  <xr:revisionPtr revIDLastSave="0" documentId="13_ncr:1_{13BB3C64-004D-4DCC-B4B0-DFA4FC986FF4}" xr6:coauthVersionLast="43" xr6:coauthVersionMax="43" xr10:uidLastSave="{00000000-0000-0000-0000-000000000000}"/>
  <bookViews>
    <workbookView xWindow="-29325" yWindow="4140" windowWidth="28800" windowHeight="15435" tabRatio="529" activeTab="4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Calc" sheetId="2" r:id="rId5"/>
  </sheets>
  <externalReferences>
    <externalReference r:id="rId6"/>
  </externalReferences>
  <definedNames>
    <definedName name="betta_fric_">Calc!$H$7</definedName>
    <definedName name="betta_grav_">Calc!$H$6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Calc!$J$2</definedName>
    <definedName name="correlation_PVT_fontan_">Calc!$E$2</definedName>
    <definedName name="correlation_T_fontan_">Calc!$O$2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ESP!$C$33</definedName>
    <definedName name="Hlout_">Calc!$S$16:$S$36</definedName>
    <definedName name="Hlout_hmes_m_">Calc!$R$16:$R$36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>Calc!$C$17:$C$352</definedName>
    <definedName name="hmes_out_">Calc!$H$16:$H$36</definedName>
    <definedName name="hmes_tamb_m_">Construction!$E$19:$E$38</definedName>
    <definedName name="hmes_tamb_out_m_" localSheetId="4">Calc!$K$16:$K$36</definedName>
    <definedName name="hmes_tamb_out_m_">Construction!$S$18:$S$38</definedName>
    <definedName name="Hout_">Calc!$N$17:$N$36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4">Calc!$L$16:$L$36</definedName>
    <definedName name="HydrCorr_">Calc!$AA$6</definedName>
    <definedName name="HydrCorr_selector_">Calc!$AB$3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Calc!$D$17:$D$352</definedName>
    <definedName name="Pb_atma_" localSheetId="1">PVT!$G$15</definedName>
    <definedName name="Pb_diff_">PVT!$W$33</definedName>
    <definedName name="Pbuf_atma_">Calc!$Q$6</definedName>
    <definedName name="Pbuf_out_atma_">Calc!$Q$11</definedName>
    <definedName name="Pcas_atma_">Calc!$Q$8</definedName>
    <definedName name="Pcas_hmes_">Calc!$W$16:$W$36</definedName>
    <definedName name="Pcas_out_atma_">Calc!$X$16:$X$36</definedName>
    <definedName name="Plin_mes_atma_">Calc!$D$16</definedName>
    <definedName name="Pline_atma_">Calc!$Q$5</definedName>
    <definedName name="Pline_out_atma_">Calc!$Q$10</definedName>
    <definedName name="pmes_out_">Calc!$I$16:$I$36</definedName>
    <definedName name="Pout_">Calc!$O$17:$O$36</definedName>
    <definedName name="Pout_atma_">Calc!$O$16:$O$36</definedName>
    <definedName name="Pout_hmes_m_">Calc!$N$16:$N$36</definedName>
    <definedName name="Power_Motor_nom_">ESP!$C$14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>Calc!$X$3</definedName>
    <definedName name="Pwf_atma_">Calc!$Q$7</definedName>
    <definedName name="Pwf_out_atma_">Calc!$Q$12</definedName>
    <definedName name="Q_ESP_" localSheetId="3">ESP!$C$32</definedName>
    <definedName name="Ql_scm3day_" localSheetId="4">Calc!$C$6</definedName>
    <definedName name="Ql_scm3day_" localSheetId="1">PVT!$K$8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4">Calc!$C$9</definedName>
    <definedName name="Rp_m3m3_" localSheetId="1">PVT!$K$11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Calc!$E$17:$E$352</definedName>
    <definedName name="tamb_C_">Construction!$F$19:$F$38</definedName>
    <definedName name="tamb_out_C_" localSheetId="4">Calc!$M$16:$M$36</definedName>
    <definedName name="tamb_out_C_">Construction!$T$18:$T$38</definedName>
    <definedName name="Tbh_c_">Calc!$M$6</definedName>
    <definedName name="Tbuf_out_C_">Calc!$T$11</definedName>
    <definedName name="Tlin_mes_C_">Calc!$E$16</definedName>
    <definedName name="Tline_out_C_">Calc!$T$10</definedName>
    <definedName name="tmes_out_">Calc!$J$16:$J$36</definedName>
    <definedName name="Tout_C_">Calc!$Q$16:$Q$36</definedName>
    <definedName name="Tout_hmes_m_">Calc!$P$16:$P$36</definedName>
    <definedName name="Tres_C_" localSheetId="1">PVT!$G$14</definedName>
    <definedName name="Tsc_C_" localSheetId="1">PVT!$K$3</definedName>
    <definedName name="Tsep_C_" localSheetId="1">PVT!$O$10</definedName>
    <definedName name="Twf_out_C_">Calc!$T$12</definedName>
    <definedName name="Twh_C_">Calc!$M$7</definedName>
    <definedName name="U_V_">ESP!$C$13</definedName>
    <definedName name="udl_out_m_">Construction!$R$18:$R$38</definedName>
    <definedName name="wc_perc_" localSheetId="4">Calc!$C$7</definedName>
    <definedName name="wc_perc_" localSheetId="1">PVT!$K$9</definedName>
    <definedName name="версия_">Unifloc!$A$1</definedName>
    <definedName name="версия_номер_">Unifloc!$B$1</definedName>
  </definedNames>
  <calcPr calcId="191029" iterate="1" iterateDelta="0.01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6" i="4" l="1"/>
  <c r="X44" i="4"/>
  <c r="W38" i="4"/>
  <c r="W37" i="4"/>
  <c r="AB36" i="4"/>
  <c r="AA36" i="4"/>
  <c r="AB35" i="4"/>
  <c r="AA35" i="4"/>
  <c r="AD34" i="4"/>
  <c r="AD33" i="4"/>
  <c r="C25" i="4"/>
  <c r="G24" i="4"/>
  <c r="C24" i="4"/>
  <c r="K11" i="4"/>
  <c r="K12" i="4" s="1"/>
  <c r="K9" i="4"/>
  <c r="K8" i="4"/>
  <c r="K10" i="4" s="1"/>
  <c r="A1" i="4"/>
  <c r="M34" i="4"/>
  <c r="M37" i="4"/>
  <c r="C34" i="4"/>
  <c r="I36" i="4"/>
  <c r="C33" i="4"/>
  <c r="M33" i="4"/>
  <c r="C44" i="4"/>
  <c r="C36" i="4"/>
  <c r="C49" i="4"/>
  <c r="C37" i="4"/>
  <c r="I33" i="4"/>
  <c r="E34" i="4"/>
  <c r="I37" i="4"/>
  <c r="E32" i="4"/>
  <c r="E35" i="4"/>
  <c r="C43" i="4"/>
  <c r="I34" i="4"/>
  <c r="M35" i="4"/>
  <c r="C45" i="4"/>
  <c r="M40" i="4"/>
  <c r="T33" i="4"/>
  <c r="E36" i="4"/>
  <c r="G23" i="4"/>
  <c r="C32" i="4"/>
  <c r="C35" i="4"/>
  <c r="C40" i="4"/>
  <c r="M32" i="4"/>
  <c r="M36" i="4"/>
  <c r="E33" i="4"/>
  <c r="C23" i="4"/>
  <c r="I35" i="4"/>
  <c r="E37" i="4"/>
  <c r="V33" i="4"/>
  <c r="I32" i="4"/>
  <c r="T34" i="4"/>
  <c r="T36" i="4"/>
  <c r="C26" i="4"/>
  <c r="C27" i="4"/>
  <c r="C28" i="4"/>
  <c r="V35" i="4"/>
  <c r="T35" i="4"/>
  <c r="V34" i="4"/>
  <c r="V36" i="4"/>
  <c r="W34" i="4" l="1"/>
  <c r="AB33" i="4" s="1"/>
  <c r="W36" i="4"/>
  <c r="AB34" i="4" s="1"/>
  <c r="W35" i="4"/>
  <c r="AB38" i="4" s="1"/>
  <c r="U34" i="4"/>
  <c r="AA33" i="4" s="1"/>
  <c r="U36" i="4"/>
  <c r="AA34" i="4" s="1"/>
  <c r="U35" i="4"/>
  <c r="AA38" i="4" s="1"/>
  <c r="W33" i="4"/>
  <c r="B79" i="4"/>
  <c r="F37" i="4"/>
  <c r="F33" i="4"/>
  <c r="F34" i="4"/>
  <c r="F36" i="4"/>
  <c r="F35" i="4"/>
  <c r="U33" i="4"/>
  <c r="AA32" i="4" s="1"/>
  <c r="F32" i="4"/>
  <c r="H5" i="7"/>
  <c r="C16" i="7"/>
  <c r="U56" i="2"/>
  <c r="C7" i="7"/>
  <c r="U58" i="2"/>
  <c r="U52" i="2" a="1"/>
  <c r="C9" i="7"/>
  <c r="C10" i="7"/>
  <c r="C8" i="7"/>
  <c r="R34" i="4" l="1"/>
  <c r="AD32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W52" i="2"/>
  <c r="AE52" i="2"/>
  <c r="AB53" i="2"/>
  <c r="Y52" i="2"/>
  <c r="AD53" i="2"/>
  <c r="AE53" i="2"/>
  <c r="X53" i="2"/>
  <c r="AB52" i="2"/>
  <c r="Y53" i="2"/>
  <c r="Z53" i="2"/>
  <c r="AD52" i="2"/>
  <c r="X52" i="2"/>
  <c r="U53" i="2"/>
  <c r="AC53" i="2"/>
  <c r="V53" i="2"/>
  <c r="Z52" i="2"/>
  <c r="W53" i="2"/>
  <c r="AA52" i="2"/>
  <c r="U52" i="2"/>
  <c r="AC52" i="2"/>
  <c r="V52" i="2"/>
  <c r="AA53" i="2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2" l="1"/>
  <c r="A1" i="7"/>
  <c r="A1" i="3"/>
  <c r="C10" i="2"/>
  <c r="O2" i="2" l="1"/>
  <c r="J2" i="2"/>
  <c r="E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<sst xmlns="http://schemas.openxmlformats.org/spreadsheetml/2006/main" count="299" uniqueCount="205">
  <si>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</si>
  <si>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</si>
  <si>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</si>
  <si>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</si>
  <si>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</si>
  <si>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</si>
  <si>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</si>
  <si>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</si>
  <si>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</si>
  <si>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</si>
  <si>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</si>
  <si>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</si>
  <si>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</si>
  <si>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</si>
  <si>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</si>
  <si>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</si>
  <si>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</si>
  <si>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</si>
  <si>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</si>
  <si>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</si>
  <si>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</si>
  <si>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</si>
  <si>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</si>
  <si>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</si>
  <si>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</si>
  <si>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</si>
  <si>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</si>
  <si>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</si>
  <si>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</si>
  <si>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</si>
  <si>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</si>
  <si>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</si>
  <si>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</si>
  <si>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</si>
  <si>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</si>
  <si>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</si>
  <si>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</si>
  <si>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</si>
  <si>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</si>
  <si>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</si>
  <si>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</si>
  <si>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</si>
  <si>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</si>
  <si>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</si>
  <si>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</si>
  <si>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</si>
  <si>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</si>
  <si>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</si>
  <si>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</si>
  <si>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</si>
  <si>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</si>
  <si>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</si>
  <si>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</si>
  <si>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</si>
  <si>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</si>
  <si>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</si>
  <si>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</si>
  <si>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</si>
  <si>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</si>
  <si>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</si>
  <si>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</si>
  <si>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</si>
  <si>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</si>
  <si>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</si>
  <si>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</si>
  <si>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</si>
  <si>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</si>
  <si>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</si>
  <si>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</si>
  <si>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</si>
  <si>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</si>
  <si>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</si>
  <si>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</si>
  <si>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</si>
  <si>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</si>
  <si>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</si>
  <si>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</si>
  <si>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</si>
  <si>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</si>
  <si>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</si>
  <si>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</si>
  <si>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</si>
  <si>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</si>
  <si>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</si>
  <si>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</si>
  <si>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</si>
  <si>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</si>
  <si>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</si>
  <si>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</si>
  <si>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</si>
  <si>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</si>
  <si>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</si>
  <si>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</si>
  <si>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</si>
  <si>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</si>
  <si>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</si>
  <si>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</si>
  <si>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</si>
  <si>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</si>
  <si>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</si>
  <si>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</si>
  <si>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</si>
  <si>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</si>
  <si>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</si>
  <si>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</si>
  <si>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</si>
  <si>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</si>
  <si>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</si>
  <si>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</si>
  <si>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</si>
  <si>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</si>
  <si>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</si>
  <si>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</si>
  <si>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</si>
  <si>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</si>
  <si>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</si>
  <si>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</si>
  <si>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</si>
  <si>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</si>
  <si>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</si>
  <si>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</si>
  <si>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</si>
  <si>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</si>
  <si>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</si>
  <si>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</si>
  <si>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</si>
  <si>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</si>
  <si>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</si>
  <si>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</si>
  <si>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</si>
  <si>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</si>
  <si>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</si>
  <si>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</si>
  <si>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</si>
  <si>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</si>
  <si>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</si>
  <si>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</si>
  <si>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</si>
  <si>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</si>
  <si>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</si>
  <si>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</si>
  <si>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</si>
  <si>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</si>
  <si>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</si>
  <si>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</si>
  <si>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</si>
  <si>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</si>
  <si>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</si>
  <si>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</si>
  <si>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</si>
  <si>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</si>
  <si>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</si>
  <si>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</si>
  <si>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</si>
  <si>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</si>
  <si>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</si>
  <si>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</si>
  <si>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</si>
  <si>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</si>
  <si>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</si>
  <si>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</si>
  <si>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</si>
  <si>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</si>
  <si>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</si>
  <si>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</si>
  <si>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</si>
  <si>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</si>
  <si>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</si>
  <si>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</si>
  <si>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</si>
  <si>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</si>
  <si>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</si>
  <si>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</si>
  <si>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</si>
  <si>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</si>
  <si>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</si>
  <si>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</si>
  <si>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</si>
  <si>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</si>
  <si>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</si>
  <si>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</si>
  <si>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</si>
  <si>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</si>
  <si>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</si>
  <si>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</si>
  <si>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</si>
  <si>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</si>
  <si>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</si>
  <si>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</si>
  <si>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</si>
  <si>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</si>
  <si>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</si>
  <si>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</si>
  <si>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</si>
  <si>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</si>
  <si>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</si>
  <si>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</si>
  <si>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</si>
  <si>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</si>
  <si>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</si>
  <si>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</si>
  <si>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</si>
  <si>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</si>
  <si>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</si>
  <si>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7.6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</si>
</sst>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49" fontId="0" fillId="2" borderId="0" xfId="0" applyNumberFormat="1" applyFill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0.98997541064733996</c:v>
                </c:pt>
                <c:pt idx="1">
                  <c:v>0.94614339991979213</c:v>
                </c:pt>
                <c:pt idx="2">
                  <c:v>0.89826216338241693</c:v>
                </c:pt>
                <c:pt idx="3">
                  <c:v>0.84775635578540187</c:v>
                </c:pt>
                <c:pt idx="4">
                  <c:v>0.79547822217869313</c:v>
                </c:pt>
                <c:pt idx="5">
                  <c:v>0.74206792515658504</c:v>
                </c:pt>
                <c:pt idx="6">
                  <c:v>0.68804068471210011</c:v>
                </c:pt>
                <c:pt idx="7">
                  <c:v>0.63382089873430336</c:v>
                </c:pt>
                <c:pt idx="8">
                  <c:v>0.57975949108250746</c:v>
                </c:pt>
                <c:pt idx="9">
                  <c:v>0.52614477718001729</c:v>
                </c:pt>
                <c:pt idx="10">
                  <c:v>0.47321052383313328</c:v>
                </c:pt>
                <c:pt idx="11">
                  <c:v>0.42114267029873143</c:v>
                </c:pt>
                <c:pt idx="12">
                  <c:v>0.37008531596833544</c:v>
                </c:pt>
                <c:pt idx="13">
                  <c:v>0.32014621642941443</c:v>
                </c:pt>
                <c:pt idx="14">
                  <c:v>0.27140187231687235</c:v>
                </c:pt>
                <c:pt idx="15">
                  <c:v>0.22390223120616223</c:v>
                </c:pt>
                <c:pt idx="16">
                  <c:v>0.17767500149055396</c:v>
                </c:pt>
                <c:pt idx="17">
                  <c:v>0.13272957532053672</c:v>
                </c:pt>
                <c:pt idx="18">
                  <c:v>8.9060563706194376E-2</c:v>
                </c:pt>
                <c:pt idx="19">
                  <c:v>4.6650954987410995E-2</c:v>
                </c:pt>
                <c:pt idx="20">
                  <c:v>5.469167248226995E-3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0.98997541064733996</c:v>
                </c:pt>
                <c:pt idx="1">
                  <c:v>0.94614339991979213</c:v>
                </c:pt>
                <c:pt idx="2">
                  <c:v>0.89826216338241693</c:v>
                </c:pt>
                <c:pt idx="3">
                  <c:v>0.84775635578540187</c:v>
                </c:pt>
                <c:pt idx="4">
                  <c:v>0.79547822217869313</c:v>
                </c:pt>
                <c:pt idx="5">
                  <c:v>0.74206792515658504</c:v>
                </c:pt>
                <c:pt idx="6">
                  <c:v>0.68804068471210011</c:v>
                </c:pt>
                <c:pt idx="7">
                  <c:v>0.63382089873430336</c:v>
                </c:pt>
                <c:pt idx="8">
                  <c:v>0.57975949108250746</c:v>
                </c:pt>
                <c:pt idx="9">
                  <c:v>0.52614477718001729</c:v>
                </c:pt>
                <c:pt idx="10">
                  <c:v>0.47321052383313328</c:v>
                </c:pt>
                <c:pt idx="11">
                  <c:v>0.42114267029873143</c:v>
                </c:pt>
                <c:pt idx="12">
                  <c:v>0.37008531596833544</c:v>
                </c:pt>
                <c:pt idx="13">
                  <c:v>0.32014621642941443</c:v>
                </c:pt>
                <c:pt idx="14">
                  <c:v>0.27140187231687235</c:v>
                </c:pt>
                <c:pt idx="15">
                  <c:v>0.22390223120616223</c:v>
                </c:pt>
                <c:pt idx="16">
                  <c:v>0.17767500149055396</c:v>
                </c:pt>
                <c:pt idx="17">
                  <c:v>0.13272957532053672</c:v>
                </c:pt>
                <c:pt idx="18">
                  <c:v>8.9060563706194376E-2</c:v>
                </c:pt>
                <c:pt idx="19">
                  <c:v>4.6650954987410995E-2</c:v>
                </c:pt>
                <c:pt idx="20">
                  <c:v>5.469167248226995E-3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0.99031266598457834</c:v>
                </c:pt>
                <c:pt idx="1">
                  <c:v>0.94939251991768747</c:v>
                </c:pt>
                <c:pt idx="2">
                  <c:v>0.90709419384474355</c:v>
                </c:pt>
                <c:pt idx="3">
                  <c:v>0.86439081059241085</c:v>
                </c:pt>
                <c:pt idx="4">
                  <c:v>0.82185872245860181</c:v>
                </c:pt>
                <c:pt idx="5">
                  <c:v>0.77988975562164153</c:v>
                </c:pt>
                <c:pt idx="6">
                  <c:v>0.73876463925463765</c:v>
                </c:pt>
                <c:pt idx="7">
                  <c:v>0.69868595340489781</c:v>
                </c:pt>
                <c:pt idx="8">
                  <c:v>0.65979718898112383</c:v>
                </c:pt>
                <c:pt idx="9">
                  <c:v>0.62219562660691996</c:v>
                </c:pt>
                <c:pt idx="10">
                  <c:v>0.585941900127671</c:v>
                </c:pt>
                <c:pt idx="11">
                  <c:v>0.55106749731895333</c:v>
                </c:pt>
                <c:pt idx="12">
                  <c:v>0.51758082055737475</c:v>
                </c:pt>
                <c:pt idx="13">
                  <c:v>0.48547215667074578</c:v>
                </c:pt>
                <c:pt idx="14">
                  <c:v>0.45471777617189474</c:v>
                </c:pt>
                <c:pt idx="15">
                  <c:v>0.42528331634449712</c:v>
                </c:pt>
                <c:pt idx="16">
                  <c:v>0.39712656612085145</c:v>
                </c:pt>
                <c:pt idx="17">
                  <c:v>0.37019974808508055</c:v>
                </c:pt>
                <c:pt idx="18">
                  <c:v>0.34445137766853778</c:v>
                </c:pt>
                <c:pt idx="19">
                  <c:v>0.31982776739901991</c:v>
                </c:pt>
                <c:pt idx="20">
                  <c:v>0.29627423477651588</c:v>
                </c:pt>
                <c:pt idx="21">
                  <c:v>0.23512272839443882</c:v>
                </c:pt>
                <c:pt idx="22">
                  <c:v>0.18087914913620051</c:v>
                </c:pt>
                <c:pt idx="23">
                  <c:v>0.13249064481869405</c:v>
                </c:pt>
                <c:pt idx="24">
                  <c:v>8.9068615178731603E-2</c:v>
                </c:pt>
                <c:pt idx="25">
                  <c:v>4.9902676948977834E-2</c:v>
                </c:pt>
                <c:pt idx="26">
                  <c:v>1.4460330224812166E-2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Calc!$S$16:$S$36</c:f>
              <c:numCache>
                <c:formatCode>General</c:formatCode>
                <c:ptCount val="21"/>
              </c:numCache>
            </c:numRef>
          </c:xVal>
          <c:yVal>
            <c:numRef>
              <c:f>Calc!$R$16:$R$36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Calc!$O$16:$O$36</c:f>
              <c:numCache>
                <c:formatCode>General</c:formatCode>
                <c:ptCount val="21"/>
                <c:pt idx="0">
                  <c:v>45.073299407958984</c:v>
                </c:pt>
                <c:pt idx="1">
                  <c:v>58.909809821475207</c:v>
                </c:pt>
                <c:pt idx="2">
                  <c:v>73.874734030994816</c:v>
                </c:pt>
                <c:pt idx="3">
                  <c:v>89.433375908328529</c:v>
                </c:pt>
                <c:pt idx="4">
                  <c:v>105.13328039891674</c:v>
                </c:pt>
                <c:pt idx="5">
                  <c:v>120.79244560579485</c:v>
                </c:pt>
                <c:pt idx="6">
                  <c:v>135.83890640201395</c:v>
                </c:pt>
                <c:pt idx="7">
                  <c:v>150.31643471783585</c:v>
                </c:pt>
                <c:pt idx="8">
                  <c:v>164.18895914917167</c:v>
                </c:pt>
                <c:pt idx="9">
                  <c:v>177.40312380229162</c:v>
                </c:pt>
                <c:pt idx="10">
                  <c:v>189.92505114245785</c:v>
                </c:pt>
                <c:pt idx="11">
                  <c:v>201.76559548047098</c:v>
                </c:pt>
                <c:pt idx="12">
                  <c:v>212.93640798696882</c:v>
                </c:pt>
                <c:pt idx="13">
                  <c:v>222.00411295260537</c:v>
                </c:pt>
                <c:pt idx="14">
                  <c:v>68.548439527948545</c:v>
                </c:pt>
                <c:pt idx="15">
                  <c:v>69.550104505695984</c:v>
                </c:pt>
                <c:pt idx="16">
                  <c:v>76.539049773027898</c:v>
                </c:pt>
                <c:pt idx="17">
                  <c:v>79.176498989944889</c:v>
                </c:pt>
                <c:pt idx="18">
                  <c:v>80.480397434413646</c:v>
                </c:pt>
                <c:pt idx="19">
                  <c:v>81.782662083702633</c:v>
                </c:pt>
                <c:pt idx="20">
                  <c:v>83.08324955143955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Calc!$H$14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219CE3E2-BB5D-455F-945F-57C5AC299A9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30AB3E1-E9E5-4912-9540-A8EF1616F14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E36A64D1-E6F3-43EF-A08E-EE24BE90527F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6E8E5B1-60A9-457E-923F-76CDBD9AB008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EEFE8A-1DF5-4E0F-82B3-D4BC6E40B2E7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A339D2F-9C1C-4E1A-9398-530D7DD3718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Calc!$V$16:$V$18</c:f>
              <c:numCache>
                <c:formatCode>0</c:formatCode>
                <c:ptCount val="3"/>
                <c:pt idx="0">
                  <c:v>45</c:v>
                </c:pt>
                <c:pt idx="1">
                  <c:v>45.073299407958984</c:v>
                </c:pt>
                <c:pt idx="2">
                  <c:v>83.08324955143955</c:v>
                </c:pt>
              </c:numCache>
            </c:numRef>
          </c:xVal>
          <c:yVal>
            <c:numRef>
              <c:f>Calc!$U$16:$U$18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Calc!$P$10:$P$12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Calc!$X$16:$X$36</c:f>
              <c:numCache>
                <c:formatCode>General</c:formatCode>
                <c:ptCount val="21"/>
                <c:pt idx="0">
                  <c:v>45</c:v>
                </c:pt>
                <c:pt idx="1">
                  <c:v>45.559321455072279</c:v>
                </c:pt>
                <c:pt idx="2">
                  <c:v>46.124473217434968</c:v>
                </c:pt>
                <c:pt idx="3">
                  <c:v>46.695502838073764</c:v>
                </c:pt>
                <c:pt idx="4">
                  <c:v>47.27342874589111</c:v>
                </c:pt>
                <c:pt idx="5">
                  <c:v>47.857529180455764</c:v>
                </c:pt>
                <c:pt idx="6">
                  <c:v>48.447666584399208</c:v>
                </c:pt>
                <c:pt idx="7">
                  <c:v>49.044694161377613</c:v>
                </c:pt>
                <c:pt idx="8">
                  <c:v>49.648258794508685</c:v>
                </c:pt>
                <c:pt idx="9">
                  <c:v>50.258055706462926</c:v>
                </c:pt>
                <c:pt idx="10">
                  <c:v>50.874796777306692</c:v>
                </c:pt>
                <c:pt idx="11">
                  <c:v>51.498536304592413</c:v>
                </c:pt>
                <c:pt idx="12">
                  <c:v>52.127535346224022</c:v>
                </c:pt>
                <c:pt idx="13">
                  <c:v>52.752920160829177</c:v>
                </c:pt>
                <c:pt idx="14">
                  <c:v>53.370493756619091</c:v>
                </c:pt>
                <c:pt idx="15">
                  <c:v>53.981689440241503</c:v>
                </c:pt>
                <c:pt idx="16">
                  <c:v>54.586890882956986</c:v>
                </c:pt>
                <c:pt idx="17">
                  <c:v>55.186113310174846</c:v>
                </c:pt>
                <c:pt idx="18">
                  <c:v>55.314284633295834</c:v>
                </c:pt>
                <c:pt idx="19">
                  <c:v>61.27252462954884</c:v>
                </c:pt>
                <c:pt idx="20">
                  <c:v>68.548439527948545</c:v>
                </c:pt>
              </c:numCache>
            </c:numRef>
          </c:xVal>
          <c:yVal>
            <c:numRef>
              <c:f>Calc!$W$16:$W$36</c:f>
              <c:numCache>
                <c:formatCode>General</c:formatCode>
                <c:ptCount val="21"/>
                <c:pt idx="0">
                  <c:v>0</c:v>
                </c:pt>
                <c:pt idx="1">
                  <c:v>131.63157894736841</c:v>
                </c:pt>
                <c:pt idx="2">
                  <c:v>263.26315789473682</c:v>
                </c:pt>
                <c:pt idx="3">
                  <c:v>394.8947368421052</c:v>
                </c:pt>
                <c:pt idx="4">
                  <c:v>526.52631578947364</c:v>
                </c:pt>
                <c:pt idx="5">
                  <c:v>658.15789473684208</c:v>
                </c:pt>
                <c:pt idx="6">
                  <c:v>789.78947368421041</c:v>
                </c:pt>
                <c:pt idx="7">
                  <c:v>921.42105263157885</c:v>
                </c:pt>
                <c:pt idx="8">
                  <c:v>1053.0526315789473</c:v>
                </c:pt>
                <c:pt idx="9">
                  <c:v>1184.6842105263156</c:v>
                </c:pt>
                <c:pt idx="10">
                  <c:v>1316.3157894736842</c:v>
                </c:pt>
                <c:pt idx="11">
                  <c:v>1447.9473684210525</c:v>
                </c:pt>
                <c:pt idx="12">
                  <c:v>1579.5789473684208</c:v>
                </c:pt>
                <c:pt idx="13">
                  <c:v>1711.2105263157894</c:v>
                </c:pt>
                <c:pt idx="14">
                  <c:v>1842.8421052631577</c:v>
                </c:pt>
                <c:pt idx="15">
                  <c:v>1974.4736842105262</c:v>
                </c:pt>
                <c:pt idx="16">
                  <c:v>2106.1052631578946</c:v>
                </c:pt>
                <c:pt idx="17">
                  <c:v>2237.7368421052629</c:v>
                </c:pt>
                <c:pt idx="18">
                  <c:v>2266.0220222899934</c:v>
                </c:pt>
                <c:pt idx="19">
                  <c:v>2369.3684210526312</c:v>
                </c:pt>
                <c:pt idx="20">
                  <c:v>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Calc!$Q$16:$Q$36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Calc!$K$16:$K$36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Calc!$J$16:$J$36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3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525236</xdr:colOff>
      <xdr:row>40</xdr:row>
      <xdr:rowOff>68036</xdr:rowOff>
    </xdr:from>
    <xdr:to>
      <xdr:col>18</xdr:col>
      <xdr:colOff>83004</xdr:colOff>
      <xdr:row>64</xdr:row>
      <xdr:rowOff>182336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344133</xdr:colOff>
      <xdr:row>15</xdr:row>
      <xdr:rowOff>69720</xdr:rowOff>
    </xdr:from>
    <xdr:to>
      <xdr:col>30</xdr:col>
      <xdr:colOff>38880</xdr:colOff>
      <xdr:row>46</xdr:row>
      <xdr:rowOff>121816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ESP_head_m"/>
      <definedName name="ESP_IDbyRate"/>
      <definedName name="ESP_maxRate_m3day"/>
      <definedName name="ESP_name"/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4"/>
  <dimension ref="A1:E4"/>
  <sheetViews>
    <sheetView workbookViewId="0">
      <selection activeCell="C7" sqref="C7"/>
    </sheetView>
  </sheetViews>
  <sheetFormatPr defaultRowHeight="15" x14ac:dyDescent="0.25"/>
  <sheetData>
    <row r="1" spans="1:5" x14ac:dyDescent="0.25">
      <c r="A1" t="str">
        <f>"вер "&amp;B1</f>
        <v>вер 7.6</v>
      </c>
      <c r="B1" s="59" t="s">
        <v>204</v>
      </c>
    </row>
    <row r="2" spans="1:5" x14ac:dyDescent="0.25">
      <c r="A2" t="s">
        <v>161</v>
      </c>
    </row>
    <row r="4" spans="1:5" x14ac:dyDescent="0.25">
      <c r="A4" s="60" t="str">
        <f>"Унифлок "&amp;версия_номер_</f>
        <v>Унифлок 7.6</v>
      </c>
      <c r="B4" s="60"/>
      <c r="C4" s="60"/>
      <c r="D4" s="60"/>
      <c r="E4" s="60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1">
    <outlinePr summaryBelow="0"/>
  </sheetPr>
  <dimension ref="A1:AG101"/>
  <sheetViews>
    <sheetView zoomScale="70" zoomScaleNormal="70" workbookViewId="0">
      <selection activeCell="AF28" sqref="AF28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7.6</v>
      </c>
      <c r="J1" s="2" t="s">
        <v>23</v>
      </c>
      <c r="K1" s="2"/>
      <c r="L1" s="2"/>
    </row>
    <row r="2" spans="1:17" ht="18" x14ac:dyDescent="0.25">
      <c r="A2" s="60" t="s">
        <v>0</v>
      </c>
      <c r="B2" s="60"/>
      <c r="C2" s="60"/>
      <c r="D2" s="60"/>
      <c r="E2" s="60"/>
      <c r="J2" s="6" t="s">
        <v>26</v>
      </c>
      <c r="K2" s="9">
        <v>1</v>
      </c>
      <c r="L2" s="5" t="s">
        <v>6</v>
      </c>
    </row>
    <row r="3" spans="1:17" ht="18" customHeight="1" x14ac:dyDescent="0.25">
      <c r="F3" s="61" t="s">
        <v>74</v>
      </c>
      <c r="G3" s="61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2" t="s">
        <v>28</v>
      </c>
      <c r="O7" s="62"/>
      <c r="P7" s="62"/>
      <c r="Q7" s="62"/>
    </row>
    <row r="8" spans="1:17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Calc!Ql_scm3day_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Calc!wc_perc_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Calc!Rp_m3m3_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57.84590777991464</v>
      </c>
      <c r="D34" s="5" t="s">
        <v>17</v>
      </c>
      <c r="E34" s="29">
        <f>[1]!PVT_Rs_m3m3(P_atma_,T_C_,gamma_gas_,gamma_oil_,gamma_w_,Rsb_m3m3_,,,,,,PVT_correlation_,Ksep_,Psep_atma_,Tsep_C_)</f>
        <v>36.382686688964391</v>
      </c>
      <c r="F34" s="30">
        <f t="shared" si="0"/>
        <v>-0.58992952539319976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0.93919425965821102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1.1364374868066838</v>
      </c>
      <c r="D35" s="5" t="s">
        <v>17</v>
      </c>
      <c r="E35" s="29">
        <f>[1]!PVT_Bo_m3m3(P_atma_,T_C_,gamma_gas_,gamma_oil_,gamma_w_,Rsb_m3m3_,,,,,,PVT_correlation_,Ksep_,Psep_atma_,Tsep_C_)</f>
        <v>1.0909042856563635</v>
      </c>
      <c r="F35" s="30">
        <f t="shared" si="0"/>
        <v>-4.1738951573486852E-2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2.4379578175196839E-2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1.0050124728223304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800.28092388069251</v>
      </c>
      <c r="D36" s="5" t="s">
        <v>82</v>
      </c>
      <c r="E36" s="29">
        <f>[1]!PVT_Rhoo_kgm3(P_atma_,T_C_,gamma_gas_,gamma_oil_,gamma_w_,Rsb_m3m3_,,,,,,PVT_correlation_,Ksep_,Psep_atma_,Tsep_C_)</f>
        <v>816.85819878632105</v>
      </c>
      <c r="F36" s="30">
        <f t="shared" si="0"/>
        <v>2.0293944445019804E-2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35.078129484211033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1064.6634036244029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2.9495948500853633</v>
      </c>
      <c r="D37" s="5" t="s">
        <v>7</v>
      </c>
      <c r="E37" s="29">
        <f>[1]!PVT_Muo_cP(P_atma_,T_C_,gamma_gas_,gamma_oil_,gamma_w_,Rsb_m3m3_,,,,,,PVT_correlation_,Ksep_,Psep_atma_,Tsep_C_)</f>
        <v>3.9919050315962448</v>
      </c>
      <c r="F37" s="30">
        <f t="shared" si="0"/>
        <v>0.26110595649468454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1.1774941966222424E-2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0.91543932313862619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3.8746755606618333E-2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5.8884365535558904E-2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 t="e">
        <f>[1]!MF_Qmix_m3day(Ql_scm3day_,wc_perc_,P_atma_,T_C_,gamma_gas_,gamma_oil_,gamma_w_,Rsb_m3m3_,Rp_m3m3_,Pb_atma_,Tres_C_,Bob_m3m3_,mu_cP_,PVT_correlation_,Ksep_,Psep_atma_,Tsep_C_)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 t="e">
        <f>[1]!MF_Rhomix_kgm3(Ql_scm3day_,wc_perc_,P_atma_,T_C_,gamma_gas_,gamma_oil_,gamma_w_,Rsb_m3m3_,Rp_m3m3_,Pb_atma_,Tres_C_,Bob_m3m3_,mu_cP_,PVT_correlation_,Ksep_,Psep_atma_,Tsep_C_)</f>
        <v>#VALUE!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 t="e">
        <f>[1]!MF_Mumix_cP(Ql_scm3day_,wc_perc_,P_atma_,T_C_,gamma_gas_,gamma_oil_,gamma_w_,Rsb_m3m3_,Rp_m3m3_,Pb_atma_,Tres_C_,Bob_m3m3_,mu_cP_,PVT_correlation_,Ksep_,Psep_atma_,Tsep_C_)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3.8746755606618333E-2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0.98997541064733996</v>
      </c>
      <c r="Q59">
        <v>0.98997541064733996</v>
      </c>
      <c r="R59">
        <v>0.99031266598457834</v>
      </c>
    </row>
    <row r="60" spans="1:29" outlineLevel="1" x14ac:dyDescent="0.25">
      <c r="A60" s="44">
        <v>2</v>
      </c>
      <c r="B60" s="46">
        <f t="shared" ref="B60:B78" si="1"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0.94614339991979213</v>
      </c>
      <c r="Q60">
        <v>0.94614339991979213</v>
      </c>
      <c r="R60">
        <v>0.94939251991768747</v>
      </c>
    </row>
    <row r="61" spans="1:29" outlineLevel="1" x14ac:dyDescent="0.25">
      <c r="A61" s="44">
        <v>3</v>
      </c>
      <c r="B61" s="46">
        <f t="shared" si="1"/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0.89826216338241693</v>
      </c>
      <c r="Q61">
        <v>0.89826216338241693</v>
      </c>
      <c r="R61">
        <v>0.90709419384474355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0.84775635578540187</v>
      </c>
      <c r="Q62">
        <v>0.84775635578540187</v>
      </c>
      <c r="R62">
        <v>0.86439081059241085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0.79547822217869313</v>
      </c>
      <c r="Q63">
        <v>0.79547822217869313</v>
      </c>
      <c r="R63">
        <v>0.82185872245860181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0.74206792515658504</v>
      </c>
      <c r="Q64">
        <v>0.74206792515658504</v>
      </c>
      <c r="R64">
        <v>0.77988975562164153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0.68804068471210011</v>
      </c>
      <c r="Q65">
        <v>0.68804068471210011</v>
      </c>
      <c r="R65">
        <v>0.73876463925463765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0.63382089873430336</v>
      </c>
      <c r="Q66">
        <v>0.63382089873430336</v>
      </c>
      <c r="R66">
        <v>0.69868595340489781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0.57975949108250746</v>
      </c>
      <c r="Q67">
        <v>0.57975949108250746</v>
      </c>
      <c r="R67">
        <v>0.65979718898112383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0.52614477718001729</v>
      </c>
      <c r="Q68">
        <v>0.52614477718001729</v>
      </c>
      <c r="R68">
        <v>0.62219562660691996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0.47321052383313328</v>
      </c>
      <c r="Q69">
        <v>0.47321052383313328</v>
      </c>
      <c r="R69">
        <v>0.585941900127671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0.42114267029873143</v>
      </c>
      <c r="Q70">
        <v>0.42114267029873143</v>
      </c>
      <c r="R70">
        <v>0.55106749731895333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0.37008531596833544</v>
      </c>
      <c r="Q71">
        <v>0.37008531596833544</v>
      </c>
      <c r="R71">
        <v>0.51758082055737475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0.32014621642941443</v>
      </c>
      <c r="Q72">
        <v>0.32014621642941443</v>
      </c>
      <c r="R72">
        <v>0.48547215667074578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0.27140187231687235</v>
      </c>
      <c r="Q73">
        <v>0.27140187231687235</v>
      </c>
      <c r="R73">
        <v>0.45471777617189474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0.22390223120616223</v>
      </c>
      <c r="Q74">
        <v>0.22390223120616223</v>
      </c>
      <c r="R74">
        <v>0.42528331634449712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0.17767500149055396</v>
      </c>
      <c r="Q75">
        <v>0.17767500149055396</v>
      </c>
      <c r="R75">
        <v>0.39712656612085145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0.13272957532053672</v>
      </c>
      <c r="Q76">
        <v>0.13272957532053672</v>
      </c>
      <c r="R76">
        <v>0.37019974808508055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8.9060563706194376E-2</v>
      </c>
      <c r="Q77">
        <v>8.9060563706194376E-2</v>
      </c>
      <c r="R77">
        <v>0.34445137766853778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4.6650954987410995E-2</v>
      </c>
      <c r="Q78">
        <v>4.6650954987410995E-2</v>
      </c>
      <c r="R78">
        <v>0.31982776739901991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5.469167248226995E-3</v>
      </c>
      <c r="Q79">
        <v>5.469167248226995E-3</v>
      </c>
      <c r="R79">
        <v>0.29627423477651588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</v>
      </c>
      <c r="Q80">
        <v>0</v>
      </c>
      <c r="R80">
        <v>0.23512272839443882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</v>
      </c>
      <c r="Q81">
        <v>0</v>
      </c>
      <c r="R81">
        <v>0.18087914913620051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</v>
      </c>
      <c r="Q82">
        <v>0</v>
      </c>
      <c r="R82">
        <v>0.13249064481869405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</v>
      </c>
      <c r="Q83">
        <v>0</v>
      </c>
      <c r="R83">
        <v>8.9068615178731603E-2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</v>
      </c>
      <c r="Q84">
        <v>0</v>
      </c>
      <c r="R84">
        <v>4.9902676948977834E-2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</v>
      </c>
      <c r="Q85">
        <v>0</v>
      </c>
      <c r="R85">
        <v>1.4460330224812166E-2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</v>
      </c>
      <c r="Q86">
        <v>0</v>
      </c>
      <c r="R86">
        <v>0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</v>
      </c>
      <c r="Q87">
        <v>0</v>
      </c>
      <c r="R87">
        <v>0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</v>
      </c>
      <c r="Q88">
        <v>0</v>
      </c>
      <c r="R88">
        <v>0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</v>
      </c>
      <c r="Q89">
        <v>0</v>
      </c>
      <c r="R89">
        <v>0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</v>
      </c>
      <c r="Q90">
        <v>0</v>
      </c>
      <c r="R90">
        <v>0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</v>
      </c>
      <c r="Q91">
        <v>0</v>
      </c>
      <c r="R91">
        <v>0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</v>
      </c>
      <c r="Q92">
        <v>0</v>
      </c>
      <c r="R92">
        <v>0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</v>
      </c>
      <c r="Q93">
        <v>0</v>
      </c>
      <c r="R93">
        <v>0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</v>
      </c>
      <c r="Q94">
        <v>0</v>
      </c>
      <c r="R94">
        <v>0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</v>
      </c>
      <c r="Q95">
        <v>0</v>
      </c>
      <c r="R95">
        <v>0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</v>
      </c>
      <c r="Q96">
        <v>0</v>
      </c>
      <c r="R96">
        <v>0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</v>
      </c>
      <c r="Q97">
        <v>0</v>
      </c>
      <c r="R97">
        <v>0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</v>
      </c>
      <c r="Q98">
        <v>0</v>
      </c>
      <c r="R98">
        <v>0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3"/>
  <dimension ref="A1:AC176"/>
  <sheetViews>
    <sheetView zoomScale="70" zoomScaleNormal="70" workbookViewId="0">
      <selection activeCell="B1" sqref="B1"/>
    </sheetView>
  </sheetViews>
  <sheetFormatPr defaultRowHeight="15" x14ac:dyDescent="0.25"/>
  <sheetData>
    <row r="1" spans="1:16" x14ac:dyDescent="0.25">
      <c r="A1" t="str">
        <f>версия_</f>
        <v>вер 7.6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___5"/>
  <dimension ref="A1:K29"/>
  <sheetViews>
    <sheetView zoomScale="80" zoomScaleNormal="80" workbookViewId="0">
      <selection activeCell="E21" sqref="E21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7.6</v>
      </c>
    </row>
    <row r="4" spans="1:11" x14ac:dyDescent="0.25">
      <c r="B4" s="53" t="s">
        <v>176</v>
      </c>
      <c r="C4" s="54">
        <v>80</v>
      </c>
      <c r="D4" s="53" t="s">
        <v>177</v>
      </c>
    </row>
    <row r="5" spans="1:11" x14ac:dyDescent="0.25">
      <c r="B5" s="53" t="s">
        <v>178</v>
      </c>
      <c r="C5" s="54">
        <v>2000</v>
      </c>
      <c r="D5" s="53" t="s">
        <v>179</v>
      </c>
      <c r="G5" t="s">
        <v>193</v>
      </c>
      <c r="H5">
        <f>G29</f>
        <v>22</v>
      </c>
    </row>
    <row r="6" spans="1:11" x14ac:dyDescent="0.25">
      <c r="B6" s="53" t="s">
        <v>180</v>
      </c>
      <c r="C6" s="54">
        <v>50</v>
      </c>
      <c r="D6" s="53" t="s">
        <v>181</v>
      </c>
    </row>
    <row r="7" spans="1:11" x14ac:dyDescent="0.25">
      <c r="B7" s="53" t="s">
        <v>182</v>
      </c>
      <c r="C7" s="55">
        <f>[1]!ESP_IDbyRate(ESP_rate_nom_)</f>
        <v>1006</v>
      </c>
      <c r="D7" s="53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3" t="s">
        <v>183</v>
      </c>
      <c r="C8" s="55" t="str">
        <f>[1]!ESP_name(ESP_ID_)</f>
        <v>ВНН5-80</v>
      </c>
      <c r="D8" s="53"/>
      <c r="G8">
        <v>1</v>
      </c>
      <c r="H8" s="56">
        <v>1</v>
      </c>
      <c r="I8" s="50">
        <v>2202.8561602786194</v>
      </c>
      <c r="J8" s="50">
        <v>29.186480609850001</v>
      </c>
      <c r="K8" s="58">
        <v>5.303653716400898E-3</v>
      </c>
    </row>
    <row r="9" spans="1:11" x14ac:dyDescent="0.25">
      <c r="B9" s="53" t="s">
        <v>184</v>
      </c>
      <c r="C9" s="55">
        <f>[1]!ESP_maxRate_m3day(ESP_freq_,ESP_ID_)*1</f>
        <v>175</v>
      </c>
      <c r="D9" s="53"/>
      <c r="G9">
        <v>2</v>
      </c>
      <c r="H9" s="57">
        <f t="shared" ref="H9:H29" si="0">(ESP_qmax_)/(pts_-1)+H8</f>
        <v>9.3333333333333339</v>
      </c>
      <c r="I9" s="50">
        <v>2201.1756613867001</v>
      </c>
      <c r="J9" s="50">
        <v>30.054284044519342</v>
      </c>
      <c r="K9" s="58">
        <v>5.9798422240257637E-2</v>
      </c>
    </row>
    <row r="10" spans="1:11" x14ac:dyDescent="0.25">
      <c r="B10" s="53" t="s">
        <v>185</v>
      </c>
      <c r="C10" s="55">
        <f>INT(ESP_head_nom_/[1]!ESP_head_m(ESP_rate_nom_,1,,ESP_ID_))</f>
        <v>334</v>
      </c>
      <c r="D10" s="53" t="s">
        <v>186</v>
      </c>
      <c r="G10">
        <v>3</v>
      </c>
      <c r="H10" s="57">
        <f t="shared" si="0"/>
        <v>17.666666666666668</v>
      </c>
      <c r="I10" s="50">
        <v>2213.9094679222317</v>
      </c>
      <c r="J10" s="50">
        <v>30.606863386339015</v>
      </c>
      <c r="K10" s="58">
        <v>0.12804941373365702</v>
      </c>
    </row>
    <row r="11" spans="1:11" x14ac:dyDescent="0.25">
      <c r="G11">
        <v>4</v>
      </c>
      <c r="H11" s="57">
        <f t="shared" si="0"/>
        <v>26</v>
      </c>
      <c r="I11" s="50">
        <v>2229.8692070987081</v>
      </c>
      <c r="J11" s="50">
        <v>30.958139368905435</v>
      </c>
      <c r="K11" s="58">
        <v>0.20292764396578544</v>
      </c>
    </row>
    <row r="12" spans="1:11" x14ac:dyDescent="0.25">
      <c r="G12">
        <v>5</v>
      </c>
      <c r="H12" s="57">
        <f t="shared" si="0"/>
        <v>34.333333333333336</v>
      </c>
      <c r="I12" s="50">
        <v>2240.2781240080917</v>
      </c>
      <c r="J12" s="50">
        <v>31.20173424449095</v>
      </c>
      <c r="K12" s="58">
        <v>0.27857044950224974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7">
        <f t="shared" si="0"/>
        <v>42.666666666666671</v>
      </c>
      <c r="I13" s="50">
        <v>2238.5363986108637</v>
      </c>
      <c r="J13" s="50">
        <v>31.412726700129479</v>
      </c>
      <c r="K13" s="58">
        <v>0.3502759601447491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7">
        <f t="shared" si="0"/>
        <v>51.000000000000007</v>
      </c>
      <c r="I14" s="50">
        <v>2219.9864627260745</v>
      </c>
      <c r="J14" s="50">
        <v>31.649406773702047</v>
      </c>
      <c r="K14" s="58">
        <v>0.41439757137074601</v>
      </c>
    </row>
    <row r="15" spans="1:11" x14ac:dyDescent="0.25">
      <c r="G15">
        <v>8</v>
      </c>
      <c r="H15" s="57">
        <f t="shared" si="0"/>
        <v>59.333333333333343</v>
      </c>
      <c r="I15" s="50">
        <v>2181.6783170213971</v>
      </c>
      <c r="J15" s="50">
        <v>31.955030770022557</v>
      </c>
      <c r="K15" s="58">
        <v>0.46823841677313949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7">
        <f t="shared" si="0"/>
        <v>67.666666666666671</v>
      </c>
      <c r="I16" s="50">
        <v>2122.1348480031738</v>
      </c>
      <c r="J16" s="50">
        <v>32.359576176923255</v>
      </c>
      <c r="K16" s="58">
        <v>0.50994584049993563</v>
      </c>
    </row>
    <row r="17" spans="7:11" x14ac:dyDescent="0.25">
      <c r="G17">
        <v>10</v>
      </c>
      <c r="H17" s="57">
        <f t="shared" si="0"/>
        <v>76</v>
      </c>
      <c r="I17" s="50">
        <v>2041.1171450064667</v>
      </c>
      <c r="J17" s="50">
        <v>32.88149658134045</v>
      </c>
      <c r="K17" s="58">
        <v>0.53840586969392079</v>
      </c>
    </row>
    <row r="18" spans="7:11" x14ac:dyDescent="0.25">
      <c r="G18">
        <v>11</v>
      </c>
      <c r="H18" s="57">
        <f t="shared" si="0"/>
        <v>84.333333333333329</v>
      </c>
      <c r="I18" s="50">
        <v>1939.3898171851113</v>
      </c>
      <c r="J18" s="50">
        <v>33.529476585400104</v>
      </c>
      <c r="K18" s="58">
        <v>0.55313768693233167</v>
      </c>
    </row>
    <row r="19" spans="7:11" x14ac:dyDescent="0.25">
      <c r="G19">
        <v>12</v>
      </c>
      <c r="H19" s="57">
        <f t="shared" si="0"/>
        <v>92.666666666666657</v>
      </c>
      <c r="I19" s="50">
        <v>1818.4863105017628</v>
      </c>
      <c r="J19" s="50">
        <v>34.304186722503474</v>
      </c>
      <c r="K19" s="58">
        <v>0.55418810266652963</v>
      </c>
    </row>
    <row r="20" spans="7:11" x14ac:dyDescent="0.25">
      <c r="G20">
        <v>13</v>
      </c>
      <c r="H20" s="57">
        <f t="shared" si="0"/>
        <v>100.99999999999999</v>
      </c>
      <c r="I20" s="50">
        <v>1680.4742247179488</v>
      </c>
      <c r="J20" s="50">
        <v>35.200038373412738</v>
      </c>
      <c r="K20" s="58">
        <v>0.5420260276616683</v>
      </c>
    </row>
    <row r="21" spans="7:11" x14ac:dyDescent="0.25">
      <c r="G21">
        <v>14</v>
      </c>
      <c r="H21" s="57">
        <f t="shared" si="0"/>
        <v>109.33333333333331</v>
      </c>
      <c r="I21" s="50">
        <v>1527.7206303841197</v>
      </c>
      <c r="J21" s="50">
        <v>36.206938682336592</v>
      </c>
      <c r="K21" s="58">
        <v>0.51743694543637142</v>
      </c>
    </row>
    <row r="22" spans="7:11" x14ac:dyDescent="0.25">
      <c r="G22">
        <v>15</v>
      </c>
      <c r="H22" s="57">
        <f t="shared" si="0"/>
        <v>117.66666666666664</v>
      </c>
      <c r="I22" s="50">
        <v>1362.6573858296981</v>
      </c>
      <c r="J22" s="50">
        <v>37.312045473015914</v>
      </c>
      <c r="K22" s="58">
        <v>0.48141738470239931</v>
      </c>
    </row>
    <row r="23" spans="7:11" x14ac:dyDescent="0.25">
      <c r="G23">
        <v>16</v>
      </c>
      <c r="H23" s="57">
        <f t="shared" si="0"/>
        <v>125.99999999999997</v>
      </c>
      <c r="I23" s="50">
        <v>1187.5464541531296</v>
      </c>
      <c r="J23" s="50">
        <v>38.501522164809316</v>
      </c>
      <c r="K23" s="58">
        <v>0.43506939180432336</v>
      </c>
    </row>
    <row r="24" spans="7:11" x14ac:dyDescent="0.25">
      <c r="G24">
        <v>17</v>
      </c>
      <c r="H24" s="57">
        <f t="shared" si="0"/>
        <v>134.33333333333331</v>
      </c>
      <c r="I24" s="50">
        <v>1004.2452202119335</v>
      </c>
      <c r="J24" s="50">
        <v>39.762292688778885</v>
      </c>
      <c r="K24" s="58">
        <v>0.37949500315919615</v>
      </c>
    </row>
    <row r="25" spans="7:11" x14ac:dyDescent="0.25">
      <c r="G25">
        <v>18</v>
      </c>
      <c r="H25" s="57">
        <f t="shared" si="0"/>
        <v>142.66666666666666</v>
      </c>
      <c r="I25" s="50">
        <v>813.97180761275365</v>
      </c>
      <c r="J25" s="50">
        <v>41.083796403775679</v>
      </c>
      <c r="K25" s="58">
        <v>0.31569071769622825</v>
      </c>
    </row>
    <row r="26" spans="7:11" x14ac:dyDescent="0.25">
      <c r="G26">
        <v>19</v>
      </c>
      <c r="H26" s="57">
        <f t="shared" si="0"/>
        <v>151</v>
      </c>
      <c r="I26" s="50">
        <v>617.07039570140614</v>
      </c>
      <c r="J26" s="50">
        <v>42.459743012525372</v>
      </c>
      <c r="K26" s="58">
        <v>0.2444419692964519</v>
      </c>
    </row>
    <row r="27" spans="7:11" x14ac:dyDescent="0.25">
      <c r="G27">
        <v>20</v>
      </c>
      <c r="H27" s="57">
        <f t="shared" si="0"/>
        <v>159.33333333333334</v>
      </c>
      <c r="I27" s="50">
        <v>412.77653655292869</v>
      </c>
      <c r="J27" s="50">
        <v>43.889867477714084</v>
      </c>
      <c r="K27" s="58">
        <v>0.16621759923240109</v>
      </c>
    </row>
    <row r="28" spans="7:11" x14ac:dyDescent="0.25">
      <c r="G28">
        <v>21</v>
      </c>
      <c r="H28" s="57">
        <f t="shared" si="0"/>
        <v>167.66666666666669</v>
      </c>
      <c r="I28" s="50">
        <v>198.98247196164161</v>
      </c>
      <c r="J28" s="50">
        <v>45.38168493807359</v>
      </c>
      <c r="K28" s="58">
        <v>8.1064328607772129E-2</v>
      </c>
    </row>
    <row r="29" spans="7:11" x14ac:dyDescent="0.25">
      <c r="G29">
        <v>22</v>
      </c>
      <c r="H29" s="57">
        <f t="shared" si="0"/>
        <v>176.00000000000003</v>
      </c>
      <c r="I29" s="50">
        <v>0</v>
      </c>
      <c r="J29" s="50">
        <v>0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___2"/>
  <dimension ref="A1:AH58"/>
  <sheetViews>
    <sheetView tabSelected="1" zoomScale="70" zoomScaleNormal="70" workbookViewId="0">
      <selection activeCell="AA13" sqref="AA13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7.6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2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3</v>
      </c>
      <c r="AC3" t="s">
        <v>145</v>
      </c>
      <c r="AG3">
        <v>2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45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90</v>
      </c>
      <c r="R7" s="5" t="s">
        <v>44</v>
      </c>
      <c r="AC7" t="s">
        <v>149</v>
      </c>
    </row>
    <row r="8" spans="1:34" ht="18" x14ac:dyDescent="0.35">
      <c r="B8" s="7" t="s">
        <v>34</v>
      </c>
      <c r="C8" s="12" t="s">
        <v>63</v>
      </c>
      <c r="D8" s="5" t="s">
        <v>35</v>
      </c>
      <c r="P8" s="14" t="s">
        <v>197</v>
      </c>
      <c r="Q8" s="9">
        <v>45</v>
      </c>
      <c r="R8" s="5" t="s">
        <v>44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45</v>
      </c>
      <c r="R10" s="5" t="s">
        <v>44</v>
      </c>
      <c r="S10" s="14" t="s">
        <v>55</v>
      </c>
      <c r="T10" s="25">
        <v>30</v>
      </c>
      <c r="U10" s="5" t="s">
        <v>25</v>
      </c>
    </row>
    <row r="11" spans="1:34" ht="18" x14ac:dyDescent="0.35">
      <c r="P11" s="14" t="s">
        <v>46</v>
      </c>
      <c r="Q11" s="25">
        <v>45.073299407958984</v>
      </c>
      <c r="R11" s="5" t="s">
        <v>44</v>
      </c>
      <c r="S11" s="14" t="s">
        <v>56</v>
      </c>
      <c r="T11" s="25">
        <v>30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83.08324955143955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45.073299407958984</v>
      </c>
      <c r="P16">
        <v>0</v>
      </c>
      <c r="Q16">
        <v>30</v>
      </c>
      <c r="U16">
        <v>0</v>
      </c>
      <c r="V16" s="50">
        <f>Pline_out_atma_</f>
        <v>45</v>
      </c>
      <c r="W16">
        <v>0</v>
      </c>
      <c r="X16">
        <v>45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58.909809821475207</v>
      </c>
      <c r="P17">
        <v>194.44444444444446</v>
      </c>
      <c r="Q17">
        <v>30.648148148148149</v>
      </c>
      <c r="U17">
        <v>0</v>
      </c>
      <c r="V17" s="50">
        <f>Pbuf_out_atma_</f>
        <v>45.073299407958984</v>
      </c>
      <c r="W17">
        <v>131.63157894736841</v>
      </c>
      <c r="X17">
        <v>45.559321455072279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73.874734030994816</v>
      </c>
      <c r="P18">
        <v>388.88888888888891</v>
      </c>
      <c r="Q18">
        <v>31.296296296296294</v>
      </c>
      <c r="U18">
        <f>Hperf_m_</f>
        <v>3500</v>
      </c>
      <c r="V18" s="50">
        <f>Pwf_out_atma_</f>
        <v>83.08324955143955</v>
      </c>
      <c r="W18">
        <v>263.26315789473682</v>
      </c>
      <c r="X18">
        <v>46.124473217434968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89.433375908328529</v>
      </c>
      <c r="P19">
        <v>583.33333333333337</v>
      </c>
      <c r="Q19">
        <v>31.944444444444446</v>
      </c>
      <c r="W19">
        <v>394.8947368421052</v>
      </c>
      <c r="X19">
        <v>46.695502838073764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105.13328039891674</v>
      </c>
      <c r="P20">
        <v>777.77777777777783</v>
      </c>
      <c r="Q20">
        <v>32.592592592592588</v>
      </c>
      <c r="W20">
        <v>526.52631578947364</v>
      </c>
      <c r="X20">
        <v>47.27342874589111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120.79244560579485</v>
      </c>
      <c r="P21">
        <v>972.22222222222229</v>
      </c>
      <c r="Q21">
        <v>33.24074074074074</v>
      </c>
      <c r="W21">
        <v>658.15789473684208</v>
      </c>
      <c r="X21">
        <v>47.857529180455764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135.83890640201395</v>
      </c>
      <c r="P22">
        <v>1166.6666666666667</v>
      </c>
      <c r="Q22">
        <v>33.864444444444445</v>
      </c>
      <c r="W22">
        <v>789.78947368421041</v>
      </c>
      <c r="X22">
        <v>48.447666584399208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150.31643471783585</v>
      </c>
      <c r="P23">
        <v>1361.1111111111113</v>
      </c>
      <c r="Q23">
        <v>34.465370370370373</v>
      </c>
      <c r="W23">
        <v>921.42105263157885</v>
      </c>
      <c r="X23">
        <v>49.044694161377613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164.18895914917167</v>
      </c>
      <c r="P24">
        <v>1555.5555555555557</v>
      </c>
      <c r="Q24">
        <v>36.505000000000003</v>
      </c>
      <c r="W24">
        <v>1053.0526315789473</v>
      </c>
      <c r="X24">
        <v>49.648258794508685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177.40312380229162</v>
      </c>
      <c r="P25">
        <v>1750</v>
      </c>
      <c r="Q25">
        <v>44.762500000000003</v>
      </c>
      <c r="W25">
        <v>1184.6842105263156</v>
      </c>
      <c r="X25">
        <v>50.258055706462926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189.92505114245785</v>
      </c>
      <c r="P26">
        <v>1944.4444444444446</v>
      </c>
      <c r="Q26">
        <v>53.431111111111115</v>
      </c>
      <c r="W26">
        <v>1316.3157894736842</v>
      </c>
      <c r="X26">
        <v>50.874796777306692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201.76559548047098</v>
      </c>
      <c r="P27">
        <v>2138.8888888888891</v>
      </c>
      <c r="Q27">
        <v>61.684166666666677</v>
      </c>
      <c r="W27">
        <v>1447.9473684210525</v>
      </c>
      <c r="X27">
        <v>51.498536304592413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212.93640798696882</v>
      </c>
      <c r="P28">
        <v>2333.3333333333335</v>
      </c>
      <c r="Q28">
        <v>69.521666666666675</v>
      </c>
      <c r="W28">
        <v>1579.5789473684208</v>
      </c>
      <c r="X28">
        <v>52.127535346224022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222.00411295260537</v>
      </c>
      <c r="P29">
        <v>2500</v>
      </c>
      <c r="Q29">
        <v>75.92</v>
      </c>
      <c r="W29">
        <v>1711.2105263157894</v>
      </c>
      <c r="X29">
        <v>52.752920160829177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68.548439527948545</v>
      </c>
      <c r="P30">
        <v>2501</v>
      </c>
      <c r="Q30">
        <v>75.956850000000003</v>
      </c>
      <c r="W30">
        <v>1842.8421052631577</v>
      </c>
      <c r="X30">
        <v>53.370493756619091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69.550104505695984</v>
      </c>
      <c r="P31">
        <v>2527.7777777777778</v>
      </c>
      <c r="Q31">
        <v>76.943316555555555</v>
      </c>
      <c r="W31">
        <v>1974.4736842105262</v>
      </c>
      <c r="X31">
        <v>53.981689440241503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76.539049773027898</v>
      </c>
      <c r="P32">
        <v>2722.2222222222226</v>
      </c>
      <c r="Q32">
        <v>83.943663650793667</v>
      </c>
      <c r="W32">
        <v>2106.1052631578946</v>
      </c>
      <c r="X32">
        <v>54.586890882956986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79.176498989944889</v>
      </c>
      <c r="P33">
        <v>2916.666666666667</v>
      </c>
      <c r="Q33">
        <v>87.204166666666666</v>
      </c>
      <c r="W33">
        <v>2237.7368421052629</v>
      </c>
      <c r="X33">
        <v>55.186113310174846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80.480397434413646</v>
      </c>
      <c r="P34">
        <v>3111.1111111111113</v>
      </c>
      <c r="Q34">
        <v>88.136111111111106</v>
      </c>
      <c r="W34">
        <v>2266.0220222899934</v>
      </c>
      <c r="X34">
        <v>55.314284633295834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81.782662083702633</v>
      </c>
      <c r="P35">
        <v>3305.5555555555557</v>
      </c>
      <c r="Q35">
        <v>89.068055555555546</v>
      </c>
      <c r="W35">
        <v>2369.3684210526312</v>
      </c>
      <c r="X35">
        <v>61.27252462954884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83.08324955143955</v>
      </c>
      <c r="P36">
        <v>3500</v>
      </c>
      <c r="Q36">
        <v>90</v>
      </c>
      <c r="W36">
        <v>2501</v>
      </c>
      <c r="X36">
        <v>68.548439527948545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C38" s="18">
        <v>2625</v>
      </c>
      <c r="D38" s="18">
        <v>186.511102757185</v>
      </c>
      <c r="E38" s="18">
        <v>54</v>
      </c>
    </row>
    <row r="39" spans="2:24" x14ac:dyDescent="0.25">
      <c r="C39" s="18">
        <v>2750</v>
      </c>
      <c r="D39" s="18">
        <v>196.298712131494</v>
      </c>
      <c r="E39" s="18">
        <v>55</v>
      </c>
    </row>
    <row r="40" spans="2:24" x14ac:dyDescent="0.25">
      <c r="C40" s="18">
        <v>2875</v>
      </c>
      <c r="D40" s="18">
        <v>206.08632150580399</v>
      </c>
      <c r="E40" s="18">
        <v>56</v>
      </c>
    </row>
    <row r="41" spans="2:24" x14ac:dyDescent="0.25">
      <c r="C41" s="18">
        <v>3000</v>
      </c>
      <c r="D41" s="18">
        <v>215.87393088011299</v>
      </c>
      <c r="E41" s="18">
        <v>57</v>
      </c>
    </row>
    <row r="42" spans="2:24" x14ac:dyDescent="0.25">
      <c r="C42" s="18">
        <v>3125</v>
      </c>
      <c r="D42" s="18">
        <v>225.66154025442199</v>
      </c>
      <c r="E42" s="18">
        <v>58</v>
      </c>
    </row>
    <row r="43" spans="2:24" x14ac:dyDescent="0.25">
      <c r="C43" s="18">
        <v>3250</v>
      </c>
      <c r="D43" s="18">
        <v>235.44914962873099</v>
      </c>
      <c r="E43" s="18">
        <v>59</v>
      </c>
    </row>
    <row r="44" spans="2:24" x14ac:dyDescent="0.25">
      <c r="C44" s="18">
        <v>3375</v>
      </c>
      <c r="D44" s="18">
        <v>245.23675900304099</v>
      </c>
      <c r="E44" s="18">
        <v>60</v>
      </c>
    </row>
    <row r="52" spans="21:31" x14ac:dyDescent="0.25">
      <c r="U52">
        <f t="array" ref="U52:AE53">[1]!Well_Plin_Pwf_atma(150,10,10,30)</f>
        <v>0</v>
      </c>
      <c r="V52">
        <v>0</v>
      </c>
      <c r="W52">
        <v>0</v>
      </c>
      <c r="X52">
        <v>3.8754603933627489</v>
      </c>
      <c r="Y52">
        <v>3.8754603933627489</v>
      </c>
      <c r="Z52">
        <v>10</v>
      </c>
      <c r="AA52">
        <v>30</v>
      </c>
      <c r="AB52">
        <v>1800</v>
      </c>
      <c r="AC52">
        <v>1063.6819155541707</v>
      </c>
      <c r="AD52">
        <v>50</v>
      </c>
      <c r="AE52">
        <v>0.64150029893990901</v>
      </c>
    </row>
    <row r="53" spans="21:31" x14ac:dyDescent="0.25">
      <c r="U53">
        <v>0</v>
      </c>
      <c r="V53" t="str">
        <v>Pline_atma</v>
      </c>
      <c r="W53" t="str">
        <v>Pbuf_atma</v>
      </c>
      <c r="X53" t="str">
        <v>Pdis_atma</v>
      </c>
      <c r="Y53" t="str">
        <v>Pint_atma</v>
      </c>
      <c r="Z53" t="str">
        <v>Pwf_atma</v>
      </c>
      <c r="AA53" t="str">
        <v>Pcas_atma</v>
      </c>
      <c r="AB53" t="str">
        <v>Hdyn_m</v>
      </c>
      <c r="AC53" t="str">
        <v>ESP.Power_CS_calc_W</v>
      </c>
      <c r="AD53" t="str">
        <v>ESP.freq_Hz</v>
      </c>
      <c r="AE53" t="str">
        <v>ESP.I_A</v>
      </c>
    </row>
    <row r="56" spans="21:31" x14ac:dyDescent="0.25">
      <c r="U56" t="str">
        <f>[1]!ESP_Encode_string()</f>
        <v>ESP_ID:1005.00000;HeadNom_m:2000.00000;ESPfreq_Hz:50.00000;ESP_U_V:1000.00000;MotorPowerNom_kW:30.00000;Tint_C:85.00000;Tdis_C:25.00000;KsepGS_fr:0.00000;</v>
      </c>
    </row>
    <row r="58" spans="21:31" x14ac:dyDescent="0.25">
      <c r="U58">
        <f>[1]!ESP_IDbyRate(50)</f>
        <v>1005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131</vt:i4>
      </vt:variant>
    </vt:vector>
  </HeadingPairs>
  <TitlesOfParts>
    <vt:vector size="136" baseType="lpstr">
      <vt:lpstr>Unifloc</vt:lpstr>
      <vt:lpstr>PVT</vt:lpstr>
      <vt:lpstr>Construction</vt:lpstr>
      <vt:lpstr>ESP</vt:lpstr>
      <vt:lpstr>Calc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ESP!Head_ESP_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Calc!hmes_tamb_out_m_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Calc!hvert_tamb_out_m_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PVT_selector_</vt:lpstr>
      <vt:lpstr>Pwf_atma_</vt:lpstr>
      <vt:lpstr>Pwf_out_atma_</vt:lpstr>
      <vt:lpstr>ESP!Q_ESP_</vt:lpstr>
      <vt:lpstr>Calc!Ql_scm3day_</vt:lpstr>
      <vt:lpstr>PVT!Ql_scm3day_</vt:lpstr>
      <vt:lpstr>PVT!Qo_sctday_</vt:lpstr>
      <vt:lpstr>rhoo_list1_</vt:lpstr>
      <vt:lpstr>rhoo_list2_</vt:lpstr>
      <vt:lpstr>rhoo_list3_</vt:lpstr>
      <vt:lpstr>Calc!Rp_m3m3_</vt:lpstr>
      <vt:lpstr>PVT!Rp_m3m3_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Calc!tamb_out_C_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Calc!wc_perc_</vt:lpstr>
      <vt:lpstr>PVT!wc_perc_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2019-05-22T08:57:46Z</dcterms:modified>
</cp:coreProperties>
</file>