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7A39B37D-CC45-485F-853D-B5A4E39F174B}" xr6:coauthVersionLast="43" xr6:coauthVersionMax="43" xr10:uidLastSave="{00000000-0000-0000-0000-000000000000}"/>
  <bookViews>
    <workbookView xWindow="-98" yWindow="-98" windowWidth="20715" windowHeight="13276" tabRatio="529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Calc" sheetId="2" r:id="rId5"/>
  </sheets>
  <externalReferences>
    <externalReference r:id="rId6"/>
  </externalReferences>
  <definedNames>
    <definedName name="betta_fric_">Calc!$H$7</definedName>
    <definedName name="betta_grav_">Calc!$H$6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ESP!$C$33</definedName>
    <definedName name="Hlout_">Calc!$S$16:$S$36</definedName>
    <definedName name="Hlout_hmes_m_">Calc!$R$16:$R$36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out_">Calc!$N$17:$N$36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Calc!$D$17:$D$352</definedName>
    <definedName name="Pb_atma_" localSheetId="1">PVT!$G$15</definedName>
    <definedName name="Pb_diff_">PVT!$W$33</definedName>
    <definedName name="Pbuf_atma_">Calc!$Q$6</definedName>
    <definedName name="Pbuf_out_atma_">Calc!$Q$11</definedName>
    <definedName name="Pcas_atma_">Calc!$Q$8</definedName>
    <definedName name="Pcas_hmes_">Calc!$W$16:$W$36</definedName>
    <definedName name="Pcas_out_atma_">Calc!$X$16:$X$36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ower_Motor_nom_">ESP!$C$14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>Calc!$X$3</definedName>
    <definedName name="Pwf_atma_">Calc!$Q$7</definedName>
    <definedName name="Pwf_out_atma_">Calc!$Q$12</definedName>
    <definedName name="Q_ESP_" localSheetId="3">ESP!$C$32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4">Calc!$C$9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_V_">ESP!$C$13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U58" i="2"/>
  <c r="U52" i="2" a="1"/>
  <c r="U56" i="2"/>
  <c r="C7" i="7"/>
  <c r="W52" i="2" l="1"/>
  <c r="AE52" i="2"/>
  <c r="AB53" i="2"/>
  <c r="Y52" i="2"/>
  <c r="AD53" i="2"/>
  <c r="AE53" i="2"/>
  <c r="X53" i="2"/>
  <c r="AB52" i="2"/>
  <c r="Y53" i="2"/>
  <c r="Z53" i="2"/>
  <c r="AD52" i="2"/>
  <c r="X52" i="2"/>
  <c r="U53" i="2"/>
  <c r="AC53" i="2"/>
  <c r="V53" i="2"/>
  <c r="Z52" i="2"/>
  <c r="W53" i="2"/>
  <c r="AA52" i="2"/>
  <c r="U52" i="2"/>
  <c r="AC52" i="2"/>
  <c r="V52" i="2"/>
  <c r="AA53" i="2"/>
  <c r="K11" i="4"/>
  <c r="K9" i="4"/>
  <c r="K8" i="4"/>
  <c r="C8" i="7"/>
  <c r="C36" i="4"/>
  <c r="C23" i="4"/>
  <c r="C26" i="4"/>
  <c r="I34" i="4"/>
  <c r="E34" i="4"/>
  <c r="M40" i="4"/>
  <c r="C49" i="4"/>
  <c r="E36" i="4"/>
  <c r="C45" i="4"/>
  <c r="M34" i="4"/>
  <c r="M36" i="4"/>
  <c r="C32" i="4"/>
  <c r="E33" i="4"/>
  <c r="C34" i="4"/>
  <c r="I32" i="4"/>
  <c r="V33" i="4"/>
  <c r="C43" i="4"/>
  <c r="E32" i="4"/>
  <c r="T35" i="4"/>
  <c r="T33" i="4"/>
  <c r="M37" i="4"/>
  <c r="I35" i="4"/>
  <c r="C10" i="7"/>
  <c r="C33" i="4"/>
  <c r="C9" i="7"/>
  <c r="I36" i="4"/>
  <c r="E35" i="4"/>
  <c r="I37" i="4"/>
  <c r="C35" i="4"/>
  <c r="E37" i="4"/>
  <c r="M35" i="4"/>
  <c r="M33" i="4"/>
  <c r="C44" i="4"/>
  <c r="M32" i="4"/>
  <c r="I33" i="4"/>
  <c r="C40" i="4"/>
  <c r="G23" i="4"/>
  <c r="C37" i="4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A36" i="4"/>
  <c r="AA35" i="4"/>
  <c r="AB36" i="4"/>
  <c r="AB35" i="4"/>
  <c r="W38" i="4"/>
  <c r="W37" i="4"/>
  <c r="V36" i="4"/>
  <c r="T36" i="4"/>
  <c r="T34" i="4"/>
  <c r="V34" i="4"/>
  <c r="C27" i="4"/>
  <c r="V35" i="4"/>
  <c r="C28" i="4"/>
  <c r="A1" i="2" l="1"/>
  <c r="A1" i="7"/>
  <c r="A1" i="4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<sst xmlns="http://schemas.openxmlformats.org/spreadsheetml/2006/main" count="299" uniqueCount="205">
  <si>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</si>
  <si>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</si>
  <si>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</si>
  <si>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</si>
  <si>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</si>
  <si>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</si>
  <si>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</si>
  <si>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</si>
  <si>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</si>
  <si>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</si>
  <si>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</si>
  <si>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</si>
  <si>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</si>
  <si>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</si>
  <si>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</si>
  <si>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</si>
  <si>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</si>
  <si>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</si>
  <si>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</si>
  <si>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</si>
  <si>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</si>
  <si>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</si>
  <si>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</si>
  <si>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</si>
  <si>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</si>
  <si>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</si>
  <si>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</si>
  <si>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</si>
  <si>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</si>
  <si>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</si>
  <si>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</si>
  <si>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</si>
  <si>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</si>
  <si>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</si>
  <si>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</si>
  <si>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</si>
  <si>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</si>
  <si>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</si>
  <si>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</si>
  <si>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</si>
  <si>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</si>
  <si>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</si>
  <si>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</si>
  <si>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</si>
  <si>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</si>
  <si>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</si>
  <si>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</si>
  <si>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</si>
  <si>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</si>
  <si>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</si>
  <si>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</si>
  <si>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</si>
  <si>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</si>
  <si>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</si>
  <si>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</si>
  <si>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</si>
  <si>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</si>
  <si>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</si>
  <si>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</si>
  <si>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</si>
  <si>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</si>
  <si>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</si>
  <si>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</si>
  <si>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</si>
  <si>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</si>
  <si>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</si>
  <si>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</si>
  <si>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</si>
  <si>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</si>
  <si>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</si>
  <si>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</si>
  <si>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</si>
  <si>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</si>
  <si>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</si>
  <si>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</si>
  <si>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</si>
  <si>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</si>
  <si>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</si>
  <si>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</si>
  <si>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</si>
  <si>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</si>
  <si>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</si>
  <si>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</si>
  <si>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</si>
  <si>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</si>
  <si>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</si>
  <si>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</si>
  <si>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</si>
  <si>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</si>
  <si>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</si>
  <si>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</si>
  <si>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</si>
  <si>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</si>
  <si>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</si>
  <si>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</si>
  <si>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</si>
  <si>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</si>
  <si>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</si>
  <si>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</si>
  <si>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</si>
  <si>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</si>
  <si>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</si>
  <si>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</si>
  <si>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</si>
  <si>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</si>
  <si>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</si>
  <si>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</si>
  <si>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</si>
  <si>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</si>
  <si>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</si>
  <si>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</si>
  <si>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</si>
  <si>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</si>
  <si>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</si>
  <si>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</si>
  <si>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</si>
  <si>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</si>
  <si>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</si>
  <si>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</si>
  <si>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</si>
  <si>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</si>
  <si>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</si>
  <si>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</si>
  <si>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</si>
  <si>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</si>
  <si>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</si>
  <si>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</si>
  <si>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</si>
  <si>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</si>
  <si>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</si>
  <si>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</si>
  <si>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</si>
  <si>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</si>
  <si>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</si>
  <si>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</si>
  <si>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</si>
  <si>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</si>
  <si>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</si>
  <si>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</si>
  <si>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</si>
  <si>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</si>
  <si>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</si>
  <si>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</si>
  <si>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</si>
  <si>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</si>
  <si>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</si>
  <si>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</si>
  <si>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</si>
  <si>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</si>
  <si>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</si>
  <si>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</si>
  <si>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</si>
  <si>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</si>
  <si>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</si>
  <si>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</si>
  <si>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</si>
  <si>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</si>
  <si>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</si>
  <si>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</si>
  <si>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</si>
  <si>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</si>
  <si>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</si>
  <si>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</si>
  <si>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</si>
  <si>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</si>
  <si>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</si>
  <si>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</si>
  <si>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</si>
  <si>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</si>
  <si>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</si>
  <si>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</si>
  <si>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</si>
  <si>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</si>
  <si>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</si>
  <si>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</si>
  <si>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</si>
  <si>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</si>
  <si>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</si>
  <si>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</si>
  <si>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</si>
  <si>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</si>
  <si>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</si>
  <si>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</si>
  <si>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</si>
  <si>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</si>
  <si>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</si>
  <si>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</si>
  <si>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</si>
  <si>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</si>
  <si>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</si>
  <si>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</si>
  <si>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</si>
  <si>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</si>
  <si>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</si>
  <si>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</si>
  <si>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</si>
  <si>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</si>
  <si>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</si>
  <si>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</si>
  <si>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</si>
  <si>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</si>
  <si>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</si>
  <si>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</si>
  <si>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</si>
  <si>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7.6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</si>
</sst>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45.073299407958984</c:v>
                </c:pt>
                <c:pt idx="1">
                  <c:v>58.909809821475207</c:v>
                </c:pt>
                <c:pt idx="2">
                  <c:v>73.874734030994816</c:v>
                </c:pt>
                <c:pt idx="3">
                  <c:v>89.433375908328529</c:v>
                </c:pt>
                <c:pt idx="4">
                  <c:v>105.13328039891674</c:v>
                </c:pt>
                <c:pt idx="5">
                  <c:v>120.79244560579485</c:v>
                </c:pt>
                <c:pt idx="6">
                  <c:v>135.83890640201395</c:v>
                </c:pt>
                <c:pt idx="7">
                  <c:v>150.31643471783585</c:v>
                </c:pt>
                <c:pt idx="8">
                  <c:v>164.18895914917167</c:v>
                </c:pt>
                <c:pt idx="9">
                  <c:v>177.40312380229162</c:v>
                </c:pt>
                <c:pt idx="10">
                  <c:v>189.92505114245785</c:v>
                </c:pt>
                <c:pt idx="11">
                  <c:v>201.76559548047098</c:v>
                </c:pt>
                <c:pt idx="12">
                  <c:v>212.93640798696882</c:v>
                </c:pt>
                <c:pt idx="13">
                  <c:v>222.00411295260537</c:v>
                </c:pt>
                <c:pt idx="14">
                  <c:v>68.548439527948545</c:v>
                </c:pt>
                <c:pt idx="15">
                  <c:v>69.550104505695984</c:v>
                </c:pt>
                <c:pt idx="16">
                  <c:v>76.539049773027898</c:v>
                </c:pt>
                <c:pt idx="17">
                  <c:v>79.176498989944889</c:v>
                </c:pt>
                <c:pt idx="18">
                  <c:v>80.480397434413646</c:v>
                </c:pt>
                <c:pt idx="19">
                  <c:v>81.782662083702633</c:v>
                </c:pt>
                <c:pt idx="20">
                  <c:v>83.08324955143955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58E3F805-4283-40F6-8006-BD1794549657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557C5F8-BDF6-4AAD-A894-C45C1499D9C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3FBCB52-BE84-4D7E-8055-8CBA6E40021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2BED8E3-0713-4729-8965-0E006A78A91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388AAA-6BDE-4732-BE1C-2ADA1C534035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76AB672-605C-4C6E-8AEE-BB5906901F0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Calc!$V$16:$V$18</c:f>
              <c:numCache>
                <c:formatCode>0</c:formatCode>
                <c:ptCount val="3"/>
                <c:pt idx="0">
                  <c:v>45</c:v>
                </c:pt>
                <c:pt idx="1">
                  <c:v>45.073299407958984</c:v>
                </c:pt>
                <c:pt idx="2">
                  <c:v>83.08324955143955</c:v>
                </c:pt>
              </c:numCache>
            </c:numRef>
          </c:xVal>
          <c:yVal>
            <c:numRef>
              <c:f>Calc!$U$16:$U$18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Calc!$X$16:$X$36</c:f>
              <c:numCache>
                <c:formatCode>General</c:formatCode>
                <c:ptCount val="21"/>
                <c:pt idx="0">
                  <c:v>45</c:v>
                </c:pt>
                <c:pt idx="1">
                  <c:v>45.559321455072279</c:v>
                </c:pt>
                <c:pt idx="2">
                  <c:v>46.124473217434968</c:v>
                </c:pt>
                <c:pt idx="3">
                  <c:v>46.695502838073764</c:v>
                </c:pt>
                <c:pt idx="4">
                  <c:v>47.27342874589111</c:v>
                </c:pt>
                <c:pt idx="5">
                  <c:v>47.857529180455764</c:v>
                </c:pt>
                <c:pt idx="6">
                  <c:v>48.447666584399208</c:v>
                </c:pt>
                <c:pt idx="7">
                  <c:v>49.044694161377613</c:v>
                </c:pt>
                <c:pt idx="8">
                  <c:v>49.648258794508685</c:v>
                </c:pt>
                <c:pt idx="9">
                  <c:v>50.258055706462926</c:v>
                </c:pt>
                <c:pt idx="10">
                  <c:v>50.874796777306692</c:v>
                </c:pt>
                <c:pt idx="11">
                  <c:v>51.498536304592413</c:v>
                </c:pt>
                <c:pt idx="12">
                  <c:v>52.127535346224022</c:v>
                </c:pt>
                <c:pt idx="13">
                  <c:v>52.752920160829177</c:v>
                </c:pt>
                <c:pt idx="14">
                  <c:v>53.370493756619091</c:v>
                </c:pt>
                <c:pt idx="15">
                  <c:v>53.981689440241503</c:v>
                </c:pt>
                <c:pt idx="16">
                  <c:v>54.586890882956986</c:v>
                </c:pt>
                <c:pt idx="17">
                  <c:v>55.186113310174846</c:v>
                </c:pt>
                <c:pt idx="18">
                  <c:v>55.314284633295834</c:v>
                </c:pt>
                <c:pt idx="19">
                  <c:v>61.27252462954884</c:v>
                </c:pt>
                <c:pt idx="20">
                  <c:v>68.548439527948545</c:v>
                </c:pt>
              </c:numCache>
            </c:numRef>
          </c:xVal>
          <c:yVal>
            <c:numRef>
              <c:f>Calc!$W$16:$W$36</c:f>
              <c:numCache>
                <c:formatCode>General</c:formatCode>
                <c:ptCount val="21"/>
                <c:pt idx="0">
                  <c:v>0</c:v>
                </c:pt>
                <c:pt idx="1">
                  <c:v>131.63157894736841</c:v>
                </c:pt>
                <c:pt idx="2">
                  <c:v>263.26315789473682</c:v>
                </c:pt>
                <c:pt idx="3">
                  <c:v>394.8947368421052</c:v>
                </c:pt>
                <c:pt idx="4">
                  <c:v>526.52631578947364</c:v>
                </c:pt>
                <c:pt idx="5">
                  <c:v>658.15789473684208</c:v>
                </c:pt>
                <c:pt idx="6">
                  <c:v>789.78947368421041</c:v>
                </c:pt>
                <c:pt idx="7">
                  <c:v>921.42105263157885</c:v>
                </c:pt>
                <c:pt idx="8">
                  <c:v>1053.0526315789473</c:v>
                </c:pt>
                <c:pt idx="9">
                  <c:v>1184.6842105263156</c:v>
                </c:pt>
                <c:pt idx="10">
                  <c:v>1316.3157894736842</c:v>
                </c:pt>
                <c:pt idx="11">
                  <c:v>1447.9473684210525</c:v>
                </c:pt>
                <c:pt idx="12">
                  <c:v>1579.5789473684208</c:v>
                </c:pt>
                <c:pt idx="13">
                  <c:v>1711.2105263157894</c:v>
                </c:pt>
                <c:pt idx="14">
                  <c:v>1842.8421052631577</c:v>
                </c:pt>
                <c:pt idx="15">
                  <c:v>1974.4736842105262</c:v>
                </c:pt>
                <c:pt idx="16">
                  <c:v>2106.1052631578946</c:v>
                </c:pt>
                <c:pt idx="17">
                  <c:v>2237.7368421052629</c:v>
                </c:pt>
                <c:pt idx="18">
                  <c:v>2266.0220222899934</c:v>
                </c:pt>
                <c:pt idx="19">
                  <c:v>2369.3684210526312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3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21,0%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525236</xdr:colOff>
      <xdr:row>40</xdr:row>
      <xdr:rowOff>68036</xdr:rowOff>
    </xdr:from>
    <xdr:to>
      <xdr:col>18</xdr:col>
      <xdr:colOff>83004</xdr:colOff>
      <xdr:row>64</xdr:row>
      <xdr:rowOff>182336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344133</xdr:colOff>
      <xdr:row>15</xdr:row>
      <xdr:rowOff>69720</xdr:rowOff>
    </xdr:from>
    <xdr:to>
      <xdr:col>30</xdr:col>
      <xdr:colOff>38880</xdr:colOff>
      <xdr:row>46</xdr:row>
      <xdr:rowOff>121816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4"/>
  <dimension ref="A1:E4"/>
  <sheetViews>
    <sheetView tabSelected="1" workbookViewId="0">
      <selection activeCell="C7" sqref="C7"/>
    </sheetView>
  </sheetViews>
  <sheetFormatPr defaultRowHeight="14.25" x14ac:dyDescent="0.45"/>
  <sheetData>
    <row r="1" spans="1:5" x14ac:dyDescent="0.45">
      <c r="A1" t="str">
        <f>"вер "&amp;B1</f>
        <v>вер 7.6</v>
      </c>
      <c r="B1" s="62" t="s">
        <v>204</v>
      </c>
    </row>
    <row r="2" spans="1:5" x14ac:dyDescent="0.45">
      <c r="A2" t="s">
        <v>161</v>
      </c>
    </row>
    <row r="4" spans="1:5" x14ac:dyDescent="0.45">
      <c r="A4" s="59" t="str">
        <f>"Унифлок "&amp;версия_номер_</f>
        <v>Унифлок 7.6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1">
    <outlinePr summaryBelow="0"/>
  </sheetPr>
  <dimension ref="A1:AG101"/>
  <sheetViews>
    <sheetView zoomScale="70" zoomScaleNormal="70" workbookViewId="0">
      <selection activeCell="C9" sqref="C9"/>
    </sheetView>
  </sheetViews>
  <sheetFormatPr defaultRowHeight="14.25" outlineLevelRow="1" x14ac:dyDescent="0.45"/>
  <cols>
    <col min="1" max="1" width="7.265625" style="11" customWidth="1"/>
    <col min="2" max="2" width="12.265625" customWidth="1"/>
    <col min="4" max="4" width="10.1328125" customWidth="1"/>
    <col min="7" max="7" width="12.265625" style="1" customWidth="1"/>
    <col min="8" max="8" width="13.1328125" customWidth="1"/>
    <col min="9" max="9" width="11" customWidth="1"/>
    <col min="13" max="13" width="10" customWidth="1"/>
    <col min="14" max="14" width="10.1328125" customWidth="1"/>
  </cols>
  <sheetData>
    <row r="1" spans="1:17" x14ac:dyDescent="0.45">
      <c r="A1" s="11" t="str">
        <f>версия_</f>
        <v>вер 7.6</v>
      </c>
      <c r="J1" s="2" t="s">
        <v>23</v>
      </c>
      <c r="K1" s="2"/>
      <c r="L1" s="2"/>
    </row>
    <row r="2" spans="1:17" ht="15.75" x14ac:dyDescent="0.45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45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5.75" x14ac:dyDescent="0.4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Calc!Ql_scm3day_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5.75" x14ac:dyDescent="0.4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5.75" x14ac:dyDescent="0.4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5.75" x14ac:dyDescent="0.45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5.75" x14ac:dyDescent="0.4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5">
      <c r="F13" s="2" t="s">
        <v>5</v>
      </c>
      <c r="G13" s="2"/>
      <c r="H13" s="2"/>
    </row>
    <row r="14" spans="1:17" ht="15.75" x14ac:dyDescent="0.45">
      <c r="F14" s="5" t="s">
        <v>16</v>
      </c>
      <c r="G14" s="9">
        <v>80</v>
      </c>
      <c r="H14" s="5" t="s">
        <v>75</v>
      </c>
    </row>
    <row r="15" spans="1:17" ht="15.75" x14ac:dyDescent="0.45">
      <c r="F15" s="5" t="s">
        <v>20</v>
      </c>
      <c r="G15" s="9">
        <v>100</v>
      </c>
      <c r="H15" s="5" t="s">
        <v>2</v>
      </c>
    </row>
    <row r="16" spans="1:17" ht="15.75" x14ac:dyDescent="0.45">
      <c r="F16" s="7" t="s">
        <v>21</v>
      </c>
      <c r="G16" s="9"/>
      <c r="H16" s="5" t="s">
        <v>17</v>
      </c>
    </row>
    <row r="17" spans="2:33" ht="15.75" x14ac:dyDescent="0.45">
      <c r="F17" s="8" t="s">
        <v>22</v>
      </c>
      <c r="G17" s="9"/>
      <c r="H17" s="5" t="s">
        <v>7</v>
      </c>
    </row>
    <row r="20" spans="2:33" x14ac:dyDescent="0.4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5"/>
    <row r="22" spans="2:33" outlineLevel="1" x14ac:dyDescent="0.4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5.75" outlineLevel="1" x14ac:dyDescent="0.4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5.75" outlineLevel="1" x14ac:dyDescent="0.4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5.75" outlineLevel="1" x14ac:dyDescent="0.4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5.75" outlineLevel="1" x14ac:dyDescent="0.4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5.75" outlineLevel="1" x14ac:dyDescent="0.4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5.75" outlineLevel="1" x14ac:dyDescent="0.4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5"/>
    <row r="30" spans="2:33" outlineLevel="1" x14ac:dyDescent="0.45"/>
    <row r="31" spans="2:33" outlineLevel="1" x14ac:dyDescent="0.4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5.75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21,0%</v>
      </c>
      <c r="AE32" s="2"/>
      <c r="AF32" s="2"/>
      <c r="AG32" s="2"/>
    </row>
    <row r="33" spans="2:33" ht="15.75" outlineLevel="1" x14ac:dyDescent="0.4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5.75" outlineLevel="1" x14ac:dyDescent="0.45">
      <c r="B34" s="5" t="s">
        <v>100</v>
      </c>
      <c r="C34" s="27">
        <f>[1]!PVT_Rs_m3m3(P_atma_,T_C_,gamma_gas_,gamma_oil_,gamma_w_,Rsb_m3m3_,,Pb_atma_,Tres_C_,Bob_m3m3_,mu_cP_,PVT_correlation_,Ksep_,Psep_atma_,Tsep_C_)</f>
        <v>57.84590777991464</v>
      </c>
      <c r="D34" s="5" t="s">
        <v>17</v>
      </c>
      <c r="E34" s="29">
        <f>[1]!PVT_Rs_m3m3(P_atma_,T_C_,gamma_gas_,gamma_oil_,gamma_w_,Rsb_m3m3_,,,,,,PVT_correlation_,Ksep_,Psep_atma_,Tsep_C_)</f>
        <v>36.382686688964391</v>
      </c>
      <c r="F34" s="30">
        <f t="shared" si="0"/>
        <v>-0.58992952539319976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0.93919425965821102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5.75" outlineLevel="1" x14ac:dyDescent="0.45">
      <c r="B35" s="5" t="s">
        <v>104</v>
      </c>
      <c r="C35" s="26">
        <f>[1]!PVT_Bo_m3m3(P_atma_,T_C_,gamma_gas_,gamma_oil_,gamma_w_,Rsb_m3m3_,,Pb_atma_,Tres_C_,Bob_m3m3_,mu_cP_,PVT_correlation_,Ksep_,Psep_atma_,Tsep_C_)</f>
        <v>1.1364374868066838</v>
      </c>
      <c r="D35" s="5" t="s">
        <v>17</v>
      </c>
      <c r="E35" s="29">
        <f>[1]!PVT_Bo_m3m3(P_atma_,T_C_,gamma_gas_,gamma_oil_,gamma_w_,Rsb_m3m3_,,,,,,PVT_correlation_,Ksep_,Psep_atma_,Tsep_C_)</f>
        <v>1.0909042856563635</v>
      </c>
      <c r="F35" s="30">
        <f t="shared" si="0"/>
        <v>-4.1738951573486852E-2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2.4379578175196839E-2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1.0050124728223304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5.75" outlineLevel="1" x14ac:dyDescent="0.45">
      <c r="B36" s="5" t="s">
        <v>107</v>
      </c>
      <c r="C36" s="22">
        <f>[1]!PVT_Rhoo_kgm3(P_atma_,T_C_,gamma_gas_,gamma_oil_,gamma_w_,Rsb_m3m3_,,Pb_atma_,Tres_C_,Bob_m3m3_,mu_cP_,PVT_correlation_,Ksep_,Psep_atma_,Tsep_C_)</f>
        <v>800.28092388069251</v>
      </c>
      <c r="D36" s="5" t="s">
        <v>82</v>
      </c>
      <c r="E36" s="29">
        <f>[1]!PVT_Rhoo_kgm3(P_atma_,T_C_,gamma_gas_,gamma_oil_,gamma_w_,Rsb_m3m3_,,,,,,PVT_correlation_,Ksep_,Psep_atma_,Tsep_C_)</f>
        <v>816.85819878632105</v>
      </c>
      <c r="F36" s="30">
        <f t="shared" si="0"/>
        <v>2.0293944445019804E-2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35.078129484211033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1064.6634036244029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5.75" outlineLevel="1" x14ac:dyDescent="0.45">
      <c r="B37" s="5" t="s">
        <v>111</v>
      </c>
      <c r="C37" s="27">
        <f>[1]!PVT_Muo_cP(P_atma_,T_C_,gamma_gas_,gamma_oil_,gamma_w_,Rsb_m3m3_,,Pb_atma_,Tres_C_,Bob_m3m3_,mu_cP_,PVT_correlation_,Ksep_,Psep_atma_,Tsep_C_)</f>
        <v>2.9495948500853633</v>
      </c>
      <c r="D37" s="5" t="s">
        <v>7</v>
      </c>
      <c r="E37" s="29">
        <f>[1]!PVT_Muo_cP(P_atma_,T_C_,gamma_gas_,gamma_oil_,gamma_w_,Rsb_m3m3_,,,,,,PVT_correlation_,Ksep_,Psep_atma_,Tsep_C_)</f>
        <v>3.9919050315962448</v>
      </c>
      <c r="F37" s="30">
        <f t="shared" si="0"/>
        <v>0.26110595649468454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1.1774941966222424E-2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0.91543932313862619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5.75" outlineLevel="1" x14ac:dyDescent="0.4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5.75" outlineLevel="1" x14ac:dyDescent="0.4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5.75" outlineLevel="1" x14ac:dyDescent="0.45">
      <c r="B40" s="5" t="s">
        <v>174</v>
      </c>
      <c r="C40" s="51">
        <f>[1]!PVT_SToilgas_Nm(P_atma_,T_C_,gamma_gas_,gamma_oil_,gamma_w_,Rsb_m3m3_,,Pb_atma_,Tres_C_,Bob_m3m3_,mu_cP_,PVT_correlation_,Ksep_,Psep_atma_,Tsep_C_)</f>
        <v>3.8746755606618333E-2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5.8884365535558904E-2</v>
      </c>
      <c r="N40" s="5" t="s">
        <v>173</v>
      </c>
    </row>
    <row r="41" spans="2:33" outlineLevel="1" x14ac:dyDescent="0.45">
      <c r="L41" s="31"/>
    </row>
    <row r="42" spans="2:33" outlineLevel="1" x14ac:dyDescent="0.45">
      <c r="B42" s="2" t="s">
        <v>120</v>
      </c>
      <c r="C42" s="2"/>
      <c r="D42" s="2"/>
      <c r="E42" s="28"/>
      <c r="F42" s="31"/>
      <c r="L42" s="31"/>
    </row>
    <row r="43" spans="2:33" ht="15.75" outlineLevel="1" x14ac:dyDescent="0.45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5.75" outlineLevel="1" x14ac:dyDescent="0.45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5.75" outlineLevel="1" x14ac:dyDescent="0.45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5.75" outlineLevel="1" x14ac:dyDescent="0.45">
      <c r="B46" s="5" t="s">
        <v>124</v>
      </c>
      <c r="E46" s="31"/>
      <c r="F46" s="31"/>
    </row>
    <row r="47" spans="2:33" ht="15.75" outlineLevel="1" x14ac:dyDescent="0.45">
      <c r="B47" s="5" t="s">
        <v>125</v>
      </c>
      <c r="E47" s="31"/>
      <c r="F47" s="31"/>
    </row>
    <row r="48" spans="2:33" ht="15.75" outlineLevel="1" x14ac:dyDescent="0.45">
      <c r="B48" s="5" t="s">
        <v>126</v>
      </c>
      <c r="E48" s="31"/>
      <c r="F48" s="31"/>
    </row>
    <row r="49" spans="1:29" outlineLevel="1" x14ac:dyDescent="0.45">
      <c r="C49">
        <f>[1]!PVT_STliqgas_Nm(P_atma_,T_C_,gamma_gas_,gamma_oil_,gamma_w_,Rsb_m3m3_,,Pb_atma_,Tres_C_,Bob_m3m3_,mu_cP_,PVT_correlation_,Ksep_,Psep_atma_,Tsep_C_)</f>
        <v>3.8746755606618333E-2</v>
      </c>
      <c r="D49" s="5" t="s">
        <v>173</v>
      </c>
      <c r="E49" s="31"/>
      <c r="F49" s="31"/>
    </row>
    <row r="50" spans="1:29" outlineLevel="1" x14ac:dyDescent="0.45">
      <c r="E50" s="31"/>
      <c r="F50" s="31"/>
    </row>
    <row r="51" spans="1:29" outlineLevel="1" x14ac:dyDescent="0.45">
      <c r="E51" s="31"/>
      <c r="F51" s="31"/>
    </row>
    <row r="52" spans="1:29" outlineLevel="1" x14ac:dyDescent="0.45"/>
    <row r="53" spans="1:29" outlineLevel="1" x14ac:dyDescent="0.45"/>
    <row r="54" spans="1:29" x14ac:dyDescent="0.45">
      <c r="L54" s="31"/>
    </row>
    <row r="55" spans="1:29" x14ac:dyDescent="0.4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5">
      <c r="L57" s="31"/>
      <c r="M57" s="31"/>
    </row>
    <row r="58" spans="1:29" ht="15.75" outlineLevel="1" x14ac:dyDescent="0.4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5"/>
    <row r="101" spans="1:18" outlineLevel="1" x14ac:dyDescent="0.4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3"/>
  <dimension ref="A1:AC176"/>
  <sheetViews>
    <sheetView zoomScale="70" zoomScaleNormal="70" workbookViewId="0">
      <selection activeCell="B1" sqref="B1"/>
    </sheetView>
  </sheetViews>
  <sheetFormatPr defaultRowHeight="14.25" x14ac:dyDescent="0.45"/>
  <sheetData>
    <row r="1" spans="1:16" x14ac:dyDescent="0.45">
      <c r="A1" t="str">
        <f>версия_</f>
        <v>вер 7.6</v>
      </c>
    </row>
    <row r="6" spans="1:16" x14ac:dyDescent="0.45">
      <c r="A6" s="11"/>
      <c r="B6" t="s">
        <v>37</v>
      </c>
      <c r="G6" s="1"/>
    </row>
    <row r="7" spans="1:16" x14ac:dyDescent="0.45">
      <c r="A7" s="11"/>
      <c r="G7" s="1"/>
    </row>
    <row r="8" spans="1:16" x14ac:dyDescent="0.45">
      <c r="A8" s="11"/>
      <c r="B8" s="17" t="s">
        <v>52</v>
      </c>
      <c r="C8" s="2"/>
      <c r="D8" s="2"/>
      <c r="G8" s="1"/>
    </row>
    <row r="9" spans="1:16" ht="15.75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5.75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5.75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5.75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5.75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5">
      <c r="A14" s="11"/>
      <c r="G14" s="1"/>
    </row>
    <row r="15" spans="1:16" x14ac:dyDescent="0.45">
      <c r="A15" s="11"/>
      <c r="G15" s="1"/>
    </row>
    <row r="16" spans="1:16" x14ac:dyDescent="0.4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5.75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5">
      <c r="A39" s="11"/>
      <c r="B39" s="9">
        <v>3500</v>
      </c>
      <c r="C39" s="9">
        <v>2500</v>
      </c>
      <c r="G39" s="1"/>
      <c r="M39" s="15"/>
      <c r="N39" s="15"/>
    </row>
    <row r="40" spans="1:29" x14ac:dyDescent="0.45">
      <c r="A40" s="11"/>
      <c r="B40" s="16"/>
      <c r="C40" s="16"/>
      <c r="G40" s="1"/>
      <c r="M40" s="15"/>
      <c r="N40" s="15"/>
    </row>
    <row r="41" spans="1:29" x14ac:dyDescent="0.45">
      <c r="A41" s="11"/>
      <c r="B41" s="16"/>
      <c r="C41" s="16"/>
      <c r="G41" s="1"/>
      <c r="M41" s="15"/>
      <c r="N41" s="15"/>
    </row>
    <row r="42" spans="1:29" x14ac:dyDescent="0.45">
      <c r="A42" s="11"/>
      <c r="B42" s="16"/>
      <c r="C42" s="16"/>
      <c r="G42" s="1"/>
      <c r="M42" s="15"/>
      <c r="N42" s="15"/>
    </row>
    <row r="43" spans="1:29" x14ac:dyDescent="0.45">
      <c r="A43" s="11"/>
      <c r="B43" s="16"/>
      <c r="C43" s="16"/>
      <c r="G43" s="1"/>
      <c r="M43" s="15"/>
      <c r="N43" s="15"/>
    </row>
    <row r="44" spans="1:29" x14ac:dyDescent="0.45">
      <c r="A44" s="11"/>
      <c r="B44" s="16"/>
      <c r="C44" s="16"/>
      <c r="G44" s="1"/>
      <c r="M44" s="15"/>
      <c r="N44" s="15"/>
    </row>
    <row r="45" spans="1:29" x14ac:dyDescent="0.45">
      <c r="A45" s="11"/>
      <c r="B45" s="16"/>
      <c r="C45" s="16"/>
      <c r="G45" s="1"/>
      <c r="M45" s="15"/>
      <c r="N45" s="15"/>
    </row>
    <row r="46" spans="1:29" x14ac:dyDescent="0.45">
      <c r="A46" s="11"/>
      <c r="B46" s="16"/>
      <c r="C46" s="16"/>
      <c r="G46" s="1"/>
    </row>
    <row r="47" spans="1:29" x14ac:dyDescent="0.45">
      <c r="A47" s="11"/>
      <c r="B47" s="16"/>
      <c r="C47" s="16"/>
      <c r="G47" s="1"/>
    </row>
    <row r="48" spans="1:29" x14ac:dyDescent="0.45">
      <c r="A48" s="11"/>
      <c r="B48" s="16"/>
      <c r="C48" s="16"/>
      <c r="G48" s="1"/>
    </row>
    <row r="49" spans="1:7" x14ac:dyDescent="0.45">
      <c r="A49" s="11"/>
      <c r="B49" s="16"/>
      <c r="C49" s="16"/>
      <c r="G49" s="1"/>
    </row>
    <row r="50" spans="1:7" x14ac:dyDescent="0.45">
      <c r="A50" s="11"/>
      <c r="B50" s="16"/>
      <c r="C50" s="16"/>
      <c r="G50" s="1"/>
    </row>
    <row r="51" spans="1:7" x14ac:dyDescent="0.45">
      <c r="A51" s="11"/>
      <c r="B51" s="16"/>
      <c r="C51" s="16"/>
      <c r="G51" s="1"/>
    </row>
    <row r="52" spans="1:7" x14ac:dyDescent="0.45">
      <c r="A52" s="11"/>
      <c r="B52" s="16"/>
      <c r="C52" s="16"/>
      <c r="G52" s="1"/>
    </row>
    <row r="53" spans="1:7" x14ac:dyDescent="0.45">
      <c r="A53" s="11"/>
      <c r="B53" s="16"/>
      <c r="C53" s="16"/>
      <c r="G53" s="1"/>
    </row>
    <row r="54" spans="1:7" x14ac:dyDescent="0.45">
      <c r="A54" s="11"/>
      <c r="B54" s="16"/>
      <c r="C54" s="16"/>
      <c r="G54" s="1"/>
    </row>
    <row r="55" spans="1:7" x14ac:dyDescent="0.45">
      <c r="A55" s="11"/>
      <c r="B55" s="16"/>
      <c r="C55" s="16"/>
      <c r="G55" s="1"/>
    </row>
    <row r="56" spans="1:7" x14ac:dyDescent="0.45">
      <c r="A56" s="11"/>
      <c r="B56" s="16"/>
      <c r="C56" s="16"/>
      <c r="G56" s="1"/>
    </row>
    <row r="57" spans="1:7" x14ac:dyDescent="0.45">
      <c r="A57" s="11"/>
      <c r="B57" s="16"/>
      <c r="C57" s="16"/>
      <c r="G57" s="1"/>
    </row>
    <row r="58" spans="1:7" x14ac:dyDescent="0.45">
      <c r="A58" s="11"/>
      <c r="B58" s="16"/>
      <c r="C58" s="16"/>
      <c r="G58" s="1"/>
    </row>
    <row r="59" spans="1:7" x14ac:dyDescent="0.45">
      <c r="A59" s="11"/>
      <c r="B59" s="16"/>
      <c r="C59" s="16"/>
      <c r="G59" s="1"/>
    </row>
    <row r="60" spans="1:7" x14ac:dyDescent="0.45">
      <c r="A60" s="11"/>
      <c r="B60" s="16"/>
      <c r="C60" s="16"/>
      <c r="G60" s="1"/>
    </row>
    <row r="61" spans="1:7" x14ac:dyDescent="0.45">
      <c r="A61" s="11"/>
      <c r="B61" s="16"/>
      <c r="C61" s="16"/>
      <c r="G61" s="1"/>
    </row>
    <row r="62" spans="1:7" x14ac:dyDescent="0.45">
      <c r="A62" s="11"/>
      <c r="B62" s="16"/>
      <c r="C62" s="16"/>
      <c r="G62" s="1"/>
    </row>
    <row r="63" spans="1:7" x14ac:dyDescent="0.45">
      <c r="A63" s="11"/>
      <c r="B63" s="16"/>
      <c r="C63" s="16"/>
      <c r="G63" s="1"/>
    </row>
    <row r="64" spans="1:7" x14ac:dyDescent="0.45">
      <c r="A64" s="11"/>
      <c r="B64" s="16"/>
      <c r="C64" s="16"/>
      <c r="G64" s="1"/>
    </row>
    <row r="65" spans="1:7" x14ac:dyDescent="0.45">
      <c r="A65" s="11"/>
      <c r="B65" s="16"/>
      <c r="C65" s="16"/>
      <c r="G65" s="1"/>
    </row>
    <row r="66" spans="1:7" x14ac:dyDescent="0.45">
      <c r="A66" s="11"/>
      <c r="B66" s="16"/>
      <c r="C66" s="16"/>
      <c r="G66" s="1"/>
    </row>
    <row r="67" spans="1:7" x14ac:dyDescent="0.45">
      <c r="A67" s="11"/>
      <c r="B67" s="16"/>
      <c r="C67" s="16"/>
      <c r="G67" s="1"/>
    </row>
    <row r="68" spans="1:7" x14ac:dyDescent="0.45">
      <c r="A68" s="11"/>
      <c r="B68" s="16"/>
      <c r="C68" s="16"/>
      <c r="G68" s="1"/>
    </row>
    <row r="69" spans="1:7" x14ac:dyDescent="0.45">
      <c r="A69" s="11"/>
      <c r="B69" s="16"/>
      <c r="C69" s="16"/>
      <c r="G69" s="1"/>
    </row>
    <row r="70" spans="1:7" x14ac:dyDescent="0.45">
      <c r="A70" s="11"/>
      <c r="B70" s="16"/>
      <c r="C70" s="16"/>
      <c r="G70" s="1"/>
    </row>
    <row r="71" spans="1:7" x14ac:dyDescent="0.45">
      <c r="A71" s="11"/>
      <c r="B71" s="16"/>
      <c r="C71" s="16"/>
      <c r="G71" s="1"/>
    </row>
    <row r="72" spans="1:7" x14ac:dyDescent="0.45">
      <c r="A72" s="11"/>
      <c r="B72" s="16"/>
      <c r="C72" s="16"/>
      <c r="G72" s="1"/>
    </row>
    <row r="73" spans="1:7" x14ac:dyDescent="0.45">
      <c r="A73" s="11"/>
      <c r="B73" s="16"/>
      <c r="C73" s="16"/>
      <c r="G73" s="1"/>
    </row>
    <row r="74" spans="1:7" x14ac:dyDescent="0.45">
      <c r="A74" s="11"/>
      <c r="B74" s="16"/>
      <c r="C74" s="16"/>
      <c r="G74" s="1"/>
    </row>
    <row r="75" spans="1:7" x14ac:dyDescent="0.45">
      <c r="A75" s="11"/>
      <c r="B75" s="16"/>
      <c r="C75" s="16"/>
      <c r="G75" s="1"/>
    </row>
    <row r="76" spans="1:7" x14ac:dyDescent="0.45">
      <c r="A76" s="11"/>
      <c r="B76" s="16"/>
      <c r="C76" s="16"/>
      <c r="G76" s="1"/>
    </row>
    <row r="77" spans="1:7" x14ac:dyDescent="0.45">
      <c r="A77" s="11"/>
      <c r="B77" s="16"/>
      <c r="C77" s="16"/>
      <c r="G77" s="1"/>
    </row>
    <row r="78" spans="1:7" x14ac:dyDescent="0.45">
      <c r="A78" s="11"/>
      <c r="B78" s="16"/>
      <c r="C78" s="16"/>
      <c r="G78" s="1"/>
    </row>
    <row r="79" spans="1:7" x14ac:dyDescent="0.45">
      <c r="A79" s="11"/>
      <c r="B79" s="16"/>
      <c r="C79" s="16"/>
      <c r="G79" s="1"/>
    </row>
    <row r="80" spans="1:7" x14ac:dyDescent="0.45">
      <c r="A80" s="11"/>
      <c r="B80" s="16"/>
      <c r="C80" s="16"/>
      <c r="G80" s="1"/>
    </row>
    <row r="81" spans="1:7" x14ac:dyDescent="0.45">
      <c r="A81" s="11"/>
      <c r="B81" s="16"/>
      <c r="C81" s="16"/>
      <c r="G81" s="1"/>
    </row>
    <row r="82" spans="1:7" x14ac:dyDescent="0.45">
      <c r="A82" s="11"/>
      <c r="B82" s="16"/>
      <c r="C82" s="16"/>
      <c r="G82" s="1"/>
    </row>
    <row r="83" spans="1:7" x14ac:dyDescent="0.45">
      <c r="A83" s="11"/>
      <c r="B83" s="16"/>
      <c r="C83" s="16"/>
      <c r="G83" s="1"/>
    </row>
    <row r="84" spans="1:7" x14ac:dyDescent="0.45">
      <c r="A84" s="11"/>
      <c r="B84" s="16"/>
      <c r="C84" s="16"/>
      <c r="G84" s="1"/>
    </row>
    <row r="85" spans="1:7" x14ac:dyDescent="0.45">
      <c r="A85" s="11"/>
      <c r="B85" s="16"/>
      <c r="C85" s="16"/>
      <c r="G85" s="1"/>
    </row>
    <row r="86" spans="1:7" x14ac:dyDescent="0.45">
      <c r="A86" s="11"/>
      <c r="B86" s="16"/>
      <c r="C86" s="16"/>
      <c r="G86" s="1"/>
    </row>
    <row r="87" spans="1:7" x14ac:dyDescent="0.45">
      <c r="A87" s="11"/>
      <c r="B87" s="16"/>
      <c r="C87" s="16"/>
      <c r="G87" s="1"/>
    </row>
    <row r="88" spans="1:7" x14ac:dyDescent="0.45">
      <c r="A88" s="11"/>
      <c r="B88" s="16"/>
      <c r="C88" s="16"/>
      <c r="G88" s="1"/>
    </row>
    <row r="89" spans="1:7" x14ac:dyDescent="0.45">
      <c r="A89" s="11"/>
      <c r="B89" s="16"/>
      <c r="C89" s="16"/>
      <c r="G89" s="1"/>
    </row>
    <row r="90" spans="1:7" x14ac:dyDescent="0.45">
      <c r="A90" s="11"/>
      <c r="B90" s="16"/>
      <c r="C90" s="16"/>
      <c r="G90" s="1"/>
    </row>
    <row r="91" spans="1:7" x14ac:dyDescent="0.45">
      <c r="A91" s="11"/>
      <c r="B91" s="16"/>
      <c r="C91" s="16"/>
      <c r="G91" s="1"/>
    </row>
    <row r="92" spans="1:7" x14ac:dyDescent="0.45">
      <c r="A92" s="11"/>
      <c r="B92" s="16"/>
      <c r="C92" s="16"/>
      <c r="G92" s="1"/>
    </row>
    <row r="93" spans="1:7" x14ac:dyDescent="0.45">
      <c r="A93" s="11"/>
      <c r="B93" s="16"/>
      <c r="C93" s="16"/>
      <c r="G93" s="1"/>
    </row>
    <row r="94" spans="1:7" x14ac:dyDescent="0.45">
      <c r="A94" s="11"/>
      <c r="B94" s="16"/>
      <c r="C94" s="16"/>
      <c r="G94" s="1"/>
    </row>
    <row r="95" spans="1:7" x14ac:dyDescent="0.45">
      <c r="A95" s="11"/>
      <c r="B95" s="16"/>
      <c r="C95" s="16"/>
      <c r="G95" s="1"/>
    </row>
    <row r="96" spans="1:7" x14ac:dyDescent="0.45">
      <c r="A96" s="11"/>
      <c r="B96" s="16"/>
      <c r="C96" s="16"/>
      <c r="G96" s="1"/>
    </row>
    <row r="97" spans="1:7" x14ac:dyDescent="0.45">
      <c r="A97" s="11"/>
      <c r="B97" s="16"/>
      <c r="C97" s="16"/>
      <c r="G97" s="1"/>
    </row>
    <row r="98" spans="1:7" x14ac:dyDescent="0.45">
      <c r="A98" s="11"/>
      <c r="B98" s="16"/>
      <c r="C98" s="16"/>
      <c r="G98" s="1"/>
    </row>
    <row r="99" spans="1:7" x14ac:dyDescent="0.45">
      <c r="A99" s="11"/>
      <c r="B99" s="16"/>
      <c r="C99" s="16"/>
      <c r="G99" s="1"/>
    </row>
    <row r="100" spans="1:7" x14ac:dyDescent="0.45">
      <c r="A100" s="11"/>
      <c r="B100" s="16"/>
      <c r="C100" s="16"/>
      <c r="G100" s="1"/>
    </row>
    <row r="101" spans="1:7" x14ac:dyDescent="0.45">
      <c r="A101" s="11"/>
      <c r="B101" s="16"/>
      <c r="C101" s="16"/>
      <c r="G101" s="1"/>
    </row>
    <row r="102" spans="1:7" x14ac:dyDescent="0.45">
      <c r="A102" s="11"/>
      <c r="B102" s="16"/>
      <c r="C102" s="16"/>
      <c r="G102" s="1"/>
    </row>
    <row r="103" spans="1:7" x14ac:dyDescent="0.45">
      <c r="A103" s="11"/>
      <c r="B103" s="16"/>
      <c r="C103" s="16"/>
      <c r="G103" s="1"/>
    </row>
    <row r="104" spans="1:7" x14ac:dyDescent="0.45">
      <c r="A104" s="11"/>
      <c r="B104" s="16"/>
      <c r="C104" s="16"/>
      <c r="G104" s="1"/>
    </row>
    <row r="105" spans="1:7" x14ac:dyDescent="0.45">
      <c r="A105" s="11"/>
      <c r="B105" s="16"/>
      <c r="C105" s="16"/>
      <c r="G105" s="1"/>
    </row>
    <row r="106" spans="1:7" x14ac:dyDescent="0.45">
      <c r="A106" s="11"/>
      <c r="B106" s="16"/>
      <c r="C106" s="16"/>
      <c r="G106" s="1"/>
    </row>
    <row r="107" spans="1:7" x14ac:dyDescent="0.45">
      <c r="A107" s="11"/>
      <c r="B107" s="16"/>
      <c r="C107" s="16"/>
      <c r="G107" s="1"/>
    </row>
    <row r="108" spans="1:7" x14ac:dyDescent="0.45">
      <c r="A108" s="11"/>
      <c r="B108" s="16"/>
      <c r="C108" s="16"/>
      <c r="G108" s="1"/>
    </row>
    <row r="109" spans="1:7" x14ac:dyDescent="0.45">
      <c r="A109" s="11"/>
      <c r="B109" s="16"/>
      <c r="C109" s="16"/>
      <c r="G109" s="1"/>
    </row>
    <row r="110" spans="1:7" x14ac:dyDescent="0.45">
      <c r="A110" s="11"/>
      <c r="B110" s="16"/>
      <c r="C110" s="16"/>
      <c r="G110" s="1"/>
    </row>
    <row r="111" spans="1:7" x14ac:dyDescent="0.45">
      <c r="A111" s="11"/>
      <c r="B111" s="16"/>
      <c r="C111" s="16"/>
      <c r="G111" s="1"/>
    </row>
    <row r="112" spans="1:7" x14ac:dyDescent="0.45">
      <c r="A112" s="11"/>
      <c r="B112" s="16"/>
      <c r="C112" s="16"/>
      <c r="G112" s="1"/>
    </row>
    <row r="113" spans="1:7" x14ac:dyDescent="0.45">
      <c r="A113" s="11"/>
      <c r="B113" s="16"/>
      <c r="C113" s="16"/>
      <c r="G113" s="1"/>
    </row>
    <row r="114" spans="1:7" x14ac:dyDescent="0.45">
      <c r="A114" s="11"/>
      <c r="B114" s="16"/>
      <c r="C114" s="16"/>
      <c r="G114" s="1"/>
    </row>
    <row r="115" spans="1:7" x14ac:dyDescent="0.45">
      <c r="A115" s="11"/>
      <c r="B115" s="16"/>
      <c r="C115" s="16"/>
      <c r="G115" s="1"/>
    </row>
    <row r="116" spans="1:7" x14ac:dyDescent="0.45">
      <c r="A116" s="11"/>
      <c r="B116" s="16"/>
      <c r="C116" s="16"/>
      <c r="G116" s="1"/>
    </row>
    <row r="117" spans="1:7" x14ac:dyDescent="0.45">
      <c r="A117" s="11"/>
      <c r="B117" s="16"/>
      <c r="C117" s="16"/>
      <c r="G117" s="1"/>
    </row>
    <row r="118" spans="1:7" x14ac:dyDescent="0.45">
      <c r="A118" s="11"/>
      <c r="B118" s="16"/>
      <c r="C118" s="16"/>
      <c r="G118" s="1"/>
    </row>
    <row r="119" spans="1:7" x14ac:dyDescent="0.45">
      <c r="A119" s="11"/>
      <c r="B119" s="16"/>
      <c r="C119" s="16"/>
      <c r="G119" s="1"/>
    </row>
    <row r="120" spans="1:7" x14ac:dyDescent="0.45">
      <c r="A120" s="11"/>
      <c r="B120" s="16"/>
      <c r="C120" s="16"/>
      <c r="G120" s="1"/>
    </row>
    <row r="121" spans="1:7" x14ac:dyDescent="0.45">
      <c r="A121" s="11"/>
      <c r="B121" s="16"/>
      <c r="C121" s="16"/>
      <c r="G121" s="1"/>
    </row>
    <row r="122" spans="1:7" x14ac:dyDescent="0.45">
      <c r="A122" s="11"/>
      <c r="B122" s="16"/>
      <c r="C122" s="16"/>
      <c r="G122" s="1"/>
    </row>
    <row r="123" spans="1:7" x14ac:dyDescent="0.45">
      <c r="A123" s="11"/>
      <c r="B123" s="16"/>
      <c r="C123" s="16"/>
      <c r="G123" s="1"/>
    </row>
    <row r="124" spans="1:7" x14ac:dyDescent="0.45">
      <c r="A124" s="11"/>
      <c r="B124" s="16"/>
      <c r="C124" s="16"/>
      <c r="G124" s="1"/>
    </row>
    <row r="125" spans="1:7" x14ac:dyDescent="0.45">
      <c r="A125" s="11"/>
      <c r="B125" s="16"/>
      <c r="C125" s="16"/>
      <c r="G125" s="1"/>
    </row>
    <row r="126" spans="1:7" x14ac:dyDescent="0.45">
      <c r="A126" s="11"/>
      <c r="B126" s="16"/>
      <c r="C126" s="16"/>
      <c r="G126" s="1"/>
    </row>
    <row r="127" spans="1:7" x14ac:dyDescent="0.45">
      <c r="A127" s="11"/>
      <c r="B127" s="16"/>
      <c r="C127" s="16"/>
      <c r="G127" s="1"/>
    </row>
    <row r="128" spans="1:7" x14ac:dyDescent="0.45">
      <c r="A128" s="11"/>
      <c r="B128" s="16"/>
      <c r="C128" s="16"/>
      <c r="G128" s="1"/>
    </row>
    <row r="129" spans="1:7" x14ac:dyDescent="0.45">
      <c r="A129" s="11"/>
      <c r="B129" s="16"/>
      <c r="C129" s="16"/>
      <c r="G129" s="1"/>
    </row>
    <row r="130" spans="1:7" x14ac:dyDescent="0.45">
      <c r="A130" s="11"/>
      <c r="B130" s="16"/>
      <c r="C130" s="16"/>
      <c r="G130" s="1"/>
    </row>
    <row r="131" spans="1:7" x14ac:dyDescent="0.45">
      <c r="A131" s="11"/>
      <c r="B131" s="16"/>
      <c r="C131" s="16"/>
      <c r="G131" s="1"/>
    </row>
    <row r="132" spans="1:7" x14ac:dyDescent="0.45">
      <c r="A132" s="11"/>
      <c r="B132" s="16"/>
      <c r="C132" s="16"/>
      <c r="G132" s="1"/>
    </row>
    <row r="133" spans="1:7" x14ac:dyDescent="0.45">
      <c r="A133" s="11"/>
      <c r="B133" s="16"/>
      <c r="C133" s="16"/>
      <c r="G133" s="1"/>
    </row>
    <row r="134" spans="1:7" x14ac:dyDescent="0.45">
      <c r="A134" s="11"/>
      <c r="B134" s="16"/>
      <c r="C134" s="16"/>
      <c r="G134" s="1"/>
    </row>
    <row r="135" spans="1:7" x14ac:dyDescent="0.45">
      <c r="A135" s="11"/>
      <c r="B135" s="16"/>
      <c r="C135" s="16"/>
      <c r="G135" s="1"/>
    </row>
    <row r="136" spans="1:7" x14ac:dyDescent="0.45">
      <c r="A136" s="11"/>
      <c r="B136" s="16"/>
      <c r="C136" s="16"/>
      <c r="G136" s="1"/>
    </row>
    <row r="137" spans="1:7" x14ac:dyDescent="0.45">
      <c r="A137" s="11"/>
      <c r="B137" s="16"/>
      <c r="C137" s="16"/>
      <c r="G137" s="1"/>
    </row>
    <row r="138" spans="1:7" x14ac:dyDescent="0.45">
      <c r="A138" s="11"/>
      <c r="B138" s="16"/>
      <c r="C138" s="16"/>
      <c r="G138" s="1"/>
    </row>
    <row r="139" spans="1:7" x14ac:dyDescent="0.45">
      <c r="A139" s="11"/>
      <c r="B139" s="16"/>
      <c r="C139" s="16"/>
      <c r="G139" s="1"/>
    </row>
    <row r="140" spans="1:7" x14ac:dyDescent="0.45">
      <c r="A140" s="11"/>
      <c r="B140" s="16"/>
      <c r="C140" s="16"/>
      <c r="G140" s="1"/>
    </row>
    <row r="141" spans="1:7" x14ac:dyDescent="0.45">
      <c r="A141" s="11"/>
      <c r="B141" s="16"/>
      <c r="C141" s="16"/>
      <c r="G141" s="1"/>
    </row>
    <row r="142" spans="1:7" x14ac:dyDescent="0.45">
      <c r="A142" s="11"/>
      <c r="B142" s="16"/>
      <c r="C142" s="16"/>
      <c r="G142" s="1"/>
    </row>
    <row r="143" spans="1:7" x14ac:dyDescent="0.45">
      <c r="A143" s="11"/>
      <c r="B143" s="16"/>
      <c r="C143" s="16"/>
      <c r="G143" s="1"/>
    </row>
    <row r="144" spans="1:7" x14ac:dyDescent="0.45">
      <c r="A144" s="11"/>
      <c r="B144" s="16"/>
      <c r="C144" s="16"/>
      <c r="G144" s="1"/>
    </row>
    <row r="145" spans="1:7" x14ac:dyDescent="0.45">
      <c r="A145" s="11"/>
      <c r="B145" s="16"/>
      <c r="C145" s="16"/>
      <c r="G145" s="1"/>
    </row>
    <row r="146" spans="1:7" x14ac:dyDescent="0.45">
      <c r="A146" s="11"/>
      <c r="B146" s="16"/>
      <c r="C146" s="16"/>
      <c r="G146" s="1"/>
    </row>
    <row r="147" spans="1:7" x14ac:dyDescent="0.45">
      <c r="A147" s="11"/>
      <c r="B147" s="16"/>
      <c r="C147" s="16"/>
      <c r="G147" s="1"/>
    </row>
    <row r="148" spans="1:7" x14ac:dyDescent="0.45">
      <c r="A148" s="11"/>
      <c r="B148" s="16"/>
      <c r="C148" s="16"/>
      <c r="G148" s="1"/>
    </row>
    <row r="149" spans="1:7" x14ac:dyDescent="0.45">
      <c r="A149" s="11"/>
      <c r="B149" s="16"/>
      <c r="C149" s="16"/>
      <c r="G149" s="1"/>
    </row>
    <row r="150" spans="1:7" x14ac:dyDescent="0.45">
      <c r="A150" s="11"/>
      <c r="B150" s="16"/>
      <c r="C150" s="16"/>
      <c r="G150" s="1"/>
    </row>
    <row r="151" spans="1:7" x14ac:dyDescent="0.45">
      <c r="A151" s="11"/>
      <c r="B151" s="16"/>
      <c r="C151" s="16"/>
      <c r="G151" s="1"/>
    </row>
    <row r="152" spans="1:7" x14ac:dyDescent="0.45">
      <c r="A152" s="11"/>
      <c r="B152" s="16"/>
      <c r="C152" s="16"/>
      <c r="G152" s="1"/>
    </row>
    <row r="153" spans="1:7" x14ac:dyDescent="0.45">
      <c r="A153" s="11"/>
      <c r="B153" s="16"/>
      <c r="C153" s="16"/>
      <c r="G153" s="1"/>
    </row>
    <row r="154" spans="1:7" x14ac:dyDescent="0.45">
      <c r="A154" s="11"/>
      <c r="B154" s="16"/>
      <c r="C154" s="16"/>
      <c r="G154" s="1"/>
    </row>
    <row r="155" spans="1:7" x14ac:dyDescent="0.45">
      <c r="A155" s="11"/>
      <c r="B155" s="16"/>
      <c r="C155" s="16"/>
      <c r="G155" s="1"/>
    </row>
    <row r="156" spans="1:7" x14ac:dyDescent="0.45">
      <c r="A156" s="11"/>
      <c r="B156" s="16"/>
      <c r="C156" s="16"/>
      <c r="G156" s="1"/>
    </row>
    <row r="157" spans="1:7" x14ac:dyDescent="0.45">
      <c r="A157" s="11"/>
      <c r="B157" s="16"/>
      <c r="C157" s="16"/>
      <c r="G157" s="1"/>
    </row>
    <row r="158" spans="1:7" x14ac:dyDescent="0.45">
      <c r="A158" s="11"/>
      <c r="B158" s="16"/>
      <c r="C158" s="16"/>
      <c r="G158" s="1"/>
    </row>
    <row r="159" spans="1:7" x14ac:dyDescent="0.45">
      <c r="A159" s="11"/>
      <c r="B159" s="16"/>
      <c r="C159" s="16"/>
      <c r="G159" s="1"/>
    </row>
    <row r="160" spans="1:7" x14ac:dyDescent="0.45">
      <c r="A160" s="11"/>
      <c r="B160" s="16"/>
      <c r="C160" s="16"/>
      <c r="G160" s="1"/>
    </row>
    <row r="161" spans="1:7" x14ac:dyDescent="0.45">
      <c r="A161" s="11"/>
      <c r="B161" s="16"/>
      <c r="C161" s="16"/>
      <c r="G161" s="1"/>
    </row>
    <row r="162" spans="1:7" x14ac:dyDescent="0.45">
      <c r="A162" s="11"/>
      <c r="B162" s="16"/>
      <c r="C162" s="16"/>
      <c r="G162" s="1"/>
    </row>
    <row r="163" spans="1:7" x14ac:dyDescent="0.45">
      <c r="A163" s="11"/>
      <c r="B163" s="16"/>
      <c r="C163" s="16"/>
      <c r="G163" s="1"/>
    </row>
    <row r="164" spans="1:7" x14ac:dyDescent="0.45">
      <c r="A164" s="11"/>
      <c r="B164" s="16"/>
      <c r="C164" s="16"/>
      <c r="G164" s="1"/>
    </row>
    <row r="165" spans="1:7" x14ac:dyDescent="0.45">
      <c r="A165" s="11"/>
      <c r="B165" s="16"/>
      <c r="C165" s="16"/>
      <c r="G165" s="1"/>
    </row>
    <row r="166" spans="1:7" x14ac:dyDescent="0.45">
      <c r="A166" s="11"/>
      <c r="B166" s="16"/>
      <c r="C166" s="16"/>
      <c r="G166" s="1"/>
    </row>
    <row r="167" spans="1:7" x14ac:dyDescent="0.45">
      <c r="A167" s="11"/>
      <c r="B167" s="16"/>
      <c r="C167" s="16"/>
      <c r="G167" s="1"/>
    </row>
    <row r="168" spans="1:7" x14ac:dyDescent="0.45">
      <c r="A168" s="11"/>
      <c r="B168" s="16"/>
      <c r="C168" s="16"/>
      <c r="G168" s="1"/>
    </row>
    <row r="169" spans="1:7" x14ac:dyDescent="0.45">
      <c r="A169" s="11"/>
      <c r="B169" s="16"/>
      <c r="C169" s="16"/>
      <c r="G169" s="1"/>
    </row>
    <row r="170" spans="1:7" x14ac:dyDescent="0.45">
      <c r="A170" s="11"/>
      <c r="B170" s="16"/>
      <c r="C170" s="16"/>
      <c r="G170" s="1"/>
    </row>
    <row r="171" spans="1:7" x14ac:dyDescent="0.45">
      <c r="A171" s="11"/>
      <c r="B171" s="16"/>
      <c r="C171" s="16"/>
      <c r="G171" s="1"/>
    </row>
    <row r="172" spans="1:7" x14ac:dyDescent="0.45">
      <c r="A172" s="11"/>
      <c r="B172" s="16"/>
      <c r="C172" s="16"/>
      <c r="G172" s="1"/>
    </row>
    <row r="173" spans="1:7" x14ac:dyDescent="0.45">
      <c r="A173" s="11"/>
      <c r="B173" s="16"/>
      <c r="C173" s="16"/>
      <c r="G173" s="1"/>
    </row>
    <row r="174" spans="1:7" x14ac:dyDescent="0.45">
      <c r="A174" s="11"/>
      <c r="B174" s="16"/>
      <c r="C174" s="16"/>
      <c r="G174" s="1"/>
    </row>
    <row r="175" spans="1:7" x14ac:dyDescent="0.45">
      <c r="A175" s="11"/>
      <c r="G175" s="1"/>
    </row>
    <row r="176" spans="1:7" x14ac:dyDescent="0.4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___5"/>
  <dimension ref="A1:K29"/>
  <sheetViews>
    <sheetView zoomScale="80" zoomScaleNormal="80" workbookViewId="0">
      <selection activeCell="C16" sqref="C16"/>
    </sheetView>
  </sheetViews>
  <sheetFormatPr defaultRowHeight="14.25" x14ac:dyDescent="0.45"/>
  <cols>
    <col min="2" max="2" width="21.1328125" customWidth="1"/>
    <col min="8" max="8" width="9.3984375" bestFit="1" customWidth="1"/>
    <col min="10" max="10" width="10.3984375" customWidth="1"/>
  </cols>
  <sheetData>
    <row r="1" spans="1:11" x14ac:dyDescent="0.45">
      <c r="A1" t="str">
        <f>версия_</f>
        <v>вер 7.6</v>
      </c>
    </row>
    <row r="4" spans="1:11" x14ac:dyDescent="0.45">
      <c r="B4" s="53" t="s">
        <v>176</v>
      </c>
      <c r="C4" s="54">
        <v>80</v>
      </c>
      <c r="D4" s="53" t="s">
        <v>177</v>
      </c>
    </row>
    <row r="5" spans="1:11" x14ac:dyDescent="0.4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45">
      <c r="B6" s="53" t="s">
        <v>180</v>
      </c>
      <c r="C6" s="54">
        <v>50</v>
      </c>
      <c r="D6" s="53" t="s">
        <v>181</v>
      </c>
    </row>
    <row r="7" spans="1:11" x14ac:dyDescent="0.45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4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45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45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4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4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4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4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4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4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4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4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4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4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4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4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4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4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4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4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4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4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4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2"/>
  <dimension ref="A1:AH58"/>
  <sheetViews>
    <sheetView topLeftCell="J1" zoomScale="70" zoomScaleNormal="70" workbookViewId="0">
      <selection activeCell="T28" sqref="T28"/>
    </sheetView>
  </sheetViews>
  <sheetFormatPr defaultRowHeight="14.25" x14ac:dyDescent="0.45"/>
  <cols>
    <col min="15" max="15" width="10.1328125" customWidth="1"/>
    <col min="22" max="22" width="10.73046875" customWidth="1"/>
  </cols>
  <sheetData>
    <row r="1" spans="1:34" x14ac:dyDescent="0.45">
      <c r="A1" t="str">
        <f>версия_</f>
        <v>вер 7.6</v>
      </c>
    </row>
    <row r="2" spans="1:34" x14ac:dyDescent="0.45">
      <c r="C2" t="s">
        <v>140</v>
      </c>
      <c r="E2">
        <f>X3-1</f>
        <v>0</v>
      </c>
      <c r="G2" t="s">
        <v>141</v>
      </c>
      <c r="J2">
        <f>AB3-1</f>
        <v>2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45">
      <c r="X3">
        <v>1</v>
      </c>
      <c r="Y3" t="s">
        <v>143</v>
      </c>
      <c r="AB3">
        <v>3</v>
      </c>
      <c r="AC3" t="s">
        <v>145</v>
      </c>
      <c r="AG3">
        <v>2</v>
      </c>
      <c r="AH3" t="s">
        <v>160</v>
      </c>
    </row>
    <row r="4" spans="1:34" x14ac:dyDescent="0.4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5.75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45</v>
      </c>
      <c r="R5" s="5" t="s">
        <v>44</v>
      </c>
      <c r="AC5" t="s">
        <v>147</v>
      </c>
      <c r="AH5" t="s">
        <v>154</v>
      </c>
    </row>
    <row r="6" spans="1:34" ht="15.75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5.75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90</v>
      </c>
      <c r="R7" s="5" t="s">
        <v>44</v>
      </c>
      <c r="AC7" t="s">
        <v>149</v>
      </c>
    </row>
    <row r="8" spans="1:34" ht="15.75" x14ac:dyDescent="0.55000000000000004">
      <c r="B8" s="7" t="s">
        <v>34</v>
      </c>
      <c r="C8" s="12" t="s">
        <v>63</v>
      </c>
      <c r="D8" s="5" t="s">
        <v>35</v>
      </c>
      <c r="P8" s="14" t="s">
        <v>197</v>
      </c>
      <c r="Q8" s="9">
        <v>45</v>
      </c>
      <c r="R8" s="5" t="s">
        <v>44</v>
      </c>
      <c r="AC8" t="s">
        <v>150</v>
      </c>
    </row>
    <row r="9" spans="1:34" ht="15.75" x14ac:dyDescent="0.4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5.75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45</v>
      </c>
      <c r="R10" s="5" t="s">
        <v>44</v>
      </c>
      <c r="S10" s="14" t="s">
        <v>55</v>
      </c>
      <c r="T10" s="25">
        <v>30</v>
      </c>
      <c r="U10" s="5" t="s">
        <v>25</v>
      </c>
    </row>
    <row r="11" spans="1:34" ht="15.75" x14ac:dyDescent="0.55000000000000004">
      <c r="P11" s="14" t="s">
        <v>46</v>
      </c>
      <c r="Q11" s="25">
        <v>45.073299407958984</v>
      </c>
      <c r="R11" s="5" t="s">
        <v>44</v>
      </c>
      <c r="S11" s="14" t="s">
        <v>56</v>
      </c>
      <c r="T11" s="25">
        <v>30</v>
      </c>
      <c r="U11" s="5" t="s">
        <v>25</v>
      </c>
    </row>
    <row r="12" spans="1:34" ht="15.75" x14ac:dyDescent="0.55000000000000004">
      <c r="M12" t="s">
        <v>63</v>
      </c>
      <c r="P12" s="14" t="s">
        <v>47</v>
      </c>
      <c r="Q12" s="25">
        <v>83.08324955143955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5">
      <c r="D13" s="1"/>
    </row>
    <row r="14" spans="1:34" x14ac:dyDescent="0.4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8.5" x14ac:dyDescent="0.4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4" x14ac:dyDescent="0.4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45.073299407958984</v>
      </c>
      <c r="P16">
        <v>0</v>
      </c>
      <c r="Q16">
        <v>30</v>
      </c>
      <c r="U16">
        <v>0</v>
      </c>
      <c r="V16" s="50">
        <f>Pline_out_atma_</f>
        <v>45</v>
      </c>
      <c r="W16">
        <v>0</v>
      </c>
      <c r="X16">
        <v>45</v>
      </c>
    </row>
    <row r="17" spans="2:24" x14ac:dyDescent="0.4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58.909809821475207</v>
      </c>
      <c r="P17">
        <v>194.44444444444446</v>
      </c>
      <c r="Q17">
        <v>30.648148148148149</v>
      </c>
      <c r="U17">
        <v>0</v>
      </c>
      <c r="V17" s="50">
        <f>Pbuf_out_atma_</f>
        <v>45.073299407958984</v>
      </c>
      <c r="W17">
        <v>131.63157894736841</v>
      </c>
      <c r="X17">
        <v>45.559321455072279</v>
      </c>
    </row>
    <row r="18" spans="2:24" x14ac:dyDescent="0.4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73.874734030994816</v>
      </c>
      <c r="P18">
        <v>388.88888888888891</v>
      </c>
      <c r="Q18">
        <v>31.296296296296294</v>
      </c>
      <c r="U18">
        <f>Hperf_m_</f>
        <v>3500</v>
      </c>
      <c r="V18" s="50">
        <f>Pwf_out_atma_</f>
        <v>83.08324955143955</v>
      </c>
      <c r="W18">
        <v>263.26315789473682</v>
      </c>
      <c r="X18">
        <v>46.124473217434968</v>
      </c>
    </row>
    <row r="19" spans="2:24" x14ac:dyDescent="0.4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89.433375908328529</v>
      </c>
      <c r="P19">
        <v>583.33333333333337</v>
      </c>
      <c r="Q19">
        <v>31.944444444444446</v>
      </c>
      <c r="W19">
        <v>394.8947368421052</v>
      </c>
      <c r="X19">
        <v>46.695502838073764</v>
      </c>
    </row>
    <row r="20" spans="2:24" x14ac:dyDescent="0.4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105.13328039891674</v>
      </c>
      <c r="P20">
        <v>777.77777777777783</v>
      </c>
      <c r="Q20">
        <v>32.592592592592588</v>
      </c>
      <c r="W20">
        <v>526.52631578947364</v>
      </c>
      <c r="X20">
        <v>47.27342874589111</v>
      </c>
    </row>
    <row r="21" spans="2:24" x14ac:dyDescent="0.4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120.79244560579485</v>
      </c>
      <c r="P21">
        <v>972.22222222222229</v>
      </c>
      <c r="Q21">
        <v>33.24074074074074</v>
      </c>
      <c r="W21">
        <v>658.15789473684208</v>
      </c>
      <c r="X21">
        <v>47.857529180455764</v>
      </c>
    </row>
    <row r="22" spans="2:24" x14ac:dyDescent="0.4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135.83890640201395</v>
      </c>
      <c r="P22">
        <v>1166.6666666666667</v>
      </c>
      <c r="Q22">
        <v>33.864444444444445</v>
      </c>
      <c r="W22">
        <v>789.78947368421041</v>
      </c>
      <c r="X22">
        <v>48.447666584399208</v>
      </c>
    </row>
    <row r="23" spans="2:24" x14ac:dyDescent="0.4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150.31643471783585</v>
      </c>
      <c r="P23">
        <v>1361.1111111111113</v>
      </c>
      <c r="Q23">
        <v>34.465370370370373</v>
      </c>
      <c r="W23">
        <v>921.42105263157885</v>
      </c>
      <c r="X23">
        <v>49.044694161377613</v>
      </c>
    </row>
    <row r="24" spans="2:24" x14ac:dyDescent="0.4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164.18895914917167</v>
      </c>
      <c r="P24">
        <v>1555.5555555555557</v>
      </c>
      <c r="Q24">
        <v>36.505000000000003</v>
      </c>
      <c r="W24">
        <v>1053.0526315789473</v>
      </c>
      <c r="X24">
        <v>49.648258794508685</v>
      </c>
    </row>
    <row r="25" spans="2:24" x14ac:dyDescent="0.4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177.40312380229162</v>
      </c>
      <c r="P25">
        <v>1750</v>
      </c>
      <c r="Q25">
        <v>44.762500000000003</v>
      </c>
      <c r="W25">
        <v>1184.6842105263156</v>
      </c>
      <c r="X25">
        <v>50.258055706462926</v>
      </c>
    </row>
    <row r="26" spans="2:24" x14ac:dyDescent="0.4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189.92505114245785</v>
      </c>
      <c r="P26">
        <v>1944.4444444444446</v>
      </c>
      <c r="Q26">
        <v>53.431111111111115</v>
      </c>
      <c r="W26">
        <v>1316.3157894736842</v>
      </c>
      <c r="X26">
        <v>50.874796777306692</v>
      </c>
    </row>
    <row r="27" spans="2:24" x14ac:dyDescent="0.4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201.76559548047098</v>
      </c>
      <c r="P27">
        <v>2138.8888888888891</v>
      </c>
      <c r="Q27">
        <v>61.684166666666677</v>
      </c>
      <c r="W27">
        <v>1447.9473684210525</v>
      </c>
      <c r="X27">
        <v>51.498536304592413</v>
      </c>
    </row>
    <row r="28" spans="2:24" x14ac:dyDescent="0.4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212.93640798696882</v>
      </c>
      <c r="P28">
        <v>2333.3333333333335</v>
      </c>
      <c r="Q28">
        <v>69.521666666666675</v>
      </c>
      <c r="W28">
        <v>1579.5789473684208</v>
      </c>
      <c r="X28">
        <v>52.127535346224022</v>
      </c>
    </row>
    <row r="29" spans="2:24" x14ac:dyDescent="0.4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222.00411295260537</v>
      </c>
      <c r="P29">
        <v>2500</v>
      </c>
      <c r="Q29">
        <v>75.92</v>
      </c>
      <c r="W29">
        <v>1711.2105263157894</v>
      </c>
      <c r="X29">
        <v>52.752920160829177</v>
      </c>
    </row>
    <row r="30" spans="2:24" x14ac:dyDescent="0.4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68.548439527948545</v>
      </c>
      <c r="P30">
        <v>2501</v>
      </c>
      <c r="Q30">
        <v>75.956850000000003</v>
      </c>
      <c r="W30">
        <v>1842.8421052631577</v>
      </c>
      <c r="X30">
        <v>53.370493756619091</v>
      </c>
    </row>
    <row r="31" spans="2:24" x14ac:dyDescent="0.4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69.550104505695984</v>
      </c>
      <c r="P31">
        <v>2527.7777777777778</v>
      </c>
      <c r="Q31">
        <v>76.943316555555555</v>
      </c>
      <c r="W31">
        <v>1974.4736842105262</v>
      </c>
      <c r="X31">
        <v>53.981689440241503</v>
      </c>
    </row>
    <row r="32" spans="2:24" x14ac:dyDescent="0.4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76.539049773027898</v>
      </c>
      <c r="P32">
        <v>2722.2222222222226</v>
      </c>
      <c r="Q32">
        <v>83.943663650793667</v>
      </c>
      <c r="W32">
        <v>2106.1052631578946</v>
      </c>
      <c r="X32">
        <v>54.586890882956986</v>
      </c>
    </row>
    <row r="33" spans="2:24" x14ac:dyDescent="0.4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79.176498989944889</v>
      </c>
      <c r="P33">
        <v>2916.666666666667</v>
      </c>
      <c r="Q33">
        <v>87.204166666666666</v>
      </c>
      <c r="W33">
        <v>2237.7368421052629</v>
      </c>
      <c r="X33">
        <v>55.186113310174846</v>
      </c>
    </row>
    <row r="34" spans="2:24" x14ac:dyDescent="0.4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80.480397434413646</v>
      </c>
      <c r="P34">
        <v>3111.1111111111113</v>
      </c>
      <c r="Q34">
        <v>88.136111111111106</v>
      </c>
      <c r="W34">
        <v>2266.0220222899934</v>
      </c>
      <c r="X34">
        <v>55.314284633295834</v>
      </c>
    </row>
    <row r="35" spans="2:24" x14ac:dyDescent="0.4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81.782662083702633</v>
      </c>
      <c r="P35">
        <v>3305.5555555555557</v>
      </c>
      <c r="Q35">
        <v>89.068055555555546</v>
      </c>
      <c r="W35">
        <v>2369.3684210526312</v>
      </c>
      <c r="X35">
        <v>61.27252462954884</v>
      </c>
    </row>
    <row r="36" spans="2:24" x14ac:dyDescent="0.4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83.08324955143955</v>
      </c>
      <c r="P36">
        <v>3500</v>
      </c>
      <c r="Q36">
        <v>90</v>
      </c>
      <c r="W36">
        <v>2501</v>
      </c>
      <c r="X36">
        <v>68.548439527948545</v>
      </c>
    </row>
    <row r="37" spans="2:24" x14ac:dyDescent="0.45">
      <c r="B37" s="2"/>
      <c r="C37" s="18">
        <v>2500</v>
      </c>
      <c r="D37" s="18">
        <v>176.72349338287597</v>
      </c>
      <c r="E37" s="18">
        <v>53</v>
      </c>
    </row>
    <row r="38" spans="2:24" x14ac:dyDescent="0.45">
      <c r="C38" s="18">
        <v>2625</v>
      </c>
      <c r="D38" s="18">
        <v>186.511102757185</v>
      </c>
      <c r="E38" s="18">
        <v>54</v>
      </c>
    </row>
    <row r="39" spans="2:24" x14ac:dyDescent="0.45">
      <c r="C39" s="18">
        <v>2750</v>
      </c>
      <c r="D39" s="18">
        <v>196.298712131494</v>
      </c>
      <c r="E39" s="18">
        <v>55</v>
      </c>
    </row>
    <row r="40" spans="2:24" x14ac:dyDescent="0.45">
      <c r="C40" s="18">
        <v>2875</v>
      </c>
      <c r="D40" s="18">
        <v>206.08632150580399</v>
      </c>
      <c r="E40" s="18">
        <v>56</v>
      </c>
    </row>
    <row r="41" spans="2:24" x14ac:dyDescent="0.45">
      <c r="C41" s="18">
        <v>3000</v>
      </c>
      <c r="D41" s="18">
        <v>215.87393088011299</v>
      </c>
      <c r="E41" s="18">
        <v>57</v>
      </c>
    </row>
    <row r="42" spans="2:24" x14ac:dyDescent="0.45">
      <c r="C42" s="18">
        <v>3125</v>
      </c>
      <c r="D42" s="18">
        <v>225.66154025442199</v>
      </c>
      <c r="E42" s="18">
        <v>58</v>
      </c>
    </row>
    <row r="43" spans="2:24" x14ac:dyDescent="0.45">
      <c r="C43" s="18">
        <v>3250</v>
      </c>
      <c r="D43" s="18">
        <v>235.44914962873099</v>
      </c>
      <c r="E43" s="18">
        <v>59</v>
      </c>
    </row>
    <row r="44" spans="2:24" x14ac:dyDescent="0.45">
      <c r="C44" s="18">
        <v>3375</v>
      </c>
      <c r="D44" s="18">
        <v>245.23675900304099</v>
      </c>
      <c r="E44" s="18">
        <v>60</v>
      </c>
    </row>
    <row r="52" spans="21:31" x14ac:dyDescent="0.45">
      <c r="U52">
        <f t="array" ref="U52:AE53">[1]!Well_Plin_Pwf_atma(150,10,10,30)</f>
        <v>178.82498026376351</v>
      </c>
      <c r="V52">
        <v>178.82498026376351</v>
      </c>
      <c r="W52">
        <v>178.82742116214894</v>
      </c>
      <c r="X52">
        <v>299.4887273112455</v>
      </c>
      <c r="Y52">
        <v>137.04118661887878</v>
      </c>
      <c r="Z52">
        <v>150</v>
      </c>
      <c r="AA52">
        <v>0</v>
      </c>
      <c r="AB52">
        <v>0</v>
      </c>
      <c r="AC52">
        <v>17972.146589307726</v>
      </c>
      <c r="AD52">
        <v>50</v>
      </c>
      <c r="AE52">
        <v>10.423222018181031</v>
      </c>
    </row>
    <row r="53" spans="21:31" x14ac:dyDescent="0.45">
      <c r="U53" t="str">
        <v>Plin</v>
      </c>
      <c r="V53" t="str">
        <v>Pline_atma</v>
      </c>
      <c r="W53" t="str">
        <v>Pbuf_atma</v>
      </c>
      <c r="X53" t="str">
        <v>Pdis_atma</v>
      </c>
      <c r="Y53" t="str">
        <v>Pint_atma</v>
      </c>
      <c r="Z53" t="str">
        <v>Pwf_atma</v>
      </c>
      <c r="AA53" t="str">
        <v>Pan_atma</v>
      </c>
      <c r="AB53" t="str">
        <v>Hdyn_m</v>
      </c>
      <c r="AC53" t="str">
        <v>.Power_W</v>
      </c>
      <c r="AD53" t="str">
        <v>freq_Hz</v>
      </c>
      <c r="AE53" t="str">
        <v>I_A</v>
      </c>
    </row>
    <row r="56" spans="21:31" x14ac:dyDescent="0.45">
      <c r="U56" t="str">
        <f>[1]!ESP_Encode_string()</f>
        <v>ESP_ID:1005,00000;HeadNom_m:2000,00000;ESPfreq_Hz:50,00000;ESP_U_V:1000,00000;MotorPowerNom_kW:30,00000;Tint_C:85,00000;Tdis_C:25,00000;KsepGS_fr:0,00000;</v>
      </c>
    </row>
    <row r="58" spans="21:31" x14ac:dyDescent="0.45">
      <c r="U58">
        <f>[1]!ESP_IDbyRate(50)</f>
        <v>1005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6" baseType="lpstr">
      <vt:lpstr>Unifloc</vt:lpstr>
      <vt:lpstr>PVT</vt:lpstr>
      <vt:lpstr>Construction</vt:lpstr>
      <vt:lpstr>ESP</vt:lpstr>
      <vt:lpstr>Calc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ESP!Head_ESP_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PVT_selector_</vt:lpstr>
      <vt:lpstr>Pwf_atma_</vt:lpstr>
      <vt:lpstr>Pwf_out_atma_</vt:lpstr>
      <vt:lpstr>ESP!Q_ESP_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2019-04-22T20:09:38Z</dcterms:modified>
</cp:coreProperties>
</file>