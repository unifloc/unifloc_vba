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01C120F4-2871-4CD5-BA9F-9D20A7201387}" xr6:coauthVersionLast="43" xr6:coauthVersionMax="43" xr10:uidLastSave="{00000000-0000-0000-0000-000000000000}"/>
  <bookViews>
    <workbookView xWindow="2340" yWindow="2820" windowWidth="28800" windowHeight="15435" tabRatio="529" activeTab="1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Calc" sheetId="2" r:id="rId5"/>
  </sheets>
  <externalReferences>
    <externalReference r:id="rId6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ESP!$C$33</definedName>
    <definedName name="Hlout_">Calc!$S$16:$S$36</definedName>
    <definedName name="Hlout_hmes_m_">Calc!$R$16:$R$36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out_">Calc!$N$17:$N$36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Calc!$W$16:$W$36</definedName>
    <definedName name="Pcas_out_atma_">Calc!$X$16:$X$36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ower_Motor_nom_">ESP!$C$14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_ESP_" localSheetId="3">ESP!$C$32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_V_">ESP!$C$13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6" i="4" l="1"/>
  <c r="X44" i="4"/>
  <c r="W38" i="4"/>
  <c r="W37" i="4"/>
  <c r="AB36" i="4"/>
  <c r="AA36" i="4"/>
  <c r="AB35" i="4"/>
  <c r="AA35" i="4"/>
  <c r="AD34" i="4"/>
  <c r="AD33" i="4"/>
  <c r="C25" i="4"/>
  <c r="G24" i="4"/>
  <c r="C24" i="4"/>
  <c r="K11" i="4"/>
  <c r="K12" i="4" s="1"/>
  <c r="K9" i="4"/>
  <c r="K8" i="4"/>
  <c r="K10" i="4" s="1"/>
  <c r="A1" i="4"/>
  <c r="E32" i="4"/>
  <c r="M35" i="4"/>
  <c r="T33" i="4"/>
  <c r="C32" i="4"/>
  <c r="I34" i="4"/>
  <c r="M36" i="4"/>
  <c r="I35" i="4"/>
  <c r="M34" i="4"/>
  <c r="M37" i="4"/>
  <c r="I36" i="4"/>
  <c r="C49" i="4"/>
  <c r="I37" i="4"/>
  <c r="E35" i="4"/>
  <c r="C45" i="4"/>
  <c r="E36" i="4"/>
  <c r="C35" i="4"/>
  <c r="E34" i="4"/>
  <c r="E33" i="4"/>
  <c r="E37" i="4"/>
  <c r="C36" i="4"/>
  <c r="C34" i="4"/>
  <c r="C33" i="4"/>
  <c r="C37" i="4"/>
  <c r="C44" i="4"/>
  <c r="C43" i="4"/>
  <c r="M40" i="4"/>
  <c r="G23" i="4"/>
  <c r="C40" i="4"/>
  <c r="M32" i="4"/>
  <c r="C23" i="4"/>
  <c r="V33" i="4"/>
  <c r="I32" i="4"/>
  <c r="T35" i="4"/>
  <c r="M33" i="4"/>
  <c r="I33" i="4"/>
  <c r="T36" i="4"/>
  <c r="T34" i="4"/>
  <c r="V35" i="4"/>
  <c r="C28" i="4"/>
  <c r="C26" i="4"/>
  <c r="C27" i="4"/>
  <c r="V36" i="4"/>
  <c r="V34" i="4"/>
  <c r="W34" i="4" l="1"/>
  <c r="AB33" i="4" s="1"/>
  <c r="W36" i="4"/>
  <c r="AB34" i="4" s="1"/>
  <c r="W35" i="4"/>
  <c r="AB38" i="4" s="1"/>
  <c r="U34" i="4"/>
  <c r="AA33" i="4" s="1"/>
  <c r="U36" i="4"/>
  <c r="AA34" i="4" s="1"/>
  <c r="U35" i="4"/>
  <c r="AA38" i="4" s="1"/>
  <c r="W33" i="4"/>
  <c r="B79" i="4"/>
  <c r="F37" i="4"/>
  <c r="F33" i="4"/>
  <c r="F34" i="4"/>
  <c r="F36" i="4"/>
  <c r="F35" i="4"/>
  <c r="U33" i="4"/>
  <c r="AA32" i="4" s="1"/>
  <c r="F32" i="4"/>
  <c r="H5" i="7"/>
  <c r="C16" i="7"/>
  <c r="C10" i="7"/>
  <c r="C9" i="7"/>
  <c r="C8" i="7"/>
  <c r="C7" i="7"/>
  <c r="U58" i="2"/>
  <c r="U52" i="2" a="1"/>
  <c r="U56" i="2"/>
  <c r="R34" i="4" l="1"/>
  <c r="AD32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W52" i="2"/>
  <c r="AE52" i="2"/>
  <c r="AB53" i="2"/>
  <c r="Y52" i="2"/>
  <c r="AD53" i="2"/>
  <c r="AE53" i="2"/>
  <c r="X53" i="2"/>
  <c r="AB52" i="2"/>
  <c r="Y53" i="2"/>
  <c r="Z53" i="2"/>
  <c r="AD52" i="2"/>
  <c r="X52" i="2"/>
  <c r="U53" i="2"/>
  <c r="AC53" i="2"/>
  <c r="V53" i="2"/>
  <c r="Z52" i="2"/>
  <c r="W53" i="2"/>
  <c r="AA52" i="2"/>
  <c r="U52" i="2"/>
  <c r="AC52" i="2"/>
  <c r="V52" i="2"/>
  <c r="AA53" i="2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l="1"/>
  <c r="A1" i="7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<sst xmlns="http://schemas.openxmlformats.org/spreadsheetml/2006/main" count="299" uniqueCount="205">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</sst>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4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0.99031266598457834</c:v>
                </c:pt>
                <c:pt idx="1">
                  <c:v>0.94939251991768747</c:v>
                </c:pt>
                <c:pt idx="2">
                  <c:v>0.90709419384474355</c:v>
                </c:pt>
                <c:pt idx="3">
                  <c:v>0.86439081059241085</c:v>
                </c:pt>
                <c:pt idx="4">
                  <c:v>0.82185872245860181</c:v>
                </c:pt>
                <c:pt idx="5">
                  <c:v>0.77988975562164153</c:v>
                </c:pt>
                <c:pt idx="6">
                  <c:v>0.73876463925463765</c:v>
                </c:pt>
                <c:pt idx="7">
                  <c:v>0.69868595340489781</c:v>
                </c:pt>
                <c:pt idx="8">
                  <c:v>0.65979718898112383</c:v>
                </c:pt>
                <c:pt idx="9">
                  <c:v>0.62219562660691996</c:v>
                </c:pt>
                <c:pt idx="10">
                  <c:v>0.585941900127671</c:v>
                </c:pt>
                <c:pt idx="11">
                  <c:v>0.55106749731895333</c:v>
                </c:pt>
                <c:pt idx="12">
                  <c:v>0.51758082055737475</c:v>
                </c:pt>
                <c:pt idx="13">
                  <c:v>0.48547215667074578</c:v>
                </c:pt>
                <c:pt idx="14">
                  <c:v>0.45471777617189474</c:v>
                </c:pt>
                <c:pt idx="15">
                  <c:v>0.42528331634449712</c:v>
                </c:pt>
                <c:pt idx="16">
                  <c:v>0.39712656612085145</c:v>
                </c:pt>
                <c:pt idx="17">
                  <c:v>0.37019974808508055</c:v>
                </c:pt>
                <c:pt idx="18">
                  <c:v>0.34445137766853778</c:v>
                </c:pt>
                <c:pt idx="19">
                  <c:v>0.31982776739901991</c:v>
                </c:pt>
                <c:pt idx="20">
                  <c:v>0.29627423477651588</c:v>
                </c:pt>
                <c:pt idx="21">
                  <c:v>0.23512272839443882</c:v>
                </c:pt>
                <c:pt idx="22">
                  <c:v>0.18087914913620051</c:v>
                </c:pt>
                <c:pt idx="23">
                  <c:v>0.13249064481869405</c:v>
                </c:pt>
                <c:pt idx="24">
                  <c:v>8.9068615178731603E-2</c:v>
                </c:pt>
                <c:pt idx="25">
                  <c:v>4.9902676948977834E-2</c:v>
                </c:pt>
                <c:pt idx="26">
                  <c:v>1.4460330224812166E-2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52.218968640513665</c:v>
                </c:pt>
                <c:pt idx="1">
                  <c:v>66.744493891496148</c:v>
                </c:pt>
                <c:pt idx="2">
                  <c:v>82.098234124333075</c:v>
                </c:pt>
                <c:pt idx="3">
                  <c:v>97.772898874275214</c:v>
                </c:pt>
                <c:pt idx="4">
                  <c:v>113.49968867215102</c:v>
                </c:pt>
                <c:pt idx="5">
                  <c:v>129.17893011740932</c:v>
                </c:pt>
                <c:pt idx="6">
                  <c:v>144.24059750127552</c:v>
                </c:pt>
                <c:pt idx="7">
                  <c:v>158.73005812790495</c:v>
                </c:pt>
                <c:pt idx="8">
                  <c:v>172.61218805755377</c:v>
                </c:pt>
                <c:pt idx="9">
                  <c:v>185.83479542135944</c:v>
                </c:pt>
                <c:pt idx="10">
                  <c:v>198.36475874447464</c:v>
                </c:pt>
                <c:pt idx="11">
                  <c:v>210.21283689491702</c:v>
                </c:pt>
                <c:pt idx="12">
                  <c:v>221.39070114728912</c:v>
                </c:pt>
                <c:pt idx="13">
                  <c:v>230.4640992450108</c:v>
                </c:pt>
                <c:pt idx="14">
                  <c:v>74.847549269197714</c:v>
                </c:pt>
                <c:pt idx="15">
                  <c:v>75.933313754287497</c:v>
                </c:pt>
                <c:pt idx="16">
                  <c:v>83.460558646568344</c:v>
                </c:pt>
                <c:pt idx="17">
                  <c:v>86.104785457246848</c:v>
                </c:pt>
                <c:pt idx="18">
                  <c:v>87.404936558617962</c:v>
                </c:pt>
                <c:pt idx="19">
                  <c:v>88.703341765990558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34E9652-853E-455B-ACAB-F48A7EAF1AD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2101622-23B6-48DD-B3EC-F668BD673AE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C44DA7E-EA26-4B5B-8CE5-4852AE212C0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3AE3000-A466-4597-8E7E-D8B4D311305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C37497-E7E7-4537-B2A5-7938ED123D0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F360B5E-6105-44DB-A3BC-C9F61544A5A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Calc!$V$16:$V$18</c:f>
              <c:numCache>
                <c:formatCode>0</c:formatCode>
                <c:ptCount val="3"/>
                <c:pt idx="0">
                  <c:v>52.156818378764996</c:v>
                </c:pt>
                <c:pt idx="1">
                  <c:v>52.218968640513665</c:v>
                </c:pt>
                <c:pt idx="2">
                  <c:v>90</c:v>
                </c:pt>
              </c:numCache>
            </c:numRef>
          </c:xVal>
          <c:yVal>
            <c:numRef>
              <c:f>Calc!$U$16:$U$18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45.559321455072279</c:v>
                </c:pt>
                <c:pt idx="2">
                  <c:v>46.124473217434968</c:v>
                </c:pt>
                <c:pt idx="3">
                  <c:v>46.695502838073764</c:v>
                </c:pt>
                <c:pt idx="4">
                  <c:v>47.27342874589111</c:v>
                </c:pt>
                <c:pt idx="5">
                  <c:v>47.857529180455764</c:v>
                </c:pt>
                <c:pt idx="6">
                  <c:v>48.447666584399208</c:v>
                </c:pt>
                <c:pt idx="7">
                  <c:v>49.044694161377613</c:v>
                </c:pt>
                <c:pt idx="8">
                  <c:v>49.648258794508685</c:v>
                </c:pt>
                <c:pt idx="9">
                  <c:v>50.258055706462926</c:v>
                </c:pt>
                <c:pt idx="10">
                  <c:v>50.874796777306692</c:v>
                </c:pt>
                <c:pt idx="11">
                  <c:v>51.498536304592413</c:v>
                </c:pt>
                <c:pt idx="12">
                  <c:v>52.127535346224022</c:v>
                </c:pt>
                <c:pt idx="13">
                  <c:v>52.752920160829177</c:v>
                </c:pt>
                <c:pt idx="14">
                  <c:v>53.370493756619091</c:v>
                </c:pt>
                <c:pt idx="15">
                  <c:v>53.981689440241503</c:v>
                </c:pt>
                <c:pt idx="16">
                  <c:v>54.586890882956986</c:v>
                </c:pt>
                <c:pt idx="17">
                  <c:v>54.658688414778076</c:v>
                </c:pt>
                <c:pt idx="18">
                  <c:v>61.087892528238015</c:v>
                </c:pt>
                <c:pt idx="19">
                  <c:v>68.112466278161079</c:v>
                </c:pt>
                <c:pt idx="20">
                  <c:v>74.847549269197714</c:v>
                </c:pt>
              </c:numCache>
            </c:numRef>
          </c:xVal>
          <c:yVal>
            <c:numRef>
              <c:f>Calc!$W$16:$W$36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1184.6842105263156</c:v>
                </c:pt>
                <c:pt idx="10">
                  <c:v>1316.3157894736842</c:v>
                </c:pt>
                <c:pt idx="11">
                  <c:v>1447.9473684210525</c:v>
                </c:pt>
                <c:pt idx="12">
                  <c:v>1579.5789473684208</c:v>
                </c:pt>
                <c:pt idx="13">
                  <c:v>1711.2105263157894</c:v>
                </c:pt>
                <c:pt idx="14">
                  <c:v>1842.8421052631577</c:v>
                </c:pt>
                <c:pt idx="15">
                  <c:v>1974.4736842105262</c:v>
                </c:pt>
                <c:pt idx="16">
                  <c:v>2106.1052631578946</c:v>
                </c:pt>
                <c:pt idx="17">
                  <c:v>2121.8480602927584</c:v>
                </c:pt>
                <c:pt idx="18">
                  <c:v>2237.7368421052629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344133</xdr:colOff>
      <xdr:row>15</xdr:row>
      <xdr:rowOff>69720</xdr:rowOff>
    </xdr:from>
    <xdr:to>
      <xdr:col>30</xdr:col>
      <xdr:colOff>38880</xdr:colOff>
      <xdr:row>46</xdr:row>
      <xdr:rowOff>121816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IDbyRate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4"/>
  <dimension ref="A1:E4"/>
  <sheetViews>
    <sheetView workbookViewId="0">
      <selection activeCell="C7" sqref="C7"/>
    </sheetView>
  </sheetViews>
  <sheetFormatPr defaultRowHeight="15" x14ac:dyDescent="0.25"/>
  <sheetData>
    <row r="1" spans="1:5" x14ac:dyDescent="0.25">
      <c r="A1" t="str">
        <f>"вер "&amp;B1</f>
        <v>вер 7.6</v>
      </c>
      <c r="B1" s="59" t="s">
        <v>204</v>
      </c>
    </row>
    <row r="2" spans="1:5" x14ac:dyDescent="0.25">
      <c r="A2" t="s">
        <v>161</v>
      </c>
    </row>
    <row r="4" spans="1:5" x14ac:dyDescent="0.25">
      <c r="A4" s="60" t="str">
        <f>"Унифлок "&amp;версия_номер_</f>
        <v>Унифлок 7.6</v>
      </c>
      <c r="B4" s="60"/>
      <c r="C4" s="60"/>
      <c r="D4" s="60"/>
      <c r="E4" s="60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">
    <outlinePr summaryBelow="0"/>
  </sheetPr>
  <dimension ref="A1:AG101"/>
  <sheetViews>
    <sheetView tabSelected="1" topLeftCell="A13" zoomScale="70" zoomScaleNormal="70" workbookViewId="0">
      <selection activeCell="C43" sqref="C43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7.6</v>
      </c>
      <c r="J1" s="2" t="s">
        <v>23</v>
      </c>
      <c r="K1" s="2"/>
      <c r="L1" s="2"/>
    </row>
    <row r="2" spans="1:17" ht="18" x14ac:dyDescent="0.25">
      <c r="A2" s="60" t="s">
        <v>0</v>
      </c>
      <c r="B2" s="60"/>
      <c r="C2" s="60"/>
      <c r="D2" s="60"/>
      <c r="E2" s="60"/>
      <c r="J2" s="6" t="s">
        <v>26</v>
      </c>
      <c r="K2" s="9">
        <v>1</v>
      </c>
      <c r="L2" s="5" t="s">
        <v>6</v>
      </c>
    </row>
    <row r="3" spans="1:17" ht="18" customHeight="1" x14ac:dyDescent="0.25">
      <c r="F3" s="61" t="s">
        <v>74</v>
      </c>
      <c r="G3" s="61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2" t="s">
        <v>28</v>
      </c>
      <c r="O7" s="62"/>
      <c r="P7" s="62"/>
      <c r="Q7" s="62"/>
    </row>
    <row r="8" spans="1:17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PVT_Rhoo_kgm3(Psc_atma_,Tsc_C_,gamma_gas_,gamma_oil_,gamma_w_,Rsb_m3m3_,,,,,,PVT_correlation_,Ksep_,Psep_atma_,Tsep_C_)</f>
        <v>860.00434407024829</v>
      </c>
      <c r="F32" s="30">
        <f>(E32-C32)/E32</f>
        <v>3.1188543377398885E-3</v>
      </c>
      <c r="G32" s="31"/>
      <c r="H32" s="5" t="s">
        <v>90</v>
      </c>
      <c r="I32" s="27">
        <f>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PVT_Muo_cP(Psc_atma_,Tsc_C_,gamma_gas_,gamma_oil_,gamma_w_,Rsb_m3m3_,,,,,,PVT_correlation_,Ksep_,Psep_atma_,Tsep_C_)</f>
        <v>12.53061051510749</v>
      </c>
      <c r="F33" s="30">
        <f>(E33-C33)/E33</f>
        <v>7.3499358570622106E-2</v>
      </c>
      <c r="G33" s="31"/>
      <c r="H33" s="5" t="s">
        <v>97</v>
      </c>
      <c r="I33" s="39">
        <f>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PVT_Rs_m3m3(P_atma_,T_C_,gamma_gas_,gamma_oil_,gamma_w_,Rsb_m3m3_,,Pb_atma_,Tres_C_,Bob_m3m3_,mu_cP_,PVT_correlation_,Ksep_,Psep_atma_,Tsep_C_)</f>
        <v>57.84590777991464</v>
      </c>
      <c r="D34" s="5" t="s">
        <v>17</v>
      </c>
      <c r="E34" s="29">
        <f>PVT_Rs_m3m3(P_atma_,T_C_,gamma_gas_,gamma_oil_,gamma_w_,Rsb_m3m3_,,,,,,PVT_correlation_,Ksep_,Psep_atma_,Tsep_C_)</f>
        <v>36.382686688964391</v>
      </c>
      <c r="F34" s="30">
        <f>(E34-C34)/E34</f>
        <v>-0.58992952539319976</v>
      </c>
      <c r="G34" s="31"/>
      <c r="H34" s="5" t="s">
        <v>101</v>
      </c>
      <c r="I34" s="26">
        <f>PVT_Z(P_atma_,T_C_,gamma_gas_,gamma_oil_,gamma_w_,Rsb_m3m3_,,Pb_atma_,Tres_C_,Bob_m3m3_,mu_cP_,PVT_correlation_,Ksep_,Psep_atma_,Tsep_C_)</f>
        <v>0.93919425965821102</v>
      </c>
      <c r="J34" s="5"/>
      <c r="L34" s="5" t="s">
        <v>102</v>
      </c>
      <c r="M34" s="22">
        <f>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PVT_Bo_m3m3(P_atma_,T_C_,gamma_gas_,gamma_oil_,gamma_w_,Rsb_m3m3_,,Pb_atma_,Tres_C_,Bob_m3m3_,mu_cP_,PVT_correlation_,Ksep_,Psep_atma_,Tsep_C_)</f>
        <v>1.1364374868066838</v>
      </c>
      <c r="D35" s="5" t="s">
        <v>17</v>
      </c>
      <c r="E35" s="29">
        <f>PVT_Bo_m3m3(P_atma_,T_C_,gamma_gas_,gamma_oil_,gamma_w_,Rsb_m3m3_,,,,,,PVT_correlation_,Ksep_,Psep_atma_,Tsep_C_)</f>
        <v>1.0909042856563635</v>
      </c>
      <c r="F35" s="30">
        <f>(E35-C35)/E35</f>
        <v>-4.1738951573486852E-2</v>
      </c>
      <c r="G35" s="31"/>
      <c r="H35" s="5" t="s">
        <v>105</v>
      </c>
      <c r="I35" s="39">
        <f>PVT_Bg_m3m3(P_atma_,T_C_,gamma_gas_,gamma_oil_,gamma_w_,Rsb_m3m3_,,Pb_atma_,Tres_C_,Bob_m3m3_,mu_cP_,PVT_correlation_,Ksep_,Psep_atma_,Tsep_C_)</f>
        <v>2.4379578175196839E-2</v>
      </c>
      <c r="J35" s="5" t="s">
        <v>17</v>
      </c>
      <c r="L35" s="5" t="s">
        <v>106</v>
      </c>
      <c r="M35" s="26">
        <f>PVT_Bw_m3m3(P_atma_,T_C_,gamma_gas_,gamma_oil_,gamma_w_,Rsb_m3m3_,,Pb_atma_,Tres_C_,Bob_m3m3_,mu_cP_,PVT_correlation_,Ksep_,Psep_atma_,Tsep_C_)</f>
        <v>1.0050124728223304</v>
      </c>
      <c r="N35" s="5" t="s">
        <v>17</v>
      </c>
      <c r="S35" s="8" t="s">
        <v>81</v>
      </c>
      <c r="T35" s="29">
        <f>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PVT_Rhoo_kgm3(P_atma_,T_C_,gamma_gas_,gamma_oil_,gamma_w_,Rsb_m3m3_,,Pb_atma_,Tres_C_,Bob_m3m3_,mu_cP_,PVT_correlation_,Ksep_,Psep_atma_,Tsep_C_)</f>
        <v>800.28092388069251</v>
      </c>
      <c r="D36" s="5" t="s">
        <v>82</v>
      </c>
      <c r="E36" s="29">
        <f>PVT_Rhoo_kgm3(P_atma_,T_C_,gamma_gas_,gamma_oil_,gamma_w_,Rsb_m3m3_,,,,,,PVT_correlation_,Ksep_,Psep_atma_,Tsep_C_)</f>
        <v>816.85819878632105</v>
      </c>
      <c r="F36" s="30">
        <f>(E36-C36)/E36</f>
        <v>2.0293944445019804E-2</v>
      </c>
      <c r="G36" s="31"/>
      <c r="H36" s="5" t="s">
        <v>108</v>
      </c>
      <c r="I36" s="22">
        <f>PVT_Rhog_kgm3(P_atma_,T_C_,gamma_gas_,gamma_oil_,gamma_w_,Rsb_m3m3_,,Pb_atma_,Tres_C_,Bob_m3m3_,mu_cP_,PVT_correlation_,Ksep_,Psep_atma_,Tsep_C_)</f>
        <v>35.078129484211033</v>
      </c>
      <c r="J36" s="5" t="s">
        <v>82</v>
      </c>
      <c r="L36" s="5" t="s">
        <v>109</v>
      </c>
      <c r="M36" s="22">
        <f>PVT_Rhow_kgm3(P_atma_,T_C_,gamma_gas_,gamma_oil_,gamma_w_,Rsb_m3m3_,,Pb_atma_,Tres_C_,Bob_m3m3_,mu_cP_,PVT_correlation_,Ksep_,Psep_atma_,Tsep_C_)</f>
        <v>1064.6634036244029</v>
      </c>
      <c r="N36" s="5" t="s">
        <v>82</v>
      </c>
      <c r="S36" s="8" t="s">
        <v>83</v>
      </c>
      <c r="T36" s="38">
        <f>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PVT_Muo_cP(P_atma_,T_C_,gamma_gas_,gamma_oil_,gamma_w_,Rsb_m3m3_,,Pb_atma_,Tres_C_,Bob_m3m3_,mu_cP_,PVT_correlation_,Ksep_,Psep_atma_,Tsep_C_)</f>
        <v>2.9495948500853633</v>
      </c>
      <c r="D37" s="5" t="s">
        <v>7</v>
      </c>
      <c r="E37" s="29">
        <f>PVT_Muo_cP(P_atma_,T_C_,gamma_gas_,gamma_oil_,gamma_w_,Rsb_m3m3_,,,,,,PVT_correlation_,Ksep_,Psep_atma_,Tsep_C_)</f>
        <v>3.9919050315962448</v>
      </c>
      <c r="F37" s="30">
        <f>(E37-C37)/E37</f>
        <v>0.26110595649468454</v>
      </c>
      <c r="G37" s="31"/>
      <c r="H37" s="5" t="s">
        <v>112</v>
      </c>
      <c r="I37" s="39">
        <f>PVT_Mug_cP(P_atma_,T_C_,gamma_gas_,gamma_oil_,gamma_w_,Rsb_m3m3_,,Pb_atma_,Tres_C_,Bob_m3m3_,mu_cP_,PVT_correlation_,Ksep_,Psep_atma_,Tsep_C_)</f>
        <v>1.1774941966222424E-2</v>
      </c>
      <c r="J37" s="5" t="s">
        <v>7</v>
      </c>
      <c r="L37" s="5" t="s">
        <v>113</v>
      </c>
      <c r="M37" s="26">
        <f>PVT_Muw_cP(P_atma_,T_C_,gamma_gas_,gamma_oil_,gamma_w_,Rsb_m3m3_,,Pb_atma_,Tres_C_,Bob_m3m3_,mu_cP_,PVT_correlation_,Ksep_,Psep_atma_,Tsep_C_)</f>
        <v>0.91543932313862619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PVT_SToilgas_Nm(P_atma_,T_C_,gamma_gas_,gamma_oil_,gamma_w_,Rsb_m3m3_,,Pb_atma_,Tres_C_,Bob_m3m3_,mu_cP_,PVT_correlation_,Ksep_,Psep_atma_,Tsep_C_)</f>
        <v>3.8746755606618333E-2</v>
      </c>
      <c r="D40" s="5" t="s">
        <v>173</v>
      </c>
      <c r="L40" s="5" t="s">
        <v>175</v>
      </c>
      <c r="M40" s="51">
        <f>PVT_STwatgas_Nm(P_atma_,T_C_,gamma_gas_,gamma_oil_,gamma_w_,Rsb_m3m3_,,Pb_atma_,Tres_C_,Bob_m3m3_,mu_cP_,PVT_correlation_,Ksep_,Psep_atma_,Tsep_C_)</f>
        <v>5.8884365535558904E-2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 t="e">
        <f>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 t="e">
        <f>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 t="e">
        <f>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PVT_STliqgas_Nm(P_atma_,T_C_,gamma_gas_,gamma_oil_,gamma_w_,Rsb_m3m3_,,Pb_atma_,Tres_C_,Bob_m3m3_,mu_cP_,PVT_correlation_,Ksep_,Psep_atma_,Tsep_C_)</f>
        <v>3.8746755606618333E-2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0.98997541064733996</v>
      </c>
      <c r="Q59">
        <v>0.98997541064733996</v>
      </c>
      <c r="R59">
        <v>0.99031266598457834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0.94614339991979213</v>
      </c>
      <c r="Q60">
        <v>0.94614339991979213</v>
      </c>
      <c r="R60">
        <v>0.94939251991768747</v>
      </c>
    </row>
    <row r="61" spans="1:29" outlineLevel="1" x14ac:dyDescent="0.25">
      <c r="A61" s="44">
        <v>3</v>
      </c>
      <c r="B61" s="46">
        <f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0.89826216338241693</v>
      </c>
      <c r="Q61">
        <v>0.89826216338241693</v>
      </c>
      <c r="R61">
        <v>0.90709419384474355</v>
      </c>
    </row>
    <row r="62" spans="1:29" outlineLevel="1" x14ac:dyDescent="0.25">
      <c r="A62" s="44">
        <v>4</v>
      </c>
      <c r="B62" s="46">
        <f>($B$79-$B$59)/($A$79-$A$59)+B61</f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0.84775635578540187</v>
      </c>
      <c r="Q62">
        <v>0.84775635578540187</v>
      </c>
      <c r="R62">
        <v>0.86439081059241085</v>
      </c>
    </row>
    <row r="63" spans="1:29" outlineLevel="1" x14ac:dyDescent="0.25">
      <c r="A63" s="44">
        <v>5</v>
      </c>
      <c r="B63" s="46">
        <f>($B$79-$B$59)/($A$79-$A$59)+B62</f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0.79547822217869313</v>
      </c>
      <c r="Q63">
        <v>0.79547822217869313</v>
      </c>
      <c r="R63">
        <v>0.82185872245860181</v>
      </c>
    </row>
    <row r="64" spans="1:29" outlineLevel="1" x14ac:dyDescent="0.25">
      <c r="A64" s="44">
        <v>6</v>
      </c>
      <c r="B64" s="46">
        <f>($B$79-$B$59)/($A$79-$A$59)+B63</f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0.74206792515658504</v>
      </c>
      <c r="Q64">
        <v>0.74206792515658504</v>
      </c>
      <c r="R64">
        <v>0.77988975562164153</v>
      </c>
    </row>
    <row r="65" spans="1:18" outlineLevel="1" x14ac:dyDescent="0.25">
      <c r="A65" s="44">
        <v>7</v>
      </c>
      <c r="B65" s="46">
        <f>($B$79-$B$59)/($A$79-$A$59)+B64</f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0.68804068471210011</v>
      </c>
      <c r="Q65">
        <v>0.68804068471210011</v>
      </c>
      <c r="R65">
        <v>0.73876463925463765</v>
      </c>
    </row>
    <row r="66" spans="1:18" outlineLevel="1" x14ac:dyDescent="0.25">
      <c r="A66" s="44">
        <v>8</v>
      </c>
      <c r="B66" s="46">
        <f>($B$79-$B$59)/($A$79-$A$59)+B65</f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0.63382089873430336</v>
      </c>
      <c r="Q66">
        <v>0.63382089873430336</v>
      </c>
      <c r="R66">
        <v>0.69868595340489781</v>
      </c>
    </row>
    <row r="67" spans="1:18" outlineLevel="1" x14ac:dyDescent="0.25">
      <c r="A67" s="44">
        <v>9</v>
      </c>
      <c r="B67" s="46">
        <f>($B$79-$B$59)/($A$79-$A$59)+B66</f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0.57975949108250746</v>
      </c>
      <c r="Q67">
        <v>0.57975949108250746</v>
      </c>
      <c r="R67">
        <v>0.65979718898112383</v>
      </c>
    </row>
    <row r="68" spans="1:18" outlineLevel="1" x14ac:dyDescent="0.25">
      <c r="A68" s="44">
        <v>10</v>
      </c>
      <c r="B68" s="46">
        <f>($B$79-$B$59)/($A$79-$A$59)+B67</f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0.52614477718001729</v>
      </c>
      <c r="Q68">
        <v>0.52614477718001729</v>
      </c>
      <c r="R68">
        <v>0.62219562660691996</v>
      </c>
    </row>
    <row r="69" spans="1:18" outlineLevel="1" x14ac:dyDescent="0.25">
      <c r="A69" s="44">
        <v>11</v>
      </c>
      <c r="B69" s="46">
        <f>($B$79-$B$59)/($A$79-$A$59)+B68</f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0.47321052383313328</v>
      </c>
      <c r="Q69">
        <v>0.47321052383313328</v>
      </c>
      <c r="R69">
        <v>0.585941900127671</v>
      </c>
    </row>
    <row r="70" spans="1:18" outlineLevel="1" x14ac:dyDescent="0.25">
      <c r="A70" s="44">
        <v>12</v>
      </c>
      <c r="B70" s="46">
        <f>($B$79-$B$59)/($A$79-$A$59)+B69</f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0.42114267029873143</v>
      </c>
      <c r="Q70">
        <v>0.42114267029873143</v>
      </c>
      <c r="R70">
        <v>0.55106749731895333</v>
      </c>
    </row>
    <row r="71" spans="1:18" outlineLevel="1" x14ac:dyDescent="0.25">
      <c r="A71" s="44">
        <v>13</v>
      </c>
      <c r="B71" s="46">
        <f>($B$79-$B$59)/($A$79-$A$59)+B70</f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0.37008531596833544</v>
      </c>
      <c r="Q71">
        <v>0.37008531596833544</v>
      </c>
      <c r="R71">
        <v>0.51758082055737475</v>
      </c>
    </row>
    <row r="72" spans="1:18" outlineLevel="1" x14ac:dyDescent="0.25">
      <c r="A72" s="44">
        <v>14</v>
      </c>
      <c r="B72" s="46">
        <f>($B$79-$B$59)/($A$79-$A$59)+B71</f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0.32014621642941443</v>
      </c>
      <c r="Q72">
        <v>0.32014621642941443</v>
      </c>
      <c r="R72">
        <v>0.48547215667074578</v>
      </c>
    </row>
    <row r="73" spans="1:18" outlineLevel="1" x14ac:dyDescent="0.25">
      <c r="A73" s="44">
        <v>15</v>
      </c>
      <c r="B73" s="46">
        <f>($B$79-$B$59)/($A$79-$A$59)+B72</f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0.27140187231687235</v>
      </c>
      <c r="Q73">
        <v>0.27140187231687235</v>
      </c>
      <c r="R73">
        <v>0.45471777617189474</v>
      </c>
    </row>
    <row r="74" spans="1:18" outlineLevel="1" x14ac:dyDescent="0.25">
      <c r="A74" s="44">
        <v>16</v>
      </c>
      <c r="B74" s="46">
        <f>($B$79-$B$59)/($A$79-$A$59)+B73</f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0.22390223120616223</v>
      </c>
      <c r="Q74">
        <v>0.22390223120616223</v>
      </c>
      <c r="R74">
        <v>0.42528331634449712</v>
      </c>
    </row>
    <row r="75" spans="1:18" outlineLevel="1" x14ac:dyDescent="0.25">
      <c r="A75" s="44">
        <v>17</v>
      </c>
      <c r="B75" s="46">
        <f>($B$79-$B$59)/($A$79-$A$59)+B74</f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0.17767500149055396</v>
      </c>
      <c r="Q75">
        <v>0.17767500149055396</v>
      </c>
      <c r="R75">
        <v>0.39712656612085145</v>
      </c>
    </row>
    <row r="76" spans="1:18" outlineLevel="1" x14ac:dyDescent="0.25">
      <c r="A76" s="44">
        <v>18</v>
      </c>
      <c r="B76" s="46">
        <f>($B$79-$B$59)/($A$79-$A$59)+B75</f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0.13272957532053672</v>
      </c>
      <c r="Q76">
        <v>0.13272957532053672</v>
      </c>
      <c r="R76">
        <v>0.37019974808508055</v>
      </c>
    </row>
    <row r="77" spans="1:18" outlineLevel="1" x14ac:dyDescent="0.25">
      <c r="A77" s="44">
        <v>19</v>
      </c>
      <c r="B77" s="46">
        <f>($B$79-$B$59)/($A$79-$A$59)+B76</f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8.9060563706194376E-2</v>
      </c>
      <c r="Q77">
        <v>8.9060563706194376E-2</v>
      </c>
      <c r="R77">
        <v>0.34445137766853778</v>
      </c>
    </row>
    <row r="78" spans="1:18" outlineLevel="1" x14ac:dyDescent="0.25">
      <c r="A78" s="44">
        <v>20</v>
      </c>
      <c r="B78" s="46">
        <f>($B$79-$B$59)/($A$79-$A$59)+B77</f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4.6650954987410995E-2</v>
      </c>
      <c r="Q78">
        <v>4.6650954987410995E-2</v>
      </c>
      <c r="R78">
        <v>0.31982776739901991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5.469167248226995E-3</v>
      </c>
      <c r="Q79">
        <v>5.469167248226995E-3</v>
      </c>
      <c r="R79">
        <v>0.29627423477651588</v>
      </c>
    </row>
    <row r="80" spans="1:18" outlineLevel="1" x14ac:dyDescent="0.25">
      <c r="A80" s="44">
        <v>22</v>
      </c>
      <c r="B80" s="46">
        <f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</v>
      </c>
      <c r="Q80">
        <v>0</v>
      </c>
      <c r="R80">
        <v>0.23512272839443882</v>
      </c>
    </row>
    <row r="81" spans="1:18" outlineLevel="1" x14ac:dyDescent="0.25">
      <c r="A81" s="44">
        <v>23</v>
      </c>
      <c r="B81" s="46">
        <f>($B$99-$B$79)/($A$99-$A$79)+B80</f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</v>
      </c>
      <c r="Q81">
        <v>0</v>
      </c>
      <c r="R81">
        <v>0.18087914913620051</v>
      </c>
    </row>
    <row r="82" spans="1:18" outlineLevel="1" x14ac:dyDescent="0.25">
      <c r="A82" s="44">
        <v>24</v>
      </c>
      <c r="B82" s="46">
        <f>($B$99-$B$79)/($A$99-$A$79)+B81</f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</v>
      </c>
      <c r="Q82">
        <v>0</v>
      </c>
      <c r="R82">
        <v>0.13249064481869405</v>
      </c>
    </row>
    <row r="83" spans="1:18" outlineLevel="1" x14ac:dyDescent="0.25">
      <c r="A83" s="44">
        <v>25</v>
      </c>
      <c r="B83" s="46">
        <f>($B$99-$B$79)/($A$99-$A$79)+B82</f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</v>
      </c>
      <c r="Q83">
        <v>0</v>
      </c>
      <c r="R83">
        <v>8.9068615178731603E-2</v>
      </c>
    </row>
    <row r="84" spans="1:18" outlineLevel="1" x14ac:dyDescent="0.25">
      <c r="A84" s="44">
        <v>26</v>
      </c>
      <c r="B84" s="46">
        <f>($B$99-$B$79)/($A$99-$A$79)+B83</f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</v>
      </c>
      <c r="Q84">
        <v>0</v>
      </c>
      <c r="R84">
        <v>4.9902676948977834E-2</v>
      </c>
    </row>
    <row r="85" spans="1:18" outlineLevel="1" x14ac:dyDescent="0.25">
      <c r="A85" s="44">
        <v>27</v>
      </c>
      <c r="B85" s="46">
        <f>($B$99-$B$79)/($A$99-$A$79)+B84</f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</v>
      </c>
      <c r="Q85">
        <v>0</v>
      </c>
      <c r="R85">
        <v>1.4460330224812166E-2</v>
      </c>
    </row>
    <row r="86" spans="1:18" outlineLevel="1" x14ac:dyDescent="0.25">
      <c r="A86" s="44">
        <v>28</v>
      </c>
      <c r="B86" s="46">
        <f>($B$99-$B$79)/($A$99-$A$79)+B85</f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>($B$99-$B$79)/($A$99-$A$79)+B86</f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>($B$99-$B$79)/($A$99-$A$79)+B87</f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>($B$99-$B$79)/($A$99-$A$79)+B88</f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>($B$99-$B$79)/($A$99-$A$79)+B89</f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>($B$99-$B$79)/($A$99-$A$79)+B90</f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>($B$99-$B$79)/($A$99-$A$79)+B91</f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>($B$99-$B$79)/($A$99-$A$79)+B92</f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>($B$99-$B$79)/($A$99-$A$79)+B93</f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>($B$99-$B$79)/($A$99-$A$79)+B94</f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>($B$99-$B$79)/($A$99-$A$79)+B95</f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>($B$99-$B$79)/($A$99-$A$79)+B96</f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>($B$99-$B$79)/($A$99-$A$79)+B97</f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AC176"/>
  <sheetViews>
    <sheetView zoomScale="70" zoomScaleNormal="70" workbookViewId="0">
      <selection activeCell="B1" sqref="B1"/>
    </sheetView>
  </sheetViews>
  <sheetFormatPr defaultRowHeight="15" x14ac:dyDescent="0.25"/>
  <sheetData>
    <row r="1" spans="1:16" x14ac:dyDescent="0.25">
      <c r="A1" t="str">
        <f>версия_</f>
        <v>вер 7.6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___5"/>
  <dimension ref="A1:K29"/>
  <sheetViews>
    <sheetView zoomScale="80" zoomScaleNormal="80" workbookViewId="0">
      <selection activeCell="E21" sqref="E21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7.6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2"/>
  <dimension ref="A1:AH58"/>
  <sheetViews>
    <sheetView topLeftCell="J1" zoomScale="70" zoomScaleNormal="70" workbookViewId="0">
      <selection activeCell="T28" sqref="T28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7.6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3</v>
      </c>
      <c r="AC3" t="s">
        <v>145</v>
      </c>
      <c r="AG3">
        <v>2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45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90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45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52.156818378764996</v>
      </c>
      <c r="R10" s="5" t="s">
        <v>44</v>
      </c>
      <c r="S10" s="14" t="s">
        <v>55</v>
      </c>
      <c r="T10" s="25">
        <v>30</v>
      </c>
      <c r="U10" s="5" t="s">
        <v>25</v>
      </c>
    </row>
    <row r="11" spans="1:34" ht="18" x14ac:dyDescent="0.35">
      <c r="P11" s="14" t="s">
        <v>46</v>
      </c>
      <c r="Q11" s="25">
        <v>52.218968640513665</v>
      </c>
      <c r="R11" s="5" t="s">
        <v>44</v>
      </c>
      <c r="S11" s="14" t="s">
        <v>56</v>
      </c>
      <c r="T11" s="25">
        <v>30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90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52.218968640513665</v>
      </c>
      <c r="P16">
        <v>0</v>
      </c>
      <c r="Q16">
        <v>30</v>
      </c>
      <c r="U16">
        <v>0</v>
      </c>
      <c r="V16" s="50">
        <f>Pline_out_atma_</f>
        <v>52.156818378764996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66.744493891496148</v>
      </c>
      <c r="P17">
        <v>194.44444444444446</v>
      </c>
      <c r="Q17">
        <v>30.648148148148149</v>
      </c>
      <c r="U17">
        <v>0</v>
      </c>
      <c r="V17" s="50">
        <f>Pbuf_out_atma_</f>
        <v>52.218968640513665</v>
      </c>
      <c r="W17">
        <v>131.63157894736841</v>
      </c>
      <c r="X17">
        <v>45.559321455072279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82.098234124333075</v>
      </c>
      <c r="P18">
        <v>388.88888888888891</v>
      </c>
      <c r="Q18">
        <v>31.296296296296294</v>
      </c>
      <c r="U18">
        <f>Hperf_m_</f>
        <v>3500</v>
      </c>
      <c r="V18" s="50">
        <f>Pwf_out_atma_</f>
        <v>90</v>
      </c>
      <c r="W18">
        <v>263.26315789473682</v>
      </c>
      <c r="X18">
        <v>46.124473217434968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97.772898874275214</v>
      </c>
      <c r="P19">
        <v>583.33333333333337</v>
      </c>
      <c r="Q19">
        <v>31.944444444444446</v>
      </c>
      <c r="W19">
        <v>394.8947368421052</v>
      </c>
      <c r="X19">
        <v>46.695502838073764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113.49968867215102</v>
      </c>
      <c r="P20">
        <v>777.77777777777783</v>
      </c>
      <c r="Q20">
        <v>32.592592592592588</v>
      </c>
      <c r="W20">
        <v>526.52631578947364</v>
      </c>
      <c r="X20">
        <v>47.27342874589111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129.17893011740932</v>
      </c>
      <c r="P21">
        <v>972.22222222222229</v>
      </c>
      <c r="Q21">
        <v>33.24074074074074</v>
      </c>
      <c r="W21">
        <v>658.15789473684208</v>
      </c>
      <c r="X21">
        <v>47.857529180455764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144.24059750127552</v>
      </c>
      <c r="P22">
        <v>1166.6666666666667</v>
      </c>
      <c r="Q22">
        <v>33.864444444444445</v>
      </c>
      <c r="W22">
        <v>789.78947368421041</v>
      </c>
      <c r="X22">
        <v>48.447666584399208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158.73005812790495</v>
      </c>
      <c r="P23">
        <v>1361.1111111111113</v>
      </c>
      <c r="Q23">
        <v>34.465370370370373</v>
      </c>
      <c r="W23">
        <v>921.42105263157885</v>
      </c>
      <c r="X23">
        <v>49.044694161377613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172.61218805755377</v>
      </c>
      <c r="P24">
        <v>1555.5555555555557</v>
      </c>
      <c r="Q24">
        <v>36.505000000000003</v>
      </c>
      <c r="W24">
        <v>1053.0526315789473</v>
      </c>
      <c r="X24">
        <v>49.648258794508685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185.83479542135944</v>
      </c>
      <c r="P25">
        <v>1750</v>
      </c>
      <c r="Q25">
        <v>44.762500000000003</v>
      </c>
      <c r="W25">
        <v>1184.6842105263156</v>
      </c>
      <c r="X25">
        <v>50.258055706462926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198.36475874447464</v>
      </c>
      <c r="P26">
        <v>1944.4444444444446</v>
      </c>
      <c r="Q26">
        <v>53.431111111111115</v>
      </c>
      <c r="W26">
        <v>1316.3157894736842</v>
      </c>
      <c r="X26">
        <v>50.874796777306692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210.21283689491702</v>
      </c>
      <c r="P27">
        <v>2138.8888888888891</v>
      </c>
      <c r="Q27">
        <v>61.684166666666677</v>
      </c>
      <c r="W27">
        <v>1447.9473684210525</v>
      </c>
      <c r="X27">
        <v>51.498536304592413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221.39070114728912</v>
      </c>
      <c r="P28">
        <v>2333.3333333333335</v>
      </c>
      <c r="Q28">
        <v>69.521666666666675</v>
      </c>
      <c r="W28">
        <v>1579.5789473684208</v>
      </c>
      <c r="X28">
        <v>52.127535346224022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230.4640992450108</v>
      </c>
      <c r="P29">
        <v>2500</v>
      </c>
      <c r="Q29">
        <v>75.92</v>
      </c>
      <c r="W29">
        <v>1711.2105263157894</v>
      </c>
      <c r="X29">
        <v>52.752920160829177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74.847549269197714</v>
      </c>
      <c r="P30">
        <v>2501</v>
      </c>
      <c r="Q30">
        <v>75.956850000000003</v>
      </c>
      <c r="W30">
        <v>1842.8421052631577</v>
      </c>
      <c r="X30">
        <v>53.370493756619091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75.933313754287497</v>
      </c>
      <c r="P31">
        <v>2527.7777777777778</v>
      </c>
      <c r="Q31">
        <v>76.943316555555555</v>
      </c>
      <c r="W31">
        <v>1974.4736842105262</v>
      </c>
      <c r="X31">
        <v>53.981689440241503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83.460558646568344</v>
      </c>
      <c r="P32">
        <v>2722.2222222222226</v>
      </c>
      <c r="Q32">
        <v>83.943663650793667</v>
      </c>
      <c r="W32">
        <v>2106.1052631578946</v>
      </c>
      <c r="X32">
        <v>54.586890882956986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86.104785457246848</v>
      </c>
      <c r="P33">
        <v>2916.666666666667</v>
      </c>
      <c r="Q33">
        <v>87.204166666666666</v>
      </c>
      <c r="W33">
        <v>2121.8480602927584</v>
      </c>
      <c r="X33">
        <v>54.658688414778076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87.404936558617962</v>
      </c>
      <c r="P34">
        <v>3111.1111111111113</v>
      </c>
      <c r="Q34">
        <v>88.136111111111106</v>
      </c>
      <c r="W34">
        <v>2237.7368421052629</v>
      </c>
      <c r="X34">
        <v>61.087892528238015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88.703341765990558</v>
      </c>
      <c r="P35">
        <v>3305.5555555555557</v>
      </c>
      <c r="Q35">
        <v>89.068055555555546</v>
      </c>
      <c r="W35">
        <v>2369.3684210526312</v>
      </c>
      <c r="X35">
        <v>68.112466278161079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90</v>
      </c>
      <c r="P36">
        <v>3500</v>
      </c>
      <c r="Q36">
        <v>90</v>
      </c>
      <c r="W36">
        <v>2501</v>
      </c>
      <c r="X36">
        <v>74.847549269197714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  <row r="52" spans="21:31" x14ac:dyDescent="0.25">
      <c r="U52" t="e">
        <f t="array" aca="1" ref="U52:AE53" ca="1">[1]!Well_Plin_Pwf_atma(150,10,10,30)</f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>
        <f ca="1"/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C52" t="e">
        <f ca="1"/>
        <v>#NAME?</v>
      </c>
      <c r="AD52" t="e">
        <f ca="1"/>
        <v>#NAME?</v>
      </c>
      <c r="AE52" t="e">
        <f ca="1"/>
        <v>#NAME?</v>
      </c>
    </row>
    <row r="53" spans="21:31" x14ac:dyDescent="0.25"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>
        <f ca="1"/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C53" t="e">
        <f ca="1"/>
        <v>#NAME?</v>
      </c>
      <c r="AD53" t="e">
        <f ca="1"/>
        <v>#NAME?</v>
      </c>
      <c r="AE53" t="e">
        <f ca="1"/>
        <v>#NAME?</v>
      </c>
    </row>
    <row r="56" spans="21:31" x14ac:dyDescent="0.25">
      <c r="U56" t="e">
        <f ca="1">[1]!ESP_Encode_string()</f>
        <v>#NAME?</v>
      </c>
    </row>
    <row r="58" spans="21:31" x14ac:dyDescent="0.25">
      <c r="U58" t="e">
        <f ca="1">[1]!ESP_IDbyRate(50)</f>
        <v>#NAME?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Unifloc</vt:lpstr>
      <vt:lpstr>PVT</vt:lpstr>
      <vt:lpstr>Construction</vt:lpstr>
      <vt:lpstr>ESP</vt:lpstr>
      <vt:lpstr>Calc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ESP!Head_ESP_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PVT_selector_</vt:lpstr>
      <vt:lpstr>Pwf_atma_</vt:lpstr>
      <vt:lpstr>Pwf_out_atma_</vt:lpstr>
      <vt:lpstr>ESP!Q_ESP_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2019-04-22T20:19:07Z</dcterms:modified>
</cp:coreProperties>
</file>