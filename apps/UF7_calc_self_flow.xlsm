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5BBBCE47-62DB-4704-B10F-756B4B6FDE76}" xr6:coauthVersionLast="41" xr6:coauthVersionMax="41" xr10:uidLastSave="{00000000-0000-0000-0000-000000000000}"/>
  <bookViews>
    <workbookView xWindow="-21435" yWindow="-5310" windowWidth="21195" windowHeight="15660" tabRatio="402" activeTab="3" xr2:uid="{00000000-000D-0000-FFFF-FFFF00000000}"/>
  </bookViews>
  <sheets>
    <sheet name="Unifloc" sheetId="6" r:id="rId1"/>
    <sheet name="PVT" sheetId="4" r:id="rId2"/>
    <sheet name="Construction" sheetId="3" r:id="rId3"/>
    <sheet name="Calculation" sheetId="2" r:id="rId4"/>
  </sheets>
  <externalReferences>
    <externalReference r:id="rId5"/>
  </externalReferences>
  <definedNames>
    <definedName name="betta_fric_">Calculation!$H$7</definedName>
    <definedName name="betta_grav_">Calculation!$H$6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Calculation!$J$2</definedName>
    <definedName name="correlation_PVT_fontan_">Calculation!$E$2</definedName>
    <definedName name="correlation_T_fontan_">Calculation!$O$2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Calculation!$S$16:$S$36</definedName>
    <definedName name="Hlout_hmes_m_">Calculation!$R$16:$R$36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>Calculation!$C$17:$C$352</definedName>
    <definedName name="hmes_out_">Calculation!$H$16:$H$36</definedName>
    <definedName name="hmes_tamb_m_">Construction!$E$19:$E$38</definedName>
    <definedName name="hmes_tamb_out_m_" localSheetId="3">Calculation!$K$16:$K$36</definedName>
    <definedName name="hmes_tamb_out_m_">Construction!$S$18:$S$38</definedName>
    <definedName name="Hout_">Calculation!$N$17:$N$36</definedName>
    <definedName name="Hperf_m_">Construction!$C$9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3">Calculation!$L$16:$L$36</definedName>
    <definedName name="HydrCorr_">Calculation!$AA$6</definedName>
    <definedName name="HydrCorr_selector_">Calculation!$AB$3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Calculation!$D$17:$D$352</definedName>
    <definedName name="Pb_atma_" localSheetId="1">PVT!$G$15</definedName>
    <definedName name="Pb_diff_">PVT!$W$33</definedName>
    <definedName name="Pbuf_atma_">Calculation!$Q$6</definedName>
    <definedName name="Pbuf_out_atma_">Calculation!$Q$11</definedName>
    <definedName name="Plin_mes_atma_">Calculation!$D$16</definedName>
    <definedName name="Pline_atma_">Calculation!$Q$5</definedName>
    <definedName name="Pline_out_atma_">Calculation!$Q$10</definedName>
    <definedName name="pmes_out_">Calculation!$I$16:$I$36</definedName>
    <definedName name="Pout_">Calculation!$O$17:$O$36</definedName>
    <definedName name="Pout_atma_">Calculation!$O$16:$O$36</definedName>
    <definedName name="Pout_hmes_m_">Calculation!$N$16:$N$36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Calculation!$X$3</definedName>
    <definedName name="Pwf_atma_">Calculation!$Q$7</definedName>
    <definedName name="Pwf_out_atma_">Calculation!$Q$12</definedName>
    <definedName name="Ql_scm3day_" localSheetId="3">Calculation!$C$6</definedName>
    <definedName name="Ql_scm3day_" localSheetId="1">PVT!$K$8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3">Calculation!$C$9</definedName>
    <definedName name="Rp_m3m3_" localSheetId="1">PVT!$K$11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PVT!$R$32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3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1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0.55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Calculation!$E$17:$E$352</definedName>
    <definedName name="tamb_C_">Construction!$F$19:$F$38</definedName>
    <definedName name="tamb_out_C_" localSheetId="3">Calculation!$M$16:$M$36</definedName>
    <definedName name="tamb_out_C_">Construction!$T$18:$T$38</definedName>
    <definedName name="Tbh_c_">Calculation!$M$6</definedName>
    <definedName name="Tbuf_out_C_">Calculation!$T$11</definedName>
    <definedName name="Tlin_mes_C_">Calculation!$E$16</definedName>
    <definedName name="Tline_out_C_">Calculation!$T$10</definedName>
    <definedName name="tmes_out_">Calculation!$J$16:$J$36</definedName>
    <definedName name="Tout_C_">Calculation!$Q$16:$Q$36</definedName>
    <definedName name="Tout_hmes_m_">Calculation!$P$16:$P$36</definedName>
    <definedName name="Tres_C_" localSheetId="1">PVT!$G$14</definedName>
    <definedName name="Tsc_C_" localSheetId="1">PVT!$K$3</definedName>
    <definedName name="Tsep_C_" localSheetId="1">PVT!$O$10</definedName>
    <definedName name="Twf_out_C_">Calculation!$T$12</definedName>
    <definedName name="Twh_C_">Calculation!$M$7</definedName>
    <definedName name="udl_out_m_">Construction!$R$18:$R$38</definedName>
    <definedName name="wc_perc_" localSheetId="3">Calculation!$C$7</definedName>
    <definedName name="wc_perc_" localSheetId="1">PVT!$K$9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1" i="4" l="1"/>
  <c r="K9" i="4"/>
  <c r="K8" i="4"/>
  <c r="C44" i="4"/>
  <c r="M32" i="4"/>
  <c r="E36" i="4"/>
  <c r="M37" i="4"/>
  <c r="C32" i="4"/>
  <c r="M40" i="4"/>
  <c r="C23" i="4"/>
  <c r="E34" i="4"/>
  <c r="C49" i="4"/>
  <c r="V35" i="4"/>
  <c r="C33" i="4"/>
  <c r="C35" i="4"/>
  <c r="I34" i="4"/>
  <c r="C43" i="4"/>
  <c r="E35" i="4"/>
  <c r="I35" i="4"/>
  <c r="C34" i="4"/>
  <c r="E37" i="4"/>
  <c r="C36" i="4"/>
  <c r="C28" i="4"/>
  <c r="T33" i="4"/>
  <c r="T34" i="4"/>
  <c r="C45" i="4"/>
  <c r="I37" i="4"/>
  <c r="M35" i="4"/>
  <c r="I32" i="4"/>
  <c r="C37" i="4"/>
  <c r="M36" i="4"/>
  <c r="M33" i="4"/>
  <c r="I36" i="4"/>
  <c r="C40" i="4"/>
  <c r="T35" i="4"/>
  <c r="E33" i="4"/>
  <c r="G23" i="4"/>
  <c r="I33" i="4"/>
  <c r="V33" i="4"/>
  <c r="V36" i="4" s="1"/>
  <c r="E32" i="4"/>
  <c r="M34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C26" i="4"/>
  <c r="V34" i="4"/>
  <c r="T36" i="4"/>
  <c r="C27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<sst xmlns="http://schemas.openxmlformats.org/spreadsheetml/2006/main" count="273" uniqueCount="181">
  <si>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</si>
  <si>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</si>
  <si>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</si>
  <si>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</si>
  <si>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</si>
  <si>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</si>
  <si>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</si>
  <si>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</si>
  <si>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</si>
  <si>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</si>
  <si>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</si>
  <si>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</si>
  <si>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</si>
  <si>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</si>
  <si>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</si>
  <si>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</si>
  <si>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</si>
  <si>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</si>
  <si>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</si>
  <si>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</si>
  <si>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</si>
  <si>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</si>
  <si>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</si>
  <si>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</si>
  <si>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</si>
  <si>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</si>
  <si>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</si>
  <si>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</si>
  <si>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</si>
  <si>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</si>
  <si>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</si>
  <si>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</si>
  <si>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</si>
  <si>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</si>
  <si>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</si>
  <si>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</si>
  <si>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</si>
  <si>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</si>
  <si>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</si>
  <si>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</si>
  <si>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</si>
  <si>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</si>
  <si>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</si>
  <si>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</si>
  <si>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</si>
  <si>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</si>
  <si>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</si>
  <si>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</si>
  <si>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</si>
  <si>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</si>
  <si>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</si>
  <si>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</si>
  <si>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</si>
  <si>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</si>
  <si>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</si>
  <si>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</si>
  <si>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</si>
  <si>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</si>
  <si>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</si>
  <si>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</si>
  <si>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</si>
  <si>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</si>
  <si>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</si>
  <si>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</si>
  <si>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</si>
  <si>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</si>
  <si>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</si>
  <si>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</si>
  <si>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</si>
  <si>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</si>
  <si>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</si>
  <si>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</si>
  <si>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</si>
  <si>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</si>
  <si>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</si>
  <si>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</si>
  <si>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</si>
  <si>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</si>
  <si>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</si>
  <si>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</si>
  <si>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</si>
  <si>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</si>
  <si>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</si>
  <si>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</si>
  <si>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</si>
  <si>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</si>
  <si>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</si>
  <si>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</si>
  <si>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</si>
  <si>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</si>
  <si>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</si>
  <si>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</si>
  <si>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</si>
  <si>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</si>
  <si>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</si>
  <si>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</si>
  <si>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</si>
  <si>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</si>
  <si>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</si>
  <si>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</si>
  <si>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</si>
  <si>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</si>
  <si>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</si>
  <si>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</si>
  <si>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</si>
  <si>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</si>
  <si>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</si>
  <si>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</si>
  <si>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</si>
  <si>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</si>
  <si>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</si>
  <si>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</si>
  <si>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</si>
  <si>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</si>
  <si>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</si>
  <si>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</si>
  <si>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</si>
  <si>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</si>
  <si>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</si>
  <si>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</si>
  <si>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</si>
  <si>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</si>
  <si>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</si>
  <si>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</si>
  <si>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</si>
  <si>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</si>
  <si>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</si>
  <si>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</si>
  <si>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</si>
  <si>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</si>
  <si>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</si>
  <si>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</si>
  <si>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</si>
  <si>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</si>
  <si>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</si>
  <si>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</si>
  <si>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</si>
  <si>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</si>
  <si>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</si>
  <si>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</si>
  <si>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</si>
  <si>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</si>
  <si>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</si>
  <si>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</si>
  <si>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</si>
  <si>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</si>
  <si>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</si>
  <si>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</si>
  <si>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</si>
  <si>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</si>
  <si>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</si>
  <si>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</si>
  <si>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</si>
  <si>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</si>
  <si>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</si>
  <si>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</si>
  <si>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</si>
  <si>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</si>
  <si>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</si>
  <si>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</si>
  <si>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</si>
  <si>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</si>
  <si>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</si>
  <si>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</si>
  <si>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</si>
  <si>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</si>
  <si>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</si>
  <si>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</si>
  <si>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</si>
  <si>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</si>
  <si>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</si>
  <si>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</si>
  <si>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</si>
  <si>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</si>
  <si>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</si>
  <si>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</si>
  <si>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hmes ptub</t>
  </si>
  <si>
    <t>Ptub</t>
  </si>
  <si>
    <t>Ttub</t>
  </si>
  <si>
    <t>Hl</t>
  </si>
  <si>
    <t>Tamb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</si>
</sst>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0.89,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0.29439351063526253</c:v>
                </c:pt>
                <c:pt idx="1">
                  <c:v>9.9351744972893938E-2</c:v>
                </c:pt>
                <c:pt idx="2">
                  <c:v>6.3275635828131865E-2</c:v>
                </c:pt>
                <c:pt idx="3">
                  <c:v>4.8072341761869232E-3</c:v>
                </c:pt>
                <c:pt idx="4">
                  <c:v>0.27009316042445386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0.98997541064733996</c:v>
                </c:pt>
                <c:pt idx="1">
                  <c:v>0.94614339991979213</c:v>
                </c:pt>
                <c:pt idx="2">
                  <c:v>0.89826216338241693</c:v>
                </c:pt>
                <c:pt idx="3">
                  <c:v>0.84775635578540187</c:v>
                </c:pt>
                <c:pt idx="4">
                  <c:v>0.79547822217869313</c:v>
                </c:pt>
                <c:pt idx="5">
                  <c:v>0.74206792515658504</c:v>
                </c:pt>
                <c:pt idx="6">
                  <c:v>0.68804068471210011</c:v>
                </c:pt>
                <c:pt idx="7">
                  <c:v>0.63382089873430336</c:v>
                </c:pt>
                <c:pt idx="8">
                  <c:v>0.57975949108250746</c:v>
                </c:pt>
                <c:pt idx="9">
                  <c:v>0.52614477718001729</c:v>
                </c:pt>
                <c:pt idx="10">
                  <c:v>0.47321052383313328</c:v>
                </c:pt>
                <c:pt idx="11">
                  <c:v>0.42114267029873143</c:v>
                </c:pt>
                <c:pt idx="12">
                  <c:v>0.37008531596833544</c:v>
                </c:pt>
                <c:pt idx="13">
                  <c:v>0.32014621642941443</c:v>
                </c:pt>
                <c:pt idx="14">
                  <c:v>0.27140187231687235</c:v>
                </c:pt>
                <c:pt idx="15">
                  <c:v>0.22390223120616223</c:v>
                </c:pt>
                <c:pt idx="16">
                  <c:v>0.17767500149055396</c:v>
                </c:pt>
                <c:pt idx="17">
                  <c:v>0.13272957532053672</c:v>
                </c:pt>
                <c:pt idx="18">
                  <c:v>8.9060563706194376E-2</c:v>
                </c:pt>
                <c:pt idx="19">
                  <c:v>4.6650954987410995E-2</c:v>
                </c:pt>
                <c:pt idx="20">
                  <c:v>5.469167248226995E-3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0.98997541064733996</c:v>
                </c:pt>
                <c:pt idx="1">
                  <c:v>0.94614339991979213</c:v>
                </c:pt>
                <c:pt idx="2">
                  <c:v>0.89826216338241693</c:v>
                </c:pt>
                <c:pt idx="3">
                  <c:v>0.84775635578540187</c:v>
                </c:pt>
                <c:pt idx="4">
                  <c:v>0.79547822217869313</c:v>
                </c:pt>
                <c:pt idx="5">
                  <c:v>0.74206792515658504</c:v>
                </c:pt>
                <c:pt idx="6">
                  <c:v>0.68804068471210011</c:v>
                </c:pt>
                <c:pt idx="7">
                  <c:v>0.63382089873430336</c:v>
                </c:pt>
                <c:pt idx="8">
                  <c:v>0.57975949108250746</c:v>
                </c:pt>
                <c:pt idx="9">
                  <c:v>0.52614477718001729</c:v>
                </c:pt>
                <c:pt idx="10">
                  <c:v>0.47321052383313328</c:v>
                </c:pt>
                <c:pt idx="11">
                  <c:v>0.42114267029873143</c:v>
                </c:pt>
                <c:pt idx="12">
                  <c:v>0.37008531596833544</c:v>
                </c:pt>
                <c:pt idx="13">
                  <c:v>0.32014621642941443</c:v>
                </c:pt>
                <c:pt idx="14">
                  <c:v>0.27140187231687235</c:v>
                </c:pt>
                <c:pt idx="15">
                  <c:v>0.22390223120616223</c:v>
                </c:pt>
                <c:pt idx="16">
                  <c:v>0.17767500149055396</c:v>
                </c:pt>
                <c:pt idx="17">
                  <c:v>0.13272957532053672</c:v>
                </c:pt>
                <c:pt idx="18">
                  <c:v>8.9060563706194376E-2</c:v>
                </c:pt>
                <c:pt idx="19">
                  <c:v>4.6650954987410995E-2</c:v>
                </c:pt>
                <c:pt idx="20">
                  <c:v>5.469167248226995E-3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0.99031266598457834</c:v>
                </c:pt>
                <c:pt idx="1">
                  <c:v>0.94939251991768747</c:v>
                </c:pt>
                <c:pt idx="2">
                  <c:v>0.90709419384474355</c:v>
                </c:pt>
                <c:pt idx="3">
                  <c:v>0.86439081059241085</c:v>
                </c:pt>
                <c:pt idx="4">
                  <c:v>0.82185872245860181</c:v>
                </c:pt>
                <c:pt idx="5">
                  <c:v>0.77988975562164153</c:v>
                </c:pt>
                <c:pt idx="6">
                  <c:v>0.73876463925463765</c:v>
                </c:pt>
                <c:pt idx="7">
                  <c:v>0.69868595340489781</c:v>
                </c:pt>
                <c:pt idx="8">
                  <c:v>0.65979718898112383</c:v>
                </c:pt>
                <c:pt idx="9">
                  <c:v>0.62219562660691996</c:v>
                </c:pt>
                <c:pt idx="10">
                  <c:v>0.585941900127671</c:v>
                </c:pt>
                <c:pt idx="11">
                  <c:v>0.55106749731895333</c:v>
                </c:pt>
                <c:pt idx="12">
                  <c:v>0.51758082055737475</c:v>
                </c:pt>
                <c:pt idx="13">
                  <c:v>0.48547215667074578</c:v>
                </c:pt>
                <c:pt idx="14">
                  <c:v>0.45471777617189474</c:v>
                </c:pt>
                <c:pt idx="15">
                  <c:v>0.42528331634449712</c:v>
                </c:pt>
                <c:pt idx="16">
                  <c:v>0.39712656612085145</c:v>
                </c:pt>
                <c:pt idx="17">
                  <c:v>0.37019974808508055</c:v>
                </c:pt>
                <c:pt idx="18">
                  <c:v>0.34445137766853778</c:v>
                </c:pt>
                <c:pt idx="19">
                  <c:v>0.31982776739901991</c:v>
                </c:pt>
                <c:pt idx="20">
                  <c:v>0.29627423477651588</c:v>
                </c:pt>
                <c:pt idx="21">
                  <c:v>0.23512272839443882</c:v>
                </c:pt>
                <c:pt idx="22">
                  <c:v>0.18087914913620051</c:v>
                </c:pt>
                <c:pt idx="23">
                  <c:v>0.13249064481869405</c:v>
                </c:pt>
                <c:pt idx="24">
                  <c:v>8.9068615178731603E-2</c:v>
                </c:pt>
                <c:pt idx="25">
                  <c:v>4.9902676948977834E-2</c:v>
                </c:pt>
                <c:pt idx="26">
                  <c:v>1.4460330224812166E-2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Calculation!$S$16:$S$36</c:f>
              <c:numCache>
                <c:formatCode>General</c:formatCode>
                <c:ptCount val="21"/>
                <c:pt idx="0">
                  <c:v>0.76778117998235706</c:v>
                </c:pt>
                <c:pt idx="1">
                  <c:v>0.90749805190896737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Calculation!$R$16:$R$36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Calculation!$N$14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Calculation!$O$16:$O$36</c:f>
              <c:numCache>
                <c:formatCode>General</c:formatCode>
                <c:ptCount val="21"/>
                <c:pt idx="0">
                  <c:v>64.552439463664712</c:v>
                </c:pt>
                <c:pt idx="1">
                  <c:v>77.471897451550859</c:v>
                </c:pt>
                <c:pt idx="2">
                  <c:v>92.08286956317383</c:v>
                </c:pt>
                <c:pt idx="3">
                  <c:v>106.99818017504073</c:v>
                </c:pt>
                <c:pt idx="4">
                  <c:v>121.97251744219199</c:v>
                </c:pt>
                <c:pt idx="5">
                  <c:v>136.93650624350875</c:v>
                </c:pt>
                <c:pt idx="6">
                  <c:v>151.44870239511428</c:v>
                </c:pt>
                <c:pt idx="7">
                  <c:v>165.38342336083309</c:v>
                </c:pt>
                <c:pt idx="8">
                  <c:v>178.72799766584168</c:v>
                </c:pt>
                <c:pt idx="9">
                  <c:v>191.46997162759922</c:v>
                </c:pt>
                <c:pt idx="10">
                  <c:v>203.60522343269295</c:v>
                </c:pt>
                <c:pt idx="11">
                  <c:v>215.14408150663354</c:v>
                </c:pt>
                <c:pt idx="12">
                  <c:v>226.09757457758585</c:v>
                </c:pt>
                <c:pt idx="13">
                  <c:v>236.46816931117752</c:v>
                </c:pt>
                <c:pt idx="14">
                  <c:v>242.14142956535517</c:v>
                </c:pt>
                <c:pt idx="15">
                  <c:v>246.22710538573418</c:v>
                </c:pt>
                <c:pt idx="16">
                  <c:v>254.15686397372917</c:v>
                </c:pt>
                <c:pt idx="17">
                  <c:v>256.22901190473345</c:v>
                </c:pt>
                <c:pt idx="18">
                  <c:v>257.48639610296124</c:v>
                </c:pt>
                <c:pt idx="19">
                  <c:v>258.74332215405167</c:v>
                </c:pt>
                <c:pt idx="20">
                  <c:v>260</c:v>
                </c:pt>
              </c:numCache>
            </c:numRef>
          </c:xVal>
          <c:yVal>
            <c:numRef>
              <c:f>Calculation!$N$16:$N$36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Calculation!$H$14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Calculation!$I$16:$I$36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Calculation!$H$16:$H$36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ACD11A45-7993-417D-8664-5A09CF40744D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5A1EDE8-B344-4AE2-A33E-E62E54FEC59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024D7C42-090B-4B5C-912C-B2F7BA7BE29D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9001C31-D118-4373-B345-0B93BFBEBFB4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D14DF6-3B70-4ACA-A671-92D84638F3B5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29A92FD-4093-49E0-AA82-8C1761C0E70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Calculation!$V$16:$V$18</c:f>
              <c:numCache>
                <c:formatCode>0</c:formatCode>
                <c:ptCount val="3"/>
                <c:pt idx="0">
                  <c:v>63.606847088708683</c:v>
                </c:pt>
                <c:pt idx="1">
                  <c:v>64.552439463664712</c:v>
                </c:pt>
                <c:pt idx="2">
                  <c:v>260</c:v>
                </c:pt>
              </c:numCache>
            </c:numRef>
          </c:xVal>
          <c:yVal>
            <c:numRef>
              <c:f>Calculation!$U$16:$U$18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Calculation!$P$10:$P$12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Calculation!$Q$16:$Q$36</c:f>
              <c:numCache>
                <c:formatCode>General</c:formatCode>
                <c:ptCount val="21"/>
                <c:pt idx="0">
                  <c:v>31.488473054068752</c:v>
                </c:pt>
                <c:pt idx="1">
                  <c:v>32.089368256448623</c:v>
                </c:pt>
                <c:pt idx="2">
                  <c:v>32.924694447793073</c:v>
                </c:pt>
                <c:pt idx="3">
                  <c:v>33.944336654380074</c:v>
                </c:pt>
                <c:pt idx="4">
                  <c:v>35.223577919322778</c:v>
                </c:pt>
                <c:pt idx="5">
                  <c:v>36.921270926565334</c:v>
                </c:pt>
                <c:pt idx="6">
                  <c:v>39.29590613214863</c:v>
                </c:pt>
                <c:pt idx="7">
                  <c:v>42.834728631283575</c:v>
                </c:pt>
                <c:pt idx="8">
                  <c:v>48.299763112435286</c:v>
                </c:pt>
                <c:pt idx="9">
                  <c:v>55.794347369568627</c:v>
                </c:pt>
                <c:pt idx="10">
                  <c:v>63.164743202232955</c:v>
                </c:pt>
                <c:pt idx="11">
                  <c:v>69.982516351397095</c:v>
                </c:pt>
                <c:pt idx="12">
                  <c:v>76.134637705854487</c:v>
                </c:pt>
                <c:pt idx="13">
                  <c:v>81.421074676422336</c:v>
                </c:pt>
                <c:pt idx="14">
                  <c:v>83.946969341453013</c:v>
                </c:pt>
                <c:pt idx="15">
                  <c:v>85.494588537247097</c:v>
                </c:pt>
                <c:pt idx="16">
                  <c:v>87.854345118723529</c:v>
                </c:pt>
                <c:pt idx="17">
                  <c:v>88.717844126703284</c:v>
                </c:pt>
                <c:pt idx="18">
                  <c:v>89.341541731780183</c:v>
                </c:pt>
                <c:pt idx="19">
                  <c:v>89.802447396535698</c:v>
                </c:pt>
                <c:pt idx="20">
                  <c:v>90</c:v>
                </c:pt>
              </c:numCache>
            </c:numRef>
          </c:xVal>
          <c:yVal>
            <c:numRef>
              <c:f>Calculation!$N$16:$N$36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Calculation!$M$16:$M$36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Calculation!$K$16:$K$36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Calculation!$J$16:$J$36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Calculation!$H$16:$H$36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17.1%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325211</xdr:colOff>
      <xdr:row>15</xdr:row>
      <xdr:rowOff>78922</xdr:rowOff>
    </xdr:from>
    <xdr:to>
      <xdr:col>27</xdr:col>
      <xdr:colOff>506186</xdr:colOff>
      <xdr:row>46</xdr:row>
      <xdr:rowOff>145597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540204</xdr:colOff>
      <xdr:row>15</xdr:row>
      <xdr:rowOff>46265</xdr:rowOff>
    </xdr:from>
    <xdr:to>
      <xdr:col>35</xdr:col>
      <xdr:colOff>145369</xdr:colOff>
      <xdr:row>46</xdr:row>
      <xdr:rowOff>151039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MF_Mumix_cP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R16" sqref="R16"/>
    </sheetView>
  </sheetViews>
  <sheetFormatPr defaultRowHeight="15" x14ac:dyDescent="0.25"/>
  <sheetData>
    <row r="1" spans="1:5" x14ac:dyDescent="0.25">
      <c r="A1" t="str">
        <f>"вер "&amp;B1</f>
        <v>вер 7.3</v>
      </c>
      <c r="B1" s="16">
        <v>7.3</v>
      </c>
    </row>
    <row r="2" spans="1:5" x14ac:dyDescent="0.25">
      <c r="A2" t="s">
        <v>161</v>
      </c>
    </row>
    <row r="4" spans="1:5" x14ac:dyDescent="0.25">
      <c r="A4" s="53" t="str">
        <f>"Унифлок "&amp;версия_номер_</f>
        <v>Унифлок 7.3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zoomScaleNormal="100" workbookViewId="0">
      <selection activeCell="M15" sqref="M15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7.3</v>
      </c>
      <c r="J1" s="2" t="s">
        <v>23</v>
      </c>
      <c r="K1" s="2"/>
      <c r="L1" s="2"/>
    </row>
    <row r="2" spans="1:17" ht="18" x14ac:dyDescent="0.25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25">
      <c r="F3" s="54" t="s">
        <v>74</v>
      </c>
      <c r="G3" s="5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Calculation!Ql_scm3day_</f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Calculation!wc_perc_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86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Calculation!Rp_m3m3_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0.85586577860847923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0.29439351063526253</v>
      </c>
      <c r="AD32" s="2" t="str">
        <f>Q34&amp; " = "&amp;IFERROR(TEXT(gamma_gas_diff_total_*100,"0.0") &amp; "%",TEXT(gamma_gas_diff_total_*100,"0,0") &amp; "%")</f>
        <v>Сумм откл = 17.1%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0.88906521229711766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141.72205259907787</v>
      </c>
      <c r="W33" s="30">
        <f>(V33-C23)/V33</f>
        <v>0.29439351063526253</v>
      </c>
      <c r="X33" s="2">
        <v>2</v>
      </c>
      <c r="Z33" s="7" t="s">
        <v>80</v>
      </c>
      <c r="AA33" s="33">
        <f>ABS(U34)</f>
        <v>0</v>
      </c>
      <c r="AB33" s="33">
        <f>ABS(W34)</f>
        <v>9.9351744972893938E-2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0.1707560241061073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1.3195843608736479</v>
      </c>
      <c r="W34" s="30">
        <f>(V34-C26)/(V34-1)</f>
        <v>9.9351744972893938E-2</v>
      </c>
      <c r="X34" s="2">
        <v>2</v>
      </c>
      <c r="Z34" s="8" t="s">
        <v>83</v>
      </c>
      <c r="AA34" s="33">
        <f>ABS(U36)</f>
        <v>0</v>
      </c>
      <c r="AB34" s="33">
        <f>ABS(W36)</f>
        <v>6.3275635828131865E-2</v>
      </c>
      <c r="AD34" s="2" t="str">
        <f>Q33&amp;" = "&amp;IFERROR(TEXT(gamma_gas_new_,"0.00"),TEXT(gamma_gas_new_,"0,00"))&amp;",  "&amp;Q32&amp;" = "&amp;IFERROR(TEXT(gamma_oil_new_,"0.00"),TEXT(gamma_oil_new_,"0,00"))</f>
        <v>γg new  = 0.89,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744.70988360635852</v>
      </c>
      <c r="W35" s="30">
        <f>(V35-C27)/V35</f>
        <v>1.4582354068997334E-2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4.8072341761869232E-3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0.7205342157049397</v>
      </c>
      <c r="W36" s="30">
        <f>(V36-C28)/V36</f>
        <v>-6.3275635828131865E-2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0.27009316042445386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-4.8304553060205683E-3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0.2126561805389072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1.4582354068997334E-2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>
        <f>[1]!MF_Qmix_m3day(Ql_scm3day_,wc_perc_,P_atma_,T_C_,[1]!PVT_encode_string(gamma_gas_,gamma_oil_,gamma_w_,Rsb_m3m3_,Rp_m3m3_,Pb_atma_,Tres_C_,Bob_m3m3_,mu_cP_,PVT_correlation_,Ksep_,Psep_atma_,Tsep_C_))</f>
        <v>286.45044140535117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>
        <f>[1]!MF_Rhomix_kgm3(Ql_scm3day_,wc_perc_,P_atma_,T_C_,[1]!PVT_encode_string(gamma_gas_,gamma_oil_,gamma_w_,Rsb_m3m3_,Rp_m3m3_,Pb_atma_,Tres_C_,Bob_m3m3_,mu_cP_,PVT_correlation_,Ksep_,Psep_atma_,Tsep_C_))</f>
        <v>330.08118101029993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>
        <f>[1]!MF_Mumix_cP(Ql_scm3day_,wc_perc_,P_atma_,T_C_,[1]!PVT_encode_string(gamma_gas_,gamma_oil_,gamma_w_,Rsb_m3m3_,Rp_m3m3_,Pb_atma_,Tres_C_,Bob_m3m3_,mu_cP_,PVT_correlation_,Ksep_,Psep_atma_,Tsep_C_))</f>
        <v>1.3355322038116846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0.98997541064733996</v>
      </c>
      <c r="Q59">
        <v>0.98997541064733996</v>
      </c>
      <c r="R59">
        <v>0.99031266598457834</v>
      </c>
    </row>
    <row r="60" spans="1:29" outlineLevel="1" x14ac:dyDescent="0.2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0.94614339991979213</v>
      </c>
      <c r="Q60">
        <v>0.94614339991979213</v>
      </c>
      <c r="R60">
        <v>0.94939251991768747</v>
      </c>
    </row>
    <row r="61" spans="1:29" outlineLevel="1" x14ac:dyDescent="0.2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0.89826216338241693</v>
      </c>
      <c r="Q61">
        <v>0.89826216338241693</v>
      </c>
      <c r="R61">
        <v>0.90709419384474355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0.84775635578540187</v>
      </c>
      <c r="Q62">
        <v>0.84775635578540187</v>
      </c>
      <c r="R62">
        <v>0.86439081059241085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0.79547822217869313</v>
      </c>
      <c r="Q63">
        <v>0.79547822217869313</v>
      </c>
      <c r="R63">
        <v>0.82185872245860181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0.74206792515658504</v>
      </c>
      <c r="Q64">
        <v>0.74206792515658504</v>
      </c>
      <c r="R64">
        <v>0.77988975562164153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0.68804068471210011</v>
      </c>
      <c r="Q65">
        <v>0.68804068471210011</v>
      </c>
      <c r="R65">
        <v>0.73876463925463765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0.63382089873430336</v>
      </c>
      <c r="Q66">
        <v>0.63382089873430336</v>
      </c>
      <c r="R66">
        <v>0.69868595340489781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0.57975949108250746</v>
      </c>
      <c r="Q67">
        <v>0.57975949108250746</v>
      </c>
      <c r="R67">
        <v>0.65979718898112383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0.52614477718001729</v>
      </c>
      <c r="Q68">
        <v>0.52614477718001729</v>
      </c>
      <c r="R68">
        <v>0.62219562660691996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0.47321052383313328</v>
      </c>
      <c r="Q69">
        <v>0.47321052383313328</v>
      </c>
      <c r="R69">
        <v>0.585941900127671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0.42114267029873143</v>
      </c>
      <c r="Q70">
        <v>0.42114267029873143</v>
      </c>
      <c r="R70">
        <v>0.55106749731895333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0.37008531596833544</v>
      </c>
      <c r="Q71">
        <v>0.37008531596833544</v>
      </c>
      <c r="R71">
        <v>0.51758082055737475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0.32014621642941443</v>
      </c>
      <c r="Q72">
        <v>0.32014621642941443</v>
      </c>
      <c r="R72">
        <v>0.48547215667074578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0.27140187231687235</v>
      </c>
      <c r="Q73">
        <v>0.27140187231687235</v>
      </c>
      <c r="R73">
        <v>0.45471777617189474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0.22390223120616223</v>
      </c>
      <c r="Q74">
        <v>0.22390223120616223</v>
      </c>
      <c r="R74">
        <v>0.42528331634449712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0.17767500149055396</v>
      </c>
      <c r="Q75">
        <v>0.17767500149055396</v>
      </c>
      <c r="R75">
        <v>0.39712656612085145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0.13272957532053672</v>
      </c>
      <c r="Q76">
        <v>0.13272957532053672</v>
      </c>
      <c r="R76">
        <v>0.37019974808508055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8.9060563706194376E-2</v>
      </c>
      <c r="Q77">
        <v>8.9060563706194376E-2</v>
      </c>
      <c r="R77">
        <v>0.34445137766853778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4.6650954987410995E-2</v>
      </c>
      <c r="Q78">
        <v>4.6650954987410995E-2</v>
      </c>
      <c r="R78">
        <v>0.31982776739901991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5.469167248226995E-3</v>
      </c>
      <c r="Q79">
        <v>5.469167248226995E-3</v>
      </c>
      <c r="R79">
        <v>0.29627423477651588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</v>
      </c>
      <c r="Q80">
        <v>0</v>
      </c>
      <c r="R80">
        <v>0.23512272839443882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</v>
      </c>
      <c r="Q81">
        <v>0</v>
      </c>
      <c r="R81">
        <v>0.18087914913620051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</v>
      </c>
      <c r="Q82">
        <v>0</v>
      </c>
      <c r="R82">
        <v>0.13249064481869405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</v>
      </c>
      <c r="Q83">
        <v>0</v>
      </c>
      <c r="R83">
        <v>8.9068615178731603E-2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</v>
      </c>
      <c r="Q84">
        <v>0</v>
      </c>
      <c r="R84">
        <v>4.9902676948977834E-2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</v>
      </c>
      <c r="Q85">
        <v>0</v>
      </c>
      <c r="R85">
        <v>1.4460330224812166E-2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</v>
      </c>
      <c r="Q86">
        <v>0</v>
      </c>
      <c r="R86">
        <v>0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</v>
      </c>
      <c r="Q87">
        <v>0</v>
      </c>
      <c r="R87">
        <v>0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</v>
      </c>
      <c r="Q88">
        <v>0</v>
      </c>
      <c r="R88">
        <v>0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</v>
      </c>
      <c r="Q89">
        <v>0</v>
      </c>
      <c r="R89">
        <v>0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</v>
      </c>
      <c r="Q90">
        <v>0</v>
      </c>
      <c r="R90">
        <v>0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</v>
      </c>
      <c r="Q91">
        <v>0</v>
      </c>
      <c r="R91">
        <v>0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</v>
      </c>
      <c r="Q92">
        <v>0</v>
      </c>
      <c r="R92">
        <v>0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</v>
      </c>
      <c r="Q93">
        <v>0</v>
      </c>
      <c r="R93">
        <v>0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</v>
      </c>
      <c r="Q94">
        <v>0</v>
      </c>
      <c r="R94">
        <v>0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</v>
      </c>
      <c r="Q95">
        <v>0</v>
      </c>
      <c r="R95">
        <v>0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</v>
      </c>
      <c r="Q96">
        <v>0</v>
      </c>
      <c r="R96">
        <v>0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</v>
      </c>
      <c r="Q97">
        <v>0</v>
      </c>
      <c r="R97">
        <v>0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</v>
      </c>
      <c r="Q98">
        <v>0</v>
      </c>
      <c r="R98">
        <v>0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</v>
      </c>
      <c r="Q99">
        <v>0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topLeftCell="A16" zoomScale="70" zoomScaleNormal="70" workbookViewId="0">
      <selection activeCell="H68" sqref="H68"/>
    </sheetView>
  </sheetViews>
  <sheetFormatPr defaultRowHeight="15" x14ac:dyDescent="0.25"/>
  <sheetData>
    <row r="1" spans="1:16" x14ac:dyDescent="0.25">
      <c r="A1" t="str">
        <f>версия_</f>
        <v>вер 7.3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zoomScale="60" zoomScaleNormal="60" workbookViewId="0">
      <selection activeCell="R52" sqref="R52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7.3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1</v>
      </c>
      <c r="AC3" t="s">
        <v>145</v>
      </c>
      <c r="AG3">
        <v>3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63.606847088708683</v>
      </c>
      <c r="R10" s="5" t="s">
        <v>44</v>
      </c>
      <c r="S10" s="14" t="s">
        <v>55</v>
      </c>
      <c r="T10" s="25">
        <v>31.488473054068752</v>
      </c>
      <c r="U10" s="5" t="s">
        <v>25</v>
      </c>
    </row>
    <row r="11" spans="1:34" ht="18" x14ac:dyDescent="0.35">
      <c r="P11" s="14" t="s">
        <v>46</v>
      </c>
      <c r="Q11" s="25">
        <v>64.552439463664712</v>
      </c>
      <c r="R11" s="5" t="s">
        <v>44</v>
      </c>
      <c r="S11" s="14" t="s">
        <v>56</v>
      </c>
      <c r="T11" s="25">
        <v>31.488473054068752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260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180</v>
      </c>
      <c r="N15" s="1" t="s">
        <v>176</v>
      </c>
      <c r="O15" s="1" t="s">
        <v>177</v>
      </c>
      <c r="P15" s="1"/>
      <c r="Q15" s="1" t="s">
        <v>178</v>
      </c>
      <c r="R15" s="1"/>
      <c r="S15" s="1" t="s">
        <v>179</v>
      </c>
      <c r="U15" s="5" t="s">
        <v>170</v>
      </c>
      <c r="V15" s="1" t="s">
        <v>171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64.552439463664712</v>
      </c>
      <c r="P16">
        <v>0</v>
      </c>
      <c r="Q16">
        <v>31.488473054068752</v>
      </c>
      <c r="R16">
        <v>0</v>
      </c>
      <c r="S16">
        <v>0.76778117998235706</v>
      </c>
      <c r="U16">
        <v>0</v>
      </c>
      <c r="V16" s="50">
        <f>Pline_out_atma_</f>
        <v>63.606847088708683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77.471897451550859</v>
      </c>
      <c r="P17">
        <v>184.21052631578948</v>
      </c>
      <c r="Q17">
        <v>32.089368256448623</v>
      </c>
      <c r="R17">
        <v>175</v>
      </c>
      <c r="S17">
        <v>0.90749805190896737</v>
      </c>
      <c r="U17">
        <v>0</v>
      </c>
      <c r="V17" s="50">
        <f>Pbuf_out_atma_</f>
        <v>64.552439463664712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92.08286956317383</v>
      </c>
      <c r="P18">
        <v>368.42105263157896</v>
      </c>
      <c r="Q18">
        <v>32.924694447793073</v>
      </c>
      <c r="R18">
        <v>350</v>
      </c>
      <c r="S18">
        <v>1</v>
      </c>
      <c r="U18">
        <f>Hperf_m_</f>
        <v>3500</v>
      </c>
      <c r="V18" s="50">
        <f>Pwf_out_atma_</f>
        <v>260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106.99818017504073</v>
      </c>
      <c r="P19">
        <v>552.63157894736844</v>
      </c>
      <c r="Q19">
        <v>33.944336654380074</v>
      </c>
      <c r="R19">
        <v>525</v>
      </c>
      <c r="S19">
        <v>1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121.97251744219199</v>
      </c>
      <c r="P20">
        <v>736.84210526315792</v>
      </c>
      <c r="Q20">
        <v>35.223577919322778</v>
      </c>
      <c r="R20">
        <v>700</v>
      </c>
      <c r="S20">
        <v>1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136.93650624350875</v>
      </c>
      <c r="P21">
        <v>921.0526315789474</v>
      </c>
      <c r="Q21">
        <v>36.921270926565334</v>
      </c>
      <c r="R21">
        <v>875</v>
      </c>
      <c r="S21">
        <v>1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151.44870239511428</v>
      </c>
      <c r="P22">
        <v>1105.2631578947369</v>
      </c>
      <c r="Q22">
        <v>39.29590613214863</v>
      </c>
      <c r="R22">
        <v>1050</v>
      </c>
      <c r="S22">
        <v>1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165.38342336083309</v>
      </c>
      <c r="P23">
        <v>1289.4736842105262</v>
      </c>
      <c r="Q23">
        <v>42.834728631283575</v>
      </c>
      <c r="R23">
        <v>1225</v>
      </c>
      <c r="S23">
        <v>1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178.72799766584168</v>
      </c>
      <c r="P24">
        <v>1473.6842105263158</v>
      </c>
      <c r="Q24">
        <v>48.299763112435286</v>
      </c>
      <c r="R24">
        <v>1400</v>
      </c>
      <c r="S24">
        <v>1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191.46997162759922</v>
      </c>
      <c r="P25">
        <v>1657.8947368421054</v>
      </c>
      <c r="Q25">
        <v>55.794347369568627</v>
      </c>
      <c r="R25">
        <v>1575</v>
      </c>
      <c r="S25">
        <v>1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203.60522343269295</v>
      </c>
      <c r="P26">
        <v>1842.1052631578948</v>
      </c>
      <c r="Q26">
        <v>63.164743202232955</v>
      </c>
      <c r="R26">
        <v>1750</v>
      </c>
      <c r="S26">
        <v>1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215.14408150663354</v>
      </c>
      <c r="P27">
        <v>2026.3157894736842</v>
      </c>
      <c r="Q27">
        <v>69.982516351397095</v>
      </c>
      <c r="R27">
        <v>1925</v>
      </c>
      <c r="S27">
        <v>1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226.09757457758585</v>
      </c>
      <c r="P28">
        <v>2210.5263157894738</v>
      </c>
      <c r="Q28">
        <v>76.134637705854487</v>
      </c>
      <c r="R28">
        <v>2100</v>
      </c>
      <c r="S28">
        <v>1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236.46816931117752</v>
      </c>
      <c r="P29">
        <v>2394.7368421052633</v>
      </c>
      <c r="Q29">
        <v>81.421074676422336</v>
      </c>
      <c r="R29">
        <v>2275</v>
      </c>
      <c r="S29">
        <v>1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242.14142956535517</v>
      </c>
      <c r="P30">
        <v>2500</v>
      </c>
      <c r="Q30">
        <v>83.946969341453013</v>
      </c>
      <c r="R30">
        <v>2450</v>
      </c>
      <c r="S30">
        <v>1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246.22710538573418</v>
      </c>
      <c r="P31">
        <v>2578.9473684210525</v>
      </c>
      <c r="Q31">
        <v>85.494588537247097</v>
      </c>
      <c r="R31">
        <v>2625</v>
      </c>
      <c r="S31">
        <v>1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254.15686397372917</v>
      </c>
      <c r="P32">
        <v>2763.1578947368421</v>
      </c>
      <c r="Q32">
        <v>87.854345118723529</v>
      </c>
      <c r="R32">
        <v>2800</v>
      </c>
      <c r="S32">
        <v>1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256.22901190473345</v>
      </c>
      <c r="P33">
        <v>2947.3684210526317</v>
      </c>
      <c r="Q33">
        <v>88.717844126703284</v>
      </c>
      <c r="R33">
        <v>2975</v>
      </c>
      <c r="S33">
        <v>1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257.48639610296124</v>
      </c>
      <c r="P34">
        <v>3131.5789473684213</v>
      </c>
      <c r="Q34">
        <v>89.341541731780183</v>
      </c>
      <c r="R34">
        <v>3150</v>
      </c>
      <c r="S34">
        <v>1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258.74332215405167</v>
      </c>
      <c r="P35">
        <v>3315.7894736842109</v>
      </c>
      <c r="Q35">
        <v>89.802447396535698</v>
      </c>
      <c r="R35">
        <v>3325</v>
      </c>
      <c r="S35">
        <v>1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260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C38" s="18">
        <v>2625</v>
      </c>
      <c r="D38" s="18">
        <v>186.511102757185</v>
      </c>
      <c r="E38" s="18">
        <v>54</v>
      </c>
    </row>
    <row r="39" spans="2:19" x14ac:dyDescent="0.25">
      <c r="C39" s="18">
        <v>2750</v>
      </c>
      <c r="D39" s="18">
        <v>196.298712131494</v>
      </c>
      <c r="E39" s="18">
        <v>55</v>
      </c>
    </row>
    <row r="40" spans="2:19" x14ac:dyDescent="0.25">
      <c r="C40" s="18">
        <v>2875</v>
      </c>
      <c r="D40" s="18">
        <v>206.08632150580399</v>
      </c>
      <c r="E40" s="18">
        <v>56</v>
      </c>
    </row>
    <row r="41" spans="2:19" x14ac:dyDescent="0.25">
      <c r="C41" s="18">
        <v>3000</v>
      </c>
      <c r="D41" s="18">
        <v>215.87393088011299</v>
      </c>
      <c r="E41" s="18">
        <v>57</v>
      </c>
    </row>
    <row r="42" spans="2:19" x14ac:dyDescent="0.25">
      <c r="C42" s="18">
        <v>3125</v>
      </c>
      <c r="D42" s="18">
        <v>225.66154025442199</v>
      </c>
      <c r="E42" s="18">
        <v>58</v>
      </c>
    </row>
    <row r="43" spans="2:19" x14ac:dyDescent="0.25">
      <c r="C43" s="18">
        <v>3250</v>
      </c>
      <c r="D43" s="18">
        <v>235.44914962873099</v>
      </c>
      <c r="E43" s="18">
        <v>59</v>
      </c>
    </row>
    <row r="44" spans="2:19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109</vt:i4>
      </vt:variant>
    </vt:vector>
  </HeadingPairs>
  <TitlesOfParts>
    <vt:vector size="113" baseType="lpstr">
      <vt:lpstr>Unifloc</vt:lpstr>
      <vt:lpstr>PVT</vt:lpstr>
      <vt:lpstr>Construction</vt:lpstr>
      <vt:lpstr>Calculation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Calculation!hmes_tamb_out_m_</vt:lpstr>
      <vt:lpstr>hmes_tamb_out_m_</vt:lpstr>
      <vt:lpstr>Hout_</vt:lpstr>
      <vt:lpstr>Hperf_m_</vt:lpstr>
      <vt:lpstr>Htub_m_</vt:lpstr>
      <vt:lpstr>hvert_incl_m_</vt:lpstr>
      <vt:lpstr>hvert_incl_out_m_</vt:lpstr>
      <vt:lpstr>Calculation!hvert_tamb_out_m_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Calculation!Ql_scm3day_</vt:lpstr>
      <vt:lpstr>PVT!Ql_scm3day_</vt:lpstr>
      <vt:lpstr>PVT!Qo_sctday_</vt:lpstr>
      <vt:lpstr>rhoo_list1_</vt:lpstr>
      <vt:lpstr>rhoo_list2_</vt:lpstr>
      <vt:lpstr>rhoo_list3_</vt:lpstr>
      <vt:lpstr>Calculation!Rp_m3m3_</vt:lpstr>
      <vt:lpstr>PVT!Rp_m3m3_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Calculation!tamb_out_C_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Calculation!wc_perc_</vt:lpstr>
      <vt:lpstr>PVT!wc_perc_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2019-03-31T11:20:48Z</dcterms:modified>
</cp:coreProperties>
</file>