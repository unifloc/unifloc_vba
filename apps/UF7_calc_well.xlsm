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5F02CDFE-7013-483B-9869-9CA3562A1A29}" xr6:coauthVersionLast="43" xr6:coauthVersionMax="43" xr10:uidLastSave="{00000000-0000-0000-0000-000000000000}"/>
  <bookViews>
    <workbookView xWindow="-32025" yWindow="1395" windowWidth="28800" windowHeight="15330" tabRatio="529" activeTab="1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  <externalReference r:id="rId10"/>
    <externalReference r:id="rId11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" localSheetId="1">PVT!$C$14</definedName>
    <definedName name="Bob_m3m3_" localSheetId="1">PVT!$G$16</definedName>
    <definedName name="correlation_MF_fontan_" localSheetId="6">'Calc GasLift'!$J$2</definedName>
    <definedName name="correlation_MF_fontan_" localSheetId="7">'Calc Self Flow'!$J$2</definedName>
    <definedName name="correlation_MF_fontan_">'Calc ESP'!$J$2</definedName>
    <definedName name="correlation_PVT_fontan_" localSheetId="6">'Calc GasLift'!$E$2</definedName>
    <definedName name="correlation_PVT_fontan_" localSheetId="7">'Calc Self Flow'!$E$2</definedName>
    <definedName name="correlation_PVT_fontan_">'Calc ESP'!$E$2</definedName>
    <definedName name="correlation_T_fontan_" localSheetId="6">'Calc GasLift'!$O$2</definedName>
    <definedName name="correlation_T_fontan_" localSheetId="7">'Calc Self Flow'!$O$2</definedName>
    <definedName name="correlation_T_fontan_">'Calc ESP'!$O$2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PVT!$C$8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muob_">PVT!$C$15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" localSheetId="1">PVT!$C$12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 localSheetId="5">'Calc ESP'!$C$6</definedName>
    <definedName name="Ql_scm3day_" localSheetId="6">'Calc GasLift'!$C$6</definedName>
    <definedName name="Ql_scm3day_" localSheetId="7">'Calc Self Flow'!$C$6</definedName>
    <definedName name="Ql_scm3day_" localSheetId="1">PVT!$K$8</definedName>
    <definedName name="Qo_sctday_" localSheetId="1">PVT!$K$10</definedName>
    <definedName name="rhoo_list1_">PVT!$J$60:$J$100</definedName>
    <definedName name="rhoo_list2_">PVT!$K$60:$K$100</definedName>
    <definedName name="rhoo_list3_">PVT!$L$60:$L$100</definedName>
    <definedName name="Rp_" localSheetId="1">PVT!$C$11</definedName>
    <definedName name="Rp_m3m3_" localSheetId="5">'Calc ESP'!$C$9</definedName>
    <definedName name="Rp_m3m3_" localSheetId="6">'Calc GasLift'!$C$9</definedName>
    <definedName name="Rp_m3m3_" localSheetId="7">'Calc Self Flow'!$C$9</definedName>
    <definedName name="Rp_m3m3_" localSheetId="1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" localSheetId="1">PVT!$C$10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" localSheetId="1">PVT!$C$13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6" i="4" l="1"/>
  <c r="C45" i="4"/>
  <c r="C44" i="4"/>
  <c r="C19" i="4"/>
  <c r="K10" i="4" l="1"/>
  <c r="C9" i="7"/>
  <c r="C7" i="7"/>
  <c r="T34" i="4"/>
  <c r="T35" i="4" s="1"/>
  <c r="M35" i="4"/>
  <c r="C33" i="4"/>
  <c r="E34" i="4"/>
  <c r="G24" i="4"/>
  <c r="C8" i="7"/>
  <c r="M36" i="4"/>
  <c r="C50" i="4"/>
  <c r="M34" i="4"/>
  <c r="E38" i="4"/>
  <c r="M33" i="4"/>
  <c r="C38" i="4"/>
  <c r="I38" i="4"/>
  <c r="E37" i="4"/>
  <c r="AF10" i="9"/>
  <c r="I35" i="4"/>
  <c r="C10" i="7"/>
  <c r="M41" i="4"/>
  <c r="C35" i="4"/>
  <c r="M37" i="4"/>
  <c r="C34" i="4"/>
  <c r="C41" i="4"/>
  <c r="C36" i="4"/>
  <c r="I34" i="4"/>
  <c r="E33" i="4"/>
  <c r="I37" i="4"/>
  <c r="C37" i="4"/>
  <c r="I36" i="4"/>
  <c r="E36" i="4"/>
  <c r="C24" i="4"/>
  <c r="C27" i="4" s="1"/>
  <c r="V34" i="4"/>
  <c r="B1" i="6"/>
  <c r="E35" i="4"/>
  <c r="I33" i="4"/>
  <c r="M38" i="4"/>
  <c r="T36" i="4"/>
  <c r="C28" i="4"/>
  <c r="C29" i="4"/>
  <c r="V36" i="4"/>
  <c r="V35" i="4"/>
  <c r="V37" i="4"/>
  <c r="T37" i="4"/>
  <c r="V18" i="10" l="1"/>
  <c r="V17" i="10"/>
  <c r="V16" i="10"/>
  <c r="C10" i="10"/>
  <c r="O2" i="10"/>
  <c r="J2" i="10"/>
  <c r="E2" i="10"/>
  <c r="X18" i="9"/>
  <c r="X17" i="9"/>
  <c r="X16" i="9"/>
  <c r="C10" i="9"/>
  <c r="O2" i="9"/>
  <c r="J2" i="9"/>
  <c r="E2" i="9"/>
  <c r="B57" i="4" l="1"/>
  <c r="X45" i="4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4" l="1"/>
  <c r="A1" i="2"/>
  <c r="A1" i="7"/>
  <c r="A1" i="3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<sst xmlns="http://schemas.openxmlformats.org/spreadsheetml/2006/main" count="463" uniqueCount="219">
  <si>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</si>
  <si>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</si>
  <si>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</si>
  <si>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</si>
  <si>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</si>
  <si>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</si>
  <si>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</si>
  <si>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</si>
  <si>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</si>
  <si>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</si>
  <si>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</si>
  <si>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</si>
  <si>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</si>
  <si>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</si>
  <si>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</si>
  <si>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</si>
  <si>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</si>
  <si>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</si>
  <si>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</si>
  <si>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</si>
  <si>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</si>
  <si>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</si>
  <si>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</si>
  <si>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</si>
  <si>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</si>
  <si>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</si>
  <si>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</si>
  <si>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</si>
  <si>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</si>
  <si>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</si>
  <si>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</si>
  <si>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</si>
  <si>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</si>
  <si>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</si>
  <si>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</si>
  <si>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</si>
  <si>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</si>
  <si>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</si>
  <si>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</si>
  <si>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</si>
  <si>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</si>
  <si>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</si>
  <si>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</si>
  <si>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</si>
  <si>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</si>
  <si>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</si>
  <si>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</si>
  <si>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</si>
  <si>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</si>
  <si>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</si>
  <si>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</si>
  <si>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</si>
  <si>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</si>
  <si>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</si>
  <si>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</si>
  <si>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</si>
  <si>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</si>
  <si>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</si>
  <si>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</si>
  <si>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</si>
  <si>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</si>
  <si>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</si>
  <si>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</si>
  <si>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</si>
  <si>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</si>
  <si>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</si>
  <si>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</si>
  <si>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</si>
  <si>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</si>
  <si>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</si>
  <si>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</si>
  <si>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</si>
  <si>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</si>
  <si>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</si>
  <si>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</si>
  <si>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</si>
  <si>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</si>
  <si>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</si>
  <si>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</si>
  <si>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</si>
  <si>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</si>
  <si>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</si>
  <si>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</si>
  <si>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</si>
  <si>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</si>
  <si>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</si>
  <si>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</si>
  <si>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</si>
  <si>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</si>
  <si>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</si>
  <si>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</si>
  <si>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</si>
  <si>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</si>
  <si>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</si>
  <si>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</si>
  <si>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</si>
  <si>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</si>
  <si>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</si>
  <si>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</si>
  <si>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</si>
  <si>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</si>
  <si>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</si>
  <si>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</si>
  <si>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</si>
  <si>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</si>
  <si>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</si>
  <si>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</si>
  <si>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</si>
  <si>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</si>
  <si>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</si>
  <si>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</si>
  <si>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</si>
  <si>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</si>
  <si>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</si>
  <si>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</si>
  <si>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</si>
  <si>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</si>
  <si>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</si>
  <si>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</si>
  <si>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</si>
  <si>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</si>
  <si>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</si>
  <si>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</si>
  <si>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</si>
  <si>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</si>
  <si>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</si>
  <si>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</si>
  <si>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</si>
  <si>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</si>
  <si>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</si>
  <si>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</si>
  <si>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</si>
  <si>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</si>
  <si>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</si>
  <si>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</si>
  <si>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</si>
  <si>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</si>
  <si>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</si>
  <si>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</si>
  <si>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</si>
  <si>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</si>
  <si>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</si>
  <si>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</si>
  <si>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</si>
  <si>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</si>
  <si>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</si>
  <si>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</si>
  <si>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</si>
  <si>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</si>
  <si>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</si>
  <si>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</si>
  <si>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</si>
  <si>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</si>
  <si>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</si>
  <si>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</si>
  <si>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</si>
  <si>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</si>
  <si>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</si>
  <si>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</si>
  <si>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</si>
  <si>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</si>
  <si>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</si>
  <si>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</si>
  <si>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</si>
  <si>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</si>
  <si>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</si>
  <si>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</si>
  <si>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</si>
  <si>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</si>
  <si>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</si>
  <si>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</si>
  <si>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</si>
  <si>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</si>
  <si>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</si>
  <si>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</si>
  <si>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</si>
  <si>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</si>
  <si>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</si>
  <si>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</si>
  <si>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</si>
  <si>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</si>
  <si>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</si>
  <si>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</si>
  <si>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</si>
  <si>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</si>
  <si>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</si>
  <si>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</si>
  <si>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</si>
  <si>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</si>
  <si>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</si>
  <si>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</si>
  <si>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</si>
  <si>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</si>
  <si>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</si>
  <si>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</si>
  <si>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</si>
  <si>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</si>
  <si>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</si>
  <si>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</si>
  <si>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</si>
  <si>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</si>
  <si>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</si>
  <si>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</si>
  <si>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</si>
  <si>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</si>
  <si>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</si>
  <si>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</si>
  <si>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</si>
  <si>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</si>
  <si>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</si>
  <si>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</si>
  <si>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</si>
  <si>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</si>
  <si>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</si>
  <si>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</si>
  <si>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</si>
  <si>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</si>
  <si>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вер 7.7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</si>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</sst>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1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</c:v>
                </c:pt>
                <c:pt idx="4">
                  <c:v>20.799999999999997</c:v>
                </c:pt>
                <c:pt idx="5">
                  <c:v>25.75</c:v>
                </c:pt>
                <c:pt idx="6">
                  <c:v>30.7</c:v>
                </c:pt>
                <c:pt idx="7">
                  <c:v>35.649999999999991</c:v>
                </c:pt>
                <c:pt idx="8">
                  <c:v>40.599999999999994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</c:v>
                </c:pt>
                <c:pt idx="16">
                  <c:v>80.200000000000017</c:v>
                </c:pt>
                <c:pt idx="17">
                  <c:v>85.15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</c:v>
                </c:pt>
                <c:pt idx="4">
                  <c:v>20.799999999999997</c:v>
                </c:pt>
                <c:pt idx="5">
                  <c:v>25.75</c:v>
                </c:pt>
                <c:pt idx="6">
                  <c:v>30.7</c:v>
                </c:pt>
                <c:pt idx="7">
                  <c:v>35.649999999999991</c:v>
                </c:pt>
                <c:pt idx="8">
                  <c:v>40.599999999999994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</c:v>
                </c:pt>
                <c:pt idx="16">
                  <c:v>80.200000000000017</c:v>
                </c:pt>
                <c:pt idx="17">
                  <c:v>85.15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860.85518999999999</c:v>
                </c:pt>
                <c:pt idx="1">
                  <c:v>856.52314900990098</c:v>
                </c:pt>
                <c:pt idx="2">
                  <c:v>852.27604999999994</c:v>
                </c:pt>
                <c:pt idx="3">
                  <c:v>848.11141893203876</c:v>
                </c:pt>
                <c:pt idx="4">
                  <c:v>844.02687692307688</c:v>
                </c:pt>
                <c:pt idx="5">
                  <c:v>840.02013571428563</c:v>
                </c:pt>
                <c:pt idx="6">
                  <c:v>836.08899339622633</c:v>
                </c:pt>
                <c:pt idx="7">
                  <c:v>832.23133037383172</c:v>
                </c:pt>
                <c:pt idx="8">
                  <c:v>828.44510555555553</c:v>
                </c:pt>
                <c:pt idx="9">
                  <c:v>824.72835275229352</c:v>
                </c:pt>
                <c:pt idx="10">
                  <c:v>821.07917727272718</c:v>
                </c:pt>
                <c:pt idx="11">
                  <c:v>817.49575270270282</c:v>
                </c:pt>
                <c:pt idx="12">
                  <c:v>813.97631785714282</c:v>
                </c:pt>
                <c:pt idx="13">
                  <c:v>810.51917389380537</c:v>
                </c:pt>
                <c:pt idx="14">
                  <c:v>807.12268157894744</c:v>
                </c:pt>
                <c:pt idx="15">
                  <c:v>803.78525869565226</c:v>
                </c:pt>
                <c:pt idx="16">
                  <c:v>800.50537758620692</c:v>
                </c:pt>
                <c:pt idx="17">
                  <c:v>797.28156282051282</c:v>
                </c:pt>
                <c:pt idx="18">
                  <c:v>794.11238898305089</c:v>
                </c:pt>
                <c:pt idx="19">
                  <c:v>790.99647857142861</c:v>
                </c:pt>
                <c:pt idx="20">
                  <c:v>787.9325</c:v>
                </c:pt>
                <c:pt idx="21">
                  <c:v>787.9325</c:v>
                </c:pt>
                <c:pt idx="22">
                  <c:v>787.9325</c:v>
                </c:pt>
                <c:pt idx="23">
                  <c:v>787.9325</c:v>
                </c:pt>
                <c:pt idx="24">
                  <c:v>787.9325</c:v>
                </c:pt>
                <c:pt idx="25">
                  <c:v>787.9325</c:v>
                </c:pt>
                <c:pt idx="26">
                  <c:v>787.9325</c:v>
                </c:pt>
                <c:pt idx="27">
                  <c:v>787.9325</c:v>
                </c:pt>
                <c:pt idx="28">
                  <c:v>787.9325</c:v>
                </c:pt>
                <c:pt idx="29">
                  <c:v>787.9325</c:v>
                </c:pt>
                <c:pt idx="30">
                  <c:v>787.9325</c:v>
                </c:pt>
                <c:pt idx="31">
                  <c:v>787.9325</c:v>
                </c:pt>
                <c:pt idx="32">
                  <c:v>787.9325</c:v>
                </c:pt>
                <c:pt idx="33">
                  <c:v>787.9325</c:v>
                </c:pt>
                <c:pt idx="34">
                  <c:v>787.9325</c:v>
                </c:pt>
                <c:pt idx="35">
                  <c:v>787.9325</c:v>
                </c:pt>
                <c:pt idx="36">
                  <c:v>787.9325</c:v>
                </c:pt>
                <c:pt idx="37">
                  <c:v>787.9325</c:v>
                </c:pt>
                <c:pt idx="38">
                  <c:v>787.9325</c:v>
                </c:pt>
                <c:pt idx="39">
                  <c:v>787.9325</c:v>
                </c:pt>
                <c:pt idx="40">
                  <c:v>787.9325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860.85518999999999</c:v>
                </c:pt>
                <c:pt idx="1">
                  <c:v>856.52314900990098</c:v>
                </c:pt>
                <c:pt idx="2">
                  <c:v>852.27604999999994</c:v>
                </c:pt>
                <c:pt idx="3">
                  <c:v>848.11141893203876</c:v>
                </c:pt>
                <c:pt idx="4">
                  <c:v>844.02687692307688</c:v>
                </c:pt>
                <c:pt idx="5">
                  <c:v>840.02013571428563</c:v>
                </c:pt>
                <c:pt idx="6">
                  <c:v>836.08899339622633</c:v>
                </c:pt>
                <c:pt idx="7">
                  <c:v>832.23133037383172</c:v>
                </c:pt>
                <c:pt idx="8">
                  <c:v>828.44510555555553</c:v>
                </c:pt>
                <c:pt idx="9">
                  <c:v>824.72835275229352</c:v>
                </c:pt>
                <c:pt idx="10">
                  <c:v>821.07917727272718</c:v>
                </c:pt>
                <c:pt idx="11">
                  <c:v>817.49575270270282</c:v>
                </c:pt>
                <c:pt idx="12">
                  <c:v>813.97631785714282</c:v>
                </c:pt>
                <c:pt idx="13">
                  <c:v>810.51917389380537</c:v>
                </c:pt>
                <c:pt idx="14">
                  <c:v>807.12268157894744</c:v>
                </c:pt>
                <c:pt idx="15">
                  <c:v>803.78525869565226</c:v>
                </c:pt>
                <c:pt idx="16">
                  <c:v>800.50537758620692</c:v>
                </c:pt>
                <c:pt idx="17">
                  <c:v>797.28156282051282</c:v>
                </c:pt>
                <c:pt idx="18">
                  <c:v>794.11238898305089</c:v>
                </c:pt>
                <c:pt idx="19">
                  <c:v>790.99647857142861</c:v>
                </c:pt>
                <c:pt idx="20">
                  <c:v>787.9325</c:v>
                </c:pt>
                <c:pt idx="21">
                  <c:v>787.9325</c:v>
                </c:pt>
                <c:pt idx="22">
                  <c:v>787.9325</c:v>
                </c:pt>
                <c:pt idx="23">
                  <c:v>787.9325</c:v>
                </c:pt>
                <c:pt idx="24">
                  <c:v>787.9325</c:v>
                </c:pt>
                <c:pt idx="25">
                  <c:v>787.9325</c:v>
                </c:pt>
                <c:pt idx="26">
                  <c:v>787.9325</c:v>
                </c:pt>
                <c:pt idx="27">
                  <c:v>787.9325</c:v>
                </c:pt>
                <c:pt idx="28">
                  <c:v>787.9325</c:v>
                </c:pt>
                <c:pt idx="29">
                  <c:v>787.9325</c:v>
                </c:pt>
                <c:pt idx="30">
                  <c:v>787.9325</c:v>
                </c:pt>
                <c:pt idx="31">
                  <c:v>787.9325</c:v>
                </c:pt>
                <c:pt idx="32">
                  <c:v>787.9325</c:v>
                </c:pt>
                <c:pt idx="33">
                  <c:v>787.9325</c:v>
                </c:pt>
                <c:pt idx="34">
                  <c:v>787.9325</c:v>
                </c:pt>
                <c:pt idx="35">
                  <c:v>787.9325</c:v>
                </c:pt>
                <c:pt idx="36">
                  <c:v>787.9325</c:v>
                </c:pt>
                <c:pt idx="37">
                  <c:v>787.9325</c:v>
                </c:pt>
                <c:pt idx="38">
                  <c:v>787.9325</c:v>
                </c:pt>
                <c:pt idx="39">
                  <c:v>787.9325</c:v>
                </c:pt>
                <c:pt idx="40">
                  <c:v>787.9325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860</c:v>
                </c:pt>
                <c:pt idx="1">
                  <c:v>860</c:v>
                </c:pt>
                <c:pt idx="2">
                  <c:v>860</c:v>
                </c:pt>
                <c:pt idx="3">
                  <c:v>860</c:v>
                </c:pt>
                <c:pt idx="4">
                  <c:v>860</c:v>
                </c:pt>
                <c:pt idx="5">
                  <c:v>860</c:v>
                </c:pt>
                <c:pt idx="6">
                  <c:v>860</c:v>
                </c:pt>
                <c:pt idx="7">
                  <c:v>860</c:v>
                </c:pt>
                <c:pt idx="8">
                  <c:v>860</c:v>
                </c:pt>
                <c:pt idx="9">
                  <c:v>860</c:v>
                </c:pt>
                <c:pt idx="10">
                  <c:v>860</c:v>
                </c:pt>
                <c:pt idx="11">
                  <c:v>860</c:v>
                </c:pt>
                <c:pt idx="12">
                  <c:v>860</c:v>
                </c:pt>
                <c:pt idx="13">
                  <c:v>860</c:v>
                </c:pt>
                <c:pt idx="14">
                  <c:v>860</c:v>
                </c:pt>
                <c:pt idx="15">
                  <c:v>860</c:v>
                </c:pt>
                <c:pt idx="16">
                  <c:v>860</c:v>
                </c:pt>
                <c:pt idx="17">
                  <c:v>860</c:v>
                </c:pt>
                <c:pt idx="18">
                  <c:v>860</c:v>
                </c:pt>
                <c:pt idx="19">
                  <c:v>860</c:v>
                </c:pt>
                <c:pt idx="20">
                  <c:v>860</c:v>
                </c:pt>
                <c:pt idx="21">
                  <c:v>860</c:v>
                </c:pt>
                <c:pt idx="22">
                  <c:v>860</c:v>
                </c:pt>
                <c:pt idx="23">
                  <c:v>860</c:v>
                </c:pt>
                <c:pt idx="24">
                  <c:v>860</c:v>
                </c:pt>
                <c:pt idx="25">
                  <c:v>860</c:v>
                </c:pt>
                <c:pt idx="26">
                  <c:v>860</c:v>
                </c:pt>
                <c:pt idx="27">
                  <c:v>860</c:v>
                </c:pt>
                <c:pt idx="28">
                  <c:v>860</c:v>
                </c:pt>
                <c:pt idx="29">
                  <c:v>860</c:v>
                </c:pt>
                <c:pt idx="30">
                  <c:v>860</c:v>
                </c:pt>
                <c:pt idx="31">
                  <c:v>860</c:v>
                </c:pt>
                <c:pt idx="32">
                  <c:v>860</c:v>
                </c:pt>
                <c:pt idx="33">
                  <c:v>860</c:v>
                </c:pt>
                <c:pt idx="34">
                  <c:v>860</c:v>
                </c:pt>
                <c:pt idx="35">
                  <c:v>860</c:v>
                </c:pt>
                <c:pt idx="36">
                  <c:v>860</c:v>
                </c:pt>
                <c:pt idx="37">
                  <c:v>860</c:v>
                </c:pt>
                <c:pt idx="38">
                  <c:v>860</c:v>
                </c:pt>
                <c:pt idx="39">
                  <c:v>860</c:v>
                </c:pt>
                <c:pt idx="40">
                  <c:v>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</c:v>
                </c:pt>
                <c:pt idx="1">
                  <c:v>1.01</c:v>
                </c:pt>
                <c:pt idx="2">
                  <c:v>1.02</c:v>
                </c:pt>
                <c:pt idx="3">
                  <c:v>1.03</c:v>
                </c:pt>
                <c:pt idx="4">
                  <c:v>1.04</c:v>
                </c:pt>
                <c:pt idx="5">
                  <c:v>1.05</c:v>
                </c:pt>
                <c:pt idx="6">
                  <c:v>1.06</c:v>
                </c:pt>
                <c:pt idx="7">
                  <c:v>1.07</c:v>
                </c:pt>
                <c:pt idx="8">
                  <c:v>1.08</c:v>
                </c:pt>
                <c:pt idx="9">
                  <c:v>1.0900000000000001</c:v>
                </c:pt>
                <c:pt idx="10">
                  <c:v>1.1000000000000001</c:v>
                </c:pt>
                <c:pt idx="11">
                  <c:v>1.1099999999999999</c:v>
                </c:pt>
                <c:pt idx="12">
                  <c:v>1.1200000000000001</c:v>
                </c:pt>
                <c:pt idx="13">
                  <c:v>1.1299999999999999</c:v>
                </c:pt>
                <c:pt idx="14">
                  <c:v>1.1399999999999999</c:v>
                </c:pt>
                <c:pt idx="15">
                  <c:v>1.1499999999999999</c:v>
                </c:pt>
                <c:pt idx="16">
                  <c:v>1.1599999999999999</c:v>
                </c:pt>
                <c:pt idx="17">
                  <c:v>1.17</c:v>
                </c:pt>
                <c:pt idx="18">
                  <c:v>1.18</c:v>
                </c:pt>
                <c:pt idx="19">
                  <c:v>1.19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1.2</c:v>
                </c:pt>
                <c:pt idx="29">
                  <c:v>1.2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</c:v>
                </c:pt>
                <c:pt idx="1">
                  <c:v>1.01</c:v>
                </c:pt>
                <c:pt idx="2">
                  <c:v>1.02</c:v>
                </c:pt>
                <c:pt idx="3">
                  <c:v>1.03</c:v>
                </c:pt>
                <c:pt idx="4">
                  <c:v>1.04</c:v>
                </c:pt>
                <c:pt idx="5">
                  <c:v>1.05</c:v>
                </c:pt>
                <c:pt idx="6">
                  <c:v>1.06</c:v>
                </c:pt>
                <c:pt idx="7">
                  <c:v>1.07</c:v>
                </c:pt>
                <c:pt idx="8">
                  <c:v>1.08</c:v>
                </c:pt>
                <c:pt idx="9">
                  <c:v>1.0900000000000001</c:v>
                </c:pt>
                <c:pt idx="10">
                  <c:v>1.1000000000000001</c:v>
                </c:pt>
                <c:pt idx="11">
                  <c:v>1.1099999999999999</c:v>
                </c:pt>
                <c:pt idx="12">
                  <c:v>1.1200000000000001</c:v>
                </c:pt>
                <c:pt idx="13">
                  <c:v>1.1299999999999999</c:v>
                </c:pt>
                <c:pt idx="14">
                  <c:v>1.1399999999999999</c:v>
                </c:pt>
                <c:pt idx="15">
                  <c:v>1.1499999999999999</c:v>
                </c:pt>
                <c:pt idx="16">
                  <c:v>1.1599999999999999</c:v>
                </c:pt>
                <c:pt idx="17">
                  <c:v>1.17</c:v>
                </c:pt>
                <c:pt idx="18">
                  <c:v>1.18</c:v>
                </c:pt>
                <c:pt idx="19">
                  <c:v>1.19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1.2</c:v>
                </c:pt>
                <c:pt idx="29">
                  <c:v>1.2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1.0994406976744187</c:v>
                </c:pt>
                <c:pt idx="1">
                  <c:v>1.0994406976744187</c:v>
                </c:pt>
                <c:pt idx="2">
                  <c:v>1.0994406976744187</c:v>
                </c:pt>
                <c:pt idx="3">
                  <c:v>1.0994406976744187</c:v>
                </c:pt>
                <c:pt idx="4">
                  <c:v>1.0994406976744187</c:v>
                </c:pt>
                <c:pt idx="5">
                  <c:v>1.0994406976744187</c:v>
                </c:pt>
                <c:pt idx="6">
                  <c:v>1.0994406976744187</c:v>
                </c:pt>
                <c:pt idx="7">
                  <c:v>1.0994406976744187</c:v>
                </c:pt>
                <c:pt idx="8">
                  <c:v>1.0994406976744187</c:v>
                </c:pt>
                <c:pt idx="9">
                  <c:v>1.0994406976744187</c:v>
                </c:pt>
                <c:pt idx="10">
                  <c:v>1.0994406976744187</c:v>
                </c:pt>
                <c:pt idx="11">
                  <c:v>1.0994406976744187</c:v>
                </c:pt>
                <c:pt idx="12">
                  <c:v>1.0994406976744187</c:v>
                </c:pt>
                <c:pt idx="13">
                  <c:v>1.0994406976744187</c:v>
                </c:pt>
                <c:pt idx="14">
                  <c:v>1.0994406976744187</c:v>
                </c:pt>
                <c:pt idx="15">
                  <c:v>1.0994406976744187</c:v>
                </c:pt>
                <c:pt idx="16">
                  <c:v>1.0994406976744187</c:v>
                </c:pt>
                <c:pt idx="17">
                  <c:v>1.0994406976744187</c:v>
                </c:pt>
                <c:pt idx="18">
                  <c:v>1.0994406976744187</c:v>
                </c:pt>
                <c:pt idx="19">
                  <c:v>1.0994406976744187</c:v>
                </c:pt>
                <c:pt idx="20">
                  <c:v>1.0994406976744187</c:v>
                </c:pt>
                <c:pt idx="21">
                  <c:v>1.0994406976744187</c:v>
                </c:pt>
                <c:pt idx="22">
                  <c:v>1.0994406976744187</c:v>
                </c:pt>
                <c:pt idx="23">
                  <c:v>1.0994406976744187</c:v>
                </c:pt>
                <c:pt idx="24">
                  <c:v>1.0994406976744187</c:v>
                </c:pt>
                <c:pt idx="25">
                  <c:v>1.0994406976744187</c:v>
                </c:pt>
                <c:pt idx="26">
                  <c:v>1.0994406976744187</c:v>
                </c:pt>
                <c:pt idx="27">
                  <c:v>1.0994406976744187</c:v>
                </c:pt>
                <c:pt idx="28">
                  <c:v>1.0994406976744187</c:v>
                </c:pt>
                <c:pt idx="29">
                  <c:v>1.0994406976744187</c:v>
                </c:pt>
                <c:pt idx="30">
                  <c:v>1.0994406976744187</c:v>
                </c:pt>
                <c:pt idx="31">
                  <c:v>1.0994406976744187</c:v>
                </c:pt>
                <c:pt idx="32">
                  <c:v>1.0994406976744187</c:v>
                </c:pt>
                <c:pt idx="33">
                  <c:v>1.0994406976744187</c:v>
                </c:pt>
                <c:pt idx="34">
                  <c:v>1.0994406976744187</c:v>
                </c:pt>
                <c:pt idx="35">
                  <c:v>1.0994406976744187</c:v>
                </c:pt>
                <c:pt idx="36">
                  <c:v>1.0994406976744187</c:v>
                </c:pt>
                <c:pt idx="37">
                  <c:v>1.0994406976744187</c:v>
                </c:pt>
                <c:pt idx="38">
                  <c:v>1.0994406976744187</c:v>
                </c:pt>
                <c:pt idx="39">
                  <c:v>1.0994406976744187</c:v>
                </c:pt>
                <c:pt idx="40">
                  <c:v>1.0994406976744187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0.43554670446871596</c:v>
                </c:pt>
                <c:pt idx="1">
                  <c:v>0.35118164195931001</c:v>
                </c:pt>
                <c:pt idx="2">
                  <c:v>0.46589128817072106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0.43554670446871596</c:v>
                </c:pt>
                <c:pt idx="1">
                  <c:v>0.35118164195931001</c:v>
                </c:pt>
                <c:pt idx="2">
                  <c:v>0.46589128817072106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0.94345967918423523</c:v>
                </c:pt>
                <c:pt idx="2">
                  <c:v>0.8977074140392729</c:v>
                </c:pt>
                <c:pt idx="3">
                  <c:v>0.85290530104473528</c:v>
                </c:pt>
                <c:pt idx="4">
                  <c:v>0.80900267517614077</c:v>
                </c:pt>
                <c:pt idx="5">
                  <c:v>0.76599514218582032</c:v>
                </c:pt>
                <c:pt idx="6">
                  <c:v>0.7238972583679697</c:v>
                </c:pt>
                <c:pt idx="7">
                  <c:v>0.68273016368255046</c:v>
                </c:pt>
                <c:pt idx="8">
                  <c:v>0.6425152286223742</c:v>
                </c:pt>
                <c:pt idx="9">
                  <c:v>0.60327065647148725</c:v>
                </c:pt>
                <c:pt idx="10">
                  <c:v>0.56500972470709421</c:v>
                </c:pt>
                <c:pt idx="11">
                  <c:v>0.5277400080079574</c:v>
                </c:pt>
                <c:pt idx="12">
                  <c:v>0.49146321722454789</c:v>
                </c:pt>
                <c:pt idx="13">
                  <c:v>0.4561754341506114</c:v>
                </c:pt>
                <c:pt idx="14">
                  <c:v>0.42186760160464204</c:v>
                </c:pt>
                <c:pt idx="15">
                  <c:v>0.38852617549746715</c:v>
                </c:pt>
                <c:pt idx="16">
                  <c:v>0.35613387533754409</c:v>
                </c:pt>
                <c:pt idx="17">
                  <c:v>0.32467048938174514</c:v>
                </c:pt>
                <c:pt idx="18">
                  <c:v>0.29411370419575616</c:v>
                </c:pt>
                <c:pt idx="19">
                  <c:v>0.26443993782302477</c:v>
                </c:pt>
                <c:pt idx="20">
                  <c:v>0.23562516225047231</c:v>
                </c:pt>
                <c:pt idx="21">
                  <c:v>0.17993842919101405</c:v>
                </c:pt>
                <c:pt idx="22">
                  <c:v>0.12748550990598875</c:v>
                </c:pt>
                <c:pt idx="23">
                  <c:v>7.8132346229612307E-2</c:v>
                </c:pt>
                <c:pt idx="24">
                  <c:v>3.180744840624191E-2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0.94345967918423523</c:v>
                </c:pt>
                <c:pt idx="2">
                  <c:v>0.8977074140392729</c:v>
                </c:pt>
                <c:pt idx="3">
                  <c:v>0.85290530104473528</c:v>
                </c:pt>
                <c:pt idx="4">
                  <c:v>0.80900267517614077</c:v>
                </c:pt>
                <c:pt idx="5">
                  <c:v>0.76599514218582032</c:v>
                </c:pt>
                <c:pt idx="6">
                  <c:v>0.7238972583679697</c:v>
                </c:pt>
                <c:pt idx="7">
                  <c:v>0.68273016368255046</c:v>
                </c:pt>
                <c:pt idx="8">
                  <c:v>0.6425152286223742</c:v>
                </c:pt>
                <c:pt idx="9">
                  <c:v>0.60327065647148725</c:v>
                </c:pt>
                <c:pt idx="10">
                  <c:v>0.56500972470709421</c:v>
                </c:pt>
                <c:pt idx="11">
                  <c:v>0.5277400080079574</c:v>
                </c:pt>
                <c:pt idx="12">
                  <c:v>0.49146321722454789</c:v>
                </c:pt>
                <c:pt idx="13">
                  <c:v>0.4561754341506114</c:v>
                </c:pt>
                <c:pt idx="14">
                  <c:v>0.42186760160464204</c:v>
                </c:pt>
                <c:pt idx="15">
                  <c:v>0.38852617549746715</c:v>
                </c:pt>
                <c:pt idx="16">
                  <c:v>0.35613387533754409</c:v>
                </c:pt>
                <c:pt idx="17">
                  <c:v>0.32467048938174514</c:v>
                </c:pt>
                <c:pt idx="18">
                  <c:v>0.29411370419575616</c:v>
                </c:pt>
                <c:pt idx="19">
                  <c:v>0.26443993782302477</c:v>
                </c:pt>
                <c:pt idx="20">
                  <c:v>0.23562516225047231</c:v>
                </c:pt>
                <c:pt idx="21">
                  <c:v>0.17993842919101405</c:v>
                </c:pt>
                <c:pt idx="22">
                  <c:v>0.12748550990598875</c:v>
                </c:pt>
                <c:pt idx="23">
                  <c:v>7.8132346229612307E-2</c:v>
                </c:pt>
                <c:pt idx="24">
                  <c:v>3.180744840624191E-2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5.95</c:v>
                </c:pt>
                <c:pt idx="2">
                  <c:v>10.9</c:v>
                </c:pt>
                <c:pt idx="3">
                  <c:v>15.850000000000001</c:v>
                </c:pt>
                <c:pt idx="4">
                  <c:v>20.8</c:v>
                </c:pt>
                <c:pt idx="5">
                  <c:v>25.75</c:v>
                </c:pt>
                <c:pt idx="6">
                  <c:v>30.7</c:v>
                </c:pt>
                <c:pt idx="7">
                  <c:v>35.65</c:v>
                </c:pt>
                <c:pt idx="8">
                  <c:v>40.6</c:v>
                </c:pt>
                <c:pt idx="9">
                  <c:v>45.550000000000004</c:v>
                </c:pt>
                <c:pt idx="10">
                  <c:v>50.500000000000007</c:v>
                </c:pt>
                <c:pt idx="11">
                  <c:v>55.45000000000001</c:v>
                </c:pt>
                <c:pt idx="12">
                  <c:v>60.400000000000013</c:v>
                </c:pt>
                <c:pt idx="13">
                  <c:v>65.350000000000009</c:v>
                </c:pt>
                <c:pt idx="14">
                  <c:v>70.300000000000011</c:v>
                </c:pt>
                <c:pt idx="15">
                  <c:v>75.250000000000014</c:v>
                </c:pt>
                <c:pt idx="16">
                  <c:v>80.200000000000017</c:v>
                </c:pt>
                <c:pt idx="17">
                  <c:v>85.15000000000002</c:v>
                </c:pt>
                <c:pt idx="18">
                  <c:v>90.100000000000023</c:v>
                </c:pt>
                <c:pt idx="19">
                  <c:v>95.050000000000026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0.94345967918423523</c:v>
                </c:pt>
                <c:pt idx="2">
                  <c:v>0.8977074140392729</c:v>
                </c:pt>
                <c:pt idx="3">
                  <c:v>0.85290530104473528</c:v>
                </c:pt>
                <c:pt idx="4">
                  <c:v>0.80900267517614077</c:v>
                </c:pt>
                <c:pt idx="5">
                  <c:v>0.76599514218582032</c:v>
                </c:pt>
                <c:pt idx="6">
                  <c:v>0.7238972583679697</c:v>
                </c:pt>
                <c:pt idx="7">
                  <c:v>0.68273016368255046</c:v>
                </c:pt>
                <c:pt idx="8">
                  <c:v>0.6425152286223742</c:v>
                </c:pt>
                <c:pt idx="9">
                  <c:v>0.60327065647148725</c:v>
                </c:pt>
                <c:pt idx="10">
                  <c:v>0.56500972470709421</c:v>
                </c:pt>
                <c:pt idx="11">
                  <c:v>0.5277400080079574</c:v>
                </c:pt>
                <c:pt idx="12">
                  <c:v>0.49146321722454789</c:v>
                </c:pt>
                <c:pt idx="13">
                  <c:v>0.4561754341506114</c:v>
                </c:pt>
                <c:pt idx="14">
                  <c:v>0.42186760160464204</c:v>
                </c:pt>
                <c:pt idx="15">
                  <c:v>0.38852617549746715</c:v>
                </c:pt>
                <c:pt idx="16">
                  <c:v>0.35613387533754409</c:v>
                </c:pt>
                <c:pt idx="17">
                  <c:v>0.32467048938174514</c:v>
                </c:pt>
                <c:pt idx="18">
                  <c:v>0.29411370419575616</c:v>
                </c:pt>
                <c:pt idx="19">
                  <c:v>0.26443993782302477</c:v>
                </c:pt>
                <c:pt idx="20">
                  <c:v>0.23562516225047231</c:v>
                </c:pt>
                <c:pt idx="21">
                  <c:v>0.17993842919101405</c:v>
                </c:pt>
                <c:pt idx="22">
                  <c:v>0.12748550990598875</c:v>
                </c:pt>
                <c:pt idx="23">
                  <c:v>7.8132346229612307E-2</c:v>
                </c:pt>
                <c:pt idx="24">
                  <c:v>3.180744840624191E-2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1079.0831725325882</c:v>
                </c:pt>
                <c:pt idx="1">
                  <c:v>1078.7767566335126</c:v>
                </c:pt>
                <c:pt idx="2">
                  <c:v>1085.220757873099</c:v>
                </c:pt>
                <c:pt idx="3">
                  <c:v>1092.9964512878312</c:v>
                </c:pt>
                <c:pt idx="4">
                  <c:v>1097.8608906627917</c:v>
                </c:pt>
                <c:pt idx="5">
                  <c:v>1096.6319138567881</c:v>
                </c:pt>
                <c:pt idx="6">
                  <c:v>1087.073148127475</c:v>
                </c:pt>
                <c:pt idx="7">
                  <c:v>1067.7790154564816</c:v>
                </c:pt>
                <c:pt idx="8">
                  <c:v>1038.059737874534</c:v>
                </c:pt>
                <c:pt idx="9">
                  <c:v>997.82634278658088</c:v>
                </c:pt>
                <c:pt idx="10">
                  <c:v>947.47566829691891</c:v>
                </c:pt>
                <c:pt idx="11">
                  <c:v>887.77536853431502</c:v>
                </c:pt>
                <c:pt idx="12">
                  <c:v>819.74891897713496</c:v>
                </c:pt>
                <c:pt idx="13">
                  <c:v>744.5606217784632</c:v>
                </c:pt>
                <c:pt idx="14">
                  <c:v>663.40061109123053</c:v>
                </c:pt>
                <c:pt idx="15">
                  <c:v>577.36985839334136</c:v>
                </c:pt>
                <c:pt idx="16">
                  <c:v>487.36517781279076</c:v>
                </c:pt>
                <c:pt idx="17">
                  <c:v>393.96423145279613</c:v>
                </c:pt>
                <c:pt idx="18">
                  <c:v>297.31053471691985</c:v>
                </c:pt>
                <c:pt idx="19">
                  <c:v>196.99846163419016</c:v>
                </c:pt>
                <c:pt idx="20">
                  <c:v>91.958250184236846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7.6419950830696609E-3</c:v>
                </c:pt>
                <c:pt idx="1">
                  <c:v>6.3039410357469239E-2</c:v>
                </c:pt>
                <c:pt idx="2">
                  <c:v>0.13179385535511876</c:v>
                </c:pt>
                <c:pt idx="3">
                  <c:v>0.20684404492575748</c:v>
                </c:pt>
                <c:pt idx="4">
                  <c:v>0.28238958758387067</c:v>
                </c:pt>
                <c:pt idx="5">
                  <c:v>0.3537854579483623</c:v>
                </c:pt>
                <c:pt idx="6">
                  <c:v>0.4174364691822256</c:v>
                </c:pt>
                <c:pt idx="7">
                  <c:v>0.47069174543221609</c:v>
                </c:pt>
                <c:pt idx="8">
                  <c:v>0.5117391942685231</c:v>
                </c:pt>
                <c:pt idx="9">
                  <c:v>0.53949997912444025</c:v>
                </c:pt>
                <c:pt idx="10">
                  <c:v>0.55352299173604014</c:v>
                </c:pt>
                <c:pt idx="11">
                  <c:v>0.55387932458184386</c:v>
                </c:pt>
                <c:pt idx="12">
                  <c:v>0.54105674332249287</c:v>
                </c:pt>
                <c:pt idx="13">
                  <c:v>0.51585415924042133</c:v>
                </c:pt>
                <c:pt idx="14">
                  <c:v>0.47927610167952894</c:v>
                </c:pt>
                <c:pt idx="15">
                  <c:v>0.43242719048485301</c:v>
                </c:pt>
                <c:pt idx="16">
                  <c:v>0.3764066084422365</c:v>
                </c:pt>
                <c:pt idx="17">
                  <c:v>0.3122025737180032</c:v>
                </c:pt>
                <c:pt idx="18">
                  <c:v>0.24058681229863366</c:v>
                </c:pt>
                <c:pt idx="19">
                  <c:v>0.16200903043041937</c:v>
                </c:pt>
                <c:pt idx="20">
                  <c:v>7.6491387059163696E-2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10.029614120376623</c:v>
                </c:pt>
                <c:pt idx="1">
                  <c:v>10.320639703745014</c:v>
                </c:pt>
                <c:pt idx="2">
                  <c:v>10.505732346743628</c:v>
                </c:pt>
                <c:pt idx="3">
                  <c:v>10.62359411345555</c:v>
                </c:pt>
                <c:pt idx="4">
                  <c:v>10.705995645589445</c:v>
                </c:pt>
                <c:pt idx="5">
                  <c:v>10.778378098696951</c:v>
                </c:pt>
                <c:pt idx="6">
                  <c:v>10.860455078390027</c:v>
                </c:pt>
                <c:pt idx="7">
                  <c:v>10.966814576558331</c:v>
                </c:pt>
                <c:pt idx="8">
                  <c:v>11.107520907586588</c:v>
                </c:pt>
                <c:pt idx="9">
                  <c:v>11.288716644571958</c:v>
                </c:pt>
                <c:pt idx="10">
                  <c:v>11.513224555541404</c:v>
                </c:pt>
                <c:pt idx="11">
                  <c:v>11.78114953966907</c:v>
                </c:pt>
                <c:pt idx="12">
                  <c:v>12.090480563493632</c:v>
                </c:pt>
                <c:pt idx="13">
                  <c:v>12.437692597135685</c:v>
                </c:pt>
                <c:pt idx="14">
                  <c:v>12.818348550515113</c:v>
                </c:pt>
                <c:pt idx="15">
                  <c:v>13.227701209568421</c:v>
                </c:pt>
                <c:pt idx="16">
                  <c:v>13.661295172466161</c:v>
                </c:pt>
                <c:pt idx="17">
                  <c:v>14.11556878583027</c:v>
                </c:pt>
                <c:pt idx="18">
                  <c:v>14.588456080951415</c:v>
                </c:pt>
                <c:pt idx="19">
                  <c:v>15.079988710006425</c:v>
                </c:pt>
                <c:pt idx="20">
                  <c:v>15.592897882275597</c:v>
                </c:pt>
                <c:pt idx="21">
                  <c:v>16.038267350690319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0.80316057558179288</c:v>
                </c:pt>
                <c:pt idx="1">
                  <c:v>0.88196132364168367</c:v>
                </c:pt>
                <c:pt idx="2">
                  <c:v>0.94504731122751795</c:v>
                </c:pt>
                <c:pt idx="3">
                  <c:v>0.9903900672591337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45.073299407958984</c:v>
                </c:pt>
                <c:pt idx="1">
                  <c:v>59.246860329131835</c:v>
                </c:pt>
                <c:pt idx="2">
                  <c:v>74.232210767456252</c:v>
                </c:pt>
                <c:pt idx="3">
                  <c:v>89.67044938262157</c:v>
                </c:pt>
                <c:pt idx="4">
                  <c:v>105.22295283261492</c:v>
                </c:pt>
                <c:pt idx="5">
                  <c:v>120.70237937904704</c:v>
                </c:pt>
                <c:pt idx="6">
                  <c:v>135.54498787690332</c:v>
                </c:pt>
                <c:pt idx="7">
                  <c:v>149.79673972299454</c:v>
                </c:pt>
                <c:pt idx="8">
                  <c:v>163.42722466713471</c:v>
                </c:pt>
                <c:pt idx="9">
                  <c:v>176.43552651162508</c:v>
                </c:pt>
                <c:pt idx="10">
                  <c:v>188.82153300329225</c:v>
                </c:pt>
                <c:pt idx="11">
                  <c:v>200.58579326561684</c:v>
                </c:pt>
                <c:pt idx="12">
                  <c:v>211.72935059069442</c:v>
                </c:pt>
                <c:pt idx="13">
                  <c:v>220.80468955826063</c:v>
                </c:pt>
                <c:pt idx="14">
                  <c:v>142.28655369204679</c:v>
                </c:pt>
                <c:pt idx="15">
                  <c:v>143.66972871542228</c:v>
                </c:pt>
                <c:pt idx="16">
                  <c:v>153.0610248711493</c:v>
                </c:pt>
                <c:pt idx="17">
                  <c:v>156.08958563658408</c:v>
                </c:pt>
                <c:pt idx="18">
                  <c:v>157.40907246880903</c:v>
                </c:pt>
                <c:pt idx="19">
                  <c:v>158.72477248409859</c:v>
                </c:pt>
                <c:pt idx="20">
                  <c:v>160.03668578620261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C18A056-7139-4330-B888-2B13C80BD27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518CEFE-2C8C-45BF-A10A-C7F10AF543F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917D6D3E-31A7-4869-AE76-4F4F8C66EB4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6A34B1B-8613-4AC6-BAB2-5434FBFD4AC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4CD8AC-55E1-43F8-90B3-ED96BC64F383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F6333FB-CD26-452D-A4C0-D1B6E8A8C0C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</c:v>
                </c:pt>
                <c:pt idx="1">
                  <c:v>45.073299407958984</c:v>
                </c:pt>
                <c:pt idx="2">
                  <c:v>160.03668578620261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30</c:v>
                </c:pt>
                <c:pt idx="1">
                  <c:v>33.333333333333336</c:v>
                </c:pt>
                <c:pt idx="2">
                  <c:v>36.666666666666671</c:v>
                </c:pt>
                <c:pt idx="3">
                  <c:v>40</c:v>
                </c:pt>
                <c:pt idx="4">
                  <c:v>43.333333333333336</c:v>
                </c:pt>
                <c:pt idx="5">
                  <c:v>46.666666666666664</c:v>
                </c:pt>
                <c:pt idx="6">
                  <c:v>50</c:v>
                </c:pt>
                <c:pt idx="7">
                  <c:v>53.333333333333336</c:v>
                </c:pt>
                <c:pt idx="8">
                  <c:v>56.666666666666671</c:v>
                </c:pt>
                <c:pt idx="9">
                  <c:v>60</c:v>
                </c:pt>
                <c:pt idx="10">
                  <c:v>63.333333333333336</c:v>
                </c:pt>
                <c:pt idx="11">
                  <c:v>66.666666666666671</c:v>
                </c:pt>
                <c:pt idx="12">
                  <c:v>70</c:v>
                </c:pt>
                <c:pt idx="13">
                  <c:v>72.857142857142861</c:v>
                </c:pt>
                <c:pt idx="14">
                  <c:v>72.874285714285719</c:v>
                </c:pt>
                <c:pt idx="15">
                  <c:v>73.333333333333343</c:v>
                </c:pt>
                <c:pt idx="16">
                  <c:v>76.666666666666686</c:v>
                </c:pt>
                <c:pt idx="17">
                  <c:v>80.000000000000014</c:v>
                </c:pt>
                <c:pt idx="18">
                  <c:v>83.333333333333329</c:v>
                </c:pt>
                <c:pt idx="19">
                  <c:v>86.666666666666671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33.333333333333336</c:v>
                </c:pt>
                <c:pt idx="2">
                  <c:v>36.666666666666671</c:v>
                </c:pt>
                <c:pt idx="3">
                  <c:v>40</c:v>
                </c:pt>
                <c:pt idx="4">
                  <c:v>43.333333333333336</c:v>
                </c:pt>
                <c:pt idx="5">
                  <c:v>46.666666666666664</c:v>
                </c:pt>
                <c:pt idx="6">
                  <c:v>50</c:v>
                </c:pt>
                <c:pt idx="7">
                  <c:v>53.333333333333336</c:v>
                </c:pt>
                <c:pt idx="8">
                  <c:v>56.666666666666671</c:v>
                </c:pt>
                <c:pt idx="9">
                  <c:v>60</c:v>
                </c:pt>
                <c:pt idx="10">
                  <c:v>63.333333333333336</c:v>
                </c:pt>
                <c:pt idx="11">
                  <c:v>66.666666666666671</c:v>
                </c:pt>
                <c:pt idx="12">
                  <c:v>70</c:v>
                </c:pt>
                <c:pt idx="13">
                  <c:v>72.857142857142861</c:v>
                </c:pt>
                <c:pt idx="14">
                  <c:v>72.874285714285719</c:v>
                </c:pt>
                <c:pt idx="15">
                  <c:v>73.333333333333343</c:v>
                </c:pt>
                <c:pt idx="16">
                  <c:v>76.666666666666686</c:v>
                </c:pt>
                <c:pt idx="17">
                  <c:v>80.000000000000014</c:v>
                </c:pt>
                <c:pt idx="18">
                  <c:v>83.333333333333329</c:v>
                </c:pt>
                <c:pt idx="19">
                  <c:v>86.666666666666671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0.9833573968458168</c:v>
                </c:pt>
                <c:pt idx="1">
                  <c:v>0.98878683672859569</c:v>
                </c:pt>
                <c:pt idx="2">
                  <c:v>0.99679948131597573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50.010292088439833</c:v>
                </c:pt>
                <c:pt idx="1">
                  <c:v>63.94791187821167</c:v>
                </c:pt>
                <c:pt idx="2">
                  <c:v>77.747148126448423</c:v>
                </c:pt>
                <c:pt idx="3">
                  <c:v>91.47569268959181</c:v>
                </c:pt>
                <c:pt idx="4">
                  <c:v>105.16840268766761</c:v>
                </c:pt>
                <c:pt idx="5">
                  <c:v>118.80022909242395</c:v>
                </c:pt>
                <c:pt idx="6">
                  <c:v>131.97714850378225</c:v>
                </c:pt>
                <c:pt idx="7">
                  <c:v>144.59961193221298</c:v>
                </c:pt>
                <c:pt idx="8">
                  <c:v>156.67776450025457</c:v>
                </c:pt>
                <c:pt idx="9">
                  <c:v>168.22449196454858</c:v>
                </c:pt>
                <c:pt idx="10">
                  <c:v>179.24401569234212</c:v>
                </c:pt>
                <c:pt idx="11">
                  <c:v>189.7404802389386</c:v>
                </c:pt>
                <c:pt idx="12">
                  <c:v>199.71794898009148</c:v>
                </c:pt>
                <c:pt idx="13">
                  <c:v>209.17239872226051</c:v>
                </c:pt>
                <c:pt idx="14">
                  <c:v>214.34541483674664</c:v>
                </c:pt>
                <c:pt idx="15">
                  <c:v>218.09746985028221</c:v>
                </c:pt>
                <c:pt idx="16">
                  <c:v>225.37620376055699</c:v>
                </c:pt>
                <c:pt idx="17">
                  <c:v>227.27525777068126</c:v>
                </c:pt>
                <c:pt idx="18">
                  <c:v>228.42663162041362</c:v>
                </c:pt>
                <c:pt idx="19">
                  <c:v>229.57761661460526</c:v>
                </c:pt>
                <c:pt idx="20">
                  <c:v>230.72821252816129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C6C1B70-1458-4F15-85C1-00C799F5E85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4CC27D6-93CE-4E3B-9E41-A1AA4E25990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D36F7E4B-51C7-4D32-AC9D-3D9654953A95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8443838-34E8-4A18-95BA-A2B2A050E0E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FCAF66-3EC7-4BAE-919C-B38123C52CB1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BDEBE00-BDF9-49A4-9F79-4A1F867C2C9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50.010292088439833</c:v>
                </c:pt>
                <c:pt idx="1">
                  <c:v>50.010292088439833</c:v>
                </c:pt>
                <c:pt idx="2">
                  <c:v>230.72821252816129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0.17403064076706484</c:v>
                </c:pt>
                <c:pt idx="1">
                  <c:v>0.2083129036658482</c:v>
                </c:pt>
                <c:pt idx="2">
                  <c:v>0.24682054065100995</c:v>
                </c:pt>
                <c:pt idx="3">
                  <c:v>0.27482928381080884</c:v>
                </c:pt>
                <c:pt idx="4">
                  <c:v>0.32206457402940963</c:v>
                </c:pt>
                <c:pt idx="5">
                  <c:v>0.37600657258778497</c:v>
                </c:pt>
                <c:pt idx="6">
                  <c:v>0.43545583220692841</c:v>
                </c:pt>
                <c:pt idx="7">
                  <c:v>0.49914015415189178</c:v>
                </c:pt>
                <c:pt idx="8">
                  <c:v>0.56692436629084675</c:v>
                </c:pt>
                <c:pt idx="9">
                  <c:v>0.6382521187315251</c:v>
                </c:pt>
                <c:pt idx="10">
                  <c:v>0.71192457606532189</c:v>
                </c:pt>
                <c:pt idx="11">
                  <c:v>0.78699220961971617</c:v>
                </c:pt>
                <c:pt idx="12">
                  <c:v>0.86247350204822038</c:v>
                </c:pt>
                <c:pt idx="13">
                  <c:v>0.937278125268451</c:v>
                </c:pt>
                <c:pt idx="14">
                  <c:v>0.99453771784586542</c:v>
                </c:pt>
                <c:pt idx="15">
                  <c:v>0.99918264911496246</c:v>
                </c:pt>
                <c:pt idx="16">
                  <c:v>0.99918172936188776</c:v>
                </c:pt>
                <c:pt idx="17">
                  <c:v>0.99918155847006418</c:v>
                </c:pt>
                <c:pt idx="18">
                  <c:v>0.99918139040342047</c:v>
                </c:pt>
                <c:pt idx="19">
                  <c:v>0.99918124786254015</c:v>
                </c:pt>
                <c:pt idx="20">
                  <c:v>0.99918126838063415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10.349377861269023</c:v>
                </c:pt>
                <c:pt idx="1">
                  <c:v>13.741344410687804</c:v>
                </c:pt>
                <c:pt idx="2">
                  <c:v>17.771282354219174</c:v>
                </c:pt>
                <c:pt idx="3">
                  <c:v>22.427998386371215</c:v>
                </c:pt>
                <c:pt idx="4">
                  <c:v>27.697497460727806</c:v>
                </c:pt>
                <c:pt idx="5">
                  <c:v>33.790554674442554</c:v>
                </c:pt>
                <c:pt idx="6">
                  <c:v>40.571098261925016</c:v>
                </c:pt>
                <c:pt idx="7">
                  <c:v>47.995271781745878</c:v>
                </c:pt>
                <c:pt idx="8">
                  <c:v>56.000893863488322</c:v>
                </c:pt>
                <c:pt idx="9">
                  <c:v>64.512336152903885</c:v>
                </c:pt>
                <c:pt idx="10">
                  <c:v>73.448355689093802</c:v>
                </c:pt>
                <c:pt idx="11">
                  <c:v>82.715600340070239</c:v>
                </c:pt>
                <c:pt idx="12">
                  <c:v>92.212705554344296</c:v>
                </c:pt>
                <c:pt idx="13">
                  <c:v>101.83496216008898</c:v>
                </c:pt>
                <c:pt idx="14">
                  <c:v>107.30225789229945</c:v>
                </c:pt>
                <c:pt idx="15">
                  <c:v>111.27968001123517</c:v>
                </c:pt>
                <c:pt idx="16">
                  <c:v>119.00656146614175</c:v>
                </c:pt>
                <c:pt idx="17">
                  <c:v>121.02775510526814</c:v>
                </c:pt>
                <c:pt idx="18">
                  <c:v>122.2551137557146</c:v>
                </c:pt>
                <c:pt idx="19">
                  <c:v>123.4825957789155</c:v>
                </c:pt>
                <c:pt idx="20">
                  <c:v>124.71219897034381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5DC93C5A-323A-4345-A6A7-73E04EDB644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B2AC522-AD15-47C1-86CC-59113C0E63D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B707BAAE-D74E-4F1F-8A67-CEDB3EEF5AC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51CF1E3-9025-42E1-B9DF-D00E1898CCD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328997-AF1F-48E7-A833-5A0F5561616A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528C34A-7140-4DDB-A7B4-2425DB98BD1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9.9830058422543733</c:v>
                </c:pt>
                <c:pt idx="1">
                  <c:v>10.349377861269023</c:v>
                </c:pt>
                <c:pt idx="2">
                  <c:v>124.71219897034381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22.952221759788021</c:v>
                </c:pt>
                <c:pt idx="1">
                  <c:v>28.465682773611565</c:v>
                </c:pt>
                <c:pt idx="2">
                  <c:v>33.976620862457843</c:v>
                </c:pt>
                <c:pt idx="3">
                  <c:v>39.485099606880745</c:v>
                </c:pt>
                <c:pt idx="4">
                  <c:v>44.981372128821143</c:v>
                </c:pt>
                <c:pt idx="5">
                  <c:v>50.425576958380844</c:v>
                </c:pt>
                <c:pt idx="6">
                  <c:v>55.682239319132059</c:v>
                </c:pt>
                <c:pt idx="7">
                  <c:v>60.742113926725722</c:v>
                </c:pt>
                <c:pt idx="8">
                  <c:v>65.596356446810319</c:v>
                </c:pt>
                <c:pt idx="9">
                  <c:v>70.249042695695806</c:v>
                </c:pt>
                <c:pt idx="10">
                  <c:v>74.70109360950714</c:v>
                </c:pt>
                <c:pt idx="11">
                  <c:v>78.953355175869959</c:v>
                </c:pt>
                <c:pt idx="12">
                  <c:v>83.006436483629727</c:v>
                </c:pt>
                <c:pt idx="13">
                  <c:v>86.856811319572145</c:v>
                </c:pt>
                <c:pt idx="14">
                  <c:v>88.957283174406001</c:v>
                </c:pt>
                <c:pt idx="15">
                  <c:v>90.435947919819242</c:v>
                </c:pt>
                <c:pt idx="16">
                  <c:v>93.044460899835343</c:v>
                </c:pt>
                <c:pt idx="17">
                  <c:v>93.766308521294192</c:v>
                </c:pt>
                <c:pt idx="18">
                  <c:v>94.173682334516769</c:v>
                </c:pt>
                <c:pt idx="19">
                  <c:v>94.053719754781142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6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7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21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231962</xdr:colOff>
          <xdr:row>8</xdr:row>
          <xdr:rowOff>222436</xdr:rowOff>
        </xdr:from>
        <xdr:to>
          <xdr:col>21</xdr:col>
          <xdr:colOff>207870</xdr:colOff>
          <xdr:row>12</xdr:row>
          <xdr:rowOff>79561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231962</xdr:colOff>
          <xdr:row>12</xdr:row>
          <xdr:rowOff>108136</xdr:rowOff>
        </xdr:from>
        <xdr:to>
          <xdr:col>21</xdr:col>
          <xdr:colOff>207870</xdr:colOff>
          <xdr:row>15</xdr:row>
          <xdr:rowOff>212911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222437</xdr:colOff>
          <xdr:row>16</xdr:row>
          <xdr:rowOff>7844</xdr:rowOff>
        </xdr:from>
        <xdr:to>
          <xdr:col>21</xdr:col>
          <xdr:colOff>188820</xdr:colOff>
          <xdr:row>18</xdr:row>
          <xdr:rowOff>132229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F2EB179-3A2E-487E-A72B-2430C70AEAE9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32.6%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553964</xdr:colOff>
      <xdr:row>13</xdr:row>
      <xdr:rowOff>0</xdr:rowOff>
    </xdr:from>
    <xdr:to>
      <xdr:col>28</xdr:col>
      <xdr:colOff>176894</xdr:colOff>
      <xdr:row>43</xdr:row>
      <xdr:rowOff>68036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313418</xdr:colOff>
      <xdr:row>12</xdr:row>
      <xdr:rowOff>195946</xdr:rowOff>
    </xdr:from>
    <xdr:to>
      <xdr:col>20</xdr:col>
      <xdr:colOff>503691</xdr:colOff>
      <xdr:row>43</xdr:row>
      <xdr:rowOff>39311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</xdr:colOff>
      <xdr:row>13</xdr:row>
      <xdr:rowOff>1</xdr:rowOff>
    </xdr:from>
    <xdr:to>
      <xdr:col>20</xdr:col>
      <xdr:colOff>406978</xdr:colOff>
      <xdr:row>42</xdr:row>
      <xdr:rowOff>77931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66675</xdr:rowOff>
        </xdr:to>
        <xdr:sp macro="" textlink="">
          <xdr:nvSpPr>
            <xdr:cNvPr id="16387" name="Drop Dow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F7_calc_G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F7_calc_self_fl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getUFVersion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floc"/>
      <sheetName val="PVT"/>
      <sheetName val="Construction"/>
      <sheetName val="GasLift"/>
      <sheetName val="Calc GasLift"/>
      <sheetName val="Лист1"/>
      <sheetName val="Test"/>
      <sheetName val="UF7_calc_GL"/>
    </sheetNames>
    <definedNames>
      <definedName name="gamma_oil_" sheetId="1"/>
    </definedNames>
    <sheetDataSet>
      <sheetData sheetId="0">
        <row r="1">
          <cell r="A1" t="str">
            <v>вер 7.7</v>
          </cell>
        </row>
      </sheetData>
      <sheetData sheetId="1">
        <row r="8">
          <cell r="G8">
            <v>0.8</v>
          </cell>
        </row>
      </sheetData>
      <sheetData sheetId="2">
        <row r="9">
          <cell r="C9">
            <v>3500</v>
          </cell>
        </row>
      </sheetData>
      <sheetData sheetId="3"/>
      <sheetData sheetId="4">
        <row r="10">
          <cell r="P10" t="str">
            <v>Рlin</v>
          </cell>
        </row>
      </sheetData>
      <sheetData sheetId="5"/>
      <sheetData sheetId="6">
        <row r="8">
          <cell r="G8" t="e">
            <v>#VALUE!</v>
          </cell>
        </row>
      </sheetData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floc"/>
      <sheetName val="PVT"/>
      <sheetName val="Construction"/>
      <sheetName val="Calculation"/>
    </sheetNames>
    <definedNames>
      <definedName name="gamma_oil_" sheetId="1"/>
    </definedNames>
    <sheetDataSet>
      <sheetData sheetId="0">
        <row r="1">
          <cell r="A1" t="str">
            <v>вер 7.7</v>
          </cell>
        </row>
      </sheetData>
      <sheetData sheetId="1">
        <row r="8">
          <cell r="G8">
            <v>0.86</v>
          </cell>
        </row>
      </sheetData>
      <sheetData sheetId="2">
        <row r="9">
          <cell r="C9">
            <v>3500</v>
          </cell>
        </row>
      </sheetData>
      <sheetData sheetId="3">
        <row r="10">
          <cell r="P10" t="str">
            <v>Рlin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H15" sqref="H15"/>
    </sheetView>
  </sheetViews>
  <sheetFormatPr defaultRowHeight="15" x14ac:dyDescent="0.25"/>
  <sheetData>
    <row r="1" spans="1:5" x14ac:dyDescent="0.25">
      <c r="A1" t="str">
        <f>"вер "&amp;B1</f>
        <v>вер 7.7</v>
      </c>
      <c r="B1" s="16" t="str">
        <f>[1]!getUFVersion()</f>
        <v>7.7</v>
      </c>
    </row>
    <row r="2" spans="1:5" x14ac:dyDescent="0.25">
      <c r="A2" t="s">
        <v>161</v>
      </c>
    </row>
    <row r="4" spans="1:5" x14ac:dyDescent="0.25">
      <c r="A4" s="59" t="str">
        <f>"Унифлок "&amp;версия_номер_</f>
        <v>Унифлок 7.7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G102"/>
  <sheetViews>
    <sheetView tabSelected="1" topLeftCell="A4" zoomScale="85" zoomScaleNormal="85" workbookViewId="0">
      <selection activeCell="AP10" sqref="AP10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62" t="str">
        <f>"Унифлок "&amp;версия_&amp;" приложение версия 1.0"</f>
        <v>Унифлок вер 7.7 приложение версия 1.0</v>
      </c>
      <c r="J1" s="2" t="s">
        <v>23</v>
      </c>
      <c r="K1" s="2"/>
      <c r="L1" s="2"/>
    </row>
    <row r="2" spans="1:17" ht="18" x14ac:dyDescent="0.25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25">
      <c r="F3" s="60" t="s">
        <v>74</v>
      </c>
      <c r="G3" s="60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218</v>
      </c>
      <c r="C19" s="67" t="str">
        <f>PVT_Encode_string(gamma_gas_,gamma_oil_,gamma_wat_,Rsb_,Rp_,Pb_,Tres_,Bob_,muob_)</f>
        <v>gamma_gas:0.700;gamma_oil:0.860;gamma_wat:40.000;rsb_m3m3:;rp_m3m3:;pb_atma:;tres_C:;bob_m3m3:;muob_cP:;PVTcorr:0;ksep_fr:0.000;pksep_atma:-1.000;tksep_C:-1.000;</v>
      </c>
      <c r="D19" s="67"/>
      <c r="E19" s="67"/>
      <c r="F19" s="67"/>
      <c r="G19" s="68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</row>
    <row r="20" spans="1:28" s="65" customFormat="1" ht="15.75" x14ac:dyDescent="0.25">
      <c r="A20" s="64"/>
      <c r="G20" s="66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100.00000000000001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82.717995186413418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PVT_Bo_m3m3(C24,Tres_C_,gamma_gas_,gamma_oil_,gamma_w_,Rsb_m3m3_,,Pb_atma_,Tres_C_,Bob_m3m3_,mu_cP_,PVT_correlation_,Ksep_,Psep_atma_,Tsep_C_)</f>
        <v>1.2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[1]!PVT_Rhoo_kgm3(C24,Tres_C_,gamma_gas_,gamma_oil_,gamma_w_,Rsb_m3m3_,,Pb_atma_,Tres_C_,Bob_m3m3_,mu_cP_,PVT_correlation_,Ksep_,Psep_atma_,Tsep_C_)</f>
        <v>787.9325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[1]!PVT_Muo_cP(C24,Tres_C_,gamma_gas_,gamma_oil_,gamma_w_,Rsb_m3m3_,,Pb_atma_,Tres_C_,Bob_m3m3_,mu_cP_,PVT_correlation_,Ksep_,Psep_atma_,Tsep_C_)</f>
        <v>1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[1]!PVT_Rhoo_kgm3(Psc_atma_,Tsc_C_,gamma_gas_,gamma_oil_,gamma_w_,Rsb_m3m3_,,Pb_atma_,Tres_C_,Bob_m3m3_,mu_cP_,PVT_correlation_,Ksep_,Psep_atma_,Tsep_C_)</f>
        <v>862.8366408100951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1.7539830543472342E-3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0.43554670446871596</v>
      </c>
      <c r="AB33" s="34">
        <f>ABS(Pb_diff_)</f>
        <v>0.43554670446871596</v>
      </c>
      <c r="AD33" s="2" t="str">
        <f>Q35&amp; " = "&amp;IFERROR(TEXT(gamma_gas_diff_total_*100,"0.0") &amp; "%",TEXT(gamma_gas_diff_total_*100,"0,0") &amp; "%")</f>
        <v>Сумм откл = 32.6%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[1]!PVT_Muo_cP(Psc_atma_,Tsc_C_,gamma_gas_,gamma_oil_,gamma_w_,Rsb_m3m3_,,Pb_atma_,Tres_C_,Bob_m3m3_,mu_cP_,PVT_correlation_,Ksep_,Psep_atma_,Tsep_C_)</f>
        <v>17.24438940225496</v>
      </c>
      <c r="D34" s="5" t="s">
        <v>7</v>
      </c>
      <c r="E34" s="29">
        <f>[1]!PVT_Muo_cP(Psc_atma_,Tsc_C_,gamma_gas_,gamma_oil_,gamma_w_,Rsb_m3m3_,,,,,,PVT_correlation_,Ksep_,Psep_atma_,Tsep_C_)</f>
        <v>106.67231382661345</v>
      </c>
      <c r="F34" s="30">
        <f t="shared" si="0"/>
        <v>0.83834240785022984</v>
      </c>
      <c r="G34" s="31"/>
      <c r="H34" s="5" t="s">
        <v>97</v>
      </c>
      <c r="I34" s="39">
        <f>[1]!PVT_Mug_cP(Psc_atma_,Tsc_C_,gamma_gas_,gamma_oil_,gamma_w_,Rsb_m3m3_,,Pb_atma_,Tres_C_,Bob_m3m3_,mu_cP_,PVT_correlation_,Ksep_,Psep_atma_,Tsep_C_)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[1]!PVT_Muw_cP(Psc_atma_,Tsc_C_,gamma_gas_,gamma_oil_,gamma_w_,Rsb_m3m3_,,Pb_atma_,Tres_C_,Bob_m3m3_,mu_cP_,PVT_correlation_,Ksep_,Psep_atma_,Tsep_C_)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PVT_Pb_atma(Tres_C_,gamma_gas_,gamma_oil_,gamma_w_,Rsb_m3m3_,,,Tres_C_,,,PVT_correlation_,Ksep_,Psep_atma_,Tsep_C_)</f>
        <v>177.16257623383413</v>
      </c>
      <c r="U34" s="30">
        <f>(T34-C24)/T34</f>
        <v>0.43554670446871596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0.43554670446871596</v>
      </c>
      <c r="X34" s="2">
        <v>2</v>
      </c>
      <c r="Z34" s="7" t="s">
        <v>80</v>
      </c>
      <c r="AA34" s="33">
        <f>ABS(U35)</f>
        <v>0.35118164195931001</v>
      </c>
      <c r="AB34" s="33">
        <f>ABS(W35)</f>
        <v>0.35118164195931001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41.446269501522167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-0.99085611011161734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0.3256022634491873</v>
      </c>
      <c r="S35" s="7" t="s">
        <v>80</v>
      </c>
      <c r="T35" s="37">
        <f>PVT_Bo_m3m3(T34,Tres_C_,gamma_gas_,gamma_oil_,gamma_w_,Rsb_m3m3_,,,,,,PVT_correlation_,Ksep_,Psep_atma_,Tsep_C_)</f>
        <v>1.3082526835460737</v>
      </c>
      <c r="U35" s="30">
        <f>(T35-C27)/(T35-1)</f>
        <v>0.35118164195931001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0.35118164195931001</v>
      </c>
      <c r="X35" s="2">
        <v>2</v>
      </c>
      <c r="Z35" s="8" t="s">
        <v>83</v>
      </c>
      <c r="AA35" s="33">
        <f>ABS(U37)</f>
        <v>0.46589128817072106</v>
      </c>
      <c r="AB35" s="33">
        <f>ABS(W37)</f>
        <v>0.46589128817072106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1.0642282485461247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-1.1945359853962518E-2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767.67276210310854</v>
      </c>
      <c r="U36" s="30">
        <f>(T36-C28)/T36</f>
        <v>-2.6391112068882179E-2</v>
      </c>
      <c r="V36" s="29">
        <f>[1]!PVT_Rhoo_kgm3(C24,Tres_C_,gamma_gas_new_,gamma_oil_new_,gamma_w_,Rsb_m3m3_,,,,,,PVT_correlation_,Ksep_,Psep_atma_,Tsep_C_)</f>
        <v>767.67276210310854</v>
      </c>
      <c r="W36" s="30">
        <f>(V36-C28)/V36</f>
        <v>-2.6391112068882179E-2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[1]!PVT_Rhoo_kgm3(P_atma_,T_C_,gamma_gas_,gamma_oil_,gamma_w_,Rsb_m3m3_,,Pb_atma_,Tres_C_,Bob_m3m3_,mu_cP_,PVT_correlation_,Ksep_,Psep_atma_,Tsep_C_)</f>
        <v>841.40261869415815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-8.054966375790026E-3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[1]!PVT_Muo_cP(T34,Tres_C_,gamma_gas_,gamma_oil_,gamma_w_,Rsb_m3m3_,,,,,,PVT_correlation_,Ksep_,Psep_atma_,Tsep_C_)</f>
        <v>0.68217882735894786</v>
      </c>
      <c r="U37" s="30">
        <f>(T37-C29)/T37</f>
        <v>-0.46589128817072106</v>
      </c>
      <c r="V37" s="38">
        <f>[1]!PVT_Muo_cP(V34,Tres_C_,gamma_gas_new_,gamma_oil_new_,gamma_w_,Rsb_m3m3_,,,,,,PVT_correlation_,Ksep_,Psep_atma_,Tsep_C_)</f>
        <v>0.68217882735894786</v>
      </c>
      <c r="W37" s="30">
        <f>(V37-C29)/V37</f>
        <v>-0.46589128817072106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[1]!PVT_Muo_cP(P_atma_,T_C_,gamma_gas_,gamma_oil_,gamma_w_,Rsb_m3m3_,,Pb_atma_,Tres_C_,Bob_m3m3_,mu_cP_,PVT_correlation_,Ksep_,Psep_atma_,Tsep_C_)</f>
        <v>2.145548808077582</v>
      </c>
      <c r="D38" s="5" t="s">
        <v>7</v>
      </c>
      <c r="E38" s="29">
        <f>[1]!PVT_Muo_cP(P_atma_,T_C_,gamma_gas_,gamma_oil_,gamma_w_,Rsb_m3m3_,,,,,,PVT_correlation_,Ksep_,Psep_atma_,Tsep_C_)</f>
        <v>7.7487517419678289</v>
      </c>
      <c r="F38" s="30">
        <f t="shared" si="0"/>
        <v>0.72311039512891773</v>
      </c>
      <c r="G38" s="31"/>
      <c r="H38" s="5" t="s">
        <v>112</v>
      </c>
      <c r="I38" s="39">
        <f>[1]!PVT_Mug_cP(P_atma_,T_C_,gamma_gas_,gamma_oil_,gamma_w_,Rsb_m3m3_,,Pb_atma_,Tres_C_,Bob_m3m3_,mu_cP_,PVT_correlation_,Ksep_,Psep_atma_,Tsep_C_)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[1]!PVT_Muw_cP(P_atma_,T_C_,gamma_gas_,gamma_oil_,gamma_w_,Rsb_m3m3_,,Pb_atma_,Tres_C_,Bob_m3m3_,mu_cP_,PVT_correlation_,Ksep_,Psep_atma_,Tsep_C_)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2.6391112068882179E-2</v>
      </c>
      <c r="AB39" s="33">
        <f>ABS(W36)</f>
        <v>2.6391112068882179E-2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9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9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MF_Qmix_m3day(Ql_scm3day_,fw_perc_,P_atma_,T_C_,PVTstr_)</f>
        <v>68.587881491775804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MF_Rhomix_kgm3(Ql_scm3day_,fw_perc_,P_atma_,T_C_,PVTstr_)</f>
        <v>317.06675475328126</v>
      </c>
      <c r="D45" s="5" t="s">
        <v>82</v>
      </c>
      <c r="E45" s="28"/>
      <c r="F45" s="31"/>
      <c r="X45">
        <f>gamma_gas_</f>
        <v>0.7</v>
      </c>
    </row>
    <row r="46" spans="2:33" ht="18" outlineLevel="1" x14ac:dyDescent="0.25">
      <c r="B46" s="5" t="s">
        <v>123</v>
      </c>
      <c r="C46" s="40">
        <f>MF_Mumix_cP(Ql_scm3day_,fw_perc_,P_atma_,T_C_,PVTstr_)</f>
        <v>2.7368397122095245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1</v>
      </c>
      <c r="E60" s="2">
        <v>1</v>
      </c>
      <c r="F60">
        <v>100</v>
      </c>
      <c r="G60" s="2">
        <v>1</v>
      </c>
      <c r="H60" s="10">
        <v>1</v>
      </c>
      <c r="I60">
        <v>1.0994406976744187</v>
      </c>
      <c r="J60" s="2">
        <v>860.85518999999999</v>
      </c>
      <c r="K60" s="2">
        <v>860.85518999999999</v>
      </c>
      <c r="L60">
        <v>860</v>
      </c>
      <c r="M60" s="2">
        <v>1</v>
      </c>
      <c r="N60" s="2">
        <v>1</v>
      </c>
      <c r="O60">
        <v>1</v>
      </c>
      <c r="P60">
        <v>0.99034313020516418</v>
      </c>
      <c r="Q60">
        <v>0.99034313020516418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5.0858997593206707</v>
      </c>
      <c r="C61" s="2">
        <v>5.95</v>
      </c>
      <c r="D61" s="2">
        <v>5.95</v>
      </c>
      <c r="E61" s="2">
        <v>5.95</v>
      </c>
      <c r="F61">
        <v>100</v>
      </c>
      <c r="G61" s="2">
        <v>1.01</v>
      </c>
      <c r="H61" s="10">
        <v>1.01</v>
      </c>
      <c r="I61">
        <v>1.0994406976744187</v>
      </c>
      <c r="J61" s="2">
        <v>856.52314900990098</v>
      </c>
      <c r="K61" s="2">
        <v>856.52314900990098</v>
      </c>
      <c r="L61">
        <v>860</v>
      </c>
      <c r="M61" s="2">
        <v>1</v>
      </c>
      <c r="N61" s="2">
        <v>1</v>
      </c>
      <c r="O61">
        <v>1</v>
      </c>
      <c r="P61">
        <v>0.94345967918423523</v>
      </c>
      <c r="Q61">
        <v>0.94345967918423523</v>
      </c>
      <c r="R61">
        <v>0.94345967918423523</v>
      </c>
    </row>
    <row r="62" spans="1:29" outlineLevel="1" x14ac:dyDescent="0.25">
      <c r="A62" s="44">
        <v>3</v>
      </c>
      <c r="B62" s="46">
        <f t="shared" si="1"/>
        <v>9.1717995186413415</v>
      </c>
      <c r="C62" s="2">
        <v>10.9</v>
      </c>
      <c r="D62" s="2">
        <v>10.9</v>
      </c>
      <c r="E62" s="2">
        <v>10.9</v>
      </c>
      <c r="F62">
        <v>100</v>
      </c>
      <c r="G62" s="2">
        <v>1.02</v>
      </c>
      <c r="H62" s="10">
        <v>1.02</v>
      </c>
      <c r="I62">
        <v>1.0994406976744187</v>
      </c>
      <c r="J62" s="2">
        <v>852.27604999999994</v>
      </c>
      <c r="K62" s="2">
        <v>852.27604999999994</v>
      </c>
      <c r="L62">
        <v>860</v>
      </c>
      <c r="M62" s="2">
        <v>1</v>
      </c>
      <c r="N62" s="2">
        <v>1</v>
      </c>
      <c r="O62">
        <v>1</v>
      </c>
      <c r="P62">
        <v>0.8977074140392729</v>
      </c>
      <c r="Q62">
        <v>0.8977074140392729</v>
      </c>
      <c r="R62">
        <v>0.8977074140392729</v>
      </c>
    </row>
    <row r="63" spans="1:29" outlineLevel="1" x14ac:dyDescent="0.25">
      <c r="A63" s="44">
        <v>4</v>
      </c>
      <c r="B63" s="46">
        <f t="shared" si="1"/>
        <v>13.257699277962011</v>
      </c>
      <c r="C63" s="2">
        <v>15.850000000000001</v>
      </c>
      <c r="D63" s="2">
        <v>15.85</v>
      </c>
      <c r="E63" s="2">
        <v>15.85</v>
      </c>
      <c r="F63">
        <v>100</v>
      </c>
      <c r="G63" s="2">
        <v>1.03</v>
      </c>
      <c r="H63" s="10">
        <v>1.03</v>
      </c>
      <c r="I63">
        <v>1.0994406976744187</v>
      </c>
      <c r="J63" s="2">
        <v>848.11141893203876</v>
      </c>
      <c r="K63" s="2">
        <v>848.11141893203876</v>
      </c>
      <c r="L63">
        <v>860</v>
      </c>
      <c r="M63" s="2">
        <v>1</v>
      </c>
      <c r="N63" s="2">
        <v>1</v>
      </c>
      <c r="O63">
        <v>1</v>
      </c>
      <c r="P63">
        <v>0.85290530104473528</v>
      </c>
      <c r="Q63">
        <v>0.85290530104473528</v>
      </c>
      <c r="R63">
        <v>0.85290530104473528</v>
      </c>
    </row>
    <row r="64" spans="1:29" outlineLevel="1" x14ac:dyDescent="0.25">
      <c r="A64" s="44">
        <v>5</v>
      </c>
      <c r="B64" s="46">
        <f t="shared" si="1"/>
        <v>17.343599037282683</v>
      </c>
      <c r="C64" s="2">
        <v>20.8</v>
      </c>
      <c r="D64" s="2">
        <v>20.799999999999997</v>
      </c>
      <c r="E64" s="2">
        <v>20.799999999999997</v>
      </c>
      <c r="F64">
        <v>100</v>
      </c>
      <c r="G64" s="2">
        <v>1.04</v>
      </c>
      <c r="H64" s="10">
        <v>1.04</v>
      </c>
      <c r="I64">
        <v>1.0994406976744187</v>
      </c>
      <c r="J64" s="2">
        <v>844.02687692307688</v>
      </c>
      <c r="K64" s="2">
        <v>844.02687692307688</v>
      </c>
      <c r="L64">
        <v>860</v>
      </c>
      <c r="M64" s="2">
        <v>1</v>
      </c>
      <c r="N64" s="28">
        <v>1</v>
      </c>
      <c r="O64">
        <v>1</v>
      </c>
      <c r="P64">
        <v>0.80900267517614077</v>
      </c>
      <c r="Q64">
        <v>0.80900267517614077</v>
      </c>
      <c r="R64">
        <v>0.80900267517614077</v>
      </c>
    </row>
    <row r="65" spans="1:18" outlineLevel="1" x14ac:dyDescent="0.25">
      <c r="A65" s="44">
        <v>6</v>
      </c>
      <c r="B65" s="46">
        <f t="shared" si="1"/>
        <v>21.429498796603355</v>
      </c>
      <c r="C65" s="2">
        <v>25.75</v>
      </c>
      <c r="D65" s="2">
        <v>25.75</v>
      </c>
      <c r="E65" s="2">
        <v>25.75</v>
      </c>
      <c r="F65">
        <v>100</v>
      </c>
      <c r="G65" s="2">
        <v>1.05</v>
      </c>
      <c r="H65" s="10">
        <v>1.05</v>
      </c>
      <c r="I65">
        <v>1.0994406976744187</v>
      </c>
      <c r="J65" s="2">
        <v>840.02013571428563</v>
      </c>
      <c r="K65" s="2">
        <v>840.02013571428563</v>
      </c>
      <c r="L65">
        <v>860</v>
      </c>
      <c r="M65" s="2">
        <v>1</v>
      </c>
      <c r="N65" s="2">
        <v>1</v>
      </c>
      <c r="O65">
        <v>1</v>
      </c>
      <c r="P65">
        <v>0.76599514218582032</v>
      </c>
      <c r="Q65">
        <v>0.76599514218582032</v>
      </c>
      <c r="R65">
        <v>0.76599514218582032</v>
      </c>
    </row>
    <row r="66" spans="1:18" outlineLevel="1" x14ac:dyDescent="0.25">
      <c r="A66" s="44">
        <v>7</v>
      </c>
      <c r="B66" s="46">
        <f t="shared" si="1"/>
        <v>25.515398555924026</v>
      </c>
      <c r="C66" s="2">
        <v>30.7</v>
      </c>
      <c r="D66" s="2">
        <v>30.7</v>
      </c>
      <c r="E66" s="2">
        <v>30.7</v>
      </c>
      <c r="F66">
        <v>100</v>
      </c>
      <c r="G66" s="2">
        <v>1.06</v>
      </c>
      <c r="H66" s="10">
        <v>1.06</v>
      </c>
      <c r="I66">
        <v>1.0994406976744187</v>
      </c>
      <c r="J66" s="2">
        <v>836.08899339622633</v>
      </c>
      <c r="K66" s="2">
        <v>836.08899339622633</v>
      </c>
      <c r="L66">
        <v>860</v>
      </c>
      <c r="M66" s="2">
        <v>1</v>
      </c>
      <c r="N66" s="2">
        <v>1</v>
      </c>
      <c r="O66">
        <v>1</v>
      </c>
      <c r="P66">
        <v>0.7238972583679697</v>
      </c>
      <c r="Q66">
        <v>0.7238972583679697</v>
      </c>
      <c r="R66">
        <v>0.7238972583679697</v>
      </c>
    </row>
    <row r="67" spans="1:18" outlineLevel="1" x14ac:dyDescent="0.25">
      <c r="A67" s="44">
        <v>8</v>
      </c>
      <c r="B67" s="46">
        <f t="shared" si="1"/>
        <v>29.601298315244698</v>
      </c>
      <c r="C67" s="2">
        <v>35.65</v>
      </c>
      <c r="D67" s="2">
        <v>35.649999999999991</v>
      </c>
      <c r="E67" s="2">
        <v>35.649999999999991</v>
      </c>
      <c r="F67">
        <v>100</v>
      </c>
      <c r="G67" s="2">
        <v>1.07</v>
      </c>
      <c r="H67" s="10">
        <v>1.07</v>
      </c>
      <c r="I67">
        <v>1.0994406976744187</v>
      </c>
      <c r="J67" s="2">
        <v>832.23133037383172</v>
      </c>
      <c r="K67" s="2">
        <v>832.23133037383172</v>
      </c>
      <c r="L67">
        <v>860</v>
      </c>
      <c r="M67" s="2">
        <v>1</v>
      </c>
      <c r="N67" s="2">
        <v>1</v>
      </c>
      <c r="O67">
        <v>1</v>
      </c>
      <c r="P67">
        <v>0.68273016368255046</v>
      </c>
      <c r="Q67">
        <v>0.68273016368255046</v>
      </c>
      <c r="R67">
        <v>0.68273016368255046</v>
      </c>
    </row>
    <row r="68" spans="1:18" outlineLevel="1" x14ac:dyDescent="0.25">
      <c r="A68" s="44">
        <v>9</v>
      </c>
      <c r="B68" s="46">
        <f t="shared" si="1"/>
        <v>33.687198074565366</v>
      </c>
      <c r="C68" s="2">
        <v>40.6</v>
      </c>
      <c r="D68" s="2">
        <v>40.599999999999994</v>
      </c>
      <c r="E68" s="2">
        <v>40.599999999999994</v>
      </c>
      <c r="F68">
        <v>100</v>
      </c>
      <c r="G68" s="2">
        <v>1.08</v>
      </c>
      <c r="H68" s="10">
        <v>1.08</v>
      </c>
      <c r="I68">
        <v>1.0994406976744187</v>
      </c>
      <c r="J68" s="2">
        <v>828.44510555555553</v>
      </c>
      <c r="K68" s="2">
        <v>828.44510555555553</v>
      </c>
      <c r="L68">
        <v>860</v>
      </c>
      <c r="M68" s="2">
        <v>1</v>
      </c>
      <c r="N68" s="2">
        <v>1</v>
      </c>
      <c r="O68">
        <v>1</v>
      </c>
      <c r="P68">
        <v>0.6425152286223742</v>
      </c>
      <c r="Q68">
        <v>0.6425152286223742</v>
      </c>
      <c r="R68">
        <v>0.6425152286223742</v>
      </c>
    </row>
    <row r="69" spans="1:18" outlineLevel="1" x14ac:dyDescent="0.25">
      <c r="A69" s="44">
        <v>10</v>
      </c>
      <c r="B69" s="46">
        <f t="shared" si="1"/>
        <v>37.773097833886034</v>
      </c>
      <c r="C69" s="2">
        <v>45.550000000000004</v>
      </c>
      <c r="D69" s="2">
        <v>45.550000000000004</v>
      </c>
      <c r="E69" s="2">
        <v>45.550000000000004</v>
      </c>
      <c r="F69">
        <v>100</v>
      </c>
      <c r="G69" s="2">
        <v>1.0900000000000001</v>
      </c>
      <c r="H69" s="10">
        <v>1.0900000000000001</v>
      </c>
      <c r="I69">
        <v>1.0994406976744187</v>
      </c>
      <c r="J69" s="2">
        <v>824.72835275229352</v>
      </c>
      <c r="K69" s="2">
        <v>824.72835275229352</v>
      </c>
      <c r="L69">
        <v>860</v>
      </c>
      <c r="M69" s="2">
        <v>1</v>
      </c>
      <c r="N69" s="2">
        <v>1</v>
      </c>
      <c r="O69">
        <v>1</v>
      </c>
      <c r="P69">
        <v>0.60327065647148725</v>
      </c>
      <c r="Q69">
        <v>0.60327065647148725</v>
      </c>
      <c r="R69">
        <v>0.60327065647148725</v>
      </c>
    </row>
    <row r="70" spans="1:18" outlineLevel="1" x14ac:dyDescent="0.25">
      <c r="A70" s="44">
        <v>11</v>
      </c>
      <c r="B70" s="46">
        <f t="shared" si="1"/>
        <v>41.858997593206702</v>
      </c>
      <c r="C70" s="2">
        <v>50.500000000000007</v>
      </c>
      <c r="D70" s="2">
        <v>50.500000000000007</v>
      </c>
      <c r="E70" s="2">
        <v>50.500000000000007</v>
      </c>
      <c r="F70">
        <v>100</v>
      </c>
      <c r="G70" s="2">
        <v>1.1000000000000001</v>
      </c>
      <c r="H70" s="10">
        <v>1.1000000000000001</v>
      </c>
      <c r="I70">
        <v>1.0994406976744187</v>
      </c>
      <c r="J70" s="2">
        <v>821.07917727272718</v>
      </c>
      <c r="K70" s="2">
        <v>821.07917727272718</v>
      </c>
      <c r="L70">
        <v>860</v>
      </c>
      <c r="M70" s="2">
        <v>1</v>
      </c>
      <c r="N70" s="2">
        <v>1</v>
      </c>
      <c r="O70">
        <v>1</v>
      </c>
      <c r="P70">
        <v>0.56500972470709421</v>
      </c>
      <c r="Q70">
        <v>0.56500972470709421</v>
      </c>
      <c r="R70">
        <v>0.56500972470709421</v>
      </c>
    </row>
    <row r="71" spans="1:18" outlineLevel="1" x14ac:dyDescent="0.25">
      <c r="A71" s="44">
        <v>12</v>
      </c>
      <c r="B71" s="46">
        <f t="shared" si="1"/>
        <v>45.94489735252737</v>
      </c>
      <c r="C71" s="2">
        <v>55.45000000000001</v>
      </c>
      <c r="D71" s="2">
        <v>55.45</v>
      </c>
      <c r="E71" s="2">
        <v>55.45</v>
      </c>
      <c r="F71">
        <v>100</v>
      </c>
      <c r="G71" s="2">
        <v>1.1099999999999999</v>
      </c>
      <c r="H71" s="10">
        <v>1.1099999999999999</v>
      </c>
      <c r="I71">
        <v>1.0994406976744187</v>
      </c>
      <c r="J71" s="2">
        <v>817.49575270270282</v>
      </c>
      <c r="K71" s="2">
        <v>817.49575270270282</v>
      </c>
      <c r="L71">
        <v>860</v>
      </c>
      <c r="M71" s="2">
        <v>1</v>
      </c>
      <c r="N71" s="2">
        <v>1</v>
      </c>
      <c r="O71">
        <v>1</v>
      </c>
      <c r="P71">
        <v>0.5277400080079574</v>
      </c>
      <c r="Q71">
        <v>0.5277400080079574</v>
      </c>
      <c r="R71">
        <v>0.5277400080079574</v>
      </c>
    </row>
    <row r="72" spans="1:18" outlineLevel="1" x14ac:dyDescent="0.25">
      <c r="A72" s="44">
        <v>13</v>
      </c>
      <c r="B72" s="46">
        <f t="shared" si="1"/>
        <v>50.030797111848038</v>
      </c>
      <c r="C72" s="2">
        <v>60.400000000000013</v>
      </c>
      <c r="D72" s="2">
        <v>60.400000000000013</v>
      </c>
      <c r="E72" s="2">
        <v>60.400000000000013</v>
      </c>
      <c r="F72">
        <v>100</v>
      </c>
      <c r="G72" s="2">
        <v>1.1200000000000001</v>
      </c>
      <c r="H72" s="10">
        <v>1.1200000000000001</v>
      </c>
      <c r="I72">
        <v>1.0994406976744187</v>
      </c>
      <c r="J72" s="2">
        <v>813.97631785714282</v>
      </c>
      <c r="K72" s="2">
        <v>813.97631785714282</v>
      </c>
      <c r="L72">
        <v>860</v>
      </c>
      <c r="M72" s="2">
        <v>1</v>
      </c>
      <c r="N72" s="2">
        <v>1</v>
      </c>
      <c r="O72">
        <v>1</v>
      </c>
      <c r="P72">
        <v>0.49146321722454789</v>
      </c>
      <c r="Q72">
        <v>0.49146321722454789</v>
      </c>
      <c r="R72">
        <v>0.49146321722454789</v>
      </c>
    </row>
    <row r="73" spans="1:18" outlineLevel="1" x14ac:dyDescent="0.25">
      <c r="A73" s="44">
        <v>14</v>
      </c>
      <c r="B73" s="46">
        <f t="shared" si="1"/>
        <v>54.116696871168706</v>
      </c>
      <c r="C73" s="2">
        <v>65.350000000000009</v>
      </c>
      <c r="D73" s="2">
        <v>65.350000000000009</v>
      </c>
      <c r="E73" s="2">
        <v>65.350000000000009</v>
      </c>
      <c r="F73">
        <v>100</v>
      </c>
      <c r="G73" s="2">
        <v>1.1299999999999999</v>
      </c>
      <c r="H73" s="10">
        <v>1.1299999999999999</v>
      </c>
      <c r="I73">
        <v>1.0994406976744187</v>
      </c>
      <c r="J73" s="2">
        <v>810.51917389380537</v>
      </c>
      <c r="K73" s="2">
        <v>810.51917389380537</v>
      </c>
      <c r="L73">
        <v>860</v>
      </c>
      <c r="M73" s="2">
        <v>1</v>
      </c>
      <c r="N73" s="2">
        <v>1</v>
      </c>
      <c r="O73">
        <v>1</v>
      </c>
      <c r="P73">
        <v>0.4561754341506114</v>
      </c>
      <c r="Q73">
        <v>0.4561754341506114</v>
      </c>
      <c r="R73">
        <v>0.4561754341506114</v>
      </c>
    </row>
    <row r="74" spans="1:18" outlineLevel="1" x14ac:dyDescent="0.25">
      <c r="A74" s="44">
        <v>15</v>
      </c>
      <c r="B74" s="46">
        <f t="shared" si="1"/>
        <v>58.202596630489374</v>
      </c>
      <c r="C74" s="2">
        <v>70.300000000000011</v>
      </c>
      <c r="D74" s="2">
        <v>70.300000000000011</v>
      </c>
      <c r="E74" s="2">
        <v>70.300000000000011</v>
      </c>
      <c r="F74">
        <v>100</v>
      </c>
      <c r="G74" s="2">
        <v>1.1399999999999999</v>
      </c>
      <c r="H74" s="10">
        <v>1.1399999999999999</v>
      </c>
      <c r="I74">
        <v>1.0994406976744187</v>
      </c>
      <c r="J74" s="2">
        <v>807.12268157894744</v>
      </c>
      <c r="K74" s="2">
        <v>807.12268157894744</v>
      </c>
      <c r="L74">
        <v>860</v>
      </c>
      <c r="M74" s="2">
        <v>1</v>
      </c>
      <c r="N74" s="2">
        <v>1</v>
      </c>
      <c r="O74">
        <v>1</v>
      </c>
      <c r="P74">
        <v>0.42186760160464204</v>
      </c>
      <c r="Q74">
        <v>0.42186760160464204</v>
      </c>
      <c r="R74">
        <v>0.42186760160464204</v>
      </c>
    </row>
    <row r="75" spans="1:18" outlineLevel="1" x14ac:dyDescent="0.25">
      <c r="A75" s="44">
        <v>16</v>
      </c>
      <c r="B75" s="46">
        <f t="shared" si="1"/>
        <v>62.288496389810042</v>
      </c>
      <c r="C75" s="2">
        <v>75.250000000000014</v>
      </c>
      <c r="D75" s="2">
        <v>75.25</v>
      </c>
      <c r="E75" s="2">
        <v>75.25</v>
      </c>
      <c r="F75">
        <v>100</v>
      </c>
      <c r="G75" s="2">
        <v>1.1499999999999999</v>
      </c>
      <c r="H75" s="10">
        <v>1.1499999999999999</v>
      </c>
      <c r="I75">
        <v>1.0994406976744187</v>
      </c>
      <c r="J75" s="2">
        <v>803.78525869565226</v>
      </c>
      <c r="K75" s="2">
        <v>803.78525869565226</v>
      </c>
      <c r="L75">
        <v>860</v>
      </c>
      <c r="M75" s="2">
        <v>1</v>
      </c>
      <c r="N75" s="2">
        <v>1</v>
      </c>
      <c r="O75">
        <v>1</v>
      </c>
      <c r="P75">
        <v>0.38852617549746715</v>
      </c>
      <c r="Q75">
        <v>0.38852617549746715</v>
      </c>
      <c r="R75">
        <v>0.38852617549746715</v>
      </c>
    </row>
    <row r="76" spans="1:18" outlineLevel="1" x14ac:dyDescent="0.25">
      <c r="A76" s="44">
        <v>17</v>
      </c>
      <c r="B76" s="46">
        <f t="shared" si="1"/>
        <v>66.374396149130718</v>
      </c>
      <c r="C76" s="2">
        <v>80.200000000000017</v>
      </c>
      <c r="D76" s="2">
        <v>80.200000000000017</v>
      </c>
      <c r="E76" s="2">
        <v>80.200000000000017</v>
      </c>
      <c r="F76">
        <v>100</v>
      </c>
      <c r="G76" s="2">
        <v>1.1599999999999999</v>
      </c>
      <c r="H76" s="10">
        <v>1.1599999999999999</v>
      </c>
      <c r="I76">
        <v>1.0994406976744187</v>
      </c>
      <c r="J76" s="2">
        <v>800.50537758620692</v>
      </c>
      <c r="K76" s="2">
        <v>800.50537758620692</v>
      </c>
      <c r="L76">
        <v>860</v>
      </c>
      <c r="M76" s="2">
        <v>1</v>
      </c>
      <c r="N76" s="2">
        <v>1</v>
      </c>
      <c r="O76">
        <v>1</v>
      </c>
      <c r="P76">
        <v>0.35613387533754409</v>
      </c>
      <c r="Q76">
        <v>0.35613387533754409</v>
      </c>
      <c r="R76">
        <v>0.35613387533754409</v>
      </c>
    </row>
    <row r="77" spans="1:18" outlineLevel="1" x14ac:dyDescent="0.25">
      <c r="A77" s="44">
        <v>18</v>
      </c>
      <c r="B77" s="46">
        <f t="shared" si="1"/>
        <v>70.460295908451386</v>
      </c>
      <c r="C77" s="2">
        <v>85.15000000000002</v>
      </c>
      <c r="D77" s="2">
        <v>85.15</v>
      </c>
      <c r="E77" s="2">
        <v>85.15</v>
      </c>
      <c r="F77">
        <v>100</v>
      </c>
      <c r="G77" s="2">
        <v>1.17</v>
      </c>
      <c r="H77" s="10">
        <v>1.17</v>
      </c>
      <c r="I77">
        <v>1.0994406976744187</v>
      </c>
      <c r="J77" s="2">
        <v>797.28156282051282</v>
      </c>
      <c r="K77" s="2">
        <v>797.28156282051282</v>
      </c>
      <c r="L77">
        <v>860</v>
      </c>
      <c r="M77" s="2">
        <v>1</v>
      </c>
      <c r="N77" s="2">
        <v>1</v>
      </c>
      <c r="O77">
        <v>1</v>
      </c>
      <c r="P77">
        <v>0.32467048938174514</v>
      </c>
      <c r="Q77">
        <v>0.32467048938174514</v>
      </c>
      <c r="R77">
        <v>0.32467048938174514</v>
      </c>
    </row>
    <row r="78" spans="1:18" outlineLevel="1" x14ac:dyDescent="0.25">
      <c r="A78" s="44">
        <v>19</v>
      </c>
      <c r="B78" s="46">
        <f t="shared" si="1"/>
        <v>74.546195667772054</v>
      </c>
      <c r="C78" s="2">
        <v>90.100000000000023</v>
      </c>
      <c r="D78" s="2">
        <v>90.100000000000023</v>
      </c>
      <c r="E78" s="2">
        <v>90.100000000000023</v>
      </c>
      <c r="F78">
        <v>100</v>
      </c>
      <c r="G78" s="2">
        <v>1.18</v>
      </c>
      <c r="H78" s="10">
        <v>1.18</v>
      </c>
      <c r="I78">
        <v>1.0994406976744187</v>
      </c>
      <c r="J78" s="2">
        <v>794.11238898305089</v>
      </c>
      <c r="K78" s="2">
        <v>794.11238898305089</v>
      </c>
      <c r="L78">
        <v>860</v>
      </c>
      <c r="M78" s="2">
        <v>1</v>
      </c>
      <c r="N78" s="2">
        <v>1</v>
      </c>
      <c r="O78">
        <v>1</v>
      </c>
      <c r="P78">
        <v>0.29411370419575616</v>
      </c>
      <c r="Q78">
        <v>0.29411370419575616</v>
      </c>
      <c r="R78">
        <v>0.29411370419575616</v>
      </c>
    </row>
    <row r="79" spans="1:18" outlineLevel="1" x14ac:dyDescent="0.25">
      <c r="A79" s="44">
        <v>20</v>
      </c>
      <c r="B79" s="46">
        <f t="shared" si="1"/>
        <v>78.632095427092722</v>
      </c>
      <c r="C79" s="2">
        <v>95.050000000000026</v>
      </c>
      <c r="D79" s="2">
        <v>95.050000000000026</v>
      </c>
      <c r="E79" s="2">
        <v>95.050000000000026</v>
      </c>
      <c r="F79">
        <v>100</v>
      </c>
      <c r="G79" s="2">
        <v>1.19</v>
      </c>
      <c r="H79" s="10">
        <v>1.19</v>
      </c>
      <c r="I79">
        <v>1.0994406976744187</v>
      </c>
      <c r="J79" s="2">
        <v>790.99647857142861</v>
      </c>
      <c r="K79" s="2">
        <v>790.99647857142861</v>
      </c>
      <c r="L79">
        <v>860</v>
      </c>
      <c r="M79" s="2">
        <v>1</v>
      </c>
      <c r="N79" s="2">
        <v>1</v>
      </c>
      <c r="O79">
        <v>1</v>
      </c>
      <c r="P79">
        <v>0.26443993782302477</v>
      </c>
      <c r="Q79">
        <v>0.26443993782302477</v>
      </c>
      <c r="R79">
        <v>0.26443993782302477</v>
      </c>
    </row>
    <row r="80" spans="1:18" outlineLevel="1" x14ac:dyDescent="0.25">
      <c r="A80" s="44">
        <v>21</v>
      </c>
      <c r="B80" s="47">
        <f>G24</f>
        <v>82.717995186413418</v>
      </c>
      <c r="C80" s="2">
        <v>100</v>
      </c>
      <c r="D80" s="2">
        <v>100</v>
      </c>
      <c r="E80" s="2">
        <v>100</v>
      </c>
      <c r="F80">
        <v>100</v>
      </c>
      <c r="G80" s="2">
        <v>1.2</v>
      </c>
      <c r="H80" s="10">
        <v>1.2</v>
      </c>
      <c r="I80">
        <v>1.0994406976744187</v>
      </c>
      <c r="J80" s="2">
        <v>787.9325</v>
      </c>
      <c r="K80" s="2">
        <v>787.9325</v>
      </c>
      <c r="L80">
        <v>860</v>
      </c>
      <c r="M80" s="2">
        <v>1</v>
      </c>
      <c r="N80" s="2">
        <v>1</v>
      </c>
      <c r="O80">
        <v>1</v>
      </c>
      <c r="P80">
        <v>0.23562516225047231</v>
      </c>
      <c r="Q80">
        <v>0.23562516225047231</v>
      </c>
      <c r="R80">
        <v>0.23562516225047231</v>
      </c>
    </row>
    <row r="81" spans="1:18" outlineLevel="1" x14ac:dyDescent="0.25">
      <c r="A81" s="44">
        <v>22</v>
      </c>
      <c r="B81" s="46">
        <f t="shared" ref="B81:B99" si="2">($B$100-$B$80)/($A$100-$A$80)+B80</f>
        <v>93.582095427092753</v>
      </c>
      <c r="C81" s="2">
        <v>110</v>
      </c>
      <c r="D81" s="2">
        <v>100</v>
      </c>
      <c r="E81" s="2">
        <v>100</v>
      </c>
      <c r="F81">
        <v>100</v>
      </c>
      <c r="G81" s="2">
        <v>1.2</v>
      </c>
      <c r="H81" s="10">
        <v>1.2</v>
      </c>
      <c r="I81">
        <v>1.0994406976744187</v>
      </c>
      <c r="J81" s="2">
        <v>787.9325</v>
      </c>
      <c r="K81" s="2">
        <v>787.9325</v>
      </c>
      <c r="L81">
        <v>860</v>
      </c>
      <c r="M81" s="2">
        <v>1</v>
      </c>
      <c r="N81" s="2">
        <v>1</v>
      </c>
      <c r="O81">
        <v>1</v>
      </c>
      <c r="P81">
        <v>0.17993842919101405</v>
      </c>
      <c r="Q81">
        <v>0.17993842919101405</v>
      </c>
      <c r="R81">
        <v>0.17993842919101405</v>
      </c>
    </row>
    <row r="82" spans="1:18" outlineLevel="1" x14ac:dyDescent="0.25">
      <c r="A82" s="44">
        <v>23</v>
      </c>
      <c r="B82" s="46">
        <f t="shared" si="2"/>
        <v>104.44619566777209</v>
      </c>
      <c r="C82" s="2">
        <v>120</v>
      </c>
      <c r="D82" s="2">
        <v>100</v>
      </c>
      <c r="E82" s="2">
        <v>100</v>
      </c>
      <c r="F82">
        <v>100</v>
      </c>
      <c r="G82" s="2">
        <v>1.2</v>
      </c>
      <c r="H82" s="10">
        <v>1.2</v>
      </c>
      <c r="I82">
        <v>1.0994406976744187</v>
      </c>
      <c r="J82" s="2">
        <v>787.9325</v>
      </c>
      <c r="K82" s="2">
        <v>787.9325</v>
      </c>
      <c r="L82">
        <v>860</v>
      </c>
      <c r="M82" s="2">
        <v>1</v>
      </c>
      <c r="N82" s="2">
        <v>1</v>
      </c>
      <c r="O82">
        <v>1</v>
      </c>
      <c r="P82">
        <v>0.12748550990598875</v>
      </c>
      <c r="Q82">
        <v>0.12748550990598875</v>
      </c>
      <c r="R82">
        <v>0.12748550990598875</v>
      </c>
    </row>
    <row r="83" spans="1:18" outlineLevel="1" x14ac:dyDescent="0.25">
      <c r="A83" s="44">
        <v>24</v>
      </c>
      <c r="B83" s="46">
        <f t="shared" si="2"/>
        <v>115.31029590845142</v>
      </c>
      <c r="C83" s="2">
        <v>130</v>
      </c>
      <c r="D83" s="2">
        <v>100</v>
      </c>
      <c r="E83" s="2">
        <v>100</v>
      </c>
      <c r="F83">
        <v>100</v>
      </c>
      <c r="G83" s="2">
        <v>1.2</v>
      </c>
      <c r="H83" s="10">
        <v>1.2</v>
      </c>
      <c r="I83">
        <v>1.0994406976744187</v>
      </c>
      <c r="J83" s="2">
        <v>787.9325</v>
      </c>
      <c r="K83" s="2">
        <v>787.9325</v>
      </c>
      <c r="L83">
        <v>860</v>
      </c>
      <c r="M83" s="2">
        <v>1</v>
      </c>
      <c r="N83" s="2">
        <v>1</v>
      </c>
      <c r="O83">
        <v>1</v>
      </c>
      <c r="P83">
        <v>7.8132346229612307E-2</v>
      </c>
      <c r="Q83">
        <v>7.8132346229612307E-2</v>
      </c>
      <c r="R83">
        <v>7.8132346229612307E-2</v>
      </c>
    </row>
    <row r="84" spans="1:18" outlineLevel="1" x14ac:dyDescent="0.25">
      <c r="A84" s="44">
        <v>25</v>
      </c>
      <c r="B84" s="46">
        <f t="shared" si="2"/>
        <v>126.17439614913076</v>
      </c>
      <c r="C84" s="2">
        <v>140</v>
      </c>
      <c r="D84" s="2">
        <v>100</v>
      </c>
      <c r="E84" s="2">
        <v>100</v>
      </c>
      <c r="F84">
        <v>100</v>
      </c>
      <c r="G84" s="2">
        <v>1.2</v>
      </c>
      <c r="H84" s="10">
        <v>1.2</v>
      </c>
      <c r="I84">
        <v>1.0994406976744187</v>
      </c>
      <c r="J84" s="2">
        <v>787.9325</v>
      </c>
      <c r="K84" s="2">
        <v>787.9325</v>
      </c>
      <c r="L84">
        <v>860</v>
      </c>
      <c r="M84" s="2">
        <v>1</v>
      </c>
      <c r="N84" s="2">
        <v>1</v>
      </c>
      <c r="O84">
        <v>1</v>
      </c>
      <c r="P84">
        <v>3.180744840624191E-2</v>
      </c>
      <c r="Q84">
        <v>3.180744840624191E-2</v>
      </c>
      <c r="R84">
        <v>3.180744840624191E-2</v>
      </c>
    </row>
    <row r="85" spans="1:18" outlineLevel="1" x14ac:dyDescent="0.25">
      <c r="A85" s="44">
        <v>26</v>
      </c>
      <c r="B85" s="46">
        <f t="shared" si="2"/>
        <v>137.03849638981009</v>
      </c>
      <c r="C85" s="2">
        <v>150</v>
      </c>
      <c r="D85" s="2">
        <v>100</v>
      </c>
      <c r="E85" s="2">
        <v>100</v>
      </c>
      <c r="F85">
        <v>100</v>
      </c>
      <c r="G85" s="2">
        <v>1.2</v>
      </c>
      <c r="H85" s="10">
        <v>1.2</v>
      </c>
      <c r="I85">
        <v>1.0994406976744187</v>
      </c>
      <c r="J85" s="2">
        <v>787.9325</v>
      </c>
      <c r="K85" s="2">
        <v>787.9325</v>
      </c>
      <c r="L85">
        <v>860</v>
      </c>
      <c r="M85" s="2">
        <v>1</v>
      </c>
      <c r="N85" s="2">
        <v>1</v>
      </c>
      <c r="O85">
        <v>1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147.90259663048943</v>
      </c>
      <c r="C86" s="2">
        <v>160</v>
      </c>
      <c r="D86" s="2">
        <v>100</v>
      </c>
      <c r="E86" s="2">
        <v>100</v>
      </c>
      <c r="F86">
        <v>100</v>
      </c>
      <c r="G86" s="2">
        <v>1.2</v>
      </c>
      <c r="H86" s="10">
        <v>1.2</v>
      </c>
      <c r="I86">
        <v>1.0994406976744187</v>
      </c>
      <c r="J86" s="2">
        <v>787.9325</v>
      </c>
      <c r="K86" s="2">
        <v>787.9325</v>
      </c>
      <c r="L86">
        <v>860</v>
      </c>
      <c r="M86" s="2">
        <v>1</v>
      </c>
      <c r="N86" s="2">
        <v>1</v>
      </c>
      <c r="O86">
        <v>1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158.76669687116876</v>
      </c>
      <c r="C87" s="2">
        <v>170</v>
      </c>
      <c r="D87" s="2">
        <v>100</v>
      </c>
      <c r="E87" s="2">
        <v>100</v>
      </c>
      <c r="F87">
        <v>100</v>
      </c>
      <c r="G87" s="2">
        <v>1.2</v>
      </c>
      <c r="H87" s="10">
        <v>1.2</v>
      </c>
      <c r="I87">
        <v>1.0994406976744187</v>
      </c>
      <c r="J87" s="2">
        <v>787.9325</v>
      </c>
      <c r="K87" s="2">
        <v>787.9325</v>
      </c>
      <c r="L87">
        <v>860</v>
      </c>
      <c r="M87" s="2">
        <v>1</v>
      </c>
      <c r="N87" s="2">
        <v>1</v>
      </c>
      <c r="O87">
        <v>1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169.6307971118481</v>
      </c>
      <c r="C88" s="2">
        <v>180</v>
      </c>
      <c r="D88" s="2">
        <v>100</v>
      </c>
      <c r="E88" s="2">
        <v>100</v>
      </c>
      <c r="F88">
        <v>100</v>
      </c>
      <c r="G88" s="2">
        <v>1.2</v>
      </c>
      <c r="H88" s="10">
        <v>1.2</v>
      </c>
      <c r="I88">
        <v>1.0994406976744187</v>
      </c>
      <c r="J88" s="2">
        <v>787.9325</v>
      </c>
      <c r="K88" s="2">
        <v>787.9325</v>
      </c>
      <c r="L88">
        <v>860</v>
      </c>
      <c r="M88" s="2">
        <v>1</v>
      </c>
      <c r="N88" s="2">
        <v>1</v>
      </c>
      <c r="O88">
        <v>1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180.49489735252743</v>
      </c>
      <c r="C89" s="2">
        <v>190</v>
      </c>
      <c r="D89" s="2">
        <v>100</v>
      </c>
      <c r="E89" s="2">
        <v>100</v>
      </c>
      <c r="F89">
        <v>100</v>
      </c>
      <c r="G89" s="2">
        <v>1.2</v>
      </c>
      <c r="H89" s="10">
        <v>1.2</v>
      </c>
      <c r="I89">
        <v>1.0994406976744187</v>
      </c>
      <c r="J89" s="2">
        <v>787.9325</v>
      </c>
      <c r="K89" s="2">
        <v>787.9325</v>
      </c>
      <c r="L89">
        <v>860</v>
      </c>
      <c r="M89" s="2">
        <v>1</v>
      </c>
      <c r="N89" s="2">
        <v>1</v>
      </c>
      <c r="O89">
        <v>1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191.35899759320677</v>
      </c>
      <c r="C90" s="2">
        <v>200</v>
      </c>
      <c r="D90" s="2">
        <v>100</v>
      </c>
      <c r="E90" s="2">
        <v>100</v>
      </c>
      <c r="F90">
        <v>100</v>
      </c>
      <c r="G90" s="2">
        <v>1.2</v>
      </c>
      <c r="H90" s="10">
        <v>1.2</v>
      </c>
      <c r="I90">
        <v>1.0994406976744187</v>
      </c>
      <c r="J90" s="2">
        <v>787.9325</v>
      </c>
      <c r="K90" s="2">
        <v>787.9325</v>
      </c>
      <c r="L90">
        <v>860</v>
      </c>
      <c r="M90" s="2">
        <v>1</v>
      </c>
      <c r="N90" s="2">
        <v>1</v>
      </c>
      <c r="O90">
        <v>1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202.2230978338861</v>
      </c>
      <c r="C91" s="2">
        <v>210</v>
      </c>
      <c r="D91" s="2">
        <v>100</v>
      </c>
      <c r="E91" s="2">
        <v>100</v>
      </c>
      <c r="F91">
        <v>100</v>
      </c>
      <c r="G91" s="2">
        <v>1.2</v>
      </c>
      <c r="H91" s="10">
        <v>1.2</v>
      </c>
      <c r="I91">
        <v>1.0994406976744187</v>
      </c>
      <c r="J91" s="2">
        <v>787.9325</v>
      </c>
      <c r="K91" s="2">
        <v>787.9325</v>
      </c>
      <c r="L91">
        <v>860</v>
      </c>
      <c r="M91" s="2">
        <v>1</v>
      </c>
      <c r="N91" s="2">
        <v>1</v>
      </c>
      <c r="O91">
        <v>1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213.08719807456544</v>
      </c>
      <c r="C92" s="2">
        <v>220</v>
      </c>
      <c r="D92" s="2">
        <v>100</v>
      </c>
      <c r="E92" s="2">
        <v>100</v>
      </c>
      <c r="F92">
        <v>100</v>
      </c>
      <c r="G92" s="2">
        <v>1.2</v>
      </c>
      <c r="H92" s="10">
        <v>1.2</v>
      </c>
      <c r="I92">
        <v>1.0994406976744187</v>
      </c>
      <c r="J92" s="2">
        <v>787.9325</v>
      </c>
      <c r="K92" s="2">
        <v>787.9325</v>
      </c>
      <c r="L92">
        <v>860</v>
      </c>
      <c r="M92" s="2">
        <v>1</v>
      </c>
      <c r="N92" s="2">
        <v>1</v>
      </c>
      <c r="O92">
        <v>1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223.95129831524477</v>
      </c>
      <c r="C93" s="2">
        <v>230</v>
      </c>
      <c r="D93" s="2">
        <v>100</v>
      </c>
      <c r="E93" s="2">
        <v>100</v>
      </c>
      <c r="F93">
        <v>100</v>
      </c>
      <c r="G93" s="2">
        <v>1.2</v>
      </c>
      <c r="H93" s="10">
        <v>1.2</v>
      </c>
      <c r="I93">
        <v>1.0994406976744187</v>
      </c>
      <c r="J93" s="2">
        <v>787.9325</v>
      </c>
      <c r="K93" s="2">
        <v>787.9325</v>
      </c>
      <c r="L93">
        <v>860</v>
      </c>
      <c r="M93" s="2">
        <v>1</v>
      </c>
      <c r="N93" s="2">
        <v>1</v>
      </c>
      <c r="O93">
        <v>1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234.81539855592411</v>
      </c>
      <c r="C94" s="2">
        <v>240</v>
      </c>
      <c r="D94" s="2">
        <v>100</v>
      </c>
      <c r="E94" s="2">
        <v>100</v>
      </c>
      <c r="F94">
        <v>100</v>
      </c>
      <c r="G94" s="2">
        <v>1.2</v>
      </c>
      <c r="H94" s="10">
        <v>1.2</v>
      </c>
      <c r="I94">
        <v>1.0994406976744187</v>
      </c>
      <c r="J94" s="2">
        <v>787.9325</v>
      </c>
      <c r="K94" s="2">
        <v>787.9325</v>
      </c>
      <c r="L94">
        <v>860</v>
      </c>
      <c r="M94" s="2">
        <v>1</v>
      </c>
      <c r="N94" s="2">
        <v>1</v>
      </c>
      <c r="O94">
        <v>1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245.67949879660344</v>
      </c>
      <c r="C95" s="2">
        <v>250</v>
      </c>
      <c r="D95" s="2">
        <v>100</v>
      </c>
      <c r="E95" s="2">
        <v>100</v>
      </c>
      <c r="F95">
        <v>100</v>
      </c>
      <c r="G95" s="2">
        <v>1.2</v>
      </c>
      <c r="H95" s="10">
        <v>1.2</v>
      </c>
      <c r="I95">
        <v>1.0994406976744187</v>
      </c>
      <c r="J95" s="2">
        <v>787.9325</v>
      </c>
      <c r="K95" s="2">
        <v>787.9325</v>
      </c>
      <c r="L95">
        <v>860</v>
      </c>
      <c r="M95" s="2">
        <v>1</v>
      </c>
      <c r="N95" s="2">
        <v>1</v>
      </c>
      <c r="O95">
        <v>1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256.54359903728277</v>
      </c>
      <c r="C96" s="2">
        <v>260</v>
      </c>
      <c r="D96" s="2">
        <v>100</v>
      </c>
      <c r="E96" s="2">
        <v>100</v>
      </c>
      <c r="F96">
        <v>100</v>
      </c>
      <c r="G96" s="2">
        <v>1.2</v>
      </c>
      <c r="H96" s="10">
        <v>1.2</v>
      </c>
      <c r="I96">
        <v>1.0994406976744187</v>
      </c>
      <c r="J96" s="2">
        <v>787.9325</v>
      </c>
      <c r="K96" s="2">
        <v>787.9325</v>
      </c>
      <c r="L96">
        <v>860</v>
      </c>
      <c r="M96" s="2">
        <v>1</v>
      </c>
      <c r="N96" s="2">
        <v>1</v>
      </c>
      <c r="O96">
        <v>1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267.40769927796208</v>
      </c>
      <c r="C97" s="2">
        <v>270</v>
      </c>
      <c r="D97" s="2">
        <v>100</v>
      </c>
      <c r="E97" s="2">
        <v>100</v>
      </c>
      <c r="F97">
        <v>100</v>
      </c>
      <c r="G97" s="2">
        <v>1.2</v>
      </c>
      <c r="H97" s="10">
        <v>1.2</v>
      </c>
      <c r="I97">
        <v>1.0994406976744187</v>
      </c>
      <c r="J97" s="2">
        <v>787.9325</v>
      </c>
      <c r="K97" s="2">
        <v>787.9325</v>
      </c>
      <c r="L97">
        <v>860</v>
      </c>
      <c r="M97" s="2">
        <v>1</v>
      </c>
      <c r="N97" s="2">
        <v>1</v>
      </c>
      <c r="O97">
        <v>1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278.27179951864139</v>
      </c>
      <c r="C98" s="2">
        <v>280</v>
      </c>
      <c r="D98" s="2">
        <v>100</v>
      </c>
      <c r="E98" s="2">
        <v>100</v>
      </c>
      <c r="F98">
        <v>100</v>
      </c>
      <c r="G98" s="2">
        <v>1.2</v>
      </c>
      <c r="H98" s="10">
        <v>1.2</v>
      </c>
      <c r="I98">
        <v>1.0994406976744187</v>
      </c>
      <c r="J98" s="2">
        <v>787.9325</v>
      </c>
      <c r="K98" s="2">
        <v>787.9325</v>
      </c>
      <c r="L98">
        <v>860</v>
      </c>
      <c r="M98" s="2">
        <v>1</v>
      </c>
      <c r="N98" s="2">
        <v>1</v>
      </c>
      <c r="O98">
        <v>1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289.13589975932069</v>
      </c>
      <c r="C99" s="2">
        <v>290</v>
      </c>
      <c r="D99" s="2">
        <v>100</v>
      </c>
      <c r="E99" s="2">
        <v>100</v>
      </c>
      <c r="F99">
        <v>100</v>
      </c>
      <c r="G99" s="2">
        <v>1.2</v>
      </c>
      <c r="H99" s="10">
        <v>1.2</v>
      </c>
      <c r="I99">
        <v>1.0994406976744187</v>
      </c>
      <c r="J99" s="2">
        <v>787.9325</v>
      </c>
      <c r="K99" s="2">
        <v>787.9325</v>
      </c>
      <c r="L99">
        <v>860</v>
      </c>
      <c r="M99" s="2">
        <v>1</v>
      </c>
      <c r="N99" s="2">
        <v>1</v>
      </c>
      <c r="O99">
        <v>1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1.2</v>
      </c>
      <c r="H100" s="10">
        <v>1.2</v>
      </c>
      <c r="I100">
        <v>1.0994406976744187</v>
      </c>
      <c r="J100" s="2">
        <v>787.9325</v>
      </c>
      <c r="K100" s="2">
        <v>787.9325</v>
      </c>
      <c r="L100">
        <v>860</v>
      </c>
      <c r="M100" s="2">
        <v>1</v>
      </c>
      <c r="N100" s="2">
        <v>1</v>
      </c>
      <c r="O100">
        <v>1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1" sqref="M21"/>
    </sheetView>
  </sheetViews>
  <sheetFormatPr defaultRowHeight="15" x14ac:dyDescent="0.25"/>
  <sheetData>
    <row r="1" spans="1:16" x14ac:dyDescent="0.25">
      <c r="A1" t="str">
        <f>версия_</f>
        <v>вер 7.7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L3" sqref="L3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7.7</v>
      </c>
    </row>
    <row r="4" spans="1:11" x14ac:dyDescent="0.25">
      <c r="B4" s="51" t="s">
        <v>176</v>
      </c>
      <c r="C4" s="52">
        <v>80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 t="e">
        <f ca="1">[1]!ESP_IDbyRate(ESP_rate_nom_)</f>
        <v>#NAME?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 ca="1">[1]!ESP_name(ESP_ID_)</f>
        <v>-1</v>
      </c>
      <c r="D8" s="51"/>
      <c r="G8">
        <v>1</v>
      </c>
      <c r="H8" s="54">
        <v>1</v>
      </c>
      <c r="I8" s="50">
        <v>1079.0831725325882</v>
      </c>
      <c r="J8" s="50">
        <v>10.029614120376623</v>
      </c>
      <c r="K8" s="56">
        <v>7.6419950830696609E-3</v>
      </c>
    </row>
    <row r="9" spans="1:11" x14ac:dyDescent="0.25">
      <c r="B9" s="51" t="s">
        <v>184</v>
      </c>
      <c r="C9" s="53" t="e">
        <f ca="1">[1]!esp_maxRate_m3day(ESP_freq_,ESP_ID_)*1</f>
        <v>#NAME?</v>
      </c>
      <c r="D9" s="51"/>
      <c r="G9">
        <v>2</v>
      </c>
      <c r="H9" s="55" t="e">
        <f t="shared" ref="H9:H29" ca="1" si="0">(ESP_qmax_)/(pts_-1)+H8</f>
        <v>#NAME?</v>
      </c>
      <c r="I9" s="50">
        <v>1078.7767566335126</v>
      </c>
      <c r="J9" s="50">
        <v>10.320639703745014</v>
      </c>
      <c r="K9" s="56">
        <v>6.3039410357469239E-2</v>
      </c>
    </row>
    <row r="10" spans="1:11" x14ac:dyDescent="0.25">
      <c r="B10" s="51" t="s">
        <v>185</v>
      </c>
      <c r="C10" s="53">
        <f ca="1">INT(ESP_head_nom_/[1]!ESP_head_m(ESP_rate_nom_,1,,ESP_ID_))</f>
        <v>-2000</v>
      </c>
      <c r="D10" s="51" t="s">
        <v>186</v>
      </c>
      <c r="G10">
        <v>3</v>
      </c>
      <c r="H10" s="55" t="e">
        <f t="shared" ca="1" si="0"/>
        <v>#NAME?</v>
      </c>
      <c r="I10" s="50">
        <v>1085.220757873099</v>
      </c>
      <c r="J10" s="50">
        <v>10.505732346743628</v>
      </c>
      <c r="K10" s="56">
        <v>0.13179385535511876</v>
      </c>
    </row>
    <row r="11" spans="1:11" x14ac:dyDescent="0.25">
      <c r="G11">
        <v>4</v>
      </c>
      <c r="H11" s="55" t="e">
        <f t="shared" ca="1" si="0"/>
        <v>#NAME?</v>
      </c>
      <c r="I11" s="50">
        <v>1092.9964512878312</v>
      </c>
      <c r="J11" s="50">
        <v>10.62359411345555</v>
      </c>
      <c r="K11" s="56">
        <v>0.20684404492575748</v>
      </c>
    </row>
    <row r="12" spans="1:11" x14ac:dyDescent="0.25">
      <c r="G12">
        <v>5</v>
      </c>
      <c r="H12" s="55" t="e">
        <f t="shared" ca="1" si="0"/>
        <v>#NAME?</v>
      </c>
      <c r="I12" s="50">
        <v>1097.8608906627917</v>
      </c>
      <c r="J12" s="50">
        <v>10.705995645589445</v>
      </c>
      <c r="K12" s="56">
        <v>0.28238958758387067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 t="e">
        <f t="shared" ca="1" si="0"/>
        <v>#NAME?</v>
      </c>
      <c r="I13" s="50">
        <v>1096.6319138567881</v>
      </c>
      <c r="J13" s="50">
        <v>10.778378098696951</v>
      </c>
      <c r="K13" s="56">
        <v>0.3537854579483623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 t="e">
        <f t="shared" ca="1" si="0"/>
        <v>#NAME?</v>
      </c>
      <c r="I14" s="50">
        <v>1087.073148127475</v>
      </c>
      <c r="J14" s="50">
        <v>10.860455078390027</v>
      </c>
      <c r="K14" s="56">
        <v>0.4174364691822256</v>
      </c>
    </row>
    <row r="15" spans="1:11" x14ac:dyDescent="0.25">
      <c r="G15">
        <v>8</v>
      </c>
      <c r="H15" s="55" t="e">
        <f t="shared" ca="1" si="0"/>
        <v>#NAME?</v>
      </c>
      <c r="I15" s="50">
        <v>1067.7790154564816</v>
      </c>
      <c r="J15" s="50">
        <v>10.966814576558331</v>
      </c>
      <c r="K15" s="56">
        <v>0.47069174543221609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 t="e">
        <f t="shared" ca="1" si="0"/>
        <v>#NAME?</v>
      </c>
      <c r="I16" s="50">
        <v>1038.059737874534</v>
      </c>
      <c r="J16" s="50">
        <v>11.107520907586588</v>
      </c>
      <c r="K16" s="56">
        <v>0.5117391942685231</v>
      </c>
    </row>
    <row r="17" spans="7:11" x14ac:dyDescent="0.25">
      <c r="G17">
        <v>10</v>
      </c>
      <c r="H17" s="55" t="e">
        <f t="shared" ca="1" si="0"/>
        <v>#NAME?</v>
      </c>
      <c r="I17" s="50">
        <v>997.82634278658088</v>
      </c>
      <c r="J17" s="50">
        <v>11.288716644571958</v>
      </c>
      <c r="K17" s="56">
        <v>0.53949997912444025</v>
      </c>
    </row>
    <row r="18" spans="7:11" x14ac:dyDescent="0.25">
      <c r="G18">
        <v>11</v>
      </c>
      <c r="H18" s="55" t="e">
        <f t="shared" ca="1" si="0"/>
        <v>#NAME?</v>
      </c>
      <c r="I18" s="50">
        <v>947.47566829691891</v>
      </c>
      <c r="J18" s="50">
        <v>11.513224555541404</v>
      </c>
      <c r="K18" s="56">
        <v>0.55352299173604014</v>
      </c>
    </row>
    <row r="19" spans="7:11" x14ac:dyDescent="0.25">
      <c r="G19">
        <v>12</v>
      </c>
      <c r="H19" s="55" t="e">
        <f t="shared" ca="1" si="0"/>
        <v>#NAME?</v>
      </c>
      <c r="I19" s="50">
        <v>887.77536853431502</v>
      </c>
      <c r="J19" s="50">
        <v>11.78114953966907</v>
      </c>
      <c r="K19" s="56">
        <v>0.55387932458184386</v>
      </c>
    </row>
    <row r="20" spans="7:11" x14ac:dyDescent="0.25">
      <c r="G20">
        <v>13</v>
      </c>
      <c r="H20" s="55" t="e">
        <f t="shared" ca="1" si="0"/>
        <v>#NAME?</v>
      </c>
      <c r="I20" s="50">
        <v>819.74891897713496</v>
      </c>
      <c r="J20" s="50">
        <v>12.090480563493632</v>
      </c>
      <c r="K20" s="56">
        <v>0.54105674332249287</v>
      </c>
    </row>
    <row r="21" spans="7:11" x14ac:dyDescent="0.25">
      <c r="G21">
        <v>14</v>
      </c>
      <c r="H21" s="55" t="e">
        <f t="shared" ca="1" si="0"/>
        <v>#NAME?</v>
      </c>
      <c r="I21" s="50">
        <v>744.5606217784632</v>
      </c>
      <c r="J21" s="50">
        <v>12.437692597135685</v>
      </c>
      <c r="K21" s="56">
        <v>0.51585415924042133</v>
      </c>
    </row>
    <row r="22" spans="7:11" x14ac:dyDescent="0.25">
      <c r="G22">
        <v>15</v>
      </c>
      <c r="H22" s="55" t="e">
        <f t="shared" ca="1" si="0"/>
        <v>#NAME?</v>
      </c>
      <c r="I22" s="50">
        <v>663.40061109123053</v>
      </c>
      <c r="J22" s="50">
        <v>12.818348550515113</v>
      </c>
      <c r="K22" s="56">
        <v>0.47927610167952894</v>
      </c>
    </row>
    <row r="23" spans="7:11" x14ac:dyDescent="0.25">
      <c r="G23">
        <v>16</v>
      </c>
      <c r="H23" s="55" t="e">
        <f t="shared" ca="1" si="0"/>
        <v>#NAME?</v>
      </c>
      <c r="I23" s="50">
        <v>577.36985839334136</v>
      </c>
      <c r="J23" s="50">
        <v>13.227701209568421</v>
      </c>
      <c r="K23" s="56">
        <v>0.43242719048485301</v>
      </c>
    </row>
    <row r="24" spans="7:11" x14ac:dyDescent="0.25">
      <c r="G24">
        <v>17</v>
      </c>
      <c r="H24" s="55" t="e">
        <f t="shared" ca="1" si="0"/>
        <v>#NAME?</v>
      </c>
      <c r="I24" s="50">
        <v>487.36517781279076</v>
      </c>
      <c r="J24" s="50">
        <v>13.661295172466161</v>
      </c>
      <c r="K24" s="56">
        <v>0.3764066084422365</v>
      </c>
    </row>
    <row r="25" spans="7:11" x14ac:dyDescent="0.25">
      <c r="G25">
        <v>18</v>
      </c>
      <c r="H25" s="55" t="e">
        <f t="shared" ca="1" si="0"/>
        <v>#NAME?</v>
      </c>
      <c r="I25" s="50">
        <v>393.96423145279613</v>
      </c>
      <c r="J25" s="50">
        <v>14.11556878583027</v>
      </c>
      <c r="K25" s="56">
        <v>0.3122025737180032</v>
      </c>
    </row>
    <row r="26" spans="7:11" x14ac:dyDescent="0.25">
      <c r="G26">
        <v>19</v>
      </c>
      <c r="H26" s="55" t="e">
        <f t="shared" ca="1" si="0"/>
        <v>#NAME?</v>
      </c>
      <c r="I26" s="50">
        <v>297.31053471691985</v>
      </c>
      <c r="J26" s="50">
        <v>14.588456080951415</v>
      </c>
      <c r="K26" s="56">
        <v>0.24058681229863366</v>
      </c>
    </row>
    <row r="27" spans="7:11" x14ac:dyDescent="0.25">
      <c r="G27">
        <v>20</v>
      </c>
      <c r="H27" s="55" t="e">
        <f t="shared" ca="1" si="0"/>
        <v>#NAME?</v>
      </c>
      <c r="I27" s="50">
        <v>196.99846163419016</v>
      </c>
      <c r="J27" s="50">
        <v>15.079988710006425</v>
      </c>
      <c r="K27" s="56">
        <v>0.16200903043041937</v>
      </c>
    </row>
    <row r="28" spans="7:11" x14ac:dyDescent="0.25">
      <c r="G28">
        <v>21</v>
      </c>
      <c r="H28" s="55" t="e">
        <f t="shared" ca="1" si="0"/>
        <v>#NAME?</v>
      </c>
      <c r="I28" s="50">
        <v>91.958250184236846</v>
      </c>
      <c r="J28" s="50">
        <v>15.592897882275597</v>
      </c>
      <c r="K28" s="56">
        <v>7.6491387059163696E-2</v>
      </c>
    </row>
    <row r="29" spans="7:11" x14ac:dyDescent="0.25">
      <c r="G29">
        <v>22</v>
      </c>
      <c r="H29" s="55" t="e">
        <f t="shared" ca="1" si="0"/>
        <v>#NAME?</v>
      </c>
      <c r="I29" s="50">
        <v>0</v>
      </c>
      <c r="J29" s="50">
        <v>16.038267350690319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E43" sqref="E43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">
        <v>217</v>
      </c>
    </row>
    <row r="3" spans="1:4" x14ac:dyDescent="0.25">
      <c r="B3" t="s">
        <v>207</v>
      </c>
    </row>
    <row r="5" spans="1:4" x14ac:dyDescent="0.25">
      <c r="B5" t="s">
        <v>208</v>
      </c>
      <c r="C5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90" zoomScaleNormal="90" workbookViewId="0">
      <selection activeCell="AE23" sqref="AE23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7" x14ac:dyDescent="0.25">
      <c r="A1" t="str">
        <f>версия_</f>
        <v>вер 7.7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X2" s="58"/>
      <c r="Y2" s="58" t="s">
        <v>151</v>
      </c>
      <c r="Z2" s="58"/>
      <c r="AA2" s="58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X3" s="58">
        <v>1</v>
      </c>
      <c r="Y3" s="58" t="s">
        <v>143</v>
      </c>
      <c r="Z3" s="58"/>
      <c r="AA3" s="58"/>
      <c r="AB3" s="58">
        <v>2</v>
      </c>
      <c r="AC3" s="58" t="s">
        <v>145</v>
      </c>
      <c r="AD3" s="58"/>
      <c r="AE3" s="58"/>
      <c r="AF3" s="58"/>
      <c r="AG3" s="58">
        <v>1</v>
      </c>
      <c r="AH3" s="58" t="s">
        <v>160</v>
      </c>
      <c r="AI3" s="58"/>
      <c r="AJ3" s="58"/>
      <c r="AK3" s="58"/>
    </row>
    <row r="4" spans="1:37" x14ac:dyDescent="0.25"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 t="s">
        <v>63</v>
      </c>
      <c r="D8" s="5" t="s">
        <v>35</v>
      </c>
      <c r="Q8" s="14" t="s">
        <v>47</v>
      </c>
      <c r="R8" s="9">
        <v>90</v>
      </c>
      <c r="S8" s="5" t="s">
        <v>204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9">
        <v>100</v>
      </c>
      <c r="D9" s="5" t="s">
        <v>17</v>
      </c>
      <c r="Q9" s="14" t="s">
        <v>197</v>
      </c>
      <c r="R9" s="9">
        <v>45</v>
      </c>
      <c r="S9" s="5" t="s">
        <v>204</v>
      </c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</row>
    <row r="11" spans="1:37" ht="18" x14ac:dyDescent="0.35">
      <c r="Q11" s="14" t="s">
        <v>205</v>
      </c>
      <c r="R11" s="25">
        <v>45</v>
      </c>
      <c r="S11" s="5" t="s">
        <v>204</v>
      </c>
      <c r="T11" s="14" t="s">
        <v>55</v>
      </c>
      <c r="U11" s="25">
        <v>30</v>
      </c>
      <c r="V11" s="5" t="s">
        <v>25</v>
      </c>
    </row>
    <row r="12" spans="1:37" ht="18" x14ac:dyDescent="0.35">
      <c r="Q12" s="14" t="s">
        <v>206</v>
      </c>
      <c r="R12" s="25">
        <v>45.073299407958984</v>
      </c>
      <c r="S12" s="5" t="s">
        <v>204</v>
      </c>
      <c r="T12" s="14" t="s">
        <v>56</v>
      </c>
      <c r="U12" s="25">
        <v>30</v>
      </c>
      <c r="V12" s="5" t="s">
        <v>25</v>
      </c>
    </row>
    <row r="13" spans="1:37" ht="18" x14ac:dyDescent="0.35">
      <c r="D13" s="1"/>
      <c r="Q13" s="14" t="s">
        <v>47</v>
      </c>
      <c r="R13" s="25">
        <v>160.03668578620261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45.073299407958984</v>
      </c>
      <c r="P16">
        <v>0</v>
      </c>
      <c r="Q16">
        <v>30</v>
      </c>
      <c r="R16">
        <v>0</v>
      </c>
      <c r="S16">
        <v>0.80316057558179288</v>
      </c>
      <c r="U16">
        <v>0</v>
      </c>
      <c r="V16" s="50">
        <f>Pline_out_atma_</f>
        <v>45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33.333333333333336</v>
      </c>
      <c r="N17">
        <v>194.44444444444446</v>
      </c>
      <c r="O17">
        <v>59.246860329131835</v>
      </c>
      <c r="P17">
        <v>194.44444444444446</v>
      </c>
      <c r="Q17">
        <v>33.333333333333336</v>
      </c>
      <c r="R17">
        <v>175</v>
      </c>
      <c r="S17">
        <v>0.88196132364168367</v>
      </c>
      <c r="U17">
        <v>0</v>
      </c>
      <c r="V17" s="50">
        <f>Pbuf_out_atma_</f>
        <v>45.073299407958984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36.666666666666671</v>
      </c>
      <c r="N18">
        <v>388.88888888888891</v>
      </c>
      <c r="O18">
        <v>74.232210767456252</v>
      </c>
      <c r="P18">
        <v>388.88888888888891</v>
      </c>
      <c r="Q18">
        <v>36.666666666666671</v>
      </c>
      <c r="R18">
        <v>350</v>
      </c>
      <c r="S18">
        <v>0.94504731122751795</v>
      </c>
      <c r="U18">
        <f>Hperf_m_</f>
        <v>3500</v>
      </c>
      <c r="V18" s="50">
        <f>Pwf_out_atma_</f>
        <v>160.03668578620261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40</v>
      </c>
      <c r="N19">
        <v>583.33333333333337</v>
      </c>
      <c r="O19">
        <v>89.67044938262157</v>
      </c>
      <c r="P19">
        <v>583.33333333333337</v>
      </c>
      <c r="Q19">
        <v>40</v>
      </c>
      <c r="R19">
        <v>525</v>
      </c>
      <c r="S19">
        <v>0.9903900672591337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43.333333333333336</v>
      </c>
      <c r="N20">
        <v>777.77777777777783</v>
      </c>
      <c r="O20">
        <v>105.22295283261492</v>
      </c>
      <c r="P20">
        <v>777.77777777777783</v>
      </c>
      <c r="Q20">
        <v>43.333333333333336</v>
      </c>
      <c r="R20">
        <v>700</v>
      </c>
      <c r="S20">
        <v>1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46.666666666666664</v>
      </c>
      <c r="N21">
        <v>972.22222222222229</v>
      </c>
      <c r="O21">
        <v>120.70237937904704</v>
      </c>
      <c r="P21">
        <v>972.22222222222229</v>
      </c>
      <c r="Q21">
        <v>46.666666666666664</v>
      </c>
      <c r="R21">
        <v>875</v>
      </c>
      <c r="S21">
        <v>1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50</v>
      </c>
      <c r="N22">
        <v>1166.6666666666667</v>
      </c>
      <c r="O22">
        <v>135.54498787690332</v>
      </c>
      <c r="P22">
        <v>1166.6666666666667</v>
      </c>
      <c r="Q22">
        <v>50</v>
      </c>
      <c r="R22">
        <v>1050</v>
      </c>
      <c r="S22">
        <v>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53.333333333333336</v>
      </c>
      <c r="N23">
        <v>1361.1111111111113</v>
      </c>
      <c r="O23">
        <v>149.79673972299454</v>
      </c>
      <c r="P23">
        <v>1361.1111111111113</v>
      </c>
      <c r="Q23">
        <v>53.333333333333336</v>
      </c>
      <c r="R23">
        <v>1225</v>
      </c>
      <c r="S23">
        <v>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56.666666666666671</v>
      </c>
      <c r="N24">
        <v>1555.5555555555557</v>
      </c>
      <c r="O24">
        <v>163.42722466713471</v>
      </c>
      <c r="P24">
        <v>1555.5555555555557</v>
      </c>
      <c r="Q24">
        <v>56.666666666666671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60</v>
      </c>
      <c r="N25">
        <v>1750</v>
      </c>
      <c r="O25">
        <v>176.43552651162508</v>
      </c>
      <c r="P25">
        <v>1750</v>
      </c>
      <c r="Q25">
        <v>60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63.333333333333336</v>
      </c>
      <c r="N26">
        <v>1944.4444444444446</v>
      </c>
      <c r="O26">
        <v>188.82153300329225</v>
      </c>
      <c r="P26">
        <v>1944.4444444444446</v>
      </c>
      <c r="Q26">
        <v>63.333333333333336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66.666666666666671</v>
      </c>
      <c r="N27">
        <v>2138.8888888888891</v>
      </c>
      <c r="O27">
        <v>200.58579326561684</v>
      </c>
      <c r="P27">
        <v>2138.8888888888891</v>
      </c>
      <c r="Q27">
        <v>66.666666666666671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70</v>
      </c>
      <c r="N28">
        <v>2333.3333333333335</v>
      </c>
      <c r="O28">
        <v>211.72935059069442</v>
      </c>
      <c r="P28">
        <v>2333.3333333333335</v>
      </c>
      <c r="Q28">
        <v>70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72.857142857142861</v>
      </c>
      <c r="N29">
        <v>2500</v>
      </c>
      <c r="O29">
        <v>220.80468955826063</v>
      </c>
      <c r="P29">
        <v>2500</v>
      </c>
      <c r="Q29">
        <v>72.857142857142861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72.874285714285719</v>
      </c>
      <c r="N30">
        <v>2501</v>
      </c>
      <c r="O30">
        <v>142.28655369204679</v>
      </c>
      <c r="P30">
        <v>2501</v>
      </c>
      <c r="Q30">
        <v>72.874285714285719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73.333333333333343</v>
      </c>
      <c r="N31">
        <v>2527.7777777777778</v>
      </c>
      <c r="O31">
        <v>143.66972871542228</v>
      </c>
      <c r="P31">
        <v>2527.7777777777778</v>
      </c>
      <c r="Q31">
        <v>73.333333333333343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76.666666666666686</v>
      </c>
      <c r="N32">
        <v>2722.2222222222226</v>
      </c>
      <c r="O32">
        <v>153.0610248711493</v>
      </c>
      <c r="P32">
        <v>2722.2222222222226</v>
      </c>
      <c r="Q32">
        <v>76.666666666666686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80.000000000000014</v>
      </c>
      <c r="N33">
        <v>2916.666666666667</v>
      </c>
      <c r="O33">
        <v>156.08958563658408</v>
      </c>
      <c r="P33">
        <v>2916.666666666667</v>
      </c>
      <c r="Q33">
        <v>80.000000000000014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83.333333333333329</v>
      </c>
      <c r="N34">
        <v>3111.1111111111113</v>
      </c>
      <c r="O34">
        <v>157.40907246880903</v>
      </c>
      <c r="P34">
        <v>3111.1111111111113</v>
      </c>
      <c r="Q34">
        <v>83.333333333333329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86.666666666666671</v>
      </c>
      <c r="N35">
        <v>3305.5555555555557</v>
      </c>
      <c r="O35">
        <v>158.72477248409859</v>
      </c>
      <c r="P35">
        <v>3305.5555555555557</v>
      </c>
      <c r="Q35">
        <v>86.666666666666671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160.03668578620261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B38" s="2"/>
      <c r="C38" s="18">
        <v>2625</v>
      </c>
      <c r="D38" s="18">
        <v>186.511102757185</v>
      </c>
      <c r="E38" s="18">
        <v>54</v>
      </c>
    </row>
    <row r="39" spans="2:19" x14ac:dyDescent="0.25">
      <c r="B39" s="2"/>
      <c r="C39" s="18">
        <v>2750</v>
      </c>
      <c r="D39" s="18">
        <v>196.298712131494</v>
      </c>
      <c r="E39" s="18">
        <v>55</v>
      </c>
    </row>
    <row r="40" spans="2:19" x14ac:dyDescent="0.25">
      <c r="B40" s="2"/>
      <c r="C40" s="18">
        <v>2875</v>
      </c>
      <c r="D40" s="18">
        <v>206.08632150580399</v>
      </c>
      <c r="E40" s="18">
        <v>56</v>
      </c>
    </row>
    <row r="41" spans="2:19" x14ac:dyDescent="0.25">
      <c r="B41" s="2"/>
      <c r="C41" s="18">
        <v>3000</v>
      </c>
      <c r="D41" s="18">
        <v>215.87393088011299</v>
      </c>
      <c r="E41" s="18">
        <v>57</v>
      </c>
    </row>
    <row r="42" spans="2:19" x14ac:dyDescent="0.25">
      <c r="B42" s="2"/>
      <c r="C42" s="18">
        <v>3125</v>
      </c>
      <c r="D42" s="18">
        <v>225.66154025442199</v>
      </c>
      <c r="E42" s="18">
        <v>58</v>
      </c>
    </row>
    <row r="43" spans="2:19" x14ac:dyDescent="0.25">
      <c r="B43" s="2"/>
      <c r="C43" s="18">
        <v>3250</v>
      </c>
      <c r="D43" s="18">
        <v>235.44914962873099</v>
      </c>
      <c r="E43" s="18">
        <v>59</v>
      </c>
    </row>
    <row r="44" spans="2:19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90" zoomScaleNormal="90" workbookViewId="0">
      <selection activeCell="M11" sqref="M1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">
        <v>217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X2" s="58"/>
      <c r="Y2" s="58" t="s">
        <v>151</v>
      </c>
      <c r="Z2" s="58"/>
      <c r="AA2" s="58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  <c r="AL2" s="58"/>
      <c r="AM2" s="58"/>
      <c r="AN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180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150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f>Rp_m3m3_/[2]PVT!gamma_oil_</f>
        <v>125</v>
      </c>
      <c r="D10" s="5" t="s">
        <v>36</v>
      </c>
      <c r="P10" s="57" t="s">
        <v>45</v>
      </c>
      <c r="Q10" s="25">
        <v>50.010292088439833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000.26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0</v>
      </c>
      <c r="P11" s="57" t="s">
        <v>46</v>
      </c>
      <c r="Q11" s="25">
        <v>50.010292088439833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230.72821252816129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50.010292088439833</v>
      </c>
      <c r="P16">
        <v>0</v>
      </c>
      <c r="Q16">
        <v>20.000000000000004</v>
      </c>
      <c r="T16">
        <v>0</v>
      </c>
      <c r="U16">
        <v>0.9833573968458168</v>
      </c>
      <c r="W16">
        <v>0</v>
      </c>
      <c r="X16" s="50">
        <f>Pline_out_atma_</f>
        <v>50.010292088439833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63.94791187821167</v>
      </c>
      <c r="P17">
        <v>184.21052631578948</v>
      </c>
      <c r="Q17">
        <v>25.526315789473689</v>
      </c>
      <c r="T17">
        <v>175</v>
      </c>
      <c r="U17">
        <v>0.98878683672859569</v>
      </c>
      <c r="W17">
        <v>0</v>
      </c>
      <c r="X17" s="50">
        <f>Pbuf_out_atma_</f>
        <v>50.010292088439833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77.747148126448423</v>
      </c>
      <c r="P18">
        <v>368.42105263157896</v>
      </c>
      <c r="Q18">
        <v>31.05263157894737</v>
      </c>
      <c r="T18">
        <v>350</v>
      </c>
      <c r="U18">
        <v>0.99679948131597573</v>
      </c>
      <c r="W18">
        <v>3500</v>
      </c>
      <c r="X18" s="50">
        <f>Pwf_out_atma_</f>
        <v>230.72821252816129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91.47569268959181</v>
      </c>
      <c r="P19">
        <v>552.63157894736844</v>
      </c>
      <c r="Q19">
        <v>36.578947368421055</v>
      </c>
      <c r="T19">
        <v>525</v>
      </c>
      <c r="U19">
        <v>1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105.16840268766761</v>
      </c>
      <c r="P20">
        <v>736.84210526315792</v>
      </c>
      <c r="Q20">
        <v>42.10526315789474</v>
      </c>
      <c r="T20">
        <v>700</v>
      </c>
      <c r="U20">
        <v>1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118.80022909242395</v>
      </c>
      <c r="P21">
        <v>921.0526315789474</v>
      </c>
      <c r="Q21">
        <v>47.631578947368425</v>
      </c>
      <c r="T21">
        <v>875</v>
      </c>
      <c r="U21">
        <v>1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131.97714850378225</v>
      </c>
      <c r="P22">
        <v>1105.2631578947369</v>
      </c>
      <c r="Q22">
        <v>53.03</v>
      </c>
      <c r="T22">
        <v>1050</v>
      </c>
      <c r="U22">
        <v>1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144.59961193221298</v>
      </c>
      <c r="P23">
        <v>1289.4736842105262</v>
      </c>
      <c r="Q23">
        <v>58.226315789473688</v>
      </c>
      <c r="T23">
        <v>1225</v>
      </c>
      <c r="U23">
        <v>1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156.67776450025457</v>
      </c>
      <c r="P24">
        <v>1473.6842105263158</v>
      </c>
      <c r="Q24">
        <v>63.217368421052633</v>
      </c>
      <c r="T24">
        <v>1400</v>
      </c>
      <c r="U24">
        <v>1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168.22449196454858</v>
      </c>
      <c r="P25">
        <v>1657.8947368421054</v>
      </c>
      <c r="Q25">
        <v>68.006315789473689</v>
      </c>
      <c r="T25">
        <v>1575</v>
      </c>
      <c r="U25">
        <v>1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179.24401569234212</v>
      </c>
      <c r="P26">
        <v>1842.1052631578948</v>
      </c>
      <c r="Q26">
        <v>72.593157894736848</v>
      </c>
      <c r="T26">
        <v>1750</v>
      </c>
      <c r="U26">
        <v>1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189.7404802389386</v>
      </c>
      <c r="P27">
        <v>2026.3157894736842</v>
      </c>
      <c r="Q27">
        <v>76.977894736842103</v>
      </c>
      <c r="T27">
        <v>1925</v>
      </c>
      <c r="U27">
        <v>1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199.71794898009148</v>
      </c>
      <c r="P28">
        <v>2210.5263157894738</v>
      </c>
      <c r="Q28">
        <v>81.160526315789483</v>
      </c>
      <c r="T28">
        <v>2100</v>
      </c>
      <c r="U28">
        <v>1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209.17239872226051</v>
      </c>
      <c r="P29">
        <v>2394.7368421052633</v>
      </c>
      <c r="Q29">
        <v>85.137894736842114</v>
      </c>
      <c r="T29">
        <v>2275</v>
      </c>
      <c r="U29">
        <v>1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214.34541483674664</v>
      </c>
      <c r="P30">
        <v>2500</v>
      </c>
      <c r="Q30">
        <v>87.32</v>
      </c>
      <c r="T30">
        <v>2450</v>
      </c>
      <c r="U30">
        <v>1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218.09746985028221</v>
      </c>
      <c r="P31">
        <v>2578.9473684210525</v>
      </c>
      <c r="Q31">
        <v>88.906842105263152</v>
      </c>
      <c r="T31">
        <v>2625</v>
      </c>
      <c r="U31">
        <v>1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225.37620376055699</v>
      </c>
      <c r="P32">
        <v>2763.1578947368421</v>
      </c>
      <c r="Q32">
        <v>92.473684210526315</v>
      </c>
      <c r="T32">
        <v>2800</v>
      </c>
      <c r="U32">
        <v>1</v>
      </c>
    </row>
    <row r="33" spans="2:21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227.27525777068126</v>
      </c>
      <c r="P33">
        <v>2947.3684210526317</v>
      </c>
      <c r="Q33">
        <v>93.555263157894743</v>
      </c>
      <c r="T33">
        <v>2975</v>
      </c>
      <c r="U33">
        <v>1</v>
      </c>
    </row>
    <row r="34" spans="2:21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228.42663162041362</v>
      </c>
      <c r="P34">
        <v>3131.5789473684213</v>
      </c>
      <c r="Q34">
        <v>94.036842105263162</v>
      </c>
      <c r="T34">
        <v>3150</v>
      </c>
      <c r="U34">
        <v>1</v>
      </c>
    </row>
    <row r="35" spans="2:21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229.57761661460526</v>
      </c>
      <c r="P35">
        <v>3315.7894736842109</v>
      </c>
      <c r="Q35">
        <v>94.518421052631581</v>
      </c>
      <c r="T35">
        <v>3325</v>
      </c>
      <c r="U35">
        <v>1</v>
      </c>
    </row>
    <row r="36" spans="2:21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230.72821252816129</v>
      </c>
      <c r="P36">
        <v>3500</v>
      </c>
      <c r="Q36">
        <v>95</v>
      </c>
      <c r="T36">
        <v>3500</v>
      </c>
      <c r="U36">
        <v>1</v>
      </c>
    </row>
    <row r="37" spans="2:21" x14ac:dyDescent="0.25">
      <c r="B37" s="2"/>
      <c r="C37" s="18">
        <v>2500</v>
      </c>
      <c r="D37" s="18">
        <v>176.72349338287597</v>
      </c>
      <c r="E37" s="18">
        <v>53</v>
      </c>
    </row>
    <row r="38" spans="2:21" x14ac:dyDescent="0.25">
      <c r="B38" s="2"/>
      <c r="C38" s="18">
        <v>2625</v>
      </c>
      <c r="D38" s="18">
        <v>186.511102757185</v>
      </c>
      <c r="E38" s="18">
        <v>54</v>
      </c>
    </row>
    <row r="39" spans="2:21" x14ac:dyDescent="0.25">
      <c r="B39" s="2"/>
      <c r="C39" s="18">
        <v>2750</v>
      </c>
      <c r="D39" s="18">
        <v>196.298712131494</v>
      </c>
      <c r="E39" s="18">
        <v>55</v>
      </c>
    </row>
    <row r="40" spans="2:21" x14ac:dyDescent="0.25">
      <c r="B40" s="2"/>
      <c r="C40" s="18">
        <v>2875</v>
      </c>
      <c r="D40" s="18">
        <v>206.08632150580399</v>
      </c>
      <c r="E40" s="18">
        <v>56</v>
      </c>
    </row>
    <row r="41" spans="2:21" x14ac:dyDescent="0.25">
      <c r="B41" s="2"/>
      <c r="C41" s="18">
        <v>3000</v>
      </c>
      <c r="D41" s="18">
        <v>215.87393088011299</v>
      </c>
      <c r="E41" s="18">
        <v>57</v>
      </c>
    </row>
    <row r="42" spans="2:21" x14ac:dyDescent="0.25">
      <c r="B42" s="2"/>
      <c r="C42" s="18">
        <v>3125</v>
      </c>
      <c r="D42" s="18">
        <v>225.66154025442199</v>
      </c>
      <c r="E42" s="18">
        <v>58</v>
      </c>
    </row>
    <row r="43" spans="2:21" x14ac:dyDescent="0.25">
      <c r="B43" s="2"/>
      <c r="C43" s="18">
        <v>3250</v>
      </c>
      <c r="D43" s="18">
        <v>235.44914962873099</v>
      </c>
      <c r="E43" s="18">
        <v>59</v>
      </c>
    </row>
    <row r="44" spans="2:21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60" zoomScaleNormal="60" workbookViewId="0">
      <selection activeCell="AL38" sqref="AL38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">
        <v>217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Rp_m3m3_/[3]PVT!gamma_oil_</f>
        <v>116.27906976744187</v>
      </c>
      <c r="D10" s="5" t="s">
        <v>36</v>
      </c>
      <c r="P10" s="57" t="s">
        <v>45</v>
      </c>
      <c r="Q10" s="25">
        <v>9.9830058422543733</v>
      </c>
      <c r="R10" s="5" t="s">
        <v>44</v>
      </c>
      <c r="S10" s="57" t="s">
        <v>55</v>
      </c>
      <c r="T10" s="25">
        <v>22.952221759788021</v>
      </c>
      <c r="U10" s="5" t="s">
        <v>25</v>
      </c>
    </row>
    <row r="11" spans="1:34" ht="18" x14ac:dyDescent="0.35">
      <c r="P11" s="57" t="s">
        <v>46</v>
      </c>
      <c r="Q11" s="25">
        <v>10.349377861269023</v>
      </c>
      <c r="R11" s="5" t="s">
        <v>44</v>
      </c>
      <c r="S11" s="57" t="s">
        <v>56</v>
      </c>
      <c r="T11" s="25">
        <v>22.952221759788021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124.71219897034381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10.349377861269023</v>
      </c>
      <c r="P16">
        <v>0</v>
      </c>
      <c r="Q16">
        <v>22.952221759788021</v>
      </c>
      <c r="R16">
        <v>0</v>
      </c>
      <c r="S16">
        <v>0.17403064076706484</v>
      </c>
      <c r="U16">
        <v>0</v>
      </c>
      <c r="V16" s="50">
        <f>Pline_out_atma_</f>
        <v>9.9830058422543733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13.741344410687804</v>
      </c>
      <c r="P17">
        <v>184.21052631578948</v>
      </c>
      <c r="Q17">
        <v>28.465682773611565</v>
      </c>
      <c r="R17">
        <v>175</v>
      </c>
      <c r="S17">
        <v>0.2083129036658482</v>
      </c>
      <c r="U17">
        <v>0</v>
      </c>
      <c r="V17" s="50">
        <f>Pbuf_out_atma_</f>
        <v>10.349377861269023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17.771282354219174</v>
      </c>
      <c r="P18">
        <v>368.42105263157896</v>
      </c>
      <c r="Q18">
        <v>33.976620862457843</v>
      </c>
      <c r="R18">
        <v>350</v>
      </c>
      <c r="S18">
        <v>0.24682054065100995</v>
      </c>
      <c r="U18">
        <v>3500</v>
      </c>
      <c r="V18" s="50">
        <f>Pwf_out_atma_</f>
        <v>124.71219897034381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22.427998386371215</v>
      </c>
      <c r="P19">
        <v>552.63157894736844</v>
      </c>
      <c r="Q19">
        <v>39.485099606880745</v>
      </c>
      <c r="R19">
        <v>525</v>
      </c>
      <c r="S19">
        <v>0.27482928381080884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27.697497460727806</v>
      </c>
      <c r="P20">
        <v>736.84210526315792</v>
      </c>
      <c r="Q20">
        <v>44.981372128821143</v>
      </c>
      <c r="R20">
        <v>700</v>
      </c>
      <c r="S20">
        <v>0.32206457402940963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33.790554674442554</v>
      </c>
      <c r="P21">
        <v>921.0526315789474</v>
      </c>
      <c r="Q21">
        <v>50.425576958380844</v>
      </c>
      <c r="R21">
        <v>875</v>
      </c>
      <c r="S21">
        <v>0.37600657258778497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40.571098261925016</v>
      </c>
      <c r="P22">
        <v>1105.2631578947369</v>
      </c>
      <c r="Q22">
        <v>55.682239319132059</v>
      </c>
      <c r="R22">
        <v>1050</v>
      </c>
      <c r="S22">
        <v>0.43545583220692841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47.995271781745878</v>
      </c>
      <c r="P23">
        <v>1289.4736842105262</v>
      </c>
      <c r="Q23">
        <v>60.742113926725722</v>
      </c>
      <c r="R23">
        <v>1225</v>
      </c>
      <c r="S23">
        <v>0.49914015415189178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56.000893863488322</v>
      </c>
      <c r="P24">
        <v>1473.6842105263158</v>
      </c>
      <c r="Q24">
        <v>65.596356446810319</v>
      </c>
      <c r="R24">
        <v>1400</v>
      </c>
      <c r="S24">
        <v>0.56692436629084675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64.512336152903885</v>
      </c>
      <c r="P25">
        <v>1657.8947368421054</v>
      </c>
      <c r="Q25">
        <v>70.249042695695806</v>
      </c>
      <c r="R25">
        <v>1575</v>
      </c>
      <c r="S25">
        <v>0.6382521187315251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73.448355689093802</v>
      </c>
      <c r="P26">
        <v>1842.1052631578948</v>
      </c>
      <c r="Q26">
        <v>74.70109360950714</v>
      </c>
      <c r="R26">
        <v>1750</v>
      </c>
      <c r="S26">
        <v>0.71192457606532189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82.715600340070239</v>
      </c>
      <c r="P27">
        <v>2026.3157894736842</v>
      </c>
      <c r="Q27">
        <v>78.953355175869959</v>
      </c>
      <c r="R27">
        <v>1925</v>
      </c>
      <c r="S27">
        <v>0.78699220961971617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92.212705554344296</v>
      </c>
      <c r="P28">
        <v>2210.5263157894738</v>
      </c>
      <c r="Q28">
        <v>83.006436483629727</v>
      </c>
      <c r="R28">
        <v>2100</v>
      </c>
      <c r="S28">
        <v>0.86247350204822038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101.83496216008898</v>
      </c>
      <c r="P29">
        <v>2394.7368421052633</v>
      </c>
      <c r="Q29">
        <v>86.856811319572145</v>
      </c>
      <c r="R29">
        <v>2275</v>
      </c>
      <c r="S29">
        <v>0.937278125268451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107.30225789229945</v>
      </c>
      <c r="P30">
        <v>2500</v>
      </c>
      <c r="Q30">
        <v>88.957283174406001</v>
      </c>
      <c r="R30">
        <v>2450</v>
      </c>
      <c r="S30">
        <v>0.99453771784586542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111.27968001123517</v>
      </c>
      <c r="P31">
        <v>2578.9473684210525</v>
      </c>
      <c r="Q31">
        <v>90.435947919819242</v>
      </c>
      <c r="R31">
        <v>2625</v>
      </c>
      <c r="S31">
        <v>0.99918264911496246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119.00656146614175</v>
      </c>
      <c r="P32">
        <v>2763.1578947368421</v>
      </c>
      <c r="Q32">
        <v>93.044460899835343</v>
      </c>
      <c r="R32">
        <v>2800</v>
      </c>
      <c r="S32">
        <v>0.99918172936188776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121.02775510526814</v>
      </c>
      <c r="P33">
        <v>2947.3684210526317</v>
      </c>
      <c r="Q33">
        <v>93.766308521294192</v>
      </c>
      <c r="R33">
        <v>2975</v>
      </c>
      <c r="S33">
        <v>0.99918155847006418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122.2551137557146</v>
      </c>
      <c r="P34">
        <v>3131.5789473684213</v>
      </c>
      <c r="Q34">
        <v>94.173682334516769</v>
      </c>
      <c r="R34">
        <v>3150</v>
      </c>
      <c r="S34">
        <v>0.99918139040342047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123.4825957789155</v>
      </c>
      <c r="P35">
        <v>3315.7894736842109</v>
      </c>
      <c r="Q35">
        <v>94.053719754781142</v>
      </c>
      <c r="R35">
        <v>3325</v>
      </c>
      <c r="S35">
        <v>0.99918124786254015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124.71219897034381</v>
      </c>
      <c r="P36">
        <v>3500</v>
      </c>
      <c r="Q36">
        <v>90</v>
      </c>
      <c r="R36">
        <v>3500</v>
      </c>
      <c r="S36">
        <v>0.99918126838063415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229</vt:i4>
      </vt:variant>
    </vt:vector>
  </HeadingPairs>
  <TitlesOfParts>
    <vt:vector size="237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</vt:lpstr>
      <vt:lpstr>PVT!Bob_m3m3_</vt:lpstr>
      <vt:lpstr>'Calc GasLift'!correlation_MF_fontan_</vt:lpstr>
      <vt:lpstr>'Calc Self Flow'!correlation_MF_fontan_</vt:lpstr>
      <vt:lpstr>correlation_MF_fontan_</vt:lpstr>
      <vt:lpstr>'Calc GasLift'!correlation_PVT_fontan_</vt:lpstr>
      <vt:lpstr>'Calc Self Flow'!correlation_PVT_fontan_</vt:lpstr>
      <vt:lpstr>correlation_PVT_fontan_</vt:lpstr>
      <vt:lpstr>'Calc GasLift'!correlation_T_fontan_</vt:lpstr>
      <vt:lpstr>'Calc Self Flow'!correlation_T_fontan_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muob_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'Calc ESP'!Ql_scm3day_</vt:lpstr>
      <vt:lpstr>'Calc GasLift'!Ql_scm3day_</vt:lpstr>
      <vt:lpstr>'Calc Self Flow'!Ql_scm3day_</vt:lpstr>
      <vt:lpstr>PVT!Ql_scm3day_</vt:lpstr>
      <vt:lpstr>PVT!Qo_sctday_</vt:lpstr>
      <vt:lpstr>rhoo_list1_</vt:lpstr>
      <vt:lpstr>rhoo_list2_</vt:lpstr>
      <vt:lpstr>rhoo_list3_</vt:lpstr>
      <vt:lpstr>PVT!Rp_</vt:lpstr>
      <vt:lpstr>'Calc ESP'!Rp_m3m3_</vt:lpstr>
      <vt:lpstr>'Calc GasLift'!Rp_m3m3_</vt:lpstr>
      <vt:lpstr>'Calc Self Flow'!Rp_m3m3_</vt:lpstr>
      <vt:lpstr>PVT!Rp_m3m3_</vt:lpstr>
      <vt:lpstr>PVT!Rp_tm3_</vt:lpstr>
      <vt:lpstr>rs_list1_</vt:lpstr>
      <vt:lpstr>rs_list2_</vt:lpstr>
      <vt:lpstr>rs_list3_</vt:lpstr>
      <vt:lpstr>PVT!Rsb_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2019-06-11T15:36:56Z</dcterms:modified>
</cp:coreProperties>
</file>