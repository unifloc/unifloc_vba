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95A9F5CE-94BD-41AE-9E83-B8E51A6CE849}" xr6:coauthVersionLast="43" xr6:coauthVersionMax="43" xr10:uidLastSave="{00000000-0000-0000-0000-000000000000}"/>
  <bookViews>
    <workbookView xWindow="7905" yWindow="4125" windowWidth="28800" windowHeight="15495" tabRatio="529" activeTab="6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T34" i="4"/>
  <c r="E33" i="4"/>
  <c r="C33" i="4"/>
  <c r="V34" i="4"/>
  <c r="I37" i="4"/>
  <c r="V37" i="4"/>
  <c r="M33" i="4"/>
  <c r="C36" i="4"/>
  <c r="E37" i="4"/>
  <c r="I35" i="4"/>
  <c r="C50" i="4"/>
  <c r="G24" i="4"/>
  <c r="C35" i="4"/>
  <c r="I36" i="4"/>
  <c r="B1" i="6"/>
  <c r="M37" i="4"/>
  <c r="C37" i="4"/>
  <c r="C19" i="4"/>
  <c r="C44" i="4" s="1"/>
  <c r="C46" i="4"/>
  <c r="C38" i="4"/>
  <c r="M41" i="4"/>
  <c r="T35" i="4"/>
  <c r="E35" i="4"/>
  <c r="M34" i="4"/>
  <c r="I33" i="4"/>
  <c r="I38" i="4"/>
  <c r="M36" i="4"/>
  <c r="C7" i="7"/>
  <c r="C10" i="7" s="1"/>
  <c r="M38" i="4"/>
  <c r="C9" i="7"/>
  <c r="E36" i="4"/>
  <c r="AF10" i="9"/>
  <c r="C24" i="4"/>
  <c r="C34" i="4"/>
  <c r="T36" i="4"/>
  <c r="I34" i="4"/>
  <c r="C41" i="4"/>
  <c r="M35" i="4"/>
  <c r="C8" i="7"/>
  <c r="C29" i="4"/>
  <c r="C27" i="4"/>
  <c r="C28" i="4"/>
  <c r="O2" i="9" l="1"/>
  <c r="J2" i="9"/>
  <c r="E2" i="9"/>
  <c r="E2" i="2"/>
  <c r="C10" i="2"/>
  <c r="C9" i="2"/>
  <c r="C6" i="2"/>
  <c r="H3" i="4"/>
  <c r="V36" i="4"/>
  <c r="C45" i="4"/>
  <c r="V35" i="4"/>
  <c r="T37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<sst xmlns="http://schemas.openxmlformats.org/spreadsheetml/2006/main" count="456" uniqueCount="218">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</sst>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E4107CF-CD18-4D2C-8838-23AC5637D15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133CCFE-8E8B-4D5E-98A2-DED19EA8D6B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89071B6D-19B4-48C5-AB07-871CFEE2BF4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AB5A72F-466F-4BE7-9212-8826CC13EB0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03FAC8-E02E-4ADA-B235-612B635A5437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8670F61-6132-4E47-95F9-B2D914E4452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45.508139448146565</c:v>
                </c:pt>
                <c:pt idx="2">
                  <c:v>46.021011749348446</c:v>
                </c:pt>
                <c:pt idx="3">
                  <c:v>46.538650341877101</c:v>
                </c:pt>
                <c:pt idx="4">
                  <c:v>47.061874176546766</c:v>
                </c:pt>
                <c:pt idx="5">
                  <c:v>47.590092572913349</c:v>
                </c:pt>
                <c:pt idx="6">
                  <c:v>48.123188889175864</c:v>
                </c:pt>
                <c:pt idx="7">
                  <c:v>48.661845915500194</c:v>
                </c:pt>
                <c:pt idx="8">
                  <c:v>49.205772998642772</c:v>
                </c:pt>
                <c:pt idx="9">
                  <c:v>49.632856254923169</c:v>
                </c:pt>
                <c:pt idx="10">
                  <c:v>51.85969820603907</c:v>
                </c:pt>
                <c:pt idx="11">
                  <c:v>61.659394472344154</c:v>
                </c:pt>
                <c:pt idx="12">
                  <c:v>71.113647309105787</c:v>
                </c:pt>
                <c:pt idx="13">
                  <c:v>80.252457619963693</c:v>
                </c:pt>
                <c:pt idx="14">
                  <c:v>89.043386536836152</c:v>
                </c:pt>
                <c:pt idx="15">
                  <c:v>97.469042329743743</c:v>
                </c:pt>
                <c:pt idx="16">
                  <c:v>105.57785017833434</c:v>
                </c:pt>
                <c:pt idx="17">
                  <c:v>113.36751145093838</c:v>
                </c:pt>
                <c:pt idx="18">
                  <c:v>120.8357701922875</c:v>
                </c:pt>
                <c:pt idx="19">
                  <c:v>128.0376155029083</c:v>
                </c:pt>
                <c:pt idx="20">
                  <c:v>134.97335533115665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1155.5393687523499</c:v>
                </c:pt>
                <c:pt idx="10">
                  <c:v>1184.6842105263156</c:v>
                </c:pt>
                <c:pt idx="11">
                  <c:v>1316.3157894736842</c:v>
                </c:pt>
                <c:pt idx="12">
                  <c:v>1447.9473684210525</c:v>
                </c:pt>
                <c:pt idx="13">
                  <c:v>1579.5789473684208</c:v>
                </c:pt>
                <c:pt idx="14">
                  <c:v>1711.2105263157894</c:v>
                </c:pt>
                <c:pt idx="15">
                  <c:v>1842.8421052631577</c:v>
                </c:pt>
                <c:pt idx="16">
                  <c:v>1974.4736842105262</c:v>
                </c:pt>
                <c:pt idx="17">
                  <c:v>2106.1052631578946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0.24513444471992621</c:v>
                </c:pt>
                <c:pt idx="1">
                  <c:v>0.30117546859372213</c:v>
                </c:pt>
                <c:pt idx="2">
                  <c:v>0.35266765141281697</c:v>
                </c:pt>
                <c:pt idx="3">
                  <c:v>0.38938018060473761</c:v>
                </c:pt>
                <c:pt idx="4">
                  <c:v>0.44084169413825181</c:v>
                </c:pt>
                <c:pt idx="5">
                  <c:v>0.48834810264556189</c:v>
                </c:pt>
                <c:pt idx="6">
                  <c:v>0.5611210490961781</c:v>
                </c:pt>
                <c:pt idx="7">
                  <c:v>0.60964669169376329</c:v>
                </c:pt>
                <c:pt idx="8">
                  <c:v>0.65170427538568665</c:v>
                </c:pt>
                <c:pt idx="9">
                  <c:v>0.68616430678492613</c:v>
                </c:pt>
                <c:pt idx="10">
                  <c:v>0.71474613548858423</c:v>
                </c:pt>
                <c:pt idx="11">
                  <c:v>0.75957427033189751</c:v>
                </c:pt>
                <c:pt idx="12">
                  <c:v>0.85549467288440639</c:v>
                </c:pt>
                <c:pt idx="13">
                  <c:v>0.96956060876469174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12.75738241863478</c:v>
                </c:pt>
                <c:pt idx="1">
                  <c:v>19.809173114387541</c:v>
                </c:pt>
                <c:pt idx="2">
                  <c:v>27.545976855079928</c:v>
                </c:pt>
                <c:pt idx="3">
                  <c:v>29.883643637625163</c:v>
                </c:pt>
                <c:pt idx="4">
                  <c:v>36.90144028612805</c:v>
                </c:pt>
                <c:pt idx="5">
                  <c:v>47.234314926245162</c:v>
                </c:pt>
                <c:pt idx="6">
                  <c:v>58.26042528418575</c:v>
                </c:pt>
                <c:pt idx="7">
                  <c:v>69.678823818683298</c:v>
                </c:pt>
                <c:pt idx="8">
                  <c:v>79.544497914914828</c:v>
                </c:pt>
                <c:pt idx="9">
                  <c:v>81.18252418838054</c:v>
                </c:pt>
                <c:pt idx="10">
                  <c:v>92.56935329949853</c:v>
                </c:pt>
                <c:pt idx="11">
                  <c:v>103.71609602415117</c:v>
                </c:pt>
                <c:pt idx="12">
                  <c:v>115.26719282631768</c:v>
                </c:pt>
                <c:pt idx="13">
                  <c:v>115.92866977958474</c:v>
                </c:pt>
                <c:pt idx="14">
                  <c:v>127.53720466563811</c:v>
                </c:pt>
                <c:pt idx="15">
                  <c:v>132.59151141505092</c:v>
                </c:pt>
                <c:pt idx="16">
                  <c:v>138.84308632127357</c:v>
                </c:pt>
                <c:pt idx="17">
                  <c:v>145.61293612888792</c:v>
                </c:pt>
                <c:pt idx="18">
                  <c:v>147.07537338562349</c:v>
                </c:pt>
                <c:pt idx="19">
                  <c:v>148.53772968390442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D605486-F5DA-4D78-B43E-EF702C8495A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FB5AB3E-F191-468B-963C-825081F2B9C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7003F686-8974-4991-AB70-ACA61E0FED3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1979408-3145-4995-893D-792F9B8B650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C7FC99-9299-4746-8FEF-0A5F07F01065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1E723A0-7F95-44D5-93B8-628E2E86328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1</c:v>
                </c:pt>
                <c:pt idx="1">
                  <c:v>12.75738241863478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190.98448835888374</c:v>
                </c:pt>
                <c:pt idx="1">
                  <c:v>193.32480721937944</c:v>
                </c:pt>
                <c:pt idx="2">
                  <c:v>195.56754827971525</c:v>
                </c:pt>
                <c:pt idx="3">
                  <c:v>197.72571538963692</c:v>
                </c:pt>
                <c:pt idx="4">
                  <c:v>199.81178555980452</c:v>
                </c:pt>
                <c:pt idx="5">
                  <c:v>200</c:v>
                </c:pt>
                <c:pt idx="6">
                  <c:v>178.76498437281123</c:v>
                </c:pt>
                <c:pt idx="7">
                  <c:v>180.51614750408422</c:v>
                </c:pt>
                <c:pt idx="8">
                  <c:v>182.24008781368889</c:v>
                </c:pt>
                <c:pt idx="9">
                  <c:v>183.93987398351584</c:v>
                </c:pt>
                <c:pt idx="10">
                  <c:v>185.61834380400765</c:v>
                </c:pt>
                <c:pt idx="11">
                  <c:v>187.27557213123529</c:v>
                </c:pt>
                <c:pt idx="12">
                  <c:v>188.9164481090275</c:v>
                </c:pt>
                <c:pt idx="13">
                  <c:v>190.54250497904519</c:v>
                </c:pt>
                <c:pt idx="14">
                  <c:v>190.98448835888374</c:v>
                </c:pt>
                <c:pt idx="15">
                  <c:v>172.42405606357048</c:v>
                </c:pt>
                <c:pt idx="16">
                  <c:v>171.42274679220796</c:v>
                </c:pt>
                <c:pt idx="17">
                  <c:v>172.86477005221522</c:v>
                </c:pt>
                <c:pt idx="18">
                  <c:v>174.29875800215802</c:v>
                </c:pt>
                <c:pt idx="19">
                  <c:v>175.72529306115564</c:v>
                </c:pt>
                <c:pt idx="20">
                  <c:v>177.14492003211558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0.57686237678504126</c:v>
                </c:pt>
                <c:pt idx="1">
                  <c:v>0.66169308882020161</c:v>
                </c:pt>
                <c:pt idx="2">
                  <c:v>0.7537150162061903</c:v>
                </c:pt>
                <c:pt idx="3">
                  <c:v>0.85180721718487717</c:v>
                </c:pt>
                <c:pt idx="4">
                  <c:v>0.95993595225398687</c:v>
                </c:pt>
                <c:pt idx="5">
                  <c:v>0.99902579701780392</c:v>
                </c:pt>
                <c:pt idx="6">
                  <c:v>0.9990252202367822</c:v>
                </c:pt>
                <c:pt idx="7">
                  <c:v>0.99902462686271054</c:v>
                </c:pt>
                <c:pt idx="8">
                  <c:v>0.99902400932853086</c:v>
                </c:pt>
                <c:pt idx="9">
                  <c:v>0.99902335837401712</c:v>
                </c:pt>
                <c:pt idx="10">
                  <c:v>0.99902266623248959</c:v>
                </c:pt>
                <c:pt idx="11">
                  <c:v>0.99902191984766187</c:v>
                </c:pt>
                <c:pt idx="12">
                  <c:v>0.99902110080264839</c:v>
                </c:pt>
                <c:pt idx="13">
                  <c:v>0.99902016889954981</c:v>
                </c:pt>
                <c:pt idx="14">
                  <c:v>0.99903578489757283</c:v>
                </c:pt>
                <c:pt idx="15">
                  <c:v>0.99905000504662045</c:v>
                </c:pt>
                <c:pt idx="16">
                  <c:v>0.99904717078073202</c:v>
                </c:pt>
                <c:pt idx="17">
                  <c:v>0.99904653283778166</c:v>
                </c:pt>
                <c:pt idx="18">
                  <c:v>0.99904584388574413</c:v>
                </c:pt>
                <c:pt idx="19">
                  <c:v>0.99904509423638532</c:v>
                </c:pt>
                <c:pt idx="20">
                  <c:v>0.99904427122125294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59.866087090744919</c:v>
                </c:pt>
                <c:pt idx="1">
                  <c:v>70.565036066266998</c:v>
                </c:pt>
                <c:pt idx="2">
                  <c:v>82.591677086225076</c:v>
                </c:pt>
                <c:pt idx="3">
                  <c:v>96.06070556073152</c:v>
                </c:pt>
                <c:pt idx="4">
                  <c:v>111.06087037146594</c:v>
                </c:pt>
                <c:pt idx="5">
                  <c:v>126.92394495275971</c:v>
                </c:pt>
                <c:pt idx="6">
                  <c:v>142.37278396629358</c:v>
                </c:pt>
                <c:pt idx="7">
                  <c:v>157.23621116059772</c:v>
                </c:pt>
                <c:pt idx="8">
                  <c:v>171.51723067573306</c:v>
                </c:pt>
                <c:pt idx="9">
                  <c:v>185.22396185700291</c:v>
                </c:pt>
                <c:pt idx="10">
                  <c:v>198.35566852860245</c:v>
                </c:pt>
                <c:pt idx="11">
                  <c:v>210.91308628116735</c:v>
                </c:pt>
                <c:pt idx="12">
                  <c:v>222.89809678682408</c:v>
                </c:pt>
                <c:pt idx="13">
                  <c:v>234.30331844672784</c:v>
                </c:pt>
                <c:pt idx="14">
                  <c:v>240.56516097169506</c:v>
                </c:pt>
                <c:pt idx="15">
                  <c:v>244.99748651353201</c:v>
                </c:pt>
                <c:pt idx="16">
                  <c:v>253.61291668476363</c:v>
                </c:pt>
                <c:pt idx="17">
                  <c:v>255.87236630387338</c:v>
                </c:pt>
                <c:pt idx="18">
                  <c:v>257.24766568276914</c:v>
                </c:pt>
                <c:pt idx="19">
                  <c:v>258.62348295126333</c:v>
                </c:pt>
                <c:pt idx="20">
                  <c:v>260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0A0A138-B30C-437C-95AE-9EB6168BB86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C6B4681-4F43-46F2-9215-F50591398CB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4A4A2B8-4AF8-4E13-A068-10FE4B1B9FB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353CCB0-775B-402F-AAC6-A69105DCCF1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37CADD-0FA9-498B-BF3F-CA3A71B288DA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EFDF246-635D-4D18-8637-E0EFE7E3FD1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52.967455961147365</c:v>
                </c:pt>
                <c:pt idx="1">
                  <c:v>59.866087090744919</c:v>
                </c:pt>
                <c:pt idx="2">
                  <c:v>260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44.186194816688641</c:v>
                </c:pt>
                <c:pt idx="1">
                  <c:v>48.90660496120217</c:v>
                </c:pt>
                <c:pt idx="2">
                  <c:v>53.558842769363324</c:v>
                </c:pt>
                <c:pt idx="3">
                  <c:v>58.146511363140121</c:v>
                </c:pt>
                <c:pt idx="4">
                  <c:v>62.674174911077003</c:v>
                </c:pt>
                <c:pt idx="5">
                  <c:v>67.070102267977774</c:v>
                </c:pt>
                <c:pt idx="6">
                  <c:v>71.210982730531569</c:v>
                </c:pt>
                <c:pt idx="7">
                  <c:v>75.066055341660004</c:v>
                </c:pt>
                <c:pt idx="8">
                  <c:v>78.617267942943272</c:v>
                </c:pt>
                <c:pt idx="9">
                  <c:v>81.846012085688415</c:v>
                </c:pt>
                <c:pt idx="10">
                  <c:v>84.723902617146067</c:v>
                </c:pt>
                <c:pt idx="11">
                  <c:v>87.215996113108346</c:v>
                </c:pt>
                <c:pt idx="12">
                  <c:v>89.279291831926542</c:v>
                </c:pt>
                <c:pt idx="13">
                  <c:v>90.852158419763128</c:v>
                </c:pt>
                <c:pt idx="14">
                  <c:v>91.508758187380707</c:v>
                </c:pt>
                <c:pt idx="15">
                  <c:v>91.847041891409589</c:v>
                </c:pt>
                <c:pt idx="16">
                  <c:v>92.182312649053472</c:v>
                </c:pt>
                <c:pt idx="17">
                  <c:v>91.969371833402505</c:v>
                </c:pt>
                <c:pt idx="18">
                  <c:v>91.544306682949156</c:v>
                </c:pt>
                <c:pt idx="19">
                  <c:v>90.90459192417012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5" x14ac:dyDescent="0.25"/>
  <sheetData>
    <row r="1" spans="1:5" x14ac:dyDescent="0.25">
      <c r="A1" t="str">
        <f>"вер "&amp;B1</f>
        <v>вер 7.9</v>
      </c>
      <c r="B1" s="16" t="str">
        <f>[1]!getUFVersion()</f>
        <v>7.9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7.9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K9" sqref="K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7.9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5" x14ac:dyDescent="0.25"/>
  <sheetData>
    <row r="1" spans="1:16" x14ac:dyDescent="0.25">
      <c r="A1" t="str">
        <f>версия_</f>
        <v>вер 7.9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7.9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998.50273409187491</v>
      </c>
      <c r="J9" s="50">
        <v>11.2146006720822</v>
      </c>
      <c r="K9" s="56">
        <v>0.128063774405209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25">
      <c r="G11">
        <v>4</v>
      </c>
      <c r="H11" s="55">
        <f t="shared" si="0"/>
        <v>79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25">
      <c r="G12">
        <v>5</v>
      </c>
      <c r="H12" s="55">
        <f t="shared" si="0"/>
        <v>105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25">
      <c r="G15">
        <v>8</v>
      </c>
      <c r="H15" s="55">
        <f t="shared" si="0"/>
        <v>183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25">
      <c r="G17">
        <v>10</v>
      </c>
      <c r="H17" s="55">
        <f t="shared" si="0"/>
        <v>235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25">
      <c r="G18">
        <v>11</v>
      </c>
      <c r="H18" s="55">
        <f t="shared" si="0"/>
        <v>261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25">
      <c r="G19">
        <v>12</v>
      </c>
      <c r="H19" s="55">
        <f t="shared" si="0"/>
        <v>287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25">
      <c r="G20">
        <v>13</v>
      </c>
      <c r="H20" s="55">
        <f t="shared" si="0"/>
        <v>313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25">
      <c r="G21">
        <v>14</v>
      </c>
      <c r="H21" s="55">
        <f t="shared" si="0"/>
        <v>339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25">
      <c r="G22">
        <v>15</v>
      </c>
      <c r="H22" s="55">
        <f t="shared" si="0"/>
        <v>365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25">
      <c r="G23">
        <v>16</v>
      </c>
      <c r="H23" s="55">
        <f t="shared" si="0"/>
        <v>391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25">
      <c r="G24">
        <v>17</v>
      </c>
      <c r="H24" s="55">
        <f t="shared" si="0"/>
        <v>417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25">
      <c r="G25">
        <v>18</v>
      </c>
      <c r="H25" s="55">
        <f t="shared" si="0"/>
        <v>443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25">
      <c r="G26">
        <v>19</v>
      </c>
      <c r="H26" s="55">
        <f t="shared" si="0"/>
        <v>469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25">
      <c r="G27">
        <v>20</v>
      </c>
      <c r="H27" s="55">
        <f t="shared" si="0"/>
        <v>495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25">
      <c r="G28">
        <v>21</v>
      </c>
      <c r="H28" s="55">
        <f t="shared" si="0"/>
        <v>521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7.9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K11" sqref="K11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7.9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  <c r="W17">
        <v>131.63157894736841</v>
      </c>
      <c r="X17">
        <v>45.508139448146565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  <c r="W18">
        <v>263.26315789473682</v>
      </c>
      <c r="X18">
        <v>46.021011749348446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  <c r="W19">
        <v>394.8947368421052</v>
      </c>
      <c r="X19">
        <v>46.538650341877101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  <c r="W20">
        <v>526.52631578947364</v>
      </c>
      <c r="X20">
        <v>47.061874176546766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  <c r="W21">
        <v>658.15789473684208</v>
      </c>
      <c r="X21">
        <v>47.590092572913349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  <c r="W22">
        <v>789.78947368421041</v>
      </c>
      <c r="X22">
        <v>48.123188889175864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  <c r="W23">
        <v>921.42105263157885</v>
      </c>
      <c r="X23">
        <v>48.661845915500194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  <c r="W24">
        <v>1053.0526315789473</v>
      </c>
      <c r="X24">
        <v>49.205772998642772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  <c r="W25">
        <v>1155.5393687523499</v>
      </c>
      <c r="X25">
        <v>49.632856254923169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  <c r="W26">
        <v>1184.6842105263156</v>
      </c>
      <c r="X26">
        <v>51.85969820603907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  <c r="W27">
        <v>1316.3157894736842</v>
      </c>
      <c r="X27">
        <v>61.659394472344154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  <c r="W28">
        <v>1447.9473684210525</v>
      </c>
      <c r="X28">
        <v>71.113647309105787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  <c r="W29">
        <v>1579.5789473684208</v>
      </c>
      <c r="X29">
        <v>80.252457619963693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  <c r="W30">
        <v>1711.2105263157894</v>
      </c>
      <c r="X30">
        <v>89.043386536836152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  <c r="W31">
        <v>1842.8421052631577</v>
      </c>
      <c r="X31">
        <v>97.469042329743743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  <c r="W32">
        <v>1974.4736842105262</v>
      </c>
      <c r="X32">
        <v>105.57785017833434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  <c r="W33">
        <v>2106.1052631578946</v>
      </c>
      <c r="X33">
        <v>113.36751145093838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  <c r="W34">
        <v>2237.7368421052629</v>
      </c>
      <c r="X34">
        <v>120.8357701922875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  <c r="W35">
        <v>2369.3684210526312</v>
      </c>
      <c r="X35">
        <v>128.0376155029083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134.97335533115665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tabSelected="1" zoomScale="90" zoomScaleNormal="90" workbookViewId="0">
      <selection activeCell="J11" sqref="J1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7.9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1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5000</v>
      </c>
      <c r="P11" s="57" t="s">
        <v>46</v>
      </c>
      <c r="Q11" s="25">
        <v>12.75738241863478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12.75738241863478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0.24513444471992621</v>
      </c>
      <c r="W16">
        <v>0</v>
      </c>
      <c r="X16" s="50">
        <f>Pline_out_atma_</f>
        <v>1</v>
      </c>
      <c r="Y16">
        <v>0</v>
      </c>
      <c r="Z16">
        <v>190.98448835888374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19.809173114387541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0.30117546859372213</v>
      </c>
      <c r="W17">
        <v>0</v>
      </c>
      <c r="X17" s="50">
        <f>Pbuf_out_atma_</f>
        <v>12.75738241863478</v>
      </c>
      <c r="Y17">
        <v>122.22222222222223</v>
      </c>
      <c r="Z17">
        <v>193.32480721937944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27.545976855079928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0.35266765141281697</v>
      </c>
      <c r="W18">
        <v>3500</v>
      </c>
      <c r="X18" s="50">
        <f>Pwf_out_atma_</f>
        <v>150</v>
      </c>
      <c r="Y18">
        <v>244.44444444444446</v>
      </c>
      <c r="Z18">
        <v>195.56754827971525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29.883643637625163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0.38938018060473761</v>
      </c>
      <c r="Y19">
        <v>366.66666666666669</v>
      </c>
      <c r="Z19">
        <v>197.72571538963692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36.90144028612805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0.44084169413825181</v>
      </c>
      <c r="Y20">
        <v>488.88888888888891</v>
      </c>
      <c r="Z20">
        <v>199.81178555980452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47.234314926245162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0.48834810264556189</v>
      </c>
      <c r="Y21">
        <v>500</v>
      </c>
      <c r="Z21">
        <v>200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58.26042528418575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0.5611210490961781</v>
      </c>
      <c r="Y22">
        <v>611.11111111111109</v>
      </c>
      <c r="Z22">
        <v>178.76498437281123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69.678823818683298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0.60964669169376329</v>
      </c>
      <c r="Y23">
        <v>733.33333333333337</v>
      </c>
      <c r="Z23">
        <v>180.51614750408422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79.544497914914828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0.65170427538568665</v>
      </c>
      <c r="Y24">
        <v>855.55555555555566</v>
      </c>
      <c r="Z24">
        <v>182.24008781368889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81.18252418838054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0.68616430678492613</v>
      </c>
      <c r="Y25">
        <v>977.77777777777783</v>
      </c>
      <c r="Z25">
        <v>183.93987398351584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92.56935329949853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0.71474613548858423</v>
      </c>
      <c r="Y26">
        <v>1100</v>
      </c>
      <c r="Z26">
        <v>185.61834380400765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103.71609602415117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0.75957427033189751</v>
      </c>
      <c r="Y27">
        <v>1222.2222222222222</v>
      </c>
      <c r="Z27">
        <v>187.27557213123529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115.26719282631768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0.85549467288440639</v>
      </c>
      <c r="Y28">
        <v>1344.4444444444446</v>
      </c>
      <c r="Z28">
        <v>188.9164481090275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115.92866977958474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0.96956060876469174</v>
      </c>
      <c r="Y29">
        <v>1466.6666666666667</v>
      </c>
      <c r="Z29">
        <v>190.54250497904519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127.53720466563811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190.98448835888374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132.59151141505092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172.42405606357048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138.84308632127357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171.42274679220796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145.61293612888792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172.86477005221522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147.07537338562349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174.29875800215802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148.53772968390442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175.72529306115564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150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177.14492003211558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I15" sqref="AI1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7.9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52.967455961147365</v>
      </c>
      <c r="R10" s="5" t="s">
        <v>44</v>
      </c>
      <c r="S10" s="57" t="s">
        <v>55</v>
      </c>
      <c r="T10" s="25">
        <v>44.186194816688641</v>
      </c>
      <c r="U10" s="5" t="s">
        <v>25</v>
      </c>
    </row>
    <row r="11" spans="1:34" ht="18" x14ac:dyDescent="0.35">
      <c r="P11" s="57" t="s">
        <v>46</v>
      </c>
      <c r="Q11" s="25">
        <v>59.866087090744919</v>
      </c>
      <c r="R11" s="5" t="s">
        <v>44</v>
      </c>
      <c r="S11" s="57" t="s">
        <v>56</v>
      </c>
      <c r="T11" s="25">
        <v>44.186194816688641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260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59.866087090744919</v>
      </c>
      <c r="P16">
        <v>0</v>
      </c>
      <c r="Q16">
        <v>44.186194816688641</v>
      </c>
      <c r="R16">
        <v>0</v>
      </c>
      <c r="S16">
        <v>0.57686237678504126</v>
      </c>
      <c r="U16">
        <v>0</v>
      </c>
      <c r="V16" s="50">
        <f>Pline_out_atma_</f>
        <v>52.967455961147365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70.565036066266998</v>
      </c>
      <c r="P17">
        <v>184.21052631578948</v>
      </c>
      <c r="Q17">
        <v>48.90660496120217</v>
      </c>
      <c r="R17">
        <v>175</v>
      </c>
      <c r="S17">
        <v>0.66169308882020161</v>
      </c>
      <c r="U17">
        <v>0</v>
      </c>
      <c r="V17" s="50">
        <f>Pbuf_out_atma_</f>
        <v>59.866087090744919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82.591677086225076</v>
      </c>
      <c r="P18">
        <v>368.42105263157896</v>
      </c>
      <c r="Q18">
        <v>53.558842769363324</v>
      </c>
      <c r="R18">
        <v>350</v>
      </c>
      <c r="S18">
        <v>0.7537150162061903</v>
      </c>
      <c r="U18">
        <v>3500</v>
      </c>
      <c r="V18" s="50">
        <f>Pwf_out_atma_</f>
        <v>260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96.06070556073152</v>
      </c>
      <c r="P19">
        <v>552.63157894736844</v>
      </c>
      <c r="Q19">
        <v>58.146511363140121</v>
      </c>
      <c r="R19">
        <v>525</v>
      </c>
      <c r="S19">
        <v>0.85180721718487717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111.06087037146594</v>
      </c>
      <c r="P20">
        <v>736.84210526315792</v>
      </c>
      <c r="Q20">
        <v>62.674174911077003</v>
      </c>
      <c r="R20">
        <v>700</v>
      </c>
      <c r="S20">
        <v>0.95993595225398687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126.92394495275971</v>
      </c>
      <c r="P21">
        <v>921.0526315789474</v>
      </c>
      <c r="Q21">
        <v>67.070102267977774</v>
      </c>
      <c r="R21">
        <v>875</v>
      </c>
      <c r="S21">
        <v>0.99902579701780392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142.37278396629358</v>
      </c>
      <c r="P22">
        <v>1105.2631578947369</v>
      </c>
      <c r="Q22">
        <v>71.210982730531569</v>
      </c>
      <c r="R22">
        <v>1050</v>
      </c>
      <c r="S22">
        <v>0.9990252202367822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157.23621116059772</v>
      </c>
      <c r="P23">
        <v>1289.4736842105262</v>
      </c>
      <c r="Q23">
        <v>75.066055341660004</v>
      </c>
      <c r="R23">
        <v>1225</v>
      </c>
      <c r="S23">
        <v>0.99902462686271054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171.51723067573306</v>
      </c>
      <c r="P24">
        <v>1473.6842105263158</v>
      </c>
      <c r="Q24">
        <v>78.617267942943272</v>
      </c>
      <c r="R24">
        <v>1400</v>
      </c>
      <c r="S24">
        <v>0.99902400932853086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185.22396185700291</v>
      </c>
      <c r="P25">
        <v>1657.8947368421054</v>
      </c>
      <c r="Q25">
        <v>81.846012085688415</v>
      </c>
      <c r="R25">
        <v>1575</v>
      </c>
      <c r="S25">
        <v>0.99902335837401712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198.35566852860245</v>
      </c>
      <c r="P26">
        <v>1842.1052631578948</v>
      </c>
      <c r="Q26">
        <v>84.723902617146067</v>
      </c>
      <c r="R26">
        <v>1750</v>
      </c>
      <c r="S26">
        <v>0.99902266623248959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210.91308628116735</v>
      </c>
      <c r="P27">
        <v>2026.3157894736842</v>
      </c>
      <c r="Q27">
        <v>87.215996113108346</v>
      </c>
      <c r="R27">
        <v>1925</v>
      </c>
      <c r="S27">
        <v>0.99902191984766187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222.89809678682408</v>
      </c>
      <c r="P28">
        <v>2210.5263157894738</v>
      </c>
      <c r="Q28">
        <v>89.279291831926542</v>
      </c>
      <c r="R28">
        <v>2100</v>
      </c>
      <c r="S28">
        <v>0.99902110080264839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234.30331844672784</v>
      </c>
      <c r="P29">
        <v>2394.7368421052633</v>
      </c>
      <c r="Q29">
        <v>90.852158419763128</v>
      </c>
      <c r="R29">
        <v>2275</v>
      </c>
      <c r="S29">
        <v>0.99902016889954981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240.56516097169506</v>
      </c>
      <c r="P30">
        <v>2500</v>
      </c>
      <c r="Q30">
        <v>91.508758187380707</v>
      </c>
      <c r="R30">
        <v>2450</v>
      </c>
      <c r="S30">
        <v>0.99903578489757283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244.99748651353201</v>
      </c>
      <c r="P31">
        <v>2578.9473684210525</v>
      </c>
      <c r="Q31">
        <v>91.847041891409589</v>
      </c>
      <c r="R31">
        <v>2625</v>
      </c>
      <c r="S31">
        <v>0.99905000504662045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253.61291668476363</v>
      </c>
      <c r="P32">
        <v>2763.1578947368421</v>
      </c>
      <c r="Q32">
        <v>92.182312649053472</v>
      </c>
      <c r="R32">
        <v>2800</v>
      </c>
      <c r="S32">
        <v>0.99904717078073202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255.87236630387338</v>
      </c>
      <c r="P33">
        <v>2947.3684210526317</v>
      </c>
      <c r="Q33">
        <v>91.969371833402505</v>
      </c>
      <c r="R33">
        <v>2975</v>
      </c>
      <c r="S33">
        <v>0.99904653283778166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257.24766568276914</v>
      </c>
      <c r="P34">
        <v>3131.5789473684213</v>
      </c>
      <c r="Q34">
        <v>91.544306682949156</v>
      </c>
      <c r="R34">
        <v>3150</v>
      </c>
      <c r="S34">
        <v>0.99904584388574413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258.62348295126333</v>
      </c>
      <c r="P35">
        <v>3315.7894736842109</v>
      </c>
      <c r="Q35">
        <v>90.90459192417012</v>
      </c>
      <c r="R35">
        <v>3325</v>
      </c>
      <c r="S35">
        <v>0.99904509423638532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0.99904427122125294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2019-07-30T11:39:25Z</dcterms:modified>
</cp:coreProperties>
</file>