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7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8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5.xml" ContentType="application/vnd.openxmlformats-officedocument.spreadsheetml.comments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drawings/drawing1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6.xml" ContentType="application/vnd.openxmlformats-officedocument.spreadsheetml.comments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Workbook_App_well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apps\"/>
    </mc:Choice>
  </mc:AlternateContent>
  <xr:revisionPtr revIDLastSave="0" documentId="13_ncr:1_{B46A7F45-B799-42D2-A931-6FAE9B500CBE}" xr6:coauthVersionLast="45" xr6:coauthVersionMax="45" xr10:uidLastSave="{00000000-0000-0000-0000-000000000000}"/>
  <bookViews>
    <workbookView xWindow="-36300" yWindow="2565" windowWidth="23655" windowHeight="11595" tabRatio="529" activeTab="6" xr2:uid="{00000000-000D-0000-FFFF-FFFF00000000}"/>
  </bookViews>
  <sheets>
    <sheet name="Unifloc" sheetId="6" r:id="rId1"/>
    <sheet name="PVT" sheetId="4" r:id="rId2"/>
    <sheet name="Construction" sheetId="3" r:id="rId3"/>
    <sheet name="ESP" sheetId="7" r:id="rId4"/>
    <sheet name="GasLift" sheetId="8" r:id="rId5"/>
    <sheet name="Calc ESP" sheetId="2" r:id="rId6"/>
    <sheet name="Calc GasLift" sheetId="9" r:id="rId7"/>
    <sheet name="Calc Self Flow" sheetId="10" r:id="rId8"/>
  </sheets>
  <externalReferences>
    <externalReference r:id="rId9"/>
  </externalReferences>
  <definedNames>
    <definedName name="betta_fric_" localSheetId="6">'Calc GasLift'!$H$7</definedName>
    <definedName name="betta_fric_" localSheetId="7">'Calc Self Flow'!$H$7</definedName>
    <definedName name="betta_fric_">'Calc ESP'!$H$7</definedName>
    <definedName name="betta_grav_" localSheetId="6">'Calc GasLift'!$H$6</definedName>
    <definedName name="betta_grav_" localSheetId="7">'Calc Self Flow'!$H$6</definedName>
    <definedName name="betta_grav_">'Calc ESP'!$H$6</definedName>
    <definedName name="bo_list1_">PVT!$G$60:$G$100</definedName>
    <definedName name="bo_list2_">PVT!$H$60:$H$100</definedName>
    <definedName name="bo_list3_">PVT!$I$60:$I$100</definedName>
    <definedName name="Bob_m3m3_" localSheetId="1">PVT!$G$16</definedName>
    <definedName name="correlation_MF_fontan_" localSheetId="5">'Calc ESP'!$J$2</definedName>
    <definedName name="correlation_MF_fontan_" localSheetId="6">'Calc GasLift'!$J$2</definedName>
    <definedName name="correlation_MF_fontan_" localSheetId="7">'Calc Self Flow'!$J$2</definedName>
    <definedName name="correlation_PVT_fontan_" localSheetId="5">'Calc ESP'!$E$2</definedName>
    <definedName name="correlation_PVT_fontan_" localSheetId="6">'Calc GasLift'!$E$2</definedName>
    <definedName name="correlation_PVT_fontan_" localSheetId="7">'Calc Self Flow'!$E$2</definedName>
    <definedName name="correlation_T_fontan_" localSheetId="5">'Calc ESP'!$O$2</definedName>
    <definedName name="correlation_T_fontan_" localSheetId="6">'Calc GasLift'!$O$2</definedName>
    <definedName name="correlation_T_fontan_" localSheetId="7">'Calc Self Flow'!$O$2</definedName>
    <definedName name="d_valves_mm_">GasLift!$C$11:$C$20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ESP_eff_list_">ESP!$K$8:$K$29</definedName>
    <definedName name="ESP_freq_">ESP!$C$6</definedName>
    <definedName name="ESP_head_list_">ESP!$I$8:$I$29</definedName>
    <definedName name="ESP_head_nom_">ESP!$C$5</definedName>
    <definedName name="ESP_ID_">ESP!$C$7</definedName>
    <definedName name="ESP_name_">ESP!$C$8</definedName>
    <definedName name="ESP_power_list_">ESP!$J$8:$J$29</definedName>
    <definedName name="ESP_qmax_">ESP!$C$9</definedName>
    <definedName name="ESP_rate_list_">ESP!$H$8:$H$29</definedName>
    <definedName name="ESP_rate_nom_">ESP!$C$4</definedName>
    <definedName name="ESP_stages_">ESP!$C$10</definedName>
    <definedName name="Freq_" localSheetId="3">ESP!$C$34</definedName>
    <definedName name="fw_perc_">PVT!$K$9</definedName>
    <definedName name="gamma_gas_" localSheetId="1">PVT!$G$9</definedName>
    <definedName name="gamma_gas_diff_total_">PVT!$R$35</definedName>
    <definedName name="gamma_gas_new_">PVT!$R$34</definedName>
    <definedName name="gamma_oil_" localSheetId="1">PVT!$G$8</definedName>
    <definedName name="gamma_oil_new_">PVT!$R$33</definedName>
    <definedName name="gamma_w_" localSheetId="1">PVT!$G$10</definedName>
    <definedName name="gamma_wat_">PVT!$G$10</definedName>
    <definedName name="gammas">PVT!$R$33:$R$34</definedName>
    <definedName name="gasfrac_list1_">PVT!$P$60:$P$100</definedName>
    <definedName name="gasfrac_list2_">PVT!$Q$60:$Q$100</definedName>
    <definedName name="gasfrac_list3_">PVT!$R$60:$R$99</definedName>
    <definedName name="Head_ESP_" localSheetId="3">ESP!$C$33</definedName>
    <definedName name="Hlout_" localSheetId="6">'Calc GasLift'!$U$16:$U$36</definedName>
    <definedName name="Hlout_" localSheetId="7">'Calc Self Flow'!$S$16:$S$36</definedName>
    <definedName name="Hlout_">'Calc ESP'!$S$16:$S$36</definedName>
    <definedName name="Hlout_hmes_m_" localSheetId="6">'Calc GasLift'!$T$16:$T$36</definedName>
    <definedName name="Hlout_hmes_m_" localSheetId="7">'Calc Self Flow'!$R$16:$R$36</definedName>
    <definedName name="Hlout_hmes_m_">'Calc ESP'!$R$16:$R$36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 localSheetId="6">'Calc GasLift'!$C$17:$C$352</definedName>
    <definedName name="Hmes_mes_m_" localSheetId="7">'Calc Self Flow'!$C$17:$C$352</definedName>
    <definedName name="Hmes_mes_m_">'Calc ESP'!$C$17:$C$352</definedName>
    <definedName name="hmes_out_" localSheetId="6">'Calc GasLift'!$H$16:$H$36</definedName>
    <definedName name="hmes_out_" localSheetId="7">'Calc Self Flow'!$H$16:$H$36</definedName>
    <definedName name="hmes_out_">'Calc ESP'!$H$16:$H$36</definedName>
    <definedName name="hmes_tamb_m_">Construction!$E$19:$E$38</definedName>
    <definedName name="hmes_tamb_out_m_" localSheetId="5">'Calc ESP'!$K$16:$K$36</definedName>
    <definedName name="hmes_tamb_out_m_" localSheetId="6">'Calc GasLift'!$K$16:$K$36</definedName>
    <definedName name="hmes_tamb_out_m_" localSheetId="7">'Calc Self Flow'!$K$16:$K$36</definedName>
    <definedName name="hmes_tamb_out_m_">Construction!$S$18:$S$38</definedName>
    <definedName name="Hmes_valves_m_">GasLift!$B$11:$B$20</definedName>
    <definedName name="Hout_" localSheetId="6">'Calc GasLift'!$N$17:$N$36</definedName>
    <definedName name="Hout_" localSheetId="7">'Calc Self Flow'!$N$17:$N$36</definedName>
    <definedName name="Hout_">'Calc ESP'!$N$17:$N$36</definedName>
    <definedName name="Hperf_m_">Construction!$C$9</definedName>
    <definedName name="Hpump_">ESP!$C$16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5">'Calc ESP'!$L$16:$L$36</definedName>
    <definedName name="hvert_tamb_out_m_" localSheetId="6">'Calc GasLift'!$L$16:$L$36</definedName>
    <definedName name="hvert_tamb_out_m_" localSheetId="7">'Calc Self Flow'!$L$16:$L$36</definedName>
    <definedName name="HydrCorr_" localSheetId="6">'Calc GasLift'!$AA$6</definedName>
    <definedName name="HydrCorr_" localSheetId="7">'Calc Self Flow'!$AA$6</definedName>
    <definedName name="HydrCorr_">'Calc ESP'!$AA$6</definedName>
    <definedName name="HydrCorr_selector_" localSheetId="6">'Calc GasLift'!$AB$3</definedName>
    <definedName name="HydrCorr_selector_" localSheetId="7">'Calc Self Flow'!$AB$3</definedName>
    <definedName name="HydrCorr_selector_">'Calc ESP'!$AB$3</definedName>
    <definedName name="Ksep_" localSheetId="1">PVT!$O$8</definedName>
    <definedName name="mu_cP_" localSheetId="1">PVT!$G$17</definedName>
    <definedName name="muo_list1_">PVT!$M$60:$M$100</definedName>
    <definedName name="muo_list2_">PVT!$N$60:$N$100</definedName>
    <definedName name="muo_list3_">PVT!$O$60:$O$100</definedName>
    <definedName name="NumValves_">GasLift!$C$5</definedName>
    <definedName name="P_atma_" localSheetId="1">PVT!$C$8</definedName>
    <definedName name="p_charge_GLV_">GasLift!$D$11:$D$20</definedName>
    <definedName name="P_mes_atma_" localSheetId="6">'Calc GasLift'!$D$17:$D$352</definedName>
    <definedName name="P_mes_atma_" localSheetId="7">'Calc Self Flow'!$D$17:$D$352</definedName>
    <definedName name="P_mes_atma_">'Calc ESP'!$D$17:$D$352</definedName>
    <definedName name="Pb_atma_" localSheetId="1">PVT!$G$15</definedName>
    <definedName name="Pb_diff_">PVT!$W$34</definedName>
    <definedName name="Pbuf_atma_" localSheetId="6">'Calc GasLift'!$Q$6</definedName>
    <definedName name="Pbuf_atma_" localSheetId="7">'Calc Self Flow'!$Q$6</definedName>
    <definedName name="Pbuf_atma_">'Calc ESP'!$R$7</definedName>
    <definedName name="Pbuf_out_atma_" localSheetId="6">'Calc GasLift'!$Q$11</definedName>
    <definedName name="Pbuf_out_atma_" localSheetId="7">'Calc Self Flow'!$Q$11</definedName>
    <definedName name="Pbuf_out_atma_" localSheetId="4">Calc GasLift!$Q$11</definedName>
    <definedName name="Pbuf_out_atma_">'Calc ESP'!$R$12</definedName>
    <definedName name="Pcas_atma_" localSheetId="6">'Calc GasLift'!$Q$8</definedName>
    <definedName name="Pcas_atma_">'Calc ESP'!$R$9</definedName>
    <definedName name="Pcas_hmes_" localSheetId="6">'Calc GasLift'!$Y$16:$Y$36</definedName>
    <definedName name="Pcas_hmes_">'Calc ESP'!$W$16:$W$36</definedName>
    <definedName name="Pcas_out_atma_" localSheetId="6">'Calc GasLift'!$Z$16:$Z$36</definedName>
    <definedName name="Pcas_out_atma_">'Calc ESP'!$X$16:$X$36</definedName>
    <definedName name="Plin_mes_atma_" localSheetId="6">'Calc GasLift'!$D$16</definedName>
    <definedName name="Plin_mes_atma_" localSheetId="7">'Calc Self Flow'!$D$16</definedName>
    <definedName name="Plin_mes_atma_">'Calc ESP'!$D$16</definedName>
    <definedName name="Pline_atma_" localSheetId="6">'Calc GasLift'!$Q$5</definedName>
    <definedName name="Pline_atma_" localSheetId="7">'Calc Self Flow'!$Q$5</definedName>
    <definedName name="Pline_atma_">'Calc ESP'!$R$6</definedName>
    <definedName name="Pline_out_atma_" localSheetId="6">'Calc GasLift'!$Q$10</definedName>
    <definedName name="Pline_out_atma_" localSheetId="7">'Calc Self Flow'!$Q$10</definedName>
    <definedName name="Pline_out_atma_" localSheetId="4">'Calc GasLift'!$Q$11</definedName>
    <definedName name="Pline_out_atma_">'Calc ESP'!$R$11</definedName>
    <definedName name="pmes_out_" localSheetId="6">'Calc GasLift'!$I$16:$I$36</definedName>
    <definedName name="pmes_out_" localSheetId="7">'Calc Self Flow'!$I$16:$I$36</definedName>
    <definedName name="pmes_out_">'Calc ESP'!$I$16:$I$36</definedName>
    <definedName name="Pout_" localSheetId="6">'Calc GasLift'!$O$17:$O$36</definedName>
    <definedName name="Pout_" localSheetId="7">'Calc Self Flow'!$O$17:$O$36</definedName>
    <definedName name="Pout_">'Calc ESP'!$O$17:$O$36</definedName>
    <definedName name="Pout_atma_" localSheetId="6">'Calc GasLift'!$O$16:$O$36</definedName>
    <definedName name="Pout_atma_" localSheetId="7">'Calc Self Flow'!$O$16:$O$36</definedName>
    <definedName name="Pout_atma_">'Calc ESP'!$O$16:$O$36</definedName>
    <definedName name="Pout_hmes_m_" localSheetId="6">'Calc GasLift'!$N$16:$N$36</definedName>
    <definedName name="Pout_hmes_m_" localSheetId="7">'Calc Self Flow'!$N$16:$N$36</definedName>
    <definedName name="Pout_hmes_m_">'Calc ESP'!$N$16:$N$36</definedName>
    <definedName name="Power_Motor_nom_">ESP!$C$14</definedName>
    <definedName name="press_list0_">PVT!$B$60:$B$100</definedName>
    <definedName name="press_list1_">PVT!$C$60:$C$100</definedName>
    <definedName name="Psc_atma_" localSheetId="1">PVT!$K$2</definedName>
    <definedName name="Psep_atma_" localSheetId="1">PVT!$O$9</definedName>
    <definedName name="pts_">ESP!$H$5</definedName>
    <definedName name="PumpID_" localSheetId="3">ESP!$C$35</definedName>
    <definedName name="PVT_correlation_" localSheetId="1">PVT!$H$3</definedName>
    <definedName name="PVT_selector_" localSheetId="6">'Calc GasLift'!$X$3</definedName>
    <definedName name="PVT_selector_" localSheetId="7">'Calc Self Flow'!$X$3</definedName>
    <definedName name="PVT_selector_">'Calc ESP'!$X$3</definedName>
    <definedName name="PVTstr_">PVT!$C$19</definedName>
    <definedName name="Pwf_atma_" localSheetId="6">'Calc GasLift'!$Q$7</definedName>
    <definedName name="Pwf_atma_" localSheetId="7">'Calc Self Flow'!$Q$7</definedName>
    <definedName name="Pwf_atma_">'Calc ESP'!$R$8</definedName>
    <definedName name="Pwf_out_atma_" localSheetId="6">'Calc GasLift'!$Q$12</definedName>
    <definedName name="Pwf_out_atma_" localSheetId="7">'Calc Self Flow'!$Q$12</definedName>
    <definedName name="Pwf_out_atma_" localSheetId="4">'Calc GasLift'!$Q$12</definedName>
    <definedName name="Pwf_out_atma_">'Calc ESP'!$R$13</definedName>
    <definedName name="Q_ESP_" localSheetId="3">ESP!$C$32</definedName>
    <definedName name="Qg_scm3day_">'Calc GasLift'!$C$11</definedName>
    <definedName name="Ql_scm3day_">PVT!$K$8</definedName>
    <definedName name="Qo_sctday_">PVT!$K$10</definedName>
    <definedName name="rhoo_list1_">PVT!$J$60:$J$100</definedName>
    <definedName name="rhoo_list2_">PVT!$K$60:$K$100</definedName>
    <definedName name="rhoo_list3_">PVT!$L$60:$L$100</definedName>
    <definedName name="Rp_m3m3_">PVT!$K$11</definedName>
    <definedName name="Rp_tm3_" localSheetId="1">PVT!$K$12</definedName>
    <definedName name="rs_list1_">PVT!$D$60:$D$100</definedName>
    <definedName name="rs_list2_">PVT!$E$60:$E$100</definedName>
    <definedName name="rs_list3_">PVT!$F$60:$F$100</definedName>
    <definedName name="Rsb_m3m3_" localSheetId="1">PVT!$G$11</definedName>
    <definedName name="solver_adj" localSheetId="1" hidden="1">PVT!$R$33:$R$34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PVT!$R$33</definedName>
    <definedName name="solver_lhs10" localSheetId="1" hidden="1">PVT!$R$34</definedName>
    <definedName name="solver_lhs11" localSheetId="1" hidden="1">PVT!$R$34</definedName>
    <definedName name="solver_lhs12" localSheetId="1" hidden="1">PVT!$R$34</definedName>
    <definedName name="solver_lhs13" localSheetId="1" hidden="1">PVT!$R$34</definedName>
    <definedName name="solver_lhs14" localSheetId="1" hidden="1">PVT!$R$34</definedName>
    <definedName name="solver_lhs15" localSheetId="1" hidden="1">PVT!$R$34</definedName>
    <definedName name="solver_lhs16" localSheetId="1" hidden="1">PVT!$R$34</definedName>
    <definedName name="solver_lhs17" localSheetId="1" hidden="1">PVT!$R$34</definedName>
    <definedName name="solver_lhs18" localSheetId="1" hidden="1">PVT!$R$34</definedName>
    <definedName name="solver_lhs19" localSheetId="1" hidden="1">PVT!$R$34</definedName>
    <definedName name="solver_lhs2" localSheetId="1" hidden="1">PVT!$R$34</definedName>
    <definedName name="solver_lhs20" localSheetId="1" hidden="1">PVT!$R$34</definedName>
    <definedName name="solver_lhs21" localSheetId="1" hidden="1">PVT!$R$34</definedName>
    <definedName name="solver_lhs22" localSheetId="1" hidden="1">PVT!$R$34</definedName>
    <definedName name="solver_lhs23" localSheetId="1" hidden="1">PVT!$R$34</definedName>
    <definedName name="solver_lhs24" localSheetId="1" hidden="1">PVT!$R$34</definedName>
    <definedName name="solver_lhs25" localSheetId="1" hidden="1">PVT!$R$34</definedName>
    <definedName name="solver_lhs26" localSheetId="1" hidden="1">PVT!$R$34</definedName>
    <definedName name="solver_lhs27" localSheetId="1" hidden="1">PVT!$R$34</definedName>
    <definedName name="solver_lhs28" localSheetId="1" hidden="1">PVT!$R$34</definedName>
    <definedName name="solver_lhs29" localSheetId="1" hidden="1">PVT!$R$34</definedName>
    <definedName name="solver_lhs3" localSheetId="1" hidden="1">PVT!$R$34</definedName>
    <definedName name="solver_lhs30" localSheetId="1" hidden="1">PVT!$R$34</definedName>
    <definedName name="solver_lhs31" localSheetId="1" hidden="1">PVT!$R$34</definedName>
    <definedName name="solver_lhs32" localSheetId="1" hidden="1">PVT!$R$34</definedName>
    <definedName name="solver_lhs33" localSheetId="1" hidden="1">PVT!$R$34</definedName>
    <definedName name="solver_lhs34" localSheetId="1" hidden="1">PVT!$R$34</definedName>
    <definedName name="solver_lhs35" localSheetId="1" hidden="1">PVT!$R$33</definedName>
    <definedName name="solver_lhs36" localSheetId="1" hidden="1">PVT!$R$33</definedName>
    <definedName name="solver_lhs37" localSheetId="1" hidden="1">PVT!$R$34</definedName>
    <definedName name="solver_lhs38" localSheetId="1" hidden="1">PVT!$R$34</definedName>
    <definedName name="solver_lhs39" localSheetId="1" hidden="1">PVT!$R$33</definedName>
    <definedName name="solver_lhs4" localSheetId="1" hidden="1">PVT!$R$34</definedName>
    <definedName name="solver_lhs40" localSheetId="1" hidden="1">PVT!$R$33</definedName>
    <definedName name="solver_lhs41" localSheetId="1" hidden="1">PVT!$R$34</definedName>
    <definedName name="solver_lhs42" localSheetId="1" hidden="1">PVT!$R$34</definedName>
    <definedName name="solver_lhs43" localSheetId="1" hidden="1">PVT!$R$33</definedName>
    <definedName name="solver_lhs44" localSheetId="1" hidden="1">PVT!$R$33</definedName>
    <definedName name="solver_lhs45" localSheetId="1" hidden="1">PVT!$R$34</definedName>
    <definedName name="solver_lhs46" localSheetId="1" hidden="1">PVT!$R$34</definedName>
    <definedName name="solver_lhs47" localSheetId="1" hidden="1">PVT!$R$33</definedName>
    <definedName name="solver_lhs48" localSheetId="1" hidden="1">PVT!$R$33</definedName>
    <definedName name="solver_lhs49" localSheetId="1" hidden="1">PVT!$R$34</definedName>
    <definedName name="solver_lhs5" localSheetId="1" hidden="1">PVT!$R$34</definedName>
    <definedName name="solver_lhs50" localSheetId="1" hidden="1">PVT!$R$34</definedName>
    <definedName name="solver_lhs51" localSheetId="1" hidden="1">PVT!$R$33</definedName>
    <definedName name="solver_lhs52" localSheetId="1" hidden="1">PVT!$R$33</definedName>
    <definedName name="solver_lhs53" localSheetId="1" hidden="1">PVT!$R$34</definedName>
    <definedName name="solver_lhs54" localSheetId="1" hidden="1">PVT!$R$34</definedName>
    <definedName name="solver_lhs6" localSheetId="1" hidden="1">PVT!$R$34</definedName>
    <definedName name="solver_lhs7" localSheetId="1" hidden="1">PVT!$R$34</definedName>
    <definedName name="solver_lhs8" localSheetId="1" hidden="1">PVT!$R$34</definedName>
    <definedName name="solver_lhs9" localSheetId="1" hidden="1">PVT!$R$34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PVT!$R$35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PVT!$B$57</definedName>
    <definedName name="T_mes_C_" localSheetId="6">'Calc GasLift'!$E$17:$E$352</definedName>
    <definedName name="T_mes_C_" localSheetId="7">'Calc Self Flow'!$E$17:$E$352</definedName>
    <definedName name="T_mes_C_">'Calc ESP'!$E$17:$E$352</definedName>
    <definedName name="tamb_C_">Construction!$F$19:$F$38</definedName>
    <definedName name="tamb_out_C_" localSheetId="5">'Calc ESP'!$M$16:$M$36</definedName>
    <definedName name="tamb_out_C_" localSheetId="6">'Calc GasLift'!$M$16:$M$36</definedName>
    <definedName name="tamb_out_C_" localSheetId="7">'Calc Self Flow'!$M$16:$M$36</definedName>
    <definedName name="tamb_out_C_">Construction!$T$18:$T$38</definedName>
    <definedName name="Tbh_c_" localSheetId="6">'Calc GasLift'!$M$6</definedName>
    <definedName name="Tbh_c_" localSheetId="7">'Calc Self Flow'!$M$6</definedName>
    <definedName name="Tbh_c_">'Calc ESP'!$M$6</definedName>
    <definedName name="Tbuf_out_C_" localSheetId="6">'Calc GasLift'!$T$11</definedName>
    <definedName name="Tbuf_out_C_" localSheetId="7">'Calc Self Flow'!$T$11</definedName>
    <definedName name="Tbuf_out_C_">'Calc ESP'!$U$12</definedName>
    <definedName name="Tlin_mes_C_" localSheetId="6">'Calc GasLift'!$E$16</definedName>
    <definedName name="Tlin_mes_C_" localSheetId="7">'Calc Self Flow'!$E$16</definedName>
    <definedName name="Tlin_mes_C_">'Calc ESP'!$E$16</definedName>
    <definedName name="Tline_out_C_" localSheetId="6">'Calc GasLift'!$T$10</definedName>
    <definedName name="Tline_out_C_" localSheetId="7">'Calc Self Flow'!$T$10</definedName>
    <definedName name="Tline_out_C_">'Calc ESP'!$U$11</definedName>
    <definedName name="tmes_out_" localSheetId="6">'Calc GasLift'!$J$16:$J$36</definedName>
    <definedName name="tmes_out_" localSheetId="7">'Calc Self Flow'!$J$16:$J$36</definedName>
    <definedName name="tmes_out_">'Calc ESP'!$J$16:$J$36</definedName>
    <definedName name="Tout_C_" localSheetId="6">'Calc GasLift'!$Q$16:$Q$36</definedName>
    <definedName name="Tout_C_" localSheetId="7">'Calc Self Flow'!$Q$16:$Q$36</definedName>
    <definedName name="Tout_C_">'Calc ESP'!$Q$16:$Q$36</definedName>
    <definedName name="Tout_hmes_m_" localSheetId="6">'Calc GasLift'!$P$16:$P$36</definedName>
    <definedName name="Tout_hmes_m_" localSheetId="7">'Calc Self Flow'!$P$16:$P$36</definedName>
    <definedName name="Tout_hmes_m_">'Calc ESP'!$P$16:$P$36</definedName>
    <definedName name="Toutcas_C_">'Calc GasLift'!$S$16:$S$36</definedName>
    <definedName name="Toutcas_hmes_m_">'Calc GasLift'!$R$16:$R$36</definedName>
    <definedName name="Tres_C_" localSheetId="1">PVT!$G$14</definedName>
    <definedName name="Tsc_C_" localSheetId="1">PVT!$K$3</definedName>
    <definedName name="Tsep_C_" localSheetId="1">PVT!$O$10</definedName>
    <definedName name="Twf_out_C_" localSheetId="6">'Calc GasLift'!$T$12</definedName>
    <definedName name="Twf_out_C_" localSheetId="7">'Calc Self Flow'!$T$12</definedName>
    <definedName name="Twf_out_C_">'Calc ESP'!$U$13</definedName>
    <definedName name="Twh_C_" localSheetId="6">'Calc GasLift'!$M$7</definedName>
    <definedName name="Twh_C_">'Calc ESP'!$M$7</definedName>
    <definedName name="U_V_">ESP!$C$13</definedName>
    <definedName name="udl_out_m_">Construction!$R$18:$R$38</definedName>
    <definedName name="версия_">Unifloc!$A$1</definedName>
    <definedName name="версия_номер_">Unifloc!$B$1</definedName>
  </definedNames>
  <calcPr calcId="191029"/>
  <extLst>
    <ext xmlns:x14="http://schemas.microsoft.com/office/spreadsheetml/2009/9/main" uri="{8193D73E-4604-4355-AFF4-8A2333D13BE4}">
      <x14:definedNames>
        <x14:definedName name="MF_dp_choke_atm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_mix_cP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p_choke_atma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_mix_rc_m3day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liq_choke_sm3day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p_gas_fraction_m3m3">
          <x14:argumentDescriptions count="5">
            <x14:argumentDescription index="0">Доля свободного газа в потоке, безразмерная величина</x14:argumentDescription>
            <x14:argumentDescription index="1">Давление расчета, атма</x14:argumentDescription>
            <x14:argumentDescription index="2">Температура расчета, С</x14:argumentDescription>
            <x14:argumentDescription index="3">Обводненность объемная на поверхности, %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decode_string">
          <x14:argumentDescriptions count="2">
            <x14:argumentDescription index="0">PVT строка для раскодировки</x14:argumentDescription>
            <x14:argumentDescription index="1">Флаг проверки раскодировки. Если 1, то возвращается повторно закодированная строка, если 0 - то возвращается PVT объект (применимо только в коде VBA)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_gas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oil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wat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5">
            <x14:argumentDescription index="0">Температура расчета, С</x14:argumentDescription>
            <x14:argumentDescription index="1">Относительная плотность газа, по воздуху (плотность воздуха 1.2217 кг/м3)</x14:argumentDescription>
            <x14:argumentDescription index="2">Относительная плотность нефти, по воде</x14:argumentDescription>
            <x14:argumentDescription index="3">Относительная плотность воды</x14:argumentDescription>
            <x14:argumentDescription index="4">Газосодержание в нефти при давлении насыщения (в пластовых условиях), м3/м3</x14:argumentDescription>
            <x14:argumentDescription index="5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6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7">Температура пластовая (соответствует давлению насыщения), С</x14:argumentDescription>
            <x14:argumentDescription index="8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9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0">Набор PVT корреляций. 0 - на основе Стендинга, 1 - на основе Валко Маккейна</x14:argumentDescription>
            <x14:argumentDescription index="11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2">Давление при котором произошла сепарация части свободного газа, атма</x14:argumentDescription>
            <x14:argumentDescription index="13">Температура при которой произошла сепарация части свободного газа, С</x14:argumentDescription>
            <x14:argumentDescription index="1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inity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liq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oil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wat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F10" i="9" l="1"/>
  <c r="V34" i="4"/>
  <c r="I35" i="4"/>
  <c r="C36" i="4"/>
  <c r="C19" i="4"/>
  <c r="G24" i="4"/>
  <c r="I37" i="4"/>
  <c r="T34" i="4"/>
  <c r="I34" i="4"/>
  <c r="E35" i="4"/>
  <c r="B1" i="6"/>
  <c r="C33" i="4"/>
  <c r="V35" i="4"/>
  <c r="M41" i="4"/>
  <c r="I33" i="4"/>
  <c r="C35" i="4"/>
  <c r="I38" i="4"/>
  <c r="M38" i="4"/>
  <c r="C46" i="4"/>
  <c r="E34" i="4"/>
  <c r="E33" i="4"/>
  <c r="E38" i="4"/>
  <c r="C7" i="7"/>
  <c r="C9" i="7" s="1"/>
  <c r="M37" i="4"/>
  <c r="C45" i="4"/>
  <c r="C34" i="4"/>
  <c r="C41" i="4"/>
  <c r="C50" i="4"/>
  <c r="M36" i="4"/>
  <c r="C44" i="4"/>
  <c r="C38" i="4"/>
  <c r="C37" i="4"/>
  <c r="V37" i="4"/>
  <c r="M35" i="4"/>
  <c r="T37" i="4"/>
  <c r="M34" i="4"/>
  <c r="E36" i="4"/>
  <c r="M33" i="4"/>
  <c r="E37" i="4"/>
  <c r="T35" i="4"/>
  <c r="I36" i="4"/>
  <c r="C24" i="4"/>
  <c r="C8" i="7"/>
  <c r="C10" i="7"/>
  <c r="V36" i="4"/>
  <c r="C29" i="4"/>
  <c r="T36" i="4"/>
  <c r="C28" i="4"/>
  <c r="C27" i="4"/>
  <c r="B57" i="4" l="1"/>
  <c r="W39" i="4"/>
  <c r="W38" i="4"/>
  <c r="AB37" i="4"/>
  <c r="AA37" i="4"/>
  <c r="AB36" i="4"/>
  <c r="AA36" i="4"/>
  <c r="AD35" i="4"/>
  <c r="AD34" i="4"/>
  <c r="C26" i="4"/>
  <c r="G25" i="4"/>
  <c r="C25" i="4"/>
  <c r="K12" i="4"/>
  <c r="K10" i="4"/>
  <c r="H3" i="4"/>
  <c r="W37" i="4" l="1"/>
  <c r="AB35" i="4" s="1"/>
  <c r="W35" i="4"/>
  <c r="AB34" i="4" s="1"/>
  <c r="U37" i="4"/>
  <c r="AA35" i="4" s="1"/>
  <c r="U35" i="4"/>
  <c r="AA34" i="4" s="1"/>
  <c r="W36" i="4"/>
  <c r="AB39" i="4" s="1"/>
  <c r="U36" i="4"/>
  <c r="AA39" i="4" s="1"/>
  <c r="B80" i="4"/>
  <c r="W34" i="4"/>
  <c r="F38" i="4"/>
  <c r="F34" i="4"/>
  <c r="F35" i="4"/>
  <c r="F37" i="4"/>
  <c r="F36" i="4"/>
  <c r="F33" i="4"/>
  <c r="U34" i="4"/>
  <c r="AA33" i="4" s="1"/>
  <c r="O2" i="9"/>
  <c r="J2" i="9"/>
  <c r="C10" i="2"/>
  <c r="C9" i="2"/>
  <c r="C6" i="2"/>
  <c r="R35" i="4" l="1"/>
  <c r="AD33" i="4" s="1"/>
  <c r="AB33" i="4"/>
  <c r="B61" i="4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1" i="4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E2" i="2"/>
  <c r="E2" i="9"/>
  <c r="C8" i="2"/>
  <c r="V18" i="10" l="1"/>
  <c r="V17" i="10"/>
  <c r="V16" i="10"/>
  <c r="O2" i="10"/>
  <c r="J2" i="10"/>
  <c r="E2" i="10"/>
  <c r="X18" i="9"/>
  <c r="X17" i="9"/>
  <c r="X16" i="9"/>
  <c r="H5" i="7" l="1"/>
  <c r="C16" i="7"/>
  <c r="U18" i="2" l="1"/>
  <c r="V18" i="2"/>
  <c r="V17" i="2"/>
  <c r="V16" i="2"/>
  <c r="A4" i="6"/>
  <c r="A1" i="6"/>
  <c r="A1" i="4" s="1"/>
  <c r="A1" i="10" l="1"/>
  <c r="A1" i="9"/>
  <c r="A1" i="8"/>
  <c r="A1" i="2"/>
  <c r="A1" i="7"/>
  <c r="A1" i="3"/>
  <c r="O2" i="2" l="1"/>
  <c r="J2" i="2"/>
  <c r="C7" i="2" l="1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4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4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3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3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4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4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4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5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5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5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5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6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6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7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7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8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8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8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8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9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9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9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40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40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40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9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51FB8876-3AC2-46D5-88E7-9A7C7FBFA7E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8398F41A-6DB7-48D2-BAEC-C22FC8B7173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4EEB3847-8D49-4184-B2AD-635A26366E0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5DDAABD9-81B8-4333-B91C-BF8D86BCBF0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53FD05B6-9814-470E-B9F9-41EA6FDBDB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893AABCE-78E5-4A03-93FC-8F749FB1D3B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994519C-DE1C-456A-AF46-5A264F796E8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3F2FEF5B-41E1-4F96-99C1-B6CD8385FB3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C2CCE89E-3BC9-4AB0-B69D-108710E9C724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E659F8AB-A731-46DC-A333-94A77134951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C71CEA1F-11C1-4F2F-B2A9-11126185204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E55D2CF-0ECF-4CB0-960B-C1AF92CC9FF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AE85BFBD-D2E0-4F28-B45A-E8C4B03099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BE00E118-D1EE-4893-AD14-F476231891E7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1A3D2AE4-E807-4862-BB7D-0C4B6009E51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28711583-A18C-4F35-B2F8-75317CE29F0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61CC350-E68A-48A6-8047-5A3C39D2EDB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917549DD-9915-4336-AA0A-324C4DBDB85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722109D0-DC45-42B8-9034-975CBDAE1A5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4226DED0-8401-4978-8DA6-16A640ED3051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<sst xmlns="http://schemas.openxmlformats.org/spreadsheetml/2006/main" count="464" uniqueCount="222">
  <si>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</si>
  <si>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</si>
  <si>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</si>
  <si>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</si>
  <si>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</si>
  <si>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</si>
  <si>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</si>
  <si>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</si>
  <si>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</si>
  <si>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</si>
  <si>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</si>
  <si>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</si>
  <si>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</si>
  <si>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</si>
  <si>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</si>
  <si>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</si>
  <si>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</si>
  <si>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</si>
  <si>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</si>
  <si>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</si>
  <si>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</si>
  <si>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</si>
  <si>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</si>
  <si>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</si>
  <si>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</si>
  <si>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</si>
  <si>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</si>
  <si>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</si>
  <si>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</si>
  <si>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</si>
  <si>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</si>
  <si>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</si>
  <si>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</si>
  <si>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</si>
  <si>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</si>
  <si>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</si>
  <si>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</si>
  <si>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</si>
  <si>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</si>
  <si>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</si>
  <si>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</si>
  <si>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</si>
  <si>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</si>
  <si>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</si>
  <si>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</si>
  <si>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</si>
  <si>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</si>
  <si>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</si>
  <si>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</si>
  <si>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</si>
  <si>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</si>
  <si>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</si>
  <si>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</si>
  <si>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</si>
  <si>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</si>
  <si>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</si>
  <si>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</si>
  <si>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</si>
  <si>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</si>
  <si>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</si>
  <si>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</si>
  <si>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</si>
  <si>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</si>
  <si>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</si>
  <si>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</si>
  <si>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</si>
  <si>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</si>
  <si>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</si>
  <si>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</si>
  <si>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</si>
  <si>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</si>
  <si>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</si>
  <si>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</si>
  <si>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</si>
  <si>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</si>
  <si>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</si>
  <si>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</si>
  <si>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</si>
  <si>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</si>
  <si>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</si>
  <si>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</si>
  <si>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</si>
  <si>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</si>
  <si>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</si>
  <si>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</si>
  <si>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</si>
  <si>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</si>
  <si>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</si>
  <si>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</si>
  <si>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</si>
  <si>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</si>
  <si>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</si>
  <si>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</si>
  <si>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</si>
  <si>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</si>
  <si>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</si>
  <si>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</si>
  <si>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</si>
  <si>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</si>
  <si>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</si>
  <si>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</si>
  <si>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</si>
  <si>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</si>
  <si>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</si>
  <si>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</si>
  <si>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</si>
  <si>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</si>
  <si>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</si>
  <si>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</si>
  <si>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</si>
  <si>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</si>
  <si>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</si>
  <si>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</si>
  <si>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</si>
  <si>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</si>
  <si>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</si>
  <si>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</si>
  <si>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</si>
  <si>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</si>
  <si>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</si>
  <si>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</si>
  <si>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</si>
  <si>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</si>
  <si>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</si>
  <si>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</si>
  <si>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</si>
  <si>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</si>
  <si>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</si>
  <si>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</si>
  <si>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</si>
  <si>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</si>
  <si>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</si>
  <si>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</si>
  <si>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</si>
  <si>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</si>
  <si>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</si>
  <si>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</si>
  <si>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</si>
  <si>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</si>
  <si>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</si>
  <si>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</si>
  <si>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</si>
  <si>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</si>
  <si>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</si>
  <si>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</si>
  <si>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</si>
  <si>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</si>
  <si>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</si>
  <si>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</si>
  <si>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</si>
  <si>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</si>
  <si>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</si>
  <si>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</si>
  <si>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</si>
  <si>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</si>
  <si>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</si>
  <si>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</si>
  <si>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</si>
  <si>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</si>
  <si>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</si>
  <si>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</si>
  <si>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</si>
  <si>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</si>
  <si>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</si>
  <si>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</si>
  <si>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</si>
  <si>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</si>
  <si>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</si>
  <si>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</si>
  <si>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</si>
  <si>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</si>
  <si>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</si>
  <si>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</si>
  <si>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</si>
  <si>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</si>
  <si>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</si>
  <si>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</si>
  <si>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</si>
  <si>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</si>
  <si>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</si>
  <si>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</si>
  <si>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</si>
  <si>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</si>
  <si>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</si>
  <si>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</si>
  <si>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</si>
  <si>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</si>
  <si>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</si>
  <si>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</si>
  <si>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</si>
  <si>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</si>
  <si>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</si>
  <si>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</si>
  <si>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</si>
  <si>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</si>
  <si>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</si>
  <si>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</si>
  <si>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</si>
  <si>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</si>
  <si>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hmes ptub</t>
  </si>
  <si>
    <t>атмa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</si>
  <si>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</si>
  <si>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buf</t>
    </r>
  </si>
  <si>
    <t>Ввод данных по газлифтной компоновке</t>
  </si>
  <si>
    <t>Кол-клапанов</t>
  </si>
  <si>
    <t>Глубины расположения клапанов</t>
  </si>
  <si>
    <t>Диаметр</t>
  </si>
  <si>
    <t>Давление зарядки</t>
  </si>
  <si>
    <t>Qg_inj</t>
  </si>
  <si>
    <t>Tcas</t>
  </si>
  <si>
    <t>pcas</t>
  </si>
  <si>
    <t>PVT строка</t>
  </si>
  <si>
    <t>hmes_m</t>
  </si>
  <si>
    <t>p_tub_atma</t>
  </si>
  <si>
    <t>t_tub_C</t>
  </si>
  <si>
    <t>Hl_tub</t>
  </si>
  <si>
    <t>t_amb_C</t>
  </si>
  <si>
    <t>p_cas_atma</t>
  </si>
  <si>
    <t>ptub</t>
  </si>
  <si>
    <t>hmes ttub</t>
  </si>
  <si>
    <t>ttub</t>
  </si>
  <si>
    <t>hmes tamb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</si>
</sst>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72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2" xfId="0" applyBorder="1"/>
    <xf numFmtId="0" fontId="0" fillId="8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Font="1"/>
    <xf numFmtId="0" fontId="10" fillId="0" borderId="0" xfId="0" applyFont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0" xfId="0" applyFont="1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  <xf numFmtId="165" fontId="0" fillId="4" borderId="0" xfId="0" applyNumberFormat="1" applyFill="1" applyAlignment="1">
      <alignment horizontal="center"/>
    </xf>
    <xf numFmtId="0" fontId="16" fillId="0" borderId="0" xfId="0" applyFont="1"/>
    <xf numFmtId="165" fontId="9" fillId="3" borderId="0" xfId="0" applyNumberFormat="1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PVT!$D$59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PVT!$D$60:$D$100</c:f>
              <c:numCache>
                <c:formatCode>General</c:formatCode>
                <c:ptCount val="41"/>
                <c:pt idx="0">
                  <c:v>0.22133449984131653</c:v>
                </c:pt>
                <c:pt idx="1">
                  <c:v>3.0887329328011783</c:v>
                </c:pt>
                <c:pt idx="2">
                  <c:v>6.6387474283119117</c:v>
                </c:pt>
                <c:pt idx="3">
                  <c:v>10.559821160221242</c:v>
                </c:pt>
                <c:pt idx="4">
                  <c:v>14.749652823764176</c:v>
                </c:pt>
                <c:pt idx="5">
                  <c:v>19.153796211618481</c:v>
                </c:pt>
                <c:pt idx="6">
                  <c:v>23.737795176178491</c:v>
                </c:pt>
                <c:pt idx="7">
                  <c:v>28.47764684886506</c:v>
                </c:pt>
                <c:pt idx="8">
                  <c:v>33.35556181374119</c:v>
                </c:pt>
                <c:pt idx="9">
                  <c:v>38.357769170054588</c:v>
                </c:pt>
                <c:pt idx="10">
                  <c:v>43.473258349515447</c:v>
                </c:pt>
                <c:pt idx="11">
                  <c:v>48.693002790850187</c:v>
                </c:pt>
                <c:pt idx="12">
                  <c:v>54.009453359823191</c:v>
                </c:pt>
                <c:pt idx="13">
                  <c:v>59.416192888107162</c:v>
                </c:pt>
                <c:pt idx="14">
                  <c:v>64.907692027368626</c:v>
                </c:pt>
                <c:pt idx="15">
                  <c:v>70.479131537404214</c:v>
                </c:pt>
                <c:pt idx="16">
                  <c:v>76.126269679158824</c:v>
                </c:pt>
                <c:pt idx="17">
                  <c:v>81.845341145515235</c:v>
                </c:pt>
                <c:pt idx="18">
                  <c:v>87.632978606387155</c:v>
                </c:pt>
                <c:pt idx="19">
                  <c:v>93.486150827600156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PVT!$E$59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PVT!$E$60:$E$100</c:f>
              <c:numCache>
                <c:formatCode>General</c:formatCode>
                <c:ptCount val="41"/>
                <c:pt idx="0">
                  <c:v>0.22133449984131653</c:v>
                </c:pt>
                <c:pt idx="1">
                  <c:v>3.0887329328011783</c:v>
                </c:pt>
                <c:pt idx="2">
                  <c:v>6.6387474283119117</c:v>
                </c:pt>
                <c:pt idx="3">
                  <c:v>10.559821160221242</c:v>
                </c:pt>
                <c:pt idx="4">
                  <c:v>14.749652823764176</c:v>
                </c:pt>
                <c:pt idx="5">
                  <c:v>19.153796211618481</c:v>
                </c:pt>
                <c:pt idx="6">
                  <c:v>23.737795176178491</c:v>
                </c:pt>
                <c:pt idx="7">
                  <c:v>28.47764684886506</c:v>
                </c:pt>
                <c:pt idx="8">
                  <c:v>33.35556181374119</c:v>
                </c:pt>
                <c:pt idx="9">
                  <c:v>38.357769170054588</c:v>
                </c:pt>
                <c:pt idx="10">
                  <c:v>43.473258349515447</c:v>
                </c:pt>
                <c:pt idx="11">
                  <c:v>48.693002790850187</c:v>
                </c:pt>
                <c:pt idx="12">
                  <c:v>54.009453359823191</c:v>
                </c:pt>
                <c:pt idx="13">
                  <c:v>59.416192888107162</c:v>
                </c:pt>
                <c:pt idx="14">
                  <c:v>64.907692027368626</c:v>
                </c:pt>
                <c:pt idx="15">
                  <c:v>70.479131537404214</c:v>
                </c:pt>
                <c:pt idx="16">
                  <c:v>76.126269679158824</c:v>
                </c:pt>
                <c:pt idx="17">
                  <c:v>81.845341145515235</c:v>
                </c:pt>
                <c:pt idx="18">
                  <c:v>87.632978606387155</c:v>
                </c:pt>
                <c:pt idx="19">
                  <c:v>93.486150827600156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PVT!$F$59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PVT!$F$60:$F$100</c:f>
              <c:numCache>
                <c:formatCode>General</c:formatCode>
                <c:ptCount val="41"/>
                <c:pt idx="0">
                  <c:v>0.32387326600458816</c:v>
                </c:pt>
                <c:pt idx="1">
                  <c:v>4.5196660415770866</c:v>
                </c:pt>
                <c:pt idx="2">
                  <c:v>9.7143139154918909</c:v>
                </c:pt>
                <c:pt idx="3">
                  <c:v>15.451923536715594</c:v>
                </c:pt>
                <c:pt idx="4">
                  <c:v>21.582799951616824</c:v>
                </c:pt>
                <c:pt idx="5">
                  <c:v>28.02727337984204</c:v>
                </c:pt>
                <c:pt idx="6">
                  <c:v>34.73492499799508</c:v>
                </c:pt>
                <c:pt idx="7">
                  <c:v>41.670632005763373</c:v>
                </c:pt>
                <c:pt idx="8">
                  <c:v>48.808363593472151</c:v>
                </c:pt>
                <c:pt idx="9">
                  <c:v>56.127969144721035</c:v>
                </c:pt>
                <c:pt idx="10">
                  <c:v>63.613337168914832</c:v>
                </c:pt>
                <c:pt idx="11">
                  <c:v>71.251259323555828</c:v>
                </c:pt>
                <c:pt idx="12">
                  <c:v>79.030689148367188</c:v>
                </c:pt>
                <c:pt idx="13">
                  <c:v>86.942236560618142</c:v>
                </c:pt>
                <c:pt idx="14">
                  <c:v>94.977810602482876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PVT!$J$59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PVT!$J$60:$J$100</c:f>
              <c:numCache>
                <c:formatCode>General</c:formatCode>
                <c:ptCount val="41"/>
                <c:pt idx="0">
                  <c:v>812.69444661495402</c:v>
                </c:pt>
                <c:pt idx="1">
                  <c:v>809.65951242407903</c:v>
                </c:pt>
                <c:pt idx="2">
                  <c:v>805.79974819189056</c:v>
                </c:pt>
                <c:pt idx="3">
                  <c:v>801.43205687044724</c:v>
                </c:pt>
                <c:pt idx="4">
                  <c:v>796.67179863460842</c:v>
                </c:pt>
                <c:pt idx="5">
                  <c:v>791.59077586696787</c:v>
                </c:pt>
                <c:pt idx="6">
                  <c:v>786.24241980003603</c:v>
                </c:pt>
                <c:pt idx="7">
                  <c:v>780.66991005783223</c:v>
                </c:pt>
                <c:pt idx="8">
                  <c:v>774.90966455393152</c:v>
                </c:pt>
                <c:pt idx="9">
                  <c:v>768.99314102737299</c:v>
                </c:pt>
                <c:pt idx="10">
                  <c:v>762.94789919024106</c:v>
                </c:pt>
                <c:pt idx="11">
                  <c:v>756.79829368021569</c:v>
                </c:pt>
                <c:pt idx="12">
                  <c:v>750.5659629744581</c:v>
                </c:pt>
                <c:pt idx="13">
                  <c:v>744.27019589375584</c:v>
                </c:pt>
                <c:pt idx="14">
                  <c:v>737.92821948048061</c:v>
                </c:pt>
                <c:pt idx="15">
                  <c:v>731.55543336893948</c:v>
                </c:pt>
                <c:pt idx="16">
                  <c:v>725.16560589762162</c:v>
                </c:pt>
                <c:pt idx="17">
                  <c:v>718.77104168184712</c:v>
                </c:pt>
                <c:pt idx="18">
                  <c:v>712.38272710885713</c:v>
                </c:pt>
                <c:pt idx="19">
                  <c:v>706.01045821739103</c:v>
                </c:pt>
                <c:pt idx="20">
                  <c:v>699.66295414972035</c:v>
                </c:pt>
                <c:pt idx="21">
                  <c:v>699.77003805889399</c:v>
                </c:pt>
                <c:pt idx="22">
                  <c:v>700.45389858349188</c:v>
                </c:pt>
                <c:pt idx="23">
                  <c:v>701.08518507354279</c:v>
                </c:pt>
                <c:pt idx="24">
                  <c:v>701.66973558480652</c:v>
                </c:pt>
                <c:pt idx="25">
                  <c:v>702.21255467818173</c:v>
                </c:pt>
                <c:pt idx="26">
                  <c:v>702.71795703536384</c:v>
                </c:pt>
                <c:pt idx="27">
                  <c:v>703.18968236976821</c:v>
                </c:pt>
                <c:pt idx="28">
                  <c:v>703.630988110217</c:v>
                </c:pt>
                <c:pt idx="29">
                  <c:v>704.04472471657823</c:v>
                </c:pt>
                <c:pt idx="30">
                  <c:v>704.43339730930245</c:v>
                </c:pt>
                <c:pt idx="31">
                  <c:v>704.79921642898523</c:v>
                </c:pt>
                <c:pt idx="32">
                  <c:v>705.14414009876521</c:v>
                </c:pt>
                <c:pt idx="33">
                  <c:v>705.46990887979132</c:v>
                </c:pt>
                <c:pt idx="34">
                  <c:v>705.77807524472541</c:v>
                </c:pt>
                <c:pt idx="35">
                  <c:v>706.07002831545401</c:v>
                </c:pt>
                <c:pt idx="36">
                  <c:v>706.34701479668433</c:v>
                </c:pt>
                <c:pt idx="37">
                  <c:v>706.6101567708464</c:v>
                </c:pt>
                <c:pt idx="38">
                  <c:v>706.86046688994088</c:v>
                </c:pt>
                <c:pt idx="39">
                  <c:v>707.09886139799448</c:v>
                </c:pt>
                <c:pt idx="40">
                  <c:v>707.32617133713416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PVT!$K$59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PVT!$K$60:$K$100</c:f>
              <c:numCache>
                <c:formatCode>General</c:formatCode>
                <c:ptCount val="41"/>
                <c:pt idx="0">
                  <c:v>812.69444661495402</c:v>
                </c:pt>
                <c:pt idx="1">
                  <c:v>809.65951242407903</c:v>
                </c:pt>
                <c:pt idx="2">
                  <c:v>805.79974819189056</c:v>
                </c:pt>
                <c:pt idx="3">
                  <c:v>801.43205687044724</c:v>
                </c:pt>
                <c:pt idx="4">
                  <c:v>796.67179863460842</c:v>
                </c:pt>
                <c:pt idx="5">
                  <c:v>791.59077586696787</c:v>
                </c:pt>
                <c:pt idx="6">
                  <c:v>786.24241980003603</c:v>
                </c:pt>
                <c:pt idx="7">
                  <c:v>780.66991005783223</c:v>
                </c:pt>
                <c:pt idx="8">
                  <c:v>774.90966455393152</c:v>
                </c:pt>
                <c:pt idx="9">
                  <c:v>768.99314102737299</c:v>
                </c:pt>
                <c:pt idx="10">
                  <c:v>762.94789919024106</c:v>
                </c:pt>
                <c:pt idx="11">
                  <c:v>756.79829368021569</c:v>
                </c:pt>
                <c:pt idx="12">
                  <c:v>750.5659629744581</c:v>
                </c:pt>
                <c:pt idx="13">
                  <c:v>744.27019589375584</c:v>
                </c:pt>
                <c:pt idx="14">
                  <c:v>737.92821948048061</c:v>
                </c:pt>
                <c:pt idx="15">
                  <c:v>731.55543336893948</c:v>
                </c:pt>
                <c:pt idx="16">
                  <c:v>725.16560589762162</c:v>
                </c:pt>
                <c:pt idx="17">
                  <c:v>718.77104168184712</c:v>
                </c:pt>
                <c:pt idx="18">
                  <c:v>712.38272710885713</c:v>
                </c:pt>
                <c:pt idx="19">
                  <c:v>706.01045821739103</c:v>
                </c:pt>
                <c:pt idx="20">
                  <c:v>699.66295414972035</c:v>
                </c:pt>
                <c:pt idx="21">
                  <c:v>699.77003805889399</c:v>
                </c:pt>
                <c:pt idx="22">
                  <c:v>700.45389858349188</c:v>
                </c:pt>
                <c:pt idx="23">
                  <c:v>701.08518507354279</c:v>
                </c:pt>
                <c:pt idx="24">
                  <c:v>701.66973558480652</c:v>
                </c:pt>
                <c:pt idx="25">
                  <c:v>702.21255467818173</c:v>
                </c:pt>
                <c:pt idx="26">
                  <c:v>702.71795703536384</c:v>
                </c:pt>
                <c:pt idx="27">
                  <c:v>703.18968236976821</c:v>
                </c:pt>
                <c:pt idx="28">
                  <c:v>703.630988110217</c:v>
                </c:pt>
                <c:pt idx="29">
                  <c:v>704.04472471657823</c:v>
                </c:pt>
                <c:pt idx="30">
                  <c:v>704.43339730930245</c:v>
                </c:pt>
                <c:pt idx="31">
                  <c:v>704.79921642898523</c:v>
                </c:pt>
                <c:pt idx="32">
                  <c:v>705.14414009876521</c:v>
                </c:pt>
                <c:pt idx="33">
                  <c:v>705.46990887979132</c:v>
                </c:pt>
                <c:pt idx="34">
                  <c:v>705.77807524472541</c:v>
                </c:pt>
                <c:pt idx="35">
                  <c:v>706.07002831545401</c:v>
                </c:pt>
                <c:pt idx="36">
                  <c:v>706.34701479668433</c:v>
                </c:pt>
                <c:pt idx="37">
                  <c:v>706.6101567708464</c:v>
                </c:pt>
                <c:pt idx="38">
                  <c:v>706.86046688994088</c:v>
                </c:pt>
                <c:pt idx="39">
                  <c:v>707.09886139799448</c:v>
                </c:pt>
                <c:pt idx="40">
                  <c:v>707.32617133713416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PVT!$L$59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PVT!$L$60:$L$100</c:f>
              <c:numCache>
                <c:formatCode>General</c:formatCode>
                <c:ptCount val="41"/>
                <c:pt idx="0">
                  <c:v>813.6114333995265</c:v>
                </c:pt>
                <c:pt idx="1">
                  <c:v>810.19552367166784</c:v>
                </c:pt>
                <c:pt idx="2">
                  <c:v>805.76802734183332</c:v>
                </c:pt>
                <c:pt idx="3">
                  <c:v>800.6850306145534</c:v>
                </c:pt>
                <c:pt idx="4">
                  <c:v>795.09006529504654</c:v>
                </c:pt>
                <c:pt idx="5">
                  <c:v>789.08014768945714</c:v>
                </c:pt>
                <c:pt idx="6">
                  <c:v>782.73105245114311</c:v>
                </c:pt>
                <c:pt idx="7">
                  <c:v>776.10549255445778</c:v>
                </c:pt>
                <c:pt idx="8">
                  <c:v>769.25680133764808</c:v>
                </c:pt>
                <c:pt idx="9">
                  <c:v>762.23097880475586</c:v>
                </c:pt>
                <c:pt idx="10">
                  <c:v>755.06800512130371</c:v>
                </c:pt>
                <c:pt idx="11">
                  <c:v>747.8027721559663</c:v>
                </c:pt>
                <c:pt idx="12">
                  <c:v>740.46579153001471</c:v>
                </c:pt>
                <c:pt idx="13">
                  <c:v>733.0837594549497</c:v>
                </c:pt>
                <c:pt idx="14">
                  <c:v>725.68002288909963</c:v>
                </c:pt>
                <c:pt idx="15">
                  <c:v>721.65294081447314</c:v>
                </c:pt>
                <c:pt idx="16">
                  <c:v>722.74813097838</c:v>
                </c:pt>
                <c:pt idx="17">
                  <c:v>723.71680633270137</c:v>
                </c:pt>
                <c:pt idx="18">
                  <c:v>724.57969128688705</c:v>
                </c:pt>
                <c:pt idx="19">
                  <c:v>725.35321826223662</c:v>
                </c:pt>
                <c:pt idx="20">
                  <c:v>726.05058404575288</c:v>
                </c:pt>
                <c:pt idx="21">
                  <c:v>726.61325332573233</c:v>
                </c:pt>
                <c:pt idx="22">
                  <c:v>727.13079349083807</c:v>
                </c:pt>
                <c:pt idx="23">
                  <c:v>727.60842448387507</c:v>
                </c:pt>
                <c:pt idx="24">
                  <c:v>728.05059111760636</c:v>
                </c:pt>
                <c:pt idx="25">
                  <c:v>728.46110179965547</c:v>
                </c:pt>
                <c:pt idx="26">
                  <c:v>728.84323849440977</c:v>
                </c:pt>
                <c:pt idx="27">
                  <c:v>729.19984464702839</c:v>
                </c:pt>
                <c:pt idx="28">
                  <c:v>729.53339605574047</c:v>
                </c:pt>
                <c:pt idx="29">
                  <c:v>729.84605842968892</c:v>
                </c:pt>
                <c:pt idx="30">
                  <c:v>730.13973446189891</c:v>
                </c:pt>
                <c:pt idx="31">
                  <c:v>730.41610257995467</c:v>
                </c:pt>
                <c:pt idx="32">
                  <c:v>730.67664904180367</c:v>
                </c:pt>
                <c:pt idx="33">
                  <c:v>730.9226946729267</c:v>
                </c:pt>
                <c:pt idx="34">
                  <c:v>731.15541726037884</c:v>
                </c:pt>
                <c:pt idx="35">
                  <c:v>731.37587040507015</c:v>
                </c:pt>
                <c:pt idx="36">
                  <c:v>731.58499946900258</c:v>
                </c:pt>
                <c:pt idx="37">
                  <c:v>731.78365512664641</c:v>
                </c:pt>
                <c:pt idx="38">
                  <c:v>731.97260493012948</c:v>
                </c:pt>
                <c:pt idx="39">
                  <c:v>732.15254321976624</c:v>
                </c:pt>
                <c:pt idx="40">
                  <c:v>732.32409964968542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PVT!$G$59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PVT!$G$60:$G$100</c:f>
              <c:numCache>
                <c:formatCode>General</c:formatCode>
                <c:ptCount val="41"/>
                <c:pt idx="0">
                  <c:v>1.0092222070264942</c:v>
                </c:pt>
                <c:pt idx="1">
                  <c:v>1.0160338276689369</c:v>
                </c:pt>
                <c:pt idx="2">
                  <c:v>1.0246682159754086</c:v>
                </c:pt>
                <c:pt idx="3">
                  <c:v>1.0344366017692548</c:v>
                </c:pt>
                <c:pt idx="4">
                  <c:v>1.0451151365284252</c:v>
                </c:pt>
                <c:pt idx="5">
                  <c:v>1.0565814565817695</c:v>
                </c:pt>
                <c:pt idx="6">
                  <c:v>1.0687547553977417</c:v>
                </c:pt>
                <c:pt idx="7">
                  <c:v>1.0815759489771175</c:v>
                </c:pt>
                <c:pt idx="8">
                  <c:v>1.0949990453350944</c:v>
                </c:pt>
                <c:pt idx="9">
                  <c:v>1.1089867192797012</c:v>
                </c:pt>
                <c:pt idx="10">
                  <c:v>1.1235077738829775</c:v>
                </c:pt>
                <c:pt idx="11">
                  <c:v>1.1385355599398232</c:v>
                </c:pt>
                <c:pt idx="12">
                  <c:v>1.1540469287817461</c:v>
                </c:pt>
                <c:pt idx="13">
                  <c:v>1.1700215040188016</c:v>
                </c:pt>
                <c:pt idx="14">
                  <c:v>1.1864411551590539</c:v>
                </c:pt>
                <c:pt idx="15">
                  <c:v>1.2032896050620017</c:v>
                </c:pt>
                <c:pt idx="16">
                  <c:v>1.2205521295667709</c:v>
                </c:pt>
                <c:pt idx="17">
                  <c:v>1.2382153226592771</c:v>
                </c:pt>
                <c:pt idx="18">
                  <c:v>1.2562669095114691</c:v>
                </c:pt>
                <c:pt idx="19">
                  <c:v>1.2746955953011505</c:v>
                </c:pt>
                <c:pt idx="20">
                  <c:v>1.2934909413098128</c:v>
                </c:pt>
                <c:pt idx="21">
                  <c:v>1.2940236802819354</c:v>
                </c:pt>
                <c:pt idx="22">
                  <c:v>1.2927603113227086</c:v>
                </c:pt>
                <c:pt idx="23">
                  <c:v>1.2915962557460294</c:v>
                </c:pt>
                <c:pt idx="24">
                  <c:v>1.2905202463168735</c:v>
                </c:pt>
                <c:pt idx="25">
                  <c:v>1.2895226580148398</c:v>
                </c:pt>
                <c:pt idx="26">
                  <c:v>1.2885952193682597</c:v>
                </c:pt>
                <c:pt idx="27">
                  <c:v>1.2877307826081528</c:v>
                </c:pt>
                <c:pt idx="28">
                  <c:v>1.2869231391187097</c:v>
                </c:pt>
                <c:pt idx="29">
                  <c:v>1.286166870101225</c:v>
                </c:pt>
                <c:pt idx="30">
                  <c:v>1.2854572248544385</c:v>
                </c:pt>
                <c:pt idx="31">
                  <c:v>1.2847900208913456</c:v>
                </c:pt>
                <c:pt idx="32">
                  <c:v>1.2841615614548956</c:v>
                </c:pt>
                <c:pt idx="33">
                  <c:v>1.2835685669965209</c:v>
                </c:pt>
                <c:pt idx="34">
                  <c:v>1.2830081179356772</c:v>
                </c:pt>
                <c:pt idx="35">
                  <c:v>1.2824776065915056</c:v>
                </c:pt>
                <c:pt idx="36">
                  <c:v>1.281974696616571</c:v>
                </c:pt>
                <c:pt idx="37">
                  <c:v>1.2814972886013294</c:v>
                </c:pt>
                <c:pt idx="38">
                  <c:v>1.2810434907813149</c:v>
                </c:pt>
                <c:pt idx="39">
                  <c:v>1.2806115939851919</c:v>
                </c:pt>
                <c:pt idx="40">
                  <c:v>1.2802000501242599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PVT!$H$59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PVT!$H$60:$H$100</c:f>
              <c:numCache>
                <c:formatCode>General</c:formatCode>
                <c:ptCount val="41"/>
                <c:pt idx="0">
                  <c:v>1.0092222070264942</c:v>
                </c:pt>
                <c:pt idx="1">
                  <c:v>1.0160338276689369</c:v>
                </c:pt>
                <c:pt idx="2">
                  <c:v>1.0246682159754086</c:v>
                </c:pt>
                <c:pt idx="3">
                  <c:v>1.0344366017692548</c:v>
                </c:pt>
                <c:pt idx="4">
                  <c:v>1.0451151365284252</c:v>
                </c:pt>
                <c:pt idx="5">
                  <c:v>1.0565814565817695</c:v>
                </c:pt>
                <c:pt idx="6">
                  <c:v>1.0687547553977417</c:v>
                </c:pt>
                <c:pt idx="7">
                  <c:v>1.0815759489771175</c:v>
                </c:pt>
                <c:pt idx="8">
                  <c:v>1.0949990453350944</c:v>
                </c:pt>
                <c:pt idx="9">
                  <c:v>1.1089867192797012</c:v>
                </c:pt>
                <c:pt idx="10">
                  <c:v>1.1235077738829775</c:v>
                </c:pt>
                <c:pt idx="11">
                  <c:v>1.1385355599398232</c:v>
                </c:pt>
                <c:pt idx="12">
                  <c:v>1.1540469287817461</c:v>
                </c:pt>
                <c:pt idx="13">
                  <c:v>1.1700215040188016</c:v>
                </c:pt>
                <c:pt idx="14">
                  <c:v>1.1864411551590539</c:v>
                </c:pt>
                <c:pt idx="15">
                  <c:v>1.2032896050620017</c:v>
                </c:pt>
                <c:pt idx="16">
                  <c:v>1.2205521295667709</c:v>
                </c:pt>
                <c:pt idx="17">
                  <c:v>1.2382153226592771</c:v>
                </c:pt>
                <c:pt idx="18">
                  <c:v>1.2562669095114691</c:v>
                </c:pt>
                <c:pt idx="19">
                  <c:v>1.2746955953011505</c:v>
                </c:pt>
                <c:pt idx="20">
                  <c:v>1.2934909413098128</c:v>
                </c:pt>
                <c:pt idx="21">
                  <c:v>1.2940236802819354</c:v>
                </c:pt>
                <c:pt idx="22">
                  <c:v>1.2927603113227086</c:v>
                </c:pt>
                <c:pt idx="23">
                  <c:v>1.2915962557460294</c:v>
                </c:pt>
                <c:pt idx="24">
                  <c:v>1.2905202463168735</c:v>
                </c:pt>
                <c:pt idx="25">
                  <c:v>1.2895226580148398</c:v>
                </c:pt>
                <c:pt idx="26">
                  <c:v>1.2885952193682597</c:v>
                </c:pt>
                <c:pt idx="27">
                  <c:v>1.2877307826081528</c:v>
                </c:pt>
                <c:pt idx="28">
                  <c:v>1.2869231391187097</c:v>
                </c:pt>
                <c:pt idx="29">
                  <c:v>1.286166870101225</c:v>
                </c:pt>
                <c:pt idx="30">
                  <c:v>1.2854572248544385</c:v>
                </c:pt>
                <c:pt idx="31">
                  <c:v>1.2847900208913456</c:v>
                </c:pt>
                <c:pt idx="32">
                  <c:v>1.2841615614548956</c:v>
                </c:pt>
                <c:pt idx="33">
                  <c:v>1.2835685669965209</c:v>
                </c:pt>
                <c:pt idx="34">
                  <c:v>1.2830081179356772</c:v>
                </c:pt>
                <c:pt idx="35">
                  <c:v>1.2824776065915056</c:v>
                </c:pt>
                <c:pt idx="36">
                  <c:v>1.281974696616571</c:v>
                </c:pt>
                <c:pt idx="37">
                  <c:v>1.2814972886013294</c:v>
                </c:pt>
                <c:pt idx="38">
                  <c:v>1.2810434907813149</c:v>
                </c:pt>
                <c:pt idx="39">
                  <c:v>1.2806115939851919</c:v>
                </c:pt>
                <c:pt idx="40">
                  <c:v>1.2802000501242599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PVT!$I$59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PVT!$I$60:$I$100</c:f>
              <c:numCache>
                <c:formatCode>General</c:formatCode>
                <c:ptCount val="41"/>
                <c:pt idx="0">
                  <c:v>1.0081925345505252</c:v>
                </c:pt>
                <c:pt idx="1">
                  <c:v>1.0168720378365952</c:v>
                </c:pt>
                <c:pt idx="2">
                  <c:v>1.0279727614036913</c:v>
                </c:pt>
                <c:pt idx="3">
                  <c:v>1.0406268365599929</c:v>
                </c:pt>
                <c:pt idx="4">
                  <c:v>1.0545439206053764</c:v>
                </c:pt>
                <c:pt idx="5">
                  <c:v>1.0695601028526336</c:v>
                </c:pt>
                <c:pt idx="6">
                  <c:v>1.0855643938593744</c:v>
                </c:pt>
                <c:pt idx="7">
                  <c:v>1.1024742331983566</c:v>
                </c:pt>
                <c:pt idx="8">
                  <c:v>1.1202246414500789</c:v>
                </c:pt>
                <c:pt idx="9">
                  <c:v>1.1387625300850055</c:v>
                </c:pt>
                <c:pt idx="10">
                  <c:v>1.1580433601778812</c:v>
                </c:pt>
                <c:pt idx="11">
                  <c:v>1.1780290168236751</c:v>
                </c:pt>
                <c:pt idx="12">
                  <c:v>1.1986863744492291</c:v>
                </c:pt>
                <c:pt idx="13">
                  <c:v>1.2199862836263469</c:v>
                </c:pt>
                <c:pt idx="14">
                  <c:v>1.2419028296537036</c:v>
                </c:pt>
                <c:pt idx="15">
                  <c:v>1.2547846046023337</c:v>
                </c:pt>
                <c:pt idx="16">
                  <c:v>1.2528832122667741</c:v>
                </c:pt>
                <c:pt idx="17">
                  <c:v>1.2512062620026014</c:v>
                </c:pt>
                <c:pt idx="18">
                  <c:v>1.2497162298211206</c:v>
                </c:pt>
                <c:pt idx="19">
                  <c:v>1.2483835146818472</c:v>
                </c:pt>
                <c:pt idx="20">
                  <c:v>1.2471844522928415</c:v>
                </c:pt>
                <c:pt idx="21">
                  <c:v>1.2462186670218445</c:v>
                </c:pt>
                <c:pt idx="22">
                  <c:v>1.2453316626198001</c:v>
                </c:pt>
                <c:pt idx="23">
                  <c:v>1.2445141775843576</c:v>
                </c:pt>
                <c:pt idx="24">
                  <c:v>1.2437583473560097</c:v>
                </c:pt>
                <c:pt idx="25">
                  <c:v>1.2430574505116674</c:v>
                </c:pt>
                <c:pt idx="26">
                  <c:v>1.24240570835308</c:v>
                </c:pt>
                <c:pt idx="27">
                  <c:v>1.2417981252290577</c:v>
                </c:pt>
                <c:pt idx="28">
                  <c:v>1.241230360249078</c:v>
                </c:pt>
                <c:pt idx="29">
                  <c:v>1.2406986234169473</c:v>
                </c:pt>
                <c:pt idx="30">
                  <c:v>1.2401995909281018</c:v>
                </c:pt>
                <c:pt idx="31">
                  <c:v>1.2397303356286258</c:v>
                </c:pt>
                <c:pt idx="32">
                  <c:v>1.2392882695614831</c:v>
                </c:pt>
                <c:pt idx="33">
                  <c:v>1.2388710962179135</c:v>
                </c:pt>
                <c:pt idx="34">
                  <c:v>1.2384767706337418</c:v>
                </c:pt>
                <c:pt idx="35">
                  <c:v>1.2381034658669847</c:v>
                </c:pt>
                <c:pt idx="36">
                  <c:v>1.237749544697119</c:v>
                </c:pt>
                <c:pt idx="37">
                  <c:v>1.2374135356211065</c:v>
                </c:pt>
                <c:pt idx="38">
                  <c:v>1.2370941124038874</c:v>
                </c:pt>
                <c:pt idx="39">
                  <c:v>1.2367900765840749</c:v>
                </c:pt>
                <c:pt idx="40">
                  <c:v>1.2365003424483285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PVT!$M$59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PVT!$M$60:$M$100</c:f>
              <c:numCache>
                <c:formatCode>General</c:formatCode>
                <c:ptCount val="41"/>
                <c:pt idx="0">
                  <c:v>3.3044756497159629</c:v>
                </c:pt>
                <c:pt idx="1">
                  <c:v>2.8692299574223319</c:v>
                </c:pt>
                <c:pt idx="2">
                  <c:v>2.467608617320697</c:v>
                </c:pt>
                <c:pt idx="3">
                  <c:v>2.1384432351703304</c:v>
                </c:pt>
                <c:pt idx="4">
                  <c:v>1.8731955772024904</c:v>
                </c:pt>
                <c:pt idx="5">
                  <c:v>1.6587219755804925</c:v>
                </c:pt>
                <c:pt idx="6">
                  <c:v>1.4836154068872971</c:v>
                </c:pt>
                <c:pt idx="7">
                  <c:v>1.3389996535141873</c:v>
                </c:pt>
                <c:pt idx="8">
                  <c:v>1.2181739837006491</c:v>
                </c:pt>
                <c:pt idx="9">
                  <c:v>1.1161054890791837</c:v>
                </c:pt>
                <c:pt idx="10">
                  <c:v>1.0289955473553698</c:v>
                </c:pt>
                <c:pt idx="11">
                  <c:v>0.95395120053608207</c:v>
                </c:pt>
                <c:pt idx="12">
                  <c:v>0.88874568945707777</c:v>
                </c:pt>
                <c:pt idx="13">
                  <c:v>0.83164596399528379</c:v>
                </c:pt>
                <c:pt idx="14">
                  <c:v>0.78128839451663201</c:v>
                </c:pt>
                <c:pt idx="15">
                  <c:v>0.73658868417240253</c:v>
                </c:pt>
                <c:pt idx="16">
                  <c:v>0.69667600911415128</c:v>
                </c:pt>
                <c:pt idx="17">
                  <c:v>0.66084439859759458</c:v>
                </c:pt>
                <c:pt idx="18">
                  <c:v>0.62851647490383256</c:v>
                </c:pt>
                <c:pt idx="19">
                  <c:v>0.59921613443936683</c:v>
                </c:pt>
                <c:pt idx="20">
                  <c:v>0.57254775958806015</c:v>
                </c:pt>
                <c:pt idx="21">
                  <c:v>0.57395072927628998</c:v>
                </c:pt>
                <c:pt idx="22">
                  <c:v>0.57810149023025281</c:v>
                </c:pt>
                <c:pt idx="23">
                  <c:v>0.58244612908654436</c:v>
                </c:pt>
                <c:pt idx="24">
                  <c:v>0.58697899268556808</c:v>
                </c:pt>
                <c:pt idx="25">
                  <c:v>0.59169487136950238</c:v>
                </c:pt>
                <c:pt idx="26">
                  <c:v>0.5965889493417289</c:v>
                </c:pt>
                <c:pt idx="27">
                  <c:v>0.60165676131776724</c:v>
                </c:pt>
                <c:pt idx="28">
                  <c:v>0.60689415450444917</c:v>
                </c:pt>
                <c:pt idx="29">
                  <c:v>0.61229725511668265</c:v>
                </c:pt>
                <c:pt idx="30">
                  <c:v>0.61786243877856295</c:v>
                </c:pt>
                <c:pt idx="31">
                  <c:v>0.62358630426582551</c:v>
                </c:pt>
                <c:pt idx="32">
                  <c:v>0.62946565013569655</c:v>
                </c:pt>
                <c:pt idx="33">
                  <c:v>0.63549745386263079</c:v>
                </c:pt>
                <c:pt idx="34">
                  <c:v>0.64167885315771311</c:v>
                </c:pt>
                <c:pt idx="35">
                  <c:v>0.64800712919830705</c:v>
                </c:pt>
                <c:pt idx="36">
                  <c:v>0.65447969153491636</c:v>
                </c:pt>
                <c:pt idx="37">
                  <c:v>0.66109406447584729</c:v>
                </c:pt>
                <c:pt idx="38">
                  <c:v>0.66784787477834562</c:v>
                </c:pt>
                <c:pt idx="39">
                  <c:v>0.67473884049848276</c:v>
                </c:pt>
                <c:pt idx="40">
                  <c:v>0.68176476087196758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PVT!$N$59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PVT!$N$60:$N$100</c:f>
              <c:numCache>
                <c:formatCode>General</c:formatCode>
                <c:ptCount val="41"/>
                <c:pt idx="0">
                  <c:v>3.3044756497159629</c:v>
                </c:pt>
                <c:pt idx="1">
                  <c:v>2.8692299574223319</c:v>
                </c:pt>
                <c:pt idx="2">
                  <c:v>2.467608617320697</c:v>
                </c:pt>
                <c:pt idx="3">
                  <c:v>2.1384432351703304</c:v>
                </c:pt>
                <c:pt idx="4">
                  <c:v>1.8731955772024904</c:v>
                </c:pt>
                <c:pt idx="5">
                  <c:v>1.6587219755804925</c:v>
                </c:pt>
                <c:pt idx="6">
                  <c:v>1.4836154068872971</c:v>
                </c:pt>
                <c:pt idx="7">
                  <c:v>1.3389996535141873</c:v>
                </c:pt>
                <c:pt idx="8">
                  <c:v>1.2181739837006491</c:v>
                </c:pt>
                <c:pt idx="9">
                  <c:v>1.1161054890791837</c:v>
                </c:pt>
                <c:pt idx="10">
                  <c:v>1.0289955473553698</c:v>
                </c:pt>
                <c:pt idx="11">
                  <c:v>0.95395120053608207</c:v>
                </c:pt>
                <c:pt idx="12">
                  <c:v>0.88874568945707777</c:v>
                </c:pt>
                <c:pt idx="13">
                  <c:v>0.83164596399528379</c:v>
                </c:pt>
                <c:pt idx="14">
                  <c:v>0.78128839451663201</c:v>
                </c:pt>
                <c:pt idx="15">
                  <c:v>0.73658868417240253</c:v>
                </c:pt>
                <c:pt idx="16">
                  <c:v>0.69667600911415128</c:v>
                </c:pt>
                <c:pt idx="17">
                  <c:v>0.66084439859759458</c:v>
                </c:pt>
                <c:pt idx="18">
                  <c:v>0.62851647490383256</c:v>
                </c:pt>
                <c:pt idx="19">
                  <c:v>0.59921613443936683</c:v>
                </c:pt>
                <c:pt idx="20">
                  <c:v>0.57254775958806015</c:v>
                </c:pt>
                <c:pt idx="21">
                  <c:v>0.57395072927628998</c:v>
                </c:pt>
                <c:pt idx="22">
                  <c:v>0.57810149023025281</c:v>
                </c:pt>
                <c:pt idx="23">
                  <c:v>0.58244612908654436</c:v>
                </c:pt>
                <c:pt idx="24">
                  <c:v>0.58697899268556808</c:v>
                </c:pt>
                <c:pt idx="25">
                  <c:v>0.59169487136950238</c:v>
                </c:pt>
                <c:pt idx="26">
                  <c:v>0.5965889493417289</c:v>
                </c:pt>
                <c:pt idx="27">
                  <c:v>0.60165676131776724</c:v>
                </c:pt>
                <c:pt idx="28">
                  <c:v>0.60689415450444917</c:v>
                </c:pt>
                <c:pt idx="29">
                  <c:v>0.61229725511668265</c:v>
                </c:pt>
                <c:pt idx="30">
                  <c:v>0.61786243877856295</c:v>
                </c:pt>
                <c:pt idx="31">
                  <c:v>0.62358630426582551</c:v>
                </c:pt>
                <c:pt idx="32">
                  <c:v>0.62946565013569655</c:v>
                </c:pt>
                <c:pt idx="33">
                  <c:v>0.63549745386263079</c:v>
                </c:pt>
                <c:pt idx="34">
                  <c:v>0.64167885315771311</c:v>
                </c:pt>
                <c:pt idx="35">
                  <c:v>0.64800712919830705</c:v>
                </c:pt>
                <c:pt idx="36">
                  <c:v>0.65447969153491636</c:v>
                </c:pt>
                <c:pt idx="37">
                  <c:v>0.66109406447584729</c:v>
                </c:pt>
                <c:pt idx="38">
                  <c:v>0.66784787477834562</c:v>
                </c:pt>
                <c:pt idx="39">
                  <c:v>0.67473884049848276</c:v>
                </c:pt>
                <c:pt idx="40">
                  <c:v>0.68176476087196758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PVT!$O$59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PVT!$O$60:$O$100</c:f>
              <c:numCache>
                <c:formatCode>General</c:formatCode>
                <c:ptCount val="41"/>
                <c:pt idx="0">
                  <c:v>6.8808199688588534</c:v>
                </c:pt>
                <c:pt idx="1">
                  <c:v>5.6367956557169467</c:v>
                </c:pt>
                <c:pt idx="2">
                  <c:v>4.6092645916134325</c:v>
                </c:pt>
                <c:pt idx="3">
                  <c:v>3.8421515496642464</c:v>
                </c:pt>
                <c:pt idx="4">
                  <c:v>3.2677903628503797</c:v>
                </c:pt>
                <c:pt idx="5">
                  <c:v>2.8293647304442175</c:v>
                </c:pt>
                <c:pt idx="6">
                  <c:v>2.4873364730105854</c:v>
                </c:pt>
                <c:pt idx="7">
                  <c:v>2.2149521326182371</c:v>
                </c:pt>
                <c:pt idx="8">
                  <c:v>1.9939704380552041</c:v>
                </c:pt>
                <c:pt idx="9">
                  <c:v>1.8117283652492939</c:v>
                </c:pt>
                <c:pt idx="10">
                  <c:v>1.6592524290951165</c:v>
                </c:pt>
                <c:pt idx="11">
                  <c:v>1.5300523681270621</c:v>
                </c:pt>
                <c:pt idx="12">
                  <c:v>1.419342572797208</c:v>
                </c:pt>
                <c:pt idx="13">
                  <c:v>1.3235309957581547</c:v>
                </c:pt>
                <c:pt idx="14">
                  <c:v>1.2398772325608269</c:v>
                </c:pt>
                <c:pt idx="15">
                  <c:v>1.1991281950639625</c:v>
                </c:pt>
                <c:pt idx="16">
                  <c:v>1.2125754386248058</c:v>
                </c:pt>
                <c:pt idx="17">
                  <c:v>1.2269894664545062</c:v>
                </c:pt>
                <c:pt idx="18">
                  <c:v>1.2423280931327243</c:v>
                </c:pt>
                <c:pt idx="19">
                  <c:v>1.2585540102416934</c:v>
                </c:pt>
                <c:pt idx="20">
                  <c:v>1.2756339801544456</c:v>
                </c:pt>
                <c:pt idx="21">
                  <c:v>1.291449561925496</c:v>
                </c:pt>
                <c:pt idx="22">
                  <c:v>1.3078927517006369</c:v>
                </c:pt>
                <c:pt idx="23">
                  <c:v>1.324946240838772</c:v>
                </c:pt>
                <c:pt idx="24">
                  <c:v>1.3425940216173107</c:v>
                </c:pt>
                <c:pt idx="25">
                  <c:v>1.3608212044106129</c:v>
                </c:pt>
                <c:pt idx="26">
                  <c:v>1.3796138597351855</c:v>
                </c:pt>
                <c:pt idx="27">
                  <c:v>1.3989588811663027</c:v>
                </c:pt>
                <c:pt idx="28">
                  <c:v>1.4188438658847389</c:v>
                </c:pt>
                <c:pt idx="29">
                  <c:v>1.4392570102057427</c:v>
                </c:pt>
                <c:pt idx="30">
                  <c:v>1.4601870179132534</c:v>
                </c:pt>
                <c:pt idx="31">
                  <c:v>1.4816230195987332</c:v>
                </c:pt>
                <c:pt idx="32">
                  <c:v>1.503554501506903</c:v>
                </c:pt>
                <c:pt idx="33">
                  <c:v>1.5259712426360894</c:v>
                </c:pt>
                <c:pt idx="34">
                  <c:v>1.5488632590408098</c:v>
                </c:pt>
                <c:pt idx="35">
                  <c:v>1.5722207544481024</c:v>
                </c:pt>
                <c:pt idx="36">
                  <c:v>1.5960340764340397</c:v>
                </c:pt>
                <c:pt idx="37">
                  <c:v>1.6202936775185399</c:v>
                </c:pt>
                <c:pt idx="38">
                  <c:v>1.6449900806294766</c:v>
                </c:pt>
                <c:pt idx="39">
                  <c:v>1.6701138484645435</c:v>
                </c:pt>
                <c:pt idx="40">
                  <c:v>1.6956555563443396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PVT!$AD$34</c:f>
              <c:strCache>
                <c:ptCount val="1"/>
                <c:pt idx="0">
                  <c:v>γg = 0.70,  γo = 0.82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PVT!$AA$33:$AA$37</c:f>
              <c:numCache>
                <c:formatCode>0%</c:formatCode>
                <c:ptCount val="5"/>
                <c:pt idx="0">
                  <c:v>1.9494839573486536E-2</c:v>
                </c:pt>
                <c:pt idx="1">
                  <c:v>0.1758524957836049</c:v>
                </c:pt>
                <c:pt idx="2">
                  <c:v>0.38886680483856007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PVT!$AD$35</c:f>
              <c:strCache>
                <c:ptCount val="1"/>
                <c:pt idx="0">
                  <c:v>γg new  = 0.70,  γo new  = 0.82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PVT!$AB$33:$AB$37</c:f>
              <c:numCache>
                <c:formatCode>0%</c:formatCode>
                <c:ptCount val="5"/>
                <c:pt idx="0">
                  <c:v>1.9494839573486536E-2</c:v>
                </c:pt>
                <c:pt idx="1">
                  <c:v>0.1758524957836049</c:v>
                </c:pt>
                <c:pt idx="2">
                  <c:v>0.38886680483856007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PVT!$P$59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PVT!$P$60:$P$100</c:f>
              <c:numCache>
                <c:formatCode>General</c:formatCode>
                <c:ptCount val="41"/>
                <c:pt idx="0">
                  <c:v>0.99032960328831743</c:v>
                </c:pt>
                <c:pt idx="1">
                  <c:v>0.91561584037333521</c:v>
                </c:pt>
                <c:pt idx="2">
                  <c:v>0.84315016284177513</c:v>
                </c:pt>
                <c:pt idx="3">
                  <c:v>0.77224454791685371</c:v>
                </c:pt>
                <c:pt idx="4">
                  <c:v>0.70272208418860382</c:v>
                </c:pt>
                <c:pt idx="5">
                  <c:v>0.63473222165612275</c:v>
                </c:pt>
                <c:pt idx="6">
                  <c:v>0.56867302783119755</c:v>
                </c:pt>
                <c:pt idx="7">
                  <c:v>0.50510113623693764</c:v>
                </c:pt>
                <c:pt idx="8">
                  <c:v>0.44462091914609969</c:v>
                </c:pt>
                <c:pt idx="9">
                  <c:v>0.38777239148379006</c:v>
                </c:pt>
                <c:pt idx="10">
                  <c:v>0.33494357434890554</c:v>
                </c:pt>
                <c:pt idx="11">
                  <c:v>0.28632461968541345</c:v>
                </c:pt>
                <c:pt idx="12">
                  <c:v>0.24190587962599727</c:v>
                </c:pt>
                <c:pt idx="13">
                  <c:v>0.20150925147679349</c:v>
                </c:pt>
                <c:pt idx="14">
                  <c:v>0.16483660261581051</c:v>
                </c:pt>
                <c:pt idx="15">
                  <c:v>0.13152056213712887</c:v>
                </c:pt>
                <c:pt idx="16">
                  <c:v>0.10116810399737308</c:v>
                </c:pt>
                <c:pt idx="17">
                  <c:v>7.3392794753113583E-2</c:v>
                </c:pt>
                <c:pt idx="18">
                  <c:v>4.7835521785735503E-2</c:v>
                </c:pt>
                <c:pt idx="19">
                  <c:v>2.4175609307487776E-2</c:v>
                </c:pt>
                <c:pt idx="20">
                  <c:v>2.1348990333026987E-3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PVT!$Q$59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PVT!$Q$60:$Q$100</c:f>
              <c:numCache>
                <c:formatCode>General</c:formatCode>
                <c:ptCount val="41"/>
                <c:pt idx="0">
                  <c:v>0.99032960328831743</c:v>
                </c:pt>
                <c:pt idx="1">
                  <c:v>0.91561584037333521</c:v>
                </c:pt>
                <c:pt idx="2">
                  <c:v>0.84315016284177513</c:v>
                </c:pt>
                <c:pt idx="3">
                  <c:v>0.77224454791685371</c:v>
                </c:pt>
                <c:pt idx="4">
                  <c:v>0.70272208418860382</c:v>
                </c:pt>
                <c:pt idx="5">
                  <c:v>0.63473222165612275</c:v>
                </c:pt>
                <c:pt idx="6">
                  <c:v>0.56867302783119755</c:v>
                </c:pt>
                <c:pt idx="7">
                  <c:v>0.50510113623693764</c:v>
                </c:pt>
                <c:pt idx="8">
                  <c:v>0.44462091914609969</c:v>
                </c:pt>
                <c:pt idx="9">
                  <c:v>0.38777239148379006</c:v>
                </c:pt>
                <c:pt idx="10">
                  <c:v>0.33494357434890554</c:v>
                </c:pt>
                <c:pt idx="11">
                  <c:v>0.28632461968541345</c:v>
                </c:pt>
                <c:pt idx="12">
                  <c:v>0.24190587962599727</c:v>
                </c:pt>
                <c:pt idx="13">
                  <c:v>0.20150925147679349</c:v>
                </c:pt>
                <c:pt idx="14">
                  <c:v>0.16483660261581051</c:v>
                </c:pt>
                <c:pt idx="15">
                  <c:v>0.13152056213712887</c:v>
                </c:pt>
                <c:pt idx="16">
                  <c:v>0.10116810399737308</c:v>
                </c:pt>
                <c:pt idx="17">
                  <c:v>7.3392794753113583E-2</c:v>
                </c:pt>
                <c:pt idx="18">
                  <c:v>4.7835521785735503E-2</c:v>
                </c:pt>
                <c:pt idx="19">
                  <c:v>2.4175609307487776E-2</c:v>
                </c:pt>
                <c:pt idx="20">
                  <c:v>2.1348990333026987E-3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PVT!$R$59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PVT!$R$60:$R$100</c:f>
              <c:numCache>
                <c:formatCode>General</c:formatCode>
                <c:ptCount val="41"/>
                <c:pt idx="0">
                  <c:v>0.99032953235765475</c:v>
                </c:pt>
                <c:pt idx="1">
                  <c:v>0.91439485160751866</c:v>
                </c:pt>
                <c:pt idx="2">
                  <c:v>0.83823297628113203</c:v>
                </c:pt>
                <c:pt idx="3">
                  <c:v>0.76111692498522898</c:v>
                </c:pt>
                <c:pt idx="4">
                  <c:v>0.68303696703331751</c:v>
                </c:pt>
                <c:pt idx="5">
                  <c:v>0.60446448046490509</c:v>
                </c:pt>
                <c:pt idx="6">
                  <c:v>0.52625406542270259</c:v>
                </c:pt>
                <c:pt idx="7">
                  <c:v>0.44951342697830754</c:v>
                </c:pt>
                <c:pt idx="8">
                  <c:v>0.37542797075020828</c:v>
                </c:pt>
                <c:pt idx="9">
                  <c:v>0.30507395451487507</c:v>
                </c:pt>
                <c:pt idx="10">
                  <c:v>0.23926789838735249</c:v>
                </c:pt>
                <c:pt idx="11">
                  <c:v>0.17848654984528672</c:v>
                </c:pt>
                <c:pt idx="12">
                  <c:v>0.12286376888380442</c:v>
                </c:pt>
                <c:pt idx="13">
                  <c:v>7.2245851372589473E-2</c:v>
                </c:pt>
                <c:pt idx="14">
                  <c:v>2.6275915462111304E-2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8.6666666666666679</c:v>
                </c:pt>
                <c:pt idx="2">
                  <c:v>16.333333333333336</c:v>
                </c:pt>
                <c:pt idx="3">
                  <c:v>24.000000000000004</c:v>
                </c:pt>
                <c:pt idx="4">
                  <c:v>31.666666666666671</c:v>
                </c:pt>
                <c:pt idx="5">
                  <c:v>39.333333333333336</c:v>
                </c:pt>
                <c:pt idx="6">
                  <c:v>47</c:v>
                </c:pt>
                <c:pt idx="7">
                  <c:v>54.666666666666664</c:v>
                </c:pt>
                <c:pt idx="8">
                  <c:v>62.333333333333329</c:v>
                </c:pt>
                <c:pt idx="9">
                  <c:v>70</c:v>
                </c:pt>
                <c:pt idx="10">
                  <c:v>77.666666666666671</c:v>
                </c:pt>
                <c:pt idx="11">
                  <c:v>85.333333333333343</c:v>
                </c:pt>
                <c:pt idx="12">
                  <c:v>93.000000000000014</c:v>
                </c:pt>
                <c:pt idx="13">
                  <c:v>100.66666666666669</c:v>
                </c:pt>
                <c:pt idx="14">
                  <c:v>108.33333333333336</c:v>
                </c:pt>
                <c:pt idx="15">
                  <c:v>116.00000000000003</c:v>
                </c:pt>
                <c:pt idx="16">
                  <c:v>123.6666666666667</c:v>
                </c:pt>
                <c:pt idx="17">
                  <c:v>131.33333333333337</c:v>
                </c:pt>
                <c:pt idx="18">
                  <c:v>139.00000000000003</c:v>
                </c:pt>
                <c:pt idx="19">
                  <c:v>146.66666666666669</c:v>
                </c:pt>
                <c:pt idx="20">
                  <c:v>154.33333333333334</c:v>
                </c:pt>
                <c:pt idx="21">
                  <c:v>162</c:v>
                </c:pt>
              </c:numCache>
            </c:numRef>
          </c:xVal>
          <c:yVal>
            <c:numRef>
              <c:f>ESP!$I$8:$I$29</c:f>
              <c:numCache>
                <c:formatCode>0</c:formatCode>
                <c:ptCount val="22"/>
                <c:pt idx="0">
                  <c:v>1021.4328499999999</c:v>
                </c:pt>
                <c:pt idx="1">
                  <c:v>1023.6184888888888</c:v>
                </c:pt>
                <c:pt idx="2">
                  <c:v>1023.8938294753086</c:v>
                </c:pt>
                <c:pt idx="3">
                  <c:v>1021.9874666666666</c:v>
                </c:pt>
                <c:pt idx="4">
                  <c:v>1020.5375091563785</c:v>
                </c:pt>
                <c:pt idx="5">
                  <c:v>1019.9186127572017</c:v>
                </c:pt>
                <c:pt idx="6">
                  <c:v>1016.3806867346938</c:v>
                </c:pt>
                <c:pt idx="7">
                  <c:v>1007.3501669102208</c:v>
                </c:pt>
                <c:pt idx="8">
                  <c:v>999.61633854989793</c:v>
                </c:pt>
                <c:pt idx="9">
                  <c:v>979.8676999999999</c:v>
                </c:pt>
                <c:pt idx="10">
                  <c:v>938.61592064574302</c:v>
                </c:pt>
                <c:pt idx="11">
                  <c:v>895.39519234243323</c:v>
                </c:pt>
                <c:pt idx="12">
                  <c:v>835.55958254007919</c:v>
                </c:pt>
                <c:pt idx="13">
                  <c:v>751.34752749615939</c:v>
                </c:pt>
                <c:pt idx="14">
                  <c:v>667.32457538690437</c:v>
                </c:pt>
                <c:pt idx="15">
                  <c:v>576.6754088235291</c:v>
                </c:pt>
                <c:pt idx="16">
                  <c:v>483.69911942401922</c:v>
                </c:pt>
                <c:pt idx="17">
                  <c:v>392.22924236318136</c:v>
                </c:pt>
                <c:pt idx="18">
                  <c:v>301.4472965166708</c:v>
                </c:pt>
                <c:pt idx="19">
                  <c:v>209.62751789270047</c:v>
                </c:pt>
                <c:pt idx="20">
                  <c:v>106.28137037037031</c:v>
                </c:pt>
                <c:pt idx="21">
                  <c:v>-16.793999999999855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ESP!$K$7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8.6666666666666679</c:v>
                </c:pt>
                <c:pt idx="2">
                  <c:v>16.333333333333336</c:v>
                </c:pt>
                <c:pt idx="3">
                  <c:v>24.000000000000004</c:v>
                </c:pt>
                <c:pt idx="4">
                  <c:v>31.666666666666671</c:v>
                </c:pt>
                <c:pt idx="5">
                  <c:v>39.333333333333336</c:v>
                </c:pt>
                <c:pt idx="6">
                  <c:v>47</c:v>
                </c:pt>
                <c:pt idx="7">
                  <c:v>54.666666666666664</c:v>
                </c:pt>
                <c:pt idx="8">
                  <c:v>62.333333333333329</c:v>
                </c:pt>
                <c:pt idx="9">
                  <c:v>70</c:v>
                </c:pt>
                <c:pt idx="10">
                  <c:v>77.666666666666671</c:v>
                </c:pt>
                <c:pt idx="11">
                  <c:v>85.333333333333343</c:v>
                </c:pt>
                <c:pt idx="12">
                  <c:v>93.000000000000014</c:v>
                </c:pt>
                <c:pt idx="13">
                  <c:v>100.66666666666669</c:v>
                </c:pt>
                <c:pt idx="14">
                  <c:v>108.33333333333336</c:v>
                </c:pt>
                <c:pt idx="15">
                  <c:v>116.00000000000003</c:v>
                </c:pt>
                <c:pt idx="16">
                  <c:v>123.6666666666667</c:v>
                </c:pt>
                <c:pt idx="17">
                  <c:v>131.33333333333337</c:v>
                </c:pt>
                <c:pt idx="18">
                  <c:v>139.00000000000003</c:v>
                </c:pt>
                <c:pt idx="19">
                  <c:v>146.66666666666669</c:v>
                </c:pt>
                <c:pt idx="20">
                  <c:v>154.33333333333334</c:v>
                </c:pt>
                <c:pt idx="21">
                  <c:v>162</c:v>
                </c:pt>
              </c:numCache>
            </c:numRef>
          </c:xVal>
          <c:yVal>
            <c:numRef>
              <c:f>ESP!$K$8:$K$29</c:f>
              <c:numCache>
                <c:formatCode>0.00</c:formatCode>
                <c:ptCount val="22"/>
                <c:pt idx="0">
                  <c:v>1.0994897959183675E-2</c:v>
                </c:pt>
                <c:pt idx="1">
                  <c:v>9.0204081632653088E-2</c:v>
                </c:pt>
                <c:pt idx="2">
                  <c:v>0.16006944444444446</c:v>
                </c:pt>
                <c:pt idx="3">
                  <c:v>0.21944606413994172</c:v>
                </c:pt>
                <c:pt idx="4">
                  <c:v>0.27880952380952384</c:v>
                </c:pt>
                <c:pt idx="5">
                  <c:v>0.3390476190476191</c:v>
                </c:pt>
                <c:pt idx="6">
                  <c:v>0.39801020408163262</c:v>
                </c:pt>
                <c:pt idx="7">
                  <c:v>0.4513378684807256</c:v>
                </c:pt>
                <c:pt idx="8">
                  <c:v>0.49313393724836874</c:v>
                </c:pt>
                <c:pt idx="9">
                  <c:v>0.52</c:v>
                </c:pt>
                <c:pt idx="10">
                  <c:v>0.54002411168549058</c:v>
                </c:pt>
                <c:pt idx="11">
                  <c:v>0.55076026947575574</c:v>
                </c:pt>
                <c:pt idx="12">
                  <c:v>0.54292580524273204</c:v>
                </c:pt>
                <c:pt idx="13">
                  <c:v>0.52013315601929988</c:v>
                </c:pt>
                <c:pt idx="14">
                  <c:v>0.48242355087398359</c:v>
                </c:pt>
                <c:pt idx="15">
                  <c:v>0.43350928341261302</c:v>
                </c:pt>
                <c:pt idx="16">
                  <c:v>0.37827485380116932</c:v>
                </c:pt>
                <c:pt idx="17">
                  <c:v>0.31590281827016486</c:v>
                </c:pt>
                <c:pt idx="18">
                  <c:v>0.24891727405247788</c:v>
                </c:pt>
                <c:pt idx="19">
                  <c:v>0.18004427167692458</c:v>
                </c:pt>
                <c:pt idx="20">
                  <c:v>9.5691609977324218E-2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8.6666666666666679</c:v>
                </c:pt>
                <c:pt idx="2">
                  <c:v>16.333333333333336</c:v>
                </c:pt>
                <c:pt idx="3">
                  <c:v>24.000000000000004</c:v>
                </c:pt>
                <c:pt idx="4">
                  <c:v>31.666666666666671</c:v>
                </c:pt>
                <c:pt idx="5">
                  <c:v>39.333333333333336</c:v>
                </c:pt>
                <c:pt idx="6">
                  <c:v>47</c:v>
                </c:pt>
                <c:pt idx="7">
                  <c:v>54.666666666666664</c:v>
                </c:pt>
                <c:pt idx="8">
                  <c:v>62.333333333333329</c:v>
                </c:pt>
                <c:pt idx="9">
                  <c:v>70</c:v>
                </c:pt>
                <c:pt idx="10">
                  <c:v>77.666666666666671</c:v>
                </c:pt>
                <c:pt idx="11">
                  <c:v>85.333333333333343</c:v>
                </c:pt>
                <c:pt idx="12">
                  <c:v>93.000000000000014</c:v>
                </c:pt>
                <c:pt idx="13">
                  <c:v>100.66666666666669</c:v>
                </c:pt>
                <c:pt idx="14">
                  <c:v>108.33333333333336</c:v>
                </c:pt>
                <c:pt idx="15">
                  <c:v>116.00000000000003</c:v>
                </c:pt>
                <c:pt idx="16">
                  <c:v>123.6666666666667</c:v>
                </c:pt>
                <c:pt idx="17">
                  <c:v>131.33333333333337</c:v>
                </c:pt>
                <c:pt idx="18">
                  <c:v>139.00000000000003</c:v>
                </c:pt>
                <c:pt idx="19">
                  <c:v>146.66666666666669</c:v>
                </c:pt>
                <c:pt idx="20">
                  <c:v>154.33333333333334</c:v>
                </c:pt>
                <c:pt idx="21">
                  <c:v>162</c:v>
                </c:pt>
              </c:numCache>
            </c:numRef>
          </c:xVal>
          <c:yVal>
            <c:numRef>
              <c:f>ESP!$J$8:$J$29</c:f>
              <c:numCache>
                <c:formatCode>0</c:formatCode>
                <c:ptCount val="22"/>
                <c:pt idx="0">
                  <c:v>11.360674499999998</c:v>
                </c:pt>
                <c:pt idx="1">
                  <c:v>11.769587666666666</c:v>
                </c:pt>
                <c:pt idx="2">
                  <c:v>12.178500833333331</c:v>
                </c:pt>
                <c:pt idx="3">
                  <c:v>12.587413999999999</c:v>
                </c:pt>
                <c:pt idx="4">
                  <c:v>12.978208537037036</c:v>
                </c:pt>
                <c:pt idx="5">
                  <c:v>13.308703629629628</c:v>
                </c:pt>
                <c:pt idx="6">
                  <c:v>13.707480499999997</c:v>
                </c:pt>
                <c:pt idx="7">
                  <c:v>14.116393666666665</c:v>
                </c:pt>
                <c:pt idx="8">
                  <c:v>14.525306833333334</c:v>
                </c:pt>
                <c:pt idx="9">
                  <c:v>14.93422</c:v>
                </c:pt>
                <c:pt idx="10">
                  <c:v>15.343133166666664</c:v>
                </c:pt>
                <c:pt idx="11">
                  <c:v>15.726060555555554</c:v>
                </c:pt>
                <c:pt idx="12">
                  <c:v>16.121721666666666</c:v>
                </c:pt>
                <c:pt idx="13">
                  <c:v>16.571966105050503</c:v>
                </c:pt>
                <c:pt idx="14">
                  <c:v>16.977098658333333</c:v>
                </c:pt>
                <c:pt idx="15">
                  <c:v>17.409042734265732</c:v>
                </c:pt>
                <c:pt idx="16">
                  <c:v>17.890608941385008</c:v>
                </c:pt>
                <c:pt idx="17">
                  <c:v>18.250104243867245</c:v>
                </c:pt>
                <c:pt idx="18">
                  <c:v>18.38946130194805</c:v>
                </c:pt>
                <c:pt idx="19">
                  <c:v>18.392615418871245</c:v>
                </c:pt>
                <c:pt idx="20">
                  <c:v>18.021794596296296</c:v>
                </c:pt>
                <c:pt idx="21">
                  <c:v>17.291693299999995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ESP'!$S$16:$S$36</c:f>
              <c:numCache>
                <c:formatCode>General</c:formatCode>
                <c:ptCount val="21"/>
                <c:pt idx="0">
                  <c:v>0</c:v>
                </c:pt>
                <c:pt idx="1">
                  <c:v>1.5989796699292475E-2</c:v>
                </c:pt>
                <c:pt idx="2">
                  <c:v>3.197959339858495E-2</c:v>
                </c:pt>
                <c:pt idx="3">
                  <c:v>4.7969390097877422E-2</c:v>
                </c:pt>
                <c:pt idx="4">
                  <c:v>6.3959186797169901E-2</c:v>
                </c:pt>
                <c:pt idx="5">
                  <c:v>7.9948983496462372E-2</c:v>
                </c:pt>
                <c:pt idx="6">
                  <c:v>9.5938780195754844E-2</c:v>
                </c:pt>
                <c:pt idx="7">
                  <c:v>0.11192857689504732</c:v>
                </c:pt>
                <c:pt idx="8">
                  <c:v>0.1279183735943398</c:v>
                </c:pt>
                <c:pt idx="9">
                  <c:v>0.26488571672278577</c:v>
                </c:pt>
                <c:pt idx="10">
                  <c:v>0.3446100154263127</c:v>
                </c:pt>
                <c:pt idx="11">
                  <c:v>0.41248335611775505</c:v>
                </c:pt>
                <c:pt idx="12">
                  <c:v>0.47057535121112459</c:v>
                </c:pt>
                <c:pt idx="13">
                  <c:v>0.51954606969236583</c:v>
                </c:pt>
                <c:pt idx="14">
                  <c:v>0.56099926434200409</c:v>
                </c:pt>
                <c:pt idx="15">
                  <c:v>0.99063644642568083</c:v>
                </c:pt>
                <c:pt idx="16">
                  <c:v>0.99150142541209563</c:v>
                </c:pt>
                <c:pt idx="17">
                  <c:v>0.99207610356092013</c:v>
                </c:pt>
                <c:pt idx="18">
                  <c:v>0.99253748471824266</c:v>
                </c:pt>
                <c:pt idx="19">
                  <c:v>0.99323188321741762</c:v>
                </c:pt>
                <c:pt idx="20">
                  <c:v>0.99489623919379433</c:v>
                </c:pt>
              </c:numCache>
            </c:numRef>
          </c:xVal>
          <c:yVal>
            <c:numRef>
              <c:f>'Calc ESP'!$R$16:$R$36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ESP'!$N$14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ESP'!$O$16:$O$36</c:f>
              <c:numCache>
                <c:formatCode>General</c:formatCode>
                <c:ptCount val="21"/>
                <c:pt idx="0">
                  <c:v>0.88847916819001227</c:v>
                </c:pt>
                <c:pt idx="1">
                  <c:v>0.88847916819001227</c:v>
                </c:pt>
                <c:pt idx="2">
                  <c:v>0.88847916819001227</c:v>
                </c:pt>
                <c:pt idx="3">
                  <c:v>0.88847916819001227</c:v>
                </c:pt>
                <c:pt idx="4">
                  <c:v>0.88847916819001227</c:v>
                </c:pt>
                <c:pt idx="5">
                  <c:v>0.88847916819001227</c:v>
                </c:pt>
                <c:pt idx="6">
                  <c:v>0.88847916819001227</c:v>
                </c:pt>
                <c:pt idx="7">
                  <c:v>2.2356216350590712</c:v>
                </c:pt>
                <c:pt idx="8">
                  <c:v>6.5019350224669994</c:v>
                </c:pt>
                <c:pt idx="9">
                  <c:v>11.240034699972483</c:v>
                </c:pt>
                <c:pt idx="10">
                  <c:v>16.527774562921135</c:v>
                </c:pt>
                <c:pt idx="11">
                  <c:v>22.219160143710365</c:v>
                </c:pt>
                <c:pt idx="12">
                  <c:v>28.161910594203476</c:v>
                </c:pt>
                <c:pt idx="13">
                  <c:v>33.352351321623985</c:v>
                </c:pt>
                <c:pt idx="14">
                  <c:v>60.518760817628134</c:v>
                </c:pt>
                <c:pt idx="15">
                  <c:v>61.813746663404402</c:v>
                </c:pt>
                <c:pt idx="16">
                  <c:v>70.658974960431934</c:v>
                </c:pt>
                <c:pt idx="17">
                  <c:v>77.97601406099237</c:v>
                </c:pt>
                <c:pt idx="18">
                  <c:v>83.686167304680893</c:v>
                </c:pt>
                <c:pt idx="19">
                  <c:v>87.719708547072898</c:v>
                </c:pt>
                <c:pt idx="20">
                  <c:v>90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'Calc ESP'!$H$14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ESP'!$I$16:$I$36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276FA003-36C8-4BFE-BA1F-73FC124AF32C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94270D27-03CA-4BF2-9B44-1CB9614E176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42B27841-1FDB-4256-AB47-0D604882F99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6C5C06E8-1B8C-43D4-AC90-7D5B2822DC6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B56933-1D46-4DDC-B59E-25627000DCA2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8D05BA80-7AFC-4EFC-B200-703DC9474D1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ESP'!$V$16:$V$18</c:f>
              <c:numCache>
                <c:formatCode>0</c:formatCode>
                <c:ptCount val="3"/>
                <c:pt idx="0">
                  <c:v>0</c:v>
                </c:pt>
                <c:pt idx="1">
                  <c:v>0.88847916819001227</c:v>
                </c:pt>
                <c:pt idx="2">
                  <c:v>90</c:v>
                </c:pt>
              </c:numCache>
            </c:numRef>
          </c:xVal>
          <c:yVal>
            <c:numRef>
              <c:f>'Calc ESP'!$U$16:$U$18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ESP'!$Q$11:$Q$13</c15:f>
                <c15:dlblRangeCache>
                  <c:ptCount val="3"/>
                  <c:pt idx="0">
                    <c:v>Plin</c:v>
                  </c:pt>
                  <c:pt idx="1">
                    <c:v>Pbuf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ESP'!$X$16:$X$36</c:f>
              <c:numCache>
                <c:formatCode>General</c:formatCode>
                <c:ptCount val="21"/>
                <c:pt idx="0">
                  <c:v>121.1339272212778</c:v>
                </c:pt>
                <c:pt idx="1">
                  <c:v>123.09688536419144</c:v>
                </c:pt>
                <c:pt idx="2">
                  <c:v>125.05984350710507</c:v>
                </c:pt>
                <c:pt idx="3">
                  <c:v>126.88105336080656</c:v>
                </c:pt>
                <c:pt idx="4">
                  <c:v>128.70226321450806</c:v>
                </c:pt>
                <c:pt idx="5">
                  <c:v>130.3718388393111</c:v>
                </c:pt>
                <c:pt idx="6">
                  <c:v>132.04141446411413</c:v>
                </c:pt>
                <c:pt idx="7">
                  <c:v>133.55061444190949</c:v>
                </c:pt>
                <c:pt idx="8">
                  <c:v>135.05981441970485</c:v>
                </c:pt>
                <c:pt idx="9">
                  <c:v>136.40091615736307</c:v>
                </c:pt>
                <c:pt idx="10">
                  <c:v>137.74201789502129</c:v>
                </c:pt>
                <c:pt idx="11">
                  <c:v>138.90813312442577</c:v>
                </c:pt>
                <c:pt idx="12">
                  <c:v>140.07424835383023</c:v>
                </c:pt>
                <c:pt idx="13">
                  <c:v>141.05906040010564</c:v>
                </c:pt>
                <c:pt idx="14">
                  <c:v>142.04387244638102</c:v>
                </c:pt>
                <c:pt idx="15">
                  <c:v>142.84126190077788</c:v>
                </c:pt>
                <c:pt idx="16">
                  <c:v>143.63865135517474</c:v>
                </c:pt>
                <c:pt idx="17">
                  <c:v>144.24215247184969</c:v>
                </c:pt>
                <c:pt idx="18">
                  <c:v>144.84565358852467</c:v>
                </c:pt>
                <c:pt idx="19">
                  <c:v>145.24764043450992</c:v>
                </c:pt>
                <c:pt idx="20">
                  <c:v>145.64962728049514</c:v>
                </c:pt>
              </c:numCache>
            </c:numRef>
          </c:xVal>
          <c:yVal>
            <c:numRef>
              <c:f>'Calc ESP'!$W$16:$W$36</c:f>
              <c:numCache>
                <c:formatCode>General</c:formatCode>
                <c:ptCount val="21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ESP'!$Q$16:$Q$36</c:f>
              <c:numCache>
                <c:formatCode>General</c:formatCode>
                <c:ptCount val="21"/>
                <c:pt idx="0">
                  <c:v>65.427578610504099</c:v>
                </c:pt>
                <c:pt idx="1">
                  <c:v>65.427578610504099</c:v>
                </c:pt>
                <c:pt idx="2">
                  <c:v>65.427578610504099</c:v>
                </c:pt>
                <c:pt idx="3">
                  <c:v>65.427578610504099</c:v>
                </c:pt>
                <c:pt idx="4">
                  <c:v>65.427578610504099</c:v>
                </c:pt>
                <c:pt idx="5">
                  <c:v>65.427578610504099</c:v>
                </c:pt>
                <c:pt idx="6">
                  <c:v>65.427578610504099</c:v>
                </c:pt>
                <c:pt idx="7">
                  <c:v>66.952604878047339</c:v>
                </c:pt>
                <c:pt idx="8">
                  <c:v>72.715421838707584</c:v>
                </c:pt>
                <c:pt idx="9">
                  <c:v>78.701107300048776</c:v>
                </c:pt>
                <c:pt idx="10">
                  <c:v>84.129916243611888</c:v>
                </c:pt>
                <c:pt idx="11">
                  <c:v>88.966216812473832</c:v>
                </c:pt>
                <c:pt idx="12">
                  <c:v>93.185153006586702</c:v>
                </c:pt>
                <c:pt idx="13">
                  <c:v>97.194959988272231</c:v>
                </c:pt>
                <c:pt idx="14">
                  <c:v>97.194959988272231</c:v>
                </c:pt>
                <c:pt idx="15">
                  <c:v>97.45729694056115</c:v>
                </c:pt>
                <c:pt idx="16">
                  <c:v>97.774033880308835</c:v>
                </c:pt>
                <c:pt idx="17">
                  <c:v>92.729706494574444</c:v>
                </c:pt>
                <c:pt idx="18">
                  <c:v>79.309268986540104</c:v>
                </c:pt>
                <c:pt idx="19">
                  <c:v>52.129198252562425</c:v>
                </c:pt>
                <c:pt idx="20">
                  <c:v>0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ESP'!$M$16:$M$36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30.648148148148149</c:v>
                </c:pt>
                <c:pt idx="2">
                  <c:v>31.296296296296294</c:v>
                </c:pt>
                <c:pt idx="3">
                  <c:v>31.944444444444446</c:v>
                </c:pt>
                <c:pt idx="4">
                  <c:v>32.592592592592588</c:v>
                </c:pt>
                <c:pt idx="5">
                  <c:v>33.24074074074074</c:v>
                </c:pt>
                <c:pt idx="6">
                  <c:v>33.864444444444445</c:v>
                </c:pt>
                <c:pt idx="7">
                  <c:v>34.465370370370373</c:v>
                </c:pt>
                <c:pt idx="8">
                  <c:v>36.505000000000003</c:v>
                </c:pt>
                <c:pt idx="9">
                  <c:v>44.762500000000003</c:v>
                </c:pt>
                <c:pt idx="10">
                  <c:v>53.431111111111115</c:v>
                </c:pt>
                <c:pt idx="11">
                  <c:v>61.684166666666677</c:v>
                </c:pt>
                <c:pt idx="12">
                  <c:v>69.521666666666675</c:v>
                </c:pt>
                <c:pt idx="13">
                  <c:v>75.92</c:v>
                </c:pt>
                <c:pt idx="14">
                  <c:v>90.055000000000007</c:v>
                </c:pt>
                <c:pt idx="15">
                  <c:v>91.527777777777786</c:v>
                </c:pt>
                <c:pt idx="16">
                  <c:v>102.22222222222226</c:v>
                </c:pt>
                <c:pt idx="17">
                  <c:v>112.91666666666669</c:v>
                </c:pt>
                <c:pt idx="18">
                  <c:v>123.61111111111113</c:v>
                </c:pt>
                <c:pt idx="19">
                  <c:v>134.30555555555557</c:v>
                </c:pt>
                <c:pt idx="20">
                  <c:v>145</c:v>
                </c:pt>
              </c:numCache>
            </c:numRef>
          </c:xVal>
          <c:yVal>
            <c:numRef>
              <c:f>'Calc ESP'!$K$16:$K$36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ESP'!$J$16:$J$36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GasLift'!$U$16:$U$36</c:f>
              <c:numCache>
                <c:formatCode>General</c:formatCode>
                <c:ptCount val="21"/>
                <c:pt idx="0">
                  <c:v>0.27402077835847771</c:v>
                </c:pt>
                <c:pt idx="1">
                  <c:v>0.33088907362207037</c:v>
                </c:pt>
                <c:pt idx="2">
                  <c:v>0.38435296380350736</c:v>
                </c:pt>
                <c:pt idx="3">
                  <c:v>0.42300027209895358</c:v>
                </c:pt>
                <c:pt idx="4">
                  <c:v>0.47532913940337307</c:v>
                </c:pt>
                <c:pt idx="5">
                  <c:v>0.52365745171468214</c:v>
                </c:pt>
                <c:pt idx="6">
                  <c:v>0.58438802577844506</c:v>
                </c:pt>
                <c:pt idx="7">
                  <c:v>0.624768518331005</c:v>
                </c:pt>
                <c:pt idx="8">
                  <c:v>0.65881383522696801</c:v>
                </c:pt>
                <c:pt idx="9">
                  <c:v>0.68461936344221441</c:v>
                </c:pt>
                <c:pt idx="10">
                  <c:v>0.70009916886494283</c:v>
                </c:pt>
                <c:pt idx="11">
                  <c:v>0.72162446918699519</c:v>
                </c:pt>
                <c:pt idx="12">
                  <c:v>0.82799674042699056</c:v>
                </c:pt>
                <c:pt idx="13">
                  <c:v>0.84446026867054969</c:v>
                </c:pt>
                <c:pt idx="14">
                  <c:v>0.85837315382866064</c:v>
                </c:pt>
                <c:pt idx="15">
                  <c:v>0.95569956760357999</c:v>
                </c:pt>
                <c:pt idx="16">
                  <c:v>0.95451755731100252</c:v>
                </c:pt>
                <c:pt idx="17">
                  <c:v>0.95215997564356447</c:v>
                </c:pt>
                <c:pt idx="18">
                  <c:v>0.94841762246257422</c:v>
                </c:pt>
                <c:pt idx="19">
                  <c:v>0.94309612268276288</c:v>
                </c:pt>
                <c:pt idx="20">
                  <c:v>0.93613399960284438</c:v>
                </c:pt>
              </c:numCache>
            </c:numRef>
          </c:xVal>
          <c:yVal>
            <c:numRef>
              <c:f>'Calc GasLift'!$T$16:$T$36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AC-4CE4-89FE-33DD70EA6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GasLift'!$N$14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GasLift'!$O$16:$O$36</c:f>
              <c:numCache>
                <c:formatCode>General</c:formatCode>
                <c:ptCount val="21"/>
                <c:pt idx="0">
                  <c:v>13.458169788858768</c:v>
                </c:pt>
                <c:pt idx="1">
                  <c:v>19.148832538182504</c:v>
                </c:pt>
                <c:pt idx="2">
                  <c:v>25.408405611081776</c:v>
                </c:pt>
                <c:pt idx="3">
                  <c:v>32.525467862274695</c:v>
                </c:pt>
                <c:pt idx="4">
                  <c:v>40.722301966472074</c:v>
                </c:pt>
                <c:pt idx="5">
                  <c:v>49.415483180231654</c:v>
                </c:pt>
                <c:pt idx="6">
                  <c:v>58.491002166592921</c:v>
                </c:pt>
                <c:pt idx="7">
                  <c:v>67.705223454997807</c:v>
                </c:pt>
                <c:pt idx="8">
                  <c:v>76.905629601277809</c:v>
                </c:pt>
                <c:pt idx="9">
                  <c:v>85.962982104486088</c:v>
                </c:pt>
                <c:pt idx="10">
                  <c:v>94.724267007699339</c:v>
                </c:pt>
                <c:pt idx="11">
                  <c:v>103.26788984890507</c:v>
                </c:pt>
                <c:pt idx="12">
                  <c:v>111.97378439559253</c:v>
                </c:pt>
                <c:pt idx="13">
                  <c:v>120.40233717304496</c:v>
                </c:pt>
                <c:pt idx="14">
                  <c:v>125.04045151426112</c:v>
                </c:pt>
                <c:pt idx="15">
                  <c:v>128.35701873264719</c:v>
                </c:pt>
                <c:pt idx="16">
                  <c:v>135.27943150380676</c:v>
                </c:pt>
                <c:pt idx="17">
                  <c:v>140.94198125185036</c:v>
                </c:pt>
                <c:pt idx="18">
                  <c:v>145.29847729206583</c:v>
                </c:pt>
                <c:pt idx="19">
                  <c:v>148.32061239217032</c:v>
                </c:pt>
                <c:pt idx="20">
                  <c:v>150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B2-4477-A99D-41FE07DF1941}"/>
            </c:ext>
          </c:extLst>
        </c:ser>
        <c:ser>
          <c:idx val="1"/>
          <c:order val="1"/>
          <c:tx>
            <c:strRef>
              <c:f>'Calc GasLift'!$H$14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B2-4477-A99D-41FE07DF194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86238536-4DB3-41BC-84B4-D724A528C192}" type="CELLRANGE">
                      <a:rPr lang="ru-RU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5111FA4F-63E9-41C9-B7EA-B53B693AB06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5B2-4477-A99D-41FE07DF1941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C9C977E9-B824-4723-BFD3-7062B6C80990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AAD9002B-F6EA-4F0D-A2C0-983432DA454D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5B2-4477-A99D-41FE07DF19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043437-B881-4662-8A18-B012FEDB8BFB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285DBA6-9DCF-49B4-A75E-B3F159EA335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5B2-4477-A99D-41FE07DF1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GasLift'!$X$16:$X$18</c:f>
              <c:numCache>
                <c:formatCode>0</c:formatCode>
                <c:ptCount val="3"/>
                <c:pt idx="0">
                  <c:v>0</c:v>
                </c:pt>
                <c:pt idx="1">
                  <c:v>13.458169788858768</c:v>
                </c:pt>
                <c:pt idx="2">
                  <c:v>150</c:v>
                </c:pt>
              </c:numCache>
            </c:numRef>
          </c:xVal>
          <c:yVal>
            <c:numRef>
              <c:f>'Calc GasLift'!$W$16:$W$18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GasLift'!$P$10:$P$12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55B2-4477-A99D-41FE07DF194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GasLift'!$Z$16:$Z$36</c:f>
              <c:numCache>
                <c:formatCode>General</c:formatCode>
                <c:ptCount val="21"/>
                <c:pt idx="0">
                  <c:v>200</c:v>
                </c:pt>
                <c:pt idx="1">
                  <c:v>202.49597241993845</c:v>
                </c:pt>
                <c:pt idx="2">
                  <c:v>204.88319611310359</c:v>
                </c:pt>
                <c:pt idx="3">
                  <c:v>207.17287532766855</c:v>
                </c:pt>
                <c:pt idx="4">
                  <c:v>209.37751949356351</c:v>
                </c:pt>
                <c:pt idx="5">
                  <c:v>209.57624632011914</c:v>
                </c:pt>
                <c:pt idx="6">
                  <c:v>211.50464371719048</c:v>
                </c:pt>
                <c:pt idx="7">
                  <c:v>213.56711102381416</c:v>
                </c:pt>
                <c:pt idx="8">
                  <c:v>215.57915487286351</c:v>
                </c:pt>
                <c:pt idx="9">
                  <c:v>217.54798897835713</c:v>
                </c:pt>
                <c:pt idx="10">
                  <c:v>219.48004907049904</c:v>
                </c:pt>
                <c:pt idx="11">
                  <c:v>221.37682637303485</c:v>
                </c:pt>
                <c:pt idx="12">
                  <c:v>223.24740723231372</c:v>
                </c:pt>
                <c:pt idx="13">
                  <c:v>225.09486371131879</c:v>
                </c:pt>
                <c:pt idx="14">
                  <c:v>225.59642225294877</c:v>
                </c:pt>
                <c:pt idx="15">
                  <c:v>226.92164832195087</c:v>
                </c:pt>
                <c:pt idx="16">
                  <c:v>228.72844497405364</c:v>
                </c:pt>
                <c:pt idx="17">
                  <c:v>230.51716195194143</c:v>
                </c:pt>
                <c:pt idx="18">
                  <c:v>232.2905066554913</c:v>
                </c:pt>
                <c:pt idx="19">
                  <c:v>234.04959668623326</c:v>
                </c:pt>
                <c:pt idx="20">
                  <c:v>235.79540974647344</c:v>
                </c:pt>
              </c:numCache>
            </c:numRef>
          </c:xVal>
          <c:yVal>
            <c:numRef>
              <c:f>'Calc GasLift'!$Y$16:$Y$36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5B2-4477-A99D-41FE07DF1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GasLift'!$Q$16:$Q$36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91.37789473684208</c:v>
                </c:pt>
                <c:pt idx="16">
                  <c:v>104.47368421052632</c:v>
                </c:pt>
                <c:pt idx="17">
                  <c:v>114.60526315789474</c:v>
                </c:pt>
                <c:pt idx="18">
                  <c:v>124.73684210526316</c:v>
                </c:pt>
                <c:pt idx="19">
                  <c:v>134.86842105263159</c:v>
                </c:pt>
                <c:pt idx="20">
                  <c:v>145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47-46CE-ACF1-313FF0D21364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GasLift'!$M$16:$M$36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91.37789473684208</c:v>
                </c:pt>
                <c:pt idx="16">
                  <c:v>104.47368421052632</c:v>
                </c:pt>
                <c:pt idx="17">
                  <c:v>114.60526315789474</c:v>
                </c:pt>
                <c:pt idx="18">
                  <c:v>124.73684210526316</c:v>
                </c:pt>
                <c:pt idx="19">
                  <c:v>134.86842105263159</c:v>
                </c:pt>
                <c:pt idx="20">
                  <c:v>145</c:v>
                </c:pt>
              </c:numCache>
            </c:numRef>
          </c:xVal>
          <c:yVal>
            <c:numRef>
              <c:f>'Calc GasLift'!$K$16:$K$36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47-46CE-ACF1-313FF0D21364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GasLift'!$J$16:$J$36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47-46CE-ACF1-313FF0D21364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'Calc GasLift'!$S$16:$S$36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23.666666666666671</c:v>
                </c:pt>
                <c:pt idx="2">
                  <c:v>27.333333333333336</c:v>
                </c:pt>
                <c:pt idx="3">
                  <c:v>31</c:v>
                </c:pt>
                <c:pt idx="4">
                  <c:v>34.666666666666664</c:v>
                </c:pt>
                <c:pt idx="5">
                  <c:v>35</c:v>
                </c:pt>
                <c:pt idx="6">
                  <c:v>38.333333333333336</c:v>
                </c:pt>
                <c:pt idx="7">
                  <c:v>42</c:v>
                </c:pt>
                <c:pt idx="8">
                  <c:v>45.666666666666671</c:v>
                </c:pt>
                <c:pt idx="9">
                  <c:v>49.333333333333336</c:v>
                </c:pt>
                <c:pt idx="10">
                  <c:v>52.88</c:v>
                </c:pt>
                <c:pt idx="11">
                  <c:v>56.35</c:v>
                </c:pt>
                <c:pt idx="12">
                  <c:v>59.733333333333341</c:v>
                </c:pt>
                <c:pt idx="13">
                  <c:v>63.03</c:v>
                </c:pt>
                <c:pt idx="14">
                  <c:v>63.92</c:v>
                </c:pt>
                <c:pt idx="15">
                  <c:v>66.240000000000009</c:v>
                </c:pt>
                <c:pt idx="16">
                  <c:v>69.356666666666669</c:v>
                </c:pt>
                <c:pt idx="17">
                  <c:v>72.38000000000001</c:v>
                </c:pt>
                <c:pt idx="18">
                  <c:v>75.316666666666677</c:v>
                </c:pt>
                <c:pt idx="19">
                  <c:v>78.166666666666671</c:v>
                </c:pt>
                <c:pt idx="20">
                  <c:v>80.930000000000007</c:v>
                </c:pt>
              </c:numCache>
            </c:numRef>
          </c:xVal>
          <c:yVal>
            <c:numRef>
              <c:f>'Calc GasLift'!$R$16:$R$36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47-46CE-ACF1-313FF0D21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791753427150634"/>
          <c:y val="0.15513099121185048"/>
          <c:w val="0.81028107720389475"/>
          <c:h val="0.8279824652525295"/>
        </c:manualLayout>
      </c:layout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Self Flow'!$S$16:$S$36</c:f>
              <c:numCache>
                <c:formatCode>General</c:formatCode>
                <c:ptCount val="21"/>
                <c:pt idx="0">
                  <c:v>0.22538426096211955</c:v>
                </c:pt>
                <c:pt idx="1">
                  <c:v>0.26083171457264004</c:v>
                </c:pt>
                <c:pt idx="2">
                  <c:v>0.29959479003994638</c:v>
                </c:pt>
                <c:pt idx="3">
                  <c:v>0.33427309209906059</c:v>
                </c:pt>
                <c:pt idx="4">
                  <c:v>0.37967595385638059</c:v>
                </c:pt>
                <c:pt idx="5">
                  <c:v>0.42764880297405639</c:v>
                </c:pt>
                <c:pt idx="6">
                  <c:v>0.47578481954187607</c:v>
                </c:pt>
                <c:pt idx="7">
                  <c:v>0.52151615611665125</c:v>
                </c:pt>
                <c:pt idx="8">
                  <c:v>0.56311447125225356</c:v>
                </c:pt>
                <c:pt idx="9">
                  <c:v>0.59777411111411838</c:v>
                </c:pt>
                <c:pt idx="10">
                  <c:v>0.62739728451016041</c:v>
                </c:pt>
                <c:pt idx="11">
                  <c:v>0.65320582478679567</c:v>
                </c:pt>
                <c:pt idx="12">
                  <c:v>0.67513495921662281</c:v>
                </c:pt>
                <c:pt idx="13">
                  <c:v>0.69267029162943072</c:v>
                </c:pt>
                <c:pt idx="14">
                  <c:v>0.71660161436436964</c:v>
                </c:pt>
                <c:pt idx="15">
                  <c:v>0.7415199692353176</c:v>
                </c:pt>
                <c:pt idx="16">
                  <c:v>0.7558902366967658</c:v>
                </c:pt>
                <c:pt idx="17">
                  <c:v>0.7700143491150816</c:v>
                </c:pt>
                <c:pt idx="18">
                  <c:v>0.78584487900404576</c:v>
                </c:pt>
                <c:pt idx="19">
                  <c:v>0.80619174171499908</c:v>
                </c:pt>
                <c:pt idx="20">
                  <c:v>0.83570937491668029</c:v>
                </c:pt>
              </c:numCache>
            </c:numRef>
          </c:xVal>
          <c:yVal>
            <c:numRef>
              <c:f>'Calc Self Flow'!$R$16:$R$36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A9-4FE2-B56B-A86DE4EB6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Self Flow'!$N$14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Flow'!$O$16:$O$36</c:f>
              <c:numCache>
                <c:formatCode>General</c:formatCode>
                <c:ptCount val="21"/>
                <c:pt idx="0">
                  <c:v>21.987649515403049</c:v>
                </c:pt>
                <c:pt idx="1">
                  <c:v>26.440642301773774</c:v>
                </c:pt>
                <c:pt idx="2">
                  <c:v>31.540091216846299</c:v>
                </c:pt>
                <c:pt idx="3">
                  <c:v>37.345478991883517</c:v>
                </c:pt>
                <c:pt idx="4">
                  <c:v>43.902496153317266</c:v>
                </c:pt>
                <c:pt idx="5">
                  <c:v>51.220048747630024</c:v>
                </c:pt>
                <c:pt idx="6">
                  <c:v>59.065282730710713</c:v>
                </c:pt>
                <c:pt idx="7">
                  <c:v>67.296563222059831</c:v>
                </c:pt>
                <c:pt idx="8">
                  <c:v>75.754513742081883</c:v>
                </c:pt>
                <c:pt idx="9">
                  <c:v>84.26956368732138</c:v>
                </c:pt>
                <c:pt idx="10">
                  <c:v>92.717241724902507</c:v>
                </c:pt>
                <c:pt idx="11">
                  <c:v>101.01283444477403</c:v>
                </c:pt>
                <c:pt idx="12">
                  <c:v>109.08189035206688</c:v>
                </c:pt>
                <c:pt idx="13">
                  <c:v>116.85131176165068</c:v>
                </c:pt>
                <c:pt idx="14">
                  <c:v>121.1339272212778</c:v>
                </c:pt>
                <c:pt idx="15">
                  <c:v>124.23333481535195</c:v>
                </c:pt>
                <c:pt idx="16">
                  <c:v>130.81120084583821</c:v>
                </c:pt>
                <c:pt idx="17">
                  <c:v>136.33033185538108</c:v>
                </c:pt>
                <c:pt idx="18">
                  <c:v>140.69623490937258</c:v>
                </c:pt>
                <c:pt idx="19">
                  <c:v>143.82923065517735</c:v>
                </c:pt>
                <c:pt idx="20">
                  <c:v>145.64962728049514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C6-4A09-84A8-D39504B397FE}"/>
            </c:ext>
          </c:extLst>
        </c:ser>
        <c:ser>
          <c:idx val="1"/>
          <c:order val="1"/>
          <c:tx>
            <c:strRef>
              <c:f>'Calc Self Flow'!$H$14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C6-4A09-84A8-D39504B397F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371B0C63-8899-4F66-96C7-0630E03AA390}" type="CELLRANGE">
                      <a:rPr lang="ru-RU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3D0718F7-C8B9-43C7-8DE6-5884825D03FF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7C6-4A09-84A8-D39504B397FE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6FDF9AFF-15EC-4802-9303-5EB06086104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F3DABC5A-1445-48CF-AB79-C89184EB1306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7C6-4A09-84A8-D39504B397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8597FC-5A30-40D4-821D-34A756D38B29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6157AA2-B445-4314-A2E7-AA85F38C5E15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7C6-4A09-84A8-D39504B397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Self Flow'!$V$16:$V$18</c:f>
              <c:numCache>
                <c:formatCode>0</c:formatCode>
                <c:ptCount val="3"/>
                <c:pt idx="0">
                  <c:v>15.438593751537883</c:v>
                </c:pt>
                <c:pt idx="1">
                  <c:v>21.987649515403049</c:v>
                </c:pt>
                <c:pt idx="2">
                  <c:v>145.64962728049514</c:v>
                </c:pt>
              </c:numCache>
            </c:numRef>
          </c:xVal>
          <c:yVal>
            <c:numRef>
              <c:f>'Calc Self Flow'!$U$16:$U$18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Self Flow'!$P$10:$P$12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87C6-4A09-84A8-D39504B39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Self Flow'!$Q$16:$Q$36</c:f>
              <c:numCache>
                <c:formatCode>General</c:formatCode>
                <c:ptCount val="21"/>
                <c:pt idx="0">
                  <c:v>33.339701875850523</c:v>
                </c:pt>
                <c:pt idx="1">
                  <c:v>34.186293247294365</c:v>
                </c:pt>
                <c:pt idx="2">
                  <c:v>35.178329088867571</c:v>
                </c:pt>
                <c:pt idx="3">
                  <c:v>36.397499000009198</c:v>
                </c:pt>
                <c:pt idx="4">
                  <c:v>37.969192312962093</c:v>
                </c:pt>
                <c:pt idx="5">
                  <c:v>40.085141007802591</c:v>
                </c:pt>
                <c:pt idx="6">
                  <c:v>43.05423465347161</c:v>
                </c:pt>
                <c:pt idx="7">
                  <c:v>47.391452113342659</c:v>
                </c:pt>
                <c:pt idx="8">
                  <c:v>53.798778656199708</c:v>
                </c:pt>
                <c:pt idx="9">
                  <c:v>62.322906576064597</c:v>
                </c:pt>
                <c:pt idx="10">
                  <c:v>71.177444651684368</c:v>
                </c:pt>
                <c:pt idx="11">
                  <c:v>80.226730899136882</c:v>
                </c:pt>
                <c:pt idx="12">
                  <c:v>89.72582075959366</c:v>
                </c:pt>
                <c:pt idx="13">
                  <c:v>100.05050172121049</c:v>
                </c:pt>
                <c:pt idx="14">
                  <c:v>106.50469883238644</c:v>
                </c:pt>
                <c:pt idx="15">
                  <c:v>109.00290370237107</c:v>
                </c:pt>
                <c:pt idx="16">
                  <c:v>113.50679010412013</c:v>
                </c:pt>
                <c:pt idx="17">
                  <c:v>115.39179642297951</c:v>
                </c:pt>
                <c:pt idx="18">
                  <c:v>113.47926729936468</c:v>
                </c:pt>
                <c:pt idx="19">
                  <c:v>105.97150463072792</c:v>
                </c:pt>
                <c:pt idx="20">
                  <c:v>90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64-45F3-BF04-DE254193273C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90</c:v>
                </c:pt>
                <c:pt idx="15">
                  <c:v>94.34210526315789</c:v>
                </c:pt>
                <c:pt idx="16">
                  <c:v>104.47368421052632</c:v>
                </c:pt>
                <c:pt idx="17">
                  <c:v>114.60526315789474</c:v>
                </c:pt>
                <c:pt idx="18">
                  <c:v>124.73684210526316</c:v>
                </c:pt>
                <c:pt idx="19">
                  <c:v>134.86842105263159</c:v>
                </c:pt>
                <c:pt idx="20">
                  <c:v>145</c:v>
                </c:pt>
              </c:numCache>
            </c:numRef>
          </c:xVal>
          <c:yVal>
            <c:numRef>
              <c:f>'Calc Self Flow'!$K$16:$K$36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64-45F3-BF04-DE254193273C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Self Flow'!$J$16:$J$36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64-45F3-BF04-DE2541932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Lines="2" dropStyle="combo" dx="22" fmlaLink="$AO$3" fmlaRange="$AP$3:$AP$4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6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Lines="6" dropStyle="combo" dx="22" fmlaLink="$AB$3" fmlaRange="$AC$3:$AC$8" noThreeD="1" sel="4" val="0"/>
</file>

<file path=xl/ctrlProps/ctrlProp20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  <a:endParaRPr lang="en-US" sz="1100" baseline="0"/>
        </a:p>
        <a:p>
          <a:r>
            <a:rPr lang="en-US" sz="1100" baseline="0"/>
            <a:t>28.05.2019</a:t>
          </a:r>
        </a:p>
        <a:p>
          <a:r>
            <a:rPr lang="en-US" sz="1100" baseline="0"/>
            <a:t>- </a:t>
          </a:r>
          <a:r>
            <a:rPr lang="ru-RU" sz="1100" baseline="0"/>
            <a:t>исправления для работы версии 7.7 для расчета скважины с УЭЦН</a:t>
          </a:r>
        </a:p>
        <a:p>
          <a:r>
            <a:rPr lang="en-US" sz="1100" baseline="0"/>
            <a:t>08.10.2019</a:t>
          </a:r>
        </a:p>
        <a:p>
          <a:r>
            <a:rPr lang="en-US" sz="1100" baseline="0"/>
            <a:t>- </a:t>
          </a:r>
          <a:r>
            <a:rPr lang="ru-RU" sz="1100" baseline="0"/>
            <a:t>обновление под новые функции унифлока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56</xdr:row>
          <xdr:rowOff>0</xdr:rowOff>
        </xdr:from>
        <xdr:to>
          <xdr:col>13</xdr:col>
          <xdr:colOff>647700</xdr:colOff>
          <xdr:row>56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59</xdr:row>
      <xdr:rowOff>166608</xdr:rowOff>
    </xdr:from>
    <xdr:to>
      <xdr:col>9</xdr:col>
      <xdr:colOff>339116</xdr:colOff>
      <xdr:row>79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59</xdr:row>
      <xdr:rowOff>163886</xdr:rowOff>
    </xdr:from>
    <xdr:to>
      <xdr:col>17</xdr:col>
      <xdr:colOff>468464</xdr:colOff>
      <xdr:row>79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79</xdr:row>
      <xdr:rowOff>116261</xdr:rowOff>
    </xdr:from>
    <xdr:to>
      <xdr:col>9</xdr:col>
      <xdr:colOff>325587</xdr:colOff>
      <xdr:row>99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79</xdr:row>
      <xdr:rowOff>128167</xdr:rowOff>
    </xdr:from>
    <xdr:to>
      <xdr:col>17</xdr:col>
      <xdr:colOff>492275</xdr:colOff>
      <xdr:row>99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78438</xdr:colOff>
      <xdr:row>0</xdr:row>
      <xdr:rowOff>96722</xdr:rowOff>
    </xdr:from>
    <xdr:to>
      <xdr:col>28</xdr:col>
      <xdr:colOff>350182</xdr:colOff>
      <xdr:row>19</xdr:row>
      <xdr:rowOff>152681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8</xdr:row>
          <xdr:rowOff>219075</xdr:rowOff>
        </xdr:from>
        <xdr:to>
          <xdr:col>21</xdr:col>
          <xdr:colOff>209550</xdr:colOff>
          <xdr:row>12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21</xdr:row>
      <xdr:rowOff>65134</xdr:rowOff>
    </xdr:from>
    <xdr:to>
      <xdr:col>27</xdr:col>
      <xdr:colOff>415318</xdr:colOff>
      <xdr:row>30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12</xdr:row>
          <xdr:rowOff>104775</xdr:rowOff>
        </xdr:from>
        <xdr:to>
          <xdr:col>21</xdr:col>
          <xdr:colOff>209550</xdr:colOff>
          <xdr:row>15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219075</xdr:colOff>
          <xdr:row>16</xdr:row>
          <xdr:rowOff>9525</xdr:rowOff>
        </xdr:from>
        <xdr:to>
          <xdr:col>21</xdr:col>
          <xdr:colOff>190500</xdr:colOff>
          <xdr:row>18</xdr:row>
          <xdr:rowOff>133350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56</xdr:row>
          <xdr:rowOff>104775</xdr:rowOff>
        </xdr:from>
        <xdr:to>
          <xdr:col>21</xdr:col>
          <xdr:colOff>276225</xdr:colOff>
          <xdr:row>59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59</xdr:row>
      <xdr:rowOff>145677</xdr:rowOff>
    </xdr:from>
    <xdr:to>
      <xdr:col>26</xdr:col>
      <xdr:colOff>403412</xdr:colOff>
      <xdr:row>79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435429</xdr:colOff>
      <xdr:row>0</xdr:row>
      <xdr:rowOff>149678</xdr:rowOff>
    </xdr:from>
    <xdr:to>
      <xdr:col>38</xdr:col>
      <xdr:colOff>449036</xdr:colOff>
      <xdr:row>29</xdr:row>
      <xdr:rowOff>13607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437679" y="149678"/>
          <a:ext cx="6136821" cy="589189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Лист</a:t>
          </a:r>
          <a:r>
            <a:rPr lang="ru-RU" sz="1100" baseline="0"/>
            <a:t> </a:t>
          </a:r>
          <a:r>
            <a:rPr lang="en-US" sz="1100" baseline="0"/>
            <a:t>PVT - </a:t>
          </a:r>
          <a:r>
            <a:rPr lang="ru-RU" sz="1100" baseline="0"/>
            <a:t>Калькулятор </a:t>
          </a:r>
          <a:r>
            <a:rPr lang="en-US" sz="1100" baseline="0"/>
            <a:t>PVT </a:t>
          </a:r>
          <a:r>
            <a:rPr lang="ru-RU" sz="1100" baseline="0"/>
            <a:t>свойст предназначен для ввода и анализа данных по физико-химическим свойствам флюидов.</a:t>
          </a:r>
        </a:p>
        <a:p>
          <a:r>
            <a:rPr lang="ru-RU" sz="1100" baseline="0"/>
            <a:t>Позоляет рассчитать все доступные для расчета параметры при заданных давлении и температуре и построить графические зависимости.</a:t>
          </a:r>
        </a:p>
        <a:p>
          <a:endParaRPr lang="ru-RU" sz="1100" baseline="0"/>
        </a:p>
        <a:p>
          <a:r>
            <a:rPr lang="ru-RU" sz="1100" baseline="0"/>
            <a:t>Данные введенные в калькуляторе используются в других расчетных листах данного расчетного модуля в качестве исходных данных.</a:t>
          </a:r>
        </a:p>
        <a:p>
          <a:endParaRPr lang="ru-RU" sz="1100" baseline="0"/>
        </a:p>
        <a:p>
          <a:r>
            <a:rPr lang="ru-RU" sz="1100" baseline="0"/>
            <a:t>Для работы с диаграммой рассогласованности </a:t>
          </a:r>
          <a:r>
            <a:rPr lang="en-US" sz="1100" baseline="0"/>
            <a:t>PVT </a:t>
          </a:r>
          <a:r>
            <a:rPr lang="ru-RU" sz="1100" baseline="0"/>
            <a:t>данных необходимо активировать надстройку "поиск решения" в </a:t>
          </a:r>
          <a:r>
            <a:rPr lang="en-US" sz="1100" baseline="0"/>
            <a:t>Excel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809625</xdr:colOff>
          <xdr:row>2</xdr:row>
          <xdr:rowOff>9525</xdr:rowOff>
        </xdr:from>
        <xdr:to>
          <xdr:col>8</xdr:col>
          <xdr:colOff>304800</xdr:colOff>
          <xdr:row>2</xdr:row>
          <xdr:rowOff>219075</xdr:rowOff>
        </xdr:to>
        <xdr:sp macro="" textlink="">
          <xdr:nvSpPr>
            <xdr:cNvPr id="5170" name="Drop Dow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3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19.1%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352425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543381</xdr:colOff>
      <xdr:row>12</xdr:row>
      <xdr:rowOff>190501</xdr:rowOff>
    </xdr:from>
    <xdr:to>
      <xdr:col>28</xdr:col>
      <xdr:colOff>166311</xdr:colOff>
      <xdr:row>43</xdr:row>
      <xdr:rowOff>25703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596621</xdr:colOff>
      <xdr:row>12</xdr:row>
      <xdr:rowOff>208815</xdr:rowOff>
    </xdr:from>
    <xdr:to>
      <xdr:col>13</xdr:col>
      <xdr:colOff>289857</xdr:colOff>
      <xdr:row>43</xdr:row>
      <xdr:rowOff>70411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271085</xdr:colOff>
      <xdr:row>13</xdr:row>
      <xdr:rowOff>5445</xdr:rowOff>
    </xdr:from>
    <xdr:to>
      <xdr:col>20</xdr:col>
      <xdr:colOff>461358</xdr:colOff>
      <xdr:row>43</xdr:row>
      <xdr:rowOff>81644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361950</xdr:colOff>
          <xdr:row>3</xdr:row>
          <xdr:rowOff>142875</xdr:rowOff>
        </xdr:from>
        <xdr:to>
          <xdr:col>27</xdr:col>
          <xdr:colOff>381000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553509</xdr:colOff>
      <xdr:row>7</xdr:row>
      <xdr:rowOff>119591</xdr:rowOff>
    </xdr:from>
    <xdr:to>
      <xdr:col>28</xdr:col>
      <xdr:colOff>535517</xdr:colOff>
      <xdr:row>10</xdr:row>
      <xdr:rowOff>200024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296342" y="1537758"/>
          <a:ext cx="595842" cy="7789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531284</xdr:colOff>
      <xdr:row>3</xdr:row>
      <xdr:rowOff>157691</xdr:rowOff>
    </xdr:from>
    <xdr:to>
      <xdr:col>28</xdr:col>
      <xdr:colOff>513292</xdr:colOff>
      <xdr:row>6</xdr:row>
      <xdr:rowOff>200025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 rot="10800000">
          <a:off x="17274117" y="729191"/>
          <a:ext cx="595842" cy="656167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448542</xdr:colOff>
      <xdr:row>13</xdr:row>
      <xdr:rowOff>-1</xdr:rowOff>
    </xdr:from>
    <xdr:to>
      <xdr:col>28</xdr:col>
      <xdr:colOff>398318</xdr:colOff>
      <xdr:row>42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260389</xdr:colOff>
      <xdr:row>13</xdr:row>
      <xdr:rowOff>1687</xdr:rowOff>
    </xdr:from>
    <xdr:to>
      <xdr:col>12</xdr:col>
      <xdr:colOff>515132</xdr:colOff>
      <xdr:row>42</xdr:row>
      <xdr:rowOff>82851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472516</xdr:colOff>
      <xdr:row>13</xdr:row>
      <xdr:rowOff>624</xdr:rowOff>
    </xdr:from>
    <xdr:to>
      <xdr:col>20</xdr:col>
      <xdr:colOff>265660</xdr:colOff>
      <xdr:row>42</xdr:row>
      <xdr:rowOff>78554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6388" name="Drop Dow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6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28575</xdr:rowOff>
        </xdr:to>
        <xdr:sp macro="" textlink="">
          <xdr:nvSpPr>
            <xdr:cNvPr id="16389" name="Drop Dow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6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314325</xdr:colOff>
      <xdr:row>12</xdr:row>
      <xdr:rowOff>190499</xdr:rowOff>
    </xdr:from>
    <xdr:to>
      <xdr:col>29</xdr:col>
      <xdr:colOff>47625</xdr:colOff>
      <xdr:row>43</xdr:row>
      <xdr:rowOff>111124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23586</xdr:colOff>
      <xdr:row>12</xdr:row>
      <xdr:rowOff>174172</xdr:rowOff>
    </xdr:from>
    <xdr:to>
      <xdr:col>13</xdr:col>
      <xdr:colOff>315686</xdr:colOff>
      <xdr:row>43</xdr:row>
      <xdr:rowOff>50347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349704</xdr:colOff>
      <xdr:row>13</xdr:row>
      <xdr:rowOff>14515</xdr:rowOff>
    </xdr:from>
    <xdr:to>
      <xdr:col>21</xdr:col>
      <xdr:colOff>254000</xdr:colOff>
      <xdr:row>43</xdr:row>
      <xdr:rowOff>119289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17413" name="Drop Dow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SP_head_m"/>
      <definedName name="ESP_id_by_rate"/>
      <definedName name="ESP_name"/>
      <definedName name="getUFVersion"/>
      <definedName name="MF_mu_mix_cP"/>
      <definedName name="MF_q_mix_rc_m3day"/>
      <definedName name="MF_rho_mix_kgm3"/>
      <definedName name="PVT_bg_m3m3"/>
      <definedName name="PVT_bo_m3m3"/>
      <definedName name="PVT_bw_m3m3"/>
      <definedName name="PVT_encode_string"/>
      <definedName name="PVT_mu_gas_cP"/>
      <definedName name="PVT_mu_oil_cP"/>
      <definedName name="PVT_mu_wat_cP"/>
      <definedName name="PVT_pb_atma"/>
      <definedName name="PVT_rho_gas_kgm3"/>
      <definedName name="PVT_rho_oil_kgm3"/>
      <definedName name="PVT_rho_wat_kgm3"/>
      <definedName name="PVT_rs_m3m3"/>
      <definedName name="PVT_salinity_ppm"/>
      <definedName name="PVT_ST_liqgas_Nm"/>
      <definedName name="PVT_ST_oilgas_Nm"/>
      <definedName name="PVT_ST_watgas_Nm"/>
      <definedName name="PVT_z"/>
      <definedName name="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Info"/>
  <dimension ref="A1:E4"/>
  <sheetViews>
    <sheetView workbookViewId="0">
      <selection activeCell="L13" sqref="L13"/>
    </sheetView>
  </sheetViews>
  <sheetFormatPr defaultRowHeight="15" x14ac:dyDescent="0.25"/>
  <sheetData>
    <row r="1" spans="1:5" x14ac:dyDescent="0.25">
      <c r="A1" t="str">
        <f>"вер "&amp;B1</f>
        <v>вер 7.22</v>
      </c>
      <c r="B1" s="16" t="str">
        <f>[1]!getUFVersion()</f>
        <v>7.22</v>
      </c>
    </row>
    <row r="2" spans="1:5" x14ac:dyDescent="0.25">
      <c r="A2" t="s">
        <v>161</v>
      </c>
    </row>
    <row r="4" spans="1:5" x14ac:dyDescent="0.25">
      <c r="A4" s="68" t="str">
        <f>"Унифлок "&amp;версия_номер_</f>
        <v>Унифлок 7.22</v>
      </c>
      <c r="B4" s="68"/>
      <c r="C4" s="68"/>
      <c r="D4" s="68"/>
      <c r="E4" s="68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PVT">
    <outlinePr summaryBelow="0"/>
  </sheetPr>
  <dimension ref="A1:AP102"/>
  <sheetViews>
    <sheetView zoomScale="70" zoomScaleNormal="70" workbookViewId="0">
      <selection activeCell="G51" sqref="G51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42" x14ac:dyDescent="0.25">
      <c r="A1" s="59" t="str">
        <f>"Унифлок "&amp;версия_&amp;" приложение версия 1.1"</f>
        <v>Унифлок вер 7.22 приложение версия 1.1</v>
      </c>
      <c r="J1" s="2" t="s">
        <v>23</v>
      </c>
      <c r="K1" s="2"/>
      <c r="L1" s="2"/>
    </row>
    <row r="2" spans="1:42" ht="18" x14ac:dyDescent="0.25">
      <c r="A2" s="69" t="s">
        <v>0</v>
      </c>
      <c r="B2" s="69"/>
      <c r="C2" s="69"/>
      <c r="D2" s="69"/>
      <c r="E2" s="69"/>
      <c r="J2" s="6" t="s">
        <v>26</v>
      </c>
      <c r="K2" s="9">
        <v>1</v>
      </c>
      <c r="L2" s="5" t="s">
        <v>6</v>
      </c>
      <c r="AO2" s="66"/>
      <c r="AP2" s="66" t="s">
        <v>151</v>
      </c>
    </row>
    <row r="3" spans="1:42" ht="18" customHeight="1" x14ac:dyDescent="0.25">
      <c r="F3" s="70" t="s">
        <v>74</v>
      </c>
      <c r="G3" s="70"/>
      <c r="H3" s="9">
        <f>AO3-1</f>
        <v>0</v>
      </c>
      <c r="J3" s="5" t="s">
        <v>27</v>
      </c>
      <c r="K3" s="9">
        <v>15</v>
      </c>
      <c r="L3" s="5" t="s">
        <v>24</v>
      </c>
      <c r="AO3" s="66">
        <v>1</v>
      </c>
      <c r="AP3" s="66" t="s">
        <v>143</v>
      </c>
    </row>
    <row r="4" spans="1:42" x14ac:dyDescent="0.25">
      <c r="AO4" s="66"/>
      <c r="AP4" s="66" t="s">
        <v>144</v>
      </c>
    </row>
    <row r="6" spans="1:42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42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71" t="s">
        <v>28</v>
      </c>
      <c r="O7" s="71"/>
      <c r="P7" s="71"/>
      <c r="Q7" s="71"/>
    </row>
    <row r="8" spans="1:42" ht="18" x14ac:dyDescent="0.25">
      <c r="B8" s="14" t="s">
        <v>10</v>
      </c>
      <c r="C8" s="9">
        <v>40</v>
      </c>
      <c r="D8" s="5" t="s">
        <v>2</v>
      </c>
      <c r="F8" s="6" t="s">
        <v>12</v>
      </c>
      <c r="G8" s="9">
        <v>0.82</v>
      </c>
      <c r="H8" s="5"/>
      <c r="J8" s="7" t="s">
        <v>32</v>
      </c>
      <c r="K8" s="9">
        <v>230</v>
      </c>
      <c r="L8" s="5" t="s">
        <v>33</v>
      </c>
      <c r="N8" s="6" t="s">
        <v>29</v>
      </c>
      <c r="O8" s="9">
        <v>0</v>
      </c>
      <c r="P8" s="5"/>
      <c r="Q8" s="2"/>
    </row>
    <row r="9" spans="1:42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9"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42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Ql_scm3day_*(1-fw_perc_/100)*gamma_oil_</f>
        <v>188.6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42" ht="18" x14ac:dyDescent="0.25">
      <c r="F11" s="7" t="s">
        <v>15</v>
      </c>
      <c r="G11" s="9">
        <v>143</v>
      </c>
      <c r="H11" s="5" t="s">
        <v>17</v>
      </c>
      <c r="J11" s="7" t="s">
        <v>18</v>
      </c>
      <c r="K11" s="9">
        <v>100</v>
      </c>
      <c r="L11" s="5" t="s">
        <v>17</v>
      </c>
    </row>
    <row r="12" spans="1:42" ht="18" x14ac:dyDescent="0.25">
      <c r="J12" s="7" t="s">
        <v>18</v>
      </c>
      <c r="K12" s="13">
        <f>Rp_m3m3_/gamma_oil_</f>
        <v>121.95121951219512</v>
      </c>
      <c r="L12" s="5" t="s">
        <v>36</v>
      </c>
    </row>
    <row r="13" spans="1:42" x14ac:dyDescent="0.25">
      <c r="F13" s="2" t="s">
        <v>5</v>
      </c>
      <c r="G13" s="2"/>
      <c r="H13" s="2"/>
    </row>
    <row r="14" spans="1:42" ht="18" x14ac:dyDescent="0.25">
      <c r="F14" s="5" t="s">
        <v>16</v>
      </c>
      <c r="G14" s="9">
        <v>76</v>
      </c>
      <c r="H14" s="5" t="s">
        <v>75</v>
      </c>
    </row>
    <row r="15" spans="1:42" ht="18" x14ac:dyDescent="0.25">
      <c r="F15" s="5" t="s">
        <v>20</v>
      </c>
      <c r="G15" s="9">
        <v>190</v>
      </c>
      <c r="H15" s="5" t="s">
        <v>2</v>
      </c>
    </row>
    <row r="16" spans="1:42" ht="18" x14ac:dyDescent="0.25">
      <c r="F16" s="7" t="s">
        <v>21</v>
      </c>
      <c r="G16" s="9">
        <v>1.36</v>
      </c>
      <c r="H16" s="5" t="s">
        <v>17</v>
      </c>
    </row>
    <row r="17" spans="1:28" ht="18" x14ac:dyDescent="0.25">
      <c r="F17" s="8" t="s">
        <v>22</v>
      </c>
      <c r="G17" s="9">
        <v>0.56999999999999995</v>
      </c>
      <c r="H17" s="5" t="s">
        <v>7</v>
      </c>
    </row>
    <row r="19" spans="1:28" x14ac:dyDescent="0.25">
      <c r="B19" s="10" t="s">
        <v>211</v>
      </c>
      <c r="C19" s="63" t="str">
        <f>[1]!PVT_encode_string(gamma_gas_,gamma_oil_,gamma_wat_,Rsb_m3m3_,Rp_m3m3_,Pb_atma_,Tres_C_,Bob_m3m3_,mu_cP_,H3)</f>
        <v>gamma_gas:0.700;gamma_oil:0.820;gamma_wat:1.070;rsb_m3m3:143.000;rp_m3m3:100.000;pb_atma:190.000;tres_C:76.000;bob_m3m3:1.360;muob_cP:0.570;PVTcorr:0;ksep_fr:0.000;p_ksep_atma:-1.000;t_ksep_C:-1.000;gas_only:False;</v>
      </c>
      <c r="D19" s="63"/>
      <c r="E19" s="63"/>
      <c r="F19" s="63"/>
      <c r="G19" s="64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</row>
    <row r="20" spans="1:28" s="61" customFormat="1" ht="15.75" x14ac:dyDescent="0.25">
      <c r="A20" s="60"/>
      <c r="G20" s="62"/>
    </row>
    <row r="21" spans="1:28" x14ac:dyDescent="0.25">
      <c r="B21" s="19" t="s">
        <v>76</v>
      </c>
      <c r="C21" s="20"/>
      <c r="D21" s="20"/>
      <c r="E21" s="20"/>
      <c r="F21" s="20"/>
      <c r="G21" s="21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</row>
    <row r="22" spans="1:28" outlineLevel="1" x14ac:dyDescent="0.25"/>
    <row r="23" spans="1:28" outlineLevel="1" x14ac:dyDescent="0.25">
      <c r="B23" s="2" t="s">
        <v>77</v>
      </c>
      <c r="C23" s="2"/>
      <c r="D23" s="2"/>
      <c r="E23" s="2"/>
      <c r="F23" s="2"/>
      <c r="G23" s="2" t="s">
        <v>78</v>
      </c>
      <c r="H23" s="2"/>
    </row>
    <row r="24" spans="1:28" ht="18" outlineLevel="1" x14ac:dyDescent="0.25">
      <c r="B24" s="5" t="s">
        <v>79</v>
      </c>
      <c r="C24" s="22">
        <f>[1]!PVT_pb_atma(Tres_C_,gamma_gas_,gamma_oil_,gamma_w_,Rsb_m3m3_,,Pb_atma_,Tres_C_,Bob_m3m3_,mu_cP_,PVT_correlation_,Ksep_,Psep_atma_,Tsep_C_)</f>
        <v>190.00000000000003</v>
      </c>
      <c r="D24" s="5" t="s">
        <v>2</v>
      </c>
      <c r="E24" s="2"/>
      <c r="F24" s="2"/>
      <c r="G24" s="23">
        <f>[1]!PVT_pb_atma(T_C_,gamma_gas_,gamma_oil_,gamma_w_,Rsb_m3m3_,,Pb_atma_,Tres_C_,Bob_m3m3_,mu_cP_,PVT_correlation_,Ksep_,Psep_atma_,Tsep_C_)</f>
        <v>159.56792624310489</v>
      </c>
      <c r="H24" s="2"/>
    </row>
    <row r="25" spans="1:28" ht="18" outlineLevel="1" x14ac:dyDescent="0.25">
      <c r="B25" s="5" t="s">
        <v>16</v>
      </c>
      <c r="C25" s="24">
        <f>Tres_C_</f>
        <v>76</v>
      </c>
      <c r="D25" s="5" t="s">
        <v>25</v>
      </c>
      <c r="E25" s="2"/>
      <c r="F25" s="2"/>
      <c r="G25" s="25">
        <f>T_C_</f>
        <v>30</v>
      </c>
      <c r="H25" s="2"/>
    </row>
    <row r="26" spans="1:28" ht="18" outlineLevel="1" x14ac:dyDescent="0.25">
      <c r="B26" s="7" t="s">
        <v>15</v>
      </c>
      <c r="C26" s="24">
        <f>Rsb_m3m3_</f>
        <v>143</v>
      </c>
      <c r="D26" s="5" t="s">
        <v>17</v>
      </c>
      <c r="E26" s="2"/>
      <c r="F26" s="2"/>
      <c r="G26" s="10"/>
      <c r="H26" s="2"/>
    </row>
    <row r="27" spans="1:28" ht="18" outlineLevel="1" x14ac:dyDescent="0.25">
      <c r="B27" s="7" t="s">
        <v>80</v>
      </c>
      <c r="C27" s="26">
        <f>[1]!PVT_bo_m3m3(C24,Tres_C_,gamma_gas_,gamma_oil_,gamma_w_,Rsb_m3m3_,,Pb_atma_,Tres_C_,Bob_m3m3_,mu_cP_,PVT_correlation_,Ksep_,Psep_atma_,Tsep_C_)</f>
        <v>1.3578192437095404</v>
      </c>
      <c r="D27" s="5" t="s">
        <v>17</v>
      </c>
      <c r="E27" s="2"/>
      <c r="F27" s="2"/>
      <c r="G27" s="10"/>
      <c r="H27" s="2"/>
    </row>
    <row r="28" spans="1:28" ht="18" outlineLevel="1" x14ac:dyDescent="0.25">
      <c r="B28" s="8" t="s">
        <v>81</v>
      </c>
      <c r="C28" s="22">
        <f>[1]!PVT_rho_oil_kgm3(C24,Tres_C_,gamma_gas_,gamma_oil_,gamma_w_,Rsb_m3m3_,,Pb_atma_,Tres_C_,Bob_m3m3_,mu_cP_,PVT_correlation_,Ksep_,Psep_atma_,Tsep_C_)</f>
        <v>693.41441674256123</v>
      </c>
      <c r="D28" s="5" t="s">
        <v>82</v>
      </c>
      <c r="E28" s="2"/>
      <c r="F28" s="2"/>
      <c r="G28" s="10"/>
      <c r="H28" s="2"/>
    </row>
    <row r="29" spans="1:28" ht="18" outlineLevel="1" x14ac:dyDescent="0.25">
      <c r="B29" s="8" t="s">
        <v>83</v>
      </c>
      <c r="C29" s="27">
        <f>[1]!PVT_mu_oil_cP(C24,Tres_C_,gamma_gas_,gamma_oil_,gamma_w_,Rsb_m3m3_,,Pb_atma_,Tres_C_,Bob_m3m3_,mu_cP_,PVT_correlation_,Ksep_,Psep_atma_,Tsep_C_)</f>
        <v>0.57187732583758799</v>
      </c>
      <c r="D29" s="5" t="s">
        <v>7</v>
      </c>
      <c r="E29" s="2"/>
      <c r="F29" s="2"/>
      <c r="G29" s="10"/>
      <c r="H29" s="2"/>
    </row>
    <row r="30" spans="1:28" outlineLevel="1" x14ac:dyDescent="0.25"/>
    <row r="31" spans="1:28" outlineLevel="1" x14ac:dyDescent="0.25"/>
    <row r="32" spans="1:28" outlineLevel="1" x14ac:dyDescent="0.25">
      <c r="B32" s="2" t="s">
        <v>84</v>
      </c>
      <c r="C32" s="2"/>
      <c r="D32" s="2"/>
      <c r="E32" s="2"/>
      <c r="F32" s="2"/>
      <c r="G32" s="28"/>
      <c r="H32" s="2" t="s">
        <v>85</v>
      </c>
      <c r="I32" s="2"/>
      <c r="J32" s="2"/>
      <c r="K32" s="2"/>
      <c r="L32" s="2" t="s">
        <v>86</v>
      </c>
      <c r="M32" s="2"/>
      <c r="N32" s="2"/>
      <c r="Q32" s="2" t="s">
        <v>87</v>
      </c>
      <c r="R32" s="2"/>
      <c r="S32" s="2"/>
      <c r="T32" s="2"/>
      <c r="U32" s="2"/>
      <c r="V32" s="2"/>
      <c r="W32" s="2"/>
      <c r="X32" s="2"/>
      <c r="Z32" s="2" t="s">
        <v>88</v>
      </c>
      <c r="AA32" s="2"/>
      <c r="AB32" s="2"/>
    </row>
    <row r="33" spans="2:33" ht="18" outlineLevel="1" x14ac:dyDescent="0.35">
      <c r="B33" s="5" t="s">
        <v>89</v>
      </c>
      <c r="C33" s="22">
        <f>[1]!PVT_rho_oil_kgm3(Psc_atma_,Tsc_C_,gamma_gas_,gamma_oil_,gamma_w_,Rsb_m3m3_,,Pb_atma_,Tres_C_,Bob_m3m3_,mu_cP_,PVT_correlation_,Ksep_,Psep_atma_,Tsep_C_)</f>
        <v>823.42427501321731</v>
      </c>
      <c r="D33" s="5" t="s">
        <v>82</v>
      </c>
      <c r="E33" s="29">
        <f>[1]!PVT_rho_oil_kgm3(Psc_atma_,Tsc_C_,gamma_gas_,gamma_oil_,gamma_w_,Rsb_m3m3_,,,,,,PVT_correlation_,Ksep_,Psep_atma_,Tsep_C_)</f>
        <v>824.09046329784405</v>
      </c>
      <c r="F33" s="30">
        <f t="shared" ref="F33:F38" si="0">(E33-C33)/E33</f>
        <v>8.0839217816062374E-4</v>
      </c>
      <c r="G33" s="31"/>
      <c r="H33" s="5" t="s">
        <v>90</v>
      </c>
      <c r="I33" s="27">
        <f>[1]!PVT_rho_gas_kgm3(Psc_atma_,Tsc_C_,gamma_gas_,gamma_oil_,gamma_w_,Rsb_m3m3_,,Pb_atma_,Tres_C_,Bob_m3m3_,mu_cP_,PVT_correlation_,Ksep_,Psep_atma_,Tsep_C_)</f>
        <v>0.86902621986422079</v>
      </c>
      <c r="J33" s="5" t="s">
        <v>82</v>
      </c>
      <c r="L33" s="5" t="s">
        <v>91</v>
      </c>
      <c r="M33" s="22">
        <f>[1]!PVT_rho_wat_kgm3(Psc_atma_,Tsc_C_,gamma_gas_,gamma_oil_,gamma_w_,Rsb_m3m3_,,Pb_atma_,Tres_C_,Bob_m3m3_,mu_cP_,PVT_correlation_,Ksep_,Psep_atma_,Tsep_C_)</f>
        <v>1070.3638451179736</v>
      </c>
      <c r="N33" s="5" t="s">
        <v>82</v>
      </c>
      <c r="Q33" s="5" t="s">
        <v>92</v>
      </c>
      <c r="R33" s="32">
        <v>0.82</v>
      </c>
      <c r="S33" s="2"/>
      <c r="T33" s="2" t="s">
        <v>93</v>
      </c>
      <c r="U33" s="2"/>
      <c r="V33" s="2" t="s">
        <v>94</v>
      </c>
      <c r="W33" s="2"/>
      <c r="X33" s="2" t="s">
        <v>95</v>
      </c>
      <c r="Z33" s="5" t="s">
        <v>79</v>
      </c>
      <c r="AA33" s="33">
        <f>ABS(U34)</f>
        <v>1.9494839573486536E-2</v>
      </c>
      <c r="AB33" s="34">
        <f>ABS(Pb_diff_)</f>
        <v>1.9494839573486536E-2</v>
      </c>
      <c r="AD33" s="2" t="str">
        <f>Q35&amp; " = "&amp;IFERROR(TEXT(gamma_gas_diff_total_*100,"0.0") &amp; "%",TEXT(gamma_gas_diff_total_*100,"0,0") &amp; "%")</f>
        <v>Сумм откл = 19.1%</v>
      </c>
      <c r="AE33" s="2"/>
      <c r="AF33" s="2"/>
      <c r="AG33" s="2"/>
    </row>
    <row r="34" spans="2:33" ht="18" outlineLevel="1" x14ac:dyDescent="0.25">
      <c r="B34" s="5" t="s">
        <v>96</v>
      </c>
      <c r="C34" s="27">
        <f>[1]!PVT_mu_oil_cP(Psc_atma_,Tsc_C_,gamma_gas_,gamma_oil_,gamma_w_,Rsb_m3m3_,,Pb_atma_,Tres_C_,Bob_m3m3_,mu_cP_,PVT_correlation_,Ksep_,Psep_atma_,Tsep_C_)</f>
        <v>7.6341597267424568</v>
      </c>
      <c r="D34" s="5" t="s">
        <v>7</v>
      </c>
      <c r="E34" s="29">
        <f>[1]!PVT_mu_oil_cP(Psc_atma_,Tsc_C_,gamma_gas_,gamma_oil_,gamma_w_,Rsb_m3m3_,,,,,,PVT_correlation_,Ksep_,Psep_atma_,Tsep_C_)</f>
        <v>23.837937569702675</v>
      </c>
      <c r="F34" s="30">
        <f t="shared" si="0"/>
        <v>0.67974747377284639</v>
      </c>
      <c r="G34" s="31"/>
      <c r="H34" s="5" t="s">
        <v>97</v>
      </c>
      <c r="I34" s="39">
        <f>[1]!PVT_mu_gas_cP(Psc_atma_,Tsc_C_,gamma_gas_,gamma_oil_,gamma_w_,Rsb_m3m3_,,Pb_atma_,Tres_C_,Bob_m3m3_,mu_cP_,PVT_correlation_,Ksep_,Psep_atma_,Tsep_C_)</f>
        <v>1.0255679906379638E-2</v>
      </c>
      <c r="J34" s="5" t="s">
        <v>7</v>
      </c>
      <c r="L34" s="5" t="s">
        <v>98</v>
      </c>
      <c r="M34" s="26">
        <f>[1]!PVT_mu_wat_cP(Psc_atma_,Tsc_C_,gamma_gas_,gamma_oil_,gamma_w_,Rsb_m3m3_,,Pb_atma_,Tres_C_,Bob_m3m3_,mu_cP_,PVT_correlation_,Ksep_,Psep_atma_,Tsep_C_)</f>
        <v>1.2900781748980021</v>
      </c>
      <c r="N34" s="5" t="s">
        <v>7</v>
      </c>
      <c r="Q34" s="5" t="s">
        <v>99</v>
      </c>
      <c r="R34" s="32">
        <v>0.7</v>
      </c>
      <c r="S34" s="5" t="s">
        <v>79</v>
      </c>
      <c r="T34" s="29">
        <f>[1]!PVT_pb_atma(Tres_C_,gamma_gas_,gamma_oil_,gamma_w_,Rsb_m3m3_,,,Tres_C_,,,PVT_correlation_,Ksep_,Psep_atma_,Tsep_C_)</f>
        <v>186.36680895754998</v>
      </c>
      <c r="U34" s="30">
        <f>(T34-C24)/T34</f>
        <v>-1.9494839573486536E-2</v>
      </c>
      <c r="V34" s="29">
        <f>[1]!PVT_pb_atma(Tres_C_,gamma_gas_new_,gamma_oil_new_,gamma_w_,Rsb_m3m3_,,,Tres_C_,,,PVT_correlation_,Ksep_,Psep_atma_,Tsep_C_)</f>
        <v>186.36680895754998</v>
      </c>
      <c r="W34" s="30">
        <f>(V34-C24)/V34</f>
        <v>-1.9494839573486536E-2</v>
      </c>
      <c r="X34" s="2">
        <v>2</v>
      </c>
      <c r="Z34" s="7" t="s">
        <v>80</v>
      </c>
      <c r="AA34" s="33">
        <f>ABS(U35)</f>
        <v>0.1758524957836049</v>
      </c>
      <c r="AB34" s="33">
        <f>ABS(W35)</f>
        <v>0.1758524957836049</v>
      </c>
      <c r="AD34" s="2" t="str">
        <f>F9 &amp;" = "&amp;IFERROR(  TEXT(gamma_gas_,"0.00"),TEXT(gamma_gas_,"0,00")) &amp;",  "&amp; F8 &amp;" = "&amp;  IFERROR(TEXT(gamma_oil_,"0.00"),TEXT(gamma_oil_,"0,00"))</f>
        <v>γg = 0.70,  γo = 0.82</v>
      </c>
      <c r="AE34" s="2"/>
      <c r="AF34" s="2"/>
      <c r="AG34" s="2"/>
    </row>
    <row r="35" spans="2:33" ht="18" outlineLevel="1" x14ac:dyDescent="0.25">
      <c r="B35" s="5" t="s">
        <v>100</v>
      </c>
      <c r="C35" s="27">
        <f>[1]!PVT_rs_m3m3(P_atma_,T_C_,gamma_gas_,gamma_oil_,gamma_w_,Rsb_m3m3_,,Pb_atma_,Tres_C_,Bob_m3m3_,mu_cP_,PVT_correlation_,Ksep_,Psep_atma_,Tsep_C_)</f>
        <v>26.863324116908647</v>
      </c>
      <c r="D35" s="5" t="s">
        <v>17</v>
      </c>
      <c r="E35" s="29">
        <f>[1]!PVT_rs_m3m3(P_atma_,T_C_,gamma_gas_,gamma_oil_,gamma_w_,Rsb_m3m3_,,,,,,PVT_correlation_,Ksep_,Psep_atma_,Tsep_C_)</f>
        <v>27.495101698033263</v>
      </c>
      <c r="F35" s="30">
        <f t="shared" si="0"/>
        <v>2.2977823034195499E-2</v>
      </c>
      <c r="G35" s="31"/>
      <c r="H35" s="5" t="s">
        <v>101</v>
      </c>
      <c r="I35" s="26">
        <f>[1]!PVT_z(P_atma_,T_C_,gamma_gas_,gamma_oil_,gamma_w_,Rsb_m3m3_,,Pb_atma_,Tres_C_,Bob_m3m3_,mu_cP_,PVT_correlation_,Ksep_,Psep_atma_,Tsep_C_)</f>
        <v>0.8909075525006741</v>
      </c>
      <c r="J35" s="5"/>
      <c r="L35" s="5" t="s">
        <v>102</v>
      </c>
      <c r="M35" s="22">
        <f>[1]!PVT_salinity_ppm(Psc_atma_,Tsc_C_,gamma_gas_,gamma_oil_,gamma_w_,Rsb_m3m3_,,Pb_atma_,Tres_C_,Bob_m3m3_,mu_cP_,PVT_correlation_,Ksep_,Psep_atma_,Tsep_C_)</f>
        <v>97525.871265721944</v>
      </c>
      <c r="N35" s="5" t="s">
        <v>172</v>
      </c>
      <c r="Q35" s="35" t="s">
        <v>103</v>
      </c>
      <c r="R35" s="36">
        <f>((X34*W34^2+X35*W35^2+X36*W36^2+X37*W37^2+X38*W38^2+X39*W39^2)/SUM(X34:X39))^0.5</f>
        <v>0.19106100646059077</v>
      </c>
      <c r="S35" s="7" t="s">
        <v>80</v>
      </c>
      <c r="T35" s="37">
        <f>[1]!PVT_bo_m3m3(T34,Tres_C_,gamma_gas_,gamma_oil_,gamma_w_,Rsb_m3m3_,,,,,,PVT_correlation_,Ksep_,Psep_atma_,Tsep_C_)</f>
        <v>1.4341689344187936</v>
      </c>
      <c r="U35" s="30">
        <f>(T35-C27)/(T35-1)</f>
        <v>0.1758524957836049</v>
      </c>
      <c r="V35" s="37">
        <f>[1]!PVT_bo_m3m3(V34,Tres_C_,gamma_gas_new_,gamma_oil_new_,gamma_w_,Rsb_m3m3_,,,,,,PVT_correlation_,Ksep_,Psep_atma_,Tsep_C_)</f>
        <v>1.4341689344187936</v>
      </c>
      <c r="W35" s="30">
        <f>(V35-C27)/(V35-1)</f>
        <v>0.1758524957836049</v>
      </c>
      <c r="X35" s="2">
        <v>2</v>
      </c>
      <c r="Z35" s="8" t="s">
        <v>83</v>
      </c>
      <c r="AA35" s="33">
        <f>ABS(U37)</f>
        <v>0.38886680483856007</v>
      </c>
      <c r="AB35" s="33">
        <f>ABS(W37)</f>
        <v>0.38886680483856007</v>
      </c>
      <c r="AD35" s="2" t="str">
        <f>Q34&amp;" = "&amp;IFERROR(TEXT(gamma_gas_new_,"0.00"),TEXT(gamma_gas_new_,"0,00"))&amp;",  "&amp;Q33&amp;" = "&amp;IFERROR(TEXT(gamma_oil_new_,"0.00"),TEXT(gamma_oil_new_,"0,00"))</f>
        <v>γg new  = 0.70,  γo new  = 0.82</v>
      </c>
      <c r="AE35" s="2"/>
      <c r="AF35" s="2"/>
      <c r="AG35" s="2"/>
    </row>
    <row r="36" spans="2:33" ht="18" outlineLevel="1" x14ac:dyDescent="0.25">
      <c r="B36" s="5" t="s">
        <v>104</v>
      </c>
      <c r="C36" s="26">
        <f>[1]!PVT_bo_m3m3(P_atma_,T_C_,gamma_gas_,gamma_oil_,gamma_w_,Rsb_m3m3_,,Pb_atma_,Tres_C_,Bob_m3m3_,mu_cP_,PVT_correlation_,Ksep_,Psep_atma_,Tsep_C_)</f>
        <v>1.0550701167491432</v>
      </c>
      <c r="D36" s="5" t="s">
        <v>17</v>
      </c>
      <c r="E36" s="29">
        <f>[1]!PVT_bo_m3m3(P_atma_,T_C_,gamma_gas_,gamma_oil_,gamma_w_,Rsb_m3m3_,,,,,,PVT_correlation_,Ksep_,Psep_atma_,Tsep_C_)</f>
        <v>1.0683061753184211</v>
      </c>
      <c r="F36" s="30">
        <f t="shared" si="0"/>
        <v>1.2389761357817422E-2</v>
      </c>
      <c r="G36" s="31"/>
      <c r="H36" s="5" t="s">
        <v>105</v>
      </c>
      <c r="I36" s="39">
        <f>[1]!PVT_bg_m3m3(P_atma_,T_C_,gamma_gas_,gamma_oil_,gamma_w_,Rsb_m3m3_,,Pb_atma_,Tres_C_,Bob_m3m3_,mu_cP_,PVT_correlation_,Ksep_,Psep_atma_,Tsep_C_)</f>
        <v>2.3126153188976827E-2</v>
      </c>
      <c r="J36" s="5" t="s">
        <v>17</v>
      </c>
      <c r="L36" s="5" t="s">
        <v>106</v>
      </c>
      <c r="M36" s="26">
        <f>[1]!PVT_bw_m3m3(P_atma_,T_C_,gamma_gas_,gamma_oil_,gamma_w_,Rsb_m3m3_,,Pb_atma_,Tres_C_,Bob_m3m3_,mu_cP_,PVT_correlation_,Ksep_,Psep_atma_,Tsep_C_)</f>
        <v>1.0050124728223304</v>
      </c>
      <c r="N36" s="5" t="s">
        <v>17</v>
      </c>
      <c r="S36" s="8" t="s">
        <v>81</v>
      </c>
      <c r="T36" s="29">
        <f>[1]!PVT_rho_oil_kgm3(C24,Tres_C_,gamma_gas_,gamma_oil_,gamma_w_,Rsb_m3m3_,,,,,,PVT_correlation_,Ksep_,Psep_atma_,Tsep_C_)</f>
        <v>656.46467222321712</v>
      </c>
      <c r="U36" s="30">
        <f>(T36-C28)/T36</f>
        <v>-5.6285960361291333E-2</v>
      </c>
      <c r="V36" s="29">
        <f>[1]!PVT_rho_oil_kgm3(C24,Tres_C_,gamma_gas_new_,gamma_oil_new_,gamma_w_,Rsb_m3m3_,,,,,,PVT_correlation_,Ksep_,Psep_atma_,Tsep_C_)</f>
        <v>656.46467222321712</v>
      </c>
      <c r="W36" s="30">
        <f>(V36-C28)/V36</f>
        <v>-5.6285960361291333E-2</v>
      </c>
      <c r="X36" s="2">
        <v>0</v>
      </c>
      <c r="Z36" s="5" t="s">
        <v>110</v>
      </c>
      <c r="AA36" s="34">
        <f>ABS((gamma_oil_-gamma_oil_)/(gamma_oil_))</f>
        <v>0</v>
      </c>
      <c r="AB36" s="33">
        <f>ABS((gamma_oil_new_-gamma_oil_)/(gamma_oil_))</f>
        <v>0</v>
      </c>
    </row>
    <row r="37" spans="2:33" ht="18" outlineLevel="1" x14ac:dyDescent="0.25">
      <c r="B37" s="5" t="s">
        <v>107</v>
      </c>
      <c r="C37" s="22">
        <f>[1]!PVT_rho_oil_kgm3(P_atma_,T_C_,gamma_gas_,gamma_oil_,gamma_w_,Rsb_m3m3_,,Pb_atma_,Tres_C_,Bob_m3m3_,mu_cP_,PVT_correlation_,Ksep_,Psep_atma_,Tsep_C_)</f>
        <v>798.97367271559926</v>
      </c>
      <c r="D37" s="5" t="s">
        <v>82</v>
      </c>
      <c r="E37" s="29">
        <f>[1]!PVT_rho_oil_kgm3(P_atma_,T_C_,gamma_gas_,gamma_oil_,gamma_w_,Rsb_m3m3_,,,,,,PVT_correlation_,Ksep_,Psep_atma_,Tsep_C_)</f>
        <v>789.58032398317084</v>
      </c>
      <c r="F37" s="30">
        <f t="shared" si="0"/>
        <v>-1.1896634765468943E-2</v>
      </c>
      <c r="G37" s="31"/>
      <c r="H37" s="5" t="s">
        <v>108</v>
      </c>
      <c r="I37" s="22">
        <f>[1]!PVT_rho_gas_kgm3(P_atma_,T_C_,gamma_gas_,gamma_oil_,gamma_w_,Rsb_m3m3_,,Pb_atma_,Tres_C_,Bob_m3m3_,mu_cP_,PVT_correlation_,Ksep_,Psep_atma_,Tsep_C_)</f>
        <v>36.979345116836363</v>
      </c>
      <c r="J37" s="5" t="s">
        <v>82</v>
      </c>
      <c r="L37" s="5" t="s">
        <v>109</v>
      </c>
      <c r="M37" s="22">
        <f>[1]!PVT_rho_wat_kgm3(P_atma_,T_C_,gamma_gas_,gamma_oil_,gamma_w_,Rsb_m3m3_,,Pb_atma_,Tres_C_,Bob_m3m3_,mu_cP_,PVT_correlation_,Ksep_,Psep_atma_,Tsep_C_)</f>
        <v>1064.6634036244029</v>
      </c>
      <c r="N37" s="5" t="s">
        <v>82</v>
      </c>
      <c r="S37" s="8" t="s">
        <v>83</v>
      </c>
      <c r="T37" s="67">
        <f>[1]!PVT_mu_oil_cP(T34,Tres_C_,gamma_gas_,gamma_oil_,gamma_w_,Rsb_m3m3_,,,,,,PVT_correlation_,Ksep_,Psep_atma_,Tsep_C_)</f>
        <v>0.41175822177135424</v>
      </c>
      <c r="U37" s="30">
        <f>(T37-C29)/T37</f>
        <v>-0.38886680483856007</v>
      </c>
      <c r="V37" s="38">
        <f>[1]!PVT_mu_oil_cP(V34,Tres_C_,gamma_gas_new_,gamma_oil_new_,gamma_w_,Rsb_m3m3_,,,,,,PVT_correlation_,Ksep_,Psep_atma_,Tsep_C_)</f>
        <v>0.41175822177135424</v>
      </c>
      <c r="W37" s="30">
        <f>(V37-C29)/V37</f>
        <v>-0.38886680483856007</v>
      </c>
      <c r="X37" s="2">
        <v>2</v>
      </c>
      <c r="Z37" s="5" t="s">
        <v>13</v>
      </c>
      <c r="AA37" s="34">
        <f>ABS(gamma_gas_-gamma_gas_)/gamma_gas_</f>
        <v>0</v>
      </c>
      <c r="AB37" s="33">
        <f>ABS(gamma_gas_new_-gamma_gas_)/gamma_gas_</f>
        <v>0</v>
      </c>
    </row>
    <row r="38" spans="2:33" ht="18" outlineLevel="1" x14ac:dyDescent="0.25">
      <c r="B38" s="5" t="s">
        <v>111</v>
      </c>
      <c r="C38" s="27">
        <f>[1]!PVT_mu_oil_cP(P_atma_,T_C_,gamma_gas_,gamma_oil_,gamma_w_,Rsb_m3m3_,,Pb_atma_,Tres_C_,Bob_m3m3_,mu_cP_,PVT_correlation_,Ksep_,Psep_atma_,Tsep_C_)</f>
        <v>1.8110843682481923</v>
      </c>
      <c r="D38" s="5" t="s">
        <v>7</v>
      </c>
      <c r="E38" s="29">
        <f>[1]!PVT_mu_oil_cP(P_atma_,T_C_,gamma_gas_,gamma_oil_,gamma_w_,Rsb_m3m3_,,,,,,PVT_correlation_,Ksep_,Psep_atma_,Tsep_C_)</f>
        <v>2.8608438021591689</v>
      </c>
      <c r="F38" s="30">
        <f t="shared" si="0"/>
        <v>0.36694049256330952</v>
      </c>
      <c r="G38" s="31"/>
      <c r="H38" s="5" t="s">
        <v>112</v>
      </c>
      <c r="I38" s="39">
        <f>[1]!PVT_mu_gas_cP(P_atma_,T_C_,gamma_gas_,gamma_oil_,gamma_w_,Rsb_m3m3_,,Pb_atma_,Tres_C_,Bob_m3m3_,mu_cP_,PVT_correlation_,Ksep_,Psep_atma_,Tsep_C_)</f>
        <v>1.1843933262921911E-2</v>
      </c>
      <c r="J38" s="5" t="s">
        <v>7</v>
      </c>
      <c r="L38" s="5" t="s">
        <v>113</v>
      </c>
      <c r="M38" s="26">
        <f>[1]!PVT_mu_wat_cP(P_atma_,T_C_,gamma_gas_,gamma_oil_,gamma_w_,Rsb_m3m3_,,Pb_atma_,Tres_C_,Bob_m3m3_,mu_cP_,PVT_correlation_,Ksep_,Psep_atma_,Tsep_C_)</f>
        <v>0.91543932313862619</v>
      </c>
      <c r="N38" s="5" t="s">
        <v>7</v>
      </c>
      <c r="S38" s="6" t="s">
        <v>12</v>
      </c>
      <c r="W38" s="30">
        <f>(R33-G8)/R33</f>
        <v>0</v>
      </c>
      <c r="X38" s="2">
        <v>2</v>
      </c>
    </row>
    <row r="39" spans="2:33" ht="18" outlineLevel="1" x14ac:dyDescent="0.25">
      <c r="B39" s="5" t="s">
        <v>114</v>
      </c>
      <c r="C39" s="27"/>
      <c r="D39" s="5"/>
      <c r="E39" s="29"/>
      <c r="F39" s="30"/>
      <c r="G39" s="31"/>
      <c r="H39" s="5" t="s">
        <v>115</v>
      </c>
      <c r="I39" s="22"/>
      <c r="J39" s="5"/>
      <c r="L39" s="5" t="s">
        <v>116</v>
      </c>
      <c r="M39" s="22"/>
      <c r="N39" s="5"/>
      <c r="S39" s="5" t="s">
        <v>13</v>
      </c>
      <c r="W39" s="30">
        <f>(R34-G9)/R34</f>
        <v>0</v>
      </c>
      <c r="X39" s="2">
        <v>2</v>
      </c>
      <c r="Z39" s="8" t="s">
        <v>81</v>
      </c>
      <c r="AA39" s="33">
        <f>ABS(U36)</f>
        <v>5.6285960361291333E-2</v>
      </c>
      <c r="AB39" s="33">
        <f>ABS(W36)</f>
        <v>5.6285960361291333E-2</v>
      </c>
    </row>
    <row r="40" spans="2:33" ht="18" outlineLevel="1" x14ac:dyDescent="0.25">
      <c r="B40" s="5" t="s">
        <v>117</v>
      </c>
      <c r="C40" s="27"/>
      <c r="D40" s="5"/>
      <c r="E40" s="29"/>
      <c r="F40" s="30"/>
      <c r="G40" s="31"/>
      <c r="H40" s="5" t="s">
        <v>118</v>
      </c>
      <c r="I40" s="22"/>
      <c r="J40" s="5"/>
      <c r="L40" s="5" t="s">
        <v>119</v>
      </c>
      <c r="M40" s="22"/>
      <c r="N40" s="5"/>
    </row>
    <row r="41" spans="2:33" ht="18" outlineLevel="1" x14ac:dyDescent="0.25">
      <c r="B41" s="5" t="s">
        <v>174</v>
      </c>
      <c r="C41" s="65">
        <f>[1]!PVT_ST_oilgas_Nm(P_atma_,T_C_,gamma_gas_,gamma_oil_,gamma_w_,Rsb_m3m3_,,Pb_atma_,Tres_C_,Bob_m3m3_,mu_cP_,PVT_correlation_,Ksep_,Psep_atma_,Tsep_C_)</f>
        <v>4.0434478164179312E-2</v>
      </c>
      <c r="D41" s="5" t="s">
        <v>173</v>
      </c>
      <c r="L41" s="5" t="s">
        <v>175</v>
      </c>
      <c r="M41" s="65">
        <f>[1]!PVT_ST_watgas_Nm(P_atma_,T_C_,gamma_gas_,gamma_oil_,gamma_w_,Rsb_m3m3_,,Pb_atma_,Tres_C_,Bob_m3m3_,mu_cP_,PVT_correlation_,Ksep_,Psep_atma_,Tsep_C_)</f>
        <v>5.8884365535558904E-2</v>
      </c>
      <c r="N41" s="5" t="s">
        <v>173</v>
      </c>
    </row>
    <row r="42" spans="2:33" outlineLevel="1" x14ac:dyDescent="0.25">
      <c r="L42" s="31"/>
    </row>
    <row r="43" spans="2:33" outlineLevel="1" x14ac:dyDescent="0.25">
      <c r="B43" s="2" t="s">
        <v>120</v>
      </c>
      <c r="C43" s="2"/>
      <c r="D43" s="2"/>
      <c r="E43" s="28"/>
      <c r="F43" s="31"/>
      <c r="L43" s="31"/>
    </row>
    <row r="44" spans="2:33" ht="18" outlineLevel="1" x14ac:dyDescent="0.25">
      <c r="B44" s="7" t="s">
        <v>121</v>
      </c>
      <c r="C44" s="40">
        <f>[1]!MF_q_mix_rc_m3day(Ql_scm3day_,fw_perc_,P_atma_,T_C_,PVTstr_)</f>
        <v>674.7505675864918</v>
      </c>
      <c r="D44" s="5" t="s">
        <v>33</v>
      </c>
      <c r="E44" s="28"/>
      <c r="F44" s="31"/>
      <c r="L44" s="31"/>
    </row>
    <row r="45" spans="2:33" ht="18" outlineLevel="1" x14ac:dyDescent="0.25">
      <c r="B45" s="5" t="s">
        <v>122</v>
      </c>
      <c r="C45" s="40">
        <f>[1]!MF_rho_mix_kgm3(Ql_scm3day_,fw_perc_,P_atma_,T_C_,PVTstr_)</f>
        <v>308.66127426162313</v>
      </c>
      <c r="D45" s="5" t="s">
        <v>82</v>
      </c>
      <c r="E45" s="28"/>
      <c r="F45" s="31"/>
    </row>
    <row r="46" spans="2:33" ht="18" outlineLevel="1" x14ac:dyDescent="0.25">
      <c r="B46" s="5" t="s">
        <v>123</v>
      </c>
      <c r="C46" s="40">
        <f>[1]!MF_mu_mix_cP(Ql_scm3day_,fw_perc_,P_atma_,T_C_,PVTstr_)</f>
        <v>0.60678867230287636</v>
      </c>
      <c r="D46" s="5" t="s">
        <v>7</v>
      </c>
      <c r="E46" s="28"/>
      <c r="F46" s="31"/>
    </row>
    <row r="47" spans="2:33" ht="18" outlineLevel="1" x14ac:dyDescent="0.25">
      <c r="B47" s="5" t="s">
        <v>124</v>
      </c>
      <c r="E47" s="31"/>
      <c r="F47" s="31"/>
    </row>
    <row r="48" spans="2:33" ht="18" outlineLevel="1" x14ac:dyDescent="0.25">
      <c r="B48" s="5" t="s">
        <v>125</v>
      </c>
      <c r="E48" s="31"/>
      <c r="F48" s="31"/>
    </row>
    <row r="49" spans="1:29" ht="18" outlineLevel="1" x14ac:dyDescent="0.25">
      <c r="B49" s="5" t="s">
        <v>126</v>
      </c>
      <c r="E49" s="31"/>
      <c r="F49" s="31"/>
    </row>
    <row r="50" spans="1:29" outlineLevel="1" x14ac:dyDescent="0.25">
      <c r="C50">
        <f>[1]!PVT_ST_liqgas_Nm(P_atma_,T_C_,gamma_gas_,gamma_oil_,gamma_w_,Rsb_m3m3_,,Pb_atma_,Tres_C_,Bob_m3m3_,mu_cP_,PVT_correlation_,Ksep_,Psep_atma_,Tsep_C_)</f>
        <v>4.0434478164179312E-2</v>
      </c>
      <c r="D50" s="5" t="s">
        <v>173</v>
      </c>
      <c r="E50" s="31"/>
      <c r="F50" s="31"/>
    </row>
    <row r="51" spans="1:29" outlineLevel="1" x14ac:dyDescent="0.25">
      <c r="E51" s="31"/>
      <c r="F51" s="31"/>
    </row>
    <row r="52" spans="1:29" outlineLevel="1" x14ac:dyDescent="0.25">
      <c r="E52" s="31"/>
      <c r="F52" s="31"/>
    </row>
    <row r="53" spans="1:29" outlineLevel="1" x14ac:dyDescent="0.25"/>
    <row r="54" spans="1:29" outlineLevel="1" x14ac:dyDescent="0.25"/>
    <row r="55" spans="1:29" x14ac:dyDescent="0.25">
      <c r="L55" s="31"/>
    </row>
    <row r="56" spans="1:29" x14ac:dyDescent="0.25">
      <c r="B56" s="41" t="s">
        <v>127</v>
      </c>
      <c r="C56" s="20"/>
      <c r="D56" s="20"/>
      <c r="E56" s="20"/>
      <c r="F56" s="20"/>
      <c r="G56" s="21"/>
      <c r="H56" s="20"/>
      <c r="I56" s="20"/>
      <c r="J56" s="20"/>
      <c r="K56" s="20"/>
      <c r="L56" s="42"/>
      <c r="M56" s="42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</row>
    <row r="57" spans="1:29" outlineLevel="1" x14ac:dyDescent="0.25">
      <c r="B57" t="str">
        <f>"Температура = " &amp;T_C_&amp;" °С"</f>
        <v>Температура = 30 °С</v>
      </c>
      <c r="L57" s="31"/>
      <c r="M57" s="31"/>
    </row>
    <row r="58" spans="1:29" outlineLevel="1" x14ac:dyDescent="0.25">
      <c r="L58" s="31"/>
      <c r="M58" s="31"/>
    </row>
    <row r="59" spans="1:29" ht="18" outlineLevel="1" x14ac:dyDescent="0.25">
      <c r="A59" s="43"/>
      <c r="B59" s="5" t="s">
        <v>128</v>
      </c>
      <c r="C59" s="5" t="s">
        <v>128</v>
      </c>
      <c r="D59" s="5" t="s">
        <v>100</v>
      </c>
      <c r="E59" s="5" t="s">
        <v>129</v>
      </c>
      <c r="F59" s="5" t="s">
        <v>162</v>
      </c>
      <c r="G59" s="5" t="s">
        <v>104</v>
      </c>
      <c r="H59" s="5" t="s">
        <v>130</v>
      </c>
      <c r="I59" s="5" t="s">
        <v>163</v>
      </c>
      <c r="J59" s="5" t="s">
        <v>107</v>
      </c>
      <c r="K59" s="5" t="s">
        <v>131</v>
      </c>
      <c r="L59" s="5" t="s">
        <v>164</v>
      </c>
      <c r="M59" s="5" t="s">
        <v>111</v>
      </c>
      <c r="N59" s="5" t="s">
        <v>132</v>
      </c>
      <c r="O59" s="5" t="s">
        <v>165</v>
      </c>
      <c r="P59" s="5" t="s">
        <v>166</v>
      </c>
      <c r="Q59" s="5" t="s">
        <v>167</v>
      </c>
      <c r="R59" s="5" t="s">
        <v>168</v>
      </c>
    </row>
    <row r="60" spans="1:29" outlineLevel="1" x14ac:dyDescent="0.25">
      <c r="A60" s="44">
        <v>1</v>
      </c>
      <c r="B60" s="45">
        <v>1</v>
      </c>
      <c r="C60" s="2">
        <v>1</v>
      </c>
      <c r="D60" s="2">
        <v>0.22133449984131653</v>
      </c>
      <c r="E60" s="2">
        <v>0.22133449984131653</v>
      </c>
      <c r="F60">
        <v>0.32387326600458816</v>
      </c>
      <c r="G60" s="2">
        <v>1.0092222070264942</v>
      </c>
      <c r="H60" s="10">
        <v>1.0092222070264942</v>
      </c>
      <c r="I60">
        <v>1.0081925345505252</v>
      </c>
      <c r="J60" s="2">
        <v>812.69444661495402</v>
      </c>
      <c r="K60" s="2">
        <v>812.69444661495402</v>
      </c>
      <c r="L60">
        <v>813.6114333995265</v>
      </c>
      <c r="M60" s="2">
        <v>3.3044756497159629</v>
      </c>
      <c r="N60" s="2">
        <v>3.3044756497159629</v>
      </c>
      <c r="O60">
        <v>6.8808199688588534</v>
      </c>
      <c r="P60">
        <v>0.99032960328831743</v>
      </c>
      <c r="Q60">
        <v>0.99032960328831743</v>
      </c>
      <c r="R60">
        <v>0.99032953235765475</v>
      </c>
    </row>
    <row r="61" spans="1:29" outlineLevel="1" x14ac:dyDescent="0.25">
      <c r="A61" s="44">
        <v>2</v>
      </c>
      <c r="B61" s="46">
        <f t="shared" ref="B61:B79" si="1">($B$80-$B$60)/($A$80-$A$60)+B60</f>
        <v>8.928396312155245</v>
      </c>
      <c r="C61" s="2">
        <v>8.9283963121552414</v>
      </c>
      <c r="D61" s="2">
        <v>3.0887329328011783</v>
      </c>
      <c r="E61" s="2">
        <v>3.0887329328011783</v>
      </c>
      <c r="F61">
        <v>4.5196660415770866</v>
      </c>
      <c r="G61" s="2">
        <v>1.0160338276689369</v>
      </c>
      <c r="H61" s="10">
        <v>1.0160338276689369</v>
      </c>
      <c r="I61">
        <v>1.0168720378365952</v>
      </c>
      <c r="J61" s="2">
        <v>809.65951242407903</v>
      </c>
      <c r="K61" s="2">
        <v>809.65951242407903</v>
      </c>
      <c r="L61">
        <v>810.19552367166784</v>
      </c>
      <c r="M61" s="2">
        <v>2.8692299574223319</v>
      </c>
      <c r="N61" s="2">
        <v>2.8692299574223319</v>
      </c>
      <c r="O61">
        <v>5.6367956557169467</v>
      </c>
      <c r="P61">
        <v>0.91561584037333521</v>
      </c>
      <c r="Q61">
        <v>0.91561584037333521</v>
      </c>
      <c r="R61">
        <v>0.91439485160751866</v>
      </c>
    </row>
    <row r="62" spans="1:29" outlineLevel="1" x14ac:dyDescent="0.25">
      <c r="A62" s="44">
        <v>3</v>
      </c>
      <c r="B62" s="46">
        <f t="shared" si="1"/>
        <v>16.85679262431049</v>
      </c>
      <c r="C62" s="2">
        <v>16.856792624310483</v>
      </c>
      <c r="D62" s="2">
        <v>6.6387474283119117</v>
      </c>
      <c r="E62" s="2">
        <v>6.6387474283119117</v>
      </c>
      <c r="F62">
        <v>9.7143139154918909</v>
      </c>
      <c r="G62" s="2">
        <v>1.0246682159754086</v>
      </c>
      <c r="H62" s="10">
        <v>1.0246682159754086</v>
      </c>
      <c r="I62">
        <v>1.0279727614036913</v>
      </c>
      <c r="J62" s="2">
        <v>805.79974819189056</v>
      </c>
      <c r="K62" s="2">
        <v>805.79974819189056</v>
      </c>
      <c r="L62">
        <v>805.76802734183332</v>
      </c>
      <c r="M62" s="2">
        <v>2.467608617320697</v>
      </c>
      <c r="N62" s="2">
        <v>2.467608617320697</v>
      </c>
      <c r="O62">
        <v>4.6092645916134325</v>
      </c>
      <c r="P62">
        <v>0.84315016284177513</v>
      </c>
      <c r="Q62">
        <v>0.84315016284177513</v>
      </c>
      <c r="R62">
        <v>0.83823297628113203</v>
      </c>
    </row>
    <row r="63" spans="1:29" outlineLevel="1" x14ac:dyDescent="0.25">
      <c r="A63" s="44">
        <v>4</v>
      </c>
      <c r="B63" s="46">
        <f t="shared" si="1"/>
        <v>24.785188936465737</v>
      </c>
      <c r="C63" s="2">
        <v>24.785188936465723</v>
      </c>
      <c r="D63" s="2">
        <v>10.559821160221242</v>
      </c>
      <c r="E63" s="2">
        <v>10.559821160221242</v>
      </c>
      <c r="F63">
        <v>15.451923536715594</v>
      </c>
      <c r="G63" s="2">
        <v>1.0344366017692548</v>
      </c>
      <c r="H63" s="10">
        <v>1.0344366017692548</v>
      </c>
      <c r="I63">
        <v>1.0406268365599929</v>
      </c>
      <c r="J63" s="2">
        <v>801.43205687044724</v>
      </c>
      <c r="K63" s="2">
        <v>801.43205687044724</v>
      </c>
      <c r="L63">
        <v>800.6850306145534</v>
      </c>
      <c r="M63" s="2">
        <v>2.1384432351703304</v>
      </c>
      <c r="N63" s="2">
        <v>2.1384432351703304</v>
      </c>
      <c r="O63">
        <v>3.8421515496642464</v>
      </c>
      <c r="P63">
        <v>0.77224454791685371</v>
      </c>
      <c r="Q63">
        <v>0.77224454791685371</v>
      </c>
      <c r="R63">
        <v>0.76111692498522898</v>
      </c>
    </row>
    <row r="64" spans="1:29" outlineLevel="1" x14ac:dyDescent="0.25">
      <c r="A64" s="44">
        <v>5</v>
      </c>
      <c r="B64" s="46">
        <f t="shared" si="1"/>
        <v>32.71358524862098</v>
      </c>
      <c r="C64" s="2">
        <v>32.713585248620966</v>
      </c>
      <c r="D64" s="2">
        <v>14.749652823764176</v>
      </c>
      <c r="E64" s="2">
        <v>14.749652823764176</v>
      </c>
      <c r="F64">
        <v>21.582799951616824</v>
      </c>
      <c r="G64" s="2">
        <v>1.0451151365284252</v>
      </c>
      <c r="H64" s="10">
        <v>1.0451151365284252</v>
      </c>
      <c r="I64">
        <v>1.0545439206053764</v>
      </c>
      <c r="J64" s="2">
        <v>796.67179863460842</v>
      </c>
      <c r="K64" s="2">
        <v>796.67179863460842</v>
      </c>
      <c r="L64">
        <v>795.09006529504654</v>
      </c>
      <c r="M64" s="2">
        <v>1.8731955772024904</v>
      </c>
      <c r="N64" s="28">
        <v>1.8731955772024904</v>
      </c>
      <c r="O64">
        <v>3.2677903628503797</v>
      </c>
      <c r="P64">
        <v>0.70272208418860382</v>
      </c>
      <c r="Q64">
        <v>0.70272208418860382</v>
      </c>
      <c r="R64">
        <v>0.68303696703331751</v>
      </c>
    </row>
    <row r="65" spans="1:18" outlineLevel="1" x14ac:dyDescent="0.25">
      <c r="A65" s="44">
        <v>6</v>
      </c>
      <c r="B65" s="46">
        <f t="shared" si="1"/>
        <v>40.641981560776223</v>
      </c>
      <c r="C65" s="2">
        <v>40.641981560776209</v>
      </c>
      <c r="D65" s="2">
        <v>19.153796211618481</v>
      </c>
      <c r="E65" s="2">
        <v>19.153796211618481</v>
      </c>
      <c r="F65">
        <v>28.02727337984204</v>
      </c>
      <c r="G65" s="2">
        <v>1.0565814565817695</v>
      </c>
      <c r="H65" s="10">
        <v>1.0565814565817695</v>
      </c>
      <c r="I65">
        <v>1.0695601028526336</v>
      </c>
      <c r="J65" s="2">
        <v>791.59077586696787</v>
      </c>
      <c r="K65" s="2">
        <v>791.59077586696787</v>
      </c>
      <c r="L65">
        <v>789.08014768945714</v>
      </c>
      <c r="M65" s="2">
        <v>1.6587219755804925</v>
      </c>
      <c r="N65" s="2">
        <v>1.6587219755804925</v>
      </c>
      <c r="O65">
        <v>2.8293647304442175</v>
      </c>
      <c r="P65">
        <v>0.63473222165612275</v>
      </c>
      <c r="Q65">
        <v>0.63473222165612275</v>
      </c>
      <c r="R65">
        <v>0.60446448046490509</v>
      </c>
    </row>
    <row r="66" spans="1:18" outlineLevel="1" x14ac:dyDescent="0.25">
      <c r="A66" s="44">
        <v>7</v>
      </c>
      <c r="B66" s="46">
        <f t="shared" si="1"/>
        <v>48.570377872931466</v>
      </c>
      <c r="C66" s="2">
        <v>48.570377872931452</v>
      </c>
      <c r="D66" s="2">
        <v>23.737795176178491</v>
      </c>
      <c r="E66" s="2">
        <v>23.737795176178491</v>
      </c>
      <c r="F66">
        <v>34.73492499799508</v>
      </c>
      <c r="G66" s="2">
        <v>1.0687547553977417</v>
      </c>
      <c r="H66" s="10">
        <v>1.0687547553977417</v>
      </c>
      <c r="I66">
        <v>1.0855643938593744</v>
      </c>
      <c r="J66" s="2">
        <v>786.24241980003603</v>
      </c>
      <c r="K66" s="2">
        <v>786.24241980003603</v>
      </c>
      <c r="L66">
        <v>782.73105245114311</v>
      </c>
      <c r="M66" s="2">
        <v>1.4836154068872971</v>
      </c>
      <c r="N66" s="2">
        <v>1.4836154068872971</v>
      </c>
      <c r="O66">
        <v>2.4873364730105854</v>
      </c>
      <c r="P66">
        <v>0.56867302783119755</v>
      </c>
      <c r="Q66">
        <v>0.56867302783119755</v>
      </c>
      <c r="R66">
        <v>0.52625406542270259</v>
      </c>
    </row>
    <row r="67" spans="1:18" outlineLevel="1" x14ac:dyDescent="0.25">
      <c r="A67" s="44">
        <v>8</v>
      </c>
      <c r="B67" s="46">
        <f t="shared" si="1"/>
        <v>56.49877418508671</v>
      </c>
      <c r="C67" s="2">
        <v>56.498774185086695</v>
      </c>
      <c r="D67" s="2">
        <v>28.47764684886506</v>
      </c>
      <c r="E67" s="2">
        <v>28.47764684886506</v>
      </c>
      <c r="F67">
        <v>41.670632005763373</v>
      </c>
      <c r="G67" s="2">
        <v>1.0815759489771175</v>
      </c>
      <c r="H67" s="10">
        <v>1.0815759489771175</v>
      </c>
      <c r="I67">
        <v>1.1024742331983566</v>
      </c>
      <c r="J67" s="2">
        <v>780.66991005783223</v>
      </c>
      <c r="K67" s="2">
        <v>780.66991005783223</v>
      </c>
      <c r="L67">
        <v>776.10549255445778</v>
      </c>
      <c r="M67" s="2">
        <v>1.3389996535141873</v>
      </c>
      <c r="N67" s="2">
        <v>1.3389996535141873</v>
      </c>
      <c r="O67">
        <v>2.2149521326182371</v>
      </c>
      <c r="P67">
        <v>0.50510113623693764</v>
      </c>
      <c r="Q67">
        <v>0.50510113623693764</v>
      </c>
      <c r="R67">
        <v>0.44951342697830754</v>
      </c>
    </row>
    <row r="68" spans="1:18" outlineLevel="1" x14ac:dyDescent="0.25">
      <c r="A68" s="44">
        <v>9</v>
      </c>
      <c r="B68" s="46">
        <f t="shared" si="1"/>
        <v>64.42717049724196</v>
      </c>
      <c r="C68" s="2">
        <v>64.427170497241931</v>
      </c>
      <c r="D68" s="2">
        <v>33.35556181374119</v>
      </c>
      <c r="E68" s="2">
        <v>33.35556181374119</v>
      </c>
      <c r="F68">
        <v>48.808363593472151</v>
      </c>
      <c r="G68" s="2">
        <v>1.0949990453350944</v>
      </c>
      <c r="H68" s="10">
        <v>1.0949990453350944</v>
      </c>
      <c r="I68">
        <v>1.1202246414500789</v>
      </c>
      <c r="J68" s="2">
        <v>774.90966455393152</v>
      </c>
      <c r="K68" s="2">
        <v>774.90966455393152</v>
      </c>
      <c r="L68">
        <v>769.25680133764808</v>
      </c>
      <c r="M68" s="2">
        <v>1.2181739837006491</v>
      </c>
      <c r="N68" s="2">
        <v>1.2181739837006491</v>
      </c>
      <c r="O68">
        <v>1.9939704380552041</v>
      </c>
      <c r="P68">
        <v>0.44462091914609969</v>
      </c>
      <c r="Q68">
        <v>0.44462091914609969</v>
      </c>
      <c r="R68">
        <v>0.37542797075020828</v>
      </c>
    </row>
    <row r="69" spans="1:18" outlineLevel="1" x14ac:dyDescent="0.25">
      <c r="A69" s="44">
        <v>10</v>
      </c>
      <c r="B69" s="46">
        <f t="shared" si="1"/>
        <v>72.355566809397203</v>
      </c>
      <c r="C69" s="2">
        <v>72.355566809397175</v>
      </c>
      <c r="D69" s="2">
        <v>38.357769170054588</v>
      </c>
      <c r="E69" s="2">
        <v>38.357769170054588</v>
      </c>
      <c r="F69">
        <v>56.127969144721035</v>
      </c>
      <c r="G69" s="2">
        <v>1.1089867192797012</v>
      </c>
      <c r="H69" s="10">
        <v>1.1089867192797012</v>
      </c>
      <c r="I69">
        <v>1.1387625300850055</v>
      </c>
      <c r="J69" s="2">
        <v>768.99314102737299</v>
      </c>
      <c r="K69" s="2">
        <v>768.99314102737299</v>
      </c>
      <c r="L69">
        <v>762.23097880475586</v>
      </c>
      <c r="M69" s="2">
        <v>1.1161054890791837</v>
      </c>
      <c r="N69" s="2">
        <v>1.1161054890791837</v>
      </c>
      <c r="O69">
        <v>1.8117283652492939</v>
      </c>
      <c r="P69">
        <v>0.38777239148379006</v>
      </c>
      <c r="Q69">
        <v>0.38777239148379006</v>
      </c>
      <c r="R69">
        <v>0.30507395451487507</v>
      </c>
    </row>
    <row r="70" spans="1:18" outlineLevel="1" x14ac:dyDescent="0.25">
      <c r="A70" s="44">
        <v>11</v>
      </c>
      <c r="B70" s="46">
        <f t="shared" si="1"/>
        <v>80.283963121552446</v>
      </c>
      <c r="C70" s="2">
        <v>80.283963121552418</v>
      </c>
      <c r="D70" s="2">
        <v>43.473258349515447</v>
      </c>
      <c r="E70" s="2">
        <v>43.473258349515447</v>
      </c>
      <c r="F70">
        <v>63.613337168914832</v>
      </c>
      <c r="G70" s="2">
        <v>1.1235077738829775</v>
      </c>
      <c r="H70" s="10">
        <v>1.1235077738829775</v>
      </c>
      <c r="I70">
        <v>1.1580433601778812</v>
      </c>
      <c r="J70" s="2">
        <v>762.94789919024106</v>
      </c>
      <c r="K70" s="2">
        <v>762.94789919024106</v>
      </c>
      <c r="L70">
        <v>755.06800512130371</v>
      </c>
      <c r="M70" s="2">
        <v>1.0289955473553698</v>
      </c>
      <c r="N70" s="2">
        <v>1.0289955473553698</v>
      </c>
      <c r="O70">
        <v>1.6592524290951165</v>
      </c>
      <c r="P70">
        <v>0.33494357434890554</v>
      </c>
      <c r="Q70">
        <v>0.33494357434890554</v>
      </c>
      <c r="R70">
        <v>0.23926789838735249</v>
      </c>
    </row>
    <row r="71" spans="1:18" outlineLevel="1" x14ac:dyDescent="0.25">
      <c r="A71" s="44">
        <v>12</v>
      </c>
      <c r="B71" s="46">
        <f t="shared" si="1"/>
        <v>88.21235943370769</v>
      </c>
      <c r="C71" s="2">
        <v>88.212359433707661</v>
      </c>
      <c r="D71" s="2">
        <v>48.693002790850187</v>
      </c>
      <c r="E71" s="2">
        <v>48.693002790850187</v>
      </c>
      <c r="F71">
        <v>71.251259323555828</v>
      </c>
      <c r="G71" s="2">
        <v>1.1385355599398232</v>
      </c>
      <c r="H71" s="10">
        <v>1.1385355599398232</v>
      </c>
      <c r="I71">
        <v>1.1780290168236751</v>
      </c>
      <c r="J71" s="2">
        <v>756.79829368021569</v>
      </c>
      <c r="K71" s="2">
        <v>756.79829368021569</v>
      </c>
      <c r="L71">
        <v>747.8027721559663</v>
      </c>
      <c r="M71" s="2">
        <v>0.95395120053608207</v>
      </c>
      <c r="N71" s="2">
        <v>0.95395120053608207</v>
      </c>
      <c r="O71">
        <v>1.5300523681270621</v>
      </c>
      <c r="P71">
        <v>0.28632461968541345</v>
      </c>
      <c r="Q71">
        <v>0.28632461968541345</v>
      </c>
      <c r="R71">
        <v>0.17848654984528672</v>
      </c>
    </row>
    <row r="72" spans="1:18" outlineLevel="1" x14ac:dyDescent="0.25">
      <c r="A72" s="44">
        <v>13</v>
      </c>
      <c r="B72" s="46">
        <f t="shared" si="1"/>
        <v>96.140755745862933</v>
      </c>
      <c r="C72" s="2">
        <v>96.140755745862904</v>
      </c>
      <c r="D72" s="2">
        <v>54.009453359823191</v>
      </c>
      <c r="E72" s="2">
        <v>54.009453359823191</v>
      </c>
      <c r="F72">
        <v>79.030689148367188</v>
      </c>
      <c r="G72" s="2">
        <v>1.1540469287817461</v>
      </c>
      <c r="H72" s="10">
        <v>1.1540469287817461</v>
      </c>
      <c r="I72">
        <v>1.1986863744492291</v>
      </c>
      <c r="J72" s="2">
        <v>750.5659629744581</v>
      </c>
      <c r="K72" s="2">
        <v>750.5659629744581</v>
      </c>
      <c r="L72">
        <v>740.46579153001471</v>
      </c>
      <c r="M72" s="2">
        <v>0.88874568945707777</v>
      </c>
      <c r="N72" s="2">
        <v>0.88874568945707777</v>
      </c>
      <c r="O72">
        <v>1.419342572797208</v>
      </c>
      <c r="P72">
        <v>0.24190587962599727</v>
      </c>
      <c r="Q72">
        <v>0.24190587962599727</v>
      </c>
      <c r="R72">
        <v>0.12286376888380442</v>
      </c>
    </row>
    <row r="73" spans="1:18" outlineLevel="1" x14ac:dyDescent="0.25">
      <c r="A73" s="44">
        <v>14</v>
      </c>
      <c r="B73" s="46">
        <f t="shared" si="1"/>
        <v>104.06915205801818</v>
      </c>
      <c r="C73" s="2">
        <v>104.06915205801815</v>
      </c>
      <c r="D73" s="2">
        <v>59.416192888107162</v>
      </c>
      <c r="E73" s="2">
        <v>59.416192888107162</v>
      </c>
      <c r="F73">
        <v>86.942236560618142</v>
      </c>
      <c r="G73" s="2">
        <v>1.1700215040188016</v>
      </c>
      <c r="H73" s="10">
        <v>1.1700215040188016</v>
      </c>
      <c r="I73">
        <v>1.2199862836263469</v>
      </c>
      <c r="J73" s="2">
        <v>744.27019589375584</v>
      </c>
      <c r="K73" s="2">
        <v>744.27019589375584</v>
      </c>
      <c r="L73">
        <v>733.0837594549497</v>
      </c>
      <c r="M73" s="2">
        <v>0.83164596399528379</v>
      </c>
      <c r="N73" s="2">
        <v>0.83164596399528379</v>
      </c>
      <c r="O73">
        <v>1.3235309957581547</v>
      </c>
      <c r="P73">
        <v>0.20150925147679349</v>
      </c>
      <c r="Q73">
        <v>0.20150925147679349</v>
      </c>
      <c r="R73">
        <v>7.2245851372589473E-2</v>
      </c>
    </row>
    <row r="74" spans="1:18" outlineLevel="1" x14ac:dyDescent="0.25">
      <c r="A74" s="44">
        <v>15</v>
      </c>
      <c r="B74" s="46">
        <f t="shared" si="1"/>
        <v>111.99754837017342</v>
      </c>
      <c r="C74" s="2">
        <v>111.99754837017339</v>
      </c>
      <c r="D74" s="2">
        <v>64.907692027368626</v>
      </c>
      <c r="E74" s="2">
        <v>64.907692027368626</v>
      </c>
      <c r="F74">
        <v>94.977810602482876</v>
      </c>
      <c r="G74" s="2">
        <v>1.1864411551590539</v>
      </c>
      <c r="H74" s="10">
        <v>1.1864411551590539</v>
      </c>
      <c r="I74">
        <v>1.2419028296537036</v>
      </c>
      <c r="J74" s="2">
        <v>737.92821948048061</v>
      </c>
      <c r="K74" s="2">
        <v>737.92821948048061</v>
      </c>
      <c r="L74">
        <v>725.68002288909963</v>
      </c>
      <c r="M74" s="2">
        <v>0.78128839451663201</v>
      </c>
      <c r="N74" s="2">
        <v>0.78128839451663201</v>
      </c>
      <c r="O74">
        <v>1.2398772325608269</v>
      </c>
      <c r="P74">
        <v>0.16483660261581051</v>
      </c>
      <c r="Q74">
        <v>0.16483660261581051</v>
      </c>
      <c r="R74">
        <v>2.6275915462111304E-2</v>
      </c>
    </row>
    <row r="75" spans="1:18" outlineLevel="1" x14ac:dyDescent="0.25">
      <c r="A75" s="44">
        <v>16</v>
      </c>
      <c r="B75" s="46">
        <f t="shared" si="1"/>
        <v>119.92594468232866</v>
      </c>
      <c r="C75" s="2">
        <v>119.92594468232863</v>
      </c>
      <c r="D75" s="2">
        <v>70.479131537404214</v>
      </c>
      <c r="E75" s="2">
        <v>70.479131537404214</v>
      </c>
      <c r="F75">
        <v>100</v>
      </c>
      <c r="G75" s="2">
        <v>1.2032896050620017</v>
      </c>
      <c r="H75" s="10">
        <v>1.2032896050620017</v>
      </c>
      <c r="I75">
        <v>1.2547846046023337</v>
      </c>
      <c r="J75" s="2">
        <v>731.55543336893948</v>
      </c>
      <c r="K75" s="2">
        <v>731.55543336893948</v>
      </c>
      <c r="L75">
        <v>721.65294081447314</v>
      </c>
      <c r="M75" s="2">
        <v>0.73658868417240253</v>
      </c>
      <c r="N75" s="2">
        <v>0.73658868417240253</v>
      </c>
      <c r="O75">
        <v>1.1991281950639625</v>
      </c>
      <c r="P75">
        <v>0.13152056213712887</v>
      </c>
      <c r="Q75">
        <v>0.13152056213712887</v>
      </c>
      <c r="R75">
        <v>0</v>
      </c>
    </row>
    <row r="76" spans="1:18" outlineLevel="1" x14ac:dyDescent="0.25">
      <c r="A76" s="44">
        <v>17</v>
      </c>
      <c r="B76" s="46">
        <f t="shared" si="1"/>
        <v>127.85434099448391</v>
      </c>
      <c r="C76" s="2">
        <v>127.85434099448388</v>
      </c>
      <c r="D76" s="2">
        <v>76.126269679158824</v>
      </c>
      <c r="E76" s="2">
        <v>76.126269679158824</v>
      </c>
      <c r="F76">
        <v>100</v>
      </c>
      <c r="G76" s="2">
        <v>1.2205521295667709</v>
      </c>
      <c r="H76" s="10">
        <v>1.2205521295667709</v>
      </c>
      <c r="I76">
        <v>1.2528832122667741</v>
      </c>
      <c r="J76" s="2">
        <v>725.16560589762162</v>
      </c>
      <c r="K76" s="2">
        <v>725.16560589762162</v>
      </c>
      <c r="L76">
        <v>722.74813097838</v>
      </c>
      <c r="M76" s="2">
        <v>0.69667600911415128</v>
      </c>
      <c r="N76" s="2">
        <v>0.69667600911415128</v>
      </c>
      <c r="O76">
        <v>1.2125754386248058</v>
      </c>
      <c r="P76">
        <v>0.10116810399737308</v>
      </c>
      <c r="Q76">
        <v>0.10116810399737308</v>
      </c>
      <c r="R76">
        <v>0</v>
      </c>
    </row>
    <row r="77" spans="1:18" outlineLevel="1" x14ac:dyDescent="0.25">
      <c r="A77" s="44">
        <v>18</v>
      </c>
      <c r="B77" s="46">
        <f t="shared" si="1"/>
        <v>135.78273730663915</v>
      </c>
      <c r="C77" s="2">
        <v>135.78273730663912</v>
      </c>
      <c r="D77" s="2">
        <v>81.845341145515235</v>
      </c>
      <c r="E77" s="2">
        <v>81.845341145515235</v>
      </c>
      <c r="F77">
        <v>100</v>
      </c>
      <c r="G77" s="2">
        <v>1.2382153226592771</v>
      </c>
      <c r="H77" s="10">
        <v>1.2382153226592771</v>
      </c>
      <c r="I77">
        <v>1.2512062620026014</v>
      </c>
      <c r="J77" s="2">
        <v>718.77104168184712</v>
      </c>
      <c r="K77" s="2">
        <v>718.77104168184712</v>
      </c>
      <c r="L77">
        <v>723.71680633270137</v>
      </c>
      <c r="M77" s="2">
        <v>0.66084439859759458</v>
      </c>
      <c r="N77" s="2">
        <v>0.66084439859759458</v>
      </c>
      <c r="O77">
        <v>1.2269894664545062</v>
      </c>
      <c r="P77">
        <v>7.3392794753113583E-2</v>
      </c>
      <c r="Q77">
        <v>7.3392794753113583E-2</v>
      </c>
      <c r="R77">
        <v>0</v>
      </c>
    </row>
    <row r="78" spans="1:18" outlineLevel="1" x14ac:dyDescent="0.25">
      <c r="A78" s="44">
        <v>19</v>
      </c>
      <c r="B78" s="46">
        <f t="shared" si="1"/>
        <v>143.71113361879441</v>
      </c>
      <c r="C78" s="2">
        <v>143.71113361879435</v>
      </c>
      <c r="D78" s="2">
        <v>87.632978606387155</v>
      </c>
      <c r="E78" s="2">
        <v>87.632978606387155</v>
      </c>
      <c r="F78">
        <v>100</v>
      </c>
      <c r="G78" s="2">
        <v>1.2562669095114691</v>
      </c>
      <c r="H78" s="10">
        <v>1.2562669095114691</v>
      </c>
      <c r="I78">
        <v>1.2497162298211206</v>
      </c>
      <c r="J78" s="2">
        <v>712.38272710885713</v>
      </c>
      <c r="K78" s="2">
        <v>712.38272710885713</v>
      </c>
      <c r="L78">
        <v>724.57969128688705</v>
      </c>
      <c r="M78" s="2">
        <v>0.62851647490383256</v>
      </c>
      <c r="N78" s="2">
        <v>0.62851647490383256</v>
      </c>
      <c r="O78">
        <v>1.2423280931327243</v>
      </c>
      <c r="P78">
        <v>4.7835521785735503E-2</v>
      </c>
      <c r="Q78">
        <v>4.7835521785735503E-2</v>
      </c>
      <c r="R78">
        <v>0</v>
      </c>
    </row>
    <row r="79" spans="1:18" outlineLevel="1" x14ac:dyDescent="0.25">
      <c r="A79" s="44">
        <v>20</v>
      </c>
      <c r="B79" s="46">
        <f t="shared" si="1"/>
        <v>151.63952993094966</v>
      </c>
      <c r="C79" s="2">
        <v>151.63952993094958</v>
      </c>
      <c r="D79" s="2">
        <v>93.486150827600156</v>
      </c>
      <c r="E79" s="2">
        <v>93.486150827600156</v>
      </c>
      <c r="F79">
        <v>100</v>
      </c>
      <c r="G79" s="2">
        <v>1.2746955953011505</v>
      </c>
      <c r="H79" s="10">
        <v>1.2746955953011505</v>
      </c>
      <c r="I79">
        <v>1.2483835146818472</v>
      </c>
      <c r="J79" s="2">
        <v>706.01045821739103</v>
      </c>
      <c r="K79" s="2">
        <v>706.01045821739103</v>
      </c>
      <c r="L79">
        <v>725.35321826223662</v>
      </c>
      <c r="M79" s="2">
        <v>0.59921613443936683</v>
      </c>
      <c r="N79" s="2">
        <v>0.59921613443936683</v>
      </c>
      <c r="O79">
        <v>1.2585540102416934</v>
      </c>
      <c r="P79">
        <v>2.4175609307487776E-2</v>
      </c>
      <c r="Q79">
        <v>2.4175609307487776E-2</v>
      </c>
      <c r="R79">
        <v>0</v>
      </c>
    </row>
    <row r="80" spans="1:18" outlineLevel="1" x14ac:dyDescent="0.25">
      <c r="A80" s="44">
        <v>21</v>
      </c>
      <c r="B80" s="47">
        <f>G24</f>
        <v>159.56792624310489</v>
      </c>
      <c r="C80" s="2">
        <v>159.56792624310484</v>
      </c>
      <c r="D80" s="2">
        <v>99.402113171021938</v>
      </c>
      <c r="E80" s="2">
        <v>99.402113171021938</v>
      </c>
      <c r="F80">
        <v>100</v>
      </c>
      <c r="G80" s="2">
        <v>1.2934909413098128</v>
      </c>
      <c r="H80" s="10">
        <v>1.2934909413098128</v>
      </c>
      <c r="I80">
        <v>1.2471844522928415</v>
      </c>
      <c r="J80" s="2">
        <v>699.66295414972035</v>
      </c>
      <c r="K80" s="2">
        <v>699.66295414972035</v>
      </c>
      <c r="L80">
        <v>726.05058404575288</v>
      </c>
      <c r="M80" s="2">
        <v>0.57254775958806015</v>
      </c>
      <c r="N80" s="2">
        <v>0.57254775958806015</v>
      </c>
      <c r="O80">
        <v>1.2756339801544456</v>
      </c>
      <c r="P80">
        <v>2.1348990333026987E-3</v>
      </c>
      <c r="Q80">
        <v>2.1348990333026987E-3</v>
      </c>
      <c r="R80">
        <v>0</v>
      </c>
    </row>
    <row r="81" spans="1:18" outlineLevel="1" x14ac:dyDescent="0.25">
      <c r="A81" s="44">
        <v>22</v>
      </c>
      <c r="B81" s="46">
        <f t="shared" ref="B81:B99" si="2">($B$100-$B$80)/($A$100-$A$80)+B80</f>
        <v>166.58952993094965</v>
      </c>
      <c r="C81" s="2">
        <v>166.5895299309496</v>
      </c>
      <c r="D81" s="2">
        <v>100</v>
      </c>
      <c r="E81" s="2">
        <v>100</v>
      </c>
      <c r="F81">
        <v>100</v>
      </c>
      <c r="G81" s="2">
        <v>1.2940236802819354</v>
      </c>
      <c r="H81" s="10">
        <v>1.2940236802819354</v>
      </c>
      <c r="I81">
        <v>1.2462186670218445</v>
      </c>
      <c r="J81" s="2">
        <v>699.77003805889399</v>
      </c>
      <c r="K81" s="2">
        <v>699.77003805889399</v>
      </c>
      <c r="L81">
        <v>726.61325332573233</v>
      </c>
      <c r="M81" s="2">
        <v>0.57395072927628998</v>
      </c>
      <c r="N81" s="2">
        <v>0.57395072927628998</v>
      </c>
      <c r="O81">
        <v>1.291449561925496</v>
      </c>
      <c r="P81">
        <v>0</v>
      </c>
      <c r="Q81">
        <v>0</v>
      </c>
      <c r="R81">
        <v>0</v>
      </c>
    </row>
    <row r="82" spans="1:18" outlineLevel="1" x14ac:dyDescent="0.25">
      <c r="A82" s="44">
        <v>23</v>
      </c>
      <c r="B82" s="46">
        <f t="shared" si="2"/>
        <v>173.61113361879441</v>
      </c>
      <c r="C82" s="2">
        <v>173.61113361879436</v>
      </c>
      <c r="D82" s="2">
        <v>100</v>
      </c>
      <c r="E82" s="2">
        <v>100</v>
      </c>
      <c r="F82">
        <v>100</v>
      </c>
      <c r="G82" s="2">
        <v>1.2927603113227086</v>
      </c>
      <c r="H82" s="10">
        <v>1.2927603113227086</v>
      </c>
      <c r="I82">
        <v>1.2453316626198001</v>
      </c>
      <c r="J82" s="2">
        <v>700.45389858349188</v>
      </c>
      <c r="K82" s="2">
        <v>700.45389858349188</v>
      </c>
      <c r="L82">
        <v>727.13079349083807</v>
      </c>
      <c r="M82" s="2">
        <v>0.57810149023025281</v>
      </c>
      <c r="N82" s="2">
        <v>0.57810149023025281</v>
      </c>
      <c r="O82">
        <v>1.3078927517006369</v>
      </c>
      <c r="P82">
        <v>0</v>
      </c>
      <c r="Q82">
        <v>0</v>
      </c>
      <c r="R82">
        <v>0</v>
      </c>
    </row>
    <row r="83" spans="1:18" outlineLevel="1" x14ac:dyDescent="0.25">
      <c r="A83" s="44">
        <v>24</v>
      </c>
      <c r="B83" s="46">
        <f t="shared" si="2"/>
        <v>180.63273730663917</v>
      </c>
      <c r="C83" s="2">
        <v>180.63273730663911</v>
      </c>
      <c r="D83" s="2">
        <v>100</v>
      </c>
      <c r="E83" s="2">
        <v>100</v>
      </c>
      <c r="F83">
        <v>100</v>
      </c>
      <c r="G83" s="2">
        <v>1.2915962557460294</v>
      </c>
      <c r="H83" s="10">
        <v>1.2915962557460294</v>
      </c>
      <c r="I83">
        <v>1.2445141775843576</v>
      </c>
      <c r="J83" s="2">
        <v>701.08518507354279</v>
      </c>
      <c r="K83" s="2">
        <v>701.08518507354279</v>
      </c>
      <c r="L83">
        <v>727.60842448387507</v>
      </c>
      <c r="M83" s="2">
        <v>0.58244612908654436</v>
      </c>
      <c r="N83" s="2">
        <v>0.58244612908654436</v>
      </c>
      <c r="O83">
        <v>1.324946240838772</v>
      </c>
      <c r="P83">
        <v>0</v>
      </c>
      <c r="Q83">
        <v>0</v>
      </c>
      <c r="R83">
        <v>0</v>
      </c>
    </row>
    <row r="84" spans="1:18" outlineLevel="1" x14ac:dyDescent="0.25">
      <c r="A84" s="44">
        <v>25</v>
      </c>
      <c r="B84" s="46">
        <f t="shared" si="2"/>
        <v>187.65434099448393</v>
      </c>
      <c r="C84" s="2">
        <v>187.65434099448387</v>
      </c>
      <c r="D84" s="2">
        <v>100</v>
      </c>
      <c r="E84" s="2">
        <v>100</v>
      </c>
      <c r="F84">
        <v>100</v>
      </c>
      <c r="G84" s="2">
        <v>1.2905202463168735</v>
      </c>
      <c r="H84" s="10">
        <v>1.2905202463168735</v>
      </c>
      <c r="I84">
        <v>1.2437583473560097</v>
      </c>
      <c r="J84" s="2">
        <v>701.66973558480652</v>
      </c>
      <c r="K84" s="2">
        <v>701.66973558480652</v>
      </c>
      <c r="L84">
        <v>728.05059111760636</v>
      </c>
      <c r="M84" s="2">
        <v>0.58697899268556808</v>
      </c>
      <c r="N84" s="2">
        <v>0.58697899268556808</v>
      </c>
      <c r="O84">
        <v>1.3425940216173107</v>
      </c>
      <c r="P84">
        <v>0</v>
      </c>
      <c r="Q84">
        <v>0</v>
      </c>
      <c r="R84">
        <v>0</v>
      </c>
    </row>
    <row r="85" spans="1:18" outlineLevel="1" x14ac:dyDescent="0.25">
      <c r="A85" s="44">
        <v>26</v>
      </c>
      <c r="B85" s="46">
        <f t="shared" si="2"/>
        <v>194.67594468232869</v>
      </c>
      <c r="C85" s="2">
        <v>194.67594468232863</v>
      </c>
      <c r="D85" s="2">
        <v>100</v>
      </c>
      <c r="E85" s="2">
        <v>100</v>
      </c>
      <c r="F85">
        <v>100</v>
      </c>
      <c r="G85" s="2">
        <v>1.2895226580148398</v>
      </c>
      <c r="H85" s="10">
        <v>1.2895226580148398</v>
      </c>
      <c r="I85">
        <v>1.2430574505116674</v>
      </c>
      <c r="J85" s="2">
        <v>702.21255467818173</v>
      </c>
      <c r="K85" s="2">
        <v>702.21255467818173</v>
      </c>
      <c r="L85">
        <v>728.46110179965547</v>
      </c>
      <c r="M85" s="2">
        <v>0.59169487136950238</v>
      </c>
      <c r="N85" s="2">
        <v>0.59169487136950238</v>
      </c>
      <c r="O85">
        <v>1.3608212044106129</v>
      </c>
      <c r="P85">
        <v>0</v>
      </c>
      <c r="Q85">
        <v>0</v>
      </c>
      <c r="R85">
        <v>0</v>
      </c>
    </row>
    <row r="86" spans="1:18" outlineLevel="1" x14ac:dyDescent="0.25">
      <c r="A86" s="44">
        <v>27</v>
      </c>
      <c r="B86" s="46">
        <f t="shared" si="2"/>
        <v>201.69754837017345</v>
      </c>
      <c r="C86" s="2">
        <v>201.69754837017339</v>
      </c>
      <c r="D86" s="2">
        <v>100</v>
      </c>
      <c r="E86" s="2">
        <v>100</v>
      </c>
      <c r="F86">
        <v>100</v>
      </c>
      <c r="G86" s="2">
        <v>1.2885952193682597</v>
      </c>
      <c r="H86" s="10">
        <v>1.2885952193682597</v>
      </c>
      <c r="I86">
        <v>1.24240570835308</v>
      </c>
      <c r="J86" s="2">
        <v>702.71795703536384</v>
      </c>
      <c r="K86" s="2">
        <v>702.71795703536384</v>
      </c>
      <c r="L86">
        <v>728.84323849440977</v>
      </c>
      <c r="M86" s="2">
        <v>0.5965889493417289</v>
      </c>
      <c r="N86" s="2">
        <v>0.5965889493417289</v>
      </c>
      <c r="O86">
        <v>1.3796138597351855</v>
      </c>
      <c r="P86">
        <v>0</v>
      </c>
      <c r="Q86">
        <v>0</v>
      </c>
      <c r="R86">
        <v>0</v>
      </c>
    </row>
    <row r="87" spans="1:18" outlineLevel="1" x14ac:dyDescent="0.25">
      <c r="A87" s="44">
        <v>28</v>
      </c>
      <c r="B87" s="46">
        <f t="shared" si="2"/>
        <v>208.71915205801821</v>
      </c>
      <c r="C87" s="2">
        <v>208.71915205801815</v>
      </c>
      <c r="D87" s="2">
        <v>100</v>
      </c>
      <c r="E87" s="2">
        <v>100</v>
      </c>
      <c r="F87">
        <v>100</v>
      </c>
      <c r="G87" s="2">
        <v>1.2877307826081528</v>
      </c>
      <c r="H87" s="10">
        <v>1.2877307826081528</v>
      </c>
      <c r="I87">
        <v>1.2417981252290577</v>
      </c>
      <c r="J87" s="2">
        <v>703.18968236976821</v>
      </c>
      <c r="K87" s="2">
        <v>703.18968236976821</v>
      </c>
      <c r="L87">
        <v>729.19984464702839</v>
      </c>
      <c r="M87" s="2">
        <v>0.60165676131776724</v>
      </c>
      <c r="N87" s="2">
        <v>0.60165676131776724</v>
      </c>
      <c r="O87">
        <v>1.3989588811663027</v>
      </c>
      <c r="P87">
        <v>0</v>
      </c>
      <c r="Q87">
        <v>0</v>
      </c>
      <c r="R87">
        <v>0</v>
      </c>
    </row>
    <row r="88" spans="1:18" outlineLevel="1" x14ac:dyDescent="0.25">
      <c r="A88" s="44">
        <v>29</v>
      </c>
      <c r="B88" s="46">
        <f t="shared" si="2"/>
        <v>215.74075574586297</v>
      </c>
      <c r="C88" s="2">
        <v>215.74075574586291</v>
      </c>
      <c r="D88" s="2">
        <v>100</v>
      </c>
      <c r="E88" s="2">
        <v>100</v>
      </c>
      <c r="F88">
        <v>100</v>
      </c>
      <c r="G88" s="2">
        <v>1.2869231391187097</v>
      </c>
      <c r="H88" s="10">
        <v>1.2869231391187097</v>
      </c>
      <c r="I88">
        <v>1.241230360249078</v>
      </c>
      <c r="J88" s="2">
        <v>703.630988110217</v>
      </c>
      <c r="K88" s="2">
        <v>703.630988110217</v>
      </c>
      <c r="L88">
        <v>729.53339605574047</v>
      </c>
      <c r="M88" s="2">
        <v>0.60689415450444917</v>
      </c>
      <c r="N88" s="2">
        <v>0.60689415450444917</v>
      </c>
      <c r="O88">
        <v>1.4188438658847389</v>
      </c>
      <c r="P88">
        <v>0</v>
      </c>
      <c r="Q88">
        <v>0</v>
      </c>
      <c r="R88">
        <v>0</v>
      </c>
    </row>
    <row r="89" spans="1:18" outlineLevel="1" x14ac:dyDescent="0.25">
      <c r="A89" s="44">
        <v>30</v>
      </c>
      <c r="B89" s="46">
        <f t="shared" si="2"/>
        <v>222.76235943370773</v>
      </c>
      <c r="C89" s="2">
        <v>222.76235943370767</v>
      </c>
      <c r="D89" s="2">
        <v>100</v>
      </c>
      <c r="E89" s="2">
        <v>100</v>
      </c>
      <c r="F89">
        <v>100</v>
      </c>
      <c r="G89" s="2">
        <v>1.286166870101225</v>
      </c>
      <c r="H89" s="10">
        <v>1.286166870101225</v>
      </c>
      <c r="I89">
        <v>1.2406986234169473</v>
      </c>
      <c r="J89" s="2">
        <v>704.04472471657823</v>
      </c>
      <c r="K89" s="2">
        <v>704.04472471657823</v>
      </c>
      <c r="L89">
        <v>729.84605842968892</v>
      </c>
      <c r="M89" s="2">
        <v>0.61229725511668265</v>
      </c>
      <c r="N89" s="2">
        <v>0.61229725511668265</v>
      </c>
      <c r="O89">
        <v>1.4392570102057427</v>
      </c>
      <c r="P89">
        <v>0</v>
      </c>
      <c r="Q89">
        <v>0</v>
      </c>
      <c r="R89">
        <v>0</v>
      </c>
    </row>
    <row r="90" spans="1:18" outlineLevel="1" x14ac:dyDescent="0.25">
      <c r="A90" s="44">
        <v>31</v>
      </c>
      <c r="B90" s="46">
        <f t="shared" si="2"/>
        <v>229.78396312155249</v>
      </c>
      <c r="C90" s="2">
        <v>229.78396312155243</v>
      </c>
      <c r="D90" s="2">
        <v>100</v>
      </c>
      <c r="E90" s="2">
        <v>100</v>
      </c>
      <c r="F90">
        <v>100</v>
      </c>
      <c r="G90" s="2">
        <v>1.2854572248544385</v>
      </c>
      <c r="H90" s="10">
        <v>1.2854572248544385</v>
      </c>
      <c r="I90">
        <v>1.2401995909281018</v>
      </c>
      <c r="J90" s="2">
        <v>704.43339730930245</v>
      </c>
      <c r="K90" s="2">
        <v>704.43339730930245</v>
      </c>
      <c r="L90">
        <v>730.13973446189891</v>
      </c>
      <c r="M90" s="2">
        <v>0.61786243877856295</v>
      </c>
      <c r="N90" s="2">
        <v>0.61786243877856295</v>
      </c>
      <c r="O90">
        <v>1.4601870179132534</v>
      </c>
      <c r="P90">
        <v>0</v>
      </c>
      <c r="Q90">
        <v>0</v>
      </c>
      <c r="R90">
        <v>0</v>
      </c>
    </row>
    <row r="91" spans="1:18" outlineLevel="1" x14ac:dyDescent="0.25">
      <c r="A91" s="44">
        <v>32</v>
      </c>
      <c r="B91" s="46">
        <f t="shared" si="2"/>
        <v>236.80556680939725</v>
      </c>
      <c r="C91" s="2">
        <v>236.80556680939719</v>
      </c>
      <c r="D91" s="2">
        <v>100</v>
      </c>
      <c r="E91" s="2">
        <v>100</v>
      </c>
      <c r="F91">
        <v>100</v>
      </c>
      <c r="G91" s="2">
        <v>1.2847900208913456</v>
      </c>
      <c r="H91" s="10">
        <v>1.2847900208913456</v>
      </c>
      <c r="I91">
        <v>1.2397303356286258</v>
      </c>
      <c r="J91" s="2">
        <v>704.79921642898523</v>
      </c>
      <c r="K91" s="2">
        <v>704.79921642898523</v>
      </c>
      <c r="L91">
        <v>730.41610257995467</v>
      </c>
      <c r="M91" s="2">
        <v>0.62358630426582551</v>
      </c>
      <c r="N91" s="2">
        <v>0.62358630426582551</v>
      </c>
      <c r="O91">
        <v>1.4816230195987332</v>
      </c>
      <c r="P91">
        <v>0</v>
      </c>
      <c r="Q91">
        <v>0</v>
      </c>
      <c r="R91">
        <v>0</v>
      </c>
    </row>
    <row r="92" spans="1:18" outlineLevel="1" x14ac:dyDescent="0.25">
      <c r="A92" s="44">
        <v>33</v>
      </c>
      <c r="B92" s="46">
        <f t="shared" si="2"/>
        <v>243.82717049724201</v>
      </c>
      <c r="C92" s="2">
        <v>243.82717049724195</v>
      </c>
      <c r="D92" s="2">
        <v>100</v>
      </c>
      <c r="E92" s="2">
        <v>100</v>
      </c>
      <c r="F92">
        <v>100</v>
      </c>
      <c r="G92" s="2">
        <v>1.2841615614548956</v>
      </c>
      <c r="H92" s="10">
        <v>1.2841615614548956</v>
      </c>
      <c r="I92">
        <v>1.2392882695614831</v>
      </c>
      <c r="J92" s="2">
        <v>705.14414009876521</v>
      </c>
      <c r="K92" s="2">
        <v>705.14414009876521</v>
      </c>
      <c r="L92">
        <v>730.67664904180367</v>
      </c>
      <c r="M92" s="2">
        <v>0.62946565013569655</v>
      </c>
      <c r="N92" s="2">
        <v>0.62946565013569655</v>
      </c>
      <c r="O92">
        <v>1.503554501506903</v>
      </c>
      <c r="P92">
        <v>0</v>
      </c>
      <c r="Q92">
        <v>0</v>
      </c>
      <c r="R92">
        <v>0</v>
      </c>
    </row>
    <row r="93" spans="1:18" outlineLevel="1" x14ac:dyDescent="0.25">
      <c r="A93" s="44">
        <v>34</v>
      </c>
      <c r="B93" s="46">
        <f t="shared" si="2"/>
        <v>250.84877418508677</v>
      </c>
      <c r="C93" s="2">
        <v>250.84877418508671</v>
      </c>
      <c r="D93" s="2">
        <v>100</v>
      </c>
      <c r="E93" s="2">
        <v>100</v>
      </c>
      <c r="F93">
        <v>100</v>
      </c>
      <c r="G93" s="2">
        <v>1.2835685669965209</v>
      </c>
      <c r="H93" s="10">
        <v>1.2835685669965209</v>
      </c>
      <c r="I93">
        <v>1.2388710962179135</v>
      </c>
      <c r="J93" s="2">
        <v>705.46990887979132</v>
      </c>
      <c r="K93" s="2">
        <v>705.46990887979132</v>
      </c>
      <c r="L93">
        <v>730.9226946729267</v>
      </c>
      <c r="M93" s="2">
        <v>0.63549745386263079</v>
      </c>
      <c r="N93" s="2">
        <v>0.63549745386263079</v>
      </c>
      <c r="O93">
        <v>1.5259712426360894</v>
      </c>
      <c r="P93">
        <v>0</v>
      </c>
      <c r="Q93">
        <v>0</v>
      </c>
      <c r="R93">
        <v>0</v>
      </c>
    </row>
    <row r="94" spans="1:18" outlineLevel="1" x14ac:dyDescent="0.25">
      <c r="A94" s="44">
        <v>35</v>
      </c>
      <c r="B94" s="46">
        <f t="shared" si="2"/>
        <v>257.8703778729315</v>
      </c>
      <c r="C94" s="2">
        <v>257.87037787293144</v>
      </c>
      <c r="D94" s="2">
        <v>100</v>
      </c>
      <c r="E94" s="2">
        <v>100</v>
      </c>
      <c r="F94">
        <v>100</v>
      </c>
      <c r="G94" s="2">
        <v>1.2830081179356772</v>
      </c>
      <c r="H94" s="10">
        <v>1.2830081179356772</v>
      </c>
      <c r="I94">
        <v>1.2384767706337418</v>
      </c>
      <c r="J94" s="2">
        <v>705.77807524472541</v>
      </c>
      <c r="K94" s="2">
        <v>705.77807524472541</v>
      </c>
      <c r="L94">
        <v>731.15541726037884</v>
      </c>
      <c r="M94" s="2">
        <v>0.64167885315771311</v>
      </c>
      <c r="N94" s="2">
        <v>0.64167885315771311</v>
      </c>
      <c r="O94">
        <v>1.5488632590408098</v>
      </c>
      <c r="P94">
        <v>0</v>
      </c>
      <c r="Q94">
        <v>0</v>
      </c>
      <c r="R94">
        <v>0</v>
      </c>
    </row>
    <row r="95" spans="1:18" outlineLevel="1" x14ac:dyDescent="0.25">
      <c r="A95" s="44">
        <v>36</v>
      </c>
      <c r="B95" s="46">
        <f t="shared" si="2"/>
        <v>264.89198156077623</v>
      </c>
      <c r="C95" s="2">
        <v>264.89198156077617</v>
      </c>
      <c r="D95" s="2">
        <v>100</v>
      </c>
      <c r="E95" s="2">
        <v>100</v>
      </c>
      <c r="F95">
        <v>100</v>
      </c>
      <c r="G95" s="2">
        <v>1.2824776065915056</v>
      </c>
      <c r="H95" s="10">
        <v>1.2824776065915056</v>
      </c>
      <c r="I95">
        <v>1.2381034658669847</v>
      </c>
      <c r="J95" s="2">
        <v>706.07002831545401</v>
      </c>
      <c r="K95" s="2">
        <v>706.07002831545401</v>
      </c>
      <c r="L95">
        <v>731.37587040507015</v>
      </c>
      <c r="M95" s="2">
        <v>0.64800712919830705</v>
      </c>
      <c r="N95" s="2">
        <v>0.64800712919830705</v>
      </c>
      <c r="O95">
        <v>1.5722207544481024</v>
      </c>
      <c r="P95">
        <v>0</v>
      </c>
      <c r="Q95">
        <v>0</v>
      </c>
      <c r="R95">
        <v>0</v>
      </c>
    </row>
    <row r="96" spans="1:18" outlineLevel="1" x14ac:dyDescent="0.25">
      <c r="A96" s="44">
        <v>37</v>
      </c>
      <c r="B96" s="46">
        <f t="shared" si="2"/>
        <v>271.91358524862096</v>
      </c>
      <c r="C96" s="2">
        <v>271.9135852486209</v>
      </c>
      <c r="D96" s="2">
        <v>100</v>
      </c>
      <c r="E96" s="2">
        <v>100</v>
      </c>
      <c r="F96">
        <v>100</v>
      </c>
      <c r="G96" s="2">
        <v>1.281974696616571</v>
      </c>
      <c r="H96" s="10">
        <v>1.281974696616571</v>
      </c>
      <c r="I96">
        <v>1.237749544697119</v>
      </c>
      <c r="J96" s="2">
        <v>706.34701479668433</v>
      </c>
      <c r="K96" s="2">
        <v>706.34701479668433</v>
      </c>
      <c r="L96">
        <v>731.58499946900258</v>
      </c>
      <c r="M96" s="2">
        <v>0.65447969153491636</v>
      </c>
      <c r="N96" s="2">
        <v>0.65447969153491636</v>
      </c>
      <c r="O96">
        <v>1.5960340764340397</v>
      </c>
      <c r="P96">
        <v>0</v>
      </c>
      <c r="Q96">
        <v>0</v>
      </c>
      <c r="R96">
        <v>0</v>
      </c>
    </row>
    <row r="97" spans="1:18" outlineLevel="1" x14ac:dyDescent="0.25">
      <c r="A97" s="44">
        <v>38</v>
      </c>
      <c r="B97" s="46">
        <f t="shared" si="2"/>
        <v>278.93518893646569</v>
      </c>
      <c r="C97" s="2">
        <v>278.93518893646564</v>
      </c>
      <c r="D97" s="2">
        <v>100</v>
      </c>
      <c r="E97" s="2">
        <v>100</v>
      </c>
      <c r="F97">
        <v>100</v>
      </c>
      <c r="G97" s="2">
        <v>1.2814972886013294</v>
      </c>
      <c r="H97" s="10">
        <v>1.2814972886013294</v>
      </c>
      <c r="I97">
        <v>1.2374135356211065</v>
      </c>
      <c r="J97" s="2">
        <v>706.6101567708464</v>
      </c>
      <c r="K97" s="2">
        <v>706.6101567708464</v>
      </c>
      <c r="L97">
        <v>731.78365512664641</v>
      </c>
      <c r="M97" s="2">
        <v>0.66109406447584729</v>
      </c>
      <c r="N97" s="2">
        <v>0.66109406447584729</v>
      </c>
      <c r="O97">
        <v>1.6202936775185399</v>
      </c>
      <c r="P97">
        <v>0</v>
      </c>
      <c r="Q97">
        <v>0</v>
      </c>
      <c r="R97">
        <v>0</v>
      </c>
    </row>
    <row r="98" spans="1:18" outlineLevel="1" x14ac:dyDescent="0.25">
      <c r="A98" s="44">
        <v>39</v>
      </c>
      <c r="B98" s="46">
        <f t="shared" si="2"/>
        <v>285.95679262431042</v>
      </c>
      <c r="C98" s="2">
        <v>285.95679262431037</v>
      </c>
      <c r="D98" s="2">
        <v>100</v>
      </c>
      <c r="E98" s="2">
        <v>100</v>
      </c>
      <c r="F98">
        <v>100</v>
      </c>
      <c r="G98" s="2">
        <v>1.2810434907813149</v>
      </c>
      <c r="H98" s="10">
        <v>1.2810434907813149</v>
      </c>
      <c r="I98">
        <v>1.2370941124038874</v>
      </c>
      <c r="J98" s="2">
        <v>706.86046688994088</v>
      </c>
      <c r="K98" s="2">
        <v>706.86046688994088</v>
      </c>
      <c r="L98">
        <v>731.97260493012948</v>
      </c>
      <c r="M98" s="2">
        <v>0.66784787477834562</v>
      </c>
      <c r="N98" s="2">
        <v>0.66784787477834562</v>
      </c>
      <c r="O98">
        <v>1.6449900806294766</v>
      </c>
      <c r="P98">
        <v>0</v>
      </c>
      <c r="Q98">
        <v>0</v>
      </c>
      <c r="R98">
        <v>0</v>
      </c>
    </row>
    <row r="99" spans="1:18" outlineLevel="1" x14ac:dyDescent="0.25">
      <c r="A99" s="44">
        <v>40</v>
      </c>
      <c r="B99" s="46">
        <f t="shared" si="2"/>
        <v>292.97839631215516</v>
      </c>
      <c r="C99" s="2">
        <v>292.9783963121551</v>
      </c>
      <c r="D99" s="2">
        <v>100</v>
      </c>
      <c r="E99" s="2">
        <v>100</v>
      </c>
      <c r="F99">
        <v>100</v>
      </c>
      <c r="G99" s="2">
        <v>1.2806115939851919</v>
      </c>
      <c r="H99" s="10">
        <v>1.2806115939851919</v>
      </c>
      <c r="I99">
        <v>1.2367900765840749</v>
      </c>
      <c r="J99" s="2">
        <v>707.09886139799448</v>
      </c>
      <c r="K99" s="2">
        <v>707.09886139799448</v>
      </c>
      <c r="L99">
        <v>732.15254321976624</v>
      </c>
      <c r="M99" s="2">
        <v>0.67473884049848276</v>
      </c>
      <c r="N99" s="2">
        <v>0.67473884049848276</v>
      </c>
      <c r="O99">
        <v>1.6701138484645435</v>
      </c>
      <c r="P99">
        <v>0</v>
      </c>
      <c r="Q99">
        <v>0</v>
      </c>
      <c r="R99">
        <v>0</v>
      </c>
    </row>
    <row r="100" spans="1:18" outlineLevel="1" x14ac:dyDescent="0.25">
      <c r="A100" s="44">
        <v>41</v>
      </c>
      <c r="B100" s="45">
        <v>300</v>
      </c>
      <c r="C100" s="2">
        <v>300</v>
      </c>
      <c r="D100" s="2">
        <v>100</v>
      </c>
      <c r="E100" s="2">
        <v>100</v>
      </c>
      <c r="F100">
        <v>100</v>
      </c>
      <c r="G100" s="2">
        <v>1.2802000501242599</v>
      </c>
      <c r="H100" s="10">
        <v>1.2802000501242599</v>
      </c>
      <c r="I100">
        <v>1.2365003424483285</v>
      </c>
      <c r="J100" s="2">
        <v>707.32617133713416</v>
      </c>
      <c r="K100" s="2">
        <v>707.32617133713416</v>
      </c>
      <c r="L100">
        <v>732.32409964968542</v>
      </c>
      <c r="M100" s="2">
        <v>0.68176476087196758</v>
      </c>
      <c r="N100" s="2">
        <v>0.68176476087196758</v>
      </c>
      <c r="O100">
        <v>1.6956555563443396</v>
      </c>
      <c r="P100">
        <v>0</v>
      </c>
      <c r="Q100">
        <v>0</v>
      </c>
    </row>
    <row r="101" spans="1:18" outlineLevel="1" x14ac:dyDescent="0.25"/>
    <row r="102" spans="1:18" outlineLevel="1" x14ac:dyDescent="0.25"/>
  </sheetData>
  <mergeCells count="3">
    <mergeCell ref="A2:E2"/>
    <mergeCell ref="F3:G3"/>
    <mergeCell ref="N7:Q7"/>
  </mergeCells>
  <dataValidations disablePrompts="1" count="1">
    <dataValidation type="whole" allowBlank="1" showInputMessage="1" showErrorMessage="1" sqref="H3" xr:uid="{B7445072-C1D8-424B-B64D-824B192D9BC3}">
      <formula1>0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56</xdr:row>
                    <xdr:rowOff>0</xdr:rowOff>
                  </from>
                  <to>
                    <xdr:col>13</xdr:col>
                    <xdr:colOff>647700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228600</xdr:colOff>
                    <xdr:row>8</xdr:row>
                    <xdr:rowOff>219075</xdr:rowOff>
                  </from>
                  <to>
                    <xdr:col>21</xdr:col>
                    <xdr:colOff>209550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228600</xdr:colOff>
                    <xdr:row>12</xdr:row>
                    <xdr:rowOff>104775</xdr:rowOff>
                  </from>
                  <to>
                    <xdr:col>21</xdr:col>
                    <xdr:colOff>209550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219075</xdr:colOff>
                    <xdr:row>16</xdr:row>
                    <xdr:rowOff>9525</xdr:rowOff>
                  </from>
                  <to>
                    <xdr:col>21</xdr:col>
                    <xdr:colOff>190500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Build_PVT_charts">
                <anchor moveWithCells="1" sizeWithCells="1">
                  <from>
                    <xdr:col>18</xdr:col>
                    <xdr:colOff>171450</xdr:colOff>
                    <xdr:row>56</xdr:row>
                    <xdr:rowOff>104775</xdr:rowOff>
                  </from>
                  <to>
                    <xdr:col>21</xdr:col>
                    <xdr:colOff>276225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9" name="Drop Down 50">
              <controlPr defaultSize="0" autoLine="0" autoPict="0">
                <anchor moveWithCells="1">
                  <from>
                    <xdr:col>6</xdr:col>
                    <xdr:colOff>809625</xdr:colOff>
                    <xdr:row>2</xdr:row>
                    <xdr:rowOff>9525</xdr:rowOff>
                  </from>
                  <to>
                    <xdr:col>8</xdr:col>
                    <xdr:colOff>304800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well_constr"/>
  <dimension ref="A1:AC176"/>
  <sheetViews>
    <sheetView zoomScale="70" zoomScaleNormal="70" workbookViewId="0">
      <selection activeCell="M30" sqref="M30"/>
    </sheetView>
  </sheetViews>
  <sheetFormatPr defaultRowHeight="15" x14ac:dyDescent="0.25"/>
  <sheetData>
    <row r="1" spans="1:16" x14ac:dyDescent="0.25">
      <c r="A1" t="str">
        <f>версия_</f>
        <v>вер 7.22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Worksheet_ESP_data"/>
  <dimension ref="A1:K29"/>
  <sheetViews>
    <sheetView zoomScale="80" zoomScaleNormal="80" workbookViewId="0">
      <selection activeCell="E25" sqref="E25"/>
    </sheetView>
  </sheetViews>
  <sheetFormatPr defaultRowHeight="15" x14ac:dyDescent="0.25"/>
  <cols>
    <col min="2" max="2" width="21.140625" customWidth="1"/>
    <col min="8" max="8" width="9.42578125" bestFit="1" customWidth="1"/>
    <col min="10" max="10" width="10.42578125" customWidth="1"/>
  </cols>
  <sheetData>
    <row r="1" spans="1:11" x14ac:dyDescent="0.25">
      <c r="A1" t="str">
        <f>версия_</f>
        <v>вер 7.22</v>
      </c>
    </row>
    <row r="4" spans="1:11" x14ac:dyDescent="0.25">
      <c r="B4" s="51" t="s">
        <v>176</v>
      </c>
      <c r="C4" s="52">
        <v>100</v>
      </c>
      <c r="D4" s="51" t="s">
        <v>177</v>
      </c>
    </row>
    <row r="5" spans="1:11" x14ac:dyDescent="0.25">
      <c r="B5" s="51" t="s">
        <v>178</v>
      </c>
      <c r="C5" s="52">
        <v>2000</v>
      </c>
      <c r="D5" s="51" t="s">
        <v>179</v>
      </c>
      <c r="G5" t="s">
        <v>193</v>
      </c>
      <c r="H5">
        <f>G29</f>
        <v>22</v>
      </c>
    </row>
    <row r="6" spans="1:11" x14ac:dyDescent="0.25">
      <c r="B6" s="51" t="s">
        <v>180</v>
      </c>
      <c r="C6" s="52">
        <v>35</v>
      </c>
      <c r="D6" s="51" t="s">
        <v>181</v>
      </c>
    </row>
    <row r="7" spans="1:11" x14ac:dyDescent="0.25">
      <c r="B7" s="51" t="s">
        <v>182</v>
      </c>
      <c r="C7" s="53">
        <f>[1]!ESP_id_by_rate(ESP_rate_nom_)</f>
        <v>737</v>
      </c>
      <c r="D7" s="51"/>
      <c r="H7" t="s">
        <v>192</v>
      </c>
      <c r="I7" t="s">
        <v>194</v>
      </c>
      <c r="J7" t="s">
        <v>195</v>
      </c>
      <c r="K7" t="s">
        <v>196</v>
      </c>
    </row>
    <row r="8" spans="1:11" x14ac:dyDescent="0.25">
      <c r="B8" s="51" t="s">
        <v>183</v>
      </c>
      <c r="C8" s="53" t="str">
        <f>[1]!ESP_name(ESP_ID_)</f>
        <v>ЭЦН5-125</v>
      </c>
      <c r="D8" s="51"/>
      <c r="G8">
        <v>1</v>
      </c>
      <c r="H8" s="54">
        <v>1</v>
      </c>
      <c r="I8" s="50">
        <v>1021.4328499999999</v>
      </c>
      <c r="J8" s="50">
        <v>11.360674499999998</v>
      </c>
      <c r="K8" s="56">
        <v>1.0994897959183675E-2</v>
      </c>
    </row>
    <row r="9" spans="1:11" x14ac:dyDescent="0.25">
      <c r="B9" s="51" t="s">
        <v>184</v>
      </c>
      <c r="C9" s="53">
        <f>ESP_rate_max_sm3day(ESP_freq_,ESP_ID_)*1</f>
        <v>161</v>
      </c>
      <c r="D9" s="51"/>
      <c r="G9">
        <v>2</v>
      </c>
      <c r="H9" s="55">
        <f t="shared" ref="H9:H29" si="0">(ESP_qmax_)/(pts_-1)+H8</f>
        <v>8.6666666666666679</v>
      </c>
      <c r="I9" s="50">
        <v>1023.6184888888888</v>
      </c>
      <c r="J9" s="50">
        <v>11.769587666666666</v>
      </c>
      <c r="K9" s="56">
        <v>9.0204081632653088E-2</v>
      </c>
    </row>
    <row r="10" spans="1:11" x14ac:dyDescent="0.25">
      <c r="B10" s="51" t="s">
        <v>185</v>
      </c>
      <c r="C10" s="53">
        <f>INT(ESP_head_nom_/[1]!ESP_head_m(ESP_rate_nom_,1,,ESP_ID_))</f>
        <v>311</v>
      </c>
      <c r="D10" s="51" t="s">
        <v>186</v>
      </c>
      <c r="G10">
        <v>3</v>
      </c>
      <c r="H10" s="55">
        <f t="shared" si="0"/>
        <v>16.333333333333336</v>
      </c>
      <c r="I10" s="50">
        <v>1023.8938294753086</v>
      </c>
      <c r="J10" s="50">
        <v>12.178500833333331</v>
      </c>
      <c r="K10" s="56">
        <v>0.16006944444444446</v>
      </c>
    </row>
    <row r="11" spans="1:11" x14ac:dyDescent="0.25">
      <c r="G11">
        <v>4</v>
      </c>
      <c r="H11" s="55">
        <f t="shared" si="0"/>
        <v>24.000000000000004</v>
      </c>
      <c r="I11" s="50">
        <v>1021.9874666666666</v>
      </c>
      <c r="J11" s="50">
        <v>12.587413999999999</v>
      </c>
      <c r="K11" s="56">
        <v>0.21944606413994172</v>
      </c>
    </row>
    <row r="12" spans="1:11" x14ac:dyDescent="0.25">
      <c r="G12">
        <v>5</v>
      </c>
      <c r="H12" s="55">
        <f t="shared" si="0"/>
        <v>31.666666666666671</v>
      </c>
      <c r="I12" s="50">
        <v>1020.5375091563785</v>
      </c>
      <c r="J12" s="50">
        <v>12.978208537037036</v>
      </c>
      <c r="K12" s="56">
        <v>0.27880952380952384</v>
      </c>
    </row>
    <row r="13" spans="1:11" x14ac:dyDescent="0.25">
      <c r="B13" t="s">
        <v>187</v>
      </c>
      <c r="C13">
        <v>1000</v>
      </c>
      <c r="D13" t="s">
        <v>190</v>
      </c>
      <c r="G13">
        <v>6</v>
      </c>
      <c r="H13" s="55">
        <f t="shared" si="0"/>
        <v>39.333333333333336</v>
      </c>
      <c r="I13" s="50">
        <v>1019.9186127572017</v>
      </c>
      <c r="J13" s="50">
        <v>13.308703629629628</v>
      </c>
      <c r="K13" s="56">
        <v>0.3390476190476191</v>
      </c>
    </row>
    <row r="14" spans="1:11" x14ac:dyDescent="0.25">
      <c r="B14" t="s">
        <v>188</v>
      </c>
      <c r="C14">
        <v>30</v>
      </c>
      <c r="D14" t="s">
        <v>191</v>
      </c>
      <c r="G14">
        <v>7</v>
      </c>
      <c r="H14" s="55">
        <f t="shared" si="0"/>
        <v>47</v>
      </c>
      <c r="I14" s="50">
        <v>1016.3806867346938</v>
      </c>
      <c r="J14" s="50">
        <v>13.707480499999997</v>
      </c>
      <c r="K14" s="56">
        <v>0.39801020408163262</v>
      </c>
    </row>
    <row r="15" spans="1:11" x14ac:dyDescent="0.25">
      <c r="G15">
        <v>8</v>
      </c>
      <c r="H15" s="55">
        <f t="shared" si="0"/>
        <v>54.666666666666664</v>
      </c>
      <c r="I15" s="50">
        <v>1007.3501669102208</v>
      </c>
      <c r="J15" s="50">
        <v>14.116393666666665</v>
      </c>
      <c r="K15" s="56">
        <v>0.4513378684807256</v>
      </c>
    </row>
    <row r="16" spans="1:11" x14ac:dyDescent="0.25">
      <c r="B16" t="s">
        <v>189</v>
      </c>
      <c r="C16">
        <f>Htub_m_</f>
        <v>2500</v>
      </c>
      <c r="D16" t="s">
        <v>38</v>
      </c>
      <c r="G16">
        <v>9</v>
      </c>
      <c r="H16" s="55">
        <f t="shared" si="0"/>
        <v>62.333333333333329</v>
      </c>
      <c r="I16" s="50">
        <v>999.61633854989793</v>
      </c>
      <c r="J16" s="50">
        <v>14.525306833333334</v>
      </c>
      <c r="K16" s="56">
        <v>0.49313393724836874</v>
      </c>
    </row>
    <row r="17" spans="7:11" x14ac:dyDescent="0.25">
      <c r="G17">
        <v>10</v>
      </c>
      <c r="H17" s="55">
        <f t="shared" si="0"/>
        <v>70</v>
      </c>
      <c r="I17" s="50">
        <v>979.8676999999999</v>
      </c>
      <c r="J17" s="50">
        <v>14.93422</v>
      </c>
      <c r="K17" s="56">
        <v>0.52</v>
      </c>
    </row>
    <row r="18" spans="7:11" x14ac:dyDescent="0.25">
      <c r="G18">
        <v>11</v>
      </c>
      <c r="H18" s="55">
        <f t="shared" si="0"/>
        <v>77.666666666666671</v>
      </c>
      <c r="I18" s="50">
        <v>938.61592064574302</v>
      </c>
      <c r="J18" s="50">
        <v>15.343133166666664</v>
      </c>
      <c r="K18" s="56">
        <v>0.54002411168549058</v>
      </c>
    </row>
    <row r="19" spans="7:11" x14ac:dyDescent="0.25">
      <c r="G19">
        <v>12</v>
      </c>
      <c r="H19" s="55">
        <f t="shared" si="0"/>
        <v>85.333333333333343</v>
      </c>
      <c r="I19" s="50">
        <v>895.39519234243323</v>
      </c>
      <c r="J19" s="50">
        <v>15.726060555555554</v>
      </c>
      <c r="K19" s="56">
        <v>0.55076026947575574</v>
      </c>
    </row>
    <row r="20" spans="7:11" x14ac:dyDescent="0.25">
      <c r="G20">
        <v>13</v>
      </c>
      <c r="H20" s="55">
        <f t="shared" si="0"/>
        <v>93.000000000000014</v>
      </c>
      <c r="I20" s="50">
        <v>835.55958254007919</v>
      </c>
      <c r="J20" s="50">
        <v>16.121721666666666</v>
      </c>
      <c r="K20" s="56">
        <v>0.54292580524273204</v>
      </c>
    </row>
    <row r="21" spans="7:11" x14ac:dyDescent="0.25">
      <c r="G21">
        <v>14</v>
      </c>
      <c r="H21" s="55">
        <f t="shared" si="0"/>
        <v>100.66666666666669</v>
      </c>
      <c r="I21" s="50">
        <v>751.34752749615939</v>
      </c>
      <c r="J21" s="50">
        <v>16.571966105050503</v>
      </c>
      <c r="K21" s="56">
        <v>0.52013315601929988</v>
      </c>
    </row>
    <row r="22" spans="7:11" x14ac:dyDescent="0.25">
      <c r="G22">
        <v>15</v>
      </c>
      <c r="H22" s="55">
        <f t="shared" si="0"/>
        <v>108.33333333333336</v>
      </c>
      <c r="I22" s="50">
        <v>667.32457538690437</v>
      </c>
      <c r="J22" s="50">
        <v>16.977098658333333</v>
      </c>
      <c r="K22" s="56">
        <v>0.48242355087398359</v>
      </c>
    </row>
    <row r="23" spans="7:11" x14ac:dyDescent="0.25">
      <c r="G23">
        <v>16</v>
      </c>
      <c r="H23" s="55">
        <f t="shared" si="0"/>
        <v>116.00000000000003</v>
      </c>
      <c r="I23" s="50">
        <v>576.6754088235291</v>
      </c>
      <c r="J23" s="50">
        <v>17.409042734265732</v>
      </c>
      <c r="K23" s="56">
        <v>0.43350928341261302</v>
      </c>
    </row>
    <row r="24" spans="7:11" x14ac:dyDescent="0.25">
      <c r="G24">
        <v>17</v>
      </c>
      <c r="H24" s="55">
        <f t="shared" si="0"/>
        <v>123.6666666666667</v>
      </c>
      <c r="I24" s="50">
        <v>483.69911942401922</v>
      </c>
      <c r="J24" s="50">
        <v>17.890608941385008</v>
      </c>
      <c r="K24" s="56">
        <v>0.37827485380116932</v>
      </c>
    </row>
    <row r="25" spans="7:11" x14ac:dyDescent="0.25">
      <c r="G25">
        <v>18</v>
      </c>
      <c r="H25" s="55">
        <f t="shared" si="0"/>
        <v>131.33333333333337</v>
      </c>
      <c r="I25" s="50">
        <v>392.22924236318136</v>
      </c>
      <c r="J25" s="50">
        <v>18.250104243867245</v>
      </c>
      <c r="K25" s="56">
        <v>0.31590281827016486</v>
      </c>
    </row>
    <row r="26" spans="7:11" x14ac:dyDescent="0.25">
      <c r="G26">
        <v>19</v>
      </c>
      <c r="H26" s="55">
        <f t="shared" si="0"/>
        <v>139.00000000000003</v>
      </c>
      <c r="I26" s="50">
        <v>301.4472965166708</v>
      </c>
      <c r="J26" s="50">
        <v>18.38946130194805</v>
      </c>
      <c r="K26" s="56">
        <v>0.24891727405247788</v>
      </c>
    </row>
    <row r="27" spans="7:11" x14ac:dyDescent="0.25">
      <c r="G27">
        <v>20</v>
      </c>
      <c r="H27" s="55">
        <f t="shared" si="0"/>
        <v>146.66666666666669</v>
      </c>
      <c r="I27" s="50">
        <v>209.62751789270047</v>
      </c>
      <c r="J27" s="50">
        <v>18.392615418871245</v>
      </c>
      <c r="K27" s="56">
        <v>0.18004427167692458</v>
      </c>
    </row>
    <row r="28" spans="7:11" x14ac:dyDescent="0.25">
      <c r="G28">
        <v>21</v>
      </c>
      <c r="H28" s="55">
        <f t="shared" si="0"/>
        <v>154.33333333333334</v>
      </c>
      <c r="I28" s="50">
        <v>106.28137037037031</v>
      </c>
      <c r="J28" s="50">
        <v>18.021794596296296</v>
      </c>
      <c r="K28" s="56">
        <v>9.5691609977324218E-2</v>
      </c>
    </row>
    <row r="29" spans="7:11" x14ac:dyDescent="0.25">
      <c r="G29">
        <v>22</v>
      </c>
      <c r="H29" s="55">
        <f t="shared" si="0"/>
        <v>162</v>
      </c>
      <c r="I29" s="50">
        <v>-16.793999999999855</v>
      </c>
      <c r="J29" s="50">
        <v>17.291693299999995</v>
      </c>
      <c r="K29" s="5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165B-7A6B-4829-B135-131C0BE6C697}">
  <sheetPr codeName="Worksheet_GL_data"/>
  <dimension ref="A1:D20"/>
  <sheetViews>
    <sheetView workbookViewId="0">
      <selection activeCell="G14" sqref="G14"/>
    </sheetView>
  </sheetViews>
  <sheetFormatPr defaultRowHeight="15" x14ac:dyDescent="0.25"/>
  <cols>
    <col min="2" max="2" width="13.28515625" customWidth="1"/>
    <col min="3" max="3" width="10.5703125" customWidth="1"/>
    <col min="4" max="4" width="15.7109375" customWidth="1"/>
  </cols>
  <sheetData>
    <row r="1" spans="1:4" x14ac:dyDescent="0.25">
      <c r="A1" t="str">
        <f>версия_</f>
        <v>вер 7.22</v>
      </c>
    </row>
    <row r="3" spans="1:4" x14ac:dyDescent="0.25">
      <c r="B3" t="s">
        <v>203</v>
      </c>
    </row>
    <row r="5" spans="1:4" x14ac:dyDescent="0.25">
      <c r="B5" t="s">
        <v>204</v>
      </c>
      <c r="C5" s="11">
        <v>3</v>
      </c>
    </row>
    <row r="7" spans="1:4" x14ac:dyDescent="0.25">
      <c r="B7" t="s">
        <v>205</v>
      </c>
    </row>
    <row r="9" spans="1:4" x14ac:dyDescent="0.25">
      <c r="B9" s="5" t="s">
        <v>170</v>
      </c>
      <c r="C9" s="5" t="s">
        <v>206</v>
      </c>
      <c r="D9" s="5" t="s">
        <v>207</v>
      </c>
    </row>
    <row r="10" spans="1:4" x14ac:dyDescent="0.25">
      <c r="B10" s="5" t="s">
        <v>38</v>
      </c>
      <c r="C10" s="5" t="s">
        <v>41</v>
      </c>
      <c r="D10" s="5" t="s">
        <v>2</v>
      </c>
    </row>
    <row r="11" spans="1:4" x14ac:dyDescent="0.25">
      <c r="B11" s="9">
        <v>500</v>
      </c>
      <c r="C11" s="9">
        <v>0</v>
      </c>
      <c r="D11" s="9">
        <v>50</v>
      </c>
    </row>
    <row r="12" spans="1:4" x14ac:dyDescent="0.25">
      <c r="B12" s="9">
        <v>1500</v>
      </c>
      <c r="C12" s="9">
        <v>0</v>
      </c>
      <c r="D12" s="9">
        <v>60</v>
      </c>
    </row>
    <row r="13" spans="1:4" x14ac:dyDescent="0.25">
      <c r="B13" s="9">
        <v>2200</v>
      </c>
      <c r="C13" s="9">
        <v>3</v>
      </c>
      <c r="D13" s="9">
        <v>80</v>
      </c>
    </row>
    <row r="14" spans="1:4" x14ac:dyDescent="0.25">
      <c r="B14" s="9"/>
      <c r="C14" s="9"/>
      <c r="D14" s="9"/>
    </row>
    <row r="15" spans="1:4" x14ac:dyDescent="0.25">
      <c r="B15" s="9"/>
      <c r="C15" s="9"/>
      <c r="D15" s="9"/>
    </row>
    <row r="16" spans="1:4" x14ac:dyDescent="0.25">
      <c r="B16" s="9"/>
      <c r="C16" s="9"/>
      <c r="D16" s="9"/>
    </row>
    <row r="17" spans="2:4" x14ac:dyDescent="0.25">
      <c r="B17" s="9"/>
      <c r="C17" s="9"/>
      <c r="D17" s="9"/>
    </row>
    <row r="18" spans="2:4" x14ac:dyDescent="0.25">
      <c r="B18" s="9"/>
      <c r="C18" s="9"/>
      <c r="D18" s="9"/>
    </row>
    <row r="19" spans="2:4" x14ac:dyDescent="0.25">
      <c r="B19" s="9"/>
      <c r="C19" s="9"/>
      <c r="D19" s="9"/>
    </row>
    <row r="20" spans="2:4" x14ac:dyDescent="0.25">
      <c r="B20" s="9"/>
      <c r="C20" s="9"/>
      <c r="D20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calc_ESP"/>
  <dimension ref="A1:AK44"/>
  <sheetViews>
    <sheetView zoomScale="70" zoomScaleNormal="70" workbookViewId="0">
      <selection activeCell="N10" sqref="N10"/>
    </sheetView>
  </sheetViews>
  <sheetFormatPr defaultRowHeight="15" x14ac:dyDescent="0.25"/>
  <cols>
    <col min="15" max="15" width="10.140625" customWidth="1"/>
    <col min="22" max="22" width="10.7109375" customWidth="1"/>
    <col min="31" max="35" width="6.28515625" customWidth="1"/>
  </cols>
  <sheetData>
    <row r="1" spans="1:37" x14ac:dyDescent="0.25">
      <c r="A1" t="str">
        <f>версия_</f>
        <v>вер 7.22</v>
      </c>
      <c r="W1" s="66"/>
      <c r="X1" s="66"/>
      <c r="Y1" s="66"/>
      <c r="Z1" s="66"/>
      <c r="AA1" s="66"/>
      <c r="AB1" s="58"/>
      <c r="AC1" s="58"/>
      <c r="AD1" s="58"/>
      <c r="AE1" s="58"/>
      <c r="AF1" s="58"/>
      <c r="AG1" s="58"/>
      <c r="AH1" s="58"/>
      <c r="AI1" s="58"/>
      <c r="AJ1" s="58"/>
      <c r="AK1" s="58"/>
    </row>
    <row r="2" spans="1:37" x14ac:dyDescent="0.2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2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37" x14ac:dyDescent="0.25">
      <c r="W3" s="66"/>
      <c r="X3" s="66"/>
      <c r="Y3" s="66"/>
      <c r="Z3" s="66"/>
      <c r="AA3" s="66"/>
      <c r="AB3" s="58">
        <v>1</v>
      </c>
      <c r="AC3" s="58" t="s">
        <v>145</v>
      </c>
      <c r="AD3" s="58"/>
      <c r="AE3" s="58"/>
      <c r="AF3" s="58"/>
      <c r="AG3" s="58">
        <v>3</v>
      </c>
      <c r="AH3" s="58" t="s">
        <v>160</v>
      </c>
      <c r="AI3" s="58"/>
      <c r="AJ3" s="58"/>
      <c r="AK3" s="58"/>
    </row>
    <row r="4" spans="1:37" x14ac:dyDescent="0.25">
      <c r="W4" s="66"/>
      <c r="X4" s="66"/>
      <c r="Y4" s="66"/>
      <c r="Z4" s="66"/>
      <c r="AA4" s="66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</row>
    <row r="5" spans="1:37" x14ac:dyDescent="0.2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Q5" s="17" t="s">
        <v>53</v>
      </c>
      <c r="R5" s="2"/>
      <c r="S5" s="2"/>
      <c r="W5" s="66"/>
      <c r="X5" s="66"/>
      <c r="Y5" s="66"/>
      <c r="Z5" s="66"/>
      <c r="AA5" s="66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</row>
    <row r="6" spans="1:37" ht="18" x14ac:dyDescent="0.35">
      <c r="B6" s="7" t="s">
        <v>32</v>
      </c>
      <c r="C6" s="12">
        <f>Ql_scm3day_</f>
        <v>230</v>
      </c>
      <c r="D6" s="5" t="s">
        <v>33</v>
      </c>
      <c r="G6" s="14" t="s">
        <v>157</v>
      </c>
      <c r="H6" s="9">
        <v>1</v>
      </c>
      <c r="I6" s="5"/>
      <c r="L6" s="14" t="s">
        <v>156</v>
      </c>
      <c r="M6" s="9">
        <v>90</v>
      </c>
      <c r="N6" s="5" t="s">
        <v>25</v>
      </c>
      <c r="Q6" s="14" t="s">
        <v>45</v>
      </c>
      <c r="R6" s="9">
        <v>45</v>
      </c>
      <c r="S6" s="5" t="s">
        <v>200</v>
      </c>
      <c r="W6" s="66"/>
      <c r="X6" s="66"/>
      <c r="Y6" s="66"/>
      <c r="Z6" s="66"/>
      <c r="AA6" s="66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</row>
    <row r="7" spans="1:37" ht="18" x14ac:dyDescent="0.35">
      <c r="B7" s="5" t="s">
        <v>19</v>
      </c>
      <c r="C7" s="12">
        <f>fw_perc_</f>
        <v>0</v>
      </c>
      <c r="D7" s="5" t="s">
        <v>9</v>
      </c>
      <c r="G7" s="14" t="s">
        <v>158</v>
      </c>
      <c r="H7" s="9">
        <v>1</v>
      </c>
      <c r="I7" s="5"/>
      <c r="L7" s="14" t="s">
        <v>56</v>
      </c>
      <c r="M7" s="9">
        <v>60</v>
      </c>
      <c r="N7" s="5" t="s">
        <v>25</v>
      </c>
      <c r="Q7" s="14" t="s">
        <v>46</v>
      </c>
      <c r="R7" s="9">
        <v>50</v>
      </c>
      <c r="S7" s="5" t="s">
        <v>200</v>
      </c>
      <c r="W7" s="66"/>
      <c r="X7" s="66"/>
      <c r="Y7" s="66"/>
      <c r="Z7" s="66"/>
      <c r="AA7" s="66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</row>
    <row r="8" spans="1:37" ht="18" x14ac:dyDescent="0.35">
      <c r="B8" s="7" t="s">
        <v>34</v>
      </c>
      <c r="C8" s="12">
        <f>Qo_sctday_</f>
        <v>188.6</v>
      </c>
      <c r="D8" s="5" t="s">
        <v>35</v>
      </c>
      <c r="Q8" s="14" t="s">
        <v>47</v>
      </c>
      <c r="R8" s="9">
        <v>90</v>
      </c>
      <c r="S8" s="5" t="s">
        <v>200</v>
      </c>
      <c r="W8" s="66"/>
      <c r="X8" s="66"/>
      <c r="Y8" s="66"/>
      <c r="Z8" s="66"/>
      <c r="AA8" s="66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</row>
    <row r="9" spans="1:37" ht="18" x14ac:dyDescent="0.35">
      <c r="B9" s="7" t="s">
        <v>18</v>
      </c>
      <c r="C9" s="12">
        <f>Rp_m3m3_</f>
        <v>100</v>
      </c>
      <c r="D9" s="5" t="s">
        <v>17</v>
      </c>
      <c r="Q9" s="14" t="s">
        <v>197</v>
      </c>
      <c r="R9" s="9">
        <v>45</v>
      </c>
      <c r="S9" s="5" t="s">
        <v>200</v>
      </c>
      <c r="AB9" s="58"/>
      <c r="AC9" s="58"/>
      <c r="AD9" s="58"/>
      <c r="AE9" s="58"/>
      <c r="AF9" s="58"/>
      <c r="AG9" s="58"/>
      <c r="AH9" s="58"/>
    </row>
    <row r="10" spans="1:37" ht="18" x14ac:dyDescent="0.25">
      <c r="B10" s="7" t="s">
        <v>18</v>
      </c>
      <c r="C10" s="13">
        <f>Rp_m3m3_/PVT!gamma_oil_</f>
        <v>121.95121951219512</v>
      </c>
      <c r="D10" s="5" t="s">
        <v>36</v>
      </c>
      <c r="Q10" s="17"/>
      <c r="R10" s="2"/>
      <c r="S10" s="2"/>
      <c r="T10" s="17"/>
      <c r="U10" s="2"/>
      <c r="V10" s="2"/>
      <c r="AB10" s="58"/>
      <c r="AC10" s="58"/>
      <c r="AD10" s="58"/>
      <c r="AE10" s="58"/>
      <c r="AF10" s="58"/>
      <c r="AG10" s="58"/>
      <c r="AH10" s="58"/>
    </row>
    <row r="11" spans="1:37" ht="18" x14ac:dyDescent="0.35">
      <c r="Q11" s="14" t="s">
        <v>201</v>
      </c>
      <c r="R11" s="25">
        <v>0</v>
      </c>
      <c r="S11" s="5" t="s">
        <v>200</v>
      </c>
      <c r="T11" s="14" t="s">
        <v>55</v>
      </c>
      <c r="U11" s="25">
        <v>65.427578610504099</v>
      </c>
      <c r="V11" s="5" t="s">
        <v>25</v>
      </c>
    </row>
    <row r="12" spans="1:37" ht="18" x14ac:dyDescent="0.35">
      <c r="Q12" s="14" t="s">
        <v>202</v>
      </c>
      <c r="R12" s="25">
        <v>0.88847916819001227</v>
      </c>
      <c r="S12" s="5" t="s">
        <v>200</v>
      </c>
      <c r="T12" s="14" t="s">
        <v>56</v>
      </c>
      <c r="U12" s="25">
        <v>65.427578610504099</v>
      </c>
      <c r="V12" s="5" t="s">
        <v>25</v>
      </c>
    </row>
    <row r="13" spans="1:37" ht="18" x14ac:dyDescent="0.35">
      <c r="D13" s="1"/>
      <c r="Q13" s="14" t="s">
        <v>47</v>
      </c>
      <c r="R13" s="25">
        <v>90</v>
      </c>
      <c r="S13" s="5" t="s">
        <v>200</v>
      </c>
      <c r="T13" s="14" t="s">
        <v>57</v>
      </c>
      <c r="U13" s="25">
        <v>145</v>
      </c>
      <c r="V13" s="5" t="s">
        <v>25</v>
      </c>
    </row>
    <row r="14" spans="1:37" x14ac:dyDescent="0.25">
      <c r="B14" s="17" t="s">
        <v>58</v>
      </c>
      <c r="C14" s="2"/>
      <c r="D14" s="10"/>
      <c r="E14" s="2"/>
    </row>
    <row r="15" spans="1:37" ht="30" x14ac:dyDescent="0.25">
      <c r="B15" s="2"/>
      <c r="C15" s="2" t="s">
        <v>43</v>
      </c>
      <c r="D15" s="10" t="s">
        <v>62</v>
      </c>
      <c r="E15" s="2" t="s">
        <v>61</v>
      </c>
      <c r="H15" s="1"/>
      <c r="I15" s="1"/>
      <c r="J15" s="1"/>
      <c r="K15" s="1" t="s">
        <v>212</v>
      </c>
      <c r="M15" t="s">
        <v>216</v>
      </c>
      <c r="N15" s="1" t="s">
        <v>212</v>
      </c>
      <c r="O15" s="1" t="s">
        <v>213</v>
      </c>
      <c r="P15" s="1" t="s">
        <v>212</v>
      </c>
      <c r="Q15" s="1" t="s">
        <v>214</v>
      </c>
      <c r="R15" s="1" t="s">
        <v>212</v>
      </c>
      <c r="S15" s="1" t="s">
        <v>215</v>
      </c>
      <c r="U15" s="5" t="s">
        <v>170</v>
      </c>
      <c r="V15" s="1" t="s">
        <v>171</v>
      </c>
      <c r="W15" t="s">
        <v>212</v>
      </c>
      <c r="X15" t="s">
        <v>217</v>
      </c>
    </row>
    <row r="16" spans="1:37" x14ac:dyDescent="0.25">
      <c r="B16" s="2" t="s">
        <v>59</v>
      </c>
      <c r="C16" s="49">
        <v>0</v>
      </c>
      <c r="D16" s="49">
        <v>0</v>
      </c>
      <c r="E16" s="49">
        <v>32</v>
      </c>
      <c r="G16" s="15"/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0.88847916819001227</v>
      </c>
      <c r="P16">
        <v>0</v>
      </c>
      <c r="Q16">
        <v>65.427578610504099</v>
      </c>
      <c r="R16">
        <v>0</v>
      </c>
      <c r="S16">
        <v>0</v>
      </c>
      <c r="U16">
        <v>0</v>
      </c>
      <c r="V16" s="50">
        <f>Pline_out_atma_</f>
        <v>0</v>
      </c>
      <c r="W16">
        <v>2500</v>
      </c>
      <c r="X16">
        <v>121.1339272212778</v>
      </c>
    </row>
    <row r="17" spans="2:24" x14ac:dyDescent="0.25">
      <c r="B17" s="2" t="s">
        <v>60</v>
      </c>
      <c r="C17" s="18">
        <v>0</v>
      </c>
      <c r="D17" s="18">
        <v>12</v>
      </c>
      <c r="E17" s="18">
        <v>33</v>
      </c>
      <c r="G17" s="15"/>
      <c r="H17">
        <v>168.75</v>
      </c>
      <c r="I17">
        <v>16.978153001228488</v>
      </c>
      <c r="J17">
        <v>34.35</v>
      </c>
      <c r="K17">
        <v>194.44444444444446</v>
      </c>
      <c r="M17">
        <v>30.648148148148149</v>
      </c>
      <c r="N17">
        <v>194.44444444444446</v>
      </c>
      <c r="O17">
        <v>0.88847916819001227</v>
      </c>
      <c r="P17">
        <v>194.44444444444446</v>
      </c>
      <c r="Q17">
        <v>65.427578610504099</v>
      </c>
      <c r="R17">
        <v>175</v>
      </c>
      <c r="S17">
        <v>1.5989796699292475E-2</v>
      </c>
      <c r="U17">
        <v>0</v>
      </c>
      <c r="V17" s="50">
        <f>Pbuf_out_atma_</f>
        <v>0.88847916819001227</v>
      </c>
      <c r="W17">
        <v>2550</v>
      </c>
      <c r="X17">
        <v>123.09688536419144</v>
      </c>
    </row>
    <row r="18" spans="2:24" x14ac:dyDescent="0.25">
      <c r="B18" s="2"/>
      <c r="C18" s="18">
        <v>125</v>
      </c>
      <c r="D18" s="18">
        <v>15.557467590458288</v>
      </c>
      <c r="E18" s="18">
        <v>34</v>
      </c>
      <c r="G18" s="15"/>
      <c r="H18">
        <v>337.5</v>
      </c>
      <c r="I18">
        <v>22.808159517353957</v>
      </c>
      <c r="J18">
        <v>35.700000000000003</v>
      </c>
      <c r="K18">
        <v>388.88888888888891</v>
      </c>
      <c r="M18">
        <v>31.296296296296294</v>
      </c>
      <c r="N18">
        <v>388.88888888888891</v>
      </c>
      <c r="O18">
        <v>0.88847916819001227</v>
      </c>
      <c r="P18">
        <v>388.88888888888891</v>
      </c>
      <c r="Q18">
        <v>65.427578610504099</v>
      </c>
      <c r="R18">
        <v>350</v>
      </c>
      <c r="S18">
        <v>3.197959339858495E-2</v>
      </c>
      <c r="U18">
        <f>Hperf_m_</f>
        <v>3500</v>
      </c>
      <c r="V18" s="50">
        <f>Pwf_out_atma_</f>
        <v>90</v>
      </c>
      <c r="W18">
        <v>2600</v>
      </c>
      <c r="X18">
        <v>125.05984350710507</v>
      </c>
    </row>
    <row r="19" spans="2:24" x14ac:dyDescent="0.25">
      <c r="B19" s="2"/>
      <c r="C19" s="18">
        <v>250</v>
      </c>
      <c r="D19" s="18">
        <v>19.616568764087436</v>
      </c>
      <c r="E19" s="18">
        <v>35</v>
      </c>
      <c r="G19" s="15"/>
      <c r="H19">
        <v>506.25</v>
      </c>
      <c r="I19">
        <v>29.78946407595685</v>
      </c>
      <c r="J19">
        <v>37.049999999999997</v>
      </c>
      <c r="K19">
        <v>583.33333333333337</v>
      </c>
      <c r="M19">
        <v>31.944444444444446</v>
      </c>
      <c r="N19">
        <v>583.33333333333337</v>
      </c>
      <c r="O19">
        <v>0.88847916819001227</v>
      </c>
      <c r="P19">
        <v>583.33333333333337</v>
      </c>
      <c r="Q19">
        <v>65.427578610504099</v>
      </c>
      <c r="R19">
        <v>525</v>
      </c>
      <c r="S19">
        <v>4.7969390097877422E-2</v>
      </c>
      <c r="W19">
        <v>2650</v>
      </c>
      <c r="X19">
        <v>126.88105336080656</v>
      </c>
    </row>
    <row r="20" spans="2:24" x14ac:dyDescent="0.25">
      <c r="B20" s="2"/>
      <c r="C20" s="18">
        <v>375</v>
      </c>
      <c r="D20" s="18">
        <v>24.17598412589675</v>
      </c>
      <c r="E20" s="18">
        <v>36</v>
      </c>
      <c r="G20" s="15"/>
      <c r="H20">
        <v>675</v>
      </c>
      <c r="I20">
        <v>38.734369437593315</v>
      </c>
      <c r="J20">
        <v>38.4</v>
      </c>
      <c r="K20">
        <v>777.77777777777783</v>
      </c>
      <c r="M20">
        <v>32.592592592592588</v>
      </c>
      <c r="N20">
        <v>777.77777777777783</v>
      </c>
      <c r="O20">
        <v>0.88847916819001227</v>
      </c>
      <c r="P20">
        <v>777.77777777777783</v>
      </c>
      <c r="Q20">
        <v>65.427578610504099</v>
      </c>
      <c r="R20">
        <v>700</v>
      </c>
      <c r="S20">
        <v>6.3959186797169901E-2</v>
      </c>
      <c r="W20">
        <v>2700</v>
      </c>
      <c r="X20">
        <v>128.70226321450806</v>
      </c>
    </row>
    <row r="21" spans="2:24" x14ac:dyDescent="0.25">
      <c r="B21" s="2"/>
      <c r="C21" s="18">
        <v>500</v>
      </c>
      <c r="D21" s="18">
        <v>29.478342712963183</v>
      </c>
      <c r="E21" s="18">
        <v>37</v>
      </c>
      <c r="G21" s="15"/>
      <c r="H21">
        <v>843.75</v>
      </c>
      <c r="I21">
        <v>49.937391904010141</v>
      </c>
      <c r="J21">
        <v>39.75</v>
      </c>
      <c r="K21">
        <v>972.22222222222229</v>
      </c>
      <c r="M21">
        <v>33.24074074074074</v>
      </c>
      <c r="N21">
        <v>972.22222222222229</v>
      </c>
      <c r="O21">
        <v>0.88847916819001227</v>
      </c>
      <c r="P21">
        <v>972.22222222222229</v>
      </c>
      <c r="Q21">
        <v>65.427578610504099</v>
      </c>
      <c r="R21">
        <v>875</v>
      </c>
      <c r="S21">
        <v>7.9948983496462372E-2</v>
      </c>
      <c r="W21">
        <v>2750</v>
      </c>
      <c r="X21">
        <v>130.3718388393111</v>
      </c>
    </row>
    <row r="22" spans="2:24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1166.6666666666667</v>
      </c>
      <c r="M22">
        <v>33.864444444444445</v>
      </c>
      <c r="N22">
        <v>1166.6666666666667</v>
      </c>
      <c r="O22">
        <v>0.88847916819001227</v>
      </c>
      <c r="P22">
        <v>1166.6666666666667</v>
      </c>
      <c r="Q22">
        <v>65.427578610504099</v>
      </c>
      <c r="R22">
        <v>1050</v>
      </c>
      <c r="S22">
        <v>9.5938780195754844E-2</v>
      </c>
      <c r="W22">
        <v>2800</v>
      </c>
      <c r="X22">
        <v>132.04141446411413</v>
      </c>
    </row>
    <row r="23" spans="2:24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1361.1111111111113</v>
      </c>
      <c r="M23">
        <v>34.465370370370373</v>
      </c>
      <c r="N23">
        <v>1361.1111111111113</v>
      </c>
      <c r="O23">
        <v>2.2356216350590712</v>
      </c>
      <c r="P23">
        <v>1361.1111111111113</v>
      </c>
      <c r="Q23">
        <v>66.952604878047339</v>
      </c>
      <c r="R23">
        <v>1225</v>
      </c>
      <c r="S23">
        <v>0.11192857689504732</v>
      </c>
      <c r="W23">
        <v>2850</v>
      </c>
      <c r="X23">
        <v>133.55061444190949</v>
      </c>
    </row>
    <row r="24" spans="2:24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1555.5555555555557</v>
      </c>
      <c r="M24">
        <v>36.505000000000003</v>
      </c>
      <c r="N24">
        <v>1555.5555555555557</v>
      </c>
      <c r="O24">
        <v>6.5019350224669994</v>
      </c>
      <c r="P24">
        <v>1555.5555555555557</v>
      </c>
      <c r="Q24">
        <v>72.715421838707584</v>
      </c>
      <c r="R24">
        <v>1400</v>
      </c>
      <c r="S24">
        <v>0.1279183735943398</v>
      </c>
      <c r="W24">
        <v>2900</v>
      </c>
      <c r="X24">
        <v>135.05981441970485</v>
      </c>
    </row>
    <row r="25" spans="2:24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1750</v>
      </c>
      <c r="M25">
        <v>44.762500000000003</v>
      </c>
      <c r="N25">
        <v>1750</v>
      </c>
      <c r="O25">
        <v>11.240034699972483</v>
      </c>
      <c r="P25">
        <v>1750</v>
      </c>
      <c r="Q25">
        <v>78.701107300048776</v>
      </c>
      <c r="R25">
        <v>1575</v>
      </c>
      <c r="S25">
        <v>0.26488571672278577</v>
      </c>
      <c r="W25">
        <v>2950</v>
      </c>
      <c r="X25">
        <v>136.40091615736307</v>
      </c>
    </row>
    <row r="26" spans="2:24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1944.4444444444446</v>
      </c>
      <c r="M26">
        <v>53.431111111111115</v>
      </c>
      <c r="N26">
        <v>1944.4444444444446</v>
      </c>
      <c r="O26">
        <v>16.527774562921135</v>
      </c>
      <c r="P26">
        <v>1944.4444444444446</v>
      </c>
      <c r="Q26">
        <v>84.129916243611888</v>
      </c>
      <c r="R26">
        <v>1750</v>
      </c>
      <c r="S26">
        <v>0.3446100154263127</v>
      </c>
      <c r="W26">
        <v>3000</v>
      </c>
      <c r="X26">
        <v>137.74201789502129</v>
      </c>
    </row>
    <row r="27" spans="2:24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2138.8888888888891</v>
      </c>
      <c r="M27">
        <v>61.684166666666677</v>
      </c>
      <c r="N27">
        <v>2138.8888888888891</v>
      </c>
      <c r="O27">
        <v>22.219160143710365</v>
      </c>
      <c r="P27">
        <v>2138.8888888888891</v>
      </c>
      <c r="Q27">
        <v>88.966216812473832</v>
      </c>
      <c r="R27">
        <v>1925</v>
      </c>
      <c r="S27">
        <v>0.41248335611775505</v>
      </c>
      <c r="W27">
        <v>3050</v>
      </c>
      <c r="X27">
        <v>138.90813312442577</v>
      </c>
    </row>
    <row r="28" spans="2:24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2333.3333333333335</v>
      </c>
      <c r="M28">
        <v>69.521666666666675</v>
      </c>
      <c r="N28">
        <v>2333.3333333333335</v>
      </c>
      <c r="O28">
        <v>28.161910594203476</v>
      </c>
      <c r="P28">
        <v>2333.3333333333335</v>
      </c>
      <c r="Q28">
        <v>93.185153006586702</v>
      </c>
      <c r="R28">
        <v>2100</v>
      </c>
      <c r="S28">
        <v>0.47057535121112459</v>
      </c>
      <c r="W28">
        <v>3100</v>
      </c>
      <c r="X28">
        <v>140.07424835383023</v>
      </c>
    </row>
    <row r="29" spans="2:24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2500</v>
      </c>
      <c r="M29">
        <v>75.92</v>
      </c>
      <c r="N29">
        <v>2500</v>
      </c>
      <c r="O29">
        <v>33.352351321623985</v>
      </c>
      <c r="P29">
        <v>2500</v>
      </c>
      <c r="Q29">
        <v>97.194959988272231</v>
      </c>
      <c r="R29">
        <v>2275</v>
      </c>
      <c r="S29">
        <v>0.51954606969236583</v>
      </c>
      <c r="W29">
        <v>3150</v>
      </c>
      <c r="X29">
        <v>141.05906040010564</v>
      </c>
    </row>
    <row r="30" spans="2:24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2501</v>
      </c>
      <c r="M30">
        <v>90.055000000000007</v>
      </c>
      <c r="N30">
        <v>2501</v>
      </c>
      <c r="O30">
        <v>60.518760817628134</v>
      </c>
      <c r="P30">
        <v>2501</v>
      </c>
      <c r="Q30">
        <v>97.194959988272231</v>
      </c>
      <c r="R30">
        <v>2450</v>
      </c>
      <c r="S30">
        <v>0.56099926434200409</v>
      </c>
      <c r="W30">
        <v>3200</v>
      </c>
      <c r="X30">
        <v>142.04387244638102</v>
      </c>
    </row>
    <row r="31" spans="2:24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2527.7777777777778</v>
      </c>
      <c r="M31">
        <v>91.527777777777786</v>
      </c>
      <c r="N31">
        <v>2527.7777777777778</v>
      </c>
      <c r="O31">
        <v>61.813746663404402</v>
      </c>
      <c r="P31">
        <v>2527.7777777777778</v>
      </c>
      <c r="Q31">
        <v>97.45729694056115</v>
      </c>
      <c r="R31">
        <v>2625</v>
      </c>
      <c r="S31">
        <v>0.99063644642568083</v>
      </c>
      <c r="W31">
        <v>3250</v>
      </c>
      <c r="X31">
        <v>142.84126190077788</v>
      </c>
    </row>
    <row r="32" spans="2:24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2722.2222222222226</v>
      </c>
      <c r="M32">
        <v>102.22222222222226</v>
      </c>
      <c r="N32">
        <v>2722.2222222222226</v>
      </c>
      <c r="O32">
        <v>70.658974960431934</v>
      </c>
      <c r="P32">
        <v>2722.2222222222226</v>
      </c>
      <c r="Q32">
        <v>97.774033880308835</v>
      </c>
      <c r="R32">
        <v>2800</v>
      </c>
      <c r="S32">
        <v>0.99150142541209563</v>
      </c>
      <c r="W32">
        <v>3300</v>
      </c>
      <c r="X32">
        <v>143.63865135517474</v>
      </c>
    </row>
    <row r="33" spans="2:24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2916.666666666667</v>
      </c>
      <c r="M33">
        <v>112.91666666666669</v>
      </c>
      <c r="N33">
        <v>2916.666666666667</v>
      </c>
      <c r="O33">
        <v>77.97601406099237</v>
      </c>
      <c r="P33">
        <v>2916.666666666667</v>
      </c>
      <c r="Q33">
        <v>92.729706494574444</v>
      </c>
      <c r="R33">
        <v>2975</v>
      </c>
      <c r="S33">
        <v>0.99207610356092013</v>
      </c>
      <c r="W33">
        <v>3350</v>
      </c>
      <c r="X33">
        <v>144.24215247184969</v>
      </c>
    </row>
    <row r="34" spans="2:24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3111.1111111111113</v>
      </c>
      <c r="M34">
        <v>123.61111111111113</v>
      </c>
      <c r="N34">
        <v>3111.1111111111113</v>
      </c>
      <c r="O34">
        <v>83.686167304680893</v>
      </c>
      <c r="P34">
        <v>3111.1111111111113</v>
      </c>
      <c r="Q34">
        <v>79.309268986540104</v>
      </c>
      <c r="R34">
        <v>3150</v>
      </c>
      <c r="S34">
        <v>0.99253748471824266</v>
      </c>
      <c r="W34">
        <v>3400</v>
      </c>
      <c r="X34">
        <v>144.84565358852467</v>
      </c>
    </row>
    <row r="35" spans="2:24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3305.5555555555557</v>
      </c>
      <c r="M35">
        <v>134.30555555555557</v>
      </c>
      <c r="N35">
        <v>3305.5555555555557</v>
      </c>
      <c r="O35">
        <v>87.719708547072898</v>
      </c>
      <c r="P35">
        <v>3305.5555555555557</v>
      </c>
      <c r="Q35">
        <v>52.129198252562425</v>
      </c>
      <c r="R35">
        <v>3325</v>
      </c>
      <c r="S35">
        <v>0.99323188321741762</v>
      </c>
      <c r="W35">
        <v>3450</v>
      </c>
      <c r="X35">
        <v>145.24764043450992</v>
      </c>
    </row>
    <row r="36" spans="2:24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145</v>
      </c>
      <c r="N36">
        <v>3500</v>
      </c>
      <c r="O36">
        <v>90</v>
      </c>
      <c r="P36">
        <v>3500</v>
      </c>
      <c r="Q36">
        <v>0</v>
      </c>
      <c r="R36">
        <v>3500</v>
      </c>
      <c r="S36">
        <v>0.99489623919379433</v>
      </c>
      <c r="W36">
        <v>3500</v>
      </c>
      <c r="X36">
        <v>145.64962728049514</v>
      </c>
    </row>
    <row r="37" spans="2:24" x14ac:dyDescent="0.25">
      <c r="B37" s="2"/>
      <c r="C37" s="18">
        <v>2500</v>
      </c>
      <c r="D37" s="18">
        <v>176.72349338287597</v>
      </c>
      <c r="E37" s="18">
        <v>53</v>
      </c>
    </row>
    <row r="38" spans="2:24" x14ac:dyDescent="0.25">
      <c r="B38" s="2"/>
      <c r="C38" s="18">
        <v>2625</v>
      </c>
      <c r="D38" s="18">
        <v>186.511102757185</v>
      </c>
      <c r="E38" s="18">
        <v>54</v>
      </c>
    </row>
    <row r="39" spans="2:24" x14ac:dyDescent="0.25">
      <c r="B39" s="2"/>
      <c r="C39" s="18">
        <v>2750</v>
      </c>
      <c r="D39" s="18">
        <v>196.298712131494</v>
      </c>
      <c r="E39" s="18">
        <v>55</v>
      </c>
    </row>
    <row r="40" spans="2:24" x14ac:dyDescent="0.25">
      <c r="B40" s="2"/>
      <c r="C40" s="18">
        <v>2875</v>
      </c>
      <c r="D40" s="18">
        <v>206.08632150580399</v>
      </c>
      <c r="E40" s="18">
        <v>56</v>
      </c>
    </row>
    <row r="41" spans="2:24" x14ac:dyDescent="0.25">
      <c r="B41" s="2"/>
      <c r="C41" s="18">
        <v>3000</v>
      </c>
      <c r="D41" s="18">
        <v>215.87393088011299</v>
      </c>
      <c r="E41" s="18">
        <v>57</v>
      </c>
    </row>
    <row r="42" spans="2:24" x14ac:dyDescent="0.25">
      <c r="B42" s="2"/>
      <c r="C42" s="18">
        <v>3125</v>
      </c>
      <c r="D42" s="18">
        <v>225.66154025442199</v>
      </c>
      <c r="E42" s="18">
        <v>58</v>
      </c>
    </row>
    <row r="43" spans="2:24" x14ac:dyDescent="0.25">
      <c r="B43" s="2"/>
      <c r="C43" s="18">
        <v>3250</v>
      </c>
      <c r="D43" s="18">
        <v>235.44914962873099</v>
      </c>
      <c r="E43" s="18">
        <v>59</v>
      </c>
    </row>
    <row r="44" spans="2:24" x14ac:dyDescent="0.2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ESP_from_bottom">
                <anchor moveWithCells="1" sizeWithCells="1">
                  <from>
                    <xdr:col>22</xdr:col>
                    <xdr:colOff>361950</xdr:colOff>
                    <xdr:row>3</xdr:row>
                    <xdr:rowOff>142875</xdr:rowOff>
                  </from>
                  <to>
                    <xdr:col>27</xdr:col>
                    <xdr:colOff>381000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ESP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627C-B905-4C8E-9BC1-A9F0C295BBF5}">
  <sheetPr codeName="Worksheet_calc_GL"/>
  <dimension ref="A1:AN44"/>
  <sheetViews>
    <sheetView tabSelected="1" zoomScale="85" zoomScaleNormal="85" workbookViewId="0">
      <selection activeCell="U5" sqref="U5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40" x14ac:dyDescent="0.25">
      <c r="A1" t="str">
        <f>версия_</f>
        <v>вер 7.22</v>
      </c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</row>
    <row r="2" spans="1:40" x14ac:dyDescent="0.2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40" x14ac:dyDescent="0.25">
      <c r="X3" s="58">
        <v>1</v>
      </c>
      <c r="Y3" s="58" t="s">
        <v>143</v>
      </c>
      <c r="Z3" s="58"/>
      <c r="AA3" s="58"/>
      <c r="AB3" s="58">
        <v>1</v>
      </c>
      <c r="AC3" s="58" t="s">
        <v>145</v>
      </c>
      <c r="AD3" s="58"/>
      <c r="AE3" s="58"/>
      <c r="AF3" s="58"/>
      <c r="AG3" s="58">
        <v>2</v>
      </c>
      <c r="AH3" s="58" t="s">
        <v>160</v>
      </c>
      <c r="AI3" s="58"/>
      <c r="AJ3" s="58"/>
      <c r="AK3" s="58"/>
      <c r="AL3" s="58"/>
      <c r="AM3" s="58"/>
      <c r="AN3" s="58"/>
    </row>
    <row r="4" spans="1:40" x14ac:dyDescent="0.25">
      <c r="P4" s="17" t="s">
        <v>53</v>
      </c>
      <c r="Q4" s="2"/>
      <c r="R4" s="2"/>
      <c r="X4" s="58"/>
      <c r="Y4" s="58" t="s">
        <v>144</v>
      </c>
      <c r="Z4" s="58"/>
      <c r="AA4" s="58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  <c r="AL4" s="58"/>
      <c r="AM4" s="58"/>
      <c r="AN4" s="58"/>
    </row>
    <row r="5" spans="1:40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50</v>
      </c>
      <c r="R5" s="5" t="s">
        <v>44</v>
      </c>
      <c r="X5" s="58"/>
      <c r="Y5" s="58"/>
      <c r="Z5" s="58"/>
      <c r="AA5" s="58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  <c r="AL5" s="58"/>
      <c r="AM5" s="58"/>
      <c r="AN5" s="58"/>
    </row>
    <row r="6" spans="1:40" ht="18" x14ac:dyDescent="0.35">
      <c r="B6" s="7" t="s">
        <v>32</v>
      </c>
      <c r="C6" s="9">
        <v>50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50</v>
      </c>
      <c r="R6" s="5" t="s">
        <v>44</v>
      </c>
      <c r="X6" s="58"/>
      <c r="Y6" s="58"/>
      <c r="Z6" s="58"/>
      <c r="AA6" s="58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</row>
    <row r="7" spans="1:40" ht="18" x14ac:dyDescent="0.3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150</v>
      </c>
      <c r="R7" s="5" t="s">
        <v>44</v>
      </c>
      <c r="X7" s="58"/>
      <c r="Y7" s="58"/>
      <c r="Z7" s="58"/>
      <c r="AA7" s="58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</row>
    <row r="8" spans="1:40" ht="18" x14ac:dyDescent="0.35">
      <c r="B8" s="7" t="s">
        <v>34</v>
      </c>
      <c r="C8" s="12" t="s">
        <v>63</v>
      </c>
      <c r="D8" s="5" t="s">
        <v>35</v>
      </c>
      <c r="P8" s="57" t="s">
        <v>197</v>
      </c>
      <c r="Q8" s="9">
        <v>200</v>
      </c>
      <c r="R8" s="5" t="s">
        <v>44</v>
      </c>
      <c r="X8" s="58"/>
      <c r="Y8" s="58"/>
      <c r="Z8" s="58"/>
      <c r="AA8" s="58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</row>
    <row r="9" spans="1:40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</row>
    <row r="10" spans="1:40" ht="18" x14ac:dyDescent="0.35">
      <c r="B10" s="7" t="s">
        <v>18</v>
      </c>
      <c r="C10" s="13">
        <v>125</v>
      </c>
      <c r="D10" s="5" t="s">
        <v>36</v>
      </c>
      <c r="P10" s="57" t="s">
        <v>45</v>
      </c>
      <c r="Q10" s="25">
        <v>0</v>
      </c>
      <c r="R10" s="5" t="s">
        <v>44</v>
      </c>
      <c r="S10" s="57" t="s">
        <v>55</v>
      </c>
      <c r="T10" s="25">
        <v>30</v>
      </c>
      <c r="U10" s="5" t="s">
        <v>25</v>
      </c>
      <c r="X10" s="58"/>
      <c r="Y10" s="58"/>
      <c r="Z10" s="58"/>
      <c r="AA10" s="58"/>
      <c r="AB10" s="58"/>
      <c r="AC10" s="58"/>
      <c r="AD10" s="58"/>
      <c r="AE10" s="58"/>
      <c r="AF10" s="58" t="str">
        <f>[1]!s(0.2563)</f>
        <v>000.2563</v>
      </c>
      <c r="AG10" s="58"/>
      <c r="AH10" s="58"/>
      <c r="AI10" s="58"/>
      <c r="AJ10" s="58"/>
      <c r="AK10" s="58"/>
      <c r="AL10" s="58"/>
      <c r="AM10" s="58"/>
      <c r="AN10" s="58"/>
    </row>
    <row r="11" spans="1:40" ht="18" x14ac:dyDescent="0.35">
      <c r="B11" s="7" t="s">
        <v>208</v>
      </c>
      <c r="C11" s="9">
        <v>40000</v>
      </c>
      <c r="P11" s="57" t="s">
        <v>46</v>
      </c>
      <c r="Q11" s="25">
        <v>13.458169788858768</v>
      </c>
      <c r="R11" s="5" t="s">
        <v>44</v>
      </c>
      <c r="S11" s="57" t="s">
        <v>56</v>
      </c>
      <c r="T11" s="25">
        <v>30</v>
      </c>
      <c r="U11" s="5" t="s">
        <v>25</v>
      </c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</row>
    <row r="12" spans="1:40" ht="18" x14ac:dyDescent="0.35">
      <c r="M12" t="s">
        <v>63</v>
      </c>
      <c r="P12" s="57" t="s">
        <v>47</v>
      </c>
      <c r="Q12" s="25">
        <v>150</v>
      </c>
      <c r="R12" s="5" t="s">
        <v>44</v>
      </c>
      <c r="S12" s="57" t="s">
        <v>57</v>
      </c>
      <c r="T12" s="25">
        <v>0</v>
      </c>
      <c r="U12" s="5" t="s">
        <v>25</v>
      </c>
    </row>
    <row r="13" spans="1:40" x14ac:dyDescent="0.25">
      <c r="D13" s="1"/>
    </row>
    <row r="14" spans="1:40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40" ht="45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 t="s">
        <v>221</v>
      </c>
      <c r="M15" t="s">
        <v>135</v>
      </c>
      <c r="N15" s="1" t="s">
        <v>199</v>
      </c>
      <c r="O15" s="1" t="s">
        <v>218</v>
      </c>
      <c r="P15" s="1" t="s">
        <v>219</v>
      </c>
      <c r="Q15" s="1" t="s">
        <v>220</v>
      </c>
      <c r="R15" s="5" t="s">
        <v>198</v>
      </c>
      <c r="S15" s="57" t="s">
        <v>209</v>
      </c>
      <c r="T15" s="1" t="s">
        <v>212</v>
      </c>
      <c r="U15" s="1" t="s">
        <v>215</v>
      </c>
      <c r="W15" s="5" t="s">
        <v>170</v>
      </c>
      <c r="X15" s="1" t="s">
        <v>171</v>
      </c>
      <c r="Y15" t="s">
        <v>198</v>
      </c>
      <c r="Z15" t="s">
        <v>210</v>
      </c>
    </row>
    <row r="16" spans="1:40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13.458169788858768</v>
      </c>
      <c r="P16">
        <v>0</v>
      </c>
      <c r="Q16">
        <v>30</v>
      </c>
      <c r="R16">
        <v>0</v>
      </c>
      <c r="S16">
        <v>20.000000000000004</v>
      </c>
      <c r="T16">
        <v>0</v>
      </c>
      <c r="U16">
        <v>0.27402077835847771</v>
      </c>
      <c r="W16">
        <v>0</v>
      </c>
      <c r="X16" s="50">
        <f>Pline_out_atma_</f>
        <v>0</v>
      </c>
      <c r="Y16">
        <v>0</v>
      </c>
      <c r="Z16">
        <v>200</v>
      </c>
    </row>
    <row r="17" spans="2:26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30.614035087719298</v>
      </c>
      <c r="N17">
        <v>184.21052631578948</v>
      </c>
      <c r="O17">
        <v>19.148832538182504</v>
      </c>
      <c r="P17">
        <v>184.21052631578948</v>
      </c>
      <c r="Q17">
        <v>30.614035087719298</v>
      </c>
      <c r="R17">
        <v>122.22222222222223</v>
      </c>
      <c r="S17">
        <v>23.666666666666671</v>
      </c>
      <c r="T17">
        <v>175</v>
      </c>
      <c r="U17">
        <v>0.33088907362207037</v>
      </c>
      <c r="W17">
        <v>0</v>
      </c>
      <c r="X17" s="50">
        <f>Pbuf_out_atma_</f>
        <v>13.458169788858768</v>
      </c>
      <c r="Y17">
        <v>122.22222222222223</v>
      </c>
      <c r="Z17">
        <v>202.49597241993845</v>
      </c>
    </row>
    <row r="18" spans="2:26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31.228070175438596</v>
      </c>
      <c r="N18">
        <v>368.42105263157896</v>
      </c>
      <c r="O18">
        <v>25.408405611081776</v>
      </c>
      <c r="P18">
        <v>368.42105263157896</v>
      </c>
      <c r="Q18">
        <v>31.228070175438596</v>
      </c>
      <c r="R18">
        <v>244.44444444444446</v>
      </c>
      <c r="S18">
        <v>27.333333333333336</v>
      </c>
      <c r="T18">
        <v>350</v>
      </c>
      <c r="U18">
        <v>0.38435296380350736</v>
      </c>
      <c r="W18">
        <v>3500</v>
      </c>
      <c r="X18" s="50">
        <f>Pwf_out_atma_</f>
        <v>150</v>
      </c>
      <c r="Y18">
        <v>244.44444444444446</v>
      </c>
      <c r="Z18">
        <v>204.88319611310359</v>
      </c>
    </row>
    <row r="19" spans="2:26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31.842105263157894</v>
      </c>
      <c r="N19">
        <v>552.63157894736844</v>
      </c>
      <c r="O19">
        <v>32.525467862274695</v>
      </c>
      <c r="P19">
        <v>552.63157894736844</v>
      </c>
      <c r="Q19">
        <v>31.842105263157894</v>
      </c>
      <c r="R19">
        <v>366.66666666666669</v>
      </c>
      <c r="S19">
        <v>31</v>
      </c>
      <c r="T19">
        <v>525</v>
      </c>
      <c r="U19">
        <v>0.42300027209895358</v>
      </c>
      <c r="Y19">
        <v>366.66666666666669</v>
      </c>
      <c r="Z19">
        <v>207.17287532766855</v>
      </c>
    </row>
    <row r="20" spans="2:26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32.456140350877192</v>
      </c>
      <c r="N20">
        <v>736.84210526315792</v>
      </c>
      <c r="O20">
        <v>40.722301966472074</v>
      </c>
      <c r="P20">
        <v>736.84210526315792</v>
      </c>
      <c r="Q20">
        <v>32.456140350877192</v>
      </c>
      <c r="R20">
        <v>488.88888888888891</v>
      </c>
      <c r="S20">
        <v>34.666666666666664</v>
      </c>
      <c r="T20">
        <v>700</v>
      </c>
      <c r="U20">
        <v>0.47532913940337307</v>
      </c>
      <c r="Y20">
        <v>488.88888888888891</v>
      </c>
      <c r="Z20">
        <v>209.37751949356351</v>
      </c>
    </row>
    <row r="21" spans="2:26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33.070175438596493</v>
      </c>
      <c r="N21">
        <v>921.0526315789474</v>
      </c>
      <c r="O21">
        <v>49.415483180231654</v>
      </c>
      <c r="P21">
        <v>921.0526315789474</v>
      </c>
      <c r="Q21">
        <v>33.070175438596493</v>
      </c>
      <c r="R21">
        <v>500</v>
      </c>
      <c r="S21">
        <v>35</v>
      </c>
      <c r="T21">
        <v>875</v>
      </c>
      <c r="U21">
        <v>0.52365745171468214</v>
      </c>
      <c r="Y21">
        <v>500</v>
      </c>
      <c r="Z21">
        <v>209.57624632011914</v>
      </c>
    </row>
    <row r="22" spans="2:26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33.67</v>
      </c>
      <c r="N22">
        <v>1105.2631578947369</v>
      </c>
      <c r="O22">
        <v>58.491002166592921</v>
      </c>
      <c r="P22">
        <v>1105.2631578947369</v>
      </c>
      <c r="Q22">
        <v>33.67</v>
      </c>
      <c r="R22">
        <v>611.11111111111109</v>
      </c>
      <c r="S22">
        <v>38.333333333333336</v>
      </c>
      <c r="T22">
        <v>1050</v>
      </c>
      <c r="U22">
        <v>0.58438802577844506</v>
      </c>
      <c r="Y22">
        <v>611.11111111111109</v>
      </c>
      <c r="Z22">
        <v>211.50464371719048</v>
      </c>
    </row>
    <row r="23" spans="2:26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34.247368421052634</v>
      </c>
      <c r="N23">
        <v>1289.4736842105262</v>
      </c>
      <c r="O23">
        <v>67.705223454997807</v>
      </c>
      <c r="P23">
        <v>1289.4736842105262</v>
      </c>
      <c r="Q23">
        <v>34.247368421052634</v>
      </c>
      <c r="R23">
        <v>733.33333333333337</v>
      </c>
      <c r="S23">
        <v>42</v>
      </c>
      <c r="T23">
        <v>1225</v>
      </c>
      <c r="U23">
        <v>0.624768518331005</v>
      </c>
      <c r="Y23">
        <v>733.33333333333337</v>
      </c>
      <c r="Z23">
        <v>213.56711102381416</v>
      </c>
    </row>
    <row r="24" spans="2:26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34.801929824561405</v>
      </c>
      <c r="N24">
        <v>1473.6842105263158</v>
      </c>
      <c r="O24">
        <v>76.905629601277809</v>
      </c>
      <c r="P24">
        <v>1473.6842105263158</v>
      </c>
      <c r="Q24">
        <v>34.801929824561405</v>
      </c>
      <c r="R24">
        <v>855.55555555555566</v>
      </c>
      <c r="S24">
        <v>45.666666666666671</v>
      </c>
      <c r="T24">
        <v>1400</v>
      </c>
      <c r="U24">
        <v>0.65881383522696801</v>
      </c>
      <c r="Y24">
        <v>855.55555555555566</v>
      </c>
      <c r="Z24">
        <v>215.57915487286351</v>
      </c>
    </row>
    <row r="25" spans="2:26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40.511578947368434</v>
      </c>
      <c r="N25">
        <v>1657.8947368421054</v>
      </c>
      <c r="O25">
        <v>85.962982104486088</v>
      </c>
      <c r="P25">
        <v>1657.8947368421054</v>
      </c>
      <c r="Q25">
        <v>40.511578947368434</v>
      </c>
      <c r="R25">
        <v>977.77777777777783</v>
      </c>
      <c r="S25">
        <v>49.333333333333336</v>
      </c>
      <c r="T25">
        <v>1575</v>
      </c>
      <c r="U25">
        <v>0.68461936344221441</v>
      </c>
      <c r="Y25">
        <v>977.77777777777783</v>
      </c>
      <c r="Z25">
        <v>217.54798897835713</v>
      </c>
    </row>
    <row r="26" spans="2:26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48.920789473684216</v>
      </c>
      <c r="N26">
        <v>1842.1052631578948</v>
      </c>
      <c r="O26">
        <v>94.724267007699339</v>
      </c>
      <c r="P26">
        <v>1842.1052631578948</v>
      </c>
      <c r="Q26">
        <v>48.920789473684216</v>
      </c>
      <c r="R26">
        <v>1100</v>
      </c>
      <c r="S26">
        <v>52.88</v>
      </c>
      <c r="T26">
        <v>1750</v>
      </c>
      <c r="U26">
        <v>0.70009916886494283</v>
      </c>
      <c r="Y26">
        <v>1100</v>
      </c>
      <c r="Z26">
        <v>219.48004907049904</v>
      </c>
    </row>
    <row r="27" spans="2:26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56.959473684210522</v>
      </c>
      <c r="N27">
        <v>2026.3157894736842</v>
      </c>
      <c r="O27">
        <v>103.26788984890507</v>
      </c>
      <c r="P27">
        <v>2026.3157894736842</v>
      </c>
      <c r="Q27">
        <v>56.959473684210522</v>
      </c>
      <c r="R27">
        <v>1222.2222222222222</v>
      </c>
      <c r="S27">
        <v>56.35</v>
      </c>
      <c r="T27">
        <v>1925</v>
      </c>
      <c r="U27">
        <v>0.72162446918699519</v>
      </c>
      <c r="Y27">
        <v>1222.2222222222222</v>
      </c>
      <c r="Z27">
        <v>221.37682637303485</v>
      </c>
    </row>
    <row r="28" spans="2:26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64.627631578947373</v>
      </c>
      <c r="N28">
        <v>2210.5263157894738</v>
      </c>
      <c r="O28">
        <v>111.97378439559253</v>
      </c>
      <c r="P28">
        <v>2210.5263157894738</v>
      </c>
      <c r="Q28">
        <v>64.627631578947373</v>
      </c>
      <c r="R28">
        <v>1344.4444444444446</v>
      </c>
      <c r="S28">
        <v>59.733333333333341</v>
      </c>
      <c r="T28">
        <v>2100</v>
      </c>
      <c r="U28">
        <v>0.82799674042699056</v>
      </c>
      <c r="Y28">
        <v>1344.4444444444446</v>
      </c>
      <c r="Z28">
        <v>223.24740723231372</v>
      </c>
    </row>
    <row r="29" spans="2:26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71.91947368421053</v>
      </c>
      <c r="N29">
        <v>2394.7368421052633</v>
      </c>
      <c r="O29">
        <v>120.40233717304496</v>
      </c>
      <c r="P29">
        <v>2394.7368421052633</v>
      </c>
      <c r="Q29">
        <v>71.91947368421053</v>
      </c>
      <c r="R29">
        <v>1466.6666666666667</v>
      </c>
      <c r="S29">
        <v>63.03</v>
      </c>
      <c r="T29">
        <v>2275</v>
      </c>
      <c r="U29">
        <v>0.84446026867054969</v>
      </c>
      <c r="Y29">
        <v>1466.6666666666667</v>
      </c>
      <c r="Z29">
        <v>225.09486371131879</v>
      </c>
    </row>
    <row r="30" spans="2:26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75.92</v>
      </c>
      <c r="N30">
        <v>2500</v>
      </c>
      <c r="O30">
        <v>125.04045151426112</v>
      </c>
      <c r="P30">
        <v>2500</v>
      </c>
      <c r="Q30">
        <v>75.92</v>
      </c>
      <c r="R30">
        <v>1500</v>
      </c>
      <c r="S30">
        <v>63.92</v>
      </c>
      <c r="T30">
        <v>2450</v>
      </c>
      <c r="U30">
        <v>0.85837315382866064</v>
      </c>
      <c r="Y30">
        <v>1500</v>
      </c>
      <c r="Z30">
        <v>225.59642225294877</v>
      </c>
    </row>
    <row r="31" spans="2:26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91.37789473684208</v>
      </c>
      <c r="N31">
        <v>2578.9473684210525</v>
      </c>
      <c r="O31">
        <v>128.35701873264719</v>
      </c>
      <c r="P31">
        <v>2578.9473684210525</v>
      </c>
      <c r="Q31">
        <v>91.37789473684208</v>
      </c>
      <c r="R31">
        <v>1588.8888888888889</v>
      </c>
      <c r="S31">
        <v>66.240000000000009</v>
      </c>
      <c r="T31">
        <v>2625</v>
      </c>
      <c r="U31">
        <v>0.95569956760357999</v>
      </c>
      <c r="Y31">
        <v>1588.8888888888889</v>
      </c>
      <c r="Z31">
        <v>226.92164832195087</v>
      </c>
    </row>
    <row r="32" spans="2:26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104.47368421052632</v>
      </c>
      <c r="N32">
        <v>2763.1578947368421</v>
      </c>
      <c r="O32">
        <v>135.27943150380676</v>
      </c>
      <c r="P32">
        <v>2763.1578947368421</v>
      </c>
      <c r="Q32">
        <v>104.47368421052632</v>
      </c>
      <c r="R32">
        <v>1711.1111111111113</v>
      </c>
      <c r="S32">
        <v>69.356666666666669</v>
      </c>
      <c r="T32">
        <v>2800</v>
      </c>
      <c r="U32">
        <v>0.95451755731100252</v>
      </c>
      <c r="Y32">
        <v>1711.1111111111113</v>
      </c>
      <c r="Z32">
        <v>228.72844497405364</v>
      </c>
    </row>
    <row r="33" spans="2:26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114.60526315789474</v>
      </c>
      <c r="N33">
        <v>2947.3684210526317</v>
      </c>
      <c r="O33">
        <v>140.94198125185036</v>
      </c>
      <c r="P33">
        <v>2947.3684210526317</v>
      </c>
      <c r="Q33">
        <v>114.60526315789474</v>
      </c>
      <c r="R33">
        <v>1833.3333333333335</v>
      </c>
      <c r="S33">
        <v>72.38000000000001</v>
      </c>
      <c r="T33">
        <v>2975</v>
      </c>
      <c r="U33">
        <v>0.95215997564356447</v>
      </c>
      <c r="Y33">
        <v>1833.3333333333335</v>
      </c>
      <c r="Z33">
        <v>230.51716195194143</v>
      </c>
    </row>
    <row r="34" spans="2:26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124.73684210526316</v>
      </c>
      <c r="N34">
        <v>3131.5789473684213</v>
      </c>
      <c r="O34">
        <v>145.29847729206583</v>
      </c>
      <c r="P34">
        <v>3131.5789473684213</v>
      </c>
      <c r="Q34">
        <v>124.73684210526316</v>
      </c>
      <c r="R34">
        <v>1955.5555555555557</v>
      </c>
      <c r="S34">
        <v>75.316666666666677</v>
      </c>
      <c r="T34">
        <v>3150</v>
      </c>
      <c r="U34">
        <v>0.94841762246257422</v>
      </c>
      <c r="Y34">
        <v>1955.5555555555557</v>
      </c>
      <c r="Z34">
        <v>232.2905066554913</v>
      </c>
    </row>
    <row r="35" spans="2:26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134.86842105263159</v>
      </c>
      <c r="N35">
        <v>3315.7894736842109</v>
      </c>
      <c r="O35">
        <v>148.32061239217032</v>
      </c>
      <c r="P35">
        <v>3315.7894736842109</v>
      </c>
      <c r="Q35">
        <v>134.86842105263159</v>
      </c>
      <c r="R35">
        <v>2077.7777777777778</v>
      </c>
      <c r="S35">
        <v>78.166666666666671</v>
      </c>
      <c r="T35">
        <v>3325</v>
      </c>
      <c r="U35">
        <v>0.94309612268276288</v>
      </c>
      <c r="Y35">
        <v>2077.7777777777778</v>
      </c>
      <c r="Z35">
        <v>234.04959668623326</v>
      </c>
    </row>
    <row r="36" spans="2:26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145</v>
      </c>
      <c r="N36">
        <v>3500</v>
      </c>
      <c r="O36">
        <v>150</v>
      </c>
      <c r="P36">
        <v>3500</v>
      </c>
      <c r="Q36">
        <v>145</v>
      </c>
      <c r="R36">
        <v>2200</v>
      </c>
      <c r="S36">
        <v>80.930000000000007</v>
      </c>
      <c r="T36">
        <v>3500</v>
      </c>
      <c r="U36">
        <v>0.93613399960284438</v>
      </c>
      <c r="Y36">
        <v>2200</v>
      </c>
      <c r="Z36">
        <v>235.79540974647344</v>
      </c>
    </row>
    <row r="37" spans="2:26" x14ac:dyDescent="0.25">
      <c r="B37" s="2"/>
      <c r="C37" s="18">
        <v>2500</v>
      </c>
      <c r="D37" s="18">
        <v>176.72349338287597</v>
      </c>
      <c r="E37" s="18">
        <v>53</v>
      </c>
    </row>
    <row r="38" spans="2:26" x14ac:dyDescent="0.25">
      <c r="B38" s="2"/>
      <c r="C38" s="18">
        <v>2625</v>
      </c>
      <c r="D38" s="18">
        <v>186.511102757185</v>
      </c>
      <c r="E38" s="18">
        <v>54</v>
      </c>
    </row>
    <row r="39" spans="2:26" x14ac:dyDescent="0.25">
      <c r="B39" s="2"/>
      <c r="C39" s="18">
        <v>2750</v>
      </c>
      <c r="D39" s="18">
        <v>196.298712131494</v>
      </c>
      <c r="E39" s="18">
        <v>55</v>
      </c>
    </row>
    <row r="40" spans="2:26" x14ac:dyDescent="0.25">
      <c r="B40" s="2"/>
      <c r="C40" s="18">
        <v>2875</v>
      </c>
      <c r="D40" s="18">
        <v>206.08632150580399</v>
      </c>
      <c r="E40" s="18">
        <v>56</v>
      </c>
    </row>
    <row r="41" spans="2:26" x14ac:dyDescent="0.25">
      <c r="B41" s="2"/>
      <c r="C41" s="18">
        <v>3000</v>
      </c>
      <c r="D41" s="18">
        <v>215.87393088011299</v>
      </c>
      <c r="E41" s="18">
        <v>57</v>
      </c>
    </row>
    <row r="42" spans="2:26" x14ac:dyDescent="0.25">
      <c r="B42" s="2"/>
      <c r="C42" s="18">
        <v>3125</v>
      </c>
      <c r="D42" s="18">
        <v>225.66154025442199</v>
      </c>
      <c r="E42" s="18">
        <v>58</v>
      </c>
    </row>
    <row r="43" spans="2:26" x14ac:dyDescent="0.25">
      <c r="B43" s="2"/>
      <c r="C43" s="18">
        <v>3250</v>
      </c>
      <c r="D43" s="18">
        <v>235.44914962873099</v>
      </c>
      <c r="E43" s="18">
        <v>59</v>
      </c>
    </row>
    <row r="44" spans="2:26" x14ac:dyDescent="0.2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calcGL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Button_calcGL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53C9B-8584-4FEA-A8E9-801E8F286F41}">
  <sheetPr codeName="Worksheet_calc_SF"/>
  <dimension ref="A1:AH44"/>
  <sheetViews>
    <sheetView zoomScaleNormal="100" workbookViewId="0">
      <selection activeCell="S6" sqref="S6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7.22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3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4</v>
      </c>
      <c r="AC3" t="s">
        <v>145</v>
      </c>
      <c r="AG3">
        <v>3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10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100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25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240</v>
      </c>
      <c r="R7" s="5" t="s">
        <v>44</v>
      </c>
      <c r="AC7" t="s">
        <v>149</v>
      </c>
    </row>
    <row r="8" spans="1:34" ht="18" x14ac:dyDescent="0.25">
      <c r="B8" s="7" t="s">
        <v>34</v>
      </c>
      <c r="C8" s="12" t="s">
        <v>63</v>
      </c>
      <c r="D8" s="5" t="s">
        <v>35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v>116.27906976744187</v>
      </c>
      <c r="D10" s="5" t="s">
        <v>36</v>
      </c>
      <c r="P10" s="57" t="s">
        <v>45</v>
      </c>
      <c r="Q10" s="25">
        <v>15.438593751537883</v>
      </c>
      <c r="R10" s="5" t="s">
        <v>44</v>
      </c>
      <c r="S10" s="57" t="s">
        <v>55</v>
      </c>
      <c r="T10" s="25">
        <v>33.339701875850523</v>
      </c>
      <c r="U10" s="5" t="s">
        <v>25</v>
      </c>
    </row>
    <row r="11" spans="1:34" ht="18" x14ac:dyDescent="0.35">
      <c r="P11" s="57" t="s">
        <v>46</v>
      </c>
      <c r="Q11" s="25">
        <v>21.987649515403049</v>
      </c>
      <c r="R11" s="5" t="s">
        <v>44</v>
      </c>
      <c r="S11" s="57" t="s">
        <v>56</v>
      </c>
      <c r="T11" s="25">
        <v>33.339701875850523</v>
      </c>
      <c r="U11" s="5" t="s">
        <v>25</v>
      </c>
    </row>
    <row r="12" spans="1:34" ht="18" x14ac:dyDescent="0.35">
      <c r="M12" t="s">
        <v>63</v>
      </c>
      <c r="P12" s="57" t="s">
        <v>47</v>
      </c>
      <c r="Q12" s="25">
        <v>145.64962728049514</v>
      </c>
      <c r="R12" s="5" t="s">
        <v>44</v>
      </c>
      <c r="S12" s="57" t="s">
        <v>57</v>
      </c>
      <c r="T12" s="25">
        <v>145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 t="s">
        <v>212</v>
      </c>
      <c r="M15" t="s">
        <v>216</v>
      </c>
      <c r="N15" s="1" t="s">
        <v>212</v>
      </c>
      <c r="O15" s="1" t="s">
        <v>213</v>
      </c>
      <c r="P15" s="1" t="s">
        <v>212</v>
      </c>
      <c r="Q15" s="1" t="s">
        <v>214</v>
      </c>
      <c r="R15" s="1" t="s">
        <v>212</v>
      </c>
      <c r="S15" s="1" t="s">
        <v>215</v>
      </c>
      <c r="U15" s="5" t="s">
        <v>170</v>
      </c>
      <c r="V15" s="1" t="s">
        <v>171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21.987649515403049</v>
      </c>
      <c r="P16">
        <v>0</v>
      </c>
      <c r="Q16">
        <v>33.339701875850523</v>
      </c>
      <c r="R16">
        <v>0</v>
      </c>
      <c r="S16">
        <v>0.22538426096211955</v>
      </c>
      <c r="U16">
        <v>0</v>
      </c>
      <c r="V16" s="50">
        <f>Pline_out_atma_</f>
        <v>15.438593751537883</v>
      </c>
    </row>
    <row r="17" spans="2:22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30.614035087719298</v>
      </c>
      <c r="N17">
        <v>184.21052631578948</v>
      </c>
      <c r="O17">
        <v>26.440642301773774</v>
      </c>
      <c r="P17">
        <v>184.21052631578948</v>
      </c>
      <c r="Q17">
        <v>34.186293247294365</v>
      </c>
      <c r="R17">
        <v>175</v>
      </c>
      <c r="S17">
        <v>0.26083171457264004</v>
      </c>
      <c r="U17">
        <v>0</v>
      </c>
      <c r="V17" s="50">
        <f>Pbuf_out_atma_</f>
        <v>21.987649515403049</v>
      </c>
    </row>
    <row r="18" spans="2:22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31.228070175438596</v>
      </c>
      <c r="N18">
        <v>368.42105263157896</v>
      </c>
      <c r="O18">
        <v>31.540091216846299</v>
      </c>
      <c r="P18">
        <v>368.42105263157896</v>
      </c>
      <c r="Q18">
        <v>35.178329088867571</v>
      </c>
      <c r="R18">
        <v>350</v>
      </c>
      <c r="S18">
        <v>0.29959479003994638</v>
      </c>
      <c r="U18">
        <v>3500</v>
      </c>
      <c r="V18" s="50">
        <f>Pwf_out_atma_</f>
        <v>145.64962728049514</v>
      </c>
    </row>
    <row r="19" spans="2:22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31.842105263157894</v>
      </c>
      <c r="N19">
        <v>552.63157894736844</v>
      </c>
      <c r="O19">
        <v>37.345478991883517</v>
      </c>
      <c r="P19">
        <v>552.63157894736844</v>
      </c>
      <c r="Q19">
        <v>36.397499000009198</v>
      </c>
      <c r="R19">
        <v>525</v>
      </c>
      <c r="S19">
        <v>0.33427309209906059</v>
      </c>
    </row>
    <row r="20" spans="2:22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32.456140350877192</v>
      </c>
      <c r="N20">
        <v>736.84210526315792</v>
      </c>
      <c r="O20">
        <v>43.902496153317266</v>
      </c>
      <c r="P20">
        <v>736.84210526315792</v>
      </c>
      <c r="Q20">
        <v>37.969192312962093</v>
      </c>
      <c r="R20">
        <v>700</v>
      </c>
      <c r="S20">
        <v>0.37967595385638059</v>
      </c>
    </row>
    <row r="21" spans="2:22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33.070175438596493</v>
      </c>
      <c r="N21">
        <v>921.0526315789474</v>
      </c>
      <c r="O21">
        <v>51.220048747630024</v>
      </c>
      <c r="P21">
        <v>921.0526315789474</v>
      </c>
      <c r="Q21">
        <v>40.085141007802591</v>
      </c>
      <c r="R21">
        <v>875</v>
      </c>
      <c r="S21">
        <v>0.42764880297405639</v>
      </c>
    </row>
    <row r="22" spans="2:22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33.67</v>
      </c>
      <c r="N22">
        <v>1105.2631578947369</v>
      </c>
      <c r="O22">
        <v>59.065282730710713</v>
      </c>
      <c r="P22">
        <v>1105.2631578947369</v>
      </c>
      <c r="Q22">
        <v>43.05423465347161</v>
      </c>
      <c r="R22">
        <v>1050</v>
      </c>
      <c r="S22">
        <v>0.47578481954187607</v>
      </c>
    </row>
    <row r="23" spans="2:22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34.247368421052634</v>
      </c>
      <c r="N23">
        <v>1289.4736842105262</v>
      </c>
      <c r="O23">
        <v>67.296563222059831</v>
      </c>
      <c r="P23">
        <v>1289.4736842105262</v>
      </c>
      <c r="Q23">
        <v>47.391452113342659</v>
      </c>
      <c r="R23">
        <v>1225</v>
      </c>
      <c r="S23">
        <v>0.52151615611665125</v>
      </c>
    </row>
    <row r="24" spans="2:22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34.801929824561405</v>
      </c>
      <c r="N24">
        <v>1473.6842105263158</v>
      </c>
      <c r="O24">
        <v>75.754513742081883</v>
      </c>
      <c r="P24">
        <v>1473.6842105263158</v>
      </c>
      <c r="Q24">
        <v>53.798778656199708</v>
      </c>
      <c r="R24">
        <v>1400</v>
      </c>
      <c r="S24">
        <v>0.56311447125225356</v>
      </c>
    </row>
    <row r="25" spans="2:22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40.511578947368434</v>
      </c>
      <c r="N25">
        <v>1657.8947368421054</v>
      </c>
      <c r="O25">
        <v>84.26956368732138</v>
      </c>
      <c r="P25">
        <v>1657.8947368421054</v>
      </c>
      <c r="Q25">
        <v>62.322906576064597</v>
      </c>
      <c r="R25">
        <v>1575</v>
      </c>
      <c r="S25">
        <v>0.59777411111411838</v>
      </c>
    </row>
    <row r="26" spans="2:22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48.920789473684216</v>
      </c>
      <c r="N26">
        <v>1842.1052631578948</v>
      </c>
      <c r="O26">
        <v>92.717241724902507</v>
      </c>
      <c r="P26">
        <v>1842.1052631578948</v>
      </c>
      <c r="Q26">
        <v>71.177444651684368</v>
      </c>
      <c r="R26">
        <v>1750</v>
      </c>
      <c r="S26">
        <v>0.62739728451016041</v>
      </c>
    </row>
    <row r="27" spans="2:22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56.959473684210522</v>
      </c>
      <c r="N27">
        <v>2026.3157894736842</v>
      </c>
      <c r="O27">
        <v>101.01283444477403</v>
      </c>
      <c r="P27">
        <v>2026.3157894736842</v>
      </c>
      <c r="Q27">
        <v>80.226730899136882</v>
      </c>
      <c r="R27">
        <v>1925</v>
      </c>
      <c r="S27">
        <v>0.65320582478679567</v>
      </c>
    </row>
    <row r="28" spans="2:22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64.627631578947373</v>
      </c>
      <c r="N28">
        <v>2210.5263157894738</v>
      </c>
      <c r="O28">
        <v>109.08189035206688</v>
      </c>
      <c r="P28">
        <v>2210.5263157894738</v>
      </c>
      <c r="Q28">
        <v>89.72582075959366</v>
      </c>
      <c r="R28">
        <v>2100</v>
      </c>
      <c r="S28">
        <v>0.67513495921662281</v>
      </c>
    </row>
    <row r="29" spans="2:22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71.91947368421053</v>
      </c>
      <c r="N29">
        <v>2394.7368421052633</v>
      </c>
      <c r="O29">
        <v>116.85131176165068</v>
      </c>
      <c r="P29">
        <v>2394.7368421052633</v>
      </c>
      <c r="Q29">
        <v>100.05050172121049</v>
      </c>
      <c r="R29">
        <v>2275</v>
      </c>
      <c r="S29">
        <v>0.69267029162943072</v>
      </c>
    </row>
    <row r="30" spans="2:22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90</v>
      </c>
      <c r="N30">
        <v>2500</v>
      </c>
      <c r="O30">
        <v>121.1339272212778</v>
      </c>
      <c r="P30">
        <v>2500</v>
      </c>
      <c r="Q30">
        <v>106.50469883238644</v>
      </c>
      <c r="R30">
        <v>2450</v>
      </c>
      <c r="S30">
        <v>0.71660161436436964</v>
      </c>
    </row>
    <row r="31" spans="2:22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94.34210526315789</v>
      </c>
      <c r="N31">
        <v>2578.9473684210525</v>
      </c>
      <c r="O31">
        <v>124.23333481535195</v>
      </c>
      <c r="P31">
        <v>2578.9473684210525</v>
      </c>
      <c r="Q31">
        <v>109.00290370237107</v>
      </c>
      <c r="R31">
        <v>2625</v>
      </c>
      <c r="S31">
        <v>0.7415199692353176</v>
      </c>
    </row>
    <row r="32" spans="2:22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104.47368421052632</v>
      </c>
      <c r="N32">
        <v>2763.1578947368421</v>
      </c>
      <c r="O32">
        <v>130.81120084583821</v>
      </c>
      <c r="P32">
        <v>2763.1578947368421</v>
      </c>
      <c r="Q32">
        <v>113.50679010412013</v>
      </c>
      <c r="R32">
        <v>2800</v>
      </c>
      <c r="S32">
        <v>0.7558902366967658</v>
      </c>
    </row>
    <row r="33" spans="2:19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114.60526315789474</v>
      </c>
      <c r="N33">
        <v>2947.3684210526317</v>
      </c>
      <c r="O33">
        <v>136.33033185538108</v>
      </c>
      <c r="P33">
        <v>2947.3684210526317</v>
      </c>
      <c r="Q33">
        <v>115.39179642297951</v>
      </c>
      <c r="R33">
        <v>2975</v>
      </c>
      <c r="S33">
        <v>0.7700143491150816</v>
      </c>
    </row>
    <row r="34" spans="2:19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124.73684210526316</v>
      </c>
      <c r="N34">
        <v>3131.5789473684213</v>
      </c>
      <c r="O34">
        <v>140.69623490937258</v>
      </c>
      <c r="P34">
        <v>3131.5789473684213</v>
      </c>
      <c r="Q34">
        <v>113.47926729936468</v>
      </c>
      <c r="R34">
        <v>3150</v>
      </c>
      <c r="S34">
        <v>0.78584487900404576</v>
      </c>
    </row>
    <row r="35" spans="2:19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134.86842105263159</v>
      </c>
      <c r="N35">
        <v>3315.7894736842109</v>
      </c>
      <c r="O35">
        <v>143.82923065517735</v>
      </c>
      <c r="P35">
        <v>3315.7894736842109</v>
      </c>
      <c r="Q35">
        <v>105.97150463072792</v>
      </c>
      <c r="R35">
        <v>3325</v>
      </c>
      <c r="S35">
        <v>0.80619174171499908</v>
      </c>
    </row>
    <row r="36" spans="2:19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145</v>
      </c>
      <c r="N36">
        <v>3500</v>
      </c>
      <c r="O36">
        <v>145.64962728049514</v>
      </c>
      <c r="P36">
        <v>3500</v>
      </c>
      <c r="Q36">
        <v>90</v>
      </c>
      <c r="R36">
        <v>3500</v>
      </c>
      <c r="S36">
        <v>0.83570937491668029</v>
      </c>
    </row>
    <row r="37" spans="2:19" x14ac:dyDescent="0.25">
      <c r="B37" s="2"/>
      <c r="C37" s="18">
        <v>2500</v>
      </c>
      <c r="D37" s="18">
        <v>176.72349338287597</v>
      </c>
      <c r="E37" s="18">
        <v>53</v>
      </c>
    </row>
    <row r="38" spans="2:19" x14ac:dyDescent="0.25">
      <c r="C38" s="18">
        <v>2625</v>
      </c>
      <c r="D38" s="18">
        <v>186.511102757185</v>
      </c>
      <c r="E38" s="18">
        <v>54</v>
      </c>
    </row>
    <row r="39" spans="2:19" x14ac:dyDescent="0.25">
      <c r="C39" s="18">
        <v>2750</v>
      </c>
      <c r="D39" s="18">
        <v>196.298712131494</v>
      </c>
      <c r="E39" s="18">
        <v>55</v>
      </c>
    </row>
    <row r="40" spans="2:19" x14ac:dyDescent="0.25">
      <c r="C40" s="18">
        <v>2875</v>
      </c>
      <c r="D40" s="18">
        <v>206.08632150580399</v>
      </c>
      <c r="E40" s="18">
        <v>56</v>
      </c>
    </row>
    <row r="41" spans="2:19" x14ac:dyDescent="0.25">
      <c r="C41" s="18">
        <v>3000</v>
      </c>
      <c r="D41" s="18">
        <v>215.87393088011299</v>
      </c>
      <c r="E41" s="18">
        <v>57</v>
      </c>
    </row>
    <row r="42" spans="2:19" x14ac:dyDescent="0.25">
      <c r="C42" s="18">
        <v>3125</v>
      </c>
      <c r="D42" s="18">
        <v>225.66154025442199</v>
      </c>
      <c r="E42" s="18">
        <v>58</v>
      </c>
    </row>
    <row r="43" spans="2:19" x14ac:dyDescent="0.25">
      <c r="C43" s="18">
        <v>3250</v>
      </c>
      <c r="D43" s="18">
        <v>235.44914962873099</v>
      </c>
      <c r="E43" s="18">
        <v>59</v>
      </c>
    </row>
    <row r="44" spans="2:19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Button_calcSF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Button_calcSF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217</vt:i4>
      </vt:variant>
    </vt:vector>
  </HeadingPairs>
  <TitlesOfParts>
    <vt:vector size="225" baseType="lpstr">
      <vt:lpstr>Unifloc</vt:lpstr>
      <vt:lpstr>PVT</vt:lpstr>
      <vt:lpstr>Construction</vt:lpstr>
      <vt:lpstr>ESP</vt:lpstr>
      <vt:lpstr>GasLift</vt:lpstr>
      <vt:lpstr>Calc ESP</vt:lpstr>
      <vt:lpstr>Calc GasLift</vt:lpstr>
      <vt:lpstr>Calc Self Flow</vt:lpstr>
      <vt:lpstr>'Calc GasLift'!betta_fric_</vt:lpstr>
      <vt:lpstr>'Calc Self Flow'!betta_fric_</vt:lpstr>
      <vt:lpstr>betta_fric_</vt:lpstr>
      <vt:lpstr>'Calc GasLift'!betta_grav_</vt:lpstr>
      <vt:lpstr>'Calc Self Flow'!betta_grav_</vt:lpstr>
      <vt:lpstr>betta_grav_</vt:lpstr>
      <vt:lpstr>bo_list1_</vt:lpstr>
      <vt:lpstr>bo_list2_</vt:lpstr>
      <vt:lpstr>bo_list3_</vt:lpstr>
      <vt:lpstr>PVT!Bob_m3m3_</vt:lpstr>
      <vt:lpstr>'Calc ESP'!correlation_MF_fontan_</vt:lpstr>
      <vt:lpstr>'Calc GasLift'!correlation_MF_fontan_</vt:lpstr>
      <vt:lpstr>'Calc Self Flow'!correlation_MF_fontan_</vt:lpstr>
      <vt:lpstr>'Calc ESP'!correlation_PVT_fontan_</vt:lpstr>
      <vt:lpstr>'Calc GasLift'!correlation_PVT_fontan_</vt:lpstr>
      <vt:lpstr>'Calc Self Flow'!correlation_PVT_fontan_</vt:lpstr>
      <vt:lpstr>'Calc ESP'!correlation_T_fontan_</vt:lpstr>
      <vt:lpstr>'Calc GasLift'!correlation_T_fontan_</vt:lpstr>
      <vt:lpstr>'Calc Self Flow'!correlation_T_fontan_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ESP!Freq_</vt:lpstr>
      <vt:lpstr>fw_perc_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gamma_wat_</vt:lpstr>
      <vt:lpstr>gammas</vt:lpstr>
      <vt:lpstr>gasfrac_list1_</vt:lpstr>
      <vt:lpstr>gasfrac_list2_</vt:lpstr>
      <vt:lpstr>gasfrac_list3_</vt:lpstr>
      <vt:lpstr>ESP!Head_ESP_</vt:lpstr>
      <vt:lpstr>'Calc GasLift'!Hlout_</vt:lpstr>
      <vt:lpstr>'Calc Self Flow'!Hlout_</vt:lpstr>
      <vt:lpstr>Hlout_</vt:lpstr>
      <vt:lpstr>'Calc GasLift'!Hlout_hmes_m_</vt:lpstr>
      <vt:lpstr>'Calc Self Flow'!Hlout_hmes_m_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'Calc GasLift'!Hmes_mes_m_</vt:lpstr>
      <vt:lpstr>'Calc Self Flow'!Hmes_mes_m_</vt:lpstr>
      <vt:lpstr>Hmes_mes_m_</vt:lpstr>
      <vt:lpstr>'Calc GasLift'!hmes_out_</vt:lpstr>
      <vt:lpstr>'Calc Self Flow'!hmes_out_</vt:lpstr>
      <vt:lpstr>hmes_out_</vt:lpstr>
      <vt:lpstr>hmes_tamb_m_</vt:lpstr>
      <vt:lpstr>'Calc ESP'!hmes_tamb_out_m_</vt:lpstr>
      <vt:lpstr>'Calc GasLift'!hmes_tamb_out_m_</vt:lpstr>
      <vt:lpstr>'Calc Self Flow'!hmes_tamb_out_m_</vt:lpstr>
      <vt:lpstr>hmes_tamb_out_m_</vt:lpstr>
      <vt:lpstr>Hmes_valves_m_</vt:lpstr>
      <vt:lpstr>'Calc GasLift'!Hout_</vt:lpstr>
      <vt:lpstr>'Calc Self Flow'!Hout_</vt:lpstr>
      <vt:lpstr>Hout_</vt:lpstr>
      <vt:lpstr>Hperf_m_</vt:lpstr>
      <vt:lpstr>Hpump_</vt:lpstr>
      <vt:lpstr>Htub_m_</vt:lpstr>
      <vt:lpstr>hvert_incl_m_</vt:lpstr>
      <vt:lpstr>hvert_incl_out_m_</vt:lpstr>
      <vt:lpstr>'Calc ESP'!hvert_tamb_out_m_</vt:lpstr>
      <vt:lpstr>'Calc GasLift'!hvert_tamb_out_m_</vt:lpstr>
      <vt:lpstr>'Calc Self Flow'!hvert_tamb_out_m_</vt:lpstr>
      <vt:lpstr>'Calc GasLift'!HydrCorr_</vt:lpstr>
      <vt:lpstr>'Calc Self Flow'!HydrCorr_</vt:lpstr>
      <vt:lpstr>HydrCorr_</vt:lpstr>
      <vt:lpstr>'Calc GasLift'!HydrCorr_selector_</vt:lpstr>
      <vt:lpstr>'Calc Self Flow'!HydrCorr_selector_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p_charge_GLV_</vt:lpstr>
      <vt:lpstr>'Calc GasLift'!P_mes_atma_</vt:lpstr>
      <vt:lpstr>'Calc Self Flow'!P_mes_atma_</vt:lpstr>
      <vt:lpstr>P_mes_atma_</vt:lpstr>
      <vt:lpstr>PVT!Pb_atma_</vt:lpstr>
      <vt:lpstr>Pb_diff_</vt:lpstr>
      <vt:lpstr>'Calc GasLift'!Pbuf_atma_</vt:lpstr>
      <vt:lpstr>'Calc Self Flow'!Pbuf_atma_</vt:lpstr>
      <vt:lpstr>Pbuf_atma_</vt:lpstr>
      <vt:lpstr>'Calc GasLift'!Pbuf_out_atma_</vt:lpstr>
      <vt:lpstr>'Calc Self Flow'!Pbuf_out_atma_</vt:lpstr>
      <vt:lpstr>Pbuf_out_atma_</vt:lpstr>
      <vt:lpstr>'Calc GasLift'!Pcas_atma_</vt:lpstr>
      <vt:lpstr>Pcas_atma_</vt:lpstr>
      <vt:lpstr>'Calc GasLift'!Pcas_hmes_</vt:lpstr>
      <vt:lpstr>Pcas_hmes_</vt:lpstr>
      <vt:lpstr>'Calc GasLift'!Pcas_out_atma_</vt:lpstr>
      <vt:lpstr>Pcas_out_atma_</vt:lpstr>
      <vt:lpstr>'Calc GasLift'!Plin_mes_atma_</vt:lpstr>
      <vt:lpstr>'Calc Self Flow'!Plin_mes_atma_</vt:lpstr>
      <vt:lpstr>Plin_mes_atma_</vt:lpstr>
      <vt:lpstr>'Calc GasLift'!Pline_atma_</vt:lpstr>
      <vt:lpstr>'Calc Self Flow'!Pline_atma_</vt:lpstr>
      <vt:lpstr>Pline_atma_</vt:lpstr>
      <vt:lpstr>'Calc GasLift'!Pline_out_atma_</vt:lpstr>
      <vt:lpstr>'Calc Self Flow'!Pline_out_atma_</vt:lpstr>
      <vt:lpstr>GasLift!Pline_out_atma_</vt:lpstr>
      <vt:lpstr>Pline_out_atma_</vt:lpstr>
      <vt:lpstr>'Calc GasLift'!pmes_out_</vt:lpstr>
      <vt:lpstr>'Calc Self Flow'!pmes_out_</vt:lpstr>
      <vt:lpstr>pmes_out_</vt:lpstr>
      <vt:lpstr>'Calc GasLift'!Pout_</vt:lpstr>
      <vt:lpstr>'Calc Self Flow'!Pout_</vt:lpstr>
      <vt:lpstr>Pout_</vt:lpstr>
      <vt:lpstr>'Calc GasLift'!Pout_atma_</vt:lpstr>
      <vt:lpstr>'Calc Self Flow'!Pout_atma_</vt:lpstr>
      <vt:lpstr>Pout_atma_</vt:lpstr>
      <vt:lpstr>'Calc GasLift'!Pout_hmes_m_</vt:lpstr>
      <vt:lpstr>'Calc Self Flow'!Pout_hmes_m_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ESP!PumpID_</vt:lpstr>
      <vt:lpstr>PVT!PVT_correlation_</vt:lpstr>
      <vt:lpstr>'Calc GasLift'!PVT_selector_</vt:lpstr>
      <vt:lpstr>'Calc Self Flow'!PVT_selector_</vt:lpstr>
      <vt:lpstr>PVT_selector_</vt:lpstr>
      <vt:lpstr>PVTstr_</vt:lpstr>
      <vt:lpstr>'Calc GasLift'!Pwf_atma_</vt:lpstr>
      <vt:lpstr>'Calc Self Flow'!Pwf_atma_</vt:lpstr>
      <vt:lpstr>Pwf_atma_</vt:lpstr>
      <vt:lpstr>'Calc GasLift'!Pwf_out_atma_</vt:lpstr>
      <vt:lpstr>'Calc Self Flow'!Pwf_out_atma_</vt:lpstr>
      <vt:lpstr>GasLift!Pwf_out_atma_</vt:lpstr>
      <vt:lpstr>Pwf_out_atma_</vt:lpstr>
      <vt:lpstr>ESP!Q_ESP_</vt:lpstr>
      <vt:lpstr>Qg_scm3day_</vt:lpstr>
      <vt:lpstr>Ql_scm3day_</vt:lpstr>
      <vt:lpstr>Qo_sctday_</vt:lpstr>
      <vt:lpstr>rhoo_list1_</vt:lpstr>
      <vt:lpstr>rhoo_list2_</vt:lpstr>
      <vt:lpstr>rhoo_list3_</vt:lpstr>
      <vt:lpstr>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'Calc GasLift'!T_mes_C_</vt:lpstr>
      <vt:lpstr>'Calc Self Flow'!T_mes_C_</vt:lpstr>
      <vt:lpstr>T_mes_C_</vt:lpstr>
      <vt:lpstr>tamb_C_</vt:lpstr>
      <vt:lpstr>'Calc ESP'!tamb_out_C_</vt:lpstr>
      <vt:lpstr>'Calc GasLift'!tamb_out_C_</vt:lpstr>
      <vt:lpstr>'Calc Self Flow'!tamb_out_C_</vt:lpstr>
      <vt:lpstr>tamb_out_C_</vt:lpstr>
      <vt:lpstr>'Calc GasLift'!Tbh_c_</vt:lpstr>
      <vt:lpstr>'Calc Self Flow'!Tbh_c_</vt:lpstr>
      <vt:lpstr>Tbh_c_</vt:lpstr>
      <vt:lpstr>'Calc GasLift'!Tbuf_out_C_</vt:lpstr>
      <vt:lpstr>'Calc Self Flow'!Tbuf_out_C_</vt:lpstr>
      <vt:lpstr>Tbuf_out_C_</vt:lpstr>
      <vt:lpstr>'Calc GasLift'!Tlin_mes_C_</vt:lpstr>
      <vt:lpstr>'Calc Self Flow'!Tlin_mes_C_</vt:lpstr>
      <vt:lpstr>Tlin_mes_C_</vt:lpstr>
      <vt:lpstr>'Calc GasLift'!Tline_out_C_</vt:lpstr>
      <vt:lpstr>'Calc Self Flow'!Tline_out_C_</vt:lpstr>
      <vt:lpstr>Tline_out_C_</vt:lpstr>
      <vt:lpstr>'Calc GasLift'!tmes_out_</vt:lpstr>
      <vt:lpstr>'Calc Self Flow'!tmes_out_</vt:lpstr>
      <vt:lpstr>tmes_out_</vt:lpstr>
      <vt:lpstr>'Calc GasLift'!Tout_C_</vt:lpstr>
      <vt:lpstr>'Calc Self Flow'!Tout_C_</vt:lpstr>
      <vt:lpstr>Tout_C_</vt:lpstr>
      <vt:lpstr>'Calc GasLift'!Tout_hmes_m_</vt:lpstr>
      <vt:lpstr>'Calc Self Flow'!Tout_hmes_m_</vt:lpstr>
      <vt:lpstr>Tout_hmes_m_</vt:lpstr>
      <vt:lpstr>Toutcas_C_</vt:lpstr>
      <vt:lpstr>Toutcas_hmes_m_</vt:lpstr>
      <vt:lpstr>PVT!Tres_C_</vt:lpstr>
      <vt:lpstr>PVT!Tsc_C_</vt:lpstr>
      <vt:lpstr>PVT!Tsep_C_</vt:lpstr>
      <vt:lpstr>'Calc GasLift'!Twf_out_C_</vt:lpstr>
      <vt:lpstr>'Calc Self Flow'!Twf_out_C_</vt:lpstr>
      <vt:lpstr>Twf_out_C_</vt:lpstr>
      <vt:lpstr>'Calc GasLift'!Twh_C_</vt:lpstr>
      <vt:lpstr>Twh_C_</vt:lpstr>
      <vt:lpstr>U_V_</vt:lpstr>
      <vt:lpstr>udl_out_m_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2020-05-03T22:50:29Z</dcterms:modified>
</cp:coreProperties>
</file>