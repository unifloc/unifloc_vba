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10F55422-088E-4AB0-BE19-8B03675BB7DC}" xr6:coauthVersionLast="43" xr6:coauthVersionMax="43" xr10:uidLastSave="{00000000-0000-0000-0000-000000000000}"/>
  <bookViews>
    <workbookView xWindow="-110" yWindow="-110" windowWidth="25820" windowHeight="14160" tabRatio="529" activeTab="6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correlation_MF_fontan_" localSheetId="5">'Calc ESP'!$J$2</definedName>
    <definedName name="correlation_MF_fontan_" localSheetId="6">'Calc GasLift'!$J$2</definedName>
    <definedName name="correlation_MF_fontan_" localSheetId="7">'Calc Self Flow'!$J$2</definedName>
    <definedName name="correlation_PVT_fontan_" localSheetId="5">'Calc ESP'!$E$2</definedName>
    <definedName name="correlation_PVT_fontan_" localSheetId="6">'Calc GasLift'!$E$2</definedName>
    <definedName name="correlation_PVT_fontan_" localSheetId="7">'Calc Self Flow'!$E$2</definedName>
    <definedName name="correlation_T_fontan_" localSheetId="5">'Calc ESP'!$O$2</definedName>
    <definedName name="correlation_T_fontan_" localSheetId="6">'Calc GasLift'!$O$2</definedName>
    <definedName name="correlation_T_fontan_" localSheetId="7">'Calc Self Flow'!$O$2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dp_choke_atm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_mix_cP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p_choke_atma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_mix_rc_m3day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liq_choke_sm3day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p_gas_fraction_m3m3">
          <x14:argumentDescriptions count="5">
            <x14:argumentDescription index="0">Доля свободного газа в потоке, безразмерная величина</x14:argumentDescription>
            <x14:argumentDescription index="1">Давление расчета, атма</x14:argumentDescription>
            <x14:argumentDescription index="2">Температура расчета, С</x14:argumentDescription>
            <x14:argumentDescription index="3">Обводненность объемная на поверхности, %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decode_string">
          <x14:argumentDescriptions count="2">
            <x14:argumentDescription index="0">PVT строка для раскодировки</x14:argumentDescription>
            <x14:argumentDescription index="1">Флаг проверки раскодировки. Если 1, то возвращается повторно закодированная строка, если 0 - то возвращается PVT объект (применимо только в коде VBA)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_gas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oil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wat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5">
            <x14:argumentDescription index="0">Температура расчета, С</x14:argumentDescription>
            <x14:argumentDescription index="1">Относительная плотность газа, по воздуху (плотность воздуха 1.2217 кг/м3)</x14:argumentDescription>
            <x14:argumentDescription index="2">Относительная плотность нефти, по воде</x14:argumentDescription>
            <x14:argumentDescription index="3">Относительная плотность воды</x14:argumentDescription>
            <x14:argumentDescription index="4">Газосодержание в нефти при давлении насыщения (в пластовых условиях), м3/м3</x14:argumentDescription>
            <x14:argumentDescription index="5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6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7">Температура пластовая (соответствует давлению насыщения), С</x14:argumentDescription>
            <x14:argumentDescription index="8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9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0">Набор PVT корреляций. 0 - на основе Стендинга, 1 - на основе Валко Маккейна</x14:argumentDescription>
            <x14:argumentDescription index="11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2">Давление при котором произошла сепарация части свободного газа, атма</x14:argumentDescription>
            <x14:argumentDescription index="13">Температура при которой произошла сепарация части свободного газа, С</x14:argumentDescription>
            <x14:argumentDescription index="1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inity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liq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oil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wat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8" i="4" l="1"/>
  <c r="E34" i="4"/>
  <c r="C24" i="4"/>
  <c r="AF10" i="9"/>
  <c r="C7" i="7"/>
  <c r="V34" i="4"/>
  <c r="M37" i="4"/>
  <c r="M33" i="4"/>
  <c r="I35" i="4"/>
  <c r="C38" i="4"/>
  <c r="C36" i="4"/>
  <c r="C34" i="4"/>
  <c r="C19" i="4"/>
  <c r="C45" i="4" s="1"/>
  <c r="M34" i="4"/>
  <c r="C10" i="7"/>
  <c r="C50" i="4"/>
  <c r="T34" i="4"/>
  <c r="T37" i="4" s="1"/>
  <c r="M36" i="4"/>
  <c r="I38" i="4"/>
  <c r="I34" i="4"/>
  <c r="C44" i="4"/>
  <c r="E37" i="4"/>
  <c r="E35" i="4"/>
  <c r="E33" i="4"/>
  <c r="B1" i="6"/>
  <c r="M38" i="4"/>
  <c r="C46" i="4"/>
  <c r="E36" i="4"/>
  <c r="G24" i="4"/>
  <c r="C9" i="7"/>
  <c r="V37" i="4"/>
  <c r="V35" i="4"/>
  <c r="M41" i="4"/>
  <c r="M35" i="4"/>
  <c r="I37" i="4"/>
  <c r="I33" i="4"/>
  <c r="C41" i="4"/>
  <c r="C37" i="4"/>
  <c r="C35" i="4"/>
  <c r="C33" i="4"/>
  <c r="C8" i="7"/>
  <c r="T35" i="4"/>
  <c r="I36" i="4"/>
  <c r="C27" i="4"/>
  <c r="C28" i="4"/>
  <c r="T36" i="4"/>
  <c r="C29" i="4"/>
  <c r="V36" i="4"/>
  <c r="O2" i="9" l="1"/>
  <c r="J2" i="9"/>
  <c r="E2" i="9"/>
  <c r="E2" i="2"/>
  <c r="C10" i="2"/>
  <c r="C9" i="2"/>
  <c r="C6" i="2"/>
  <c r="H3" i="4"/>
  <c r="K10" i="4" l="1"/>
  <c r="C8" i="2" s="1"/>
  <c r="V18" i="10" l="1"/>
  <c r="V17" i="10"/>
  <c r="V16" i="10"/>
  <c r="O2" i="10"/>
  <c r="J2" i="10"/>
  <c r="E2" i="10"/>
  <c r="X18" i="9"/>
  <c r="X17" i="9"/>
  <c r="X16" i="9"/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W35" i="4" l="1"/>
  <c r="AB34" i="4" s="1"/>
  <c r="W37" i="4"/>
  <c r="AB35" i="4" s="1"/>
  <c r="W36" i="4"/>
  <c r="AB39" i="4" s="1"/>
  <c r="U35" i="4"/>
  <c r="AA34" i="4" s="1"/>
  <c r="U37" i="4"/>
  <c r="AA35" i="4" s="1"/>
  <c r="U36" i="4"/>
  <c r="AA39" i="4" s="1"/>
  <c r="W34" i="4"/>
  <c r="B80" i="4"/>
  <c r="F38" i="4"/>
  <c r="F34" i="4"/>
  <c r="F35" i="4"/>
  <c r="F37" i="4"/>
  <c r="F36" i="4"/>
  <c r="U34" i="4"/>
  <c r="AA33" i="4" s="1"/>
  <c r="F33" i="4"/>
  <c r="H5" i="7"/>
  <c r="C16" i="7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10" l="1"/>
  <c r="A1" i="9"/>
  <c r="A1" i="4"/>
  <c r="A1" i="8"/>
  <c r="A1" i="2"/>
  <c r="A1" i="7"/>
  <c r="A1" i="3"/>
  <c r="O2" i="2" l="1"/>
  <c r="J2" i="2"/>
  <c r="C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<sst xmlns="http://schemas.openxmlformats.org/spreadsheetml/2006/main" count="456" uniqueCount="218">
  <si>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</si>
  <si>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</si>
  <si>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</si>
  <si>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</si>
  <si>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</si>
  <si>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</si>
  <si>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</si>
  <si>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</si>
  <si>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</si>
  <si>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</si>
  <si>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</si>
  <si>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</si>
  <si>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</si>
  <si>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</si>
  <si>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</si>
  <si>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</si>
  <si>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</si>
  <si>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</si>
  <si>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</si>
  <si>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</si>
  <si>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</si>
  <si>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</si>
  <si>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</si>
  <si>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</si>
  <si>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</si>
  <si>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</si>
  <si>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</si>
  <si>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</si>
  <si>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</si>
  <si>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</si>
  <si>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</si>
  <si>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</si>
  <si>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</si>
  <si>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</si>
  <si>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</si>
  <si>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</si>
  <si>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</si>
  <si>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</si>
  <si>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</si>
  <si>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</si>
  <si>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</si>
  <si>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</si>
  <si>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</si>
  <si>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</si>
  <si>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</si>
  <si>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</si>
  <si>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</si>
  <si>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</si>
  <si>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</si>
  <si>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</si>
  <si>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</si>
  <si>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</si>
  <si>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</si>
  <si>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</si>
  <si>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</si>
  <si>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</si>
  <si>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</si>
  <si>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</si>
  <si>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</si>
  <si>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</si>
  <si>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</si>
  <si>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</si>
  <si>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</si>
  <si>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</si>
  <si>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</si>
  <si>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</si>
  <si>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</si>
  <si>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</si>
  <si>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</si>
  <si>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</si>
  <si>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</si>
  <si>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</si>
  <si>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</si>
  <si>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</si>
  <si>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</si>
  <si>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</si>
  <si>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</si>
  <si>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</si>
  <si>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</si>
  <si>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</si>
  <si>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</si>
  <si>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</si>
  <si>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</si>
  <si>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</si>
  <si>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</si>
  <si>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</si>
  <si>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</si>
  <si>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</si>
  <si>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</si>
  <si>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</si>
  <si>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</si>
  <si>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</si>
  <si>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</si>
  <si>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</si>
  <si>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</si>
  <si>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</si>
  <si>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</si>
  <si>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</si>
  <si>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</si>
  <si>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</si>
  <si>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</si>
  <si>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</si>
  <si>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</si>
  <si>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</si>
  <si>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</si>
  <si>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</si>
  <si>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</si>
  <si>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</si>
  <si>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</si>
  <si>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</si>
  <si>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</si>
  <si>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</si>
  <si>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</si>
  <si>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</si>
  <si>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</si>
  <si>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</si>
  <si>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</si>
  <si>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</si>
  <si>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</si>
  <si>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</si>
  <si>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</si>
  <si>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</si>
  <si>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</si>
  <si>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</si>
  <si>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</si>
  <si>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</si>
  <si>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</si>
  <si>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</si>
  <si>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</si>
  <si>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</si>
  <si>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</si>
  <si>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</si>
  <si>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</si>
  <si>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</si>
  <si>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</si>
  <si>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</si>
  <si>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</si>
  <si>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</si>
  <si>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</si>
  <si>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</si>
  <si>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</si>
  <si>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</si>
  <si>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</si>
  <si>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</si>
  <si>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</si>
  <si>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</si>
  <si>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</si>
  <si>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</si>
  <si>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</si>
  <si>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</si>
  <si>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</si>
  <si>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</si>
  <si>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</si>
  <si>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</si>
  <si>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</si>
  <si>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</si>
  <si>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</si>
  <si>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</si>
  <si>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</si>
  <si>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</si>
  <si>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</si>
  <si>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</si>
  <si>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</si>
  <si>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</si>
  <si>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</si>
  <si>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</si>
  <si>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</si>
  <si>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</si>
  <si>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</si>
  <si>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</si>
  <si>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</si>
  <si>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</si>
  <si>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</si>
  <si>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</si>
  <si>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</si>
  <si>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</si>
  <si>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</si>
  <si>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</si>
  <si>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</si>
  <si>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</si>
  <si>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</si>
  <si>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</si>
  <si>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</si>
  <si>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</si>
  <si>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</si>
  <si>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</si>
  <si>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</si>
  <si>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</si>
  <si>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</si>
  <si>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</si>
  <si>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</si>
  <si>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</si>
  <si>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</si>
  <si>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</si>
  <si>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</si>
  <si>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</si>
  <si>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</si>
  <si>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</si>
  <si>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</si>
  <si>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</si>
  <si>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</si>
  <si>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</si>
  <si>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</si>
  <si>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</si>
  <si>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</si>
  <si>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</si>
  <si>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</si>
  <si>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</si>
  <si>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</si>
  <si>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</si>
  <si>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</si>
  <si>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</si>
  <si>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</si>
  <si>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hmes Tamb</t>
  </si>
  <si>
    <t>hmes Ttub</t>
  </si>
  <si>
    <t>Tcas</t>
  </si>
  <si>
    <t>pcas</t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</si>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</sst>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6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0.24522533964564697</c:v>
                </c:pt>
                <c:pt idx="1">
                  <c:v>2.0836706762914035</c:v>
                </c:pt>
                <c:pt idx="2">
                  <c:v>4.3159116333061673</c:v>
                </c:pt>
                <c:pt idx="3">
                  <c:v>6.7722621384921586</c:v>
                </c:pt>
                <c:pt idx="4">
                  <c:v>9.3926427807302151</c:v>
                </c:pt>
                <c:pt idx="5">
                  <c:v>12.144483135609654</c:v>
                </c:pt>
                <c:pt idx="6">
                  <c:v>15.006978263108998</c:v>
                </c:pt>
                <c:pt idx="7">
                  <c:v>17.965551803760047</c:v>
                </c:pt>
                <c:pt idx="8">
                  <c:v>21.009358439673843</c:v>
                </c:pt>
                <c:pt idx="9">
                  <c:v>24.129978870084365</c:v>
                </c:pt>
                <c:pt idx="10">
                  <c:v>27.32066684513488</c:v>
                </c:pt>
                <c:pt idx="11">
                  <c:v>30.575882302441194</c:v>
                </c:pt>
                <c:pt idx="12">
                  <c:v>33.890985567825872</c:v>
                </c:pt>
                <c:pt idx="13">
                  <c:v>37.262028183735517</c:v>
                </c:pt>
                <c:pt idx="14">
                  <c:v>40.685604715110827</c:v>
                </c:pt>
                <c:pt idx="15">
                  <c:v>44.158744656156443</c:v>
                </c:pt>
                <c:pt idx="16">
                  <c:v>47.678831630143243</c:v>
                </c:pt>
                <c:pt idx="17">
                  <c:v>51.243541712663692</c:v>
                </c:pt>
                <c:pt idx="18">
                  <c:v>54.850795492172466</c:v>
                </c:pt>
                <c:pt idx="19">
                  <c:v>58.498720214262562</c:v>
                </c:pt>
                <c:pt idx="20">
                  <c:v>62.185619469288788</c:v>
                </c:pt>
                <c:pt idx="21">
                  <c:v>69.832391150560952</c:v>
                </c:pt>
                <c:pt idx="22">
                  <c:v>77.623947773431695</c:v>
                </c:pt>
                <c:pt idx="23">
                  <c:v>85.550488074551552</c:v>
                </c:pt>
                <c:pt idx="24">
                  <c:v>93.603592056427246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853.36501910466143</c:v>
                </c:pt>
                <c:pt idx="1">
                  <c:v>851.81754557754698</c:v>
                </c:pt>
                <c:pt idx="2">
                  <c:v>849.89602297964996</c:v>
                </c:pt>
                <c:pt idx="3">
                  <c:v>847.73394434232841</c:v>
                </c:pt>
                <c:pt idx="4">
                  <c:v>845.37945794485836</c:v>
                </c:pt>
                <c:pt idx="5">
                  <c:v>842.8605958899708</c:v>
                </c:pt>
                <c:pt idx="6">
                  <c:v>840.19713819442973</c:v>
                </c:pt>
                <c:pt idx="7">
                  <c:v>837.4045702766756</c:v>
                </c:pt>
                <c:pt idx="8">
                  <c:v>834.49578079704759</c:v>
                </c:pt>
                <c:pt idx="9">
                  <c:v>831.48191152527806</c:v>
                </c:pt>
                <c:pt idx="10">
                  <c:v>828.37283206381744</c:v>
                </c:pt>
                <c:pt idx="11">
                  <c:v>825.17742845397902</c:v>
                </c:pt>
                <c:pt idx="12">
                  <c:v>821.90379108716832</c:v>
                </c:pt>
                <c:pt idx="13">
                  <c:v>818.55934423731026</c:v>
                </c:pt>
                <c:pt idx="14">
                  <c:v>815.15093975456739</c:v>
                </c:pt>
                <c:pt idx="15">
                  <c:v>811.68492766303518</c:v>
                </c:pt>
                <c:pt idx="16">
                  <c:v>808.16721123705156</c:v>
                </c:pt>
                <c:pt idx="17">
                  <c:v>804.60329125721387</c:v>
                </c:pt>
                <c:pt idx="18">
                  <c:v>800.99830247561226</c:v>
                </c:pt>
                <c:pt idx="19">
                  <c:v>797.35704430831811</c:v>
                </c:pt>
                <c:pt idx="20">
                  <c:v>793.68400713947676</c:v>
                </c:pt>
                <c:pt idx="21">
                  <c:v>786.09891267606145</c:v>
                </c:pt>
                <c:pt idx="22">
                  <c:v>778.4309577060435</c:v>
                </c:pt>
                <c:pt idx="23">
                  <c:v>770.70861699364718</c:v>
                </c:pt>
                <c:pt idx="24">
                  <c:v>762.95682604567833</c:v>
                </c:pt>
                <c:pt idx="25">
                  <c:v>757.22963411265869</c:v>
                </c:pt>
                <c:pt idx="26">
                  <c:v>758.36145954663607</c:v>
                </c:pt>
                <c:pt idx="27">
                  <c:v>759.36066205184477</c:v>
                </c:pt>
                <c:pt idx="28">
                  <c:v>760.24926113498736</c:v>
                </c:pt>
                <c:pt idx="29">
                  <c:v>761.04465751199837</c:v>
                </c:pt>
                <c:pt idx="30">
                  <c:v>761.76078377546401</c:v>
                </c:pt>
                <c:pt idx="31">
                  <c:v>762.40892740119614</c:v>
                </c:pt>
                <c:pt idx="32">
                  <c:v>762.99833001386889</c:v>
                </c:pt>
                <c:pt idx="33">
                  <c:v>763.5366307977298</c:v>
                </c:pt>
                <c:pt idx="34">
                  <c:v>764.03019937674458</c:v>
                </c:pt>
                <c:pt idx="35">
                  <c:v>764.48438902584849</c:v>
                </c:pt>
                <c:pt idx="36">
                  <c:v>764.9037316048649</c:v>
                </c:pt>
                <c:pt idx="37">
                  <c:v>765.29208928494904</c:v>
                </c:pt>
                <c:pt idx="38">
                  <c:v>765.65277384253875</c:v>
                </c:pt>
                <c:pt idx="39">
                  <c:v>765.98864133057157</c:v>
                </c:pt>
                <c:pt idx="40">
                  <c:v>766.30216785897346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1.0080208293055315</c:v>
                </c:pt>
                <c:pt idx="1">
                  <c:v>1.0116977970221952</c:v>
                </c:pt>
                <c:pt idx="2">
                  <c:v>1.0162312813768366</c:v>
                </c:pt>
                <c:pt idx="3">
                  <c:v>1.0213010539879912</c:v>
                </c:pt>
                <c:pt idx="4">
                  <c:v>1.0267962936902495</c:v>
                </c:pt>
                <c:pt idx="5">
                  <c:v>1.0326569361256086</c:v>
                </c:pt>
                <c:pt idx="6">
                  <c:v>1.0388440736855331</c:v>
                </c:pt>
                <c:pt idx="7">
                  <c:v>1.0453298098884751</c:v>
                </c:pt>
                <c:pt idx="8">
                  <c:v>1.0520927887801381</c:v>
                </c:pt>
                <c:pt idx="9">
                  <c:v>1.0591159042948526</c:v>
                </c:pt>
                <c:pt idx="10">
                  <c:v>1.0663849982603448</c:v>
                </c:pt>
                <c:pt idx="11">
                  <c:v>1.073888061197309</c:v>
                </c:pt>
                <c:pt idx="12">
                  <c:v>1.0816147115854664</c:v>
                </c:pt>
                <c:pt idx="13">
                  <c:v>1.0895558399781531</c:v>
                </c:pt>
                <c:pt idx="14">
                  <c:v>1.0977033560995806</c:v>
                </c:pt>
                <c:pt idx="15">
                  <c:v>1.1060500032041969</c:v>
                </c:pt>
                <c:pt idx="16">
                  <c:v>1.1145892180443424</c:v>
                </c:pt>
                <c:pt idx="17">
                  <c:v>1.1233150227673139</c:v>
                </c:pt>
                <c:pt idx="18">
                  <c:v>1.1322219397893958</c:v>
                </c:pt>
                <c:pt idx="19">
                  <c:v>1.1413049236047763</c:v>
                </c:pt>
                <c:pt idx="20">
                  <c:v>1.1505593053400971</c:v>
                </c:pt>
                <c:pt idx="21">
                  <c:v>1.169979944962791</c:v>
                </c:pt>
                <c:pt idx="22">
                  <c:v>1.1900647253628218</c:v>
                </c:pt>
                <c:pt idx="23">
                  <c:v>1.2107843370644027</c:v>
                </c:pt>
                <c:pt idx="24">
                  <c:v>1.2321127799103735</c:v>
                </c:pt>
                <c:pt idx="25">
                  <c:v>1.2486555694666963</c:v>
                </c:pt>
                <c:pt idx="26">
                  <c:v>1.2467919988513796</c:v>
                </c:pt>
                <c:pt idx="27">
                  <c:v>1.2451514112479076</c:v>
                </c:pt>
                <c:pt idx="28">
                  <c:v>1.2436960459368558</c:v>
                </c:pt>
                <c:pt idx="29">
                  <c:v>1.2423962124523464</c:v>
                </c:pt>
                <c:pt idx="30">
                  <c:v>1.2412282440082927</c:v>
                </c:pt>
                <c:pt idx="31">
                  <c:v>1.2401730436485923</c:v>
                </c:pt>
                <c:pt idx="32">
                  <c:v>1.2392150320732858</c:v>
                </c:pt>
                <c:pt idx="33">
                  <c:v>1.2383413733695241</c:v>
                </c:pt>
                <c:pt idx="34">
                  <c:v>1.2375413966245108</c:v>
                </c:pt>
                <c:pt idx="35">
                  <c:v>1.2368061579450125</c:v>
                </c:pt>
                <c:pt idx="36">
                  <c:v>1.2361281046651209</c:v>
                </c:pt>
                <c:pt idx="37">
                  <c:v>1.2355008149678459</c:v>
                </c:pt>
                <c:pt idx="38">
                  <c:v>1.2349187938741168</c:v>
                </c:pt>
                <c:pt idx="39">
                  <c:v>1.2343773118587928</c:v>
                </c:pt>
                <c:pt idx="40">
                  <c:v>1.2338722760523479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19.222141283362781</c:v>
                </c:pt>
                <c:pt idx="1">
                  <c:v>17.129203978069782</c:v>
                </c:pt>
                <c:pt idx="2">
                  <c:v>15.086593761208942</c:v>
                </c:pt>
                <c:pt idx="3">
                  <c:v>13.299926796259093</c:v>
                </c:pt>
                <c:pt idx="4">
                  <c:v>11.77941826821861</c:v>
                </c:pt>
                <c:pt idx="5">
                  <c:v>10.495013084946841</c:v>
                </c:pt>
                <c:pt idx="6">
                  <c:v>9.4096417226881677</c:v>
                </c:pt>
                <c:pt idx="7">
                  <c:v>8.4888966356150277</c:v>
                </c:pt>
                <c:pt idx="8">
                  <c:v>7.7035142147442617</c:v>
                </c:pt>
                <c:pt idx="9">
                  <c:v>7.0294616291957235</c:v>
                </c:pt>
                <c:pt idx="10">
                  <c:v>6.4472830901680007</c:v>
                </c:pt>
                <c:pt idx="11">
                  <c:v>5.9413011235292226</c:v>
                </c:pt>
                <c:pt idx="12">
                  <c:v>5.4988781080973439</c:v>
                </c:pt>
                <c:pt idx="13">
                  <c:v>5.109795332848301</c:v>
                </c:pt>
                <c:pt idx="14">
                  <c:v>4.7657521134140053</c:v>
                </c:pt>
                <c:pt idx="15">
                  <c:v>4.4599695141416973</c:v>
                </c:pt>
                <c:pt idx="16">
                  <c:v>4.186879479895997</c:v>
                </c:pt>
                <c:pt idx="17">
                  <c:v>3.941881596185512</c:v>
                </c:pt>
                <c:pt idx="18">
                  <c:v>3.721152608527647</c:v>
                </c:pt>
                <c:pt idx="19">
                  <c:v>3.5214968338972046</c:v>
                </c:pt>
                <c:pt idx="20">
                  <c:v>3.3402282103479428</c:v>
                </c:pt>
                <c:pt idx="21">
                  <c:v>3.0179300771231135</c:v>
                </c:pt>
                <c:pt idx="22">
                  <c:v>2.7479651483479524</c:v>
                </c:pt>
                <c:pt idx="23">
                  <c:v>2.5191569351789669</c:v>
                </c:pt>
                <c:pt idx="24">
                  <c:v>2.3231931564587418</c:v>
                </c:pt>
                <c:pt idx="25">
                  <c:v>2.1969105778534734</c:v>
                </c:pt>
                <c:pt idx="26">
                  <c:v>2.2277934807390247</c:v>
                </c:pt>
                <c:pt idx="27">
                  <c:v>2.260873652360408</c:v>
                </c:pt>
                <c:pt idx="28">
                  <c:v>2.2960464389042663</c:v>
                </c:pt>
                <c:pt idx="29">
                  <c:v>2.3332188042345927</c:v>
                </c:pt>
                <c:pt idx="30">
                  <c:v>2.3723072099186853</c:v>
                </c:pt>
                <c:pt idx="31">
                  <c:v>2.4132358958560109</c:v>
                </c:pt>
                <c:pt idx="32">
                  <c:v>2.4559354731722225</c:v>
                </c:pt>
                <c:pt idx="33">
                  <c:v>2.5003417635681928</c:v>
                </c:pt>
                <c:pt idx="34">
                  <c:v>2.5463948354167449</c:v>
                </c:pt>
                <c:pt idx="35">
                  <c:v>2.594038198593605</c:v>
                </c:pt>
                <c:pt idx="36">
                  <c:v>2.6432181286425935</c:v>
                </c:pt>
                <c:pt idx="37">
                  <c:v>2.6938830973012582</c:v>
                </c:pt>
                <c:pt idx="38">
                  <c:v>2.7459832912631539</c:v>
                </c:pt>
                <c:pt idx="39">
                  <c:v>2.799470204751993</c:v>
                </c:pt>
                <c:pt idx="40">
                  <c:v>2.8542962943309615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0.94380480305796899</c:v>
                </c:pt>
                <c:pt idx="2">
                  <c:v>0.89838271320356688</c:v>
                </c:pt>
                <c:pt idx="3">
                  <c:v>0.85389787785148896</c:v>
                </c:pt>
                <c:pt idx="4">
                  <c:v>0.81029957875240433</c:v>
                </c:pt>
                <c:pt idx="5">
                  <c:v>0.76758282317998527</c:v>
                </c:pt>
                <c:pt idx="6">
                  <c:v>0.72576148688122155</c:v>
                </c:pt>
                <c:pt idx="7">
                  <c:v>0.68485613630527642</c:v>
                </c:pt>
                <c:pt idx="8">
                  <c:v>0.6448877558763968</c:v>
                </c:pt>
                <c:pt idx="9">
                  <c:v>0.60587437769733143</c:v>
                </c:pt>
                <c:pt idx="10">
                  <c:v>0.56782932158282373</c:v>
                </c:pt>
                <c:pt idx="11">
                  <c:v>0.5307604002111781</c:v>
                </c:pt>
                <c:pt idx="12">
                  <c:v>0.49466973078924525</c:v>
                </c:pt>
                <c:pt idx="13">
                  <c:v>0.45955393739525124</c:v>
                </c:pt>
                <c:pt idx="14">
                  <c:v>0.42540460627061427</c:v>
                </c:pt>
                <c:pt idx="15">
                  <c:v>0.39220890251892532</c:v>
                </c:pt>
                <c:pt idx="16">
                  <c:v>0.35995028579310601</c:v>
                </c:pt>
                <c:pt idx="17">
                  <c:v>0.32860928186250504</c:v>
                </c:pt>
                <c:pt idx="18">
                  <c:v>0.2981642802084542</c:v>
                </c:pt>
                <c:pt idx="19">
                  <c:v>0.26859233704544261</c:v>
                </c:pt>
                <c:pt idx="20">
                  <c:v>0.23986996956425102</c:v>
                </c:pt>
                <c:pt idx="21">
                  <c:v>0.18373743834635339</c:v>
                </c:pt>
                <c:pt idx="22">
                  <c:v>0.13087400987928097</c:v>
                </c:pt>
                <c:pt idx="23">
                  <c:v>8.1140523979548809E-2</c:v>
                </c:pt>
                <c:pt idx="24">
                  <c:v>3.4460110113717669E-2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1511.5486957327657</c:v>
                </c:pt>
                <c:pt idx="1">
                  <c:v>1526.6026544003516</c:v>
                </c:pt>
                <c:pt idx="2">
                  <c:v>1519.2733667831737</c:v>
                </c:pt>
                <c:pt idx="3">
                  <c:v>1494.4794329685121</c:v>
                </c:pt>
                <c:pt idx="4">
                  <c:v>1456.7391081524324</c:v>
                </c:pt>
                <c:pt idx="5">
                  <c:v>1410.1064470451115</c:v>
                </c:pt>
                <c:pt idx="6">
                  <c:v>1358.107448276161</c:v>
                </c:pt>
                <c:pt idx="7">
                  <c:v>1303.6761987999519</c:v>
                </c:pt>
                <c:pt idx="8">
                  <c:v>1249.0910183009403</c:v>
                </c:pt>
                <c:pt idx="9">
                  <c:v>1195.9106035989912</c:v>
                </c:pt>
                <c:pt idx="10">
                  <c:v>1144.9101730547027</c:v>
                </c:pt>
                <c:pt idx="11">
                  <c:v>1096.0176109747313</c:v>
                </c:pt>
                <c:pt idx="12">
                  <c:v>1048.2496120171163</c:v>
                </c:pt>
                <c:pt idx="13">
                  <c:v>999.647825596605</c:v>
                </c:pt>
                <c:pt idx="14">
                  <c:v>947.21500028997593</c:v>
                </c:pt>
                <c:pt idx="15">
                  <c:v>886.85112824136411</c:v>
                </c:pt>
                <c:pt idx="16">
                  <c:v>813.28958956758697</c:v>
                </c:pt>
                <c:pt idx="17">
                  <c:v>720.03329676346868</c:v>
                </c:pt>
                <c:pt idx="18">
                  <c:v>599.29083910716054</c:v>
                </c:pt>
                <c:pt idx="19">
                  <c:v>441.91262706547246</c:v>
                </c:pt>
                <c:pt idx="20">
                  <c:v>237.32703669919169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2.4464792109942994E-3</c:v>
                </c:pt>
                <c:pt idx="1">
                  <c:v>7.7984259960700714E-2</c:v>
                </c:pt>
                <c:pt idx="2">
                  <c:v>0.1449265279149502</c:v>
                </c:pt>
                <c:pt idx="3">
                  <c:v>0.20432900833120726</c:v>
                </c:pt>
                <c:pt idx="4">
                  <c:v>0.25732077153429417</c:v>
                </c:pt>
                <c:pt idx="5">
                  <c:v>0.30502407251407149</c:v>
                </c:pt>
                <c:pt idx="6">
                  <c:v>0.34847419052311784</c:v>
                </c:pt>
                <c:pt idx="7">
                  <c:v>0.38853926867441102</c:v>
                </c:pt>
                <c:pt idx="8">
                  <c:v>0.42584015353900773</c:v>
                </c:pt>
                <c:pt idx="9">
                  <c:v>0.46067023474372432</c:v>
                </c:pt>
                <c:pt idx="10">
                  <c:v>0.49291528456881661</c:v>
                </c:pt>
                <c:pt idx="11">
                  <c:v>0.52197329754566124</c:v>
                </c:pt>
                <c:pt idx="12">
                  <c:v>0.546674330054435</c:v>
                </c:pt>
                <c:pt idx="13">
                  <c:v>0.56520033992179486</c:v>
                </c:pt>
                <c:pt idx="14">
                  <c:v>0.57500502601856018</c:v>
                </c:pt>
                <c:pt idx="15">
                  <c:v>0.57273366785739144</c:v>
                </c:pt>
                <c:pt idx="16">
                  <c:v>0.55414296519047013</c:v>
                </c:pt>
                <c:pt idx="17">
                  <c:v>0.51402087760718174</c:v>
                </c:pt>
                <c:pt idx="18">
                  <c:v>0.44610646413179267</c:v>
                </c:pt>
                <c:pt idx="19">
                  <c:v>0.34300972282113351</c:v>
                </c:pt>
                <c:pt idx="20">
                  <c:v>0.19613143036227587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58.526904992008383</c:v>
                </c:pt>
                <c:pt idx="1">
                  <c:v>61.984437516992209</c:v>
                </c:pt>
                <c:pt idx="2">
                  <c:v>64.736144778134886</c:v>
                </c:pt>
                <c:pt idx="3">
                  <c:v>66.795576716402834</c:v>
                </c:pt>
                <c:pt idx="4">
                  <c:v>68.214753539382158</c:v>
                </c:pt>
                <c:pt idx="5">
                  <c:v>69.07564082264831</c:v>
                </c:pt>
                <c:pt idx="6">
                  <c:v>69.481624611135828</c:v>
                </c:pt>
                <c:pt idx="7">
                  <c:v>69.548986520508109</c:v>
                </c:pt>
                <c:pt idx="8">
                  <c:v>69.398378838527066</c:v>
                </c:pt>
                <c:pt idx="9">
                  <c:v>69.146299626422774</c:v>
                </c:pt>
                <c:pt idx="10">
                  <c:v>68.8965678202633</c:v>
                </c:pt>
                <c:pt idx="11">
                  <c:v>68.731798332324388</c:v>
                </c:pt>
                <c:pt idx="12">
                  <c:v>68.704877152458991</c:v>
                </c:pt>
                <c:pt idx="13">
                  <c:v>68.830436449467328</c:v>
                </c:pt>
                <c:pt idx="14">
                  <c:v>69.076329672466258</c:v>
                </c:pt>
                <c:pt idx="15">
                  <c:v>69.355106652259195</c:v>
                </c:pt>
                <c:pt idx="16">
                  <c:v>69.515488702705753</c:v>
                </c:pt>
                <c:pt idx="17">
                  <c:v>69.333843722091473</c:v>
                </c:pt>
                <c:pt idx="18">
                  <c:v>68.505661294497457</c:v>
                </c:pt>
                <c:pt idx="19">
                  <c:v>66.637027791170155</c:v>
                </c:pt>
                <c:pt idx="20">
                  <c:v>63.23610147189104</c:v>
                </c:pt>
                <c:pt idx="21">
                  <c:v>57.964982049754923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0.6224641750921015</c:v>
                </c:pt>
                <c:pt idx="1">
                  <c:v>0.67890266672290622</c:v>
                </c:pt>
                <c:pt idx="2">
                  <c:v>0.7454274562742873</c:v>
                </c:pt>
                <c:pt idx="3">
                  <c:v>0.91729091636380833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53.27585670283807</c:v>
                </c:pt>
                <c:pt idx="1">
                  <c:v>64.163226131035231</c:v>
                </c:pt>
                <c:pt idx="2">
                  <c:v>75.934495980827137</c:v>
                </c:pt>
                <c:pt idx="3">
                  <c:v>89.677476275513385</c:v>
                </c:pt>
                <c:pt idx="4">
                  <c:v>105.16534924635414</c:v>
                </c:pt>
                <c:pt idx="5">
                  <c:v>120.71831929033702</c:v>
                </c:pt>
                <c:pt idx="6">
                  <c:v>135.67896403402602</c:v>
                </c:pt>
                <c:pt idx="7">
                  <c:v>150.07413111211446</c:v>
                </c:pt>
                <c:pt idx="8">
                  <c:v>163.8562744727038</c:v>
                </c:pt>
                <c:pt idx="9">
                  <c:v>177.01950463319326</c:v>
                </c:pt>
                <c:pt idx="10">
                  <c:v>189.56721434859952</c:v>
                </c:pt>
                <c:pt idx="11">
                  <c:v>201.50500625641891</c:v>
                </c:pt>
                <c:pt idx="12">
                  <c:v>212.83831796135908</c:v>
                </c:pt>
                <c:pt idx="13">
                  <c:v>222.09150746292553</c:v>
                </c:pt>
                <c:pt idx="14">
                  <c:v>134.97335533115665</c:v>
                </c:pt>
                <c:pt idx="15">
                  <c:v>136.32221295973326</c:v>
                </c:pt>
                <c:pt idx="16">
                  <c:v>145.48718839435037</c:v>
                </c:pt>
                <c:pt idx="17">
                  <c:v>148.46100454663184</c:v>
                </c:pt>
                <c:pt idx="18">
                  <c:v>149.76578393822314</c:v>
                </c:pt>
                <c:pt idx="19">
                  <c:v>151.07066643473541</c:v>
                </c:pt>
                <c:pt idx="20">
                  <c:v>152.37578087124166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5CEA01B3-6F00-4FBB-8B35-0567DEE09583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7CBEEC1-72BA-40C9-BC30-AF7097B2F190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050D971E-611B-4C83-891F-AD011BF82B78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45468B6-80B7-4E3D-8D58-C01AB5E6392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8CFC3D-0AFE-4FEE-90D1-4AEE47A056C6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92CDC97-AD00-4B44-A127-9163EE2B62A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45.003531296830985</c:v>
                </c:pt>
                <c:pt idx="1">
                  <c:v>53.27585670283807</c:v>
                </c:pt>
                <c:pt idx="2">
                  <c:v>152.37578087124166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46.547433671946678</c:v>
                </c:pt>
                <c:pt idx="1">
                  <c:v>47.704293884014703</c:v>
                </c:pt>
                <c:pt idx="2">
                  <c:v>49.004116569362942</c:v>
                </c:pt>
                <c:pt idx="3">
                  <c:v>50.533067744134122</c:v>
                </c:pt>
                <c:pt idx="4">
                  <c:v>52.319129806239083</c:v>
                </c:pt>
                <c:pt idx="5">
                  <c:v>54.243595283699356</c:v>
                </c:pt>
                <c:pt idx="6">
                  <c:v>56.647169851651661</c:v>
                </c:pt>
                <c:pt idx="7">
                  <c:v>61.493528856530908</c:v>
                </c:pt>
                <c:pt idx="8">
                  <c:v>67.56472475231331</c:v>
                </c:pt>
                <c:pt idx="9">
                  <c:v>73.823699225330898</c:v>
                </c:pt>
                <c:pt idx="10">
                  <c:v>79.508023854739236</c:v>
                </c:pt>
                <c:pt idx="11">
                  <c:v>84.559438155377379</c:v>
                </c:pt>
                <c:pt idx="12">
                  <c:v>88.928550327930523</c:v>
                </c:pt>
                <c:pt idx="13">
                  <c:v>92.106753657762326</c:v>
                </c:pt>
                <c:pt idx="14">
                  <c:v>86.892371117135738</c:v>
                </c:pt>
                <c:pt idx="15">
                  <c:v>87.161884767265576</c:v>
                </c:pt>
                <c:pt idx="16">
                  <c:v>88.702811208584734</c:v>
                </c:pt>
                <c:pt idx="17">
                  <c:v>89.293693685155574</c:v>
                </c:pt>
                <c:pt idx="18">
                  <c:v>89.664839044580077</c:v>
                </c:pt>
                <c:pt idx="19">
                  <c:v>89.90981315410589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0.22668731020820712</c:v>
                </c:pt>
                <c:pt idx="1">
                  <c:v>0.25541240909811125</c:v>
                </c:pt>
                <c:pt idx="2">
                  <c:v>0.28184310807101681</c:v>
                </c:pt>
                <c:pt idx="3">
                  <c:v>0.2971733743074737</c:v>
                </c:pt>
                <c:pt idx="4">
                  <c:v>0.32704823955337387</c:v>
                </c:pt>
                <c:pt idx="5">
                  <c:v>0.35404212991315909</c:v>
                </c:pt>
                <c:pt idx="6">
                  <c:v>0.39345513661238563</c:v>
                </c:pt>
                <c:pt idx="7">
                  <c:v>0.42105922276377644</c:v>
                </c:pt>
                <c:pt idx="8">
                  <c:v>0.44587930026816092</c:v>
                </c:pt>
                <c:pt idx="9">
                  <c:v>0.4672606495827244</c:v>
                </c:pt>
                <c:pt idx="10">
                  <c:v>0.48582187837909391</c:v>
                </c:pt>
                <c:pt idx="11">
                  <c:v>0.50187014283179388</c:v>
                </c:pt>
                <c:pt idx="12">
                  <c:v>0.51570911223793081</c:v>
                </c:pt>
                <c:pt idx="13">
                  <c:v>0.88067358743973367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24.261435087158841</c:v>
                </c:pt>
                <c:pt idx="1">
                  <c:v>31.41256142797009</c:v>
                </c:pt>
                <c:pt idx="2">
                  <c:v>38.754659076273086</c:v>
                </c:pt>
                <c:pt idx="3">
                  <c:v>40.898835824426627</c:v>
                </c:pt>
                <c:pt idx="4">
                  <c:v>47.957174118656269</c:v>
                </c:pt>
                <c:pt idx="5">
                  <c:v>57.855556961590345</c:v>
                </c:pt>
                <c:pt idx="6">
                  <c:v>67.827146594939208</c:v>
                </c:pt>
                <c:pt idx="7">
                  <c:v>77.748186097618287</c:v>
                </c:pt>
                <c:pt idx="8">
                  <c:v>86.148051394259483</c:v>
                </c:pt>
                <c:pt idx="9">
                  <c:v>87.530106439027421</c:v>
                </c:pt>
                <c:pt idx="10">
                  <c:v>97.107085371336979</c:v>
                </c:pt>
                <c:pt idx="11">
                  <c:v>106.42037260970724</c:v>
                </c:pt>
                <c:pt idx="12">
                  <c:v>115.42090986639899</c:v>
                </c:pt>
                <c:pt idx="13">
                  <c:v>115.92866977958474</c:v>
                </c:pt>
                <c:pt idx="14">
                  <c:v>127.53720466563811</c:v>
                </c:pt>
                <c:pt idx="15">
                  <c:v>132.59151141505092</c:v>
                </c:pt>
                <c:pt idx="16">
                  <c:v>138.84308632127357</c:v>
                </c:pt>
                <c:pt idx="17">
                  <c:v>145.61293612888792</c:v>
                </c:pt>
                <c:pt idx="18">
                  <c:v>147.07537338562349</c:v>
                </c:pt>
                <c:pt idx="19">
                  <c:v>148.53772968390442</c:v>
                </c:pt>
                <c:pt idx="20">
                  <c:v>150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154824A2-FF11-43F1-8951-D505D9CC0862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FA75461-5F2A-4482-BBA7-89840F780879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80597D69-E5B9-405B-8E9B-464B683521C1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F127407-C78D-4108-94EF-99F78BB1781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777F8D-48D4-40B7-8216-9795350756DE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4B3F9E1D-13DA-4EBA-A60A-6FF9EF4F7FC2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1</c:v>
                </c:pt>
                <c:pt idx="1">
                  <c:v>24.261435087158841</c:v>
                </c:pt>
                <c:pt idx="2">
                  <c:v>150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  <c:pt idx="0">
                  <c:v>200</c:v>
                </c:pt>
                <c:pt idx="1">
                  <c:v>202.49597241993845</c:v>
                </c:pt>
                <c:pt idx="2">
                  <c:v>204.88319611310359</c:v>
                </c:pt>
                <c:pt idx="3">
                  <c:v>207.17287532766855</c:v>
                </c:pt>
                <c:pt idx="4">
                  <c:v>209.37751949356351</c:v>
                </c:pt>
                <c:pt idx="5">
                  <c:v>209.57624632011914</c:v>
                </c:pt>
                <c:pt idx="6">
                  <c:v>211.50464371719048</c:v>
                </c:pt>
                <c:pt idx="7">
                  <c:v>213.56711102381416</c:v>
                </c:pt>
                <c:pt idx="8">
                  <c:v>215.57915487286351</c:v>
                </c:pt>
                <c:pt idx="9">
                  <c:v>217.54798897835713</c:v>
                </c:pt>
                <c:pt idx="10">
                  <c:v>219.48004907049904</c:v>
                </c:pt>
                <c:pt idx="11">
                  <c:v>221.37682637303485</c:v>
                </c:pt>
                <c:pt idx="12">
                  <c:v>223.24740723231372</c:v>
                </c:pt>
                <c:pt idx="13">
                  <c:v>225.09486371131879</c:v>
                </c:pt>
                <c:pt idx="14">
                  <c:v>225.59642225294877</c:v>
                </c:pt>
                <c:pt idx="15">
                  <c:v>226.92164832195087</c:v>
                </c:pt>
                <c:pt idx="16">
                  <c:v>228.72844497405364</c:v>
                </c:pt>
                <c:pt idx="17">
                  <c:v>230.51716195194143</c:v>
                </c:pt>
                <c:pt idx="18">
                  <c:v>232.2905066554913</c:v>
                </c:pt>
                <c:pt idx="19">
                  <c:v>234.04959668623326</c:v>
                </c:pt>
                <c:pt idx="20">
                  <c:v>235.79540974647344</c:v>
                </c:pt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23.666666666666671</c:v>
                </c:pt>
                <c:pt idx="2">
                  <c:v>27.333333333333336</c:v>
                </c:pt>
                <c:pt idx="3">
                  <c:v>31</c:v>
                </c:pt>
                <c:pt idx="4">
                  <c:v>34.666666666666664</c:v>
                </c:pt>
                <c:pt idx="5">
                  <c:v>35</c:v>
                </c:pt>
                <c:pt idx="6">
                  <c:v>38.333333333333336</c:v>
                </c:pt>
                <c:pt idx="7">
                  <c:v>42</c:v>
                </c:pt>
                <c:pt idx="8">
                  <c:v>45.666666666666671</c:v>
                </c:pt>
                <c:pt idx="9">
                  <c:v>49.333333333333336</c:v>
                </c:pt>
                <c:pt idx="10">
                  <c:v>52.88</c:v>
                </c:pt>
                <c:pt idx="11">
                  <c:v>56.35</c:v>
                </c:pt>
                <c:pt idx="12">
                  <c:v>59.733333333333341</c:v>
                </c:pt>
                <c:pt idx="13">
                  <c:v>63.03</c:v>
                </c:pt>
                <c:pt idx="14">
                  <c:v>63.92</c:v>
                </c:pt>
                <c:pt idx="15">
                  <c:v>66.240000000000009</c:v>
                </c:pt>
                <c:pt idx="16">
                  <c:v>69.356666666666669</c:v>
                </c:pt>
                <c:pt idx="17">
                  <c:v>72.38000000000001</c:v>
                </c:pt>
                <c:pt idx="18">
                  <c:v>75.316666666666677</c:v>
                </c:pt>
                <c:pt idx="19">
                  <c:v>78.166666666666671</c:v>
                </c:pt>
                <c:pt idx="20">
                  <c:v>80.930000000000007</c:v>
                </c:pt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0.39737876377081538</c:v>
                </c:pt>
                <c:pt idx="1">
                  <c:v>0.4598812899434877</c:v>
                </c:pt>
                <c:pt idx="2">
                  <c:v>0.52872452542064474</c:v>
                </c:pt>
                <c:pt idx="3">
                  <c:v>0.60138846394205348</c:v>
                </c:pt>
                <c:pt idx="4">
                  <c:v>0.68577196222536185</c:v>
                </c:pt>
                <c:pt idx="5">
                  <c:v>0.77744315349524584</c:v>
                </c:pt>
                <c:pt idx="6">
                  <c:v>0.87360642093019292</c:v>
                </c:pt>
                <c:pt idx="7">
                  <c:v>0.9679357443151746</c:v>
                </c:pt>
                <c:pt idx="8">
                  <c:v>0.99902551841682774</c:v>
                </c:pt>
                <c:pt idx="9">
                  <c:v>0.99902500819790507</c:v>
                </c:pt>
                <c:pt idx="10">
                  <c:v>0.99902448501052143</c:v>
                </c:pt>
                <c:pt idx="11">
                  <c:v>0.99902394627406665</c:v>
                </c:pt>
                <c:pt idx="12">
                  <c:v>0.99902338850571004</c:v>
                </c:pt>
                <c:pt idx="13">
                  <c:v>0.99902280467927107</c:v>
                </c:pt>
                <c:pt idx="14">
                  <c:v>0.99904081321255234</c:v>
                </c:pt>
                <c:pt idx="15">
                  <c:v>0.99905826210256321</c:v>
                </c:pt>
                <c:pt idx="16">
                  <c:v>0.99905714586207595</c:v>
                </c:pt>
                <c:pt idx="17">
                  <c:v>0.99905693295840459</c:v>
                </c:pt>
                <c:pt idx="18">
                  <c:v>0.99905671713182664</c:v>
                </c:pt>
                <c:pt idx="19">
                  <c:v>0.9990564984149749</c:v>
                </c:pt>
                <c:pt idx="20">
                  <c:v>0.99905627685587417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41.058817324509512</c:v>
                </c:pt>
                <c:pt idx="1">
                  <c:v>48.810792655834476</c:v>
                </c:pt>
                <c:pt idx="2">
                  <c:v>57.615065815069393</c:v>
                </c:pt>
                <c:pt idx="3">
                  <c:v>67.629424674208181</c:v>
                </c:pt>
                <c:pt idx="4">
                  <c:v>79.003134643557914</c:v>
                </c:pt>
                <c:pt idx="5">
                  <c:v>91.635811375423401</c:v>
                </c:pt>
                <c:pt idx="6">
                  <c:v>105.16070135715371</c:v>
                </c:pt>
                <c:pt idx="7">
                  <c:v>119.40684810685711</c:v>
                </c:pt>
                <c:pt idx="8">
                  <c:v>133.56776031247483</c:v>
                </c:pt>
                <c:pt idx="9">
                  <c:v>147.18171452280947</c:v>
                </c:pt>
                <c:pt idx="10">
                  <c:v>160.23555415058107</c:v>
                </c:pt>
                <c:pt idx="11">
                  <c:v>172.72691897815648</c:v>
                </c:pt>
                <c:pt idx="12">
                  <c:v>184.65481972206643</c:v>
                </c:pt>
                <c:pt idx="13">
                  <c:v>196.00990379960871</c:v>
                </c:pt>
                <c:pt idx="14">
                  <c:v>202.24547317793807</c:v>
                </c:pt>
                <c:pt idx="15">
                  <c:v>206.6599620312667</c:v>
                </c:pt>
                <c:pt idx="16">
                  <c:v>215.24259244561983</c:v>
                </c:pt>
                <c:pt idx="17">
                  <c:v>217.49484275926088</c:v>
                </c:pt>
                <c:pt idx="18">
                  <c:v>218.86642342944083</c:v>
                </c:pt>
                <c:pt idx="19">
                  <c:v>220.23860882037442</c:v>
                </c:pt>
                <c:pt idx="20">
                  <c:v>221.61159086457991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3F41304B-195E-4EB3-8175-554DA29F83E7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FB491FC-E003-468D-91EF-7E4D99839377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7137EDF0-A2A7-437E-BCA7-B13611FE68DA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AD96503-FD55-4EBE-BD26-8FCE9B9E5488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BE881F-1A45-4FDA-B2EE-E70E6E2A388E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93F25B6-3740-4447-BEE4-01D2CD406A79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0</c:v>
                </c:pt>
                <c:pt idx="1">
                  <c:v>41.058817324509512</c:v>
                </c:pt>
                <c:pt idx="2">
                  <c:v>221.61159086457991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45.041809114944598</c:v>
                </c:pt>
                <c:pt idx="1">
                  <c:v>49.745199656049621</c:v>
                </c:pt>
                <c:pt idx="2">
                  <c:v>54.332061775240511</c:v>
                </c:pt>
                <c:pt idx="3">
                  <c:v>58.791967511448384</c:v>
                </c:pt>
                <c:pt idx="4">
                  <c:v>63.114391973118252</c:v>
                </c:pt>
                <c:pt idx="5">
                  <c:v>67.274815675013741</c:v>
                </c:pt>
                <c:pt idx="6">
                  <c:v>71.259010598839851</c:v>
                </c:pt>
                <c:pt idx="7">
                  <c:v>75.065743674886988</c:v>
                </c:pt>
                <c:pt idx="8">
                  <c:v>78.616210038808035</c:v>
                </c:pt>
                <c:pt idx="9">
                  <c:v>81.845105184943989</c:v>
                </c:pt>
                <c:pt idx="10">
                  <c:v>84.723156516442018</c:v>
                </c:pt>
                <c:pt idx="11">
                  <c:v>87.215431332438826</c:v>
                </c:pt>
                <c:pt idx="12">
                  <c:v>89.278890740788043</c:v>
                </c:pt>
                <c:pt idx="13">
                  <c:v>90.851873400906697</c:v>
                </c:pt>
                <c:pt idx="14">
                  <c:v>91.508498999492431</c:v>
                </c:pt>
                <c:pt idx="15">
                  <c:v>91.846791864574215</c:v>
                </c:pt>
                <c:pt idx="16">
                  <c:v>92.182090008185284</c:v>
                </c:pt>
                <c:pt idx="17">
                  <c:v>91.969188001107057</c:v>
                </c:pt>
                <c:pt idx="18">
                  <c:v>91.544171574727329</c:v>
                </c:pt>
                <c:pt idx="19">
                  <c:v>90.904517195119467</c:v>
                </c:pt>
                <c:pt idx="20">
                  <c:v>90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6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0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endParaRPr lang="ru-RU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146050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222250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107950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222250</xdr:colOff>
          <xdr:row>16</xdr:row>
          <xdr:rowOff>12700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107950</xdr:rowOff>
        </xdr:from>
        <xdr:to>
          <xdr:col>21</xdr:col>
          <xdr:colOff>279400</xdr:colOff>
          <xdr:row>59</xdr:row>
          <xdr:rowOff>50800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812800</xdr:colOff>
          <xdr:row>2</xdr:row>
          <xdr:rowOff>12700</xdr:rowOff>
        </xdr:from>
        <xdr:to>
          <xdr:col>8</xdr:col>
          <xdr:colOff>304800</xdr:colOff>
          <xdr:row>2</xdr:row>
          <xdr:rowOff>222250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30.1%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69850</xdr:rowOff>
        </xdr:from>
        <xdr:to>
          <xdr:col>18</xdr:col>
          <xdr:colOff>285750</xdr:colOff>
          <xdr:row>14</xdr:row>
          <xdr:rowOff>31750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12700</xdr:rowOff>
        </xdr:from>
        <xdr:to>
          <xdr:col>14</xdr:col>
          <xdr:colOff>355600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543381</xdr:colOff>
      <xdr:row>12</xdr:row>
      <xdr:rowOff>190501</xdr:rowOff>
    </xdr:from>
    <xdr:to>
      <xdr:col>28</xdr:col>
      <xdr:colOff>166311</xdr:colOff>
      <xdr:row>43</xdr:row>
      <xdr:rowOff>25703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271085</xdr:colOff>
      <xdr:row>13</xdr:row>
      <xdr:rowOff>5445</xdr:rowOff>
    </xdr:from>
    <xdr:to>
      <xdr:col>20</xdr:col>
      <xdr:colOff>461358</xdr:colOff>
      <xdr:row>43</xdr:row>
      <xdr:rowOff>81644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361950</xdr:colOff>
          <xdr:row>3</xdr:row>
          <xdr:rowOff>146050</xdr:rowOff>
        </xdr:from>
        <xdr:to>
          <xdr:col>27</xdr:col>
          <xdr:colOff>381000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355600</xdr:colOff>
          <xdr:row>7</xdr:row>
          <xdr:rowOff>114300</xdr:rowOff>
        </xdr:from>
        <xdr:to>
          <xdr:col>27</xdr:col>
          <xdr:colOff>381000</xdr:colOff>
          <xdr:row>11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</xdr:row>
          <xdr:rowOff>31750</xdr:rowOff>
        </xdr:from>
        <xdr:to>
          <xdr:col>9</xdr:col>
          <xdr:colOff>12700</xdr:colOff>
          <xdr:row>3</xdr:row>
          <xdr:rowOff>50800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12700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539751</xdr:colOff>
      <xdr:row>12</xdr:row>
      <xdr:rowOff>179918</xdr:rowOff>
    </xdr:from>
    <xdr:to>
      <xdr:col>20</xdr:col>
      <xdr:colOff>332895</xdr:colOff>
      <xdr:row>42</xdr:row>
      <xdr:rowOff>67348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336550</xdr:colOff>
          <xdr:row>3</xdr:row>
          <xdr:rowOff>146050</xdr:rowOff>
        </xdr:from>
        <xdr:to>
          <xdr:col>27</xdr:col>
          <xdr:colOff>355600</xdr:colOff>
          <xdr:row>7</xdr:row>
          <xdr:rowOff>69850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355600</xdr:colOff>
          <xdr:row>7</xdr:row>
          <xdr:rowOff>114300</xdr:rowOff>
        </xdr:from>
        <xdr:to>
          <xdr:col>27</xdr:col>
          <xdr:colOff>381000</xdr:colOff>
          <xdr:row>11</xdr:row>
          <xdr:rowOff>12700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</xdr:row>
          <xdr:rowOff>31750</xdr:rowOff>
        </xdr:from>
        <xdr:to>
          <xdr:col>9</xdr:col>
          <xdr:colOff>12700</xdr:colOff>
          <xdr:row>3</xdr:row>
          <xdr:rowOff>50800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12700</xdr:rowOff>
        </xdr:from>
        <xdr:to>
          <xdr:col>14</xdr:col>
          <xdr:colOff>0</xdr:colOff>
          <xdr:row>3</xdr:row>
          <xdr:rowOff>31750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336550</xdr:colOff>
          <xdr:row>3</xdr:row>
          <xdr:rowOff>146050</xdr:rowOff>
        </xdr:from>
        <xdr:to>
          <xdr:col>27</xdr:col>
          <xdr:colOff>355600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355600</xdr:colOff>
          <xdr:row>7</xdr:row>
          <xdr:rowOff>114300</xdr:rowOff>
        </xdr:from>
        <xdr:to>
          <xdr:col>27</xdr:col>
          <xdr:colOff>381000</xdr:colOff>
          <xdr:row>11</xdr:row>
          <xdr:rowOff>12700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</xdr:row>
          <xdr:rowOff>31750</xdr:rowOff>
        </xdr:from>
        <xdr:to>
          <xdr:col>9</xdr:col>
          <xdr:colOff>12700</xdr:colOff>
          <xdr:row>3</xdr:row>
          <xdr:rowOff>50800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12700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_by_rate"/>
      <definedName name="ESP_max_rate_m3day"/>
      <definedName name="ESP_name"/>
      <definedName name="getUFVersion"/>
      <definedName name="MF_mu_mix_cP"/>
      <definedName name="MF_q_mix_rc_m3day"/>
      <definedName name="MF_rhomix_kgm3"/>
      <definedName name="PVT_bg_m3m3"/>
      <definedName name="PVT_bo_m3m3"/>
      <definedName name="PVT_bw_m3m3"/>
      <definedName name="PVT_encode_string"/>
      <definedName name="PVT_mu_gas_cP"/>
      <definedName name="PVT_mu_oil_cP"/>
      <definedName name="PVT_mu_wat_cP"/>
      <definedName name="PVT_Muo_cP"/>
      <definedName name="PVT_pb_atma"/>
      <definedName name="PVT_rhog_kgm3"/>
      <definedName name="PVT_rhoo_kgm3"/>
      <definedName name="PVT_rhow_kgm3"/>
      <definedName name="PVT_rs_m3m3"/>
      <definedName name="PVT_salinity_ppm"/>
      <definedName name="PVT_STliqgas_Nm"/>
      <definedName name="PVT_SToilgas_Nm"/>
      <definedName name="PVT_STwatgas_Nm"/>
      <definedName name="PVT_z"/>
      <definedName name="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I9" sqref="I9"/>
    </sheetView>
  </sheetViews>
  <sheetFormatPr defaultRowHeight="14.5" x14ac:dyDescent="0.35"/>
  <sheetData>
    <row r="1" spans="1:5" x14ac:dyDescent="0.35">
      <c r="A1" t="str">
        <f>"вер "&amp;B1</f>
        <v>вер 7.9</v>
      </c>
      <c r="B1" s="16" t="str">
        <f>[1]!getUFVersion()</f>
        <v>7.9</v>
      </c>
    </row>
    <row r="2" spans="1:5" x14ac:dyDescent="0.35">
      <c r="A2" t="s">
        <v>161</v>
      </c>
    </row>
    <row r="4" spans="1:5" x14ac:dyDescent="0.35">
      <c r="A4" s="67" t="str">
        <f>"Унифлок "&amp;версия_номер_</f>
        <v>Унифлок 7.9</v>
      </c>
      <c r="B4" s="67"/>
      <c r="C4" s="67"/>
      <c r="D4" s="67"/>
      <c r="E4" s="67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zoomScale="85" zoomScaleNormal="85" workbookViewId="0">
      <selection activeCell="C19" sqref="C19"/>
    </sheetView>
  </sheetViews>
  <sheetFormatPr defaultRowHeight="14.5" outlineLevelRow="1" x14ac:dyDescent="0.35"/>
  <cols>
    <col min="1" max="1" width="7.26953125" style="11" customWidth="1"/>
    <col min="2" max="2" width="12.26953125" customWidth="1"/>
    <col min="4" max="4" width="10.1796875" customWidth="1"/>
    <col min="7" max="7" width="12.26953125" style="1" customWidth="1"/>
    <col min="8" max="8" width="13.1796875" customWidth="1"/>
    <col min="9" max="9" width="11" customWidth="1"/>
    <col min="13" max="13" width="10" customWidth="1"/>
    <col min="14" max="14" width="10.1796875" customWidth="1"/>
  </cols>
  <sheetData>
    <row r="1" spans="1:42" x14ac:dyDescent="0.35">
      <c r="A1" s="59" t="str">
        <f>"Унифлок "&amp;версия_&amp;" приложение версия 1.1"</f>
        <v>Унифлок вер 7.9 приложение версия 1.1</v>
      </c>
      <c r="J1" s="2" t="s">
        <v>23</v>
      </c>
      <c r="K1" s="2"/>
      <c r="L1" s="2"/>
    </row>
    <row r="2" spans="1:42" ht="16.5" x14ac:dyDescent="0.35">
      <c r="A2" s="68" t="s">
        <v>0</v>
      </c>
      <c r="B2" s="68"/>
      <c r="C2" s="68"/>
      <c r="D2" s="68"/>
      <c r="E2" s="68"/>
      <c r="J2" s="6" t="s">
        <v>26</v>
      </c>
      <c r="K2" s="9">
        <v>1</v>
      </c>
      <c r="L2" s="5" t="s">
        <v>6</v>
      </c>
      <c r="AO2" s="66"/>
      <c r="AP2" s="66" t="s">
        <v>151</v>
      </c>
    </row>
    <row r="3" spans="1:42" ht="18" customHeight="1" x14ac:dyDescent="0.35">
      <c r="F3" s="69" t="s">
        <v>74</v>
      </c>
      <c r="G3" s="69"/>
      <c r="H3" s="9">
        <f>AO3-1</f>
        <v>0</v>
      </c>
      <c r="J3" s="5" t="s">
        <v>27</v>
      </c>
      <c r="K3" s="9">
        <v>15</v>
      </c>
      <c r="L3" s="5" t="s">
        <v>24</v>
      </c>
      <c r="AO3" s="66">
        <v>1</v>
      </c>
      <c r="AP3" s="66" t="s">
        <v>143</v>
      </c>
    </row>
    <row r="4" spans="1:42" x14ac:dyDescent="0.35">
      <c r="AO4" s="66"/>
      <c r="AP4" s="66" t="s">
        <v>144</v>
      </c>
    </row>
    <row r="6" spans="1:42" x14ac:dyDescent="0.3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3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70" t="s">
        <v>28</v>
      </c>
      <c r="O7" s="70"/>
      <c r="P7" s="70"/>
      <c r="Q7" s="70"/>
    </row>
    <row r="8" spans="1:42" ht="16.5" x14ac:dyDescent="0.3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230</v>
      </c>
      <c r="L8" s="5" t="s">
        <v>33</v>
      </c>
      <c r="N8" s="6" t="s">
        <v>29</v>
      </c>
      <c r="O8" s="9">
        <v>0</v>
      </c>
      <c r="P8" s="5"/>
      <c r="Q8" s="2"/>
    </row>
    <row r="9" spans="1:42" ht="16.5" x14ac:dyDescent="0.3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6.5" x14ac:dyDescent="0.3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197.79999999999998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6.5" x14ac:dyDescent="0.3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6.5" x14ac:dyDescent="0.35">
      <c r="J12" s="7" t="s">
        <v>18</v>
      </c>
      <c r="K12" s="13">
        <f>Rp_m3m3_/gamma_oil_</f>
        <v>116.27906976744187</v>
      </c>
      <c r="L12" s="5" t="s">
        <v>36</v>
      </c>
    </row>
    <row r="13" spans="1:42" x14ac:dyDescent="0.35">
      <c r="F13" s="2" t="s">
        <v>5</v>
      </c>
      <c r="G13" s="2"/>
      <c r="H13" s="2"/>
    </row>
    <row r="14" spans="1:42" ht="16.5" x14ac:dyDescent="0.35">
      <c r="F14" s="5" t="s">
        <v>16</v>
      </c>
      <c r="G14" s="9">
        <v>80</v>
      </c>
      <c r="H14" s="5" t="s">
        <v>75</v>
      </c>
    </row>
    <row r="15" spans="1:42" ht="16.5" x14ac:dyDescent="0.35">
      <c r="F15" s="5" t="s">
        <v>20</v>
      </c>
      <c r="G15" s="9">
        <v>120</v>
      </c>
      <c r="H15" s="5" t="s">
        <v>2</v>
      </c>
    </row>
    <row r="16" spans="1:42" ht="16.5" x14ac:dyDescent="0.35">
      <c r="F16" s="7" t="s">
        <v>21</v>
      </c>
      <c r="G16" s="9">
        <v>1.2</v>
      </c>
      <c r="H16" s="5" t="s">
        <v>17</v>
      </c>
    </row>
    <row r="17" spans="1:28" ht="16.5" x14ac:dyDescent="0.35">
      <c r="F17" s="8" t="s">
        <v>22</v>
      </c>
      <c r="G17" s="9">
        <v>1</v>
      </c>
      <c r="H17" s="5" t="s">
        <v>7</v>
      </c>
    </row>
    <row r="19" spans="1:28" x14ac:dyDescent="0.35">
      <c r="B19" s="10" t="s">
        <v>217</v>
      </c>
      <c r="C19" s="63" t="str">
        <f>[1]!PVT_encode_string(gamma_gas_,gamma_oil_,gamma_wat_,Rsb_m3m3_,Rp_m3m3_,Pb_atma_,Tres_C_,Bob_m3m3_,mu_cP_,H3)</f>
        <v>gamma_gas:0,700;gamma_oil:0,860;gamma_wat:1,070;rsb_m3m3:100,000;rp_m3m3:100,000;pb_atma:120,000;tres_C:80,000;bob_m3m3:1,200;muob_cP:1,000;PVTcorr:0;ksep_fr:0,000;pksep_atma:-1,000;tksep_C:-1,000;gas_only:False;</v>
      </c>
      <c r="D19" s="63"/>
      <c r="E19" s="63"/>
      <c r="F19" s="63"/>
      <c r="G19" s="64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1:28" s="61" customFormat="1" ht="15.5" x14ac:dyDescent="0.35">
      <c r="A20" s="60"/>
      <c r="G20" s="62"/>
    </row>
    <row r="21" spans="1:28" x14ac:dyDescent="0.3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35"/>
    <row r="23" spans="1:28" outlineLevel="1" x14ac:dyDescent="0.3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6.5" outlineLevel="1" x14ac:dyDescent="0.35">
      <c r="B24" s="5" t="s">
        <v>79</v>
      </c>
      <c r="C24" s="22">
        <f>PVT_pb_atma(Tres_C_,gamma_gas_,gamma_oil_,gamma_w_,Rsb_m3m3_,,Pb_atma_,Tres_C_,Bob_m3m3_,mu_cP_,PVT_correlation_,Ksep_,Psep_atma_,Tsep_C_)</f>
        <v>119.99999999999999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99.261594223696079</v>
      </c>
      <c r="H24" s="2"/>
    </row>
    <row r="25" spans="1:28" ht="16.5" outlineLevel="1" x14ac:dyDescent="0.35">
      <c r="B25" s="5" t="s">
        <v>16</v>
      </c>
      <c r="C25" s="24">
        <f>Tres_C_</f>
        <v>80</v>
      </c>
      <c r="D25" s="5" t="s">
        <v>25</v>
      </c>
      <c r="E25" s="2"/>
      <c r="F25" s="2"/>
      <c r="G25" s="25">
        <f>T_C_</f>
        <v>30</v>
      </c>
      <c r="H25" s="2"/>
    </row>
    <row r="26" spans="1:28" ht="16.5" outlineLevel="1" x14ac:dyDescent="0.35">
      <c r="B26" s="7" t="s">
        <v>15</v>
      </c>
      <c r="C26" s="24">
        <f>Rsb_m3m3_</f>
        <v>100</v>
      </c>
      <c r="D26" s="5" t="s">
        <v>17</v>
      </c>
      <c r="E26" s="2"/>
      <c r="F26" s="2"/>
      <c r="G26" s="10"/>
      <c r="H26" s="2"/>
    </row>
    <row r="27" spans="1:28" ht="16.5" outlineLevel="1" x14ac:dyDescent="0.35">
      <c r="B27" s="7" t="s">
        <v>80</v>
      </c>
      <c r="C27" s="26">
        <f>[1]!PVT_bo_m3m3(C24,Tres_C_,gamma_gas_,gamma_oil_,gamma_w_,Rsb_m3m3_,,Pb_atma_,Tres_C_,Bob_m3m3_,mu_cP_,PVT_correlation_,Ksep_,Psep_atma_,Tsep_C_)</f>
        <v>1.1989311734498249</v>
      </c>
      <c r="D27" s="5" t="s">
        <v>17</v>
      </c>
      <c r="E27" s="2"/>
      <c r="F27" s="2"/>
      <c r="G27" s="10"/>
      <c r="H27" s="2"/>
    </row>
    <row r="28" spans="1:28" ht="16.5" outlineLevel="1" x14ac:dyDescent="0.35">
      <c r="B28" s="8" t="s">
        <v>81</v>
      </c>
      <c r="C28" s="22">
        <f>[1]!PVT_rhoo_kgm3(C24,Tres_C_,gamma_gas_,gamma_oil_,gamma_w_,Rsb_m3m3_,,Pb_atma_,Tres_C_,Bob_m3m3_,mu_cP_,PVT_correlation_,Ksep_,Psep_atma_,Tsep_C_)</f>
        <v>788.20845940934635</v>
      </c>
      <c r="D28" s="5" t="s">
        <v>82</v>
      </c>
      <c r="E28" s="2"/>
      <c r="F28" s="2"/>
      <c r="G28" s="10"/>
      <c r="H28" s="2"/>
    </row>
    <row r="29" spans="1:28" ht="16.5" outlineLevel="1" x14ac:dyDescent="0.35">
      <c r="B29" s="8" t="s">
        <v>83</v>
      </c>
      <c r="C29" s="27">
        <f>[1]!PVT_mu_oil_cP(C24,Tres_C_,gamma_gas_,gamma_oil_,gamma_w_,Rsb_m3m3_,,Pb_atma_,Tres_C_,Bob_m3m3_,mu_cP_,PVT_correlation_,Ksep_,Psep_atma_,Tsep_C_)</f>
        <v>1.0035657702445147</v>
      </c>
      <c r="D29" s="5" t="s">
        <v>7</v>
      </c>
      <c r="E29" s="2"/>
      <c r="F29" s="2"/>
      <c r="G29" s="10"/>
      <c r="H29" s="2"/>
    </row>
    <row r="30" spans="1:28" outlineLevel="1" x14ac:dyDescent="0.35"/>
    <row r="31" spans="1:28" outlineLevel="1" x14ac:dyDescent="0.35"/>
    <row r="32" spans="1:28" outlineLevel="1" x14ac:dyDescent="0.3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6.5" outlineLevel="1" x14ac:dyDescent="0.45">
      <c r="B33" s="5" t="s">
        <v>89</v>
      </c>
      <c r="C33" s="22">
        <f>[1]!PVT_rhoo_kgm3(Psc_atma_,Tsc_C_,gamma_gas_,gamma_oil_,gamma_w_,Rsb_m3m3_,,Pb_atma_,Tres_C_,Bob_m3m3_,mu_cP_,PVT_correlation_,Ksep_,Psep_atma_,Tsep_C_)</f>
        <v>862.85554822523807</v>
      </c>
      <c r="D33" s="5" t="s">
        <v>82</v>
      </c>
      <c r="E33" s="29">
        <f>[1]!PVT_rhoo_kgm3(Psc_atma_,Tsc_C_,gamma_gas_,gamma_oil_,gamma_w_,Rsb_m3m3_,,,,,,PVT_correlation_,Ksep_,Psep_atma_,Tsep_C_)</f>
        <v>864.35270080027806</v>
      </c>
      <c r="F33" s="30">
        <f t="shared" ref="F33:F38" si="0">(E33-C33)/E33</f>
        <v>1.7321084016441693E-3</v>
      </c>
      <c r="G33" s="31"/>
      <c r="H33" s="5" t="s">
        <v>90</v>
      </c>
      <c r="I33" s="27">
        <f>[1]!PVT_rhog_kgm3(Psc_atma_,Tsc_C_,gamma_gas_,gamma_oil_,gamma_w_,Rsb_m3m3_,,Pb_atma_,Tres_C_,Bob_m3m3_,mu_cP_,PVT_correlation_,Ksep_,Psep_atma_,Tsep_C_)</f>
        <v>0.86851485761170277</v>
      </c>
      <c r="J33" s="5" t="s">
        <v>82</v>
      </c>
      <c r="L33" s="5" t="s">
        <v>91</v>
      </c>
      <c r="M33" s="22">
        <f>[1]!PVT_rhow_kgm3(Psc_atma_,Tsc_C_,gamma_gas_,gamma_oil_,gamma_w_,Rsb_m3m3_,,Pb_atma_,Tres_C_,Bob_m3m3_,mu_cP_,PVT_correlation_,Ksep_,Psep_atma_,Tsep_C_)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0.86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0.32265604536245934</v>
      </c>
      <c r="AB33" s="34">
        <f>ABS(Pb_diff_)</f>
        <v>0.32265604536245934</v>
      </c>
      <c r="AD33" s="2" t="str">
        <f>Q35&amp; " = "&amp;IFERROR(TEXT(gamma_gas_diff_total_*100,"0.0") &amp; "%",TEXT(gamma_gas_diff_total_*100,"0,0") &amp; "%")</f>
        <v>Сумм откл = 30.1%</v>
      </c>
      <c r="AE33" s="2"/>
      <c r="AF33" s="2"/>
      <c r="AG33" s="2"/>
    </row>
    <row r="34" spans="2:33" ht="16.5" outlineLevel="1" x14ac:dyDescent="0.35">
      <c r="B34" s="5" t="s">
        <v>96</v>
      </c>
      <c r="C34" s="27">
        <f>[1]!PVT_mu_oil_cP(Psc_atma_,Tsc_C_,gamma_gas_,gamma_oil_,gamma_w_,Rsb_m3m3_,,Pb_atma_,Tres_C_,Bob_m3m3_,mu_cP_,PVT_correlation_,Ksep_,Psep_atma_,Tsep_C_)</f>
        <v>17.398202043728901</v>
      </c>
      <c r="D34" s="5" t="s">
        <v>7</v>
      </c>
      <c r="E34" s="29" t="e">
        <f ca="1">[1]!PVT_Muo_cP(Psc_atma_,Tsc_C_,gamma_gas_,gamma_oil_,gamma_w_,Rsb_m3m3_,,,,,,PVT_correlation_,Ksep_,Psep_atma_,Tsep_C_)</f>
        <v>#NAME?</v>
      </c>
      <c r="F34" s="30" t="e">
        <f t="shared" ca="1" si="0"/>
        <v>#NAME?</v>
      </c>
      <c r="G34" s="31"/>
      <c r="H34" s="5" t="s">
        <v>97</v>
      </c>
      <c r="I34" s="39">
        <f>[1]!PVT_mu_gas_cP(Psc_atma_,Tsc_C_,gamma_gas_,gamma_oil_,gamma_w_,Rsb_m3m3_,,Pb_atma_,Tres_C_,Bob_m3m3_,mu_cP_,PVT_correlation_,Ksep_,Psep_atma_,Tsep_C_)</f>
        <v>1.0255672046621608E-2</v>
      </c>
      <c r="J34" s="5" t="s">
        <v>7</v>
      </c>
      <c r="L34" s="5" t="s">
        <v>98</v>
      </c>
      <c r="M34" s="26">
        <f>[1]!PVT_mu_wat_cP(Psc_atma_,Tsc_C_,gamma_gas_,gamma_oil_,gamma_w_,Rsb_m3m3_,,Pb_atma_,Tres_C_,Bob_m3m3_,mu_cP_,PVT_correlation_,Ksep_,Psep_atma_,Tsep_C_)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177.16257623383413</v>
      </c>
      <c r="U34" s="30">
        <f>(T34-C24)/T34</f>
        <v>0.32265604536245934</v>
      </c>
      <c r="V34" s="29">
        <f>[1]!PVT_pb_atma(Tres_C_,gamma_gas_new_,gamma_oil_new_,gamma_w_,Rsb_m3m3_,,,Tres_C_,,,PVT_correlation_,Ksep_,Psep_atma_,Tsep_C_)</f>
        <v>177.16257623383413</v>
      </c>
      <c r="W34" s="30">
        <f>(V34-C24)/V34</f>
        <v>0.32265604536245934</v>
      </c>
      <c r="X34" s="2">
        <v>2</v>
      </c>
      <c r="Z34" s="7" t="s">
        <v>80</v>
      </c>
      <c r="AA34" s="33">
        <f>ABS(U35)</f>
        <v>0.35464901339588434</v>
      </c>
      <c r="AB34" s="33">
        <f>ABS(W35)</f>
        <v>0.35464901339588434</v>
      </c>
      <c r="AD34" s="2" t="str">
        <f>F9 &amp;" = "&amp;IFERROR(  TEXT(gamma_gas_,"0.00"),TEXT(gamma_gas_,"0,00")) &amp;",  "&amp; F8 &amp;" = "&amp;  IFERROR(TEXT(gamma_oil_,"0.00"),TEXT(gamma_oil_,"0,00"))</f>
        <v>γg = 0.70,  γo = 0.86</v>
      </c>
      <c r="AE34" s="2"/>
      <c r="AF34" s="2"/>
      <c r="AG34" s="2"/>
    </row>
    <row r="35" spans="2:33" ht="16.5" outlineLevel="1" x14ac:dyDescent="0.35">
      <c r="B35" s="5" t="s">
        <v>100</v>
      </c>
      <c r="C35" s="27">
        <f>[1]!PVT_rs_m3m3(P_atma_,T_C_,gamma_gas_,gamma_oil_,gamma_w_,Rsb_m3m3_,,Pb_atma_,Tres_C_,Bob_m3m3_,mu_cP_,PVT_correlation_,Ksep_,Psep_atma_,Tsep_C_)</f>
        <v>33.277540939630583</v>
      </c>
      <c r="D35" s="5" t="s">
        <v>17</v>
      </c>
      <c r="E35" s="29">
        <f>[1]!PVT_rs_m3m3(P_atma_,T_C_,gamma_gas_,gamma_oil_,gamma_w_,Rsb_m3m3_,,,,,,PVT_correlation_,Ksep_,Psep_atma_,Tsep_C_)</f>
        <v>20.818314940499885</v>
      </c>
      <c r="F35" s="30">
        <f t="shared" si="0"/>
        <v>-0.59847427780490337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0.93919425965821102</v>
      </c>
      <c r="J35" s="5"/>
      <c r="L35" s="5" t="s">
        <v>102</v>
      </c>
      <c r="M35" s="22">
        <f>[1]!PVT_salinity_ppm(Psc_atma_,Tsc_C_,gamma_gas_,gamma_oil_,gamma_w_,Rsb_m3m3_,,Pb_atma_,Tres_C_,Bob_m3m3_,mu_cP_,PVT_correlation_,Ksep_,Psep_atma_,Tsep_C_)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0.3006111499847906</v>
      </c>
      <c r="S35" s="7" t="s">
        <v>80</v>
      </c>
      <c r="T35" s="37">
        <f>[1]!PVT_bo_m3m3(T34,Tres_C_,gamma_gas_,gamma_oil_,gamma_w_,Rsb_m3m3_,,,,,,PVT_correlation_,Ksep_,Psep_atma_,Tsep_C_)</f>
        <v>1.3082526835460737</v>
      </c>
      <c r="U35" s="30">
        <f>(T35-C27)/(T35-1)</f>
        <v>0.35464901339588434</v>
      </c>
      <c r="V35" s="37">
        <f>[1]!PVT_bo_m3m3(V34,Tres_C_,gamma_gas_new_,gamma_oil_new_,gamma_w_,Rsb_m3m3_,,,,,,PVT_correlation_,Ksep_,Psep_atma_,Tsep_C_)</f>
        <v>1.3082526835460737</v>
      </c>
      <c r="W35" s="30">
        <f>(V35-C27)/(V35-1)</f>
        <v>0.35464901339588434</v>
      </c>
      <c r="X35" s="2">
        <v>2</v>
      </c>
      <c r="Z35" s="8" t="s">
        <v>83</v>
      </c>
      <c r="AA35" s="33">
        <f>ABS(U37)</f>
        <v>0.47111831970777346</v>
      </c>
      <c r="AB35" s="33">
        <f>ABS(W37)</f>
        <v>0.47111831970777346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0.86</v>
      </c>
      <c r="AE35" s="2"/>
      <c r="AF35" s="2"/>
      <c r="AG35" s="2"/>
    </row>
    <row r="36" spans="2:33" ht="16.5" outlineLevel="1" x14ac:dyDescent="0.35">
      <c r="B36" s="5" t="s">
        <v>104</v>
      </c>
      <c r="C36" s="26">
        <f>[1]!PVT_bo_m3m3(P_atma_,T_C_,gamma_gas_,gamma_oil_,gamma_w_,Rsb_m3m3_,,Pb_atma_,Tres_C_,Bob_m3m3_,mu_cP_,PVT_correlation_,Ksep_,Psep_atma_,Tsep_C_)</f>
        <v>1.0517433532998948</v>
      </c>
      <c r="D36" s="5" t="s">
        <v>17</v>
      </c>
      <c r="E36" s="29">
        <f>[1]!PVT_bo_m3m3(P_atma_,T_C_,gamma_gas_,gamma_oil_,gamma_w_,Rsb_m3m3_,,,,,,PVT_correlation_,Ksep_,Psep_atma_,Tsep_C_)</f>
        <v>1.0516657230383539</v>
      </c>
      <c r="F36" s="30">
        <f t="shared" si="0"/>
        <v>-7.3816479742782852E-5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2.4379578175196839E-2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[1]!PVT_rhoo_kgm3(C24,Tres_C_,gamma_gas_,gamma_oil_,gamma_w_,Rsb_m3m3_,,,,,,PVT_correlation_,Ksep_,Psep_atma_,Tsep_C_)</f>
        <v>756.10553589019935</v>
      </c>
      <c r="U36" s="30">
        <f>(T36-C28)/T36</f>
        <v>-4.245825747241843E-2</v>
      </c>
      <c r="V36" s="29">
        <f>[1]!PVT_rhoo_kgm3(C24,Tres_C_,gamma_gas_new_,gamma_oil_new_,gamma_w_,Rsb_m3m3_,,,,,,PVT_correlation_,Ksep_,Psep_atma_,Tsep_C_)</f>
        <v>756.10553589019935</v>
      </c>
      <c r="W36" s="30">
        <f>(V36-C28)/V36</f>
        <v>-4.245825747241843E-2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6.5" outlineLevel="1" x14ac:dyDescent="0.35">
      <c r="B37" s="5" t="s">
        <v>107</v>
      </c>
      <c r="C37" s="22">
        <f>[1]!PVT_rhoo_kgm3(P_atma_,T_C_,gamma_gas_,gamma_oil_,gamma_w_,Rsb_m3m3_,,Pb_atma_,Tres_C_,Bob_m3m3_,mu_cP_,PVT_correlation_,Ksep_,Psep_atma_,Tsep_C_)</f>
        <v>844.74850014367246</v>
      </c>
      <c r="D37" s="5" t="s">
        <v>82</v>
      </c>
      <c r="E37" s="29">
        <f>[1]!PVT_rhoo_kgm3(P_atma_,T_C_,gamma_gas_,gamma_oil_,gamma_w_,Rsb_m3m3_,,,,,,PVT_correlation_,Ksep_,Psep_atma_,Tsep_C_)</f>
        <v>834.67930495815244</v>
      </c>
      <c r="F37" s="30">
        <f t="shared" si="0"/>
        <v>-1.206354958809581E-2</v>
      </c>
      <c r="G37" s="31"/>
      <c r="H37" s="5" t="s">
        <v>108</v>
      </c>
      <c r="I37" s="22">
        <f>[1]!PVT_rhog_kgm3(P_atma_,T_C_,gamma_gas_,gamma_oil_,gamma_w_,Rsb_m3m3_,,Pb_atma_,Tres_C_,Bob_m3m3_,mu_cP_,PVT_correlation_,Ksep_,Psep_atma_,Tsep_C_)</f>
        <v>35.078129484211033</v>
      </c>
      <c r="J37" s="5" t="s">
        <v>82</v>
      </c>
      <c r="L37" s="5" t="s">
        <v>109</v>
      </c>
      <c r="M37" s="22">
        <f>[1]!PVT_rhow_kgm3(P_atma_,T_C_,gamma_gas_,gamma_oil_,gamma_w_,Rsb_m3m3_,,Pb_atma_,Tres_C_,Bob_m3m3_,mu_cP_,PVT_correlation_,Ksep_,Psep_atma_,Tsep_C_)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38">
        <f>[1]!PVT_mu_oil_cP(T34,Tres_C_,gamma_gas_,gamma_oil_,gamma_w_,Rsb_m3m3_,,,,,,PVT_correlation_,Ksep_,Psep_atma_,Tsep_C_)</f>
        <v>0.68217882735894786</v>
      </c>
      <c r="U37" s="30">
        <f>(T37-C29)/T37</f>
        <v>-0.47111831970777346</v>
      </c>
      <c r="V37" s="38">
        <f>[1]!PVT_mu_oil_cP(V34,Tres_C_,gamma_gas_new_,gamma_oil_new_,gamma_w_,Rsb_m3m3_,,,,,,PVT_correlation_,Ksep_,Psep_atma_,Tsep_C_)</f>
        <v>0.68217882735894786</v>
      </c>
      <c r="W37" s="30">
        <f>(V37-C29)/V37</f>
        <v>-0.47111831970777346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6.5" outlineLevel="1" x14ac:dyDescent="0.35">
      <c r="B38" s="5" t="s">
        <v>111</v>
      </c>
      <c r="C38" s="27">
        <f>[1]!PVT_mu_oil_cP(P_atma_,T_C_,gamma_gas_,gamma_oil_,gamma_w_,Rsb_m3m3_,,Pb_atma_,Tres_C_,Bob_m3m3_,mu_cP_,PVT_correlation_,Ksep_,Psep_atma_,Tsep_C_)</f>
        <v>2.5479213028060124</v>
      </c>
      <c r="D38" s="5" t="s">
        <v>7</v>
      </c>
      <c r="E38" s="29" t="e">
        <f ca="1">[1]!PVT_Muo_cP(P_atma_,T_C_,gamma_gas_,gamma_oil_,gamma_w_,Rsb_m3m3_,,,,,,PVT_correlation_,Ksep_,Psep_atma_,Tsep_C_)</f>
        <v>#NAME?</v>
      </c>
      <c r="F38" s="30" t="e">
        <f t="shared" ca="1" si="0"/>
        <v>#NAME?</v>
      </c>
      <c r="G38" s="31"/>
      <c r="H38" s="5" t="s">
        <v>112</v>
      </c>
      <c r="I38" s="39">
        <f>[1]!PVT_mu_gas_cP(P_atma_,T_C_,gamma_gas_,gamma_oil_,gamma_w_,Rsb_m3m3_,,Pb_atma_,Tres_C_,Bob_m3m3_,mu_cP_,PVT_correlation_,Ksep_,Psep_atma_,Tsep_C_)</f>
        <v>1.1774941966222424E-2</v>
      </c>
      <c r="J38" s="5" t="s">
        <v>7</v>
      </c>
      <c r="L38" s="5" t="s">
        <v>113</v>
      </c>
      <c r="M38" s="26">
        <f>[1]!PVT_mu_wat_cP(P_atma_,T_C_,gamma_gas_,gamma_oil_,gamma_w_,Rsb_m3m3_,,Pb_atma_,Tres_C_,Bob_m3m3_,mu_cP_,PVT_correlation_,Ksep_,Psep_atma_,Tsep_C_)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6.5" outlineLevel="1" x14ac:dyDescent="0.3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4.245825747241843E-2</v>
      </c>
      <c r="AB39" s="33">
        <f>ABS(W36)</f>
        <v>4.245825747241843E-2</v>
      </c>
    </row>
    <row r="40" spans="2:33" ht="16.5" outlineLevel="1" x14ac:dyDescent="0.3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6.5" outlineLevel="1" x14ac:dyDescent="0.35">
      <c r="B41" s="5" t="s">
        <v>174</v>
      </c>
      <c r="C41" s="65">
        <f>[1]!PVT_SToilgas_Nm(P_atma_,T_C_,gamma_gas_,gamma_oil_,gamma_w_,Rsb_m3m3_,,Pb_atma_,Tres_C_,Bob_m3m3_,mu_cP_,PVT_correlation_,Ksep_,Psep_atma_,Tsep_C_)</f>
        <v>3.8746755606618333E-2</v>
      </c>
      <c r="D41" s="5" t="s">
        <v>173</v>
      </c>
      <c r="L41" s="5" t="s">
        <v>175</v>
      </c>
      <c r="M41" s="65">
        <f>[1]!PVT_STwatgas_Nm(P_atma_,T_C_,gamma_gas_,gamma_oil_,gamma_w_,Rsb_m3m3_,,Pb_atma_,Tres_C_,Bob_m3m3_,mu_cP_,PVT_correlation_,Ksep_,Psep_atma_,Tsep_C_)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35">
      <c r="L42" s="31"/>
    </row>
    <row r="43" spans="2:33" outlineLevel="1" x14ac:dyDescent="0.35">
      <c r="B43" s="2" t="s">
        <v>120</v>
      </c>
      <c r="C43" s="2"/>
      <c r="D43" s="2"/>
      <c r="E43" s="28"/>
      <c r="F43" s="31"/>
      <c r="L43" s="31"/>
    </row>
    <row r="44" spans="2:33" ht="16.5" outlineLevel="1" x14ac:dyDescent="0.35">
      <c r="B44" s="7" t="s">
        <v>121</v>
      </c>
      <c r="C44" s="40">
        <f>[1]!MF_q_mix_rc_m3day(Ql_scm3day_,fw_perc_,P_atma_,T_C_,PVTstr_)</f>
        <v>616.03401480081459</v>
      </c>
      <c r="D44" s="5" t="s">
        <v>33</v>
      </c>
      <c r="E44" s="28"/>
      <c r="F44" s="31"/>
      <c r="L44" s="31"/>
    </row>
    <row r="45" spans="2:33" ht="16.5" outlineLevel="1" x14ac:dyDescent="0.35">
      <c r="B45" s="5" t="s">
        <v>122</v>
      </c>
      <c r="C45" s="40">
        <f>[1]!MF_rhomix_kgm3(Ql_scm3day_,fw_perc_,P_atma_,T_C_,PVTstr_)</f>
        <v>353.01519847133039</v>
      </c>
      <c r="D45" s="5" t="s">
        <v>82</v>
      </c>
      <c r="E45" s="28"/>
      <c r="F45" s="31"/>
    </row>
    <row r="46" spans="2:33" ht="16.5" outlineLevel="1" x14ac:dyDescent="0.35">
      <c r="B46" s="5" t="s">
        <v>123</v>
      </c>
      <c r="C46" s="40">
        <f>[1]!MF_mu_mix_cP(Ql_scm3day_,fw_perc_,P_atma_,T_C_,PVTstr_)</f>
        <v>1.005127952128688</v>
      </c>
      <c r="D46" s="5" t="s">
        <v>7</v>
      </c>
      <c r="E46" s="28"/>
      <c r="F46" s="31"/>
    </row>
    <row r="47" spans="2:33" ht="16.5" outlineLevel="1" x14ac:dyDescent="0.35">
      <c r="B47" s="5" t="s">
        <v>124</v>
      </c>
      <c r="E47" s="31"/>
      <c r="F47" s="31"/>
    </row>
    <row r="48" spans="2:33" ht="16.5" outlineLevel="1" x14ac:dyDescent="0.35">
      <c r="B48" s="5" t="s">
        <v>125</v>
      </c>
      <c r="E48" s="31"/>
      <c r="F48" s="31"/>
    </row>
    <row r="49" spans="1:29" ht="16.5" outlineLevel="1" x14ac:dyDescent="0.35">
      <c r="B49" s="5" t="s">
        <v>126</v>
      </c>
      <c r="E49" s="31"/>
      <c r="F49" s="31"/>
    </row>
    <row r="50" spans="1:29" outlineLevel="1" x14ac:dyDescent="0.35">
      <c r="C50">
        <f>[1]!PVT_STliqgas_Nm(P_atma_,T_C_,gamma_gas_,gamma_oil_,gamma_w_,Rsb_m3m3_,,Pb_atma_,Tres_C_,Bob_m3m3_,mu_cP_,PVT_correlation_,Ksep_,Psep_atma_,Tsep_C_)</f>
        <v>3.8746755606618333E-2</v>
      </c>
      <c r="D50" s="5" t="s">
        <v>173</v>
      </c>
      <c r="E50" s="31"/>
      <c r="F50" s="31"/>
    </row>
    <row r="51" spans="1:29" outlineLevel="1" x14ac:dyDescent="0.35">
      <c r="E51" s="31"/>
      <c r="F51" s="31"/>
    </row>
    <row r="52" spans="1:29" outlineLevel="1" x14ac:dyDescent="0.35">
      <c r="E52" s="31"/>
      <c r="F52" s="31"/>
    </row>
    <row r="53" spans="1:29" outlineLevel="1" x14ac:dyDescent="0.35"/>
    <row r="54" spans="1:29" outlineLevel="1" x14ac:dyDescent="0.35"/>
    <row r="55" spans="1:29" x14ac:dyDescent="0.35">
      <c r="L55" s="31"/>
    </row>
    <row r="56" spans="1:29" x14ac:dyDescent="0.3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3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35">
      <c r="L58" s="31"/>
      <c r="M58" s="31"/>
    </row>
    <row r="59" spans="1:29" ht="16.5" outlineLevel="1" x14ac:dyDescent="0.3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35">
      <c r="A60" s="44">
        <v>1</v>
      </c>
      <c r="B60" s="45">
        <v>1</v>
      </c>
      <c r="C60" s="2">
        <v>1</v>
      </c>
      <c r="D60" s="2">
        <v>0.39198639768953764</v>
      </c>
      <c r="E60" s="2">
        <v>0.39198639768953764</v>
      </c>
      <c r="F60">
        <v>0.24522533964564697</v>
      </c>
      <c r="G60" s="2">
        <v>1.0053644053489181</v>
      </c>
      <c r="H60" s="10">
        <v>1.0053644053489181</v>
      </c>
      <c r="I60">
        <v>1.0080208293055315</v>
      </c>
      <c r="J60" s="2">
        <v>855.74466160740519</v>
      </c>
      <c r="K60" s="2">
        <v>855.74466160740519</v>
      </c>
      <c r="L60">
        <v>853.36501910466143</v>
      </c>
      <c r="M60" s="2">
        <v>8.699673907270034</v>
      </c>
      <c r="N60" s="2">
        <v>8.699673907270034</v>
      </c>
      <c r="O60">
        <v>19.222141283362781</v>
      </c>
      <c r="P60">
        <v>0.99034498843581986</v>
      </c>
      <c r="Q60">
        <v>0.99034498843581986</v>
      </c>
      <c r="R60">
        <v>0.99034313020516418</v>
      </c>
    </row>
    <row r="61" spans="1:29" outlineLevel="1" x14ac:dyDescent="0.35">
      <c r="A61" s="44">
        <v>2</v>
      </c>
      <c r="B61" s="46">
        <f t="shared" ref="B61:B79" si="1">($B$80-$B$60)/($A$80-$A$60)+B60</f>
        <v>5.9130797111848041</v>
      </c>
      <c r="C61" s="2">
        <v>5.9130797111848041</v>
      </c>
      <c r="D61" s="2">
        <v>3.330693979468156</v>
      </c>
      <c r="E61" s="2">
        <v>3.330693979468156</v>
      </c>
      <c r="F61">
        <v>2.0836706762914035</v>
      </c>
      <c r="G61" s="2">
        <v>1.0091777989855981</v>
      </c>
      <c r="H61" s="10">
        <v>1.0091777989855981</v>
      </c>
      <c r="I61">
        <v>1.0116977970221952</v>
      </c>
      <c r="J61" s="2">
        <v>855.00134570104126</v>
      </c>
      <c r="K61" s="2">
        <v>855.00134570104126</v>
      </c>
      <c r="L61">
        <v>851.81754557754698</v>
      </c>
      <c r="M61" s="2">
        <v>7.2795800752869804</v>
      </c>
      <c r="N61" s="2">
        <v>7.2795800752869804</v>
      </c>
      <c r="O61">
        <v>17.129203978069782</v>
      </c>
      <c r="P61">
        <v>0.94369839452620818</v>
      </c>
      <c r="Q61">
        <v>0.94369839452620818</v>
      </c>
      <c r="R61">
        <v>0.94380480305796899</v>
      </c>
    </row>
    <row r="62" spans="1:29" outlineLevel="1" x14ac:dyDescent="0.35">
      <c r="A62" s="44">
        <v>3</v>
      </c>
      <c r="B62" s="46">
        <f t="shared" si="1"/>
        <v>10.826159422369608</v>
      </c>
      <c r="C62" s="2">
        <v>10.826159422369608</v>
      </c>
      <c r="D62" s="2">
        <v>6.8988737311188588</v>
      </c>
      <c r="E62" s="2">
        <v>6.8988737311188588</v>
      </c>
      <c r="F62">
        <v>4.3159116333061673</v>
      </c>
      <c r="G62" s="2">
        <v>1.013916711766224</v>
      </c>
      <c r="H62" s="10">
        <v>1.013916711766224</v>
      </c>
      <c r="I62">
        <v>1.0162312813768366</v>
      </c>
      <c r="J62" s="2">
        <v>854.01477042205386</v>
      </c>
      <c r="K62" s="2">
        <v>854.01477042205386</v>
      </c>
      <c r="L62">
        <v>849.89602297964996</v>
      </c>
      <c r="M62" s="2">
        <v>6.0401381812669444</v>
      </c>
      <c r="N62" s="2">
        <v>6.0401381812669444</v>
      </c>
      <c r="O62">
        <v>15.086593761208942</v>
      </c>
      <c r="P62">
        <v>0.89794415227863633</v>
      </c>
      <c r="Q62">
        <v>0.89794415227863633</v>
      </c>
      <c r="R62">
        <v>0.89838271320356688</v>
      </c>
    </row>
    <row r="63" spans="1:29" outlineLevel="1" x14ac:dyDescent="0.35">
      <c r="A63" s="44">
        <v>4</v>
      </c>
      <c r="B63" s="46">
        <f t="shared" si="1"/>
        <v>15.739239133554413</v>
      </c>
      <c r="C63" s="2">
        <v>15.739239133554413</v>
      </c>
      <c r="D63" s="2">
        <v>10.825286830931745</v>
      </c>
      <c r="E63" s="2">
        <v>10.825286830931745</v>
      </c>
      <c r="F63">
        <v>6.7722621384921586</v>
      </c>
      <c r="G63" s="2">
        <v>1.0192549257832111</v>
      </c>
      <c r="H63" s="10">
        <v>1.0192549257832111</v>
      </c>
      <c r="I63">
        <v>1.0213010539879912</v>
      </c>
      <c r="J63" s="2">
        <v>852.83637592135608</v>
      </c>
      <c r="K63" s="2">
        <v>852.83637592135608</v>
      </c>
      <c r="L63">
        <v>847.73394434232841</v>
      </c>
      <c r="M63" s="2">
        <v>5.0615348045428519</v>
      </c>
      <c r="N63" s="2">
        <v>5.0615348045428519</v>
      </c>
      <c r="O63">
        <v>13.299926796259093</v>
      </c>
      <c r="P63">
        <v>0.85289363234854199</v>
      </c>
      <c r="Q63">
        <v>0.85289363234854199</v>
      </c>
      <c r="R63">
        <v>0.85389787785148896</v>
      </c>
    </row>
    <row r="64" spans="1:29" outlineLevel="1" x14ac:dyDescent="0.35">
      <c r="A64" s="44">
        <v>5</v>
      </c>
      <c r="B64" s="46">
        <f t="shared" si="1"/>
        <v>20.652318844739217</v>
      </c>
      <c r="C64" s="2">
        <v>20.652318844739217</v>
      </c>
      <c r="D64" s="2">
        <v>15.01389788560717</v>
      </c>
      <c r="E64" s="2">
        <v>15.01389788560717</v>
      </c>
      <c r="F64">
        <v>9.3926427807302151</v>
      </c>
      <c r="G64" s="2">
        <v>1.0250777825884545</v>
      </c>
      <c r="H64" s="10">
        <v>1.0250777825884545</v>
      </c>
      <c r="I64">
        <v>1.0267962936902495</v>
      </c>
      <c r="J64" s="2">
        <v>851.48634587392849</v>
      </c>
      <c r="K64" s="2">
        <v>851.48634587392849</v>
      </c>
      <c r="L64">
        <v>845.37945794485836</v>
      </c>
      <c r="M64" s="2">
        <v>4.2986777188826739</v>
      </c>
      <c r="N64" s="28">
        <v>4.2986777188826739</v>
      </c>
      <c r="O64">
        <v>11.77941826821861</v>
      </c>
      <c r="P64">
        <v>0.80849849860866785</v>
      </c>
      <c r="Q64">
        <v>0.80849849860866785</v>
      </c>
      <c r="R64">
        <v>0.81029957875240433</v>
      </c>
    </row>
    <row r="65" spans="1:18" outlineLevel="1" x14ac:dyDescent="0.35">
      <c r="A65" s="44">
        <v>6</v>
      </c>
      <c r="B65" s="46">
        <f t="shared" si="1"/>
        <v>25.56539855592402</v>
      </c>
      <c r="C65" s="2">
        <v>25.56539855592402</v>
      </c>
      <c r="D65" s="2">
        <v>19.412643909507473</v>
      </c>
      <c r="E65" s="2">
        <v>19.412643909507473</v>
      </c>
      <c r="F65">
        <v>12.144483135609654</v>
      </c>
      <c r="G65" s="2">
        <v>1.0313214611959987</v>
      </c>
      <c r="H65" s="10">
        <v>1.0313214611959987</v>
      </c>
      <c r="I65">
        <v>1.0326569361256086</v>
      </c>
      <c r="J65" s="2">
        <v>849.97891727027388</v>
      </c>
      <c r="K65" s="2">
        <v>849.97891727027388</v>
      </c>
      <c r="L65">
        <v>842.8605958899708</v>
      </c>
      <c r="M65" s="2">
        <v>3.7002264522084776</v>
      </c>
      <c r="N65" s="2">
        <v>3.7002264522084776</v>
      </c>
      <c r="O65">
        <v>10.495013084946841</v>
      </c>
      <c r="P65">
        <v>0.76476180691473405</v>
      </c>
      <c r="Q65">
        <v>0.76476180691473405</v>
      </c>
      <c r="R65">
        <v>0.76758282317998527</v>
      </c>
    </row>
    <row r="66" spans="1:18" outlineLevel="1" x14ac:dyDescent="0.35">
      <c r="A66" s="44">
        <v>7</v>
      </c>
      <c r="B66" s="46">
        <f t="shared" si="1"/>
        <v>30.478478267108823</v>
      </c>
      <c r="C66" s="2">
        <v>30.478478267108823</v>
      </c>
      <c r="D66" s="2">
        <v>23.988268741157043</v>
      </c>
      <c r="E66" s="2">
        <v>23.988268741157043</v>
      </c>
      <c r="F66">
        <v>15.006978263108998</v>
      </c>
      <c r="G66" s="2">
        <v>1.0379434693687348</v>
      </c>
      <c r="H66" s="10">
        <v>1.0379434693687348</v>
      </c>
      <c r="I66">
        <v>1.0388440736855331</v>
      </c>
      <c r="J66" s="2">
        <v>848.32609244149762</v>
      </c>
      <c r="K66" s="2">
        <v>848.32609244149762</v>
      </c>
      <c r="L66">
        <v>840.19713819442973</v>
      </c>
      <c r="M66" s="2">
        <v>3.2250051908612867</v>
      </c>
      <c r="N66" s="2">
        <v>3.2250051908612867</v>
      </c>
      <c r="O66">
        <v>9.4096417226881677</v>
      </c>
      <c r="P66">
        <v>0.7217089355791344</v>
      </c>
      <c r="Q66">
        <v>0.7217089355791344</v>
      </c>
      <c r="R66">
        <v>0.72576148688122155</v>
      </c>
    </row>
    <row r="67" spans="1:18" outlineLevel="1" x14ac:dyDescent="0.35">
      <c r="A67" s="44">
        <v>8</v>
      </c>
      <c r="B67" s="46">
        <f t="shared" si="1"/>
        <v>35.391557978293626</v>
      </c>
      <c r="C67" s="2">
        <v>35.391557978293626</v>
      </c>
      <c r="D67" s="2">
        <v>28.717472444881921</v>
      </c>
      <c r="E67" s="2">
        <v>28.717472444881921</v>
      </c>
      <c r="F67">
        <v>17.965551803760047</v>
      </c>
      <c r="G67" s="2">
        <v>1.0449125980916869</v>
      </c>
      <c r="H67" s="10">
        <v>1.0449125980916869</v>
      </c>
      <c r="I67">
        <v>1.0453298098884751</v>
      </c>
      <c r="J67" s="2">
        <v>846.5386453140668</v>
      </c>
      <c r="K67" s="2">
        <v>846.5386453140668</v>
      </c>
      <c r="L67">
        <v>837.4045702766756</v>
      </c>
      <c r="M67" s="2">
        <v>2.8424457876306803</v>
      </c>
      <c r="N67" s="2">
        <v>2.8424457876306803</v>
      </c>
      <c r="O67">
        <v>8.4888966356150277</v>
      </c>
      <c r="P67">
        <v>0.67937419143118949</v>
      </c>
      <c r="Q67">
        <v>0.67937419143118949</v>
      </c>
      <c r="R67">
        <v>0.68485613630527642</v>
      </c>
    </row>
    <row r="68" spans="1:18" outlineLevel="1" x14ac:dyDescent="0.35">
      <c r="A68" s="44">
        <v>9</v>
      </c>
      <c r="B68" s="46">
        <f t="shared" si="1"/>
        <v>40.304637689478433</v>
      </c>
      <c r="C68" s="2">
        <v>40.304637689478433</v>
      </c>
      <c r="D68" s="2">
        <v>33.582919059001995</v>
      </c>
      <c r="E68" s="2">
        <v>33.582919059001995</v>
      </c>
      <c r="F68">
        <v>21.009358439673843</v>
      </c>
      <c r="G68" s="2">
        <v>1.052204485648484</v>
      </c>
      <c r="H68" s="10">
        <v>1.052204485648484</v>
      </c>
      <c r="I68">
        <v>1.0520927887801381</v>
      </c>
      <c r="J68" s="2">
        <v>844.6264853189075</v>
      </c>
      <c r="K68" s="2">
        <v>844.6264853189075</v>
      </c>
      <c r="L68">
        <v>834.49578079704759</v>
      </c>
      <c r="M68" s="2">
        <v>2.530283382084316</v>
      </c>
      <c r="N68" s="2">
        <v>2.530283382084316</v>
      </c>
      <c r="O68">
        <v>7.7035142147442617</v>
      </c>
      <c r="P68">
        <v>0.63779371087488834</v>
      </c>
      <c r="Q68">
        <v>0.63779371087488834</v>
      </c>
      <c r="R68">
        <v>0.6448877558763968</v>
      </c>
    </row>
    <row r="69" spans="1:18" outlineLevel="1" x14ac:dyDescent="0.35">
      <c r="A69" s="44">
        <v>10</v>
      </c>
      <c r="B69" s="46">
        <f t="shared" si="1"/>
        <v>45.21771740066324</v>
      </c>
      <c r="C69" s="2">
        <v>45.21771740066324</v>
      </c>
      <c r="D69" s="2">
        <v>38.571150547805694</v>
      </c>
      <c r="E69" s="2">
        <v>38.571150547805694</v>
      </c>
      <c r="F69">
        <v>24.129978870084365</v>
      </c>
      <c r="G69" s="2">
        <v>1.0597993227135396</v>
      </c>
      <c r="H69" s="10">
        <v>1.0597993227135396</v>
      </c>
      <c r="I69">
        <v>1.0591159042948526</v>
      </c>
      <c r="J69" s="2">
        <v>842.59882328529204</v>
      </c>
      <c r="K69" s="2">
        <v>842.59882328529204</v>
      </c>
      <c r="L69">
        <v>831.48191152527806</v>
      </c>
      <c r="M69" s="2">
        <v>2.2722899572312136</v>
      </c>
      <c r="N69" s="2">
        <v>2.2722899572312136</v>
      </c>
      <c r="O69">
        <v>7.0294616291957235</v>
      </c>
      <c r="P69">
        <v>0.59700146990351233</v>
      </c>
      <c r="Q69">
        <v>0.59700146990351233</v>
      </c>
      <c r="R69">
        <v>0.60587437769733143</v>
      </c>
    </row>
    <row r="70" spans="1:18" outlineLevel="1" x14ac:dyDescent="0.35">
      <c r="A70" s="44">
        <v>11</v>
      </c>
      <c r="B70" s="46">
        <f t="shared" si="1"/>
        <v>50.130797111848047</v>
      </c>
      <c r="C70" s="2">
        <v>50.130797111848047</v>
      </c>
      <c r="D70" s="2">
        <v>43.671383204425346</v>
      </c>
      <c r="E70" s="2">
        <v>43.671383204425346</v>
      </c>
      <c r="F70">
        <v>27.32066684513488</v>
      </c>
      <c r="G70" s="2">
        <v>1.0676805282277884</v>
      </c>
      <c r="H70" s="10">
        <v>1.0676805282277884</v>
      </c>
      <c r="I70">
        <v>1.0663849982603448</v>
      </c>
      <c r="J70" s="2">
        <v>840.46426480407308</v>
      </c>
      <c r="K70" s="2">
        <v>840.46426480407308</v>
      </c>
      <c r="L70">
        <v>828.37283206381744</v>
      </c>
      <c r="M70" s="2">
        <v>2.0565368095672496</v>
      </c>
      <c r="N70" s="2">
        <v>2.0565368095672496</v>
      </c>
      <c r="O70">
        <v>6.4472830901680007</v>
      </c>
      <c r="P70">
        <v>0.55702704196054287</v>
      </c>
      <c r="Q70">
        <v>0.55702704196054287</v>
      </c>
      <c r="R70">
        <v>0.56782932158282373</v>
      </c>
    </row>
    <row r="71" spans="1:18" outlineLevel="1" x14ac:dyDescent="0.35">
      <c r="A71" s="44">
        <v>12</v>
      </c>
      <c r="B71" s="46">
        <f t="shared" si="1"/>
        <v>55.043876823032853</v>
      </c>
      <c r="C71" s="2">
        <v>55.043876823032853</v>
      </c>
      <c r="D71" s="2">
        <v>48.874761381642415</v>
      </c>
      <c r="E71" s="2">
        <v>48.874761381642415</v>
      </c>
      <c r="F71">
        <v>30.575882302441194</v>
      </c>
      <c r="G71" s="2">
        <v>1.0758339217328878</v>
      </c>
      <c r="H71" s="10">
        <v>1.0758339217328878</v>
      </c>
      <c r="I71">
        <v>1.073888061197309</v>
      </c>
      <c r="J71" s="2">
        <v>838.23087278509183</v>
      </c>
      <c r="K71" s="2">
        <v>838.23087278509183</v>
      </c>
      <c r="L71">
        <v>825.17742845397902</v>
      </c>
      <c r="M71" s="2">
        <v>1.874153207376293</v>
      </c>
      <c r="N71" s="2">
        <v>1.874153207376293</v>
      </c>
      <c r="O71">
        <v>5.9413011235292226</v>
      </c>
      <c r="P71">
        <v>0.51789442761253124</v>
      </c>
      <c r="Q71">
        <v>0.51789442761253124</v>
      </c>
      <c r="R71">
        <v>0.5307604002111781</v>
      </c>
    </row>
    <row r="72" spans="1:18" outlineLevel="1" x14ac:dyDescent="0.35">
      <c r="A72" s="44">
        <v>13</v>
      </c>
      <c r="B72" s="46">
        <f t="shared" si="1"/>
        <v>59.95695653421766</v>
      </c>
      <c r="C72" s="2">
        <v>59.95695653421766</v>
      </c>
      <c r="D72" s="2">
        <v>54.173868679626857</v>
      </c>
      <c r="E72" s="2">
        <v>54.173868679626857</v>
      </c>
      <c r="F72">
        <v>33.890985567825872</v>
      </c>
      <c r="G72" s="2">
        <v>1.0842471734876096</v>
      </c>
      <c r="H72" s="10">
        <v>1.0842471734876096</v>
      </c>
      <c r="I72">
        <v>1.0816147115854664</v>
      </c>
      <c r="J72" s="2">
        <v>835.90621485395764</v>
      </c>
      <c r="K72" s="2">
        <v>835.90621485395764</v>
      </c>
      <c r="L72">
        <v>821.90379108716832</v>
      </c>
      <c r="M72" s="2">
        <v>1.7184584723758236</v>
      </c>
      <c r="N72" s="2">
        <v>1.7184584723758236</v>
      </c>
      <c r="O72">
        <v>5.4988781080973439</v>
      </c>
      <c r="P72">
        <v>0.47962158074016309</v>
      </c>
      <c r="Q72">
        <v>0.47962158074016309</v>
      </c>
      <c r="R72">
        <v>0.49466973078924525</v>
      </c>
    </row>
    <row r="73" spans="1:18" outlineLevel="1" x14ac:dyDescent="0.35">
      <c r="A73" s="44">
        <v>14</v>
      </c>
      <c r="B73" s="46">
        <f t="shared" si="1"/>
        <v>64.87003624540246</v>
      </c>
      <c r="C73" s="2">
        <v>64.87003624540246</v>
      </c>
      <c r="D73" s="2">
        <v>59.562393590542591</v>
      </c>
      <c r="E73" s="2">
        <v>59.562393590542591</v>
      </c>
      <c r="F73">
        <v>37.262028183735517</v>
      </c>
      <c r="G73" s="2">
        <v>1.0929094212817836</v>
      </c>
      <c r="H73" s="10">
        <v>1.0929094212817836</v>
      </c>
      <c r="I73">
        <v>1.0895558399781531</v>
      </c>
      <c r="J73" s="2">
        <v>833.49740210522918</v>
      </c>
      <c r="K73" s="2">
        <v>833.49740210522918</v>
      </c>
      <c r="L73">
        <v>818.55934423731026</v>
      </c>
      <c r="M73" s="2">
        <v>1.5843568380798965</v>
      </c>
      <c r="N73" s="2">
        <v>1.5843568380798965</v>
      </c>
      <c r="O73">
        <v>5.109795332848301</v>
      </c>
      <c r="P73">
        <v>0.44222040416910596</v>
      </c>
      <c r="Q73">
        <v>0.44222040416910596</v>
      </c>
      <c r="R73">
        <v>0.45955393739525124</v>
      </c>
    </row>
    <row r="74" spans="1:18" outlineLevel="1" x14ac:dyDescent="0.35">
      <c r="A74" s="44">
        <v>15</v>
      </c>
      <c r="B74" s="46">
        <f t="shared" si="1"/>
        <v>69.783115956587267</v>
      </c>
      <c r="C74" s="2">
        <v>69.783115956587267</v>
      </c>
      <c r="D74" s="2">
        <v>65.034892614042533</v>
      </c>
      <c r="E74" s="2">
        <v>65.034892614042533</v>
      </c>
      <c r="F74">
        <v>40.685604715110827</v>
      </c>
      <c r="G74" s="2">
        <v>1.1018109930431956</v>
      </c>
      <c r="H74" s="10">
        <v>1.1018109930431956</v>
      </c>
      <c r="I74">
        <v>1.0977033560995806</v>
      </c>
      <c r="J74" s="2">
        <v>831.01112223038695</v>
      </c>
      <c r="K74" s="2">
        <v>831.01112223038695</v>
      </c>
      <c r="L74">
        <v>815.15093975456739</v>
      </c>
      <c r="M74" s="2">
        <v>1.4679131960280634</v>
      </c>
      <c r="N74" s="2">
        <v>1.4679131960280634</v>
      </c>
      <c r="O74">
        <v>4.7657521134140053</v>
      </c>
      <c r="P74">
        <v>0.40569706788286175</v>
      </c>
      <c r="Q74">
        <v>0.40569706788286175</v>
      </c>
      <c r="R74">
        <v>0.42540460627061427</v>
      </c>
    </row>
    <row r="75" spans="1:18" outlineLevel="1" x14ac:dyDescent="0.35">
      <c r="A75" s="44">
        <v>16</v>
      </c>
      <c r="B75" s="46">
        <f t="shared" si="1"/>
        <v>74.696195667772074</v>
      </c>
      <c r="C75" s="2">
        <v>74.696195667772074</v>
      </c>
      <c r="D75" s="2">
        <v>70.586617473020823</v>
      </c>
      <c r="E75" s="2">
        <v>70.586617473020823</v>
      </c>
      <c r="F75">
        <v>44.158744656156443</v>
      </c>
      <c r="G75" s="2">
        <v>1.1109431997168528</v>
      </c>
      <c r="H75" s="10">
        <v>1.1109431997168528</v>
      </c>
      <c r="I75">
        <v>1.1060500032041969</v>
      </c>
      <c r="J75" s="2">
        <v>828.45366858659111</v>
      </c>
      <c r="K75" s="2">
        <v>828.45366858659111</v>
      </c>
      <c r="L75">
        <v>811.68492766303518</v>
      </c>
      <c r="M75" s="2">
        <v>1.3660528706447512</v>
      </c>
      <c r="N75" s="2">
        <v>1.3660528706447512</v>
      </c>
      <c r="O75">
        <v>4.4599695141416973</v>
      </c>
      <c r="P75">
        <v>0.37005255000022846</v>
      </c>
      <c r="Q75">
        <v>0.37005255000022846</v>
      </c>
      <c r="R75">
        <v>0.39220890251892532</v>
      </c>
    </row>
    <row r="76" spans="1:18" outlineLevel="1" x14ac:dyDescent="0.35">
      <c r="A76" s="44">
        <v>17</v>
      </c>
      <c r="B76" s="46">
        <f t="shared" si="1"/>
        <v>79.60927537895688</v>
      </c>
      <c r="C76" s="2">
        <v>79.60927537895688</v>
      </c>
      <c r="D76" s="2">
        <v>76.213385956574797</v>
      </c>
      <c r="E76" s="2">
        <v>76.213385956574797</v>
      </c>
      <c r="F76">
        <v>47.678831630143243</v>
      </c>
      <c r="G76" s="2">
        <v>1.120298176615711</v>
      </c>
      <c r="H76" s="10">
        <v>1.120298176615711</v>
      </c>
      <c r="I76">
        <v>1.1145892180443424</v>
      </c>
      <c r="J76" s="2">
        <v>825.83096611926464</v>
      </c>
      <c r="K76" s="2">
        <v>825.83096611926464</v>
      </c>
      <c r="L76">
        <v>808.16721123705156</v>
      </c>
      <c r="M76" s="2">
        <v>1.2763468063126029</v>
      </c>
      <c r="N76" s="2">
        <v>1.2763468063126029</v>
      </c>
      <c r="O76">
        <v>4.186879479895997</v>
      </c>
      <c r="P76">
        <v>0.33528333025605495</v>
      </c>
      <c r="Q76">
        <v>0.33528333025605495</v>
      </c>
      <c r="R76">
        <v>0.35995028579310601</v>
      </c>
    </row>
    <row r="77" spans="1:18" outlineLevel="1" x14ac:dyDescent="0.35">
      <c r="A77" s="44">
        <v>18</v>
      </c>
      <c r="B77" s="46">
        <f t="shared" si="1"/>
        <v>84.522355090141687</v>
      </c>
      <c r="C77" s="2">
        <v>84.522355090141687</v>
      </c>
      <c r="D77" s="2">
        <v>81.911483331315523</v>
      </c>
      <c r="E77" s="2">
        <v>81.911483331315523</v>
      </c>
      <c r="F77">
        <v>51.243541712663692</v>
      </c>
      <c r="G77" s="2">
        <v>1.1298687592775458</v>
      </c>
      <c r="H77" s="10">
        <v>1.1298687592775458</v>
      </c>
      <c r="I77">
        <v>1.1233150227673139</v>
      </c>
      <c r="J77" s="2">
        <v>823.14859473129854</v>
      </c>
      <c r="K77" s="2">
        <v>823.14859473129854</v>
      </c>
      <c r="L77">
        <v>804.60329125721387</v>
      </c>
      <c r="M77" s="2">
        <v>1.1968560659102583</v>
      </c>
      <c r="N77" s="2">
        <v>1.1968560659102583</v>
      </c>
      <c r="O77">
        <v>3.941881596185512</v>
      </c>
      <c r="P77">
        <v>0.30138218537840816</v>
      </c>
      <c r="Q77">
        <v>0.30138218537840816</v>
      </c>
      <c r="R77">
        <v>0.32860928186250504</v>
      </c>
    </row>
    <row r="78" spans="1:18" outlineLevel="1" x14ac:dyDescent="0.35">
      <c r="A78" s="44">
        <v>19</v>
      </c>
      <c r="B78" s="46">
        <f t="shared" si="1"/>
        <v>89.435434801326494</v>
      </c>
      <c r="C78" s="2">
        <v>89.435434801326494</v>
      </c>
      <c r="D78" s="2">
        <v>87.677585711374817</v>
      </c>
      <c r="E78" s="2">
        <v>87.677585711374817</v>
      </c>
      <c r="F78">
        <v>54.850795492172466</v>
      </c>
      <c r="G78" s="2">
        <v>1.1396483845514132</v>
      </c>
      <c r="H78" s="10">
        <v>1.1396483845514132</v>
      </c>
      <c r="I78">
        <v>1.1322219397893958</v>
      </c>
      <c r="J78" s="2">
        <v>820.41181051867727</v>
      </c>
      <c r="K78" s="2">
        <v>820.41181051867727</v>
      </c>
      <c r="L78">
        <v>800.99830247561226</v>
      </c>
      <c r="M78" s="2">
        <v>1.1260179399617538</v>
      </c>
      <c r="N78" s="2">
        <v>1.1260179399617538</v>
      </c>
      <c r="O78">
        <v>3.721152608527647</v>
      </c>
      <c r="P78">
        <v>0.26833904937090636</v>
      </c>
      <c r="Q78">
        <v>0.26833904937090636</v>
      </c>
      <c r="R78">
        <v>0.2981642802084542</v>
      </c>
    </row>
    <row r="79" spans="1:18" outlineLevel="1" x14ac:dyDescent="0.35">
      <c r="A79" s="44">
        <v>20</v>
      </c>
      <c r="B79" s="46">
        <f t="shared" si="1"/>
        <v>94.348514512511301</v>
      </c>
      <c r="C79" s="2">
        <v>94.348514512511301</v>
      </c>
      <c r="D79" s="2">
        <v>93.508699547004454</v>
      </c>
      <c r="E79" s="2">
        <v>93.508699547004454</v>
      </c>
      <c r="F79">
        <v>58.498720214262562</v>
      </c>
      <c r="G79" s="2">
        <v>1.1496310105571559</v>
      </c>
      <c r="H79" s="10">
        <v>1.1496310105571559</v>
      </c>
      <c r="I79">
        <v>1.1413049236047763</v>
      </c>
      <c r="J79" s="2">
        <v>817.62556518900601</v>
      </c>
      <c r="K79" s="2">
        <v>817.62556518900601</v>
      </c>
      <c r="L79">
        <v>797.35704430831811</v>
      </c>
      <c r="M79" s="2">
        <v>1.0625615723945179</v>
      </c>
      <c r="N79" s="2">
        <v>1.0625615723945179</v>
      </c>
      <c r="O79">
        <v>3.5214968338972046</v>
      </c>
      <c r="P79">
        <v>0.23614191133325801</v>
      </c>
      <c r="Q79">
        <v>0.23614191133325801</v>
      </c>
      <c r="R79">
        <v>0.26859233704544261</v>
      </c>
    </row>
    <row r="80" spans="1:18" outlineLevel="1" x14ac:dyDescent="0.35">
      <c r="A80" s="44">
        <v>21</v>
      </c>
      <c r="B80" s="47">
        <f>G24</f>
        <v>99.261594223696079</v>
      </c>
      <c r="C80" s="2">
        <v>99.261594223696079</v>
      </c>
      <c r="D80" s="2">
        <v>99.402113171021938</v>
      </c>
      <c r="E80" s="2">
        <v>99.402113171021938</v>
      </c>
      <c r="F80">
        <v>62.185619469288788</v>
      </c>
      <c r="G80" s="2">
        <v>1.1598110510438144</v>
      </c>
      <c r="H80" s="10">
        <v>1.1598110510438144</v>
      </c>
      <c r="I80">
        <v>1.1505593053400971</v>
      </c>
      <c r="J80" s="2">
        <v>814.79452391165955</v>
      </c>
      <c r="K80" s="2">
        <v>814.79452391165955</v>
      </c>
      <c r="L80">
        <v>793.68400713947676</v>
      </c>
      <c r="M80" s="2">
        <v>1.0054447609364912</v>
      </c>
      <c r="N80" s="2">
        <v>1.0054447609364912</v>
      </c>
      <c r="O80">
        <v>3.3402282103479428</v>
      </c>
      <c r="P80">
        <v>0.20477773020004303</v>
      </c>
      <c r="Q80">
        <v>0.20477773020004303</v>
      </c>
      <c r="R80">
        <v>0.23986996956425102</v>
      </c>
    </row>
    <row r="81" spans="1:18" outlineLevel="1" x14ac:dyDescent="0.35">
      <c r="A81" s="44">
        <v>22</v>
      </c>
      <c r="B81" s="46">
        <f t="shared" ref="B81:B99" si="2">($B$100-$B$80)/($A$100-$A$80)+B80</f>
        <v>109.29851451251128</v>
      </c>
      <c r="C81" s="2">
        <v>109.29851451251128</v>
      </c>
      <c r="D81" s="2">
        <v>100</v>
      </c>
      <c r="E81" s="2">
        <v>100</v>
      </c>
      <c r="F81">
        <v>69.832391150560952</v>
      </c>
      <c r="G81" s="2">
        <v>1.1582716511347877</v>
      </c>
      <c r="H81" s="10">
        <v>1.1582716511347877</v>
      </c>
      <c r="I81">
        <v>1.169979944962791</v>
      </c>
      <c r="J81" s="2">
        <v>816.31886533150612</v>
      </c>
      <c r="K81" s="2">
        <v>816.31886533150612</v>
      </c>
      <c r="L81">
        <v>786.09891267606145</v>
      </c>
      <c r="M81" s="2">
        <v>1.0207529765567527</v>
      </c>
      <c r="N81" s="2">
        <v>1.0207529765567527</v>
      </c>
      <c r="O81">
        <v>3.0179300771231135</v>
      </c>
      <c r="P81">
        <v>0.14323864148035362</v>
      </c>
      <c r="Q81">
        <v>0.14323864148035362</v>
      </c>
      <c r="R81">
        <v>0.18373743834635339</v>
      </c>
    </row>
    <row r="82" spans="1:18" outlineLevel="1" x14ac:dyDescent="0.35">
      <c r="A82" s="44">
        <v>23</v>
      </c>
      <c r="B82" s="46">
        <f t="shared" si="2"/>
        <v>119.33543480132647</v>
      </c>
      <c r="C82" s="2">
        <v>119.33543480132647</v>
      </c>
      <c r="D82" s="2">
        <v>100</v>
      </c>
      <c r="E82" s="2">
        <v>100</v>
      </c>
      <c r="F82">
        <v>77.623947773431695</v>
      </c>
      <c r="G82" s="2">
        <v>1.1561324003571178</v>
      </c>
      <c r="H82" s="10">
        <v>1.1561324003571178</v>
      </c>
      <c r="I82">
        <v>1.1900647253628218</v>
      </c>
      <c r="J82" s="2">
        <v>817.82934178467667</v>
      </c>
      <c r="K82" s="2">
        <v>817.82934178467667</v>
      </c>
      <c r="L82">
        <v>778.4309577060435</v>
      </c>
      <c r="M82" s="2">
        <v>1.0436752181585873</v>
      </c>
      <c r="N82" s="2">
        <v>1.0436752181585873</v>
      </c>
      <c r="O82">
        <v>2.7479651483479524</v>
      </c>
      <c r="P82">
        <v>8.5025749798818134E-2</v>
      </c>
      <c r="Q82">
        <v>8.5025749798818134E-2</v>
      </c>
      <c r="R82">
        <v>0.13087400987928097</v>
      </c>
    </row>
    <row r="83" spans="1:18" outlineLevel="1" x14ac:dyDescent="0.35">
      <c r="A83" s="44">
        <v>24</v>
      </c>
      <c r="B83" s="46">
        <f t="shared" si="2"/>
        <v>129.37235509014167</v>
      </c>
      <c r="C83" s="2">
        <v>129.37235509014167</v>
      </c>
      <c r="D83" s="2">
        <v>100</v>
      </c>
      <c r="E83" s="2">
        <v>100</v>
      </c>
      <c r="F83">
        <v>85.550488074551552</v>
      </c>
      <c r="G83" s="2">
        <v>1.1543281620962356</v>
      </c>
      <c r="H83" s="10">
        <v>1.1543281620962356</v>
      </c>
      <c r="I83">
        <v>1.2107843370644027</v>
      </c>
      <c r="J83" s="2">
        <v>819.10762558452825</v>
      </c>
      <c r="K83" s="2">
        <v>819.10762558452825</v>
      </c>
      <c r="L83">
        <v>770.70861699364718</v>
      </c>
      <c r="M83" s="2">
        <v>1.0686200137921675</v>
      </c>
      <c r="N83" s="2">
        <v>1.0686200137921675</v>
      </c>
      <c r="O83">
        <v>2.5191569351789669</v>
      </c>
      <c r="P83">
        <v>3.008668064695837E-2</v>
      </c>
      <c r="Q83">
        <v>3.008668064695837E-2</v>
      </c>
      <c r="R83">
        <v>8.1140523979548809E-2</v>
      </c>
    </row>
    <row r="84" spans="1:18" outlineLevel="1" x14ac:dyDescent="0.35">
      <c r="A84" s="44">
        <v>25</v>
      </c>
      <c r="B84" s="46">
        <f t="shared" si="2"/>
        <v>139.40927537895686</v>
      </c>
      <c r="C84" s="2">
        <v>139.40927537895686</v>
      </c>
      <c r="D84" s="2">
        <v>100</v>
      </c>
      <c r="E84" s="2">
        <v>100</v>
      </c>
      <c r="F84">
        <v>93.603592056427246</v>
      </c>
      <c r="G84" s="2">
        <v>1.1527859568401784</v>
      </c>
      <c r="H84" s="10">
        <v>1.1527859568401784</v>
      </c>
      <c r="I84">
        <v>1.2321127799103735</v>
      </c>
      <c r="J84" s="2">
        <v>820.20343359464277</v>
      </c>
      <c r="K84" s="2">
        <v>820.20343359464277</v>
      </c>
      <c r="L84">
        <v>762.95682604567833</v>
      </c>
      <c r="M84" s="2">
        <v>1.0954628964424935</v>
      </c>
      <c r="N84" s="2">
        <v>1.0954628964424935</v>
      </c>
      <c r="O84">
        <v>2.3231931564587418</v>
      </c>
      <c r="P84">
        <v>0</v>
      </c>
      <c r="Q84">
        <v>0</v>
      </c>
      <c r="R84">
        <v>3.4460110113717669E-2</v>
      </c>
    </row>
    <row r="85" spans="1:18" outlineLevel="1" x14ac:dyDescent="0.35">
      <c r="A85" s="44">
        <v>26</v>
      </c>
      <c r="B85" s="46">
        <f t="shared" si="2"/>
        <v>149.44619566777206</v>
      </c>
      <c r="C85" s="2">
        <v>149.44619566777206</v>
      </c>
      <c r="D85" s="2">
        <v>100</v>
      </c>
      <c r="E85" s="2">
        <v>100</v>
      </c>
      <c r="F85">
        <v>100</v>
      </c>
      <c r="G85" s="2">
        <v>1.1514525669086972</v>
      </c>
      <c r="H85" s="10">
        <v>1.1514525669086972</v>
      </c>
      <c r="I85">
        <v>1.2486555694666963</v>
      </c>
      <c r="J85" s="2">
        <v>821.15323476887397</v>
      </c>
      <c r="K85" s="2">
        <v>821.15323476887397</v>
      </c>
      <c r="L85">
        <v>757.22963411265869</v>
      </c>
      <c r="M85" s="2">
        <v>1.1240959486950539</v>
      </c>
      <c r="N85" s="2">
        <v>1.1240959486950539</v>
      </c>
      <c r="O85">
        <v>2.1969105778534734</v>
      </c>
      <c r="P85">
        <v>0</v>
      </c>
      <c r="Q85">
        <v>0</v>
      </c>
      <c r="R85">
        <v>0</v>
      </c>
    </row>
    <row r="86" spans="1:18" outlineLevel="1" x14ac:dyDescent="0.35">
      <c r="A86" s="44">
        <v>27</v>
      </c>
      <c r="B86" s="46">
        <f t="shared" si="2"/>
        <v>159.48311595658726</v>
      </c>
      <c r="C86" s="2">
        <v>159.48311595658726</v>
      </c>
      <c r="D86" s="2">
        <v>100</v>
      </c>
      <c r="E86" s="2">
        <v>100</v>
      </c>
      <c r="F86">
        <v>100</v>
      </c>
      <c r="G86" s="2">
        <v>1.1502882716457308</v>
      </c>
      <c r="H86" s="10">
        <v>1.1502882716457308</v>
      </c>
      <c r="I86">
        <v>1.2467919988513796</v>
      </c>
      <c r="J86" s="2">
        <v>821.98438713735209</v>
      </c>
      <c r="K86" s="2">
        <v>821.98438713735209</v>
      </c>
      <c r="L86">
        <v>758.36145954663607</v>
      </c>
      <c r="M86" s="2">
        <v>1.154423566787018</v>
      </c>
      <c r="N86" s="2">
        <v>1.154423566787018</v>
      </c>
      <c r="O86">
        <v>2.2277934807390247</v>
      </c>
      <c r="P86">
        <v>0</v>
      </c>
      <c r="Q86">
        <v>0</v>
      </c>
      <c r="R86">
        <v>0</v>
      </c>
    </row>
    <row r="87" spans="1:18" outlineLevel="1" x14ac:dyDescent="0.35">
      <c r="A87" s="44">
        <v>28</v>
      </c>
      <c r="B87" s="46">
        <f t="shared" si="2"/>
        <v>169.52003624540245</v>
      </c>
      <c r="C87" s="2">
        <v>169.52003624540245</v>
      </c>
      <c r="D87" s="2">
        <v>100</v>
      </c>
      <c r="E87" s="2">
        <v>100</v>
      </c>
      <c r="F87">
        <v>100</v>
      </c>
      <c r="G87" s="2">
        <v>1.1492628237295195</v>
      </c>
      <c r="H87" s="10">
        <v>1.1492628237295195</v>
      </c>
      <c r="I87">
        <v>1.2451514112479076</v>
      </c>
      <c r="J87" s="2">
        <v>822.71781569655047</v>
      </c>
      <c r="K87" s="2">
        <v>822.71781569655047</v>
      </c>
      <c r="L87">
        <v>759.36066205184477</v>
      </c>
      <c r="M87" s="2">
        <v>1.186359256812282</v>
      </c>
      <c r="N87" s="2">
        <v>1.186359256812282</v>
      </c>
      <c r="O87">
        <v>2.260873652360408</v>
      </c>
      <c r="P87">
        <v>0</v>
      </c>
      <c r="Q87">
        <v>0</v>
      </c>
      <c r="R87">
        <v>0</v>
      </c>
    </row>
    <row r="88" spans="1:18" outlineLevel="1" x14ac:dyDescent="0.35">
      <c r="A88" s="44">
        <v>29</v>
      </c>
      <c r="B88" s="46">
        <f t="shared" si="2"/>
        <v>179.55695653421765</v>
      </c>
      <c r="C88" s="2">
        <v>179.55695653421765</v>
      </c>
      <c r="D88" s="2">
        <v>100</v>
      </c>
      <c r="E88" s="2">
        <v>100</v>
      </c>
      <c r="F88">
        <v>100</v>
      </c>
      <c r="G88" s="2">
        <v>1.1483527839040586</v>
      </c>
      <c r="H88" s="10">
        <v>1.1483527839040586</v>
      </c>
      <c r="I88">
        <v>1.2436960459368558</v>
      </c>
      <c r="J88" s="2">
        <v>823.36979824746538</v>
      </c>
      <c r="K88" s="2">
        <v>823.36979824746538</v>
      </c>
      <c r="L88">
        <v>760.24926113498736</v>
      </c>
      <c r="M88" s="2">
        <v>1.2198231793090057</v>
      </c>
      <c r="N88" s="2">
        <v>1.2198231793090057</v>
      </c>
      <c r="O88">
        <v>2.2960464389042663</v>
      </c>
      <c r="P88">
        <v>0</v>
      </c>
      <c r="Q88">
        <v>0</v>
      </c>
      <c r="R88">
        <v>0</v>
      </c>
    </row>
    <row r="89" spans="1:18" outlineLevel="1" x14ac:dyDescent="0.35">
      <c r="A89" s="44">
        <v>30</v>
      </c>
      <c r="B89" s="46">
        <f t="shared" si="2"/>
        <v>189.59387682303284</v>
      </c>
      <c r="C89" s="2">
        <v>189.59387682303284</v>
      </c>
      <c r="D89" s="2">
        <v>100</v>
      </c>
      <c r="E89" s="2">
        <v>100</v>
      </c>
      <c r="F89">
        <v>100</v>
      </c>
      <c r="G89" s="2">
        <v>1.1475397075941829</v>
      </c>
      <c r="H89" s="10">
        <v>1.1475397075941829</v>
      </c>
      <c r="I89">
        <v>1.2423962124523464</v>
      </c>
      <c r="J89" s="2">
        <v>823.95318762631814</v>
      </c>
      <c r="K89" s="2">
        <v>823.95318762631814</v>
      </c>
      <c r="L89">
        <v>761.04465751199837</v>
      </c>
      <c r="M89" s="2">
        <v>1.2547402484110013</v>
      </c>
      <c r="N89" s="2">
        <v>1.2547402484110013</v>
      </c>
      <c r="O89">
        <v>2.3332188042345927</v>
      </c>
      <c r="P89">
        <v>0</v>
      </c>
      <c r="Q89">
        <v>0</v>
      </c>
      <c r="R89">
        <v>0</v>
      </c>
    </row>
    <row r="90" spans="1:18" outlineLevel="1" x14ac:dyDescent="0.35">
      <c r="A90" s="44">
        <v>31</v>
      </c>
      <c r="B90" s="46">
        <f t="shared" si="2"/>
        <v>199.63079711184804</v>
      </c>
      <c r="C90" s="2">
        <v>199.63079711184804</v>
      </c>
      <c r="D90" s="2">
        <v>100</v>
      </c>
      <c r="E90" s="2">
        <v>100</v>
      </c>
      <c r="F90">
        <v>100</v>
      </c>
      <c r="G90" s="2">
        <v>1.146808881811203</v>
      </c>
      <c r="H90" s="10">
        <v>1.146808881811203</v>
      </c>
      <c r="I90">
        <v>1.2412282440082927</v>
      </c>
      <c r="J90" s="2">
        <v>824.47826747443958</v>
      </c>
      <c r="K90" s="2">
        <v>824.47826747443958</v>
      </c>
      <c r="L90">
        <v>761.76078377546401</v>
      </c>
      <c r="M90" s="2">
        <v>1.2910386501741087</v>
      </c>
      <c r="N90" s="2">
        <v>1.2910386501741087</v>
      </c>
      <c r="O90">
        <v>2.3723072099186853</v>
      </c>
      <c r="P90">
        <v>0</v>
      </c>
      <c r="Q90">
        <v>0</v>
      </c>
      <c r="R90">
        <v>0</v>
      </c>
    </row>
    <row r="91" spans="1:18" outlineLevel="1" x14ac:dyDescent="0.35">
      <c r="A91" s="44">
        <v>32</v>
      </c>
      <c r="B91" s="46">
        <f t="shared" si="2"/>
        <v>209.66771740066324</v>
      </c>
      <c r="C91" s="2">
        <v>209.66771740066324</v>
      </c>
      <c r="D91" s="2">
        <v>100</v>
      </c>
      <c r="E91" s="2">
        <v>100</v>
      </c>
      <c r="F91">
        <v>100</v>
      </c>
      <c r="G91" s="2">
        <v>1.1461484269068909</v>
      </c>
      <c r="H91" s="10">
        <v>1.1461484269068909</v>
      </c>
      <c r="I91">
        <v>1.2401730436485923</v>
      </c>
      <c r="J91" s="2">
        <v>824.95336363342642</v>
      </c>
      <c r="K91" s="2">
        <v>824.95336363342642</v>
      </c>
      <c r="L91">
        <v>762.40892740119614</v>
      </c>
      <c r="M91" s="2">
        <v>1.3286486835913016</v>
      </c>
      <c r="N91" s="2">
        <v>1.3286486835913016</v>
      </c>
      <c r="O91">
        <v>2.4132358958560109</v>
      </c>
      <c r="P91">
        <v>0</v>
      </c>
      <c r="Q91">
        <v>0</v>
      </c>
      <c r="R91">
        <v>0</v>
      </c>
    </row>
    <row r="92" spans="1:18" outlineLevel="1" x14ac:dyDescent="0.35">
      <c r="A92" s="44">
        <v>33</v>
      </c>
      <c r="B92" s="46">
        <f t="shared" si="2"/>
        <v>219.70463768947843</v>
      </c>
      <c r="C92" s="2">
        <v>219.70463768947843</v>
      </c>
      <c r="D92" s="2">
        <v>100</v>
      </c>
      <c r="E92" s="2">
        <v>100</v>
      </c>
      <c r="F92">
        <v>100</v>
      </c>
      <c r="G92" s="2">
        <v>1.1455486458721875</v>
      </c>
      <c r="H92" s="10">
        <v>1.1455486458721875</v>
      </c>
      <c r="I92">
        <v>1.2392150320732858</v>
      </c>
      <c r="J92" s="2">
        <v>825.38528888060375</v>
      </c>
      <c r="K92" s="2">
        <v>825.38528888060375</v>
      </c>
      <c r="L92">
        <v>762.99833001386889</v>
      </c>
      <c r="M92" s="2">
        <v>1.3675018542704318</v>
      </c>
      <c r="N92" s="2">
        <v>1.3675018542704318</v>
      </c>
      <c r="O92">
        <v>2.4559354731722225</v>
      </c>
      <c r="P92">
        <v>0</v>
      </c>
      <c r="Q92">
        <v>0</v>
      </c>
      <c r="R92">
        <v>0</v>
      </c>
    </row>
    <row r="93" spans="1:18" outlineLevel="1" x14ac:dyDescent="0.35">
      <c r="A93" s="44">
        <v>34</v>
      </c>
      <c r="B93" s="46">
        <f t="shared" si="2"/>
        <v>229.74155797829363</v>
      </c>
      <c r="C93" s="2">
        <v>229.74155797829363</v>
      </c>
      <c r="D93" s="2">
        <v>100</v>
      </c>
      <c r="E93" s="2">
        <v>100</v>
      </c>
      <c r="F93">
        <v>100</v>
      </c>
      <c r="G93" s="2">
        <v>1.145001545086368</v>
      </c>
      <c r="H93" s="10">
        <v>1.145001545086368</v>
      </c>
      <c r="I93">
        <v>1.2383413733695241</v>
      </c>
      <c r="J93" s="2">
        <v>825.77967170225872</v>
      </c>
      <c r="K93" s="2">
        <v>825.77967170225872</v>
      </c>
      <c r="L93">
        <v>763.5366307977298</v>
      </c>
      <c r="M93" s="2">
        <v>1.4075301690824011</v>
      </c>
      <c r="N93" s="2">
        <v>1.4075301690824011</v>
      </c>
      <c r="O93">
        <v>2.5003417635681928</v>
      </c>
      <c r="P93">
        <v>0</v>
      </c>
      <c r="Q93">
        <v>0</v>
      </c>
      <c r="R93">
        <v>0</v>
      </c>
    </row>
    <row r="94" spans="1:18" outlineLevel="1" x14ac:dyDescent="0.35">
      <c r="A94" s="44">
        <v>35</v>
      </c>
      <c r="B94" s="46">
        <f t="shared" si="2"/>
        <v>239.77847826710882</v>
      </c>
      <c r="C94" s="2">
        <v>239.77847826710882</v>
      </c>
      <c r="D94" s="2">
        <v>100</v>
      </c>
      <c r="E94" s="2">
        <v>100</v>
      </c>
      <c r="F94">
        <v>100</v>
      </c>
      <c r="G94" s="2">
        <v>1.1445004760303001</v>
      </c>
      <c r="H94" s="10">
        <v>1.1445004760303001</v>
      </c>
      <c r="I94">
        <v>1.2375413966245108</v>
      </c>
      <c r="J94" s="2">
        <v>826.14120291110112</v>
      </c>
      <c r="K94" s="2">
        <v>826.14120291110112</v>
      </c>
      <c r="L94">
        <v>764.03019937674458</v>
      </c>
      <c r="M94" s="2">
        <v>1.4486655929978147</v>
      </c>
      <c r="N94" s="2">
        <v>1.4486655929978147</v>
      </c>
      <c r="O94">
        <v>2.5463948354167449</v>
      </c>
      <c r="P94">
        <v>0</v>
      </c>
      <c r="Q94">
        <v>0</v>
      </c>
      <c r="R94">
        <v>0</v>
      </c>
    </row>
    <row r="95" spans="1:18" outlineLevel="1" x14ac:dyDescent="0.35">
      <c r="A95" s="44">
        <v>36</v>
      </c>
      <c r="B95" s="46">
        <f t="shared" si="2"/>
        <v>249.81539855592402</v>
      </c>
      <c r="C95" s="2">
        <v>249.81539855592402</v>
      </c>
      <c r="D95" s="2">
        <v>100</v>
      </c>
      <c r="E95" s="2">
        <v>100</v>
      </c>
      <c r="F95">
        <v>100</v>
      </c>
      <c r="G95" s="2">
        <v>1.144039863781759</v>
      </c>
      <c r="H95" s="10">
        <v>1.144039863781759</v>
      </c>
      <c r="I95">
        <v>1.2368061579450125</v>
      </c>
      <c r="J95" s="2">
        <v>826.47382310129922</v>
      </c>
      <c r="K95" s="2">
        <v>826.47382310129922</v>
      </c>
      <c r="L95">
        <v>764.48438902584849</v>
      </c>
      <c r="M95" s="2">
        <v>1.4908396385506315</v>
      </c>
      <c r="N95" s="2">
        <v>1.4908396385506315</v>
      </c>
      <c r="O95">
        <v>2.594038198593605</v>
      </c>
      <c r="P95">
        <v>0</v>
      </c>
      <c r="Q95">
        <v>0</v>
      </c>
      <c r="R95">
        <v>0</v>
      </c>
    </row>
    <row r="96" spans="1:18" outlineLevel="1" x14ac:dyDescent="0.35">
      <c r="A96" s="44">
        <v>37</v>
      </c>
      <c r="B96" s="46">
        <f t="shared" si="2"/>
        <v>259.85231884473922</v>
      </c>
      <c r="C96" s="2">
        <v>259.85231884473922</v>
      </c>
      <c r="D96" s="2">
        <v>100</v>
      </c>
      <c r="E96" s="2">
        <v>100</v>
      </c>
      <c r="F96">
        <v>100</v>
      </c>
      <c r="G96" s="2">
        <v>1.1436149987213886</v>
      </c>
      <c r="H96" s="10">
        <v>1.1436149987213886</v>
      </c>
      <c r="I96">
        <v>1.2361281046651209</v>
      </c>
      <c r="J96" s="2">
        <v>826.78086686265169</v>
      </c>
      <c r="K96" s="2">
        <v>826.78086686265169</v>
      </c>
      <c r="L96">
        <v>764.9037316048649</v>
      </c>
      <c r="M96" s="2">
        <v>1.5339830650350841</v>
      </c>
      <c r="N96" s="2">
        <v>1.5339830650350841</v>
      </c>
      <c r="O96">
        <v>2.6432181286425935</v>
      </c>
      <c r="P96">
        <v>0</v>
      </c>
      <c r="Q96">
        <v>0</v>
      </c>
      <c r="R96">
        <v>0</v>
      </c>
    </row>
    <row r="97" spans="1:18" outlineLevel="1" x14ac:dyDescent="0.35">
      <c r="A97" s="44">
        <v>38</v>
      </c>
      <c r="B97" s="46">
        <f t="shared" si="2"/>
        <v>269.88923913355438</v>
      </c>
      <c r="C97" s="2">
        <v>269.88923913355438</v>
      </c>
      <c r="D97" s="2">
        <v>100</v>
      </c>
      <c r="E97" s="2">
        <v>100</v>
      </c>
      <c r="F97">
        <v>100</v>
      </c>
      <c r="G97" s="2">
        <v>1.1432218749215484</v>
      </c>
      <c r="H97" s="10">
        <v>1.1432218749215484</v>
      </c>
      <c r="I97">
        <v>1.2355008149678459</v>
      </c>
      <c r="J97" s="2">
        <v>827.06517495992159</v>
      </c>
      <c r="K97" s="2">
        <v>827.06517495992159</v>
      </c>
      <c r="L97">
        <v>765.29208928494904</v>
      </c>
      <c r="M97" s="2">
        <v>1.5780256694173169</v>
      </c>
      <c r="N97" s="2">
        <v>1.5780256694173169</v>
      </c>
      <c r="O97">
        <v>2.6938830973012582</v>
      </c>
      <c r="P97">
        <v>0</v>
      </c>
      <c r="Q97">
        <v>0</v>
      </c>
      <c r="R97">
        <v>0</v>
      </c>
    </row>
    <row r="98" spans="1:18" outlineLevel="1" x14ac:dyDescent="0.35">
      <c r="A98" s="44">
        <v>39</v>
      </c>
      <c r="B98" s="46">
        <f t="shared" si="2"/>
        <v>279.92615942236955</v>
      </c>
      <c r="C98" s="2">
        <v>279.92615942236955</v>
      </c>
      <c r="D98" s="2">
        <v>100</v>
      </c>
      <c r="E98" s="2">
        <v>100</v>
      </c>
      <c r="F98">
        <v>100</v>
      </c>
      <c r="G98" s="2">
        <v>1.1428570634513056</v>
      </c>
      <c r="H98" s="10">
        <v>1.1428570634513056</v>
      </c>
      <c r="I98">
        <v>1.2349187938741168</v>
      </c>
      <c r="J98" s="2">
        <v>827.3291824829206</v>
      </c>
      <c r="K98" s="2">
        <v>827.3291824829206</v>
      </c>
      <c r="L98">
        <v>765.65277384253875</v>
      </c>
      <c r="M98" s="2">
        <v>1.622896154543507</v>
      </c>
      <c r="N98" s="2">
        <v>1.622896154543507</v>
      </c>
      <c r="O98">
        <v>2.7459832912631539</v>
      </c>
      <c r="P98">
        <v>0</v>
      </c>
      <c r="Q98">
        <v>0</v>
      </c>
      <c r="R98">
        <v>0</v>
      </c>
    </row>
    <row r="99" spans="1:18" outlineLevel="1" x14ac:dyDescent="0.35">
      <c r="A99" s="44">
        <v>40</v>
      </c>
      <c r="B99" s="46">
        <f t="shared" si="2"/>
        <v>289.96307971118472</v>
      </c>
      <c r="C99" s="2">
        <v>289.96307971118472</v>
      </c>
      <c r="D99" s="2">
        <v>100</v>
      </c>
      <c r="E99" s="2">
        <v>100</v>
      </c>
      <c r="F99">
        <v>100</v>
      </c>
      <c r="G99" s="2">
        <v>1.1425176121025957</v>
      </c>
      <c r="H99" s="10">
        <v>1.1425176121025957</v>
      </c>
      <c r="I99">
        <v>1.2343773118587928</v>
      </c>
      <c r="J99" s="2">
        <v>827.57498876533236</v>
      </c>
      <c r="K99" s="2">
        <v>827.57498876533236</v>
      </c>
      <c r="L99">
        <v>765.98864133057157</v>
      </c>
      <c r="M99" s="2">
        <v>1.6685220629096622</v>
      </c>
      <c r="N99" s="2">
        <v>1.6685220629096622</v>
      </c>
      <c r="O99">
        <v>2.799470204751993</v>
      </c>
      <c r="P99">
        <v>0</v>
      </c>
      <c r="Q99">
        <v>0</v>
      </c>
      <c r="R99">
        <v>0</v>
      </c>
    </row>
    <row r="100" spans="1:18" outlineLevel="1" x14ac:dyDescent="0.3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1.1422009653252743</v>
      </c>
      <c r="H100" s="10">
        <v>1.1422009653252743</v>
      </c>
      <c r="I100">
        <v>1.2338722760523479</v>
      </c>
      <c r="J100" s="2">
        <v>827.80441332470468</v>
      </c>
      <c r="K100" s="2">
        <v>827.80441332470468</v>
      </c>
      <c r="L100">
        <v>766.30216785897346</v>
      </c>
      <c r="M100" s="2">
        <v>1.7148297662762775</v>
      </c>
      <c r="N100" s="2">
        <v>1.7148297662762775</v>
      </c>
      <c r="O100">
        <v>2.8542962943309615</v>
      </c>
      <c r="P100">
        <v>0</v>
      </c>
      <c r="Q100">
        <v>0</v>
      </c>
    </row>
    <row r="101" spans="1:18" outlineLevel="1" x14ac:dyDescent="0.35"/>
    <row r="102" spans="1:18" outlineLevel="1" x14ac:dyDescent="0.35"/>
  </sheetData>
  <mergeCells count="3">
    <mergeCell ref="A2:E2"/>
    <mergeCell ref="F3:G3"/>
    <mergeCell ref="N7:Q7"/>
  </mergeCells>
  <dataValidations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146050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222250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107950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222250</xdr:colOff>
                    <xdr:row>16</xdr:row>
                    <xdr:rowOff>12700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107950</xdr:rowOff>
                  </from>
                  <to>
                    <xdr:col>21</xdr:col>
                    <xdr:colOff>279400</xdr:colOff>
                    <xdr:row>59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812800</xdr:colOff>
                    <xdr:row>2</xdr:row>
                    <xdr:rowOff>12700</xdr:rowOff>
                  </from>
                  <to>
                    <xdr:col>8</xdr:col>
                    <xdr:colOff>304800</xdr:colOff>
                    <xdr:row>2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M28" sqref="M28"/>
    </sheetView>
  </sheetViews>
  <sheetFormatPr defaultRowHeight="14.5" x14ac:dyDescent="0.35"/>
  <sheetData>
    <row r="1" spans="1:16" x14ac:dyDescent="0.35">
      <c r="A1" t="str">
        <f>версия_</f>
        <v>вер 7.9</v>
      </c>
    </row>
    <row r="6" spans="1:16" x14ac:dyDescent="0.35">
      <c r="A6" s="11"/>
      <c r="B6" t="s">
        <v>37</v>
      </c>
      <c r="G6" s="1"/>
    </row>
    <row r="7" spans="1:16" x14ac:dyDescent="0.35">
      <c r="A7" s="11"/>
      <c r="G7" s="1"/>
    </row>
    <row r="8" spans="1:16" x14ac:dyDescent="0.35">
      <c r="A8" s="11"/>
      <c r="B8" s="17" t="s">
        <v>52</v>
      </c>
      <c r="C8" s="2"/>
      <c r="D8" s="2"/>
      <c r="G8" s="1"/>
    </row>
    <row r="9" spans="1:16" ht="16.5" x14ac:dyDescent="0.45">
      <c r="A9" s="11"/>
      <c r="B9" s="14" t="s">
        <v>39</v>
      </c>
      <c r="C9" s="9">
        <v>3500</v>
      </c>
      <c r="D9" s="5" t="s">
        <v>38</v>
      </c>
      <c r="G9" s="1"/>
    </row>
    <row r="10" spans="1:16" ht="16.5" x14ac:dyDescent="0.45">
      <c r="A10" s="11"/>
      <c r="B10" s="14" t="s">
        <v>40</v>
      </c>
      <c r="C10" s="9">
        <v>2500</v>
      </c>
      <c r="D10" s="5" t="s">
        <v>25</v>
      </c>
      <c r="G10" s="1"/>
    </row>
    <row r="11" spans="1:16" ht="16.5" x14ac:dyDescent="0.45">
      <c r="A11" s="11"/>
      <c r="B11" s="14" t="s">
        <v>49</v>
      </c>
      <c r="C11" s="9">
        <v>140</v>
      </c>
      <c r="D11" s="5" t="s">
        <v>41</v>
      </c>
      <c r="G11" s="1"/>
    </row>
    <row r="12" spans="1:16" ht="16.5" x14ac:dyDescent="0.45">
      <c r="A12" s="11"/>
      <c r="B12" s="14" t="s">
        <v>50</v>
      </c>
      <c r="C12" s="9">
        <v>65</v>
      </c>
      <c r="D12" s="5" t="s">
        <v>41</v>
      </c>
      <c r="G12" s="1"/>
    </row>
    <row r="13" spans="1:16" ht="16.5" x14ac:dyDescent="0.4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35">
      <c r="A14" s="11"/>
      <c r="G14" s="1"/>
    </row>
    <row r="15" spans="1:16" x14ac:dyDescent="0.35">
      <c r="A15" s="11"/>
      <c r="G15" s="1"/>
    </row>
    <row r="16" spans="1:16" x14ac:dyDescent="0.3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6.5" x14ac:dyDescent="0.4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3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3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3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3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3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3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3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3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3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3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3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3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3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3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3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3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3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3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3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3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3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35">
      <c r="A39" s="11"/>
      <c r="B39" s="9">
        <v>3500</v>
      </c>
      <c r="C39" s="9">
        <v>2500</v>
      </c>
      <c r="G39" s="1"/>
      <c r="M39" s="15"/>
      <c r="N39" s="15"/>
    </row>
    <row r="40" spans="1:29" x14ac:dyDescent="0.35">
      <c r="A40" s="11"/>
      <c r="B40" s="16"/>
      <c r="C40" s="16"/>
      <c r="G40" s="1"/>
      <c r="M40" s="15"/>
      <c r="N40" s="15"/>
    </row>
    <row r="41" spans="1:29" x14ac:dyDescent="0.35">
      <c r="A41" s="11"/>
      <c r="B41" s="16"/>
      <c r="C41" s="16"/>
      <c r="G41" s="1"/>
      <c r="M41" s="15"/>
      <c r="N41" s="15"/>
    </row>
    <row r="42" spans="1:29" x14ac:dyDescent="0.35">
      <c r="A42" s="11"/>
      <c r="B42" s="16"/>
      <c r="C42" s="16"/>
      <c r="G42" s="1"/>
      <c r="M42" s="15"/>
      <c r="N42" s="15"/>
    </row>
    <row r="43" spans="1:29" x14ac:dyDescent="0.35">
      <c r="A43" s="11"/>
      <c r="B43" s="16"/>
      <c r="C43" s="16"/>
      <c r="G43" s="1"/>
      <c r="M43" s="15"/>
      <c r="N43" s="15"/>
    </row>
    <row r="44" spans="1:29" x14ac:dyDescent="0.35">
      <c r="A44" s="11"/>
      <c r="B44" s="16"/>
      <c r="C44" s="16"/>
      <c r="G44" s="1"/>
      <c r="M44" s="15"/>
      <c r="N44" s="15"/>
    </row>
    <row r="45" spans="1:29" x14ac:dyDescent="0.35">
      <c r="A45" s="11"/>
      <c r="B45" s="16"/>
      <c r="C45" s="16"/>
      <c r="G45" s="1"/>
      <c r="M45" s="15"/>
      <c r="N45" s="15"/>
    </row>
    <row r="46" spans="1:29" x14ac:dyDescent="0.35">
      <c r="A46" s="11"/>
      <c r="B46" s="16"/>
      <c r="C46" s="16"/>
      <c r="G46" s="1"/>
    </row>
    <row r="47" spans="1:29" x14ac:dyDescent="0.35">
      <c r="A47" s="11"/>
      <c r="B47" s="16"/>
      <c r="C47" s="16"/>
      <c r="G47" s="1"/>
    </row>
    <row r="48" spans="1:29" x14ac:dyDescent="0.35">
      <c r="A48" s="11"/>
      <c r="B48" s="16"/>
      <c r="C48" s="16"/>
      <c r="G48" s="1"/>
    </row>
    <row r="49" spans="1:7" x14ac:dyDescent="0.35">
      <c r="A49" s="11"/>
      <c r="B49" s="16"/>
      <c r="C49" s="16"/>
      <c r="G49" s="1"/>
    </row>
    <row r="50" spans="1:7" x14ac:dyDescent="0.35">
      <c r="A50" s="11"/>
      <c r="B50" s="16"/>
      <c r="C50" s="16"/>
      <c r="G50" s="1"/>
    </row>
    <row r="51" spans="1:7" x14ac:dyDescent="0.35">
      <c r="A51" s="11"/>
      <c r="B51" s="16"/>
      <c r="C51" s="16"/>
      <c r="G51" s="1"/>
    </row>
    <row r="52" spans="1:7" x14ac:dyDescent="0.35">
      <c r="A52" s="11"/>
      <c r="B52" s="16"/>
      <c r="C52" s="16"/>
      <c r="G52" s="1"/>
    </row>
    <row r="53" spans="1:7" x14ac:dyDescent="0.35">
      <c r="A53" s="11"/>
      <c r="B53" s="16"/>
      <c r="C53" s="16"/>
      <c r="G53" s="1"/>
    </row>
    <row r="54" spans="1:7" x14ac:dyDescent="0.35">
      <c r="A54" s="11"/>
      <c r="B54" s="16"/>
      <c r="C54" s="16"/>
      <c r="G54" s="1"/>
    </row>
    <row r="55" spans="1:7" x14ac:dyDescent="0.35">
      <c r="A55" s="11"/>
      <c r="B55" s="16"/>
      <c r="C55" s="16"/>
      <c r="G55" s="1"/>
    </row>
    <row r="56" spans="1:7" x14ac:dyDescent="0.35">
      <c r="A56" s="11"/>
      <c r="B56" s="16"/>
      <c r="C56" s="16"/>
      <c r="G56" s="1"/>
    </row>
    <row r="57" spans="1:7" x14ac:dyDescent="0.35">
      <c r="A57" s="11"/>
      <c r="B57" s="16"/>
      <c r="C57" s="16"/>
      <c r="G57" s="1"/>
    </row>
    <row r="58" spans="1:7" x14ac:dyDescent="0.35">
      <c r="A58" s="11"/>
      <c r="B58" s="16"/>
      <c r="C58" s="16"/>
      <c r="G58" s="1"/>
    </row>
    <row r="59" spans="1:7" x14ac:dyDescent="0.35">
      <c r="A59" s="11"/>
      <c r="B59" s="16"/>
      <c r="C59" s="16"/>
      <c r="G59" s="1"/>
    </row>
    <row r="60" spans="1:7" x14ac:dyDescent="0.35">
      <c r="A60" s="11"/>
      <c r="B60" s="16"/>
      <c r="C60" s="16"/>
      <c r="G60" s="1"/>
    </row>
    <row r="61" spans="1:7" x14ac:dyDescent="0.35">
      <c r="A61" s="11"/>
      <c r="B61" s="16"/>
      <c r="C61" s="16"/>
      <c r="G61" s="1"/>
    </row>
    <row r="62" spans="1:7" x14ac:dyDescent="0.35">
      <c r="A62" s="11"/>
      <c r="B62" s="16"/>
      <c r="C62" s="16"/>
      <c r="G62" s="1"/>
    </row>
    <row r="63" spans="1:7" x14ac:dyDescent="0.35">
      <c r="A63" s="11"/>
      <c r="B63" s="16"/>
      <c r="C63" s="16"/>
      <c r="G63" s="1"/>
    </row>
    <row r="64" spans="1:7" x14ac:dyDescent="0.35">
      <c r="A64" s="11"/>
      <c r="B64" s="16"/>
      <c r="C64" s="16"/>
      <c r="G64" s="1"/>
    </row>
    <row r="65" spans="1:7" x14ac:dyDescent="0.35">
      <c r="A65" s="11"/>
      <c r="B65" s="16"/>
      <c r="C65" s="16"/>
      <c r="G65" s="1"/>
    </row>
    <row r="66" spans="1:7" x14ac:dyDescent="0.35">
      <c r="A66" s="11"/>
      <c r="B66" s="16"/>
      <c r="C66" s="16"/>
      <c r="G66" s="1"/>
    </row>
    <row r="67" spans="1:7" x14ac:dyDescent="0.35">
      <c r="A67" s="11"/>
      <c r="B67" s="16"/>
      <c r="C67" s="16"/>
      <c r="G67" s="1"/>
    </row>
    <row r="68" spans="1:7" x14ac:dyDescent="0.35">
      <c r="A68" s="11"/>
      <c r="B68" s="16"/>
      <c r="C68" s="16"/>
      <c r="G68" s="1"/>
    </row>
    <row r="69" spans="1:7" x14ac:dyDescent="0.35">
      <c r="A69" s="11"/>
      <c r="B69" s="16"/>
      <c r="C69" s="16"/>
      <c r="G69" s="1"/>
    </row>
    <row r="70" spans="1:7" x14ac:dyDescent="0.35">
      <c r="A70" s="11"/>
      <c r="B70" s="16"/>
      <c r="C70" s="16"/>
      <c r="G70" s="1"/>
    </row>
    <row r="71" spans="1:7" x14ac:dyDescent="0.35">
      <c r="A71" s="11"/>
      <c r="B71" s="16"/>
      <c r="C71" s="16"/>
      <c r="G71" s="1"/>
    </row>
    <row r="72" spans="1:7" x14ac:dyDescent="0.35">
      <c r="A72" s="11"/>
      <c r="B72" s="16"/>
      <c r="C72" s="16"/>
      <c r="G72" s="1"/>
    </row>
    <row r="73" spans="1:7" x14ac:dyDescent="0.35">
      <c r="A73" s="11"/>
      <c r="B73" s="16"/>
      <c r="C73" s="16"/>
      <c r="G73" s="1"/>
    </row>
    <row r="74" spans="1:7" x14ac:dyDescent="0.35">
      <c r="A74" s="11"/>
      <c r="B74" s="16"/>
      <c r="C74" s="16"/>
      <c r="G74" s="1"/>
    </row>
    <row r="75" spans="1:7" x14ac:dyDescent="0.35">
      <c r="A75" s="11"/>
      <c r="B75" s="16"/>
      <c r="C75" s="16"/>
      <c r="G75" s="1"/>
    </row>
    <row r="76" spans="1:7" x14ac:dyDescent="0.35">
      <c r="A76" s="11"/>
      <c r="B76" s="16"/>
      <c r="C76" s="16"/>
      <c r="G76" s="1"/>
    </row>
    <row r="77" spans="1:7" x14ac:dyDescent="0.35">
      <c r="A77" s="11"/>
      <c r="B77" s="16"/>
      <c r="C77" s="16"/>
      <c r="G77" s="1"/>
    </row>
    <row r="78" spans="1:7" x14ac:dyDescent="0.35">
      <c r="A78" s="11"/>
      <c r="B78" s="16"/>
      <c r="C78" s="16"/>
      <c r="G78" s="1"/>
    </row>
    <row r="79" spans="1:7" x14ac:dyDescent="0.35">
      <c r="A79" s="11"/>
      <c r="B79" s="16"/>
      <c r="C79" s="16"/>
      <c r="G79" s="1"/>
    </row>
    <row r="80" spans="1:7" x14ac:dyDescent="0.35">
      <c r="A80" s="11"/>
      <c r="B80" s="16"/>
      <c r="C80" s="16"/>
      <c r="G80" s="1"/>
    </row>
    <row r="81" spans="1:7" x14ac:dyDescent="0.35">
      <c r="A81" s="11"/>
      <c r="B81" s="16"/>
      <c r="C81" s="16"/>
      <c r="G81" s="1"/>
    </row>
    <row r="82" spans="1:7" x14ac:dyDescent="0.35">
      <c r="A82" s="11"/>
      <c r="B82" s="16"/>
      <c r="C82" s="16"/>
      <c r="G82" s="1"/>
    </row>
    <row r="83" spans="1:7" x14ac:dyDescent="0.35">
      <c r="A83" s="11"/>
      <c r="B83" s="16"/>
      <c r="C83" s="16"/>
      <c r="G83" s="1"/>
    </row>
    <row r="84" spans="1:7" x14ac:dyDescent="0.35">
      <c r="A84" s="11"/>
      <c r="B84" s="16"/>
      <c r="C84" s="16"/>
      <c r="G84" s="1"/>
    </row>
    <row r="85" spans="1:7" x14ac:dyDescent="0.35">
      <c r="A85" s="11"/>
      <c r="B85" s="16"/>
      <c r="C85" s="16"/>
      <c r="G85" s="1"/>
    </row>
    <row r="86" spans="1:7" x14ac:dyDescent="0.35">
      <c r="A86" s="11"/>
      <c r="B86" s="16"/>
      <c r="C86" s="16"/>
      <c r="G86" s="1"/>
    </row>
    <row r="87" spans="1:7" x14ac:dyDescent="0.35">
      <c r="A87" s="11"/>
      <c r="B87" s="16"/>
      <c r="C87" s="16"/>
      <c r="G87" s="1"/>
    </row>
    <row r="88" spans="1:7" x14ac:dyDescent="0.35">
      <c r="A88" s="11"/>
      <c r="B88" s="16"/>
      <c r="C88" s="16"/>
      <c r="G88" s="1"/>
    </row>
    <row r="89" spans="1:7" x14ac:dyDescent="0.35">
      <c r="A89" s="11"/>
      <c r="B89" s="16"/>
      <c r="C89" s="16"/>
      <c r="G89" s="1"/>
    </row>
    <row r="90" spans="1:7" x14ac:dyDescent="0.35">
      <c r="A90" s="11"/>
      <c r="B90" s="16"/>
      <c r="C90" s="16"/>
      <c r="G90" s="1"/>
    </row>
    <row r="91" spans="1:7" x14ac:dyDescent="0.35">
      <c r="A91" s="11"/>
      <c r="B91" s="16"/>
      <c r="C91" s="16"/>
      <c r="G91" s="1"/>
    </row>
    <row r="92" spans="1:7" x14ac:dyDescent="0.35">
      <c r="A92" s="11"/>
      <c r="B92" s="16"/>
      <c r="C92" s="16"/>
      <c r="G92" s="1"/>
    </row>
    <row r="93" spans="1:7" x14ac:dyDescent="0.35">
      <c r="A93" s="11"/>
      <c r="B93" s="16"/>
      <c r="C93" s="16"/>
      <c r="G93" s="1"/>
    </row>
    <row r="94" spans="1:7" x14ac:dyDescent="0.35">
      <c r="A94" s="11"/>
      <c r="B94" s="16"/>
      <c r="C94" s="16"/>
      <c r="G94" s="1"/>
    </row>
    <row r="95" spans="1:7" x14ac:dyDescent="0.35">
      <c r="A95" s="11"/>
      <c r="B95" s="16"/>
      <c r="C95" s="16"/>
      <c r="G95" s="1"/>
    </row>
    <row r="96" spans="1:7" x14ac:dyDescent="0.35">
      <c r="A96" s="11"/>
      <c r="B96" s="16"/>
      <c r="C96" s="16"/>
      <c r="G96" s="1"/>
    </row>
    <row r="97" spans="1:7" x14ac:dyDescent="0.35">
      <c r="A97" s="11"/>
      <c r="B97" s="16"/>
      <c r="C97" s="16"/>
      <c r="G97" s="1"/>
    </row>
    <row r="98" spans="1:7" x14ac:dyDescent="0.35">
      <c r="A98" s="11"/>
      <c r="B98" s="16"/>
      <c r="C98" s="16"/>
      <c r="G98" s="1"/>
    </row>
    <row r="99" spans="1:7" x14ac:dyDescent="0.35">
      <c r="A99" s="11"/>
      <c r="B99" s="16"/>
      <c r="C99" s="16"/>
      <c r="G99" s="1"/>
    </row>
    <row r="100" spans="1:7" x14ac:dyDescent="0.35">
      <c r="A100" s="11"/>
      <c r="B100" s="16"/>
      <c r="C100" s="16"/>
      <c r="G100" s="1"/>
    </row>
    <row r="101" spans="1:7" x14ac:dyDescent="0.35">
      <c r="A101" s="11"/>
      <c r="B101" s="16"/>
      <c r="C101" s="16"/>
      <c r="G101" s="1"/>
    </row>
    <row r="102" spans="1:7" x14ac:dyDescent="0.35">
      <c r="A102" s="11"/>
      <c r="B102" s="16"/>
      <c r="C102" s="16"/>
      <c r="G102" s="1"/>
    </row>
    <row r="103" spans="1:7" x14ac:dyDescent="0.35">
      <c r="A103" s="11"/>
      <c r="B103" s="16"/>
      <c r="C103" s="16"/>
      <c r="G103" s="1"/>
    </row>
    <row r="104" spans="1:7" x14ac:dyDescent="0.35">
      <c r="A104" s="11"/>
      <c r="B104" s="16"/>
      <c r="C104" s="16"/>
      <c r="G104" s="1"/>
    </row>
    <row r="105" spans="1:7" x14ac:dyDescent="0.35">
      <c r="A105" s="11"/>
      <c r="B105" s="16"/>
      <c r="C105" s="16"/>
      <c r="G105" s="1"/>
    </row>
    <row r="106" spans="1:7" x14ac:dyDescent="0.35">
      <c r="A106" s="11"/>
      <c r="B106" s="16"/>
      <c r="C106" s="16"/>
      <c r="G106" s="1"/>
    </row>
    <row r="107" spans="1:7" x14ac:dyDescent="0.35">
      <c r="A107" s="11"/>
      <c r="B107" s="16"/>
      <c r="C107" s="16"/>
      <c r="G107" s="1"/>
    </row>
    <row r="108" spans="1:7" x14ac:dyDescent="0.35">
      <c r="A108" s="11"/>
      <c r="B108" s="16"/>
      <c r="C108" s="16"/>
      <c r="G108" s="1"/>
    </row>
    <row r="109" spans="1:7" x14ac:dyDescent="0.35">
      <c r="A109" s="11"/>
      <c r="B109" s="16"/>
      <c r="C109" s="16"/>
      <c r="G109" s="1"/>
    </row>
    <row r="110" spans="1:7" x14ac:dyDescent="0.35">
      <c r="A110" s="11"/>
      <c r="B110" s="16"/>
      <c r="C110" s="16"/>
      <c r="G110" s="1"/>
    </row>
    <row r="111" spans="1:7" x14ac:dyDescent="0.35">
      <c r="A111" s="11"/>
      <c r="B111" s="16"/>
      <c r="C111" s="16"/>
      <c r="G111" s="1"/>
    </row>
    <row r="112" spans="1:7" x14ac:dyDescent="0.35">
      <c r="A112" s="11"/>
      <c r="B112" s="16"/>
      <c r="C112" s="16"/>
      <c r="G112" s="1"/>
    </row>
    <row r="113" spans="1:7" x14ac:dyDescent="0.35">
      <c r="A113" s="11"/>
      <c r="B113" s="16"/>
      <c r="C113" s="16"/>
      <c r="G113" s="1"/>
    </row>
    <row r="114" spans="1:7" x14ac:dyDescent="0.35">
      <c r="A114" s="11"/>
      <c r="B114" s="16"/>
      <c r="C114" s="16"/>
      <c r="G114" s="1"/>
    </row>
    <row r="115" spans="1:7" x14ac:dyDescent="0.35">
      <c r="A115" s="11"/>
      <c r="B115" s="16"/>
      <c r="C115" s="16"/>
      <c r="G115" s="1"/>
    </row>
    <row r="116" spans="1:7" x14ac:dyDescent="0.35">
      <c r="A116" s="11"/>
      <c r="B116" s="16"/>
      <c r="C116" s="16"/>
      <c r="G116" s="1"/>
    </row>
    <row r="117" spans="1:7" x14ac:dyDescent="0.35">
      <c r="A117" s="11"/>
      <c r="B117" s="16"/>
      <c r="C117" s="16"/>
      <c r="G117" s="1"/>
    </row>
    <row r="118" spans="1:7" x14ac:dyDescent="0.35">
      <c r="A118" s="11"/>
      <c r="B118" s="16"/>
      <c r="C118" s="16"/>
      <c r="G118" s="1"/>
    </row>
    <row r="119" spans="1:7" x14ac:dyDescent="0.35">
      <c r="A119" s="11"/>
      <c r="B119" s="16"/>
      <c r="C119" s="16"/>
      <c r="G119" s="1"/>
    </row>
    <row r="120" spans="1:7" x14ac:dyDescent="0.35">
      <c r="A120" s="11"/>
      <c r="B120" s="16"/>
      <c r="C120" s="16"/>
      <c r="G120" s="1"/>
    </row>
    <row r="121" spans="1:7" x14ac:dyDescent="0.35">
      <c r="A121" s="11"/>
      <c r="B121" s="16"/>
      <c r="C121" s="16"/>
      <c r="G121" s="1"/>
    </row>
    <row r="122" spans="1:7" x14ac:dyDescent="0.35">
      <c r="A122" s="11"/>
      <c r="B122" s="16"/>
      <c r="C122" s="16"/>
      <c r="G122" s="1"/>
    </row>
    <row r="123" spans="1:7" x14ac:dyDescent="0.35">
      <c r="A123" s="11"/>
      <c r="B123" s="16"/>
      <c r="C123" s="16"/>
      <c r="G123" s="1"/>
    </row>
    <row r="124" spans="1:7" x14ac:dyDescent="0.35">
      <c r="A124" s="11"/>
      <c r="B124" s="16"/>
      <c r="C124" s="16"/>
      <c r="G124" s="1"/>
    </row>
    <row r="125" spans="1:7" x14ac:dyDescent="0.35">
      <c r="A125" s="11"/>
      <c r="B125" s="16"/>
      <c r="C125" s="16"/>
      <c r="G125" s="1"/>
    </row>
    <row r="126" spans="1:7" x14ac:dyDescent="0.35">
      <c r="A126" s="11"/>
      <c r="B126" s="16"/>
      <c r="C126" s="16"/>
      <c r="G126" s="1"/>
    </row>
    <row r="127" spans="1:7" x14ac:dyDescent="0.35">
      <c r="A127" s="11"/>
      <c r="B127" s="16"/>
      <c r="C127" s="16"/>
      <c r="G127" s="1"/>
    </row>
    <row r="128" spans="1:7" x14ac:dyDescent="0.35">
      <c r="A128" s="11"/>
      <c r="B128" s="16"/>
      <c r="C128" s="16"/>
      <c r="G128" s="1"/>
    </row>
    <row r="129" spans="1:7" x14ac:dyDescent="0.35">
      <c r="A129" s="11"/>
      <c r="B129" s="16"/>
      <c r="C129" s="16"/>
      <c r="G129" s="1"/>
    </row>
    <row r="130" spans="1:7" x14ac:dyDescent="0.35">
      <c r="A130" s="11"/>
      <c r="B130" s="16"/>
      <c r="C130" s="16"/>
      <c r="G130" s="1"/>
    </row>
    <row r="131" spans="1:7" x14ac:dyDescent="0.35">
      <c r="A131" s="11"/>
      <c r="B131" s="16"/>
      <c r="C131" s="16"/>
      <c r="G131" s="1"/>
    </row>
    <row r="132" spans="1:7" x14ac:dyDescent="0.35">
      <c r="A132" s="11"/>
      <c r="B132" s="16"/>
      <c r="C132" s="16"/>
      <c r="G132" s="1"/>
    </row>
    <row r="133" spans="1:7" x14ac:dyDescent="0.35">
      <c r="A133" s="11"/>
      <c r="B133" s="16"/>
      <c r="C133" s="16"/>
      <c r="G133" s="1"/>
    </row>
    <row r="134" spans="1:7" x14ac:dyDescent="0.35">
      <c r="A134" s="11"/>
      <c r="B134" s="16"/>
      <c r="C134" s="16"/>
      <c r="G134" s="1"/>
    </row>
    <row r="135" spans="1:7" x14ac:dyDescent="0.35">
      <c r="A135" s="11"/>
      <c r="B135" s="16"/>
      <c r="C135" s="16"/>
      <c r="G135" s="1"/>
    </row>
    <row r="136" spans="1:7" x14ac:dyDescent="0.35">
      <c r="A136" s="11"/>
      <c r="B136" s="16"/>
      <c r="C136" s="16"/>
      <c r="G136" s="1"/>
    </row>
    <row r="137" spans="1:7" x14ac:dyDescent="0.35">
      <c r="A137" s="11"/>
      <c r="B137" s="16"/>
      <c r="C137" s="16"/>
      <c r="G137" s="1"/>
    </row>
    <row r="138" spans="1:7" x14ac:dyDescent="0.35">
      <c r="A138" s="11"/>
      <c r="B138" s="16"/>
      <c r="C138" s="16"/>
      <c r="G138" s="1"/>
    </row>
    <row r="139" spans="1:7" x14ac:dyDescent="0.35">
      <c r="A139" s="11"/>
      <c r="B139" s="16"/>
      <c r="C139" s="16"/>
      <c r="G139" s="1"/>
    </row>
    <row r="140" spans="1:7" x14ac:dyDescent="0.35">
      <c r="A140" s="11"/>
      <c r="B140" s="16"/>
      <c r="C140" s="16"/>
      <c r="G140" s="1"/>
    </row>
    <row r="141" spans="1:7" x14ac:dyDescent="0.35">
      <c r="A141" s="11"/>
      <c r="B141" s="16"/>
      <c r="C141" s="16"/>
      <c r="G141" s="1"/>
    </row>
    <row r="142" spans="1:7" x14ac:dyDescent="0.35">
      <c r="A142" s="11"/>
      <c r="B142" s="16"/>
      <c r="C142" s="16"/>
      <c r="G142" s="1"/>
    </row>
    <row r="143" spans="1:7" x14ac:dyDescent="0.35">
      <c r="A143" s="11"/>
      <c r="B143" s="16"/>
      <c r="C143" s="16"/>
      <c r="G143" s="1"/>
    </row>
    <row r="144" spans="1:7" x14ac:dyDescent="0.35">
      <c r="A144" s="11"/>
      <c r="B144" s="16"/>
      <c r="C144" s="16"/>
      <c r="G144" s="1"/>
    </row>
    <row r="145" spans="1:7" x14ac:dyDescent="0.35">
      <c r="A145" s="11"/>
      <c r="B145" s="16"/>
      <c r="C145" s="16"/>
      <c r="G145" s="1"/>
    </row>
    <row r="146" spans="1:7" x14ac:dyDescent="0.35">
      <c r="A146" s="11"/>
      <c r="B146" s="16"/>
      <c r="C146" s="16"/>
      <c r="G146" s="1"/>
    </row>
    <row r="147" spans="1:7" x14ac:dyDescent="0.35">
      <c r="A147" s="11"/>
      <c r="B147" s="16"/>
      <c r="C147" s="16"/>
      <c r="G147" s="1"/>
    </row>
    <row r="148" spans="1:7" x14ac:dyDescent="0.35">
      <c r="A148" s="11"/>
      <c r="B148" s="16"/>
      <c r="C148" s="16"/>
      <c r="G148" s="1"/>
    </row>
    <row r="149" spans="1:7" x14ac:dyDescent="0.35">
      <c r="A149" s="11"/>
      <c r="B149" s="16"/>
      <c r="C149" s="16"/>
      <c r="G149" s="1"/>
    </row>
    <row r="150" spans="1:7" x14ac:dyDescent="0.35">
      <c r="A150" s="11"/>
      <c r="B150" s="16"/>
      <c r="C150" s="16"/>
      <c r="G150" s="1"/>
    </row>
    <row r="151" spans="1:7" x14ac:dyDescent="0.35">
      <c r="A151" s="11"/>
      <c r="B151" s="16"/>
      <c r="C151" s="16"/>
      <c r="G151" s="1"/>
    </row>
    <row r="152" spans="1:7" x14ac:dyDescent="0.35">
      <c r="A152" s="11"/>
      <c r="B152" s="16"/>
      <c r="C152" s="16"/>
      <c r="G152" s="1"/>
    </row>
    <row r="153" spans="1:7" x14ac:dyDescent="0.35">
      <c r="A153" s="11"/>
      <c r="B153" s="16"/>
      <c r="C153" s="16"/>
      <c r="G153" s="1"/>
    </row>
    <row r="154" spans="1:7" x14ac:dyDescent="0.35">
      <c r="A154" s="11"/>
      <c r="B154" s="16"/>
      <c r="C154" s="16"/>
      <c r="G154" s="1"/>
    </row>
    <row r="155" spans="1:7" x14ac:dyDescent="0.35">
      <c r="A155" s="11"/>
      <c r="B155" s="16"/>
      <c r="C155" s="16"/>
      <c r="G155" s="1"/>
    </row>
    <row r="156" spans="1:7" x14ac:dyDescent="0.35">
      <c r="A156" s="11"/>
      <c r="B156" s="16"/>
      <c r="C156" s="16"/>
      <c r="G156" s="1"/>
    </row>
    <row r="157" spans="1:7" x14ac:dyDescent="0.35">
      <c r="A157" s="11"/>
      <c r="B157" s="16"/>
      <c r="C157" s="16"/>
      <c r="G157" s="1"/>
    </row>
    <row r="158" spans="1:7" x14ac:dyDescent="0.35">
      <c r="A158" s="11"/>
      <c r="B158" s="16"/>
      <c r="C158" s="16"/>
      <c r="G158" s="1"/>
    </row>
    <row r="159" spans="1:7" x14ac:dyDescent="0.35">
      <c r="A159" s="11"/>
      <c r="B159" s="16"/>
      <c r="C159" s="16"/>
      <c r="G159" s="1"/>
    </row>
    <row r="160" spans="1:7" x14ac:dyDescent="0.35">
      <c r="A160" s="11"/>
      <c r="B160" s="16"/>
      <c r="C160" s="16"/>
      <c r="G160" s="1"/>
    </row>
    <row r="161" spans="1:7" x14ac:dyDescent="0.35">
      <c r="A161" s="11"/>
      <c r="B161" s="16"/>
      <c r="C161" s="16"/>
      <c r="G161" s="1"/>
    </row>
    <row r="162" spans="1:7" x14ac:dyDescent="0.35">
      <c r="A162" s="11"/>
      <c r="B162" s="16"/>
      <c r="C162" s="16"/>
      <c r="G162" s="1"/>
    </row>
    <row r="163" spans="1:7" x14ac:dyDescent="0.35">
      <c r="A163" s="11"/>
      <c r="B163" s="16"/>
      <c r="C163" s="16"/>
      <c r="G163" s="1"/>
    </row>
    <row r="164" spans="1:7" x14ac:dyDescent="0.35">
      <c r="A164" s="11"/>
      <c r="B164" s="16"/>
      <c r="C164" s="16"/>
      <c r="G164" s="1"/>
    </row>
    <row r="165" spans="1:7" x14ac:dyDescent="0.35">
      <c r="A165" s="11"/>
      <c r="B165" s="16"/>
      <c r="C165" s="16"/>
      <c r="G165" s="1"/>
    </row>
    <row r="166" spans="1:7" x14ac:dyDescent="0.35">
      <c r="A166" s="11"/>
      <c r="B166" s="16"/>
      <c r="C166" s="16"/>
      <c r="G166" s="1"/>
    </row>
    <row r="167" spans="1:7" x14ac:dyDescent="0.35">
      <c r="A167" s="11"/>
      <c r="B167" s="16"/>
      <c r="C167" s="16"/>
      <c r="G167" s="1"/>
    </row>
    <row r="168" spans="1:7" x14ac:dyDescent="0.35">
      <c r="A168" s="11"/>
      <c r="B168" s="16"/>
      <c r="C168" s="16"/>
      <c r="G168" s="1"/>
    </row>
    <row r="169" spans="1:7" x14ac:dyDescent="0.35">
      <c r="A169" s="11"/>
      <c r="B169" s="16"/>
      <c r="C169" s="16"/>
      <c r="G169" s="1"/>
    </row>
    <row r="170" spans="1:7" x14ac:dyDescent="0.35">
      <c r="A170" s="11"/>
      <c r="B170" s="16"/>
      <c r="C170" s="16"/>
      <c r="G170" s="1"/>
    </row>
    <row r="171" spans="1:7" x14ac:dyDescent="0.35">
      <c r="A171" s="11"/>
      <c r="B171" s="16"/>
      <c r="C171" s="16"/>
      <c r="G171" s="1"/>
    </row>
    <row r="172" spans="1:7" x14ac:dyDescent="0.35">
      <c r="A172" s="11"/>
      <c r="B172" s="16"/>
      <c r="C172" s="16"/>
      <c r="G172" s="1"/>
    </row>
    <row r="173" spans="1:7" x14ac:dyDescent="0.35">
      <c r="A173" s="11"/>
      <c r="B173" s="16"/>
      <c r="C173" s="16"/>
      <c r="G173" s="1"/>
    </row>
    <row r="174" spans="1:7" x14ac:dyDescent="0.35">
      <c r="A174" s="11"/>
      <c r="B174" s="16"/>
      <c r="C174" s="16"/>
      <c r="G174" s="1"/>
    </row>
    <row r="175" spans="1:7" x14ac:dyDescent="0.35">
      <c r="A175" s="11"/>
      <c r="G175" s="1"/>
    </row>
    <row r="176" spans="1:7" x14ac:dyDescent="0.3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69850</xdr:rowOff>
                  </from>
                  <to>
                    <xdr:col>18</xdr:col>
                    <xdr:colOff>285750</xdr:colOff>
                    <xdr:row>14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C5" sqref="C5"/>
    </sheetView>
  </sheetViews>
  <sheetFormatPr defaultRowHeight="14.5" x14ac:dyDescent="0.35"/>
  <cols>
    <col min="2" max="2" width="21.1796875" customWidth="1"/>
    <col min="8" max="8" width="9.453125" bestFit="1" customWidth="1"/>
    <col min="10" max="10" width="10.453125" customWidth="1"/>
  </cols>
  <sheetData>
    <row r="1" spans="1:11" x14ac:dyDescent="0.35">
      <c r="A1" t="str">
        <f>версия_</f>
        <v>вер 7.9</v>
      </c>
    </row>
    <row r="4" spans="1:11" x14ac:dyDescent="0.35">
      <c r="B4" s="51" t="s">
        <v>176</v>
      </c>
      <c r="C4" s="52">
        <v>500</v>
      </c>
      <c r="D4" s="51" t="s">
        <v>177</v>
      </c>
    </row>
    <row r="5" spans="1:11" x14ac:dyDescent="0.3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35">
      <c r="B6" s="51" t="s">
        <v>180</v>
      </c>
      <c r="C6" s="52">
        <v>35</v>
      </c>
      <c r="D6" s="51" t="s">
        <v>181</v>
      </c>
    </row>
    <row r="7" spans="1:11" x14ac:dyDescent="0.35">
      <c r="B7" s="51" t="s">
        <v>182</v>
      </c>
      <c r="C7" s="53">
        <f>[1]!ESP_id_by_rate(ESP_rate_nom_)</f>
        <v>753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35">
      <c r="B8" s="51" t="s">
        <v>183</v>
      </c>
      <c r="C8" s="53" t="str">
        <f>[1]!ESP_name(ESP_ID_)</f>
        <v>ВНН5А-500</v>
      </c>
      <c r="D8" s="51"/>
      <c r="G8">
        <v>1</v>
      </c>
      <c r="H8" s="54">
        <v>1</v>
      </c>
      <c r="I8" s="50">
        <v>1511.5486957327657</v>
      </c>
      <c r="J8" s="50">
        <v>58.526904992008383</v>
      </c>
      <c r="K8" s="56">
        <v>2.4464792109942994E-3</v>
      </c>
    </row>
    <row r="9" spans="1:11" x14ac:dyDescent="0.35">
      <c r="B9" s="51" t="s">
        <v>184</v>
      </c>
      <c r="C9" s="53">
        <f>[1]!ESP_max_rate_m3day(ESP_freq_,ESP_ID_)*1</f>
        <v>546</v>
      </c>
      <c r="D9" s="51"/>
      <c r="G9">
        <v>2</v>
      </c>
      <c r="H9" s="55">
        <f t="shared" ref="H9:H29" si="0">(ESP_qmax_)/(pts_-1)+H8</f>
        <v>27</v>
      </c>
      <c r="I9" s="50">
        <v>1526.6026544003516</v>
      </c>
      <c r="J9" s="50">
        <v>61.984437516992209</v>
      </c>
      <c r="K9" s="56">
        <v>7.7984259960700714E-2</v>
      </c>
    </row>
    <row r="10" spans="1:11" x14ac:dyDescent="0.35">
      <c r="B10" s="51" t="s">
        <v>185</v>
      </c>
      <c r="C10" s="53">
        <f>INT(ESP_head_nom_/[1]!ESP_head_m(ESP_rate_nom_,1,,ESP_ID_))</f>
        <v>427</v>
      </c>
      <c r="D10" s="51" t="s">
        <v>186</v>
      </c>
      <c r="G10">
        <v>3</v>
      </c>
      <c r="H10" s="55">
        <f t="shared" si="0"/>
        <v>53</v>
      </c>
      <c r="I10" s="50">
        <v>1519.2733667831737</v>
      </c>
      <c r="J10" s="50">
        <v>64.736144778134886</v>
      </c>
      <c r="K10" s="56">
        <v>0.1449265279149502</v>
      </c>
    </row>
    <row r="11" spans="1:11" x14ac:dyDescent="0.35">
      <c r="G11">
        <v>4</v>
      </c>
      <c r="H11" s="55">
        <f t="shared" si="0"/>
        <v>79</v>
      </c>
      <c r="I11" s="50">
        <v>1494.4794329685121</v>
      </c>
      <c r="J11" s="50">
        <v>66.795576716402834</v>
      </c>
      <c r="K11" s="56">
        <v>0.20432900833120726</v>
      </c>
    </row>
    <row r="12" spans="1:11" x14ac:dyDescent="0.35">
      <c r="G12">
        <v>5</v>
      </c>
      <c r="H12" s="55">
        <f t="shared" si="0"/>
        <v>105</v>
      </c>
      <c r="I12" s="50">
        <v>1456.7391081524324</v>
      </c>
      <c r="J12" s="50">
        <v>68.214753539382158</v>
      </c>
      <c r="K12" s="56">
        <v>0.25732077153429417</v>
      </c>
    </row>
    <row r="13" spans="1:11" x14ac:dyDescent="0.35">
      <c r="B13" t="s">
        <v>187</v>
      </c>
      <c r="C13">
        <v>1000</v>
      </c>
      <c r="D13" t="s">
        <v>190</v>
      </c>
      <c r="G13">
        <v>6</v>
      </c>
      <c r="H13" s="55">
        <f t="shared" si="0"/>
        <v>131</v>
      </c>
      <c r="I13" s="50">
        <v>1410.1064470451115</v>
      </c>
      <c r="J13" s="50">
        <v>69.07564082264831</v>
      </c>
      <c r="K13" s="56">
        <v>0.30502407251407149</v>
      </c>
    </row>
    <row r="14" spans="1:11" x14ac:dyDescent="0.35">
      <c r="B14" t="s">
        <v>188</v>
      </c>
      <c r="C14">
        <v>30</v>
      </c>
      <c r="D14" t="s">
        <v>191</v>
      </c>
      <c r="G14">
        <v>7</v>
      </c>
      <c r="H14" s="55">
        <f t="shared" si="0"/>
        <v>157</v>
      </c>
      <c r="I14" s="50">
        <v>1358.107448276161</v>
      </c>
      <c r="J14" s="50">
        <v>69.481624611135828</v>
      </c>
      <c r="K14" s="56">
        <v>0.34847419052311784</v>
      </c>
    </row>
    <row r="15" spans="1:11" x14ac:dyDescent="0.35">
      <c r="G15">
        <v>8</v>
      </c>
      <c r="H15" s="55">
        <f t="shared" si="0"/>
        <v>183</v>
      </c>
      <c r="I15" s="50">
        <v>1303.6761987999519</v>
      </c>
      <c r="J15" s="50">
        <v>69.548986520508109</v>
      </c>
      <c r="K15" s="56">
        <v>0.38853926867441102</v>
      </c>
    </row>
    <row r="16" spans="1:11" x14ac:dyDescent="0.35">
      <c r="B16" t="s">
        <v>189</v>
      </c>
      <c r="C16">
        <f>Htub_m_</f>
        <v>2500</v>
      </c>
      <c r="D16" t="s">
        <v>38</v>
      </c>
      <c r="G16">
        <v>9</v>
      </c>
      <c r="H16" s="55">
        <f t="shared" si="0"/>
        <v>209</v>
      </c>
      <c r="I16" s="50">
        <v>1249.0910183009403</v>
      </c>
      <c r="J16" s="50">
        <v>69.398378838527066</v>
      </c>
      <c r="K16" s="56">
        <v>0.42584015353900773</v>
      </c>
    </row>
    <row r="17" spans="7:11" x14ac:dyDescent="0.35">
      <c r="G17">
        <v>10</v>
      </c>
      <c r="H17" s="55">
        <f t="shared" si="0"/>
        <v>235</v>
      </c>
      <c r="I17" s="50">
        <v>1195.9106035989912</v>
      </c>
      <c r="J17" s="50">
        <v>69.146299626422774</v>
      </c>
      <c r="K17" s="56">
        <v>0.46067023474372432</v>
      </c>
    </row>
    <row r="18" spans="7:11" x14ac:dyDescent="0.35">
      <c r="G18">
        <v>11</v>
      </c>
      <c r="H18" s="55">
        <f t="shared" si="0"/>
        <v>261</v>
      </c>
      <c r="I18" s="50">
        <v>1144.9101730547027</v>
      </c>
      <c r="J18" s="50">
        <v>68.8965678202633</v>
      </c>
      <c r="K18" s="56">
        <v>0.49291528456881661</v>
      </c>
    </row>
    <row r="19" spans="7:11" x14ac:dyDescent="0.35">
      <c r="G19">
        <v>12</v>
      </c>
      <c r="H19" s="55">
        <f t="shared" si="0"/>
        <v>287</v>
      </c>
      <c r="I19" s="50">
        <v>1096.0176109747313</v>
      </c>
      <c r="J19" s="50">
        <v>68.731798332324388</v>
      </c>
      <c r="K19" s="56">
        <v>0.52197329754566124</v>
      </c>
    </row>
    <row r="20" spans="7:11" x14ac:dyDescent="0.35">
      <c r="G20">
        <v>13</v>
      </c>
      <c r="H20" s="55">
        <f t="shared" si="0"/>
        <v>313</v>
      </c>
      <c r="I20" s="50">
        <v>1048.2496120171163</v>
      </c>
      <c r="J20" s="50">
        <v>68.704877152458991</v>
      </c>
      <c r="K20" s="56">
        <v>0.546674330054435</v>
      </c>
    </row>
    <row r="21" spans="7:11" x14ac:dyDescent="0.35">
      <c r="G21">
        <v>14</v>
      </c>
      <c r="H21" s="55">
        <f t="shared" si="0"/>
        <v>339</v>
      </c>
      <c r="I21" s="50">
        <v>999.647825596605</v>
      </c>
      <c r="J21" s="50">
        <v>68.830436449467328</v>
      </c>
      <c r="K21" s="56">
        <v>0.56520033992179486</v>
      </c>
    </row>
    <row r="22" spans="7:11" x14ac:dyDescent="0.35">
      <c r="G22">
        <v>15</v>
      </c>
      <c r="H22" s="55">
        <f t="shared" si="0"/>
        <v>365</v>
      </c>
      <c r="I22" s="50">
        <v>947.21500028997593</v>
      </c>
      <c r="J22" s="50">
        <v>69.076329672466258</v>
      </c>
      <c r="K22" s="56">
        <v>0.57500502601856018</v>
      </c>
    </row>
    <row r="23" spans="7:11" x14ac:dyDescent="0.35">
      <c r="G23">
        <v>16</v>
      </c>
      <c r="H23" s="55">
        <f t="shared" si="0"/>
        <v>391</v>
      </c>
      <c r="I23" s="50">
        <v>886.85112824136411</v>
      </c>
      <c r="J23" s="50">
        <v>69.355106652259195</v>
      </c>
      <c r="K23" s="56">
        <v>0.57273366785739144</v>
      </c>
    </row>
    <row r="24" spans="7:11" x14ac:dyDescent="0.35">
      <c r="G24">
        <v>17</v>
      </c>
      <c r="H24" s="55">
        <f t="shared" si="0"/>
        <v>417</v>
      </c>
      <c r="I24" s="50">
        <v>813.28958956758697</v>
      </c>
      <c r="J24" s="50">
        <v>69.515488702705753</v>
      </c>
      <c r="K24" s="56">
        <v>0.55414296519047013</v>
      </c>
    </row>
    <row r="25" spans="7:11" x14ac:dyDescent="0.35">
      <c r="G25">
        <v>18</v>
      </c>
      <c r="H25" s="55">
        <f t="shared" si="0"/>
        <v>443</v>
      </c>
      <c r="I25" s="50">
        <v>720.03329676346868</v>
      </c>
      <c r="J25" s="50">
        <v>69.333843722091473</v>
      </c>
      <c r="K25" s="56">
        <v>0.51402087760718174</v>
      </c>
    </row>
    <row r="26" spans="7:11" x14ac:dyDescent="0.35">
      <c r="G26">
        <v>19</v>
      </c>
      <c r="H26" s="55">
        <f t="shared" si="0"/>
        <v>469</v>
      </c>
      <c r="I26" s="50">
        <v>599.29083910716054</v>
      </c>
      <c r="J26" s="50">
        <v>68.505661294497457</v>
      </c>
      <c r="K26" s="56">
        <v>0.44610646413179267</v>
      </c>
    </row>
    <row r="27" spans="7:11" x14ac:dyDescent="0.35">
      <c r="G27">
        <v>20</v>
      </c>
      <c r="H27" s="55">
        <f t="shared" si="0"/>
        <v>495</v>
      </c>
      <c r="I27" s="50">
        <v>441.91262706547246</v>
      </c>
      <c r="J27" s="50">
        <v>66.637027791170155</v>
      </c>
      <c r="K27" s="56">
        <v>0.34300972282113351</v>
      </c>
    </row>
    <row r="28" spans="7:11" x14ac:dyDescent="0.35">
      <c r="G28">
        <v>21</v>
      </c>
      <c r="H28" s="55">
        <f t="shared" si="0"/>
        <v>521</v>
      </c>
      <c r="I28" s="50">
        <v>237.32703669919169</v>
      </c>
      <c r="J28" s="50">
        <v>63.23610147189104</v>
      </c>
      <c r="K28" s="56">
        <v>0.19613143036227587</v>
      </c>
    </row>
    <row r="29" spans="7:11" x14ac:dyDescent="0.35">
      <c r="G29">
        <v>22</v>
      </c>
      <c r="H29" s="55">
        <f t="shared" si="0"/>
        <v>547</v>
      </c>
      <c r="I29" s="50">
        <v>0</v>
      </c>
      <c r="J29" s="50">
        <v>57.964982049754923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12700</xdr:rowOff>
                  </from>
                  <to>
                    <xdr:col>14</xdr:col>
                    <xdr:colOff>355600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A2" sqref="A2"/>
    </sheetView>
  </sheetViews>
  <sheetFormatPr defaultRowHeight="14.5" x14ac:dyDescent="0.35"/>
  <cols>
    <col min="2" max="2" width="13.26953125" customWidth="1"/>
    <col min="3" max="3" width="10.54296875" customWidth="1"/>
    <col min="4" max="4" width="15.7265625" customWidth="1"/>
  </cols>
  <sheetData>
    <row r="1" spans="1:4" x14ac:dyDescent="0.35">
      <c r="A1" t="str">
        <f>версия_</f>
        <v>вер 7.9</v>
      </c>
    </row>
    <row r="3" spans="1:4" x14ac:dyDescent="0.35">
      <c r="B3" t="s">
        <v>207</v>
      </c>
    </row>
    <row r="5" spans="1:4" x14ac:dyDescent="0.35">
      <c r="B5" t="s">
        <v>208</v>
      </c>
      <c r="C5" s="11">
        <v>3</v>
      </c>
    </row>
    <row r="7" spans="1:4" x14ac:dyDescent="0.35">
      <c r="B7" t="s">
        <v>209</v>
      </c>
    </row>
    <row r="9" spans="1:4" x14ac:dyDescent="0.35">
      <c r="B9" s="5" t="s">
        <v>170</v>
      </c>
      <c r="C9" s="5" t="s">
        <v>210</v>
      </c>
      <c r="D9" s="5" t="s">
        <v>211</v>
      </c>
    </row>
    <row r="10" spans="1:4" x14ac:dyDescent="0.35">
      <c r="B10" s="5" t="s">
        <v>38</v>
      </c>
      <c r="C10" s="5" t="s">
        <v>41</v>
      </c>
      <c r="D10" s="5" t="s">
        <v>2</v>
      </c>
    </row>
    <row r="11" spans="1:4" x14ac:dyDescent="0.35">
      <c r="B11" s="9">
        <v>500</v>
      </c>
      <c r="C11" s="9">
        <v>0</v>
      </c>
      <c r="D11" s="9">
        <v>50</v>
      </c>
    </row>
    <row r="12" spans="1:4" x14ac:dyDescent="0.35">
      <c r="B12" s="9">
        <v>1500</v>
      </c>
      <c r="C12" s="9">
        <v>0</v>
      </c>
      <c r="D12" s="9">
        <v>60</v>
      </c>
    </row>
    <row r="13" spans="1:4" x14ac:dyDescent="0.35">
      <c r="B13" s="9">
        <v>2200</v>
      </c>
      <c r="C13" s="9">
        <v>3</v>
      </c>
      <c r="D13" s="9">
        <v>80</v>
      </c>
    </row>
    <row r="14" spans="1:4" x14ac:dyDescent="0.35">
      <c r="B14" s="9"/>
      <c r="C14" s="9"/>
      <c r="D14" s="9"/>
    </row>
    <row r="15" spans="1:4" x14ac:dyDescent="0.35">
      <c r="B15" s="9"/>
      <c r="C15" s="9"/>
      <c r="D15" s="9"/>
    </row>
    <row r="16" spans="1:4" x14ac:dyDescent="0.35">
      <c r="B16" s="9"/>
      <c r="C16" s="9"/>
      <c r="D16" s="9"/>
    </row>
    <row r="17" spans="2:4" x14ac:dyDescent="0.35">
      <c r="B17" s="9"/>
      <c r="C17" s="9"/>
      <c r="D17" s="9"/>
    </row>
    <row r="18" spans="2:4" x14ac:dyDescent="0.35">
      <c r="B18" s="9"/>
      <c r="C18" s="9"/>
      <c r="D18" s="9"/>
    </row>
    <row r="19" spans="2:4" x14ac:dyDescent="0.35">
      <c r="B19" s="9"/>
      <c r="C19" s="9"/>
      <c r="D19" s="9"/>
    </row>
    <row r="20" spans="2:4" x14ac:dyDescent="0.3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zoomScale="70" zoomScaleNormal="70" workbookViewId="0">
      <selection activeCell="K11" sqref="K11"/>
    </sheetView>
  </sheetViews>
  <sheetFormatPr defaultRowHeight="14.5" x14ac:dyDescent="0.35"/>
  <cols>
    <col min="15" max="15" width="10.1796875" customWidth="1"/>
    <col min="22" max="22" width="10.7265625" customWidth="1"/>
    <col min="31" max="35" width="6.26953125" customWidth="1"/>
  </cols>
  <sheetData>
    <row r="1" spans="1:37" x14ac:dyDescent="0.35">
      <c r="A1" t="str">
        <f>версия_</f>
        <v>вер 7.9</v>
      </c>
      <c r="W1" s="66"/>
      <c r="X1" s="66"/>
      <c r="Y1" s="66"/>
      <c r="Z1" s="66"/>
      <c r="AA1" s="66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3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35">
      <c r="W3" s="66"/>
      <c r="X3" s="66"/>
      <c r="Y3" s="66"/>
      <c r="Z3" s="66"/>
      <c r="AA3" s="66"/>
      <c r="AB3" s="58">
        <v>1</v>
      </c>
      <c r="AC3" s="58" t="s">
        <v>145</v>
      </c>
      <c r="AD3" s="58"/>
      <c r="AE3" s="58"/>
      <c r="AF3" s="58"/>
      <c r="AG3" s="58">
        <v>3</v>
      </c>
      <c r="AH3" s="58" t="s">
        <v>160</v>
      </c>
      <c r="AI3" s="58"/>
      <c r="AJ3" s="58"/>
      <c r="AK3" s="58"/>
    </row>
    <row r="4" spans="1:37" x14ac:dyDescent="0.35">
      <c r="W4" s="66"/>
      <c r="X4" s="66"/>
      <c r="Y4" s="66"/>
      <c r="Z4" s="66"/>
      <c r="AA4" s="66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W5" s="66"/>
      <c r="X5" s="66"/>
      <c r="Y5" s="66"/>
      <c r="Z5" s="66"/>
      <c r="AA5" s="66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6.5" x14ac:dyDescent="0.45">
      <c r="B6" s="7" t="s">
        <v>32</v>
      </c>
      <c r="C6" s="12">
        <f>Ql_scm3day_</f>
        <v>230</v>
      </c>
      <c r="D6" s="5" t="s">
        <v>33</v>
      </c>
      <c r="G6" s="14" t="s">
        <v>157</v>
      </c>
      <c r="H6" s="9">
        <v>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204</v>
      </c>
      <c r="W6" s="66"/>
      <c r="X6" s="66"/>
      <c r="Y6" s="66"/>
      <c r="Z6" s="66"/>
      <c r="AA6" s="66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6.5" x14ac:dyDescent="0.45">
      <c r="B7" s="5" t="s">
        <v>19</v>
      </c>
      <c r="C7" s="12">
        <f>fw_perc_</f>
        <v>0</v>
      </c>
      <c r="D7" s="5" t="s">
        <v>9</v>
      </c>
      <c r="G7" s="14" t="s">
        <v>158</v>
      </c>
      <c r="H7" s="9">
        <v>1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204</v>
      </c>
      <c r="W7" s="66"/>
      <c r="X7" s="66"/>
      <c r="Y7" s="66"/>
      <c r="Z7" s="66"/>
      <c r="AA7" s="66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6.5" x14ac:dyDescent="0.45">
      <c r="B8" s="7" t="s">
        <v>34</v>
      </c>
      <c r="C8" s="12">
        <f>Qo_sctday_</f>
        <v>197.79999999999998</v>
      </c>
      <c r="D8" s="5" t="s">
        <v>35</v>
      </c>
      <c r="Q8" s="14" t="s">
        <v>47</v>
      </c>
      <c r="R8" s="9">
        <v>90</v>
      </c>
      <c r="S8" s="5" t="s">
        <v>204</v>
      </c>
      <c r="W8" s="66"/>
      <c r="X8" s="66"/>
      <c r="Y8" s="66"/>
      <c r="Z8" s="66"/>
      <c r="AA8" s="66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6.5" x14ac:dyDescent="0.45">
      <c r="B9" s="7" t="s">
        <v>18</v>
      </c>
      <c r="C9" s="12">
        <f>Rp_m3m3_</f>
        <v>100</v>
      </c>
      <c r="D9" s="5" t="s">
        <v>17</v>
      </c>
      <c r="Q9" s="14" t="s">
        <v>197</v>
      </c>
      <c r="R9" s="9">
        <v>45</v>
      </c>
      <c r="S9" s="5" t="s">
        <v>204</v>
      </c>
      <c r="AB9" s="58"/>
      <c r="AC9" s="58"/>
      <c r="AD9" s="58"/>
      <c r="AE9" s="58"/>
      <c r="AF9" s="58"/>
      <c r="AG9" s="58"/>
      <c r="AH9" s="58"/>
    </row>
    <row r="10" spans="1:37" ht="16.5" x14ac:dyDescent="0.35">
      <c r="B10" s="7" t="s">
        <v>18</v>
      </c>
      <c r="C10" s="13">
        <f>Rp_m3m3_/PVT!gamma_oil_</f>
        <v>116.27906976744187</v>
      </c>
      <c r="D10" s="5" t="s">
        <v>36</v>
      </c>
      <c r="Q10" s="17"/>
      <c r="R10" s="2"/>
      <c r="S10" s="2"/>
      <c r="T10" s="17"/>
      <c r="U10" s="2"/>
      <c r="V10" s="2"/>
      <c r="AB10" s="58"/>
      <c r="AC10" s="58"/>
      <c r="AD10" s="58"/>
      <c r="AE10" s="58"/>
      <c r="AF10" s="58"/>
      <c r="AG10" s="58"/>
      <c r="AH10" s="58"/>
    </row>
    <row r="11" spans="1:37" ht="16.5" x14ac:dyDescent="0.45">
      <c r="Q11" s="14" t="s">
        <v>205</v>
      </c>
      <c r="R11" s="25">
        <v>45.003531296830985</v>
      </c>
      <c r="S11" s="5" t="s">
        <v>204</v>
      </c>
      <c r="T11" s="14" t="s">
        <v>55</v>
      </c>
      <c r="U11" s="25">
        <v>46.547433671946678</v>
      </c>
      <c r="V11" s="5" t="s">
        <v>25</v>
      </c>
    </row>
    <row r="12" spans="1:37" ht="16.5" x14ac:dyDescent="0.45">
      <c r="Q12" s="14" t="s">
        <v>206</v>
      </c>
      <c r="R12" s="25">
        <v>53.27585670283807</v>
      </c>
      <c r="S12" s="5" t="s">
        <v>204</v>
      </c>
      <c r="T12" s="14" t="s">
        <v>56</v>
      </c>
      <c r="U12" s="25">
        <v>46.547433671946678</v>
      </c>
      <c r="V12" s="5" t="s">
        <v>25</v>
      </c>
    </row>
    <row r="13" spans="1:37" ht="16.5" x14ac:dyDescent="0.45">
      <c r="D13" s="1"/>
      <c r="Q13" s="14" t="s">
        <v>47</v>
      </c>
      <c r="R13" s="25">
        <v>152.37578087124166</v>
      </c>
      <c r="S13" s="5" t="s">
        <v>204</v>
      </c>
      <c r="T13" s="14" t="s">
        <v>57</v>
      </c>
      <c r="U13" s="25">
        <v>90</v>
      </c>
      <c r="V13" s="5" t="s">
        <v>25</v>
      </c>
    </row>
    <row r="14" spans="1:37" x14ac:dyDescent="0.35">
      <c r="B14" s="17" t="s">
        <v>58</v>
      </c>
      <c r="C14" s="2"/>
      <c r="D14" s="10"/>
      <c r="E14" s="2"/>
    </row>
    <row r="15" spans="1:37" ht="29" x14ac:dyDescent="0.3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7" x14ac:dyDescent="0.3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53.27585670283807</v>
      </c>
      <c r="P16">
        <v>0</v>
      </c>
      <c r="Q16">
        <v>46.547433671946678</v>
      </c>
      <c r="R16">
        <v>0</v>
      </c>
      <c r="S16">
        <v>0.6224641750921015</v>
      </c>
      <c r="U16">
        <v>0</v>
      </c>
      <c r="V16" s="50">
        <f>Pline_out_atma_</f>
        <v>45.003531296830985</v>
      </c>
    </row>
    <row r="17" spans="2:22" x14ac:dyDescent="0.3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64.163226131035231</v>
      </c>
      <c r="P17">
        <v>194.44444444444446</v>
      </c>
      <c r="Q17">
        <v>47.704293884014703</v>
      </c>
      <c r="R17">
        <v>175</v>
      </c>
      <c r="S17">
        <v>0.67890266672290622</v>
      </c>
      <c r="U17">
        <v>0</v>
      </c>
      <c r="V17" s="50">
        <f>Pbuf_out_atma_</f>
        <v>53.27585670283807</v>
      </c>
    </row>
    <row r="18" spans="2:22" x14ac:dyDescent="0.3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75.934495980827137</v>
      </c>
      <c r="P18">
        <v>388.88888888888891</v>
      </c>
      <c r="Q18">
        <v>49.004116569362942</v>
      </c>
      <c r="R18">
        <v>350</v>
      </c>
      <c r="S18">
        <v>0.7454274562742873</v>
      </c>
      <c r="U18">
        <f>Hperf_m_</f>
        <v>3500</v>
      </c>
      <c r="V18" s="50">
        <f>Pwf_out_atma_</f>
        <v>152.37578087124166</v>
      </c>
    </row>
    <row r="19" spans="2:22" x14ac:dyDescent="0.3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89.677476275513385</v>
      </c>
      <c r="P19">
        <v>583.33333333333337</v>
      </c>
      <c r="Q19">
        <v>50.533067744134122</v>
      </c>
      <c r="R19">
        <v>525</v>
      </c>
      <c r="S19">
        <v>0.91729091636380833</v>
      </c>
    </row>
    <row r="20" spans="2:22" x14ac:dyDescent="0.3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105.16534924635414</v>
      </c>
      <c r="P20">
        <v>777.77777777777783</v>
      </c>
      <c r="Q20">
        <v>52.319129806239083</v>
      </c>
      <c r="R20">
        <v>700</v>
      </c>
      <c r="S20">
        <v>1</v>
      </c>
    </row>
    <row r="21" spans="2:22" x14ac:dyDescent="0.3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120.71831929033702</v>
      </c>
      <c r="P21">
        <v>972.22222222222229</v>
      </c>
      <c r="Q21">
        <v>54.243595283699356</v>
      </c>
      <c r="R21">
        <v>875</v>
      </c>
      <c r="S21">
        <v>1</v>
      </c>
    </row>
    <row r="22" spans="2:22" x14ac:dyDescent="0.3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135.67896403402602</v>
      </c>
      <c r="P22">
        <v>1166.6666666666667</v>
      </c>
      <c r="Q22">
        <v>56.647169851651661</v>
      </c>
      <c r="R22">
        <v>1050</v>
      </c>
      <c r="S22">
        <v>1</v>
      </c>
    </row>
    <row r="23" spans="2:22" x14ac:dyDescent="0.3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150.07413111211446</v>
      </c>
      <c r="P23">
        <v>1361.1111111111113</v>
      </c>
      <c r="Q23">
        <v>61.493528856530908</v>
      </c>
      <c r="R23">
        <v>1225</v>
      </c>
      <c r="S23">
        <v>1</v>
      </c>
    </row>
    <row r="24" spans="2:22" x14ac:dyDescent="0.3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163.8562744727038</v>
      </c>
      <c r="P24">
        <v>1555.5555555555557</v>
      </c>
      <c r="Q24">
        <v>67.56472475231331</v>
      </c>
      <c r="R24">
        <v>1400</v>
      </c>
      <c r="S24">
        <v>1</v>
      </c>
    </row>
    <row r="25" spans="2:22" x14ac:dyDescent="0.3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177.01950463319326</v>
      </c>
      <c r="P25">
        <v>1750</v>
      </c>
      <c r="Q25">
        <v>73.823699225330898</v>
      </c>
      <c r="R25">
        <v>1575</v>
      </c>
      <c r="S25">
        <v>1</v>
      </c>
    </row>
    <row r="26" spans="2:22" x14ac:dyDescent="0.3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189.56721434859952</v>
      </c>
      <c r="P26">
        <v>1944.4444444444446</v>
      </c>
      <c r="Q26">
        <v>79.508023854739236</v>
      </c>
      <c r="R26">
        <v>1750</v>
      </c>
      <c r="S26">
        <v>1</v>
      </c>
    </row>
    <row r="27" spans="2:22" x14ac:dyDescent="0.3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201.50500625641891</v>
      </c>
      <c r="P27">
        <v>2138.8888888888891</v>
      </c>
      <c r="Q27">
        <v>84.559438155377379</v>
      </c>
      <c r="R27">
        <v>1925</v>
      </c>
      <c r="S27">
        <v>1</v>
      </c>
    </row>
    <row r="28" spans="2:22" x14ac:dyDescent="0.3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212.83831796135908</v>
      </c>
      <c r="P28">
        <v>2333.3333333333335</v>
      </c>
      <c r="Q28">
        <v>88.928550327930523</v>
      </c>
      <c r="R28">
        <v>2100</v>
      </c>
      <c r="S28">
        <v>1</v>
      </c>
    </row>
    <row r="29" spans="2:22" x14ac:dyDescent="0.3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222.09150746292553</v>
      </c>
      <c r="P29">
        <v>2500</v>
      </c>
      <c r="Q29">
        <v>92.106753657762326</v>
      </c>
      <c r="R29">
        <v>2275</v>
      </c>
      <c r="S29">
        <v>1</v>
      </c>
    </row>
    <row r="30" spans="2:22" x14ac:dyDescent="0.3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134.97335533115665</v>
      </c>
      <c r="P30">
        <v>2501</v>
      </c>
      <c r="Q30">
        <v>86.892371117135738</v>
      </c>
      <c r="R30">
        <v>2450</v>
      </c>
      <c r="S30">
        <v>1</v>
      </c>
    </row>
    <row r="31" spans="2:22" x14ac:dyDescent="0.3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136.32221295973326</v>
      </c>
      <c r="P31">
        <v>2527.7777777777778</v>
      </c>
      <c r="Q31">
        <v>87.161884767265576</v>
      </c>
      <c r="R31">
        <v>2625</v>
      </c>
      <c r="S31">
        <v>1</v>
      </c>
    </row>
    <row r="32" spans="2:22" x14ac:dyDescent="0.3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145.48718839435037</v>
      </c>
      <c r="P32">
        <v>2722.2222222222226</v>
      </c>
      <c r="Q32">
        <v>88.702811208584734</v>
      </c>
      <c r="R32">
        <v>2800</v>
      </c>
      <c r="S32">
        <v>1</v>
      </c>
    </row>
    <row r="33" spans="2:19" x14ac:dyDescent="0.3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148.46100454663184</v>
      </c>
      <c r="P33">
        <v>2916.666666666667</v>
      </c>
      <c r="Q33">
        <v>89.293693685155574</v>
      </c>
      <c r="R33">
        <v>2975</v>
      </c>
      <c r="S33">
        <v>1</v>
      </c>
    </row>
    <row r="34" spans="2:19" x14ac:dyDescent="0.3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149.76578393822314</v>
      </c>
      <c r="P34">
        <v>3111.1111111111113</v>
      </c>
      <c r="Q34">
        <v>89.664839044580077</v>
      </c>
      <c r="R34">
        <v>3150</v>
      </c>
      <c r="S34">
        <v>1</v>
      </c>
    </row>
    <row r="35" spans="2:19" x14ac:dyDescent="0.3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151.07066643473541</v>
      </c>
      <c r="P35">
        <v>3305.5555555555557</v>
      </c>
      <c r="Q35">
        <v>89.90981315410589</v>
      </c>
      <c r="R35">
        <v>3325</v>
      </c>
      <c r="S35">
        <v>1</v>
      </c>
    </row>
    <row r="36" spans="2:19" x14ac:dyDescent="0.3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152.37578087124166</v>
      </c>
      <c r="P36">
        <v>3500</v>
      </c>
      <c r="Q36">
        <v>90</v>
      </c>
      <c r="R36">
        <v>3500</v>
      </c>
      <c r="S36">
        <v>1</v>
      </c>
    </row>
    <row r="37" spans="2:19" x14ac:dyDescent="0.35">
      <c r="B37" s="2"/>
      <c r="C37" s="18">
        <v>2500</v>
      </c>
      <c r="D37" s="18">
        <v>176.72349338287597</v>
      </c>
      <c r="E37" s="18">
        <v>53</v>
      </c>
    </row>
    <row r="38" spans="2:19" x14ac:dyDescent="0.35">
      <c r="B38" s="2"/>
      <c r="C38" s="18">
        <v>2625</v>
      </c>
      <c r="D38" s="18">
        <v>186.511102757185</v>
      </c>
      <c r="E38" s="18">
        <v>54</v>
      </c>
    </row>
    <row r="39" spans="2:19" x14ac:dyDescent="0.35">
      <c r="B39" s="2"/>
      <c r="C39" s="18">
        <v>2750</v>
      </c>
      <c r="D39" s="18">
        <v>196.298712131494</v>
      </c>
      <c r="E39" s="18">
        <v>55</v>
      </c>
    </row>
    <row r="40" spans="2:19" x14ac:dyDescent="0.35">
      <c r="B40" s="2"/>
      <c r="C40" s="18">
        <v>2875</v>
      </c>
      <c r="D40" s="18">
        <v>206.08632150580399</v>
      </c>
      <c r="E40" s="18">
        <v>56</v>
      </c>
    </row>
    <row r="41" spans="2:19" x14ac:dyDescent="0.35">
      <c r="B41" s="2"/>
      <c r="C41" s="18">
        <v>3000</v>
      </c>
      <c r="D41" s="18">
        <v>215.87393088011299</v>
      </c>
      <c r="E41" s="18">
        <v>57</v>
      </c>
    </row>
    <row r="42" spans="2:19" x14ac:dyDescent="0.35">
      <c r="B42" s="2"/>
      <c r="C42" s="18">
        <v>3125</v>
      </c>
      <c r="D42" s="18">
        <v>225.66154025442199</v>
      </c>
      <c r="E42" s="18">
        <v>58</v>
      </c>
    </row>
    <row r="43" spans="2:19" x14ac:dyDescent="0.35">
      <c r="B43" s="2"/>
      <c r="C43" s="18">
        <v>3250</v>
      </c>
      <c r="D43" s="18">
        <v>235.44914962873099</v>
      </c>
      <c r="E43" s="18">
        <v>59</v>
      </c>
    </row>
    <row r="44" spans="2:19" x14ac:dyDescent="0.3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361950</xdr:colOff>
                    <xdr:row>3</xdr:row>
                    <xdr:rowOff>146050</xdr:rowOff>
                  </from>
                  <to>
                    <xdr:col>27</xdr:col>
                    <xdr:colOff>381000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355600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6</xdr:col>
                    <xdr:colOff>12700</xdr:colOff>
                    <xdr:row>2</xdr:row>
                    <xdr:rowOff>31750</xdr:rowOff>
                  </from>
                  <to>
                    <xdr:col>9</xdr:col>
                    <xdr:colOff>12700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11</xdr:col>
                    <xdr:colOff>12700</xdr:colOff>
                    <xdr:row>2</xdr:row>
                    <xdr:rowOff>12700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tabSelected="1" zoomScale="55" zoomScaleNormal="55" workbookViewId="0">
      <selection activeCell="AH17" sqref="AH17"/>
    </sheetView>
  </sheetViews>
  <sheetFormatPr defaultRowHeight="14.5" x14ac:dyDescent="0.35"/>
  <cols>
    <col min="15" max="15" width="10.1796875" customWidth="1"/>
    <col min="22" max="22" width="10.7265625" customWidth="1"/>
  </cols>
  <sheetData>
    <row r="1" spans="1:40" x14ac:dyDescent="0.35">
      <c r="A1" t="str">
        <f>версия_</f>
        <v>вер 7.9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3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40" x14ac:dyDescent="0.3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3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6.5" x14ac:dyDescent="0.4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6.5" x14ac:dyDescent="0.45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6.5" x14ac:dyDescent="0.4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150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6.5" x14ac:dyDescent="0.45">
      <c r="B8" s="7" t="s">
        <v>34</v>
      </c>
      <c r="C8" s="12" t="s">
        <v>63</v>
      </c>
      <c r="D8" s="5" t="s">
        <v>35</v>
      </c>
      <c r="P8" s="57" t="s">
        <v>197</v>
      </c>
      <c r="Q8" s="9">
        <v>200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6.5" x14ac:dyDescent="0.3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6.5" x14ac:dyDescent="0.45">
      <c r="B10" s="7" t="s">
        <v>18</v>
      </c>
      <c r="C10" s="13">
        <v>125</v>
      </c>
      <c r="D10" s="5" t="s">
        <v>36</v>
      </c>
      <c r="P10" s="57" t="s">
        <v>45</v>
      </c>
      <c r="Q10" s="25">
        <v>1</v>
      </c>
      <c r="R10" s="5" t="s">
        <v>44</v>
      </c>
      <c r="S10" s="57" t="s">
        <v>55</v>
      </c>
      <c r="T10" s="25">
        <v>20.000000000000004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000,2563</v>
      </c>
      <c r="AG10" s="58"/>
      <c r="AH10" s="58"/>
      <c r="AI10" s="58"/>
      <c r="AJ10" s="58"/>
      <c r="AK10" s="58"/>
      <c r="AL10" s="58"/>
      <c r="AM10" s="58"/>
      <c r="AN10" s="58"/>
    </row>
    <row r="11" spans="1:40" ht="16.5" x14ac:dyDescent="0.45">
      <c r="B11" s="7" t="s">
        <v>212</v>
      </c>
      <c r="C11" s="9">
        <v>40000</v>
      </c>
      <c r="P11" s="57" t="s">
        <v>46</v>
      </c>
      <c r="Q11" s="25">
        <v>24.261435087158841</v>
      </c>
      <c r="R11" s="5" t="s">
        <v>44</v>
      </c>
      <c r="S11" s="57" t="s">
        <v>56</v>
      </c>
      <c r="T11" s="25">
        <v>20.000000000000004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6.5" x14ac:dyDescent="0.45">
      <c r="M12" t="s">
        <v>63</v>
      </c>
      <c r="P12" s="57" t="s">
        <v>47</v>
      </c>
      <c r="Q12" s="25">
        <v>150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40" x14ac:dyDescent="0.35">
      <c r="D13" s="1"/>
    </row>
    <row r="14" spans="1:40" x14ac:dyDescent="0.3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3.5" x14ac:dyDescent="0.3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213</v>
      </c>
      <c r="M15" t="s">
        <v>203</v>
      </c>
      <c r="N15" s="1" t="s">
        <v>199</v>
      </c>
      <c r="O15" s="1" t="s">
        <v>200</v>
      </c>
      <c r="P15" s="1" t="s">
        <v>214</v>
      </c>
      <c r="Q15" s="1" t="s">
        <v>201</v>
      </c>
      <c r="R15" s="5" t="s">
        <v>198</v>
      </c>
      <c r="S15" s="57" t="s">
        <v>215</v>
      </c>
      <c r="T15" s="1"/>
      <c r="U15" s="1" t="s">
        <v>202</v>
      </c>
      <c r="W15" s="5" t="s">
        <v>170</v>
      </c>
      <c r="X15" s="1" t="s">
        <v>171</v>
      </c>
      <c r="Y15" t="s">
        <v>198</v>
      </c>
      <c r="Z15" t="s">
        <v>216</v>
      </c>
    </row>
    <row r="16" spans="1:40" x14ac:dyDescent="0.3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24.261435087158841</v>
      </c>
      <c r="P16">
        <v>0</v>
      </c>
      <c r="Q16">
        <v>20.000000000000004</v>
      </c>
      <c r="R16">
        <v>0</v>
      </c>
      <c r="S16">
        <v>20.000000000000004</v>
      </c>
      <c r="T16">
        <v>0</v>
      </c>
      <c r="U16">
        <v>0.22668731020820712</v>
      </c>
      <c r="W16">
        <v>0</v>
      </c>
      <c r="X16" s="50">
        <f>Pline_out_atma_</f>
        <v>1</v>
      </c>
      <c r="Y16">
        <v>0</v>
      </c>
      <c r="Z16">
        <v>200</v>
      </c>
    </row>
    <row r="17" spans="2:26" x14ac:dyDescent="0.3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26.562500000000004</v>
      </c>
      <c r="N17">
        <v>218.75</v>
      </c>
      <c r="O17">
        <v>31.41256142797009</v>
      </c>
      <c r="P17">
        <v>218.75</v>
      </c>
      <c r="Q17">
        <v>26.562500000000004</v>
      </c>
      <c r="R17">
        <v>122.22222222222223</v>
      </c>
      <c r="S17">
        <v>23.666666666666671</v>
      </c>
      <c r="T17">
        <v>175</v>
      </c>
      <c r="U17">
        <v>0.25541240909811125</v>
      </c>
      <c r="W17">
        <v>0</v>
      </c>
      <c r="X17" s="50">
        <f>Pbuf_out_atma_</f>
        <v>24.261435087158841</v>
      </c>
      <c r="Y17">
        <v>122.22222222222223</v>
      </c>
      <c r="Z17">
        <v>202.49597241993845</v>
      </c>
    </row>
    <row r="18" spans="2:26" x14ac:dyDescent="0.3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33.125</v>
      </c>
      <c r="N18">
        <v>437.5</v>
      </c>
      <c r="O18">
        <v>38.754659076273086</v>
      </c>
      <c r="P18">
        <v>437.5</v>
      </c>
      <c r="Q18">
        <v>33.125</v>
      </c>
      <c r="R18">
        <v>244.44444444444446</v>
      </c>
      <c r="S18">
        <v>27.333333333333336</v>
      </c>
      <c r="T18">
        <v>350</v>
      </c>
      <c r="U18">
        <v>0.28184310807101681</v>
      </c>
      <c r="W18">
        <v>3500</v>
      </c>
      <c r="X18" s="50">
        <f>Pwf_out_atma_</f>
        <v>150</v>
      </c>
      <c r="Y18">
        <v>244.44444444444446</v>
      </c>
      <c r="Z18">
        <v>204.88319611310359</v>
      </c>
    </row>
    <row r="19" spans="2:26" x14ac:dyDescent="0.3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35</v>
      </c>
      <c r="N19">
        <v>500</v>
      </c>
      <c r="O19">
        <v>40.898835824426627</v>
      </c>
      <c r="P19">
        <v>500</v>
      </c>
      <c r="Q19">
        <v>35</v>
      </c>
      <c r="R19">
        <v>366.66666666666669</v>
      </c>
      <c r="S19">
        <v>31</v>
      </c>
      <c r="T19">
        <v>525</v>
      </c>
      <c r="U19">
        <v>0.2971733743074737</v>
      </c>
      <c r="Y19">
        <v>366.66666666666669</v>
      </c>
      <c r="Z19">
        <v>207.17287532766855</v>
      </c>
    </row>
    <row r="20" spans="2:26" x14ac:dyDescent="0.3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39.6875</v>
      </c>
      <c r="N20">
        <v>656.25</v>
      </c>
      <c r="O20">
        <v>47.957174118656269</v>
      </c>
      <c r="P20">
        <v>656.25</v>
      </c>
      <c r="Q20">
        <v>39.6875</v>
      </c>
      <c r="R20">
        <v>488.88888888888891</v>
      </c>
      <c r="S20">
        <v>34.666666666666664</v>
      </c>
      <c r="T20">
        <v>700</v>
      </c>
      <c r="U20">
        <v>0.32704823955337387</v>
      </c>
      <c r="Y20">
        <v>488.88888888888891</v>
      </c>
      <c r="Z20">
        <v>209.37751949356351</v>
      </c>
    </row>
    <row r="21" spans="2:26" x14ac:dyDescent="0.3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46.25</v>
      </c>
      <c r="N21">
        <v>875</v>
      </c>
      <c r="O21">
        <v>57.855556961590345</v>
      </c>
      <c r="P21">
        <v>875</v>
      </c>
      <c r="Q21">
        <v>46.25</v>
      </c>
      <c r="R21">
        <v>500</v>
      </c>
      <c r="S21">
        <v>35</v>
      </c>
      <c r="T21">
        <v>875</v>
      </c>
      <c r="U21">
        <v>0.35404212991315909</v>
      </c>
      <c r="Y21">
        <v>500</v>
      </c>
      <c r="Z21">
        <v>209.57624632011914</v>
      </c>
    </row>
    <row r="22" spans="2:26" x14ac:dyDescent="0.3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52.7</v>
      </c>
      <c r="N22">
        <v>1093.75</v>
      </c>
      <c r="O22">
        <v>67.827146594939208</v>
      </c>
      <c r="P22">
        <v>1093.75</v>
      </c>
      <c r="Q22">
        <v>52.7</v>
      </c>
      <c r="R22">
        <v>611.11111111111109</v>
      </c>
      <c r="S22">
        <v>38.333333333333336</v>
      </c>
      <c r="T22">
        <v>1050</v>
      </c>
      <c r="U22">
        <v>0.39345513661238563</v>
      </c>
      <c r="Y22">
        <v>611.11111111111109</v>
      </c>
      <c r="Z22">
        <v>211.50464371719048</v>
      </c>
    </row>
    <row r="23" spans="2:26" x14ac:dyDescent="0.3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58.861250000000005</v>
      </c>
      <c r="N23">
        <v>1312.5</v>
      </c>
      <c r="O23">
        <v>77.748186097618287</v>
      </c>
      <c r="P23">
        <v>1312.5</v>
      </c>
      <c r="Q23">
        <v>58.861250000000005</v>
      </c>
      <c r="R23">
        <v>733.33333333333337</v>
      </c>
      <c r="S23">
        <v>42</v>
      </c>
      <c r="T23">
        <v>1225</v>
      </c>
      <c r="U23">
        <v>0.42105922276377644</v>
      </c>
      <c r="Y23">
        <v>733.33333333333337</v>
      </c>
      <c r="Z23">
        <v>213.56711102381416</v>
      </c>
    </row>
    <row r="24" spans="2:26" x14ac:dyDescent="0.3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63.92</v>
      </c>
      <c r="N24">
        <v>1500</v>
      </c>
      <c r="O24">
        <v>86.148051394259483</v>
      </c>
      <c r="P24">
        <v>1500</v>
      </c>
      <c r="Q24">
        <v>63.92</v>
      </c>
      <c r="R24">
        <v>855.55555555555566</v>
      </c>
      <c r="S24">
        <v>45.666666666666671</v>
      </c>
      <c r="T24">
        <v>1400</v>
      </c>
      <c r="U24">
        <v>0.44587930026816092</v>
      </c>
      <c r="Y24">
        <v>855.55555555555566</v>
      </c>
      <c r="Z24">
        <v>215.57915487286351</v>
      </c>
    </row>
    <row r="25" spans="2:26" x14ac:dyDescent="0.3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64.735624999999999</v>
      </c>
      <c r="N25">
        <v>1531.25</v>
      </c>
      <c r="O25">
        <v>87.530106439027421</v>
      </c>
      <c r="P25">
        <v>1531.25</v>
      </c>
      <c r="Q25">
        <v>64.735624999999999</v>
      </c>
      <c r="R25">
        <v>977.77777777777783</v>
      </c>
      <c r="S25">
        <v>49.333333333333336</v>
      </c>
      <c r="T25">
        <v>1575</v>
      </c>
      <c r="U25">
        <v>0.4672606495827244</v>
      </c>
      <c r="Y25">
        <v>977.77777777777783</v>
      </c>
      <c r="Z25">
        <v>217.54798897835713</v>
      </c>
    </row>
    <row r="26" spans="2:26" x14ac:dyDescent="0.3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70.325000000000003</v>
      </c>
      <c r="N26">
        <v>1750</v>
      </c>
      <c r="O26">
        <v>97.107085371336979</v>
      </c>
      <c r="P26">
        <v>1750</v>
      </c>
      <c r="Q26">
        <v>70.325000000000003</v>
      </c>
      <c r="R26">
        <v>1100</v>
      </c>
      <c r="S26">
        <v>52.88</v>
      </c>
      <c r="T26">
        <v>1750</v>
      </c>
      <c r="U26">
        <v>0.48582187837909391</v>
      </c>
      <c r="Y26">
        <v>1100</v>
      </c>
      <c r="Z26">
        <v>219.48004907049904</v>
      </c>
    </row>
    <row r="27" spans="2:26" x14ac:dyDescent="0.3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75.62937500000001</v>
      </c>
      <c r="N27">
        <v>1968.75</v>
      </c>
      <c r="O27">
        <v>106.42037260970724</v>
      </c>
      <c r="P27">
        <v>1968.75</v>
      </c>
      <c r="Q27">
        <v>75.62937500000001</v>
      </c>
      <c r="R27">
        <v>1222.2222222222222</v>
      </c>
      <c r="S27">
        <v>56.35</v>
      </c>
      <c r="T27">
        <v>1925</v>
      </c>
      <c r="U27">
        <v>0.50187014283179388</v>
      </c>
      <c r="Y27">
        <v>1222.2222222222222</v>
      </c>
      <c r="Z27">
        <v>221.37682637303485</v>
      </c>
    </row>
    <row r="28" spans="2:26" x14ac:dyDescent="0.3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80.648750000000007</v>
      </c>
      <c r="N28">
        <v>2187.5</v>
      </c>
      <c r="O28">
        <v>115.42090986639899</v>
      </c>
      <c r="P28">
        <v>2187.5</v>
      </c>
      <c r="Q28">
        <v>80.648750000000007</v>
      </c>
      <c r="R28">
        <v>1344.4444444444446</v>
      </c>
      <c r="S28">
        <v>59.733333333333341</v>
      </c>
      <c r="T28">
        <v>2100</v>
      </c>
      <c r="U28">
        <v>0.51570911223793081</v>
      </c>
      <c r="Y28">
        <v>1344.4444444444446</v>
      </c>
      <c r="Z28">
        <v>223.24740723231372</v>
      </c>
    </row>
    <row r="29" spans="2:26" x14ac:dyDescent="0.3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80.930000000000007</v>
      </c>
      <c r="N29">
        <v>2200</v>
      </c>
      <c r="O29">
        <v>115.92866977958474</v>
      </c>
      <c r="P29">
        <v>2200</v>
      </c>
      <c r="Q29">
        <v>80.930000000000007</v>
      </c>
      <c r="R29">
        <v>1466.6666666666667</v>
      </c>
      <c r="S29">
        <v>63.03</v>
      </c>
      <c r="T29">
        <v>2275</v>
      </c>
      <c r="U29">
        <v>0.88067358743973367</v>
      </c>
      <c r="Y29">
        <v>1466.6666666666667</v>
      </c>
      <c r="Z29">
        <v>225.09486371131879</v>
      </c>
    </row>
    <row r="30" spans="2:26" x14ac:dyDescent="0.3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85.379374999999996</v>
      </c>
      <c r="N30">
        <v>2406.25</v>
      </c>
      <c r="O30">
        <v>127.53720466563811</v>
      </c>
      <c r="P30">
        <v>2406.25</v>
      </c>
      <c r="Q30">
        <v>85.379374999999996</v>
      </c>
      <c r="R30">
        <v>1500</v>
      </c>
      <c r="S30">
        <v>63.92</v>
      </c>
      <c r="T30">
        <v>2450</v>
      </c>
      <c r="U30">
        <v>1</v>
      </c>
      <c r="Y30">
        <v>1500</v>
      </c>
      <c r="Z30">
        <v>225.59642225294877</v>
      </c>
    </row>
    <row r="31" spans="2:26" x14ac:dyDescent="0.3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87.32</v>
      </c>
      <c r="N31">
        <v>2500</v>
      </c>
      <c r="O31">
        <v>132.59151141505092</v>
      </c>
      <c r="P31">
        <v>2500</v>
      </c>
      <c r="Q31">
        <v>87.32</v>
      </c>
      <c r="R31">
        <v>1588.8888888888889</v>
      </c>
      <c r="S31">
        <v>66.240000000000009</v>
      </c>
      <c r="T31">
        <v>2625</v>
      </c>
      <c r="U31">
        <v>1</v>
      </c>
      <c r="Y31">
        <v>1588.8888888888889</v>
      </c>
      <c r="Z31">
        <v>226.92164832195087</v>
      </c>
    </row>
    <row r="32" spans="2:26" x14ac:dyDescent="0.3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89.817499999999995</v>
      </c>
      <c r="N32">
        <v>2625</v>
      </c>
      <c r="O32">
        <v>138.84308632127357</v>
      </c>
      <c r="P32">
        <v>2625</v>
      </c>
      <c r="Q32">
        <v>89.817499999999995</v>
      </c>
      <c r="R32">
        <v>1711.1111111111113</v>
      </c>
      <c r="S32">
        <v>69.356666666666669</v>
      </c>
      <c r="T32">
        <v>2800</v>
      </c>
      <c r="U32">
        <v>1</v>
      </c>
      <c r="Y32">
        <v>1711.1111111111113</v>
      </c>
      <c r="Z32">
        <v>228.72844497405364</v>
      </c>
    </row>
    <row r="33" spans="2:26" x14ac:dyDescent="0.3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93.284374999999997</v>
      </c>
      <c r="N33">
        <v>2843.75</v>
      </c>
      <c r="O33">
        <v>145.61293612888792</v>
      </c>
      <c r="P33">
        <v>2843.75</v>
      </c>
      <c r="Q33">
        <v>93.284374999999997</v>
      </c>
      <c r="R33">
        <v>1833.3333333333335</v>
      </c>
      <c r="S33">
        <v>72.38000000000001</v>
      </c>
      <c r="T33">
        <v>2975</v>
      </c>
      <c r="U33">
        <v>1</v>
      </c>
      <c r="Y33">
        <v>1833.3333333333335</v>
      </c>
      <c r="Z33">
        <v>230.51716195194143</v>
      </c>
    </row>
    <row r="34" spans="2:26" x14ac:dyDescent="0.3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93.856250000000003</v>
      </c>
      <c r="N34">
        <v>3062.5</v>
      </c>
      <c r="O34">
        <v>147.07537338562349</v>
      </c>
      <c r="P34">
        <v>3062.5</v>
      </c>
      <c r="Q34">
        <v>93.856250000000003</v>
      </c>
      <c r="R34">
        <v>1955.5555555555557</v>
      </c>
      <c r="S34">
        <v>75.316666666666677</v>
      </c>
      <c r="T34">
        <v>3150</v>
      </c>
      <c r="U34">
        <v>1</v>
      </c>
      <c r="Y34">
        <v>1955.5555555555557</v>
      </c>
      <c r="Z34">
        <v>232.2905066554913</v>
      </c>
    </row>
    <row r="35" spans="2:26" x14ac:dyDescent="0.3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94.428124999999994</v>
      </c>
      <c r="N35">
        <v>3281.25</v>
      </c>
      <c r="O35">
        <v>148.53772968390442</v>
      </c>
      <c r="P35">
        <v>3281.25</v>
      </c>
      <c r="Q35">
        <v>94.428124999999994</v>
      </c>
      <c r="R35">
        <v>2077.7777777777778</v>
      </c>
      <c r="S35">
        <v>78.166666666666671</v>
      </c>
      <c r="T35">
        <v>3325</v>
      </c>
      <c r="U35">
        <v>1</v>
      </c>
      <c r="Y35">
        <v>2077.7777777777778</v>
      </c>
      <c r="Z35">
        <v>234.04959668623326</v>
      </c>
    </row>
    <row r="36" spans="2:26" x14ac:dyDescent="0.3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150</v>
      </c>
      <c r="P36">
        <v>3500</v>
      </c>
      <c r="Q36">
        <v>95</v>
      </c>
      <c r="R36">
        <v>2200</v>
      </c>
      <c r="S36">
        <v>80.930000000000007</v>
      </c>
      <c r="T36">
        <v>3500</v>
      </c>
      <c r="U36">
        <v>1</v>
      </c>
      <c r="Y36">
        <v>2200</v>
      </c>
      <c r="Z36">
        <v>235.79540974647344</v>
      </c>
    </row>
    <row r="37" spans="2:26" x14ac:dyDescent="0.35">
      <c r="B37" s="2"/>
      <c r="C37" s="18">
        <v>2500</v>
      </c>
      <c r="D37" s="18">
        <v>176.72349338287597</v>
      </c>
      <c r="E37" s="18">
        <v>53</v>
      </c>
    </row>
    <row r="38" spans="2:26" x14ac:dyDescent="0.35">
      <c r="B38" s="2"/>
      <c r="C38" s="18">
        <v>2625</v>
      </c>
      <c r="D38" s="18">
        <v>186.511102757185</v>
      </c>
      <c r="E38" s="18">
        <v>54</v>
      </c>
    </row>
    <row r="39" spans="2:26" x14ac:dyDescent="0.35">
      <c r="B39" s="2"/>
      <c r="C39" s="18">
        <v>2750</v>
      </c>
      <c r="D39" s="18">
        <v>196.298712131494</v>
      </c>
      <c r="E39" s="18">
        <v>55</v>
      </c>
    </row>
    <row r="40" spans="2:26" x14ac:dyDescent="0.35">
      <c r="B40" s="2"/>
      <c r="C40" s="18">
        <v>2875</v>
      </c>
      <c r="D40" s="18">
        <v>206.08632150580399</v>
      </c>
      <c r="E40" s="18">
        <v>56</v>
      </c>
    </row>
    <row r="41" spans="2:26" x14ac:dyDescent="0.35">
      <c r="B41" s="2"/>
      <c r="C41" s="18">
        <v>3000</v>
      </c>
      <c r="D41" s="18">
        <v>215.87393088011299</v>
      </c>
      <c r="E41" s="18">
        <v>57</v>
      </c>
    </row>
    <row r="42" spans="2:26" x14ac:dyDescent="0.35">
      <c r="B42" s="2"/>
      <c r="C42" s="18">
        <v>3125</v>
      </c>
      <c r="D42" s="18">
        <v>225.66154025442199</v>
      </c>
      <c r="E42" s="18">
        <v>58</v>
      </c>
    </row>
    <row r="43" spans="2:26" x14ac:dyDescent="0.35">
      <c r="B43" s="2"/>
      <c r="C43" s="18">
        <v>3250</v>
      </c>
      <c r="D43" s="18">
        <v>235.44914962873099</v>
      </c>
      <c r="E43" s="18">
        <v>59</v>
      </c>
    </row>
    <row r="44" spans="2:26" x14ac:dyDescent="0.3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calcGL_from_bottom">
                <anchor moveWithCells="1" sizeWithCells="1">
                  <from>
                    <xdr:col>22</xdr:col>
                    <xdr:colOff>336550</xdr:colOff>
                    <xdr:row>3</xdr:row>
                    <xdr:rowOff>146050</xdr:rowOff>
                  </from>
                  <to>
                    <xdr:col>27</xdr:col>
                    <xdr:colOff>355600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calcGL_from_top">
                <anchor moveWithCells="1" sizeWithCells="1">
                  <from>
                    <xdr:col>22</xdr:col>
                    <xdr:colOff>355600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Drop Down 4">
              <controlPr defaultSize="0" autoLine="0" autoPict="0">
                <anchor moveWithCells="1">
                  <from>
                    <xdr:col>6</xdr:col>
                    <xdr:colOff>12700</xdr:colOff>
                    <xdr:row>2</xdr:row>
                    <xdr:rowOff>31750</xdr:rowOff>
                  </from>
                  <to>
                    <xdr:col>9</xdr:col>
                    <xdr:colOff>12700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Drop Down 5">
              <controlPr defaultSize="0" autoLine="0" autoPict="0">
                <anchor moveWithCells="1">
                  <from>
                    <xdr:col>11</xdr:col>
                    <xdr:colOff>12700</xdr:colOff>
                    <xdr:row>2</xdr:row>
                    <xdr:rowOff>12700</xdr:rowOff>
                  </from>
                  <to>
                    <xdr:col>14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zoomScale="70" zoomScaleNormal="70" workbookViewId="0">
      <selection activeCell="AI15" sqref="AI15"/>
    </sheetView>
  </sheetViews>
  <sheetFormatPr defaultRowHeight="14.5" x14ac:dyDescent="0.35"/>
  <cols>
    <col min="15" max="15" width="10.1796875" customWidth="1"/>
    <col min="22" max="22" width="10.7265625" customWidth="1"/>
  </cols>
  <sheetData>
    <row r="1" spans="1:34" x14ac:dyDescent="0.35">
      <c r="A1" t="str">
        <f>версия_</f>
        <v>вер 7.9</v>
      </c>
    </row>
    <row r="2" spans="1:34" x14ac:dyDescent="0.3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35">
      <c r="X3">
        <v>1</v>
      </c>
      <c r="Y3" t="s">
        <v>143</v>
      </c>
      <c r="AB3">
        <v>4</v>
      </c>
      <c r="AC3" t="s">
        <v>145</v>
      </c>
      <c r="AG3">
        <v>3</v>
      </c>
      <c r="AH3" t="s">
        <v>160</v>
      </c>
    </row>
    <row r="4" spans="1:34" x14ac:dyDescent="0.3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6.5" x14ac:dyDescent="0.4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6.5" x14ac:dyDescent="0.45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6.5" x14ac:dyDescent="0.4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260</v>
      </c>
      <c r="R7" s="5" t="s">
        <v>44</v>
      </c>
      <c r="AC7" t="s">
        <v>149</v>
      </c>
    </row>
    <row r="8" spans="1:34" ht="16.5" x14ac:dyDescent="0.35">
      <c r="B8" s="7" t="s">
        <v>34</v>
      </c>
      <c r="C8" s="12" t="s">
        <v>63</v>
      </c>
      <c r="D8" s="5" t="s">
        <v>35</v>
      </c>
      <c r="AC8" t="s">
        <v>150</v>
      </c>
    </row>
    <row r="9" spans="1:34" ht="16.5" x14ac:dyDescent="0.3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6.5" x14ac:dyDescent="0.45">
      <c r="B10" s="7" t="s">
        <v>18</v>
      </c>
      <c r="C10" s="13">
        <v>116.27906976744187</v>
      </c>
      <c r="D10" s="5" t="s">
        <v>36</v>
      </c>
      <c r="P10" s="57" t="s">
        <v>45</v>
      </c>
      <c r="Q10" s="25">
        <v>0</v>
      </c>
      <c r="R10" s="5" t="s">
        <v>44</v>
      </c>
      <c r="S10" s="57" t="s">
        <v>55</v>
      </c>
      <c r="T10" s="25">
        <v>45.041809114944598</v>
      </c>
      <c r="U10" s="5" t="s">
        <v>25</v>
      </c>
    </row>
    <row r="11" spans="1:34" ht="16.5" x14ac:dyDescent="0.45">
      <c r="P11" s="57" t="s">
        <v>46</v>
      </c>
      <c r="Q11" s="25">
        <v>41.058817324509512</v>
      </c>
      <c r="R11" s="5" t="s">
        <v>44</v>
      </c>
      <c r="S11" s="57" t="s">
        <v>56</v>
      </c>
      <c r="T11" s="25">
        <v>45.041809114944598</v>
      </c>
      <c r="U11" s="5" t="s">
        <v>25</v>
      </c>
    </row>
    <row r="12" spans="1:34" ht="16.5" x14ac:dyDescent="0.45">
      <c r="M12" t="s">
        <v>63</v>
      </c>
      <c r="P12" s="57" t="s">
        <v>47</v>
      </c>
      <c r="Q12" s="25">
        <v>221.61159086457991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34" x14ac:dyDescent="0.35">
      <c r="D13" s="1"/>
    </row>
    <row r="14" spans="1:34" x14ac:dyDescent="0.3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" x14ac:dyDescent="0.3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</row>
    <row r="16" spans="1:34" x14ac:dyDescent="0.3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41.058817324509512</v>
      </c>
      <c r="P16">
        <v>0</v>
      </c>
      <c r="Q16">
        <v>45.041809114944598</v>
      </c>
      <c r="R16">
        <v>0</v>
      </c>
      <c r="S16">
        <v>0.39737876377081538</v>
      </c>
      <c r="U16">
        <v>0</v>
      </c>
      <c r="V16" s="50">
        <f>Pline_out_atma_</f>
        <v>0</v>
      </c>
    </row>
    <row r="17" spans="2:22" x14ac:dyDescent="0.3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48.810792655834476</v>
      </c>
      <c r="P17">
        <v>184.21052631578948</v>
      </c>
      <c r="Q17">
        <v>49.745199656049621</v>
      </c>
      <c r="R17">
        <v>175</v>
      </c>
      <c r="S17">
        <v>0.4598812899434877</v>
      </c>
      <c r="U17">
        <v>0</v>
      </c>
      <c r="V17" s="50">
        <f>Pbuf_out_atma_</f>
        <v>41.058817324509512</v>
      </c>
    </row>
    <row r="18" spans="2:22" x14ac:dyDescent="0.3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57.615065815069393</v>
      </c>
      <c r="P18">
        <v>368.42105263157896</v>
      </c>
      <c r="Q18">
        <v>54.332061775240511</v>
      </c>
      <c r="R18">
        <v>350</v>
      </c>
      <c r="S18">
        <v>0.52872452542064474</v>
      </c>
      <c r="U18">
        <v>3500</v>
      </c>
      <c r="V18" s="50">
        <f>Pwf_out_atma_</f>
        <v>221.61159086457991</v>
      </c>
    </row>
    <row r="19" spans="2:22" x14ac:dyDescent="0.3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67.629424674208181</v>
      </c>
      <c r="P19">
        <v>552.63157894736844</v>
      </c>
      <c r="Q19">
        <v>58.791967511448384</v>
      </c>
      <c r="R19">
        <v>525</v>
      </c>
      <c r="S19">
        <v>0.60138846394205348</v>
      </c>
    </row>
    <row r="20" spans="2:22" x14ac:dyDescent="0.3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79.003134643557914</v>
      </c>
      <c r="P20">
        <v>736.84210526315792</v>
      </c>
      <c r="Q20">
        <v>63.114391973118252</v>
      </c>
      <c r="R20">
        <v>700</v>
      </c>
      <c r="S20">
        <v>0.68577196222536185</v>
      </c>
    </row>
    <row r="21" spans="2:22" x14ac:dyDescent="0.3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91.635811375423401</v>
      </c>
      <c r="P21">
        <v>921.0526315789474</v>
      </c>
      <c r="Q21">
        <v>67.274815675013741</v>
      </c>
      <c r="R21">
        <v>875</v>
      </c>
      <c r="S21">
        <v>0.77744315349524584</v>
      </c>
    </row>
    <row r="22" spans="2:22" x14ac:dyDescent="0.3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105.16070135715371</v>
      </c>
      <c r="P22">
        <v>1105.2631578947369</v>
      </c>
      <c r="Q22">
        <v>71.259010598839851</v>
      </c>
      <c r="R22">
        <v>1050</v>
      </c>
      <c r="S22">
        <v>0.87360642093019292</v>
      </c>
    </row>
    <row r="23" spans="2:22" x14ac:dyDescent="0.3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119.40684810685711</v>
      </c>
      <c r="P23">
        <v>1289.4736842105262</v>
      </c>
      <c r="Q23">
        <v>75.065743674886988</v>
      </c>
      <c r="R23">
        <v>1225</v>
      </c>
      <c r="S23">
        <v>0.9679357443151746</v>
      </c>
    </row>
    <row r="24" spans="2:22" x14ac:dyDescent="0.3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133.56776031247483</v>
      </c>
      <c r="P24">
        <v>1473.6842105263158</v>
      </c>
      <c r="Q24">
        <v>78.616210038808035</v>
      </c>
      <c r="R24">
        <v>1400</v>
      </c>
      <c r="S24">
        <v>0.99902551841682774</v>
      </c>
    </row>
    <row r="25" spans="2:22" x14ac:dyDescent="0.3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147.18171452280947</v>
      </c>
      <c r="P25">
        <v>1657.8947368421054</v>
      </c>
      <c r="Q25">
        <v>81.845105184943989</v>
      </c>
      <c r="R25">
        <v>1575</v>
      </c>
      <c r="S25">
        <v>0.99902500819790507</v>
      </c>
    </row>
    <row r="26" spans="2:22" x14ac:dyDescent="0.3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160.23555415058107</v>
      </c>
      <c r="P26">
        <v>1842.1052631578948</v>
      </c>
      <c r="Q26">
        <v>84.723156516442018</v>
      </c>
      <c r="R26">
        <v>1750</v>
      </c>
      <c r="S26">
        <v>0.99902448501052143</v>
      </c>
    </row>
    <row r="27" spans="2:22" x14ac:dyDescent="0.3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172.72691897815648</v>
      </c>
      <c r="P27">
        <v>2026.3157894736842</v>
      </c>
      <c r="Q27">
        <v>87.215431332438826</v>
      </c>
      <c r="R27">
        <v>1925</v>
      </c>
      <c r="S27">
        <v>0.99902394627406665</v>
      </c>
    </row>
    <row r="28" spans="2:22" x14ac:dyDescent="0.3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184.65481972206643</v>
      </c>
      <c r="P28">
        <v>2210.5263157894738</v>
      </c>
      <c r="Q28">
        <v>89.278890740788043</v>
      </c>
      <c r="R28">
        <v>2100</v>
      </c>
      <c r="S28">
        <v>0.99902338850571004</v>
      </c>
    </row>
    <row r="29" spans="2:22" x14ac:dyDescent="0.3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196.00990379960871</v>
      </c>
      <c r="P29">
        <v>2394.7368421052633</v>
      </c>
      <c r="Q29">
        <v>90.851873400906697</v>
      </c>
      <c r="R29">
        <v>2275</v>
      </c>
      <c r="S29">
        <v>0.99902280467927107</v>
      </c>
    </row>
    <row r="30" spans="2:22" x14ac:dyDescent="0.3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202.24547317793807</v>
      </c>
      <c r="P30">
        <v>2500</v>
      </c>
      <c r="Q30">
        <v>91.508498999492431</v>
      </c>
      <c r="R30">
        <v>2450</v>
      </c>
      <c r="S30">
        <v>0.99904081321255234</v>
      </c>
    </row>
    <row r="31" spans="2:22" x14ac:dyDescent="0.3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206.6599620312667</v>
      </c>
      <c r="P31">
        <v>2578.9473684210525</v>
      </c>
      <c r="Q31">
        <v>91.846791864574215</v>
      </c>
      <c r="R31">
        <v>2625</v>
      </c>
      <c r="S31">
        <v>0.99905826210256321</v>
      </c>
    </row>
    <row r="32" spans="2:22" x14ac:dyDescent="0.3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215.24259244561983</v>
      </c>
      <c r="P32">
        <v>2763.1578947368421</v>
      </c>
      <c r="Q32">
        <v>92.182090008185284</v>
      </c>
      <c r="R32">
        <v>2800</v>
      </c>
      <c r="S32">
        <v>0.99905714586207595</v>
      </c>
    </row>
    <row r="33" spans="2:19" x14ac:dyDescent="0.3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217.49484275926088</v>
      </c>
      <c r="P33">
        <v>2947.3684210526317</v>
      </c>
      <c r="Q33">
        <v>91.969188001107057</v>
      </c>
      <c r="R33">
        <v>2975</v>
      </c>
      <c r="S33">
        <v>0.99905693295840459</v>
      </c>
    </row>
    <row r="34" spans="2:19" x14ac:dyDescent="0.3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218.86642342944083</v>
      </c>
      <c r="P34">
        <v>3131.5789473684213</v>
      </c>
      <c r="Q34">
        <v>91.544171574727329</v>
      </c>
      <c r="R34">
        <v>3150</v>
      </c>
      <c r="S34">
        <v>0.99905671713182664</v>
      </c>
    </row>
    <row r="35" spans="2:19" x14ac:dyDescent="0.3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220.23860882037442</v>
      </c>
      <c r="P35">
        <v>3315.7894736842109</v>
      </c>
      <c r="Q35">
        <v>90.904517195119467</v>
      </c>
      <c r="R35">
        <v>3325</v>
      </c>
      <c r="S35">
        <v>0.9990564984149749</v>
      </c>
    </row>
    <row r="36" spans="2:19" x14ac:dyDescent="0.3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221.61159086457991</v>
      </c>
      <c r="P36">
        <v>3500</v>
      </c>
      <c r="Q36">
        <v>90</v>
      </c>
      <c r="R36">
        <v>3500</v>
      </c>
      <c r="S36">
        <v>0.99905627685587417</v>
      </c>
    </row>
    <row r="37" spans="2:19" x14ac:dyDescent="0.35">
      <c r="B37" s="2"/>
      <c r="C37" s="18">
        <v>2500</v>
      </c>
      <c r="D37" s="18">
        <v>176.72349338287597</v>
      </c>
      <c r="E37" s="18">
        <v>53</v>
      </c>
    </row>
    <row r="38" spans="2:19" x14ac:dyDescent="0.35">
      <c r="C38" s="18">
        <v>2625</v>
      </c>
      <c r="D38" s="18">
        <v>186.511102757185</v>
      </c>
      <c r="E38" s="18">
        <v>54</v>
      </c>
    </row>
    <row r="39" spans="2:19" x14ac:dyDescent="0.35">
      <c r="C39" s="18">
        <v>2750</v>
      </c>
      <c r="D39" s="18">
        <v>196.298712131494</v>
      </c>
      <c r="E39" s="18">
        <v>55</v>
      </c>
    </row>
    <row r="40" spans="2:19" x14ac:dyDescent="0.35">
      <c r="C40" s="18">
        <v>2875</v>
      </c>
      <c r="D40" s="18">
        <v>206.08632150580399</v>
      </c>
      <c r="E40" s="18">
        <v>56</v>
      </c>
    </row>
    <row r="41" spans="2:19" x14ac:dyDescent="0.35">
      <c r="C41" s="18">
        <v>3000</v>
      </c>
      <c r="D41" s="18">
        <v>215.87393088011299</v>
      </c>
      <c r="E41" s="18">
        <v>57</v>
      </c>
    </row>
    <row r="42" spans="2:19" x14ac:dyDescent="0.35">
      <c r="C42" s="18">
        <v>3125</v>
      </c>
      <c r="D42" s="18">
        <v>225.66154025442199</v>
      </c>
      <c r="E42" s="18">
        <v>58</v>
      </c>
    </row>
    <row r="43" spans="2:19" x14ac:dyDescent="0.35">
      <c r="C43" s="18">
        <v>3250</v>
      </c>
      <c r="D43" s="18">
        <v>235.44914962873099</v>
      </c>
      <c r="E43" s="18">
        <v>59</v>
      </c>
    </row>
    <row r="44" spans="2:19" x14ac:dyDescent="0.3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336550</xdr:colOff>
                    <xdr:row>3</xdr:row>
                    <xdr:rowOff>146050</xdr:rowOff>
                  </from>
                  <to>
                    <xdr:col>27</xdr:col>
                    <xdr:colOff>355600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355600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6</xdr:col>
                    <xdr:colOff>12700</xdr:colOff>
                    <xdr:row>2</xdr:row>
                    <xdr:rowOff>31750</xdr:rowOff>
                  </from>
                  <to>
                    <xdr:col>9</xdr:col>
                    <xdr:colOff>12700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Drop Down 5">
              <controlPr defaultSize="0" autoLine="0" autoPict="0">
                <anchor moveWithCells="1">
                  <from>
                    <xdr:col>11</xdr:col>
                    <xdr:colOff>12700</xdr:colOff>
                    <xdr:row>2</xdr:row>
                    <xdr:rowOff>12700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217</vt:i4>
      </vt:variant>
    </vt:vector>
  </HeadingPairs>
  <TitlesOfParts>
    <vt:vector size="225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PVT!Bob_m3m3_</vt:lpstr>
      <vt:lpstr>'Calc ESP'!correlation_MF_fontan_</vt:lpstr>
      <vt:lpstr>'Calc GasLift'!correlation_MF_fontan_</vt:lpstr>
      <vt:lpstr>'Calc Self Flow'!correlation_MF_fontan_</vt:lpstr>
      <vt:lpstr>'Calc ESP'!correlation_PVT_fontan_</vt:lpstr>
      <vt:lpstr>'Calc GasLift'!correlation_PVT_fontan_</vt:lpstr>
      <vt:lpstr>'Calc Self Flow'!correlation_PVT_fontan_</vt:lpstr>
      <vt:lpstr>'Calc ESP'!correlation_T_fontan_</vt:lpstr>
      <vt:lpstr>'Calc GasLift'!correlation_T_fontan_</vt:lpstr>
      <vt:lpstr>'Calc Self Flow'!correlation_T_fontan_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2019-08-05T18:34:39Z</dcterms:modified>
</cp:coreProperties>
</file>