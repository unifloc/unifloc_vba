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3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4.xml" ContentType="application/vnd.openxmlformats-officedocument.drawingml.chart+xml"/>
  <Override PartName="/xl/drawings/drawing1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omments5.xml" ContentType="application/vnd.openxmlformats-officedocument.spreadsheetml.comments+xml"/>
  <Override PartName="/xl/charts/chart1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7.xml" ContentType="application/vnd.openxmlformats-officedocument.drawingml.chart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omments6.xml" ContentType="application/vnd.openxmlformats-officedocument.spreadsheetml.comments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Workbook_App_well" defaultThemeVersion="166925"/>
  <mc:AlternateContent xmlns:mc="http://schemas.openxmlformats.org/markup-compatibility/2006">
    <mc:Choice Requires="x15">
      <x15ac:absPath xmlns:x15ac="http://schemas.microsoft.com/office/spreadsheetml/2010/11/ac" url="C:\rnt\unifloc_vba\apps\"/>
    </mc:Choice>
  </mc:AlternateContent>
  <xr:revisionPtr revIDLastSave="0" documentId="13_ncr:1_{22302EBB-071D-4A10-AE0B-83240EFEEE55}" xr6:coauthVersionLast="43" xr6:coauthVersionMax="43" xr10:uidLastSave="{00000000-0000-0000-0000-000000000000}"/>
  <bookViews>
    <workbookView xWindow="-98" yWindow="-98" windowWidth="20715" windowHeight="13276" tabRatio="529" activeTab="1" xr2:uid="{00000000-000D-0000-FFFF-FFFF00000000}"/>
  </bookViews>
  <sheets>
    <sheet name="Unifloc" sheetId="6" r:id="rId1"/>
    <sheet name="PVT" sheetId="4" r:id="rId2"/>
    <sheet name="Construction" sheetId="3" r:id="rId3"/>
    <sheet name="ESP" sheetId="7" r:id="rId4"/>
    <sheet name="GasLift" sheetId="8" r:id="rId5"/>
    <sheet name="Calc ESP" sheetId="2" r:id="rId6"/>
    <sheet name="Calc GasLift" sheetId="9" r:id="rId7"/>
    <sheet name="Calc Self Flow" sheetId="10" r:id="rId8"/>
  </sheets>
  <externalReferences>
    <externalReference r:id="rId9"/>
  </externalReferences>
  <definedNames>
    <definedName name="betta_fric_" localSheetId="6">'Calc GasLift'!$H$7</definedName>
    <definedName name="betta_fric_" localSheetId="7">'Calc Self Flow'!$H$7</definedName>
    <definedName name="betta_fric_">'Calc ESP'!$H$7</definedName>
    <definedName name="betta_grav_" localSheetId="6">'Calc GasLift'!$H$6</definedName>
    <definedName name="betta_grav_" localSheetId="7">'Calc Self Flow'!$H$6</definedName>
    <definedName name="betta_grav_">'Calc ESP'!$H$6</definedName>
    <definedName name="bo_list1_">PVT!$G$60:$G$100</definedName>
    <definedName name="bo_list2_">PVT!$H$60:$H$100</definedName>
    <definedName name="bo_list3_">PVT!$I$60:$I$100</definedName>
    <definedName name="Bob_" localSheetId="1">PVT!$C$14</definedName>
    <definedName name="Bob_m3m3_" localSheetId="1">PVT!$G$16</definedName>
    <definedName name="correlation_MF_fontan_" localSheetId="6">'Calc GasLift'!$J$2</definedName>
    <definedName name="correlation_MF_fontan_" localSheetId="7">'Calc Self Flow'!$J$2</definedName>
    <definedName name="correlation_MF_fontan_">'Calc ESP'!$J$2</definedName>
    <definedName name="correlation_PVT_fontan_" localSheetId="6">'Calc GasLift'!$E$2</definedName>
    <definedName name="correlation_PVT_fontan_" localSheetId="7">'Calc Self Flow'!$E$2</definedName>
    <definedName name="correlation_PVT_fontan_">'Calc ESP'!$E$2</definedName>
    <definedName name="correlation_T_fontan_" localSheetId="6">'Calc GasLift'!$O$2</definedName>
    <definedName name="correlation_T_fontan_" localSheetId="7">'Calc Self Flow'!$O$2</definedName>
    <definedName name="correlation_T_fontan_">'Calc ESP'!$O$2</definedName>
    <definedName name="d_valves_mm_">GasLift!$C$11:$C$20</definedName>
    <definedName name="dcas_arr_mm_">Construction!$I$19:$I$38</definedName>
    <definedName name="dcas_mm_">Construction!$C$11</definedName>
    <definedName name="dcas_out_mm_">Construction!$V$18:$V$38</definedName>
    <definedName name="dchoke_mm_">Construction!$C$13</definedName>
    <definedName name="dtub_arr_mm_">Construction!$K$19:$K$38</definedName>
    <definedName name="dtub_mm_">Construction!$C$12</definedName>
    <definedName name="dtub_out_mm_">Construction!$X$18:$X$38</definedName>
    <definedName name="ESP_eff_list_">ESP!$K$8:$K$29</definedName>
    <definedName name="ESP_freq_">ESP!$C$6</definedName>
    <definedName name="ESP_head_list_">ESP!$I$8:$I$29</definedName>
    <definedName name="ESP_head_nom_">ESP!$C$5</definedName>
    <definedName name="ESP_ID_">ESP!$C$7</definedName>
    <definedName name="ESP_name_">ESP!$C$8</definedName>
    <definedName name="ESP_power_list_">ESP!$J$8:$J$29</definedName>
    <definedName name="ESP_qmax_">ESP!$C$9</definedName>
    <definedName name="ESP_rate_list_">ESP!$H$8:$H$29</definedName>
    <definedName name="ESP_rate_nom_">ESP!$C$4</definedName>
    <definedName name="ESP_stages_">ESP!$C$10</definedName>
    <definedName name="Freq_" localSheetId="3">ESP!$C$34</definedName>
    <definedName name="fw_perc_">PVT!$K$9</definedName>
    <definedName name="gamma_gas_" localSheetId="1">PVT!$G$9</definedName>
    <definedName name="gamma_gas_diff_total_">PVT!$R$35</definedName>
    <definedName name="gamma_gas_new_">PVT!$R$34</definedName>
    <definedName name="gamma_oil_" localSheetId="1">PVT!$G$8</definedName>
    <definedName name="gamma_oil_new_">PVT!$R$33</definedName>
    <definedName name="gamma_w_" localSheetId="1">PVT!$G$10</definedName>
    <definedName name="gamma_wat_">PVT!$C$8</definedName>
    <definedName name="gammas">PVT!$R$33:$R$34</definedName>
    <definedName name="gasfrac_list1_">PVT!$P$60:$P$100</definedName>
    <definedName name="gasfrac_list2_">PVT!$Q$60:$Q$100</definedName>
    <definedName name="gasfrac_list3_">PVT!$R$60:$R$99</definedName>
    <definedName name="Head_ESP_" localSheetId="3">ESP!$C$33</definedName>
    <definedName name="Hlout_" localSheetId="6">'Calc GasLift'!$U$16:$U$36</definedName>
    <definedName name="Hlout_" localSheetId="7">'Calc Self Flow'!$S$16:$S$36</definedName>
    <definedName name="Hlout_">'Calc ESP'!$S$16:$S$36</definedName>
    <definedName name="Hlout_hmes_m_" localSheetId="6">'Calc GasLift'!$T$16:$T$36</definedName>
    <definedName name="Hlout_hmes_m_" localSheetId="7">'Calc Self Flow'!$R$16:$R$36</definedName>
    <definedName name="Hlout_hmes_m_">'Calc ESP'!$R$16:$R$36</definedName>
    <definedName name="hmes_dcas_m_">Construction!$H$19:$H$38</definedName>
    <definedName name="hmes_dcas_out_m_">Construction!$U$18:$U$38</definedName>
    <definedName name="hmes_dtub_m_">Construction!$J$19:$J$38</definedName>
    <definedName name="hmes_dtub_out_m_">Construction!$W$18:$W$38</definedName>
    <definedName name="hmes_incl_m_">Construction!$B$19:$B$176</definedName>
    <definedName name="hmes_incl_out_m_">Construction!$P$18:$P$38</definedName>
    <definedName name="Hmes_mes_m_" localSheetId="6">'Calc GasLift'!$C$17:$C$352</definedName>
    <definedName name="Hmes_mes_m_" localSheetId="7">'Calc Self Flow'!$C$17:$C$352</definedName>
    <definedName name="Hmes_mes_m_">'Calc ESP'!$C$17:$C$352</definedName>
    <definedName name="hmes_out_" localSheetId="6">'Calc GasLift'!$H$16:$H$36</definedName>
    <definedName name="hmes_out_" localSheetId="7">'Calc Self Flow'!$H$16:$H$36</definedName>
    <definedName name="hmes_out_">'Calc ESP'!$H$16:$H$36</definedName>
    <definedName name="hmes_tamb_m_">Construction!$E$19:$E$38</definedName>
    <definedName name="hmes_tamb_out_m_" localSheetId="5">'Calc ESP'!$K$16:$K$36</definedName>
    <definedName name="hmes_tamb_out_m_" localSheetId="6">'Calc GasLift'!$K$16:$K$36</definedName>
    <definedName name="hmes_tamb_out_m_" localSheetId="7">'Calc Self Flow'!$K$16:$K$36</definedName>
    <definedName name="hmes_tamb_out_m_">Construction!$S$18:$S$38</definedName>
    <definedName name="Hmes_valves_m_">GasLift!$B$11:$B$20</definedName>
    <definedName name="Hout_" localSheetId="6">'Calc GasLift'!$N$17:$N$36</definedName>
    <definedName name="Hout_" localSheetId="7">'Calc Self Flow'!$N$17:$N$36</definedName>
    <definedName name="Hout_">'Calc ESP'!$N$17:$N$36</definedName>
    <definedName name="Hperf_m_">Construction!$C$9</definedName>
    <definedName name="Hpump_">ESP!$C$16</definedName>
    <definedName name="Htub_m_">Construction!$C$10</definedName>
    <definedName name="hvert_incl_m_">Construction!$C$19:$C$176</definedName>
    <definedName name="hvert_incl_out_m_">Construction!$Q$18:$Q$38</definedName>
    <definedName name="hvert_tamb_out_m_" localSheetId="5">'Calc ESP'!$L$16:$L$36</definedName>
    <definedName name="hvert_tamb_out_m_" localSheetId="6">'Calc GasLift'!$L$16:$L$36</definedName>
    <definedName name="hvert_tamb_out_m_" localSheetId="7">'Calc Self Flow'!$L$16:$L$36</definedName>
    <definedName name="HydrCorr_" localSheetId="6">'Calc GasLift'!$AA$6</definedName>
    <definedName name="HydrCorr_" localSheetId="7">'Calc Self Flow'!$AA$6</definedName>
    <definedName name="HydrCorr_">'Calc ESP'!$AA$6</definedName>
    <definedName name="HydrCorr_selector_" localSheetId="6">'Calc GasLift'!$AB$3</definedName>
    <definedName name="HydrCorr_selector_" localSheetId="7">'Calc Self Flow'!$AB$3</definedName>
    <definedName name="HydrCorr_selector_">'Calc ESP'!$AB$3</definedName>
    <definedName name="Ksep_" localSheetId="1">PVT!$O$8</definedName>
    <definedName name="mu_cP_" localSheetId="1">PVT!$G$17</definedName>
    <definedName name="muo_list1_">PVT!$M$60:$M$100</definedName>
    <definedName name="muo_list2_">PVT!$N$60:$N$100</definedName>
    <definedName name="muo_list3_">PVT!$O$60:$O$100</definedName>
    <definedName name="muob_">PVT!$C$15</definedName>
    <definedName name="NumValves_">GasLift!$C$5</definedName>
    <definedName name="P_atma_" localSheetId="1">PVT!$C$8</definedName>
    <definedName name="p_charge_GLV_">GasLift!$D$11:$D$20</definedName>
    <definedName name="P_mes_atma_" localSheetId="6">'Calc GasLift'!$D$17:$D$352</definedName>
    <definedName name="P_mes_atma_" localSheetId="7">'Calc Self Flow'!$D$17:$D$352</definedName>
    <definedName name="P_mes_atma_">'Calc ESP'!$D$17:$D$352</definedName>
    <definedName name="Pb_" localSheetId="1">PVT!$C$12</definedName>
    <definedName name="Pb_atma_" localSheetId="1">PVT!$G$15</definedName>
    <definedName name="Pb_diff_">PVT!$W$34</definedName>
    <definedName name="Pbuf_atma_" localSheetId="6">'Calc GasLift'!$Q$6</definedName>
    <definedName name="Pbuf_atma_" localSheetId="7">'Calc Self Flow'!$Q$6</definedName>
    <definedName name="Pbuf_atma_">'Calc ESP'!$R$7</definedName>
    <definedName name="Pbuf_out_atma_" localSheetId="6">'Calc GasLift'!$Q$11</definedName>
    <definedName name="Pbuf_out_atma_" localSheetId="7">'Calc Self Flow'!$Q$11</definedName>
    <definedName name="Pbuf_out_atma_" localSheetId="4">Calc GasLift!$Q$11</definedName>
    <definedName name="Pbuf_out_atma_">'Calc ESP'!$R$12</definedName>
    <definedName name="Pcas_atma_" localSheetId="6">'Calc GasLift'!$Q$8</definedName>
    <definedName name="Pcas_atma_">'Calc ESP'!$R$9</definedName>
    <definedName name="Pcas_hmes_" localSheetId="6">'Calc GasLift'!$Y$16:$Y$36</definedName>
    <definedName name="Pcas_hmes_">'Calc ESP'!$W$16:$W$36</definedName>
    <definedName name="Pcas_out_atma_" localSheetId="6">'Calc GasLift'!$Z$16:$Z$36</definedName>
    <definedName name="Pcas_out_atma_">'Calc ESP'!$X$16:$X$36</definedName>
    <definedName name="Plin_mes_atma_" localSheetId="6">'Calc GasLift'!$D$16</definedName>
    <definedName name="Plin_mes_atma_" localSheetId="7">'Calc Self Flow'!$D$16</definedName>
    <definedName name="Plin_mes_atma_">'Calc ESP'!$D$16</definedName>
    <definedName name="Pline_atma_" localSheetId="6">'Calc GasLift'!$Q$5</definedName>
    <definedName name="Pline_atma_" localSheetId="7">'Calc Self Flow'!$Q$5</definedName>
    <definedName name="Pline_atma_">'Calc ESP'!$R$6</definedName>
    <definedName name="Pline_out_atma_" localSheetId="6">'Calc GasLift'!$Q$10</definedName>
    <definedName name="Pline_out_atma_" localSheetId="7">'Calc Self Flow'!$Q$10</definedName>
    <definedName name="Pline_out_atma_" localSheetId="4">'Calc GasLift'!$Q$11</definedName>
    <definedName name="Pline_out_atma_">'Calc ESP'!$R$11</definedName>
    <definedName name="pmes_out_" localSheetId="6">'Calc GasLift'!$I$16:$I$36</definedName>
    <definedName name="pmes_out_" localSheetId="7">'Calc Self Flow'!$I$16:$I$36</definedName>
    <definedName name="pmes_out_">'Calc ESP'!$I$16:$I$36</definedName>
    <definedName name="Pout_" localSheetId="6">'Calc GasLift'!$O$17:$O$36</definedName>
    <definedName name="Pout_" localSheetId="7">'Calc Self Flow'!$O$17:$O$36</definedName>
    <definedName name="Pout_">'Calc ESP'!$O$17:$O$36</definedName>
    <definedName name="Pout_atma_" localSheetId="6">'Calc GasLift'!$O$16:$O$36</definedName>
    <definedName name="Pout_atma_" localSheetId="7">'Calc Self Flow'!$O$16:$O$36</definedName>
    <definedName name="Pout_atma_">'Calc ESP'!$O$16:$O$36</definedName>
    <definedName name="Pout_hmes_m_" localSheetId="6">'Calc GasLift'!$N$16:$N$36</definedName>
    <definedName name="Pout_hmes_m_" localSheetId="7">'Calc Self Flow'!$N$16:$N$36</definedName>
    <definedName name="Pout_hmes_m_">'Calc ESP'!$N$16:$N$36</definedName>
    <definedName name="Power_Motor_nom_">ESP!$C$14</definedName>
    <definedName name="press_list0_">PVT!$B$60:$B$100</definedName>
    <definedName name="press_list1_">PVT!$C$60:$C$100</definedName>
    <definedName name="Psc_atma_" localSheetId="1">PVT!$K$2</definedName>
    <definedName name="Psep_atma_" localSheetId="1">PVT!$O$9</definedName>
    <definedName name="pts_">ESP!$H$5</definedName>
    <definedName name="PumpID_" localSheetId="3">ESP!$C$35</definedName>
    <definedName name="PVT_correlation_" localSheetId="1">PVT!$H$3</definedName>
    <definedName name="PVT_selector_" localSheetId="6">'Calc GasLift'!$X$3</definedName>
    <definedName name="PVT_selector_" localSheetId="7">'Calc Self Flow'!$X$3</definedName>
    <definedName name="PVT_selector_">'Calc ESP'!$X$3</definedName>
    <definedName name="PVTstr_">PVT!$C$19</definedName>
    <definedName name="Pwf_atma_" localSheetId="6">'Calc GasLift'!$Q$7</definedName>
    <definedName name="Pwf_atma_" localSheetId="7">'Calc Self Flow'!$Q$7</definedName>
    <definedName name="Pwf_atma_">'Calc ESP'!$R$8</definedName>
    <definedName name="Pwf_out_atma_" localSheetId="6">'Calc GasLift'!$Q$12</definedName>
    <definedName name="Pwf_out_atma_" localSheetId="7">'Calc Self Flow'!$Q$12</definedName>
    <definedName name="Pwf_out_atma_" localSheetId="4">'Calc GasLift'!$Q$12</definedName>
    <definedName name="Pwf_out_atma_">'Calc ESP'!$R$13</definedName>
    <definedName name="Q_ESP_" localSheetId="3">ESP!$C$32</definedName>
    <definedName name="Qg_scm3day_">'Calc GasLift'!$C$11</definedName>
    <definedName name="Ql_scm3day_" localSheetId="5">'Calc ESP'!$C$6</definedName>
    <definedName name="Ql_scm3day_" localSheetId="6">'Calc GasLift'!$C$6</definedName>
    <definedName name="Ql_scm3day_" localSheetId="7">'Calc Self Flow'!$C$6</definedName>
    <definedName name="Ql_scm3day_" localSheetId="1">PVT!$K$8</definedName>
    <definedName name="Qo_sctday_" localSheetId="1">PVT!$K$10</definedName>
    <definedName name="rhoo_list1_">PVT!$J$60:$J$100</definedName>
    <definedName name="rhoo_list2_">PVT!$K$60:$K$100</definedName>
    <definedName name="rhoo_list3_">PVT!$L$60:$L$100</definedName>
    <definedName name="Rp_" localSheetId="1">PVT!$C$11</definedName>
    <definedName name="Rp_m3m3_" localSheetId="5">'Calc ESP'!$C$9</definedName>
    <definedName name="Rp_m3m3_" localSheetId="6">'Calc GasLift'!$C$9</definedName>
    <definedName name="Rp_m3m3_" localSheetId="7">'Calc Self Flow'!$C$9</definedName>
    <definedName name="Rp_m3m3_" localSheetId="1">PVT!$K$11</definedName>
    <definedName name="Rp_tm3_" localSheetId="1">PVT!$K$12</definedName>
    <definedName name="rs_list1_">PVT!$D$60:$D$100</definedName>
    <definedName name="rs_list2_">PVT!$E$60:$E$100</definedName>
    <definedName name="rs_list3_">PVT!$F$60:$F$100</definedName>
    <definedName name="Rsb_" localSheetId="1">PVT!$C$10</definedName>
    <definedName name="Rsb_m3m3_" localSheetId="1">PVT!$G$11</definedName>
    <definedName name="solver_adj" localSheetId="1" hidden="1">PVT!$R$33:$R$34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PVT!$R$33</definedName>
    <definedName name="solver_lhs10" localSheetId="1" hidden="1">PVT!$R$34</definedName>
    <definedName name="solver_lhs11" localSheetId="1" hidden="1">PVT!$R$34</definedName>
    <definedName name="solver_lhs12" localSheetId="1" hidden="1">PVT!$R$34</definedName>
    <definedName name="solver_lhs13" localSheetId="1" hidden="1">PVT!$R$34</definedName>
    <definedName name="solver_lhs14" localSheetId="1" hidden="1">PVT!$R$34</definedName>
    <definedName name="solver_lhs15" localSheetId="1" hidden="1">PVT!$R$34</definedName>
    <definedName name="solver_lhs16" localSheetId="1" hidden="1">PVT!$R$34</definedName>
    <definedName name="solver_lhs17" localSheetId="1" hidden="1">PVT!$R$34</definedName>
    <definedName name="solver_lhs18" localSheetId="1" hidden="1">PVT!$R$34</definedName>
    <definedName name="solver_lhs19" localSheetId="1" hidden="1">PVT!$R$34</definedName>
    <definedName name="solver_lhs2" localSheetId="1" hidden="1">PVT!$R$34</definedName>
    <definedName name="solver_lhs20" localSheetId="1" hidden="1">PVT!$R$34</definedName>
    <definedName name="solver_lhs21" localSheetId="1" hidden="1">PVT!$R$34</definedName>
    <definedName name="solver_lhs22" localSheetId="1" hidden="1">PVT!$R$34</definedName>
    <definedName name="solver_lhs23" localSheetId="1" hidden="1">PVT!$R$34</definedName>
    <definedName name="solver_lhs24" localSheetId="1" hidden="1">PVT!$R$34</definedName>
    <definedName name="solver_lhs25" localSheetId="1" hidden="1">PVT!$R$34</definedName>
    <definedName name="solver_lhs26" localSheetId="1" hidden="1">PVT!$R$34</definedName>
    <definedName name="solver_lhs27" localSheetId="1" hidden="1">PVT!$R$34</definedName>
    <definedName name="solver_lhs28" localSheetId="1" hidden="1">PVT!$R$34</definedName>
    <definedName name="solver_lhs29" localSheetId="1" hidden="1">PVT!$R$34</definedName>
    <definedName name="solver_lhs3" localSheetId="1" hidden="1">PVT!$R$34</definedName>
    <definedName name="solver_lhs30" localSheetId="1" hidden="1">PVT!$R$34</definedName>
    <definedName name="solver_lhs31" localSheetId="1" hidden="1">PVT!$R$34</definedName>
    <definedName name="solver_lhs32" localSheetId="1" hidden="1">PVT!$R$34</definedName>
    <definedName name="solver_lhs33" localSheetId="1" hidden="1">PVT!$R$34</definedName>
    <definedName name="solver_lhs34" localSheetId="1" hidden="1">PVT!$R$34</definedName>
    <definedName name="solver_lhs35" localSheetId="1" hidden="1">PVT!$R$33</definedName>
    <definedName name="solver_lhs36" localSheetId="1" hidden="1">PVT!$R$33</definedName>
    <definedName name="solver_lhs37" localSheetId="1" hidden="1">PVT!$R$34</definedName>
    <definedName name="solver_lhs38" localSheetId="1" hidden="1">PVT!$R$34</definedName>
    <definedName name="solver_lhs39" localSheetId="1" hidden="1">PVT!$R$33</definedName>
    <definedName name="solver_lhs4" localSheetId="1" hidden="1">PVT!$R$34</definedName>
    <definedName name="solver_lhs40" localSheetId="1" hidden="1">PVT!$R$33</definedName>
    <definedName name="solver_lhs41" localSheetId="1" hidden="1">PVT!$R$34</definedName>
    <definedName name="solver_lhs42" localSheetId="1" hidden="1">PVT!$R$34</definedName>
    <definedName name="solver_lhs43" localSheetId="1" hidden="1">PVT!$R$33</definedName>
    <definedName name="solver_lhs44" localSheetId="1" hidden="1">PVT!$R$33</definedName>
    <definedName name="solver_lhs45" localSheetId="1" hidden="1">PVT!$R$34</definedName>
    <definedName name="solver_lhs46" localSheetId="1" hidden="1">PVT!$R$34</definedName>
    <definedName name="solver_lhs47" localSheetId="1" hidden="1">PVT!$R$33</definedName>
    <definedName name="solver_lhs48" localSheetId="1" hidden="1">PVT!$R$33</definedName>
    <definedName name="solver_lhs49" localSheetId="1" hidden="1">PVT!$R$34</definedName>
    <definedName name="solver_lhs5" localSheetId="1" hidden="1">PVT!$R$34</definedName>
    <definedName name="solver_lhs50" localSheetId="1" hidden="1">PVT!$R$34</definedName>
    <definedName name="solver_lhs51" localSheetId="1" hidden="1">PVT!$R$33</definedName>
    <definedName name="solver_lhs52" localSheetId="1" hidden="1">PVT!$R$33</definedName>
    <definedName name="solver_lhs53" localSheetId="1" hidden="1">PVT!$R$34</definedName>
    <definedName name="solver_lhs54" localSheetId="1" hidden="1">PVT!$R$34</definedName>
    <definedName name="solver_lhs6" localSheetId="1" hidden="1">PVT!$R$34</definedName>
    <definedName name="solver_lhs7" localSheetId="1" hidden="1">PVT!$R$34</definedName>
    <definedName name="solver_lhs8" localSheetId="1" hidden="1">PVT!$R$34</definedName>
    <definedName name="solver_lhs9" localSheetId="1" hidden="1">PVT!$R$34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PVT!$R$35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PVT!$B$57</definedName>
    <definedName name="T_mes_C_" localSheetId="6">'Calc GasLift'!$E$17:$E$352</definedName>
    <definedName name="T_mes_C_" localSheetId="7">'Calc Self Flow'!$E$17:$E$352</definedName>
    <definedName name="T_mes_C_">'Calc ESP'!$E$17:$E$352</definedName>
    <definedName name="tamb_C_">Construction!$F$19:$F$38</definedName>
    <definedName name="tamb_out_C_" localSheetId="5">'Calc ESP'!$M$16:$M$36</definedName>
    <definedName name="tamb_out_C_" localSheetId="6">'Calc GasLift'!$M$16:$M$36</definedName>
    <definedName name="tamb_out_C_" localSheetId="7">'Calc Self Flow'!$M$16:$M$36</definedName>
    <definedName name="tamb_out_C_">Construction!$T$18:$T$38</definedName>
    <definedName name="Tbh_c_" localSheetId="6">'Calc GasLift'!$M$6</definedName>
    <definedName name="Tbh_c_" localSheetId="7">'Calc Self Flow'!$M$6</definedName>
    <definedName name="Tbh_c_">'Calc ESP'!$M$6</definedName>
    <definedName name="Tbuf_out_C_" localSheetId="6">'Calc GasLift'!$T$11</definedName>
    <definedName name="Tbuf_out_C_" localSheetId="7">'Calc Self Flow'!$T$11</definedName>
    <definedName name="Tbuf_out_C_">'Calc ESP'!$U$12</definedName>
    <definedName name="Tlin_mes_C_" localSheetId="6">'Calc GasLift'!$E$16</definedName>
    <definedName name="Tlin_mes_C_" localSheetId="7">'Calc Self Flow'!$E$16</definedName>
    <definedName name="Tlin_mes_C_">'Calc ESP'!$E$16</definedName>
    <definedName name="Tline_out_C_" localSheetId="6">'Calc GasLift'!$T$10</definedName>
    <definedName name="Tline_out_C_" localSheetId="7">'Calc Self Flow'!$T$10</definedName>
    <definedName name="Tline_out_C_">'Calc ESP'!$U$11</definedName>
    <definedName name="tmes_out_" localSheetId="6">'Calc GasLift'!$J$16:$J$36</definedName>
    <definedName name="tmes_out_" localSheetId="7">'Calc Self Flow'!$J$16:$J$36</definedName>
    <definedName name="tmes_out_">'Calc ESP'!$J$16:$J$36</definedName>
    <definedName name="Tout_C_" localSheetId="6">'Calc GasLift'!$Q$16:$Q$36</definedName>
    <definedName name="Tout_C_" localSheetId="7">'Calc Self Flow'!$Q$16:$Q$36</definedName>
    <definedName name="Tout_C_">'Calc ESP'!$Q$16:$Q$36</definedName>
    <definedName name="Tout_hmes_m_" localSheetId="6">'Calc GasLift'!$P$16:$P$36</definedName>
    <definedName name="Tout_hmes_m_" localSheetId="7">'Calc Self Flow'!$P$16:$P$36</definedName>
    <definedName name="Tout_hmes_m_">'Calc ESP'!$P$16:$P$36</definedName>
    <definedName name="Toutcas_C_">'Calc GasLift'!$S$16:$S$36</definedName>
    <definedName name="Toutcas_hmes_m_">'Calc GasLift'!$R$16:$R$36</definedName>
    <definedName name="Tres_" localSheetId="1">PVT!$C$13</definedName>
    <definedName name="Tres_C_" localSheetId="1">PVT!$G$14</definedName>
    <definedName name="Tsc_C_" localSheetId="1">PVT!$K$3</definedName>
    <definedName name="Tsep_C_" localSheetId="1">PVT!$O$10</definedName>
    <definedName name="Twf_out_C_" localSheetId="6">'Calc GasLift'!$T$12</definedName>
    <definedName name="Twf_out_C_" localSheetId="7">'Calc Self Flow'!$T$12</definedName>
    <definedName name="Twf_out_C_">'Calc ESP'!$U$13</definedName>
    <definedName name="Twh_C_" localSheetId="6">'Calc GasLift'!$M$7</definedName>
    <definedName name="Twh_C_">'Calc ESP'!$M$7</definedName>
    <definedName name="U_V_">ESP!$C$13</definedName>
    <definedName name="udl_out_m_">Construction!$R$18:$R$38</definedName>
    <definedName name="версия_">Unifloc!$A$1</definedName>
    <definedName name="версия_номер_">Unifloc!$B$1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9" i="7" l="1"/>
  <c r="C7" i="7"/>
  <c r="AF10" i="9"/>
  <c r="M37" i="4"/>
  <c r="I35" i="4"/>
  <c r="C10" i="7"/>
  <c r="M36" i="4"/>
  <c r="I34" i="4"/>
  <c r="E37" i="4"/>
  <c r="E33" i="4"/>
  <c r="B1" i="6"/>
  <c r="G24" i="4"/>
  <c r="E34" i="4"/>
  <c r="M35" i="4"/>
  <c r="I33" i="4"/>
  <c r="C37" i="4"/>
  <c r="C33" i="4"/>
  <c r="E36" i="4"/>
  <c r="E38" i="4"/>
  <c r="C19" i="4"/>
  <c r="C46" i="4" s="1"/>
  <c r="C8" i="7"/>
  <c r="M34" i="4"/>
  <c r="E35" i="4"/>
  <c r="C34" i="4"/>
  <c r="V34" i="4"/>
  <c r="V35" i="4" s="1"/>
  <c r="M33" i="4"/>
  <c r="C45" i="4"/>
  <c r="C36" i="4"/>
  <c r="T34" i="4"/>
  <c r="T35" i="4" s="1"/>
  <c r="I38" i="4"/>
  <c r="C44" i="4"/>
  <c r="C38" i="4"/>
  <c r="C50" i="4"/>
  <c r="V37" i="4"/>
  <c r="M41" i="4"/>
  <c r="I37" i="4"/>
  <c r="C41" i="4"/>
  <c r="C35" i="4"/>
  <c r="T37" i="4"/>
  <c r="M38" i="4"/>
  <c r="I36" i="4"/>
  <c r="C24" i="4"/>
  <c r="C27" i="4"/>
  <c r="C28" i="4"/>
  <c r="C29" i="4"/>
  <c r="T36" i="4"/>
  <c r="V36" i="4"/>
  <c r="K10" i="4" l="1"/>
  <c r="V18" i="10" l="1"/>
  <c r="V17" i="10"/>
  <c r="V16" i="10"/>
  <c r="O2" i="10"/>
  <c r="J2" i="10"/>
  <c r="E2" i="10"/>
  <c r="X18" i="9"/>
  <c r="X17" i="9"/>
  <c r="X16" i="9"/>
  <c r="O2" i="9"/>
  <c r="J2" i="9"/>
  <c r="E2" i="9"/>
  <c r="B57" i="4" l="1"/>
  <c r="X45" i="4"/>
  <c r="W39" i="4"/>
  <c r="W38" i="4"/>
  <c r="AB37" i="4"/>
  <c r="AA37" i="4"/>
  <c r="AB36" i="4"/>
  <c r="AA36" i="4"/>
  <c r="AD35" i="4"/>
  <c r="AD34" i="4"/>
  <c r="C26" i="4"/>
  <c r="G25" i="4"/>
  <c r="C25" i="4"/>
  <c r="K12" i="4"/>
  <c r="W35" i="4" l="1"/>
  <c r="AB34" i="4" s="1"/>
  <c r="W37" i="4"/>
  <c r="AB35" i="4" s="1"/>
  <c r="W36" i="4"/>
  <c r="AB39" i="4" s="1"/>
  <c r="U35" i="4"/>
  <c r="AA34" i="4" s="1"/>
  <c r="U37" i="4"/>
  <c r="AA35" i="4" s="1"/>
  <c r="U36" i="4"/>
  <c r="AA39" i="4" s="1"/>
  <c r="W34" i="4"/>
  <c r="B80" i="4"/>
  <c r="F38" i="4"/>
  <c r="F34" i="4"/>
  <c r="F35" i="4"/>
  <c r="F37" i="4"/>
  <c r="F36" i="4"/>
  <c r="U34" i="4"/>
  <c r="AA33" i="4" s="1"/>
  <c r="F33" i="4"/>
  <c r="H5" i="7"/>
  <c r="C16" i="7"/>
  <c r="R35" i="4" l="1"/>
  <c r="AD33" i="4" s="1"/>
  <c r="AB33" i="4"/>
  <c r="B61" i="4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79" i="4" s="1"/>
  <c r="B81" i="4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B99" i="4" s="1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U18" i="2"/>
  <c r="V18" i="2"/>
  <c r="V17" i="2"/>
  <c r="V16" i="2"/>
  <c r="A4" i="6"/>
  <c r="A1" i="6"/>
  <c r="A1" i="4" l="1"/>
  <c r="A1" i="2"/>
  <c r="A1" i="7"/>
  <c r="A1" i="3"/>
  <c r="C10" i="2"/>
  <c r="O2" i="2" l="1"/>
  <c r="J2" i="2"/>
  <c r="E2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4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4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3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3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4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4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4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5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5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5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5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6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6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7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7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8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8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8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8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9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9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9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40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40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40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9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51FB8876-3AC2-46D5-88E7-9A7C7FBFA7E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8398F41A-6DB7-48D2-BAEC-C22FC8B7173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4EEB3847-8D49-4184-B2AD-635A26366E0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5DDAABD9-81B8-4333-B91C-BF8D86BCBF0D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53FD05B6-9814-470E-B9F9-41EA6FDBDB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893AABCE-78E5-4A03-93FC-8F749FB1D3B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994519C-DE1C-456A-AF46-5A264F796E8A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3F2FEF5B-41E1-4F96-99C1-B6CD8385FB32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C2CCE89E-3BC9-4AB0-B69D-108710E9C724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E659F8AB-A731-46DC-A333-94A77134951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C71CEA1F-11C1-4F2F-B2A9-111261852045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E55D2CF-0ECF-4CB0-960B-C1AF92CC9FF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AE85BFBD-D2E0-4F28-B45A-E8C4B030996F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BE00E118-D1EE-4893-AD14-F476231891E7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1A3D2AE4-E807-4862-BB7D-0C4B6009E51B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28711583-A18C-4F35-B2F8-75317CE29F0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861CC350-E68A-48A6-8047-5A3C39D2EDB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917549DD-9915-4336-AA0A-324C4DBDB856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722109D0-DC45-42B8-9034-975CBDAE1A53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4226DED0-8401-4978-8DA6-16A640ED3051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<sst xmlns="http://schemas.openxmlformats.org/spreadsheetml/2006/main" count="463" uniqueCount="219">
  <si>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</si>
  <si>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</si>
  <si>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</si>
  <si>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</si>
  <si>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</si>
  <si>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</si>
  <si>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</si>
  <si>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</si>
  <si>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</si>
  <si>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</si>
  <si>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</si>
  <si>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</si>
  <si>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</si>
  <si>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</si>
  <si>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</si>
  <si>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</si>
  <si>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</si>
  <si>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</si>
  <si>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</si>
  <si>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</si>
  <si>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</si>
  <si>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</si>
  <si>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</si>
  <si>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</si>
  <si>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</si>
  <si>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</si>
  <si>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</si>
  <si>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</si>
  <si>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</si>
  <si>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</si>
  <si>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</si>
  <si>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</si>
  <si>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</si>
  <si>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</si>
  <si>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</si>
  <si>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</si>
  <si>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</si>
  <si>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</si>
  <si>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</si>
  <si>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</si>
  <si>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</si>
  <si>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</si>
  <si>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</si>
  <si>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</si>
  <si>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</si>
  <si>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</si>
  <si>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</si>
  <si>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</si>
  <si>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</si>
  <si>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</si>
  <si>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</si>
  <si>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</si>
  <si>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</si>
  <si>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</si>
  <si>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</si>
  <si>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</si>
  <si>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</si>
  <si>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</si>
  <si>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</si>
  <si>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</si>
  <si>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</si>
  <si>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</si>
  <si>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</si>
  <si>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</si>
  <si>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</si>
  <si>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</si>
  <si>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</si>
  <si>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</si>
  <si>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</si>
  <si>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</si>
  <si>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</si>
  <si>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</si>
  <si>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</si>
  <si>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</si>
  <si>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</si>
  <si>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</si>
  <si>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</si>
  <si>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</si>
  <si>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</si>
  <si>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</si>
  <si>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</si>
  <si>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</si>
  <si>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</si>
  <si>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</si>
  <si>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</si>
  <si>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</si>
  <si>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</si>
  <si>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</si>
  <si>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</si>
  <si>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</si>
  <si>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</si>
  <si>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</si>
  <si>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</si>
  <si>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</si>
  <si>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</si>
  <si>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</si>
  <si>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</si>
  <si>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</si>
  <si>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</si>
  <si>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</si>
  <si>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</si>
  <si>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</si>
  <si>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</si>
  <si>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</si>
  <si>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</si>
  <si>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</si>
  <si>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</si>
  <si>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</si>
  <si>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</si>
  <si>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</si>
  <si>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</si>
  <si>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</si>
  <si>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</si>
  <si>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</si>
  <si>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</si>
  <si>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</si>
  <si>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</si>
  <si>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</si>
  <si>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</si>
  <si>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</si>
  <si>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</si>
  <si>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</si>
  <si>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</si>
  <si>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</si>
  <si>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</si>
  <si>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</si>
  <si>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</si>
  <si>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</si>
  <si>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</si>
  <si>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</si>
  <si>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</si>
  <si>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</si>
  <si>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</si>
  <si>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</si>
  <si>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</si>
  <si>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</si>
  <si>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</si>
  <si>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</si>
  <si>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</si>
  <si>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</si>
  <si>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</si>
  <si>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</si>
  <si>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</si>
  <si>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</si>
  <si>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</si>
  <si>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</si>
  <si>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</si>
  <si>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</si>
  <si>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</si>
  <si>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</si>
  <si>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</si>
  <si>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</si>
  <si>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</si>
  <si>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</si>
  <si>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</si>
  <si>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</si>
  <si>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</si>
  <si>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</si>
  <si>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</si>
  <si>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</si>
  <si>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</si>
  <si>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</si>
  <si>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</si>
  <si>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</si>
  <si>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</si>
  <si>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</si>
  <si>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</si>
  <si>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</si>
  <si>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</si>
  <si>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</si>
  <si>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</si>
  <si>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</si>
  <si>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</si>
  <si>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</si>
  <si>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</si>
  <si>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</si>
  <si>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</si>
  <si>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</si>
  <si>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</si>
  <si>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</si>
  <si>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</si>
  <si>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</si>
  <si>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</si>
  <si>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</si>
  <si>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</si>
  <si>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</si>
  <si>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</si>
  <si>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</si>
  <si>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</si>
  <si>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</si>
  <si>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</si>
  <si>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</si>
  <si>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</si>
  <si>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</si>
  <si>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</si>
  <si>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</si>
  <si>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</si>
  <si>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</si>
  <si>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t>hmes pcas</t>
  </si>
  <si>
    <t>hmes ptub</t>
  </si>
  <si>
    <t>Ptub</t>
  </si>
  <si>
    <t>Ttub</t>
  </si>
  <si>
    <t>Hl</t>
  </si>
  <si>
    <t>Tamb</t>
  </si>
  <si>
    <t>атмa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</si>
  <si>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</si>
  <si>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buf</t>
    </r>
  </si>
  <si>
    <t>Ввод данных по газлифтной компоновке</t>
  </si>
  <si>
    <t>Кол-клапанов</t>
  </si>
  <si>
    <t>Глубины расположения клапанов</t>
  </si>
  <si>
    <t>Диаметр</t>
  </si>
  <si>
    <t>Давление зарядки</t>
  </si>
  <si>
    <t>Qg_inj</t>
  </si>
  <si>
    <t>hmes Tamb</t>
  </si>
  <si>
    <t>hmes Ttub</t>
  </si>
  <si>
    <t>Tcas</t>
  </si>
  <si>
    <t>pcas</t>
  </si>
  <si>
    <t>вер 7.7</t>
  </si>
  <si>
    <t>PVT строка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</si>
</sst>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6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vertAlign val="subscript"/>
      <sz val="11"/>
      <color theme="0" tint="-0.499984740745262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1"/>
      <color rgb="FF000000"/>
      <name val="Calibri"/>
      <family val="2"/>
    </font>
    <font>
      <vertAlign val="subscript"/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70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0" fontId="0" fillId="0" borderId="2" xfId="0" applyBorder="1"/>
    <xf numFmtId="0" fontId="0" fillId="8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left"/>
    </xf>
    <xf numFmtId="0" fontId="13" fillId="0" borderId="0" xfId="0" applyFont="1" applyAlignment="1">
      <alignment horizontal="center"/>
    </xf>
    <xf numFmtId="0" fontId="13" fillId="0" borderId="0" xfId="0" applyFont="1"/>
    <xf numFmtId="0" fontId="13" fillId="0" borderId="0" xfId="0" applyFont="1" applyAlignment="1">
      <alignment wrapText="1"/>
    </xf>
    <xf numFmtId="0" fontId="0" fillId="4" borderId="0" xfId="0" applyFill="1"/>
    <xf numFmtId="0" fontId="0" fillId="4" borderId="0" xfId="0" applyFill="1" applyAlignment="1">
      <alignment wrapText="1"/>
    </xf>
    <xf numFmtId="165" fontId="0" fillId="4" borderId="0" xfId="0" applyNumberFormat="1" applyFill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PVT!$D$59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PVT!$D$60:$D$100</c:f>
              <c:numCache>
                <c:formatCode>General</c:formatCode>
                <c:ptCount val="41"/>
                <c:pt idx="0">
                  <c:v>0.48820836578773286</c:v>
                </c:pt>
                <c:pt idx="1">
                  <c:v>3.4599676933560182</c:v>
                </c:pt>
                <c:pt idx="2">
                  <c:v>7.0372098042024414</c:v>
                </c:pt>
                <c:pt idx="3">
                  <c:v>10.966218282405341</c:v>
                </c:pt>
                <c:pt idx="4">
                  <c:v>15.154054455012099</c:v>
                </c:pt>
                <c:pt idx="5">
                  <c:v>19.549861344141167</c:v>
                </c:pt>
                <c:pt idx="6">
                  <c:v>24.120996980148316</c:v>
                </c:pt>
                <c:pt idx="7">
                  <c:v>28.844523681797149</c:v>
                </c:pt>
                <c:pt idx="8">
                  <c:v>33.703340250448868</c:v>
                </c:pt>
                <c:pt idx="9">
                  <c:v>38.684151163661475</c:v>
                </c:pt>
                <c:pt idx="10">
                  <c:v>43.776290848338185</c:v>
                </c:pt>
                <c:pt idx="11">
                  <c:v>48.970992830508102</c:v>
                </c:pt>
                <c:pt idx="12">
                  <c:v>54.260910071364478</c:v>
                </c:pt>
                <c:pt idx="13">
                  <c:v>59.639786346701669</c:v>
                </c:pt>
                <c:pt idx="14">
                  <c:v>65.102223121008905</c:v>
                </c:pt>
                <c:pt idx="15">
                  <c:v>70.643509318863522</c:v>
                </c:pt>
                <c:pt idx="16">
                  <c:v>76.259493960147694</c:v>
                </c:pt>
                <c:pt idx="17">
                  <c:v>81.946488861837338</c:v>
                </c:pt>
                <c:pt idx="18">
                  <c:v>87.701192958585537</c:v>
                </c:pt>
                <c:pt idx="19">
                  <c:v>93.520632505562418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PVT!$E$59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PVT!$E$60:$E$100</c:f>
              <c:numCache>
                <c:formatCode>General</c:formatCode>
                <c:ptCount val="41"/>
                <c:pt idx="0">
                  <c:v>0.48820836578773286</c:v>
                </c:pt>
                <c:pt idx="1">
                  <c:v>3.4599676933560182</c:v>
                </c:pt>
                <c:pt idx="2">
                  <c:v>7.0372098042024414</c:v>
                </c:pt>
                <c:pt idx="3">
                  <c:v>10.966218282405341</c:v>
                </c:pt>
                <c:pt idx="4">
                  <c:v>15.154054455012099</c:v>
                </c:pt>
                <c:pt idx="5">
                  <c:v>19.549861344141167</c:v>
                </c:pt>
                <c:pt idx="6">
                  <c:v>24.120996980148316</c:v>
                </c:pt>
                <c:pt idx="7">
                  <c:v>28.844523681797149</c:v>
                </c:pt>
                <c:pt idx="8">
                  <c:v>33.703340250448868</c:v>
                </c:pt>
                <c:pt idx="9">
                  <c:v>38.684151163661475</c:v>
                </c:pt>
                <c:pt idx="10">
                  <c:v>43.776290848338185</c:v>
                </c:pt>
                <c:pt idx="11">
                  <c:v>48.970992830508102</c:v>
                </c:pt>
                <c:pt idx="12">
                  <c:v>54.260910071364478</c:v>
                </c:pt>
                <c:pt idx="13">
                  <c:v>59.639786346701669</c:v>
                </c:pt>
                <c:pt idx="14">
                  <c:v>65.102223121008905</c:v>
                </c:pt>
                <c:pt idx="15">
                  <c:v>70.643509318863522</c:v>
                </c:pt>
                <c:pt idx="16">
                  <c:v>76.259493960147694</c:v>
                </c:pt>
                <c:pt idx="17">
                  <c:v>81.946488861837338</c:v>
                </c:pt>
                <c:pt idx="18">
                  <c:v>87.701192958585537</c:v>
                </c:pt>
                <c:pt idx="19">
                  <c:v>93.520632505562418</c:v>
                </c:pt>
                <c:pt idx="20">
                  <c:v>99.402113171021938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PVT!$F$59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PVT!$F$60:$F$100</c:f>
              <c:numCache>
                <c:formatCode>General</c:formatCode>
                <c:ptCount val="41"/>
                <c:pt idx="0">
                  <c:v>0.24522533964564697</c:v>
                </c:pt>
                <c:pt idx="1">
                  <c:v>1.7379295649659159</c:v>
                </c:pt>
                <c:pt idx="2">
                  <c:v>3.5347656560713978</c:v>
                </c:pt>
                <c:pt idx="3">
                  <c:v>5.5082927524031469</c:v>
                </c:pt>
                <c:pt idx="4">
                  <c:v>7.6118280864419114</c:v>
                </c:pt>
                <c:pt idx="5">
                  <c:v>9.8198263776306298</c:v>
                </c:pt>
                <c:pt idx="6">
                  <c:v>12.115891679783919</c:v>
                </c:pt>
                <c:pt idx="7">
                  <c:v>14.488502476545118</c:v>
                </c:pt>
                <c:pt idx="8">
                  <c:v>16.929068896174169</c:v>
                </c:pt>
                <c:pt idx="9">
                  <c:v>19.430912644657504</c:v>
                </c:pt>
                <c:pt idx="10">
                  <c:v>21.988676442258743</c:v>
                </c:pt>
                <c:pt idx="11">
                  <c:v>24.597956920032022</c:v>
                </c:pt>
                <c:pt idx="12">
                  <c:v>27.255063686306471</c:v>
                </c:pt>
                <c:pt idx="13">
                  <c:v>29.956854261736666</c:v>
                </c:pt>
                <c:pt idx="14">
                  <c:v>32.700616980982609</c:v>
                </c:pt>
                <c:pt idx="15">
                  <c:v>35.483985487481007</c:v>
                </c:pt>
                <c:pt idx="16">
                  <c:v>38.304874758564154</c:v>
                </c:pt>
                <c:pt idx="17">
                  <c:v>41.161432232911608</c:v>
                </c:pt>
                <c:pt idx="18">
                  <c:v>44.051999797046399</c:v>
                </c:pt>
                <c:pt idx="19">
                  <c:v>46.9750837494324</c:v>
                </c:pt>
                <c:pt idx="20">
                  <c:v>49.929330736739672</c:v>
                </c:pt>
                <c:pt idx="21">
                  <c:v>57.927052951087354</c:v>
                </c:pt>
                <c:pt idx="22">
                  <c:v>66.116836603516731</c:v>
                </c:pt>
                <c:pt idx="23">
                  <c:v>74.482547288615194</c:v>
                </c:pt>
                <c:pt idx="24">
                  <c:v>83.010821462413418</c:v>
                </c:pt>
                <c:pt idx="25">
                  <c:v>91.690389339733841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PVT!$J$59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PVT!$J$60:$J$100</c:f>
              <c:numCache>
                <c:formatCode>General</c:formatCode>
                <c:ptCount val="41"/>
                <c:pt idx="0">
                  <c:v>855.72140663161633</c:v>
                </c:pt>
                <c:pt idx="1">
                  <c:v>854.96714288698786</c:v>
                </c:pt>
                <c:pt idx="2">
                  <c:v>853.97482726543444</c:v>
                </c:pt>
                <c:pt idx="3">
                  <c:v>852.79243794225533</c:v>
                </c:pt>
                <c:pt idx="4">
                  <c:v>851.43966488537433</c:v>
                </c:pt>
                <c:pt idx="5">
                  <c:v>849.93054974355812</c:v>
                </c:pt>
                <c:pt idx="6">
                  <c:v>848.27697304788239</c:v>
                </c:pt>
                <c:pt idx="7">
                  <c:v>846.48961387959037</c:v>
                </c:pt>
                <c:pt idx="8">
                  <c:v>844.57830041380907</c:v>
                </c:pt>
                <c:pt idx="9">
                  <c:v>842.55217103393522</c:v>
                </c:pt>
                <c:pt idx="10">
                  <c:v>840.41976560236117</c:v>
                </c:pt>
                <c:pt idx="11">
                  <c:v>838.18908689746945</c:v>
                </c:pt>
                <c:pt idx="12">
                  <c:v>835.86764729295999</c:v>
                </c:pt>
                <c:pt idx="13">
                  <c:v>833.46250698656468</c:v>
                </c:pt>
                <c:pt idx="14">
                  <c:v>830.98030671091419</c:v>
                </c:pt>
                <c:pt idx="15">
                  <c:v>828.42729645368343</c:v>
                </c:pt>
                <c:pt idx="16">
                  <c:v>825.80936108017181</c:v>
                </c:pt>
                <c:pt idx="17">
                  <c:v>823.13204343959728</c:v>
                </c:pt>
                <c:pt idx="18">
                  <c:v>820.40056536745033</c:v>
                </c:pt>
                <c:pt idx="19">
                  <c:v>817.6198468951327</c:v>
                </c:pt>
                <c:pt idx="20">
                  <c:v>814.79452391165955</c:v>
                </c:pt>
                <c:pt idx="21">
                  <c:v>816.79832951264268</c:v>
                </c:pt>
                <c:pt idx="22">
                  <c:v>818.61786733511792</c:v>
                </c:pt>
                <c:pt idx="23">
                  <c:v>820.09752437866257</c:v>
                </c:pt>
                <c:pt idx="24">
                  <c:v>821.32439619525724</c:v>
                </c:pt>
                <c:pt idx="25">
                  <c:v>822.35816264518724</c:v>
                </c:pt>
                <c:pt idx="26">
                  <c:v>823.24108806248182</c:v>
                </c:pt>
                <c:pt idx="27">
                  <c:v>824.00394189119174</c:v>
                </c:pt>
                <c:pt idx="28">
                  <c:v>824.66965776276504</c:v>
                </c:pt>
                <c:pt idx="29">
                  <c:v>825.25567852805671</c:v>
                </c:pt>
                <c:pt idx="30">
                  <c:v>825.77550669672553</c:v>
                </c:pt>
                <c:pt idx="31">
                  <c:v>826.23975760446081</c:v>
                </c:pt>
                <c:pt idx="32">
                  <c:v>826.65689193663172</c:v>
                </c:pt>
                <c:pt idx="33">
                  <c:v>827.0337359998407</c:v>
                </c:pt>
                <c:pt idx="34">
                  <c:v>827.37585818672835</c:v>
                </c:pt>
                <c:pt idx="35">
                  <c:v>827.68784596558078</c:v>
                </c:pt>
                <c:pt idx="36">
                  <c:v>827.97351276670111</c:v>
                </c:pt>
                <c:pt idx="37">
                  <c:v>828.23605462713181</c:v>
                </c:pt>
                <c:pt idx="38">
                  <c:v>828.47817027446081</c:v>
                </c:pt>
                <c:pt idx="39">
                  <c:v>828.70215423244929</c:v>
                </c:pt>
                <c:pt idx="40">
                  <c:v>828.90996976435258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PVT!$K$59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PVT!$K$60:$K$100</c:f>
              <c:numCache>
                <c:formatCode>General</c:formatCode>
                <c:ptCount val="41"/>
                <c:pt idx="0">
                  <c:v>855.72140663161633</c:v>
                </c:pt>
                <c:pt idx="1">
                  <c:v>854.96714288698786</c:v>
                </c:pt>
                <c:pt idx="2">
                  <c:v>853.97482726543444</c:v>
                </c:pt>
                <c:pt idx="3">
                  <c:v>852.79243794225533</c:v>
                </c:pt>
                <c:pt idx="4">
                  <c:v>851.43966488537433</c:v>
                </c:pt>
                <c:pt idx="5">
                  <c:v>849.93054974355812</c:v>
                </c:pt>
                <c:pt idx="6">
                  <c:v>848.27697304788239</c:v>
                </c:pt>
                <c:pt idx="7">
                  <c:v>846.48961387959037</c:v>
                </c:pt>
                <c:pt idx="8">
                  <c:v>844.57830041380907</c:v>
                </c:pt>
                <c:pt idx="9">
                  <c:v>842.55217103393522</c:v>
                </c:pt>
                <c:pt idx="10">
                  <c:v>840.41976560236117</c:v>
                </c:pt>
                <c:pt idx="11">
                  <c:v>838.18908689746945</c:v>
                </c:pt>
                <c:pt idx="12">
                  <c:v>835.86764729295999</c:v>
                </c:pt>
                <c:pt idx="13">
                  <c:v>833.46250698656468</c:v>
                </c:pt>
                <c:pt idx="14">
                  <c:v>830.98030671091419</c:v>
                </c:pt>
                <c:pt idx="15">
                  <c:v>828.42729645368343</c:v>
                </c:pt>
                <c:pt idx="16">
                  <c:v>825.80936108017181</c:v>
                </c:pt>
                <c:pt idx="17">
                  <c:v>823.13204343959728</c:v>
                </c:pt>
                <c:pt idx="18">
                  <c:v>820.40056536745033</c:v>
                </c:pt>
                <c:pt idx="19">
                  <c:v>817.6198468951327</c:v>
                </c:pt>
                <c:pt idx="20">
                  <c:v>814.79452391165955</c:v>
                </c:pt>
                <c:pt idx="21">
                  <c:v>816.79832951264268</c:v>
                </c:pt>
                <c:pt idx="22">
                  <c:v>818.61786733511792</c:v>
                </c:pt>
                <c:pt idx="23">
                  <c:v>820.09752437866257</c:v>
                </c:pt>
                <c:pt idx="24">
                  <c:v>821.32439619525724</c:v>
                </c:pt>
                <c:pt idx="25">
                  <c:v>822.35816264518724</c:v>
                </c:pt>
                <c:pt idx="26">
                  <c:v>823.24108806248182</c:v>
                </c:pt>
                <c:pt idx="27">
                  <c:v>824.00394189119174</c:v>
                </c:pt>
                <c:pt idx="28">
                  <c:v>824.66965776276504</c:v>
                </c:pt>
                <c:pt idx="29">
                  <c:v>825.25567852805671</c:v>
                </c:pt>
                <c:pt idx="30">
                  <c:v>825.77550669672553</c:v>
                </c:pt>
                <c:pt idx="31">
                  <c:v>826.23975760446081</c:v>
                </c:pt>
                <c:pt idx="32">
                  <c:v>826.65689193663172</c:v>
                </c:pt>
                <c:pt idx="33">
                  <c:v>827.0337359998407</c:v>
                </c:pt>
                <c:pt idx="34">
                  <c:v>827.37585818672835</c:v>
                </c:pt>
                <c:pt idx="35">
                  <c:v>827.68784596558078</c:v>
                </c:pt>
                <c:pt idx="36">
                  <c:v>827.97351276670111</c:v>
                </c:pt>
                <c:pt idx="37">
                  <c:v>828.23605462713181</c:v>
                </c:pt>
                <c:pt idx="38">
                  <c:v>828.47817027446081</c:v>
                </c:pt>
                <c:pt idx="39">
                  <c:v>828.70215423244929</c:v>
                </c:pt>
                <c:pt idx="40">
                  <c:v>828.90996976435258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PVT!$L$59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PVT!$L$60:$L$100</c:f>
              <c:numCache>
                <c:formatCode>General</c:formatCode>
                <c:ptCount val="41"/>
                <c:pt idx="0">
                  <c:v>853.36501910466143</c:v>
                </c:pt>
                <c:pt idx="1">
                  <c:v>852.11110677244449</c:v>
                </c:pt>
                <c:pt idx="2">
                  <c:v>850.57341654798745</c:v>
                </c:pt>
                <c:pt idx="3">
                  <c:v>848.85232881163836</c:v>
                </c:pt>
                <c:pt idx="4">
                  <c:v>846.9846444279126</c:v>
                </c:pt>
                <c:pt idx="5">
                  <c:v>844.99137681301011</c:v>
                </c:pt>
                <c:pt idx="6">
                  <c:v>842.88698754358916</c:v>
                </c:pt>
                <c:pt idx="7">
                  <c:v>840.68254458413821</c:v>
                </c:pt>
                <c:pt idx="8">
                  <c:v>838.38709749270708</c:v>
                </c:pt>
                <c:pt idx="9">
                  <c:v>836.00837065141309</c:v>
                </c:pt>
                <c:pt idx="10">
                  <c:v>833.55315038275421</c:v>
                </c:pt>
                <c:pt idx="11">
                  <c:v>831.02751862298317</c:v>
                </c:pt>
                <c:pt idx="12">
                  <c:v>828.43700307087681</c:v>
                </c:pt>
                <c:pt idx="13">
                  <c:v>825.78667881909257</c:v>
                </c:pt>
                <c:pt idx="14">
                  <c:v>823.08124026218775</c:v>
                </c:pt>
                <c:pt idx="15">
                  <c:v>820.32505395936948</c:v>
                </c:pt>
                <c:pt idx="16">
                  <c:v>817.5221988131085</c:v>
                </c:pt>
                <c:pt idx="17">
                  <c:v>814.67649750963233</c:v>
                </c:pt>
                <c:pt idx="18">
                  <c:v>811.7915417568563</c:v>
                </c:pt>
                <c:pt idx="19">
                  <c:v>808.87071300035359</c:v>
                </c:pt>
                <c:pt idx="20">
                  <c:v>805.91719976248942</c:v>
                </c:pt>
                <c:pt idx="21">
                  <c:v>797.92726723854776</c:v>
                </c:pt>
                <c:pt idx="22">
                  <c:v>789.77815641107816</c:v>
                </c:pt>
                <c:pt idx="23">
                  <c:v>781.51410740866947</c:v>
                </c:pt>
                <c:pt idx="24">
                  <c:v>773.17342603660211</c:v>
                </c:pt>
                <c:pt idx="25">
                  <c:v>764.78929607071746</c:v>
                </c:pt>
                <c:pt idx="26">
                  <c:v>757.04210260849572</c:v>
                </c:pt>
                <c:pt idx="27">
                  <c:v>758.28536140161202</c:v>
                </c:pt>
                <c:pt idx="28">
                  <c:v>759.37103586087267</c:v>
                </c:pt>
                <c:pt idx="29">
                  <c:v>760.32730039632145</c:v>
                </c:pt>
                <c:pt idx="30">
                  <c:v>761.17599098379435</c:v>
                </c:pt>
                <c:pt idx="31">
                  <c:v>761.93429266476824</c:v>
                </c:pt>
                <c:pt idx="32">
                  <c:v>762.61591519221111</c:v>
                </c:pt>
                <c:pt idx="33">
                  <c:v>763.23192923439683</c:v>
                </c:pt>
                <c:pt idx="34">
                  <c:v>763.7913722257473</c:v>
                </c:pt>
                <c:pt idx="35">
                  <c:v>764.30169464607161</c:v>
                </c:pt>
                <c:pt idx="36">
                  <c:v>764.76909369892041</c:v>
                </c:pt>
                <c:pt idx="37">
                  <c:v>765.19876619642446</c:v>
                </c:pt>
                <c:pt idx="38">
                  <c:v>765.59510258795945</c:v>
                </c:pt>
                <c:pt idx="39">
                  <c:v>765.96183751683054</c:v>
                </c:pt>
                <c:pt idx="40">
                  <c:v>766.30216785897346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PVT!$G$59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PVT!$G$60:$G$100</c:f>
              <c:numCache>
                <c:formatCode>General</c:formatCode>
                <c:ptCount val="41"/>
                <c:pt idx="0">
                  <c:v>1.0054878892175982</c:v>
                </c:pt>
                <c:pt idx="1">
                  <c:v>1.0093474783811074</c:v>
                </c:pt>
                <c:pt idx="2">
                  <c:v>1.0141026688404693</c:v>
                </c:pt>
                <c:pt idx="3">
                  <c:v>1.0194487679917701</c:v>
                </c:pt>
                <c:pt idx="4">
                  <c:v>1.0252747573686323</c:v>
                </c:pt>
                <c:pt idx="5">
                  <c:v>1.0315182177972313</c:v>
                </c:pt>
                <c:pt idx="6">
                  <c:v>1.0381373812887227</c:v>
                </c:pt>
                <c:pt idx="7">
                  <c:v>1.0451014799258675</c:v>
                </c:pt>
                <c:pt idx="8">
                  <c:v>1.0523864502714482</c:v>
                </c:pt>
                <c:pt idx="9">
                  <c:v>1.0599726995394345</c:v>
                </c:pt>
                <c:pt idx="10">
                  <c:v>1.0678438119876472</c:v>
                </c:pt>
                <c:pt idx="11">
                  <c:v>1.0759857381309996</c:v>
                </c:pt>
                <c:pt idx="12">
                  <c:v>1.0843862549524523</c:v>
                </c:pt>
                <c:pt idx="13">
                  <c:v>1.0930345891378184</c:v>
                </c:pt>
                <c:pt idx="14">
                  <c:v>1.1019211439741199</c:v>
                </c:pt>
                <c:pt idx="15">
                  <c:v>1.1110372952152698</c:v>
                </c:pt>
                <c:pt idx="16">
                  <c:v>1.1203752345814788</c:v>
                </c:pt>
                <c:pt idx="17">
                  <c:v>1.1299278472057264</c:v>
                </c:pt>
                <c:pt idx="18">
                  <c:v>1.1396886139241917</c:v>
                </c:pt>
                <c:pt idx="19">
                  <c:v>1.1496515321661374</c:v>
                </c:pt>
                <c:pt idx="20">
                  <c:v>1.1598110510438144</c:v>
                </c:pt>
                <c:pt idx="21">
                  <c:v>1.1575917406248379</c:v>
                </c:pt>
                <c:pt idx="22">
                  <c:v>1.1550187672765913</c:v>
                </c:pt>
                <c:pt idx="23">
                  <c:v>1.1529348301793272</c:v>
                </c:pt>
                <c:pt idx="24">
                  <c:v>1.1512126078076674</c:v>
                </c:pt>
                <c:pt idx="25">
                  <c:v>1.1497654464310965</c:v>
                </c:pt>
                <c:pt idx="26">
                  <c:v>1.148532323897125</c:v>
                </c:pt>
                <c:pt idx="27">
                  <c:v>1.147469025245093</c:v>
                </c:pt>
                <c:pt idx="28">
                  <c:v>1.1465427290790418</c:v>
                </c:pt>
                <c:pt idx="29">
                  <c:v>1.1457285597676194</c:v>
                </c:pt>
                <c:pt idx="30">
                  <c:v>1.1450073201883566</c:v>
                </c:pt>
                <c:pt idx="31">
                  <c:v>1.1443639588844874</c:v>
                </c:pt>
                <c:pt idx="32">
                  <c:v>1.1437865083116971</c:v>
                </c:pt>
                <c:pt idx="33">
                  <c:v>1.1432653334956364</c:v>
                </c:pt>
                <c:pt idx="34">
                  <c:v>1.1427925901442102</c:v>
                </c:pt>
                <c:pt idx="35">
                  <c:v>1.142361827117272</c:v>
                </c:pt>
                <c:pt idx="36">
                  <c:v>1.1419676902954501</c:v>
                </c:pt>
                <c:pt idx="37">
                  <c:v>1.1416056989038812</c:v>
                </c:pt>
                <c:pt idx="38">
                  <c:v>1.1412720744190104</c:v>
                </c:pt>
                <c:pt idx="39">
                  <c:v>1.1409636081804897</c:v>
                </c:pt>
                <c:pt idx="40">
                  <c:v>1.140677557864092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PVT!$H$59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PVT!$H$60:$H$100</c:f>
              <c:numCache>
                <c:formatCode>General</c:formatCode>
                <c:ptCount val="41"/>
                <c:pt idx="0">
                  <c:v>1.0054878892175982</c:v>
                </c:pt>
                <c:pt idx="1">
                  <c:v>1.0093474783811074</c:v>
                </c:pt>
                <c:pt idx="2">
                  <c:v>1.0141026688404693</c:v>
                </c:pt>
                <c:pt idx="3">
                  <c:v>1.0194487679917701</c:v>
                </c:pt>
                <c:pt idx="4">
                  <c:v>1.0252747573686323</c:v>
                </c:pt>
                <c:pt idx="5">
                  <c:v>1.0315182177972313</c:v>
                </c:pt>
                <c:pt idx="6">
                  <c:v>1.0381373812887227</c:v>
                </c:pt>
                <c:pt idx="7">
                  <c:v>1.0451014799258675</c:v>
                </c:pt>
                <c:pt idx="8">
                  <c:v>1.0523864502714482</c:v>
                </c:pt>
                <c:pt idx="9">
                  <c:v>1.0599726995394345</c:v>
                </c:pt>
                <c:pt idx="10">
                  <c:v>1.0678438119876472</c:v>
                </c:pt>
                <c:pt idx="11">
                  <c:v>1.0759857381309996</c:v>
                </c:pt>
                <c:pt idx="12">
                  <c:v>1.0843862549524523</c:v>
                </c:pt>
                <c:pt idx="13">
                  <c:v>1.0930345891378184</c:v>
                </c:pt>
                <c:pt idx="14">
                  <c:v>1.1019211439741199</c:v>
                </c:pt>
                <c:pt idx="15">
                  <c:v>1.1110372952152698</c:v>
                </c:pt>
                <c:pt idx="16">
                  <c:v>1.1203752345814788</c:v>
                </c:pt>
                <c:pt idx="17">
                  <c:v>1.1299278472057264</c:v>
                </c:pt>
                <c:pt idx="18">
                  <c:v>1.1396886139241917</c:v>
                </c:pt>
                <c:pt idx="19">
                  <c:v>1.1496515321661374</c:v>
                </c:pt>
                <c:pt idx="20">
                  <c:v>1.1598110510438144</c:v>
                </c:pt>
                <c:pt idx="21">
                  <c:v>1.1575917406248379</c:v>
                </c:pt>
                <c:pt idx="22">
                  <c:v>1.1550187672765913</c:v>
                </c:pt>
                <c:pt idx="23">
                  <c:v>1.1529348301793272</c:v>
                </c:pt>
                <c:pt idx="24">
                  <c:v>1.1512126078076674</c:v>
                </c:pt>
                <c:pt idx="25">
                  <c:v>1.1497654464310965</c:v>
                </c:pt>
                <c:pt idx="26">
                  <c:v>1.148532323897125</c:v>
                </c:pt>
                <c:pt idx="27">
                  <c:v>1.147469025245093</c:v>
                </c:pt>
                <c:pt idx="28">
                  <c:v>1.1465427290790418</c:v>
                </c:pt>
                <c:pt idx="29">
                  <c:v>1.1457285597676194</c:v>
                </c:pt>
                <c:pt idx="30">
                  <c:v>1.1450073201883566</c:v>
                </c:pt>
                <c:pt idx="31">
                  <c:v>1.1443639588844874</c:v>
                </c:pt>
                <c:pt idx="32">
                  <c:v>1.1437865083116971</c:v>
                </c:pt>
                <c:pt idx="33">
                  <c:v>1.1432653334956364</c:v>
                </c:pt>
                <c:pt idx="34">
                  <c:v>1.1427925901442102</c:v>
                </c:pt>
                <c:pt idx="35">
                  <c:v>1.142361827117272</c:v>
                </c:pt>
                <c:pt idx="36">
                  <c:v>1.1419676902954501</c:v>
                </c:pt>
                <c:pt idx="37">
                  <c:v>1.1416056989038812</c:v>
                </c:pt>
                <c:pt idx="38">
                  <c:v>1.1412720744190104</c:v>
                </c:pt>
                <c:pt idx="39">
                  <c:v>1.1409636081804897</c:v>
                </c:pt>
                <c:pt idx="40">
                  <c:v>1.140677557864092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PVT!$I$59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PVT!$I$60:$I$100</c:f>
              <c:numCache>
                <c:formatCode>General</c:formatCode>
                <c:ptCount val="41"/>
                <c:pt idx="0">
                  <c:v>1.0080208293055315</c:v>
                </c:pt>
                <c:pt idx="1">
                  <c:v>1.0110022661806735</c:v>
                </c:pt>
                <c:pt idx="2">
                  <c:v>1.0146365727534183</c:v>
                </c:pt>
                <c:pt idx="3">
                  <c:v>1.0186820575605775</c:v>
                </c:pt>
                <c:pt idx="4">
                  <c:v>1.023052265423914</c:v>
                </c:pt>
                <c:pt idx="5">
                  <c:v>1.0277002122733561</c:v>
                </c:pt>
                <c:pt idx="6">
                  <c:v>1.0325955937961664</c:v>
                </c:pt>
                <c:pt idx="7">
                  <c:v>1.0377168267059278</c:v>
                </c:pt>
                <c:pt idx="8">
                  <c:v>1.043047505197235</c:v>
                </c:pt>
                <c:pt idx="9">
                  <c:v>1.0485745752779119</c:v>
                </c:pt>
                <c:pt idx="10">
                  <c:v>1.0542872950610556</c:v>
                </c:pt>
                <c:pt idx="11">
                  <c:v>1.0601765970858861</c:v>
                </c:pt>
                <c:pt idx="12">
                  <c:v>1.0662346740182018</c:v>
                </c:pt>
                <c:pt idx="13">
                  <c:v>1.0724546967293833</c:v>
                </c:pt>
                <c:pt idx="14">
                  <c:v>1.0788306150108711</c:v>
                </c:pt>
                <c:pt idx="15">
                  <c:v>1.0853570121401381</c:v>
                </c:pt>
                <c:pt idx="16">
                  <c:v>1.0920289958375398</c:v>
                </c:pt>
                <c:pt idx="17">
                  <c:v>1.0988421145912328</c:v>
                </c:pt>
                <c:pt idx="18">
                  <c:v>1.10579229214894</c:v>
                </c:pt>
                <c:pt idx="19">
                  <c:v>1.1128757753296028</c:v>
                </c:pt>
                <c:pt idx="20">
                  <c:v>1.1200890918059392</c:v>
                </c:pt>
                <c:pt idx="21">
                  <c:v>1.1398766200344992</c:v>
                </c:pt>
                <c:pt idx="22">
                  <c:v>1.1605062131117017</c:v>
                </c:pt>
                <c:pt idx="23">
                  <c:v>1.1819322528655662</c:v>
                </c:pt>
                <c:pt idx="24">
                  <c:v>1.2041153938500315</c:v>
                </c:pt>
                <c:pt idx="25">
                  <c:v>1.2270212317049416</c:v>
                </c:pt>
                <c:pt idx="26">
                  <c:v>1.2489648815331147</c:v>
                </c:pt>
                <c:pt idx="27">
                  <c:v>1.2469171213490209</c:v>
                </c:pt>
                <c:pt idx="28">
                  <c:v>1.2451344011667469</c:v>
                </c:pt>
                <c:pt idx="29">
                  <c:v>1.2435683941733344</c:v>
                </c:pt>
                <c:pt idx="30">
                  <c:v>1.2421818491383951</c:v>
                </c:pt>
                <c:pt idx="31">
                  <c:v>1.2409455895378689</c:v>
                </c:pt>
                <c:pt idx="32">
                  <c:v>1.2398364381914186</c:v>
                </c:pt>
                <c:pt idx="33">
                  <c:v>1.2388357506851901</c:v>
                </c:pt>
                <c:pt idx="34">
                  <c:v>1.2379283589505394</c:v>
                </c:pt>
                <c:pt idx="35">
                  <c:v>1.2371017971350247</c:v>
                </c:pt>
                <c:pt idx="36">
                  <c:v>1.2363457255141621</c:v>
                </c:pt>
                <c:pt idx="37">
                  <c:v>1.2356514957543565</c:v>
                </c:pt>
                <c:pt idx="38">
                  <c:v>1.2350118186543246</c:v>
                </c:pt>
                <c:pt idx="39">
                  <c:v>1.2344205072478223</c:v>
                </c:pt>
                <c:pt idx="40">
                  <c:v>1.2338722760523479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PVT!$M$59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PVT!$M$60:$M$100</c:f>
              <c:numCache>
                <c:formatCode>General</c:formatCode>
                <c:ptCount val="41"/>
                <c:pt idx="0">
                  <c:v>8.6454209625030085</c:v>
                </c:pt>
                <c:pt idx="1">
                  <c:v>7.2267621064543954</c:v>
                </c:pt>
                <c:pt idx="2">
                  <c:v>5.9998611873594108</c:v>
                </c:pt>
                <c:pt idx="3">
                  <c:v>5.031850368812802</c:v>
                </c:pt>
                <c:pt idx="4">
                  <c:v>4.2768527136356287</c:v>
                </c:pt>
                <c:pt idx="5">
                  <c:v>3.6840738072317682</c:v>
                </c:pt>
                <c:pt idx="6">
                  <c:v>3.2129441328488983</c:v>
                </c:pt>
                <c:pt idx="7">
                  <c:v>2.8333621343502871</c:v>
                </c:pt>
                <c:pt idx="8">
                  <c:v>2.5233926050489499</c:v>
                </c:pt>
                <c:pt idx="9">
                  <c:v>2.2670350952203826</c:v>
                </c:pt>
                <c:pt idx="10">
                  <c:v>2.052517761393815</c:v>
                </c:pt>
                <c:pt idx="11">
                  <c:v>1.8710787939746432</c:v>
                </c:pt>
                <c:pt idx="12">
                  <c:v>1.7161139954238955</c:v>
                </c:pt>
                <c:pt idx="13">
                  <c:v>1.5825819803599119</c:v>
                </c:pt>
                <c:pt idx="14">
                  <c:v>1.4665868095997878</c:v>
                </c:pt>
                <c:pt idx="15">
                  <c:v>1.3650823797889156</c:v>
                </c:pt>
                <c:pt idx="16">
                  <c:v>1.275660732416726</c:v>
                </c:pt>
                <c:pt idx="17">
                  <c:v>1.1963986885655</c:v>
                </c:pt>
                <c:pt idx="18">
                  <c:v>1.1257454374622893</c:v>
                </c:pt>
                <c:pt idx="19">
                  <c:v>1.0624391992452116</c:v>
                </c:pt>
                <c:pt idx="20">
                  <c:v>1.0054447609364912</c:v>
                </c:pt>
                <c:pt idx="21">
                  <c:v>1.027384216778682</c:v>
                </c:pt>
                <c:pt idx="22">
                  <c:v>1.0583522869351631</c:v>
                </c:pt>
                <c:pt idx="23">
                  <c:v>1.092605097183809</c:v>
                </c:pt>
                <c:pt idx="24">
                  <c:v>1.1298971206493074</c:v>
                </c:pt>
                <c:pt idx="25">
                  <c:v>1.1700193190235846</c:v>
                </c:pt>
                <c:pt idx="26">
                  <c:v>1.2127872985250252</c:v>
                </c:pt>
                <c:pt idx="27">
                  <c:v>1.2580329173574858</c:v>
                </c:pt>
                <c:pt idx="28">
                  <c:v>1.3055982457759914</c:v>
                </c:pt>
                <c:pt idx="29">
                  <c:v>1.3553311830426407</c:v>
                </c:pt>
                <c:pt idx="30">
                  <c:v>1.4070822762108266</c:v>
                </c:pt>
                <c:pt idx="31">
                  <c:v>1.4607024342149095</c:v>
                </c:pt>
                <c:pt idx="32">
                  <c:v>1.516041325019438</c:v>
                </c:pt>
                <c:pt idx="33">
                  <c:v>1.5729463048372987</c:v>
                </c:pt>
                <c:pt idx="34">
                  <c:v>1.6312617690259159</c:v>
                </c:pt>
                <c:pt idx="35">
                  <c:v>1.6908288416492978</c:v>
                </c:pt>
                <c:pt idx="36">
                  <c:v>1.7514853394491723</c:v>
                </c:pt>
                <c:pt idx="37">
                  <c:v>1.8130659590157832</c:v>
                </c:pt>
                <c:pt idx="38">
                  <c:v>1.8754026451768135</c:v>
                </c:pt>
                <c:pt idx="39">
                  <c:v>1.9383251052784474</c:v>
                </c:pt>
                <c:pt idx="40">
                  <c:v>2.0016614389519001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PVT!$N$59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PVT!$N$60:$N$100</c:f>
              <c:numCache>
                <c:formatCode>General</c:formatCode>
                <c:ptCount val="41"/>
                <c:pt idx="0">
                  <c:v>8.6454209625030085</c:v>
                </c:pt>
                <c:pt idx="1">
                  <c:v>7.2267621064543954</c:v>
                </c:pt>
                <c:pt idx="2">
                  <c:v>5.9998611873594108</c:v>
                </c:pt>
                <c:pt idx="3">
                  <c:v>5.031850368812802</c:v>
                </c:pt>
                <c:pt idx="4">
                  <c:v>4.2768527136356287</c:v>
                </c:pt>
                <c:pt idx="5">
                  <c:v>3.6840738072317682</c:v>
                </c:pt>
                <c:pt idx="6">
                  <c:v>3.2129441328488983</c:v>
                </c:pt>
                <c:pt idx="7">
                  <c:v>2.8333621343502871</c:v>
                </c:pt>
                <c:pt idx="8">
                  <c:v>2.5233926050489499</c:v>
                </c:pt>
                <c:pt idx="9">
                  <c:v>2.2670350952203826</c:v>
                </c:pt>
                <c:pt idx="10">
                  <c:v>2.052517761393815</c:v>
                </c:pt>
                <c:pt idx="11">
                  <c:v>1.8710787939746432</c:v>
                </c:pt>
                <c:pt idx="12">
                  <c:v>1.7161139954238955</c:v>
                </c:pt>
                <c:pt idx="13">
                  <c:v>1.5825819803599119</c:v>
                </c:pt>
                <c:pt idx="14">
                  <c:v>1.4665868095997878</c:v>
                </c:pt>
                <c:pt idx="15">
                  <c:v>1.3650823797889156</c:v>
                </c:pt>
                <c:pt idx="16">
                  <c:v>1.275660732416726</c:v>
                </c:pt>
                <c:pt idx="17">
                  <c:v>1.1963986885655</c:v>
                </c:pt>
                <c:pt idx="18">
                  <c:v>1.1257454374622893</c:v>
                </c:pt>
                <c:pt idx="19">
                  <c:v>1.0624391992452116</c:v>
                </c:pt>
                <c:pt idx="20">
                  <c:v>1.0054447609364912</c:v>
                </c:pt>
                <c:pt idx="21">
                  <c:v>1.027384216778682</c:v>
                </c:pt>
                <c:pt idx="22">
                  <c:v>1.0583522869351631</c:v>
                </c:pt>
                <c:pt idx="23">
                  <c:v>1.092605097183809</c:v>
                </c:pt>
                <c:pt idx="24">
                  <c:v>1.1298971206493074</c:v>
                </c:pt>
                <c:pt idx="25">
                  <c:v>1.1700193190235846</c:v>
                </c:pt>
                <c:pt idx="26">
                  <c:v>1.2127872985250252</c:v>
                </c:pt>
                <c:pt idx="27">
                  <c:v>1.2580329173574858</c:v>
                </c:pt>
                <c:pt idx="28">
                  <c:v>1.3055982457759914</c:v>
                </c:pt>
                <c:pt idx="29">
                  <c:v>1.3553311830426407</c:v>
                </c:pt>
                <c:pt idx="30">
                  <c:v>1.4070822762108266</c:v>
                </c:pt>
                <c:pt idx="31">
                  <c:v>1.4607024342149095</c:v>
                </c:pt>
                <c:pt idx="32">
                  <c:v>1.516041325019438</c:v>
                </c:pt>
                <c:pt idx="33">
                  <c:v>1.5729463048372987</c:v>
                </c:pt>
                <c:pt idx="34">
                  <c:v>1.6312617690259159</c:v>
                </c:pt>
                <c:pt idx="35">
                  <c:v>1.6908288416492978</c:v>
                </c:pt>
                <c:pt idx="36">
                  <c:v>1.7514853394491723</c:v>
                </c:pt>
                <c:pt idx="37">
                  <c:v>1.8130659590157832</c:v>
                </c:pt>
                <c:pt idx="38">
                  <c:v>1.8754026451768135</c:v>
                </c:pt>
                <c:pt idx="39">
                  <c:v>1.9383251052784474</c:v>
                </c:pt>
                <c:pt idx="40">
                  <c:v>2.0016614389519001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PVT!$O$59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PVT!$O$60:$O$100</c:f>
              <c:numCache>
                <c:formatCode>General</c:formatCode>
                <c:ptCount val="41"/>
                <c:pt idx="0">
                  <c:v>19.222141283362781</c:v>
                </c:pt>
                <c:pt idx="1">
                  <c:v>17.490688403588983</c:v>
                </c:pt>
                <c:pt idx="2">
                  <c:v>15.748934816113904</c:v>
                </c:pt>
                <c:pt idx="3">
                  <c:v>14.168072807709276</c:v>
                </c:pt>
                <c:pt idx="4">
                  <c:v>12.775263635242121</c:v>
                </c:pt>
                <c:pt idx="5">
                  <c:v>11.561471109904048</c:v>
                </c:pt>
                <c:pt idx="6">
                  <c:v>10.507019750016946</c:v>
                </c:pt>
                <c:pt idx="7">
                  <c:v>9.5904229528244898</c:v>
                </c:pt>
                <c:pt idx="8">
                  <c:v>8.7915974491929045</c:v>
                </c:pt>
                <c:pt idx="9">
                  <c:v>8.092891811419598</c:v>
                </c:pt>
                <c:pt idx="10">
                  <c:v>7.4792309500000211</c:v>
                </c:pt>
                <c:pt idx="11">
                  <c:v>6.9379178954980576</c:v>
                </c:pt>
                <c:pt idx="12">
                  <c:v>6.4583253961675684</c:v>
                </c:pt>
                <c:pt idx="13">
                  <c:v>6.0315760967724099</c:v>
                </c:pt>
                <c:pt idx="14">
                  <c:v>5.6502503577578036</c:v>
                </c:pt>
                <c:pt idx="15">
                  <c:v>5.3081340621613906</c:v>
                </c:pt>
                <c:pt idx="16">
                  <c:v>5.0000071599925153</c:v>
                </c:pt>
                <c:pt idx="17">
                  <c:v>4.721469088722011</c:v>
                </c:pt>
                <c:pt idx="18">
                  <c:v>4.4687957917441903</c:v>
                </c:pt>
                <c:pt idx="19">
                  <c:v>4.238823042249356</c:v>
                </c:pt>
                <c:pt idx="20">
                  <c:v>4.0288513220149778</c:v>
                </c:pt>
                <c:pt idx="21">
                  <c:v>3.5513689827805162</c:v>
                </c:pt>
                <c:pt idx="22">
                  <c:v>3.1663797752761074</c:v>
                </c:pt>
                <c:pt idx="23">
                  <c:v>2.8507355560454375</c:v>
                </c:pt>
                <c:pt idx="24">
                  <c:v>2.5881448757809533</c:v>
                </c:pt>
                <c:pt idx="25">
                  <c:v>2.3668789394542484</c:v>
                </c:pt>
                <c:pt idx="26">
                  <c:v>2.1923633335663339</c:v>
                </c:pt>
                <c:pt idx="27">
                  <c:v>2.2255149688261042</c:v>
                </c:pt>
                <c:pt idx="28">
                  <c:v>2.2612505580619069</c:v>
                </c:pt>
                <c:pt idx="29">
                  <c:v>2.2994368169980333</c:v>
                </c:pt>
                <c:pt idx="30">
                  <c:v>2.3399563934317111</c:v>
                </c:pt>
                <c:pt idx="31">
                  <c:v>2.3827047461369713</c:v>
                </c:pt>
                <c:pt idx="32">
                  <c:v>2.4275876549845874</c:v>
                </c:pt>
                <c:pt idx="33">
                  <c:v>2.4745192138248622</c:v>
                </c:pt>
                <c:pt idx="34">
                  <c:v>2.523420197952154</c:v>
                </c:pt>
                <c:pt idx="35">
                  <c:v>2.5742167260574336</c:v>
                </c:pt>
                <c:pt idx="36">
                  <c:v>2.6268391565231184</c:v>
                </c:pt>
                <c:pt idx="37">
                  <c:v>2.6812211723122856</c:v>
                </c:pt>
                <c:pt idx="38">
                  <c:v>2.7372990192472173</c:v>
                </c:pt>
                <c:pt idx="39">
                  <c:v>2.7950108702929644</c:v>
                </c:pt>
                <c:pt idx="40">
                  <c:v>2.8542962943309615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PVT!$AD$34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PVT!$AA$33:$AA$37</c:f>
              <c:numCache>
                <c:formatCode>0%</c:formatCode>
                <c:ptCount val="5"/>
                <c:pt idx="0">
                  <c:v>0.43554670446871596</c:v>
                </c:pt>
                <c:pt idx="1">
                  <c:v>0.35118164195931001</c:v>
                </c:pt>
                <c:pt idx="2">
                  <c:v>0.46589128817072106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PVT!$AD$35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PVT!$Z$33:$Z$37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PVT!$AB$33:$AB$37</c:f>
              <c:numCache>
                <c:formatCode>0%</c:formatCode>
                <c:ptCount val="5"/>
                <c:pt idx="0">
                  <c:v>0.43554670446871596</c:v>
                </c:pt>
                <c:pt idx="1">
                  <c:v>0.35118164195931001</c:v>
                </c:pt>
                <c:pt idx="2">
                  <c:v>0.46589128817072106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en-US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PVT!$P$59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PVT!$P$60:$P$100</c:f>
              <c:numCache>
                <c:formatCode>General</c:formatCode>
                <c:ptCount val="41"/>
                <c:pt idx="0">
                  <c:v>0.9903374046124116</c:v>
                </c:pt>
                <c:pt idx="1">
                  <c:v>0.95121561746257477</c:v>
                </c:pt>
                <c:pt idx="2">
                  <c:v>0.91232136026567112</c:v>
                </c:pt>
                <c:pt idx="3">
                  <c:v>0.87348396714813914</c:v>
                </c:pt>
                <c:pt idx="4">
                  <c:v>0.83464663716677567</c:v>
                </c:pt>
                <c:pt idx="5">
                  <c:v>0.79580013160378804</c:v>
                </c:pt>
                <c:pt idx="6">
                  <c:v>0.7569604348680431</c:v>
                </c:pt>
                <c:pt idx="7">
                  <c:v>0.71815804088134838</c:v>
                </c:pt>
                <c:pt idx="8">
                  <c:v>0.67943186293901991</c:v>
                </c:pt>
                <c:pt idx="9">
                  <c:v>0.64082539864001764</c:v>
                </c:pt>
                <c:pt idx="10">
                  <c:v>0.60238415504194409</c:v>
                </c:pt>
                <c:pt idx="11">
                  <c:v>0.56415385426856446</c:v>
                </c:pt>
                <c:pt idx="12">
                  <c:v>0.52617916373374751</c:v>
                </c:pt>
                <c:pt idx="13">
                  <c:v>0.4885028030623349</c:v>
                </c:pt>
                <c:pt idx="14">
                  <c:v>0.45116493590911438</c:v>
                </c:pt>
                <c:pt idx="15">
                  <c:v>0.41420278585004811</c:v>
                </c:pt>
                <c:pt idx="16">
                  <c:v>0.37765043348397281</c:v>
                </c:pt>
                <c:pt idx="17">
                  <c:v>0.34153876278275164</c:v>
                </c:pt>
                <c:pt idx="18">
                  <c:v>0.30589553164207089</c:v>
                </c:pt>
                <c:pt idx="19">
                  <c:v>0.27074554617556945</c:v>
                </c:pt>
                <c:pt idx="20">
                  <c:v>0.2361109214829763</c:v>
                </c:pt>
                <c:pt idx="21">
                  <c:v>0.14667023945601262</c:v>
                </c:pt>
                <c:pt idx="22">
                  <c:v>6.1322264580717385E-2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PVT!$Q$59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PVT!$Q$60:$Q$100</c:f>
              <c:numCache>
                <c:formatCode>General</c:formatCode>
                <c:ptCount val="41"/>
                <c:pt idx="0">
                  <c:v>0.9903374046124116</c:v>
                </c:pt>
                <c:pt idx="1">
                  <c:v>0.95121561746257477</c:v>
                </c:pt>
                <c:pt idx="2">
                  <c:v>0.91232136026567112</c:v>
                </c:pt>
                <c:pt idx="3">
                  <c:v>0.87348396714813914</c:v>
                </c:pt>
                <c:pt idx="4">
                  <c:v>0.83464663716677567</c:v>
                </c:pt>
                <c:pt idx="5">
                  <c:v>0.79580013160378804</c:v>
                </c:pt>
                <c:pt idx="6">
                  <c:v>0.7569604348680431</c:v>
                </c:pt>
                <c:pt idx="7">
                  <c:v>0.71815804088134838</c:v>
                </c:pt>
                <c:pt idx="8">
                  <c:v>0.67943186293901991</c:v>
                </c:pt>
                <c:pt idx="9">
                  <c:v>0.64082539864001764</c:v>
                </c:pt>
                <c:pt idx="10">
                  <c:v>0.60238415504194409</c:v>
                </c:pt>
                <c:pt idx="11">
                  <c:v>0.56415385426856446</c:v>
                </c:pt>
                <c:pt idx="12">
                  <c:v>0.52617916373374751</c:v>
                </c:pt>
                <c:pt idx="13">
                  <c:v>0.4885028030623349</c:v>
                </c:pt>
                <c:pt idx="14">
                  <c:v>0.45116493590911438</c:v>
                </c:pt>
                <c:pt idx="15">
                  <c:v>0.41420278585004811</c:v>
                </c:pt>
                <c:pt idx="16">
                  <c:v>0.37765043348397281</c:v>
                </c:pt>
                <c:pt idx="17">
                  <c:v>0.34153876278275164</c:v>
                </c:pt>
                <c:pt idx="18">
                  <c:v>0.30589553164207089</c:v>
                </c:pt>
                <c:pt idx="19">
                  <c:v>0.27074554617556945</c:v>
                </c:pt>
                <c:pt idx="20">
                  <c:v>0.2361109214829763</c:v>
                </c:pt>
                <c:pt idx="21">
                  <c:v>0.14667023945601262</c:v>
                </c:pt>
                <c:pt idx="22">
                  <c:v>6.1322264580717385E-2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PVT!$R$59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PVT!$C$60:$C$100</c:f>
              <c:numCache>
                <c:formatCode>General</c:formatCode>
                <c:ptCount val="41"/>
                <c:pt idx="0">
                  <c:v>1</c:v>
                </c:pt>
                <c:pt idx="1">
                  <c:v>5.0858997593206707</c:v>
                </c:pt>
                <c:pt idx="2">
                  <c:v>9.1717995186413415</c:v>
                </c:pt>
                <c:pt idx="3">
                  <c:v>13.257699277962011</c:v>
                </c:pt>
                <c:pt idx="4">
                  <c:v>17.343599037282683</c:v>
                </c:pt>
                <c:pt idx="5">
                  <c:v>21.429498796603355</c:v>
                </c:pt>
                <c:pt idx="6">
                  <c:v>25.515398555924026</c:v>
                </c:pt>
                <c:pt idx="7">
                  <c:v>29.601298315244698</c:v>
                </c:pt>
                <c:pt idx="8">
                  <c:v>33.687198074565366</c:v>
                </c:pt>
                <c:pt idx="9">
                  <c:v>37.773097833886034</c:v>
                </c:pt>
                <c:pt idx="10">
                  <c:v>41.858997593206702</c:v>
                </c:pt>
                <c:pt idx="11">
                  <c:v>45.94489735252737</c:v>
                </c:pt>
                <c:pt idx="12">
                  <c:v>50.030797111848038</c:v>
                </c:pt>
                <c:pt idx="13">
                  <c:v>54.116696871168706</c:v>
                </c:pt>
                <c:pt idx="14">
                  <c:v>58.202596630489374</c:v>
                </c:pt>
                <c:pt idx="15">
                  <c:v>62.288496389810042</c:v>
                </c:pt>
                <c:pt idx="16">
                  <c:v>66.374396149130718</c:v>
                </c:pt>
                <c:pt idx="17">
                  <c:v>70.460295908451386</c:v>
                </c:pt>
                <c:pt idx="18">
                  <c:v>74.546195667772054</c:v>
                </c:pt>
                <c:pt idx="19">
                  <c:v>78.632095427092722</c:v>
                </c:pt>
                <c:pt idx="20">
                  <c:v>82.717995186413418</c:v>
                </c:pt>
                <c:pt idx="21">
                  <c:v>93.582095427092753</c:v>
                </c:pt>
                <c:pt idx="22">
                  <c:v>104.44619566777209</c:v>
                </c:pt>
                <c:pt idx="23">
                  <c:v>115.31029590845142</c:v>
                </c:pt>
                <c:pt idx="24">
                  <c:v>126.17439614913076</c:v>
                </c:pt>
                <c:pt idx="25">
                  <c:v>137.03849638981009</c:v>
                </c:pt>
                <c:pt idx="26">
                  <c:v>147.90259663048943</c:v>
                </c:pt>
                <c:pt idx="27">
                  <c:v>158.76669687116876</c:v>
                </c:pt>
                <c:pt idx="28">
                  <c:v>169.6307971118481</c:v>
                </c:pt>
                <c:pt idx="29">
                  <c:v>180.49489735252743</c:v>
                </c:pt>
                <c:pt idx="30">
                  <c:v>191.35899759320677</c:v>
                </c:pt>
                <c:pt idx="31">
                  <c:v>202.2230978338861</c:v>
                </c:pt>
                <c:pt idx="32">
                  <c:v>213.08719807456544</c:v>
                </c:pt>
                <c:pt idx="33">
                  <c:v>223.95129831524477</c:v>
                </c:pt>
                <c:pt idx="34">
                  <c:v>234.81539855592411</c:v>
                </c:pt>
                <c:pt idx="35">
                  <c:v>245.67949879660344</c:v>
                </c:pt>
                <c:pt idx="36">
                  <c:v>256.54359903728277</c:v>
                </c:pt>
                <c:pt idx="37">
                  <c:v>267.40769927796208</c:v>
                </c:pt>
                <c:pt idx="38">
                  <c:v>278.27179951864139</c:v>
                </c:pt>
                <c:pt idx="39">
                  <c:v>289.13589975932069</c:v>
                </c:pt>
                <c:pt idx="40">
                  <c:v>300</c:v>
                </c:pt>
              </c:numCache>
            </c:numRef>
          </c:xVal>
          <c:yVal>
            <c:numRef>
              <c:f>PVT!$R$60:$R$100</c:f>
              <c:numCache>
                <c:formatCode>General</c:formatCode>
                <c:ptCount val="41"/>
                <c:pt idx="0">
                  <c:v>0.99034313020516418</c:v>
                </c:pt>
                <c:pt idx="1">
                  <c:v>0.9515533990770576</c:v>
                </c:pt>
                <c:pt idx="2">
                  <c:v>0.9135680206238177</c:v>
                </c:pt>
                <c:pt idx="3">
                  <c:v>0.87625423569348715</c:v>
                </c:pt>
                <c:pt idx="4">
                  <c:v>0.83956425047874417</c:v>
                </c:pt>
                <c:pt idx="5">
                  <c:v>0.80348347933771713</c:v>
                </c:pt>
                <c:pt idx="6">
                  <c:v>0.76801307007478892</c:v>
                </c:pt>
                <c:pt idx="7">
                  <c:v>0.73316171026175736</c:v>
                </c:pt>
                <c:pt idx="8">
                  <c:v>0.69894119599634219</c:v>
                </c:pt>
                <c:pt idx="9">
                  <c:v>0.66536385630966211</c:v>
                </c:pt>
                <c:pt idx="10">
                  <c:v>0.63244101204616321</c:v>
                </c:pt>
                <c:pt idx="11">
                  <c:v>0.60018206160413512</c:v>
                </c:pt>
                <c:pt idx="12">
                  <c:v>0.56859396933094708</c:v>
                </c:pt>
                <c:pt idx="13">
                  <c:v>0.53768102313230037</c:v>
                </c:pt>
                <c:pt idx="14">
                  <c:v>0.50744477678137467</c:v>
                </c:pt>
                <c:pt idx="15">
                  <c:v>0.4778841207098275</c:v>
                </c:pt>
                <c:pt idx="16">
                  <c:v>0.4489954424395734</c:v>
                </c:pt>
                <c:pt idx="17">
                  <c:v>0.42077284905507528</c:v>
                </c:pt>
                <c:pt idx="18">
                  <c:v>0.39320843171952757</c:v>
                </c:pt>
                <c:pt idx="19">
                  <c:v>0.36629255757650808</c:v>
                </c:pt>
                <c:pt idx="20">
                  <c:v>0.34001417823638713</c:v>
                </c:pt>
                <c:pt idx="21">
                  <c:v>0.27314890691078814</c:v>
                </c:pt>
                <c:pt idx="22">
                  <c:v>0.21045589872431164</c:v>
                </c:pt>
                <c:pt idx="23">
                  <c:v>0.15169147668177993</c:v>
                </c:pt>
                <c:pt idx="24">
                  <c:v>9.6652944566165785E-2</c:v>
                </c:pt>
                <c:pt idx="25">
                  <c:v>4.5212227021245499E-2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Construction!$Q$18:$Q$38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Construction!$T$18:$T$38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Construction!$S$18:$S$38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Construction!$V$18:$V$38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Construction!$U$18:$U$38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Construction!$X$18:$X$38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Construction!$W$18:$W$38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ESP!$I$8:$I$29</c:f>
              <c:numCache>
                <c:formatCode>0</c:formatCode>
                <c:ptCount val="22"/>
                <c:pt idx="0">
                  <c:v>1079.0831725325882</c:v>
                </c:pt>
                <c:pt idx="1">
                  <c:v>1078.7767566335126</c:v>
                </c:pt>
                <c:pt idx="2">
                  <c:v>1085.220757873099</c:v>
                </c:pt>
                <c:pt idx="3">
                  <c:v>1092.9964512878312</c:v>
                </c:pt>
                <c:pt idx="4">
                  <c:v>1097.8608906627917</c:v>
                </c:pt>
                <c:pt idx="5">
                  <c:v>1096.6319138567881</c:v>
                </c:pt>
                <c:pt idx="6">
                  <c:v>1087.073148127475</c:v>
                </c:pt>
                <c:pt idx="7">
                  <c:v>1067.7790154564816</c:v>
                </c:pt>
                <c:pt idx="8">
                  <c:v>1038.059737874534</c:v>
                </c:pt>
                <c:pt idx="9">
                  <c:v>997.82634278658088</c:v>
                </c:pt>
                <c:pt idx="10">
                  <c:v>947.47566829691891</c:v>
                </c:pt>
                <c:pt idx="11">
                  <c:v>887.77536853431502</c:v>
                </c:pt>
                <c:pt idx="12">
                  <c:v>819.74891897713496</c:v>
                </c:pt>
                <c:pt idx="13">
                  <c:v>744.5606217784632</c:v>
                </c:pt>
                <c:pt idx="14">
                  <c:v>663.40061109123053</c:v>
                </c:pt>
                <c:pt idx="15">
                  <c:v>577.36985839334136</c:v>
                </c:pt>
                <c:pt idx="16">
                  <c:v>487.36517781279076</c:v>
                </c:pt>
                <c:pt idx="17">
                  <c:v>393.96423145279613</c:v>
                </c:pt>
                <c:pt idx="18">
                  <c:v>297.31053471691985</c:v>
                </c:pt>
                <c:pt idx="19">
                  <c:v>196.99846163419016</c:v>
                </c:pt>
                <c:pt idx="20">
                  <c:v>91.958250184236846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ESP!$K$7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ESP!$K$8:$K$29</c:f>
              <c:numCache>
                <c:formatCode>0.00</c:formatCode>
                <c:ptCount val="22"/>
                <c:pt idx="0">
                  <c:v>7.6419950830696609E-3</c:v>
                </c:pt>
                <c:pt idx="1">
                  <c:v>6.3039410357469239E-2</c:v>
                </c:pt>
                <c:pt idx="2">
                  <c:v>0.13179385535511876</c:v>
                </c:pt>
                <c:pt idx="3">
                  <c:v>0.20684404492575748</c:v>
                </c:pt>
                <c:pt idx="4">
                  <c:v>0.28238958758387067</c:v>
                </c:pt>
                <c:pt idx="5">
                  <c:v>0.3537854579483623</c:v>
                </c:pt>
                <c:pt idx="6">
                  <c:v>0.4174364691822256</c:v>
                </c:pt>
                <c:pt idx="7">
                  <c:v>0.47069174543221609</c:v>
                </c:pt>
                <c:pt idx="8">
                  <c:v>0.5117391942685231</c:v>
                </c:pt>
                <c:pt idx="9">
                  <c:v>0.53949997912444025</c:v>
                </c:pt>
                <c:pt idx="10">
                  <c:v>0.55352299173604014</c:v>
                </c:pt>
                <c:pt idx="11">
                  <c:v>0.55387932458184386</c:v>
                </c:pt>
                <c:pt idx="12">
                  <c:v>0.54105674332249287</c:v>
                </c:pt>
                <c:pt idx="13">
                  <c:v>0.51585415924042133</c:v>
                </c:pt>
                <c:pt idx="14">
                  <c:v>0.47927610167952894</c:v>
                </c:pt>
                <c:pt idx="15">
                  <c:v>0.43242719048485301</c:v>
                </c:pt>
                <c:pt idx="16">
                  <c:v>0.3764066084422365</c:v>
                </c:pt>
                <c:pt idx="17">
                  <c:v>0.3122025737180032</c:v>
                </c:pt>
                <c:pt idx="18">
                  <c:v>0.24058681229863366</c:v>
                </c:pt>
                <c:pt idx="19">
                  <c:v>0.16200903043041937</c:v>
                </c:pt>
                <c:pt idx="20">
                  <c:v>7.6491387059163696E-2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ESP!$J$7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ESP!$H$8:$H$29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xVal>
          <c:yVal>
            <c:numRef>
              <c:f>ESP!$J$8:$J$29</c:f>
              <c:numCache>
                <c:formatCode>0</c:formatCode>
                <c:ptCount val="22"/>
                <c:pt idx="0">
                  <c:v>10.029614120376623</c:v>
                </c:pt>
                <c:pt idx="1">
                  <c:v>10.320639703745014</c:v>
                </c:pt>
                <c:pt idx="2">
                  <c:v>10.505732346743628</c:v>
                </c:pt>
                <c:pt idx="3">
                  <c:v>10.62359411345555</c:v>
                </c:pt>
                <c:pt idx="4">
                  <c:v>10.705995645589445</c:v>
                </c:pt>
                <c:pt idx="5">
                  <c:v>10.778378098696951</c:v>
                </c:pt>
                <c:pt idx="6">
                  <c:v>10.860455078390027</c:v>
                </c:pt>
                <c:pt idx="7">
                  <c:v>10.966814576558331</c:v>
                </c:pt>
                <c:pt idx="8">
                  <c:v>11.107520907586588</c:v>
                </c:pt>
                <c:pt idx="9">
                  <c:v>11.288716644571958</c:v>
                </c:pt>
                <c:pt idx="10">
                  <c:v>11.513224555541404</c:v>
                </c:pt>
                <c:pt idx="11">
                  <c:v>11.78114953966907</c:v>
                </c:pt>
                <c:pt idx="12">
                  <c:v>12.090480563493632</c:v>
                </c:pt>
                <c:pt idx="13">
                  <c:v>12.437692597135685</c:v>
                </c:pt>
                <c:pt idx="14">
                  <c:v>12.818348550515113</c:v>
                </c:pt>
                <c:pt idx="15">
                  <c:v>13.227701209568421</c:v>
                </c:pt>
                <c:pt idx="16">
                  <c:v>13.661295172466161</c:v>
                </c:pt>
                <c:pt idx="17">
                  <c:v>14.11556878583027</c:v>
                </c:pt>
                <c:pt idx="18">
                  <c:v>14.588456080951415</c:v>
                </c:pt>
                <c:pt idx="19">
                  <c:v>15.079988710006425</c:v>
                </c:pt>
                <c:pt idx="20">
                  <c:v>15.592897882275597</c:v>
                </c:pt>
                <c:pt idx="21">
                  <c:v>16.038267350690319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ESP'!$S$16:$S$36</c:f>
              <c:numCache>
                <c:formatCode>General</c:formatCode>
                <c:ptCount val="21"/>
                <c:pt idx="0">
                  <c:v>0.80316057558179288</c:v>
                </c:pt>
                <c:pt idx="1">
                  <c:v>0.88196132364168367</c:v>
                </c:pt>
                <c:pt idx="2">
                  <c:v>0.94504731122751795</c:v>
                </c:pt>
                <c:pt idx="3">
                  <c:v>0.9903900672591337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ESP'!$R$16:$R$36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  <c:max val="1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ESP'!$N$14</c:f>
              <c:strCache>
                <c:ptCount val="1"/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ESP'!$O$16:$O$36</c:f>
              <c:numCache>
                <c:formatCode>General</c:formatCode>
                <c:ptCount val="21"/>
                <c:pt idx="0">
                  <c:v>45.073299407958984</c:v>
                </c:pt>
                <c:pt idx="1">
                  <c:v>59.246860329131835</c:v>
                </c:pt>
                <c:pt idx="2">
                  <c:v>74.232210767456252</c:v>
                </c:pt>
                <c:pt idx="3">
                  <c:v>89.67044938262157</c:v>
                </c:pt>
                <c:pt idx="4">
                  <c:v>105.22295283261492</c:v>
                </c:pt>
                <c:pt idx="5">
                  <c:v>120.70237937904704</c:v>
                </c:pt>
                <c:pt idx="6">
                  <c:v>135.54498787690332</c:v>
                </c:pt>
                <c:pt idx="7">
                  <c:v>149.79673972299454</c:v>
                </c:pt>
                <c:pt idx="8">
                  <c:v>163.42722466713471</c:v>
                </c:pt>
                <c:pt idx="9">
                  <c:v>176.43552651162508</c:v>
                </c:pt>
                <c:pt idx="10">
                  <c:v>188.82153300329225</c:v>
                </c:pt>
                <c:pt idx="11">
                  <c:v>200.58579326561684</c:v>
                </c:pt>
                <c:pt idx="12">
                  <c:v>211.72935059069442</c:v>
                </c:pt>
                <c:pt idx="13">
                  <c:v>220.80468955826063</c:v>
                </c:pt>
                <c:pt idx="14">
                  <c:v>142.28655369204679</c:v>
                </c:pt>
                <c:pt idx="15">
                  <c:v>143.66972871542228</c:v>
                </c:pt>
                <c:pt idx="16">
                  <c:v>153.0610248711493</c:v>
                </c:pt>
                <c:pt idx="17">
                  <c:v>156.08958563658408</c:v>
                </c:pt>
                <c:pt idx="18">
                  <c:v>157.40907246880903</c:v>
                </c:pt>
                <c:pt idx="19">
                  <c:v>158.72477248409859</c:v>
                </c:pt>
                <c:pt idx="20">
                  <c:v>160.03668578620261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'Calc ESP'!$H$14</c:f>
              <c:strCache>
                <c:ptCount val="1"/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ESP'!$I$16:$I$36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DB1F434E-9B5D-4A3F-931A-76719E802AAC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63B820D-1926-4A6F-BDB6-7C24B527153C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6496A39B-4A06-4E64-8F15-DB0CC052CCF5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FA34905-5B73-467F-9DAD-B13EF208857E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B72314F5-B4B0-4005-9FFB-6A2635B5B6CC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E902F6C-7ABF-425B-B79E-F5A8165BDC02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ESP'!$V$16:$V$18</c:f>
              <c:numCache>
                <c:formatCode>0</c:formatCode>
                <c:ptCount val="3"/>
                <c:pt idx="0">
                  <c:v>45</c:v>
                </c:pt>
                <c:pt idx="1">
                  <c:v>45.073299407958984</c:v>
                </c:pt>
                <c:pt idx="2">
                  <c:v>160.03668578620261</c:v>
                </c:pt>
              </c:numCache>
            </c:numRef>
          </c:xVal>
          <c:yVal>
            <c:numRef>
              <c:f>'Calc ESP'!$U$16:$U$18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ESP'!$Q$11:$Q$13</c15:f>
                <c15:dlblRangeCache>
                  <c:ptCount val="3"/>
                  <c:pt idx="0">
                    <c:v>Plin</c:v>
                  </c:pt>
                  <c:pt idx="1">
                    <c:v>Pbuf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ESP'!$X$16:$X$36</c:f>
              <c:numCache>
                <c:formatCode>General</c:formatCode>
                <c:ptCount val="21"/>
              </c:numCache>
            </c:numRef>
          </c:xVal>
          <c:yVal>
            <c:numRef>
              <c:f>'Calc ESP'!$W$16:$W$36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92-4BD0-9B22-1CD6055D2E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ESP'!$Q$16:$Q$36</c:f>
              <c:numCache>
                <c:formatCode>General</c:formatCode>
                <c:ptCount val="21"/>
                <c:pt idx="0">
                  <c:v>30</c:v>
                </c:pt>
                <c:pt idx="1">
                  <c:v>33.333333333333336</c:v>
                </c:pt>
                <c:pt idx="2">
                  <c:v>36.666666666666671</c:v>
                </c:pt>
                <c:pt idx="3">
                  <c:v>40</c:v>
                </c:pt>
                <c:pt idx="4">
                  <c:v>43.333333333333336</c:v>
                </c:pt>
                <c:pt idx="5">
                  <c:v>46.666666666666664</c:v>
                </c:pt>
                <c:pt idx="6">
                  <c:v>50</c:v>
                </c:pt>
                <c:pt idx="7">
                  <c:v>53.333333333333336</c:v>
                </c:pt>
                <c:pt idx="8">
                  <c:v>56.666666666666671</c:v>
                </c:pt>
                <c:pt idx="9">
                  <c:v>60</c:v>
                </c:pt>
                <c:pt idx="10">
                  <c:v>63.333333333333336</c:v>
                </c:pt>
                <c:pt idx="11">
                  <c:v>66.666666666666671</c:v>
                </c:pt>
                <c:pt idx="12">
                  <c:v>70</c:v>
                </c:pt>
                <c:pt idx="13">
                  <c:v>72.857142857142861</c:v>
                </c:pt>
                <c:pt idx="14">
                  <c:v>72.874285714285719</c:v>
                </c:pt>
                <c:pt idx="15">
                  <c:v>73.333333333333343</c:v>
                </c:pt>
                <c:pt idx="16">
                  <c:v>76.666666666666686</c:v>
                </c:pt>
                <c:pt idx="17">
                  <c:v>80.000000000000014</c:v>
                </c:pt>
                <c:pt idx="18">
                  <c:v>83.333333333333329</c:v>
                </c:pt>
                <c:pt idx="19">
                  <c:v>86.666666666666671</c:v>
                </c:pt>
                <c:pt idx="20">
                  <c:v>90</c:v>
                </c:pt>
              </c:numCache>
            </c:numRef>
          </c:xVal>
          <c:yVal>
            <c:numRef>
              <c:f>'Calc ESP'!$N$16:$N$36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ESP'!$M$16:$M$36</c:f>
              <c:numCache>
                <c:formatCode>General</c:formatCode>
                <c:ptCount val="21"/>
                <c:pt idx="0">
                  <c:v>30</c:v>
                </c:pt>
                <c:pt idx="1">
                  <c:v>33.333333333333336</c:v>
                </c:pt>
                <c:pt idx="2">
                  <c:v>36.666666666666671</c:v>
                </c:pt>
                <c:pt idx="3">
                  <c:v>40</c:v>
                </c:pt>
                <c:pt idx="4">
                  <c:v>43.333333333333336</c:v>
                </c:pt>
                <c:pt idx="5">
                  <c:v>46.666666666666664</c:v>
                </c:pt>
                <c:pt idx="6">
                  <c:v>50</c:v>
                </c:pt>
                <c:pt idx="7">
                  <c:v>53.333333333333336</c:v>
                </c:pt>
                <c:pt idx="8">
                  <c:v>56.666666666666671</c:v>
                </c:pt>
                <c:pt idx="9">
                  <c:v>60</c:v>
                </c:pt>
                <c:pt idx="10">
                  <c:v>63.333333333333336</c:v>
                </c:pt>
                <c:pt idx="11">
                  <c:v>66.666666666666671</c:v>
                </c:pt>
                <c:pt idx="12">
                  <c:v>70</c:v>
                </c:pt>
                <c:pt idx="13">
                  <c:v>72.857142857142861</c:v>
                </c:pt>
                <c:pt idx="14">
                  <c:v>72.874285714285719</c:v>
                </c:pt>
                <c:pt idx="15">
                  <c:v>73.333333333333343</c:v>
                </c:pt>
                <c:pt idx="16">
                  <c:v>76.666666666666686</c:v>
                </c:pt>
                <c:pt idx="17">
                  <c:v>80.000000000000014</c:v>
                </c:pt>
                <c:pt idx="18">
                  <c:v>83.333333333333329</c:v>
                </c:pt>
                <c:pt idx="19">
                  <c:v>86.666666666666671</c:v>
                </c:pt>
                <c:pt idx="20">
                  <c:v>90</c:v>
                </c:pt>
              </c:numCache>
            </c:numRef>
          </c:xVal>
          <c:yVal>
            <c:numRef>
              <c:f>'Calc ESP'!$K$16:$K$36</c:f>
              <c:numCache>
                <c:formatCode>General</c:formatCode>
                <c:ptCount val="21"/>
                <c:pt idx="0">
                  <c:v>0</c:v>
                </c:pt>
                <c:pt idx="1">
                  <c:v>194.44444444444446</c:v>
                </c:pt>
                <c:pt idx="2">
                  <c:v>388.88888888888891</c:v>
                </c:pt>
                <c:pt idx="3">
                  <c:v>583.33333333333337</c:v>
                </c:pt>
                <c:pt idx="4">
                  <c:v>777.77777777777783</c:v>
                </c:pt>
                <c:pt idx="5">
                  <c:v>972.22222222222229</c:v>
                </c:pt>
                <c:pt idx="6">
                  <c:v>1166.6666666666667</c:v>
                </c:pt>
                <c:pt idx="7">
                  <c:v>1361.1111111111113</c:v>
                </c:pt>
                <c:pt idx="8">
                  <c:v>1555.5555555555557</c:v>
                </c:pt>
                <c:pt idx="9">
                  <c:v>1750</c:v>
                </c:pt>
                <c:pt idx="10">
                  <c:v>1944.4444444444446</c:v>
                </c:pt>
                <c:pt idx="11">
                  <c:v>2138.8888888888891</c:v>
                </c:pt>
                <c:pt idx="12">
                  <c:v>2333.3333333333335</c:v>
                </c:pt>
                <c:pt idx="13">
                  <c:v>2500</c:v>
                </c:pt>
                <c:pt idx="14">
                  <c:v>2501</c:v>
                </c:pt>
                <c:pt idx="15">
                  <c:v>2527.7777777777778</c:v>
                </c:pt>
                <c:pt idx="16">
                  <c:v>2722.2222222222226</c:v>
                </c:pt>
                <c:pt idx="17">
                  <c:v>2916.666666666667</c:v>
                </c:pt>
                <c:pt idx="18">
                  <c:v>3111.1111111111113</c:v>
                </c:pt>
                <c:pt idx="19">
                  <c:v>3305.5555555555557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ESP'!$J$16:$J$36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ESP'!$H$16:$H$36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GasLift'!$U$16:$U$36</c:f>
              <c:numCache>
                <c:formatCode>General</c:formatCode>
                <c:ptCount val="21"/>
                <c:pt idx="0">
                  <c:v>0.9833573968458168</c:v>
                </c:pt>
                <c:pt idx="1">
                  <c:v>0.98878683672859569</c:v>
                </c:pt>
                <c:pt idx="2">
                  <c:v>0.99679948131597573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'Calc GasLift'!$T$16:$T$36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AC-4CE4-89FE-33DD70EA6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GasLift'!$N$14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GasLift'!$O$16:$O$36</c:f>
              <c:numCache>
                <c:formatCode>General</c:formatCode>
                <c:ptCount val="21"/>
                <c:pt idx="0">
                  <c:v>50.010292088439833</c:v>
                </c:pt>
                <c:pt idx="1">
                  <c:v>63.94791187821167</c:v>
                </c:pt>
                <c:pt idx="2">
                  <c:v>77.747148126448423</c:v>
                </c:pt>
                <c:pt idx="3">
                  <c:v>91.47569268959181</c:v>
                </c:pt>
                <c:pt idx="4">
                  <c:v>105.16840268766761</c:v>
                </c:pt>
                <c:pt idx="5">
                  <c:v>118.80022909242395</c:v>
                </c:pt>
                <c:pt idx="6">
                  <c:v>131.97714850378225</c:v>
                </c:pt>
                <c:pt idx="7">
                  <c:v>144.59961193221298</c:v>
                </c:pt>
                <c:pt idx="8">
                  <c:v>156.67776450025457</c:v>
                </c:pt>
                <c:pt idx="9">
                  <c:v>168.22449196454858</c:v>
                </c:pt>
                <c:pt idx="10">
                  <c:v>179.24401569234212</c:v>
                </c:pt>
                <c:pt idx="11">
                  <c:v>189.7404802389386</c:v>
                </c:pt>
                <c:pt idx="12">
                  <c:v>199.71794898009148</c:v>
                </c:pt>
                <c:pt idx="13">
                  <c:v>209.17239872226051</c:v>
                </c:pt>
                <c:pt idx="14">
                  <c:v>214.34541483674664</c:v>
                </c:pt>
                <c:pt idx="15">
                  <c:v>218.09746985028221</c:v>
                </c:pt>
                <c:pt idx="16">
                  <c:v>225.37620376055699</c:v>
                </c:pt>
                <c:pt idx="17">
                  <c:v>227.27525777068126</c:v>
                </c:pt>
                <c:pt idx="18">
                  <c:v>228.42663162041362</c:v>
                </c:pt>
                <c:pt idx="19">
                  <c:v>229.57761661460526</c:v>
                </c:pt>
                <c:pt idx="20">
                  <c:v>230.72821252816129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B2-4477-A99D-41FE07DF1941}"/>
            </c:ext>
          </c:extLst>
        </c:ser>
        <c:ser>
          <c:idx val="1"/>
          <c:order val="1"/>
          <c:tx>
            <c:strRef>
              <c:f>'Calc GasLift'!$H$14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B2-4477-A99D-41FE07DF1941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1D630331-B279-42D6-8C7D-DF21672AFE52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78E22337-D935-416D-A4FB-BCDABBDF69C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55B2-4477-A99D-41FE07DF1941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A9293D83-3916-4198-820A-2A28831CF39E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53A04B2-82E9-4625-8C28-6C11F953BF28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55B2-4477-A99D-41FE07DF1941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B512929-F79C-4BB3-B011-C3E7A1479F3D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94B71BB1-195B-40E0-AED1-0B32CC286FDF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5B2-4477-A99D-41FE07DF194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GasLift'!$X$16:$X$18</c:f>
              <c:numCache>
                <c:formatCode>0</c:formatCode>
                <c:ptCount val="3"/>
                <c:pt idx="0">
                  <c:v>50.010292088439833</c:v>
                </c:pt>
                <c:pt idx="1">
                  <c:v>50.010292088439833</c:v>
                </c:pt>
                <c:pt idx="2">
                  <c:v>230.72821252816129</c:v>
                </c:pt>
              </c:numCache>
            </c:numRef>
          </c:xVal>
          <c:yVal>
            <c:numRef>
              <c:f>'Calc GasLift'!$W$16:$W$18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GasLift'!$P$10:$P$12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55B2-4477-A99D-41FE07DF194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'Calc GasLift'!$Z$16:$Z$36</c:f>
              <c:numCache>
                <c:formatCode>General</c:formatCode>
                <c:ptCount val="21"/>
              </c:numCache>
            </c:numRef>
          </c:xVal>
          <c:yVal>
            <c:numRef>
              <c:f>'Calc GasLift'!$Y$16:$Y$36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5B2-4477-A99D-41FE07DF19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64913451143365686"/>
          <c:h val="3.6588051597562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GasLift'!$Q$16:$Q$36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GasLift'!$N$16:$N$36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7-46CE-ACF1-313FF0D21364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GasLift'!$M$16:$M$36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GasLift'!$K$16:$K$36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7-46CE-ACF1-313FF0D21364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GasLift'!$J$16:$J$36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GasLift'!$H$16:$H$36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7-46CE-ACF1-313FF0D21364}"/>
            </c:ext>
          </c:extLst>
        </c:ser>
        <c:ser>
          <c:idx val="3"/>
          <c:order val="3"/>
          <c:spPr>
            <a:ln w="19050">
              <a:noFill/>
            </a:ln>
          </c:spPr>
          <c:xVal>
            <c:numRef>
              <c:f>'Calc GasLift'!$S$16:$S$36</c:f>
              <c:numCache>
                <c:formatCode>General</c:formatCode>
                <c:ptCount val="21"/>
              </c:numCache>
            </c:numRef>
          </c:xVal>
          <c:yVal>
            <c:numRef>
              <c:f>'Calc GasLift'!$R$16:$R$36</c:f>
              <c:numCache>
                <c:formatCode>General</c:formatCode>
                <c:ptCount val="2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7-46CE-ACF1-313FF0D213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500" b="1" i="0" u="none" strike="noStrike" kern="1200" cap="all" spc="100" normalizeH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1" i="0" u="none" strike="noStrike" kern="1200" cap="all" spc="10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791753427150634"/>
          <c:y val="0.15513099121185048"/>
          <c:w val="0.81028107720389475"/>
          <c:h val="0.8279824652525295"/>
        </c:manualLayout>
      </c:layout>
      <c:scatterChart>
        <c:scatterStyle val="smoothMarker"/>
        <c:varyColors val="0"/>
        <c:ser>
          <c:idx val="1"/>
          <c:order val="0"/>
          <c:spPr>
            <a:ln w="28575" cap="rnd">
              <a:solidFill>
                <a:schemeClr val="lt1">
                  <a:alpha val="50000"/>
                </a:schemeClr>
              </a:solidFill>
              <a:round/>
            </a:ln>
            <a:effectLst>
              <a:outerShdw dist="25400" dir="2700000" algn="tl" rotWithShape="0">
                <a:schemeClr val="accent2"/>
              </a:outerShdw>
            </a:effectLst>
          </c:spPr>
          <c:marker>
            <c:symbol val="circle"/>
            <c:size val="6"/>
            <c:spPr>
              <a:solidFill>
                <a:schemeClr val="accent2"/>
              </a:solidFill>
              <a:ln w="22225">
                <a:solidFill>
                  <a:schemeClr val="lt1"/>
                </a:solidFill>
                <a:round/>
              </a:ln>
              <a:effectLst/>
            </c:spPr>
          </c:marker>
          <c:xVal>
            <c:numRef>
              <c:f>'Calc Self Flow'!$S$16:$S$36</c:f>
              <c:numCache>
                <c:formatCode>General</c:formatCode>
                <c:ptCount val="21"/>
                <c:pt idx="0">
                  <c:v>0.17403064076706484</c:v>
                </c:pt>
                <c:pt idx="1">
                  <c:v>0.2083129036658482</c:v>
                </c:pt>
                <c:pt idx="2">
                  <c:v>0.24682054065100995</c:v>
                </c:pt>
                <c:pt idx="3">
                  <c:v>0.27482928381080884</c:v>
                </c:pt>
                <c:pt idx="4">
                  <c:v>0.32206457402940963</c:v>
                </c:pt>
                <c:pt idx="5">
                  <c:v>0.37600657258778497</c:v>
                </c:pt>
                <c:pt idx="6">
                  <c:v>0.43545583220692841</c:v>
                </c:pt>
                <c:pt idx="7">
                  <c:v>0.49914015415189178</c:v>
                </c:pt>
                <c:pt idx="8">
                  <c:v>0.56692436629084675</c:v>
                </c:pt>
                <c:pt idx="9">
                  <c:v>0.6382521187315251</c:v>
                </c:pt>
                <c:pt idx="10">
                  <c:v>0.71192457606532189</c:v>
                </c:pt>
                <c:pt idx="11">
                  <c:v>0.78699220961971617</c:v>
                </c:pt>
                <c:pt idx="12">
                  <c:v>0.86247350204822038</c:v>
                </c:pt>
                <c:pt idx="13">
                  <c:v>0.937278125268451</c:v>
                </c:pt>
                <c:pt idx="14">
                  <c:v>0.99453771784586542</c:v>
                </c:pt>
                <c:pt idx="15">
                  <c:v>0.99918264911496246</c:v>
                </c:pt>
                <c:pt idx="16">
                  <c:v>0.99918172936188776</c:v>
                </c:pt>
                <c:pt idx="17">
                  <c:v>0.99918155847006418</c:v>
                </c:pt>
                <c:pt idx="18">
                  <c:v>0.99918139040342047</c:v>
                </c:pt>
                <c:pt idx="19">
                  <c:v>0.99918124786254015</c:v>
                </c:pt>
                <c:pt idx="20">
                  <c:v>0.99918126838063415</c:v>
                </c:pt>
              </c:numCache>
            </c:numRef>
          </c:xVal>
          <c:yVal>
            <c:numRef>
              <c:f>'Calc Self Flow'!$R$16:$R$36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DA9-4FE2-B56B-A86DE4EB66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Доля жидкости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lt1">
                  <a:alpha val="2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'Calc Self Flow'!$N$14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Flow'!$O$16:$O$36</c:f>
              <c:numCache>
                <c:formatCode>General</c:formatCode>
                <c:ptCount val="21"/>
                <c:pt idx="0">
                  <c:v>10.349377861269023</c:v>
                </c:pt>
                <c:pt idx="1">
                  <c:v>13.741344410687804</c:v>
                </c:pt>
                <c:pt idx="2">
                  <c:v>17.771282354219174</c:v>
                </c:pt>
                <c:pt idx="3">
                  <c:v>22.427998386371215</c:v>
                </c:pt>
                <c:pt idx="4">
                  <c:v>27.697497460727806</c:v>
                </c:pt>
                <c:pt idx="5">
                  <c:v>33.790554674442554</c:v>
                </c:pt>
                <c:pt idx="6">
                  <c:v>40.571098261925016</c:v>
                </c:pt>
                <c:pt idx="7">
                  <c:v>47.995271781745878</c:v>
                </c:pt>
                <c:pt idx="8">
                  <c:v>56.000893863488322</c:v>
                </c:pt>
                <c:pt idx="9">
                  <c:v>64.512336152903885</c:v>
                </c:pt>
                <c:pt idx="10">
                  <c:v>73.448355689093802</c:v>
                </c:pt>
                <c:pt idx="11">
                  <c:v>82.715600340070239</c:v>
                </c:pt>
                <c:pt idx="12">
                  <c:v>92.212705554344296</c:v>
                </c:pt>
                <c:pt idx="13">
                  <c:v>101.83496216008898</c:v>
                </c:pt>
                <c:pt idx="14">
                  <c:v>107.30225789229945</c:v>
                </c:pt>
                <c:pt idx="15">
                  <c:v>111.27968001123517</c:v>
                </c:pt>
                <c:pt idx="16">
                  <c:v>119.00656146614175</c:v>
                </c:pt>
                <c:pt idx="17">
                  <c:v>121.02775510526814</c:v>
                </c:pt>
                <c:pt idx="18">
                  <c:v>122.2551137557146</c:v>
                </c:pt>
                <c:pt idx="19">
                  <c:v>123.4825957789155</c:v>
                </c:pt>
                <c:pt idx="20">
                  <c:v>124.71219897034381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C6-4A09-84A8-D39504B397FE}"/>
            </c:ext>
          </c:extLst>
        </c:ser>
        <c:ser>
          <c:idx val="1"/>
          <c:order val="1"/>
          <c:tx>
            <c:strRef>
              <c:f>'Calc Self Flow'!$H$14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C6-4A09-84A8-D39504B397FE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20E7EF28-F993-4BA7-88CD-D0254252AD4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E2BC1148-D01C-4C1D-B5E9-4D2A6282E69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87C6-4A09-84A8-D39504B397FE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B72E6550-23B9-490F-BAAB-509FD934E255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E07E7CC-30AC-4096-B682-B19AFA1F4C6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87C6-4A09-84A8-D39504B397F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01CCC6F-50D1-44F5-92DB-6D635FB76381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6C9D926D-E31F-49A7-8994-71DF3BBED1D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87C6-4A09-84A8-D39504B397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'Calc Self Flow'!$V$16:$V$18</c:f>
              <c:numCache>
                <c:formatCode>0</c:formatCode>
                <c:ptCount val="3"/>
                <c:pt idx="0">
                  <c:v>9.9830058422543733</c:v>
                </c:pt>
                <c:pt idx="1">
                  <c:v>10.349377861269023</c:v>
                </c:pt>
                <c:pt idx="2">
                  <c:v>124.71219897034381</c:v>
                </c:pt>
              </c:numCache>
            </c:numRef>
          </c:xVal>
          <c:yVal>
            <c:numRef>
              <c:f>'Calc Self Flow'!$U$16:$U$18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'Calc Self Flow'!$P$10:$P$12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87C6-4A09-84A8-D39504B397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'Calc Self Flow'!$Q$16:$Q$36</c:f>
              <c:numCache>
                <c:formatCode>General</c:formatCode>
                <c:ptCount val="21"/>
                <c:pt idx="0">
                  <c:v>22.952221759788021</c:v>
                </c:pt>
                <c:pt idx="1">
                  <c:v>28.465682773611565</c:v>
                </c:pt>
                <c:pt idx="2">
                  <c:v>33.976620862457843</c:v>
                </c:pt>
                <c:pt idx="3">
                  <c:v>39.485099606880745</c:v>
                </c:pt>
                <c:pt idx="4">
                  <c:v>44.981372128821143</c:v>
                </c:pt>
                <c:pt idx="5">
                  <c:v>50.425576958380844</c:v>
                </c:pt>
                <c:pt idx="6">
                  <c:v>55.682239319132059</c:v>
                </c:pt>
                <c:pt idx="7">
                  <c:v>60.742113926725722</c:v>
                </c:pt>
                <c:pt idx="8">
                  <c:v>65.596356446810319</c:v>
                </c:pt>
                <c:pt idx="9">
                  <c:v>70.249042695695806</c:v>
                </c:pt>
                <c:pt idx="10">
                  <c:v>74.70109360950714</c:v>
                </c:pt>
                <c:pt idx="11">
                  <c:v>78.953355175869959</c:v>
                </c:pt>
                <c:pt idx="12">
                  <c:v>83.006436483629727</c:v>
                </c:pt>
                <c:pt idx="13">
                  <c:v>86.856811319572145</c:v>
                </c:pt>
                <c:pt idx="14">
                  <c:v>88.957283174406001</c:v>
                </c:pt>
                <c:pt idx="15">
                  <c:v>90.435947919819242</c:v>
                </c:pt>
                <c:pt idx="16">
                  <c:v>93.044460899835343</c:v>
                </c:pt>
                <c:pt idx="17">
                  <c:v>93.766308521294192</c:v>
                </c:pt>
                <c:pt idx="18">
                  <c:v>94.173682334516769</c:v>
                </c:pt>
                <c:pt idx="19">
                  <c:v>94.053719754781142</c:v>
                </c:pt>
                <c:pt idx="20">
                  <c:v>90</c:v>
                </c:pt>
              </c:numCache>
            </c:numRef>
          </c:xVal>
          <c:yVal>
            <c:numRef>
              <c:f>'Calc Self Flow'!$N$16:$N$36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64-45F3-BF04-DE254193273C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'Calc Self Flow'!$M$16:$M$36</c:f>
              <c:numCache>
                <c:formatCode>General</c:formatCode>
                <c:ptCount val="21"/>
                <c:pt idx="0">
                  <c:v>20.000000000000004</c:v>
                </c:pt>
                <c:pt idx="1">
                  <c:v>25.526315789473689</c:v>
                </c:pt>
                <c:pt idx="2">
                  <c:v>31.05263157894737</c:v>
                </c:pt>
                <c:pt idx="3">
                  <c:v>36.578947368421055</c:v>
                </c:pt>
                <c:pt idx="4">
                  <c:v>42.10526315789474</c:v>
                </c:pt>
                <c:pt idx="5">
                  <c:v>47.631578947368425</c:v>
                </c:pt>
                <c:pt idx="6">
                  <c:v>53.03</c:v>
                </c:pt>
                <c:pt idx="7">
                  <c:v>58.226315789473688</c:v>
                </c:pt>
                <c:pt idx="8">
                  <c:v>63.217368421052633</c:v>
                </c:pt>
                <c:pt idx="9">
                  <c:v>68.006315789473689</c:v>
                </c:pt>
                <c:pt idx="10">
                  <c:v>72.593157894736848</c:v>
                </c:pt>
                <c:pt idx="11">
                  <c:v>76.977894736842103</c:v>
                </c:pt>
                <c:pt idx="12">
                  <c:v>81.160526315789483</c:v>
                </c:pt>
                <c:pt idx="13">
                  <c:v>85.137894736842114</c:v>
                </c:pt>
                <c:pt idx="14">
                  <c:v>87.32</c:v>
                </c:pt>
                <c:pt idx="15">
                  <c:v>88.906842105263152</c:v>
                </c:pt>
                <c:pt idx="16">
                  <c:v>92.473684210526315</c:v>
                </c:pt>
                <c:pt idx="17">
                  <c:v>93.555263157894743</c:v>
                </c:pt>
                <c:pt idx="18">
                  <c:v>94.036842105263162</c:v>
                </c:pt>
                <c:pt idx="19">
                  <c:v>94.518421052631581</c:v>
                </c:pt>
                <c:pt idx="20">
                  <c:v>95</c:v>
                </c:pt>
              </c:numCache>
            </c:numRef>
          </c:xVal>
          <c:yVal>
            <c:numRef>
              <c:f>'Calc Self Flow'!$K$16:$K$36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64-45F3-BF04-DE254193273C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'Calc Self Flow'!$J$16:$J$36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'Calc Self Flow'!$H$16:$H$36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64-45F3-BF04-DE25419327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7">
  <cs:axisTitle>
    <cs:lnRef idx="0"/>
    <cs:fillRef idx="0"/>
    <cs:effectRef idx="0"/>
    <cs:fontRef idx="minor">
      <a:schemeClr val="lt1"/>
    </cs:fontRef>
    <cs:defRPr sz="900" b="1" kern="1200"/>
  </cs:axisTitle>
  <cs:categoryAxis>
    <cs:lnRef idx="0">
      <cs:styleClr val="0"/>
    </cs:lnRef>
    <cs:fillRef idx="0"/>
    <cs:effectRef idx="0"/>
    <cs:fontRef idx="minor">
      <a:schemeClr val="lt1"/>
    </cs:fontRef>
    <cs:spPr>
      <a:ln w="12700" cap="flat" cmpd="sng" algn="ctr">
        <a:solidFill>
          <a:schemeClr val="lt1">
            <a:alpha val="25000"/>
          </a:schemeClr>
        </a:solidFill>
        <a:round/>
      </a:ln>
    </cs:spPr>
    <cs:defRPr sz="900" b="0" kern="1200" spc="100" baseline="0"/>
  </cs:categoryAxis>
  <cs:chartArea>
    <cs:lnRef idx="0">
      <cs:styleClr val="0"/>
    </cs:lnRef>
    <cs:fillRef idx="0">
      <cs:styleClr val="0"/>
    </cs:fillRef>
    <cs:effectRef idx="0"/>
    <cs:fontRef idx="minor">
      <a:schemeClr val="dk1"/>
    </cs:fontRef>
    <cs:spPr>
      <a:solidFill>
        <a:schemeClr val="phClr"/>
      </a:solidFill>
      <a:ln w="9525" cap="flat" cmpd="sng" algn="ctr">
        <a:solidFill>
          <a:schemeClr val="phClr"/>
        </a:solidFill>
        <a:round/>
      </a:ln>
    </cs:spPr>
    <cs:defRPr sz="10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>
      <cs:styleClr val="auto"/>
    </cs:lnRef>
    <cs:fillRef idx="0"/>
    <cs:effectRef idx="0"/>
    <cs:fontRef idx="minor">
      <cs:styleClr val="auto"/>
    </cs:fontRef>
    <cs:spPr>
      <a:solidFill>
        <a:schemeClr val="lt1"/>
      </a:solidFill>
      <a:ln>
        <a:solidFill>
          <a:schemeClr val="phClr"/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lt1"/>
        </a:bgClr>
      </a:pattFill>
    </cs:spPr>
  </cs:dataPoint3D>
  <cs:dataPointLine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  <a:effectLst>
        <a:outerShdw dist="25400" dir="2700000" algn="tl" rotWithShape="0">
          <a:schemeClr val="phClr"/>
        </a:outerShdw>
      </a:effectLst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22225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>
      <cs:styleClr val="0"/>
    </cs:lnRef>
    <cs:fillRef idx="0"/>
    <cs:effectRef idx="0"/>
    <cs:fontRef idx="minor">
      <a:schemeClr val="lt1"/>
    </cs:fontRef>
    <cs:spPr>
      <a:ln w="9525">
        <a:solidFill>
          <a:schemeClr val="phClr">
            <a:lumMod val="60000"/>
            <a:lumOff val="40000"/>
          </a:schemeClr>
        </a:solidFill>
      </a:ln>
    </cs:spPr>
    <cs:defRPr sz="900" kern="1200"/>
  </cs:dataTable>
  <cs:downBar>
    <cs:lnRef idx="0">
      <cs:styleClr val="0"/>
    </cs:lnRef>
    <cs:fillRef idx="0"/>
    <cs:effectRef idx="0"/>
    <cs:fontRef idx="minor">
      <a:schemeClr val="dk1"/>
    </cs:fontRef>
    <cs:spPr>
      <a:solidFill>
        <a:schemeClr val="dk1">
          <a:lumMod val="35000"/>
          <a:lumOff val="6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downBar>
  <cs:dropLine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gradFill>
          <a:gsLst>
            <a:gs pos="79000">
              <a:schemeClr val="phClr"/>
            </a:gs>
            <a:gs pos="0">
              <a:schemeClr val="lt1">
                <a:alpha val="60000"/>
              </a:schemeClr>
            </a:gs>
          </a:gsLst>
          <a:lin ang="5400000" scaled="0"/>
        </a:gradFill>
        <a:round/>
      </a:ln>
    </cs:spPr>
  </cs:dropLine>
  <cs:errorBar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round/>
      </a:ln>
      <a:effectLst>
        <a:glow rad="25400">
          <a:schemeClr val="lt1"/>
        </a:glow>
      </a:effectLst>
    </cs:spPr>
  </cs:errorBar>
  <cs:floor>
    <cs:lnRef idx="0"/>
    <cs:fillRef idx="0"/>
    <cs:effectRef idx="0"/>
    <cs:fontRef idx="minor">
      <a:schemeClr val="dk1"/>
    </cs:fontRef>
  </cs:floor>
  <cs:gridlineMajor>
    <cs:lnRef idx="0">
      <cs:styleClr val="0"/>
    </cs:lnRef>
    <cs:fillRef idx="0"/>
    <cs:effectRef idx="0"/>
    <cs:fontRef idx="minor">
      <a:schemeClr val="dk1"/>
    </cs:fontRef>
    <cs:spPr>
      <a:ln w="9525" cap="flat" cmpd="sng" algn="ctr">
        <a:solidFill>
          <a:schemeClr val="lt1">
            <a:alpha val="25000"/>
          </a:schemeClr>
        </a:solidFill>
        <a:round/>
      </a:ln>
    </cs:spPr>
  </cs:gridlineMajor>
  <cs:gridlineMinor>
    <cs:lnRef idx="0">
      <cs:styleClr val="0"/>
    </cs:lnRef>
    <cs:fillRef idx="0"/>
    <cs:effectRef idx="0"/>
    <cs:fontRef idx="minor">
      <a:schemeClr val="dk1"/>
    </cs:fontRef>
    <cs:spPr>
      <a:ln>
        <a:solidFill>
          <a:schemeClr val="lt1">
            <a:alpha val="10000"/>
          </a:schemeClr>
        </a:solidFill>
      </a:ln>
    </cs:spPr>
  </cs:gridlineMinor>
  <cs:hiLo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  <a:prstDash val="dash"/>
      </a:ln>
    </cs:spPr>
  </cs:hiLoLine>
  <cs:leader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</a:schemeClr>
        </a:solidFill>
      </a:ln>
    </cs:spPr>
  </cs:leaderLine>
  <cs:legend>
    <cs:lnRef idx="0"/>
    <cs:fillRef idx="0"/>
    <cs:effectRef idx="0"/>
    <cs:fontRef idx="minor">
      <a:schemeClr val="lt1"/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>
      <cs:styleClr val="0"/>
    </cs:lnRef>
    <cs:fillRef idx="0"/>
    <cs:effectRef idx="0"/>
    <cs:fontRef idx="minor">
      <a:schemeClr val="lt1"/>
    </cs:fontRef>
    <cs:spPr>
      <a:ln w="3175" cap="flat" cmpd="sng" algn="ctr">
        <a:solidFill>
          <a:schemeClr val="phClr">
            <a:lumMod val="60000"/>
            <a:lumOff val="40000"/>
          </a:schemeClr>
        </a:solidFill>
        <a:round/>
      </a:ln>
    </cs:spPr>
    <cs:defRPr sz="900" kern="1200"/>
  </cs:seriesAxis>
  <cs:seriesLine>
    <cs:lnRef idx="0">
      <cs:styleClr val="0"/>
    </cs:lnRef>
    <cs:fillRef idx="0"/>
    <cs:effectRef idx="0"/>
    <cs:fontRef idx="minor">
      <a:schemeClr val="dk1"/>
    </cs:fontRef>
    <cs:spPr>
      <a:ln w="9525">
        <a:solidFill>
          <a:schemeClr val="phClr">
            <a:lumMod val="60000"/>
            <a:lumOff val="40000"/>
            <a:tint val="5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lt1"/>
    </cs:fontRef>
    <cs:defRPr sz="1500" b="1" kern="1200" cap="all" spc="100" normalizeH="0" baseline="0"/>
  </cs:title>
  <cs:trendline>
    <cs:lnRef idx="0"/>
    <cs:fillRef idx="0"/>
    <cs:effectRef idx="0"/>
    <cs:fontRef idx="minor">
      <a:schemeClr val="dk1"/>
    </cs:fontRef>
    <cs:spPr>
      <a:ln w="28575" cap="rnd">
        <a:solidFill>
          <a:schemeClr val="lt1">
            <a:alpha val="50000"/>
          </a:schemeClr>
        </a:solidFill>
        <a:round/>
      </a:ln>
    </cs:spPr>
  </cs:trendline>
  <cs:trendlineLabel>
    <cs:lnRef idx="0"/>
    <cs:fillRef idx="0"/>
    <cs:effectRef idx="0"/>
    <cs:fontRef idx="minor">
      <a:schemeClr val="lt1"/>
    </cs:fontRef>
    <cs:defRPr sz="900" kern="1200"/>
  </cs:trendlineLabel>
  <cs:upBar>
    <cs:lnRef idx="0">
      <cs:styleClr val="0"/>
    </cs:lnRef>
    <cs:fillRef idx="0"/>
    <cs:effectRef idx="0"/>
    <cs:fontRef idx="minor">
      <a:schemeClr val="dk1"/>
    </cs:fontRef>
    <cs:spPr>
      <a:solidFill>
        <a:schemeClr val="lt1">
          <a:lumMod val="95000"/>
        </a:schemeClr>
      </a:solidFill>
      <a:ln w="9525">
        <a:solidFill>
          <a:schemeClr val="phClr">
            <a:lumMod val="60000"/>
            <a:lumOff val="40000"/>
          </a:schemeClr>
        </a:solidFill>
      </a:ln>
    </cs:spPr>
  </cs:upBar>
  <cs:valueAxis>
    <cs:lnRef idx="0"/>
    <cs:fillRef idx="0"/>
    <cs:effectRef idx="0"/>
    <cs:fontRef idx="minor">
      <a:schemeClr val="lt1"/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1" val="0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6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7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21.xml><?xml version="1.0" encoding="utf-8"?>
<formControlPr xmlns="http://schemas.microsoft.com/office/spreadsheetml/2009/9/main" objectType="Drop" dropLines="6" dropStyle="combo" dx="22" fmlaLink="$AB$3" fmlaRange="$AC$3:$AC$8" noThreeD="1" sel="4" val="0"/>
</file>

<file path=xl/ctrlProps/ctrlProp2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  <a:endParaRPr lang="en-US" sz="1100" baseline="0"/>
        </a:p>
        <a:p>
          <a:r>
            <a:rPr lang="en-US" sz="1100" baseline="0"/>
            <a:t>28.05.2019</a:t>
          </a:r>
        </a:p>
        <a:p>
          <a:r>
            <a:rPr lang="en-US" sz="1100" baseline="0"/>
            <a:t>- </a:t>
          </a:r>
          <a:r>
            <a:rPr lang="ru-RU" sz="1100" baseline="0"/>
            <a:t>исправления для работы версии 7.7 для расчета скважины с УЭЦН</a:t>
          </a:r>
        </a:p>
        <a:p>
          <a:endParaRPr lang="ru-RU" sz="1100" baseline="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142875</xdr:colOff>
          <xdr:row>56</xdr:row>
          <xdr:rowOff>0</xdr:rowOff>
        </xdr:from>
        <xdr:to>
          <xdr:col>13</xdr:col>
          <xdr:colOff>647700</xdr:colOff>
          <xdr:row>56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59</xdr:row>
      <xdr:rowOff>166608</xdr:rowOff>
    </xdr:from>
    <xdr:to>
      <xdr:col>9</xdr:col>
      <xdr:colOff>339116</xdr:colOff>
      <xdr:row>79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59</xdr:row>
      <xdr:rowOff>163886</xdr:rowOff>
    </xdr:from>
    <xdr:to>
      <xdr:col>17</xdr:col>
      <xdr:colOff>468464</xdr:colOff>
      <xdr:row>79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79</xdr:row>
      <xdr:rowOff>116261</xdr:rowOff>
    </xdr:from>
    <xdr:to>
      <xdr:col>9</xdr:col>
      <xdr:colOff>325587</xdr:colOff>
      <xdr:row>99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79</xdr:row>
      <xdr:rowOff>128167</xdr:rowOff>
    </xdr:from>
    <xdr:to>
      <xdr:col>17</xdr:col>
      <xdr:colOff>492275</xdr:colOff>
      <xdr:row>99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78438</xdr:colOff>
      <xdr:row>0</xdr:row>
      <xdr:rowOff>96722</xdr:rowOff>
    </xdr:from>
    <xdr:to>
      <xdr:col>28</xdr:col>
      <xdr:colOff>350182</xdr:colOff>
      <xdr:row>19</xdr:row>
      <xdr:rowOff>152681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8</xdr:row>
          <xdr:rowOff>219075</xdr:rowOff>
        </xdr:from>
        <xdr:to>
          <xdr:col>21</xdr:col>
          <xdr:colOff>209550</xdr:colOff>
          <xdr:row>12</xdr:row>
          <xdr:rowOff>76200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21</xdr:row>
      <xdr:rowOff>65134</xdr:rowOff>
    </xdr:from>
    <xdr:to>
      <xdr:col>27</xdr:col>
      <xdr:colOff>415318</xdr:colOff>
      <xdr:row>30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228600</xdr:colOff>
          <xdr:row>12</xdr:row>
          <xdr:rowOff>104775</xdr:rowOff>
        </xdr:from>
        <xdr:to>
          <xdr:col>21</xdr:col>
          <xdr:colOff>209550</xdr:colOff>
          <xdr:row>15</xdr:row>
          <xdr:rowOff>209550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en-US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219075</xdr:colOff>
          <xdr:row>16</xdr:row>
          <xdr:rowOff>9525</xdr:rowOff>
        </xdr:from>
        <xdr:to>
          <xdr:col>21</xdr:col>
          <xdr:colOff>190500</xdr:colOff>
          <xdr:row>18</xdr:row>
          <xdr:rowOff>133350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171450</xdr:colOff>
          <xdr:row>56</xdr:row>
          <xdr:rowOff>104775</xdr:rowOff>
        </xdr:from>
        <xdr:to>
          <xdr:col>21</xdr:col>
          <xdr:colOff>276225</xdr:colOff>
          <xdr:row>59</xdr:row>
          <xdr:rowOff>47625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59</xdr:row>
      <xdr:rowOff>145677</xdr:rowOff>
    </xdr:from>
    <xdr:to>
      <xdr:col>26</xdr:col>
      <xdr:colOff>403412</xdr:colOff>
      <xdr:row>79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28</xdr:col>
      <xdr:colOff>435429</xdr:colOff>
      <xdr:row>0</xdr:row>
      <xdr:rowOff>149678</xdr:rowOff>
    </xdr:from>
    <xdr:to>
      <xdr:col>38</xdr:col>
      <xdr:colOff>449036</xdr:colOff>
      <xdr:row>29</xdr:row>
      <xdr:rowOff>13607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18437679" y="149678"/>
          <a:ext cx="6136821" cy="5891893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Лист</a:t>
          </a:r>
          <a:r>
            <a:rPr lang="ru-RU" sz="1100" baseline="0"/>
            <a:t> </a:t>
          </a:r>
          <a:r>
            <a:rPr lang="en-US" sz="1100" baseline="0"/>
            <a:t>PVT - </a:t>
          </a:r>
          <a:r>
            <a:rPr lang="ru-RU" sz="1100" baseline="0"/>
            <a:t>Калькулятор </a:t>
          </a:r>
          <a:r>
            <a:rPr lang="en-US" sz="1100" baseline="0"/>
            <a:t>PVT </a:t>
          </a:r>
          <a:r>
            <a:rPr lang="ru-RU" sz="1100" baseline="0"/>
            <a:t>свойст предназначен для ввода и анализа данных по физико-химическим свойствам флюидов.</a:t>
          </a:r>
        </a:p>
        <a:p>
          <a:r>
            <a:rPr lang="ru-RU" sz="1100" baseline="0"/>
            <a:t>Позоляет рассчитать все доступные для расчета параметры при заданных давлении и температуре и построить графические зависимости.</a:t>
          </a:r>
        </a:p>
        <a:p>
          <a:endParaRPr lang="ru-RU" sz="1100" baseline="0"/>
        </a:p>
        <a:p>
          <a:r>
            <a:rPr lang="ru-RU" sz="1100" baseline="0"/>
            <a:t>Данные введенные в калькуляторе используются в других расчетных листах данного расчетного модуля в качестве исходных данных.</a:t>
          </a:r>
        </a:p>
        <a:p>
          <a:endParaRPr lang="ru-RU" sz="1100" baseline="0"/>
        </a:p>
        <a:p>
          <a:r>
            <a:rPr lang="ru-RU" sz="1100" baseline="0"/>
            <a:t>Для работы с диаграммой рассогласованности </a:t>
          </a:r>
          <a:r>
            <a:rPr lang="en-US" sz="1100" baseline="0"/>
            <a:t>PVT </a:t>
          </a:r>
          <a:r>
            <a:rPr lang="ru-RU" sz="1100" baseline="0"/>
            <a:t>данных необходимо активировать надстройку "поиск решения" в </a:t>
          </a:r>
          <a:r>
            <a:rPr lang="en-US" sz="1100" baseline="0"/>
            <a:t>Excel</a:t>
          </a:r>
          <a:endParaRPr lang="ru-RU" sz="1100"/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3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32,6%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66675</xdr:rowOff>
        </xdr:from>
        <xdr:to>
          <xdr:col>18</xdr:col>
          <xdr:colOff>285750</xdr:colOff>
          <xdr:row>14</xdr:row>
          <xdr:rowOff>28575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209550</xdr:colOff>
          <xdr:row>1</xdr:row>
          <xdr:rowOff>9525</xdr:rowOff>
        </xdr:from>
        <xdr:to>
          <xdr:col>14</xdr:col>
          <xdr:colOff>57150</xdr:colOff>
          <xdr:row>3</xdr:row>
          <xdr:rowOff>57150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3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553964</xdr:colOff>
      <xdr:row>13</xdr:row>
      <xdr:rowOff>0</xdr:rowOff>
    </xdr:from>
    <xdr:to>
      <xdr:col>28</xdr:col>
      <xdr:colOff>176894</xdr:colOff>
      <xdr:row>43</xdr:row>
      <xdr:rowOff>68036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596621</xdr:colOff>
      <xdr:row>12</xdr:row>
      <xdr:rowOff>208815</xdr:rowOff>
    </xdr:from>
    <xdr:to>
      <xdr:col>13</xdr:col>
      <xdr:colOff>289857</xdr:colOff>
      <xdr:row>43</xdr:row>
      <xdr:rowOff>70411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313418</xdr:colOff>
      <xdr:row>12</xdr:row>
      <xdr:rowOff>195946</xdr:rowOff>
    </xdr:from>
    <xdr:to>
      <xdr:col>20</xdr:col>
      <xdr:colOff>503691</xdr:colOff>
      <xdr:row>43</xdr:row>
      <xdr:rowOff>39311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553509</xdr:colOff>
      <xdr:row>7</xdr:row>
      <xdr:rowOff>119591</xdr:rowOff>
    </xdr:from>
    <xdr:to>
      <xdr:col>28</xdr:col>
      <xdr:colOff>535517</xdr:colOff>
      <xdr:row>10</xdr:row>
      <xdr:rowOff>200024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296342" y="1537758"/>
          <a:ext cx="595842" cy="7789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27</xdr:col>
      <xdr:colOff>531284</xdr:colOff>
      <xdr:row>3</xdr:row>
      <xdr:rowOff>157691</xdr:rowOff>
    </xdr:from>
    <xdr:to>
      <xdr:col>28</xdr:col>
      <xdr:colOff>513292</xdr:colOff>
      <xdr:row>6</xdr:row>
      <xdr:rowOff>200025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 rot="10800000">
          <a:off x="17274117" y="729191"/>
          <a:ext cx="595842" cy="656167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5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5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448542</xdr:colOff>
      <xdr:row>13</xdr:row>
      <xdr:rowOff>-1</xdr:rowOff>
    </xdr:from>
    <xdr:to>
      <xdr:col>28</xdr:col>
      <xdr:colOff>398318</xdr:colOff>
      <xdr:row>42</xdr:row>
      <xdr:rowOff>86590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260389</xdr:colOff>
      <xdr:row>13</xdr:row>
      <xdr:rowOff>1687</xdr:rowOff>
    </xdr:from>
    <xdr:to>
      <xdr:col>12</xdr:col>
      <xdr:colOff>515132</xdr:colOff>
      <xdr:row>42</xdr:row>
      <xdr:rowOff>82851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1</xdr:colOff>
      <xdr:row>13</xdr:row>
      <xdr:rowOff>1</xdr:rowOff>
    </xdr:from>
    <xdr:to>
      <xdr:col>20</xdr:col>
      <xdr:colOff>406978</xdr:colOff>
      <xdr:row>42</xdr:row>
      <xdr:rowOff>77931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66675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6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6386" name="Button 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6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66675</xdr:rowOff>
        </xdr:to>
        <xdr:sp macro="" textlink="">
          <xdr:nvSpPr>
            <xdr:cNvPr id="16387" name="Drop Down 3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6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6388" name="Drop Down 4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6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28575</xdr:rowOff>
        </xdr:to>
        <xdr:sp macro="" textlink="">
          <xdr:nvSpPr>
            <xdr:cNvPr id="16389" name="Drop Down 5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6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314325</xdr:colOff>
      <xdr:row>12</xdr:row>
      <xdr:rowOff>190499</xdr:rowOff>
    </xdr:from>
    <xdr:to>
      <xdr:col>29</xdr:col>
      <xdr:colOff>47625</xdr:colOff>
      <xdr:row>43</xdr:row>
      <xdr:rowOff>111124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23586</xdr:colOff>
      <xdr:row>12</xdr:row>
      <xdr:rowOff>174172</xdr:rowOff>
    </xdr:from>
    <xdr:to>
      <xdr:col>13</xdr:col>
      <xdr:colOff>315686</xdr:colOff>
      <xdr:row>43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349704</xdr:colOff>
      <xdr:row>13</xdr:row>
      <xdr:rowOff>14515</xdr:rowOff>
    </xdr:from>
    <xdr:to>
      <xdr:col>21</xdr:col>
      <xdr:colOff>254000</xdr:colOff>
      <xdr:row>43</xdr:row>
      <xdr:rowOff>119289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333375</xdr:colOff>
          <xdr:row>3</xdr:row>
          <xdr:rowOff>142875</xdr:rowOff>
        </xdr:from>
        <xdr:to>
          <xdr:col>27</xdr:col>
          <xdr:colOff>352425</xdr:colOff>
          <xdr:row>7</xdr:row>
          <xdr:rowOff>57150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7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352425</xdr:colOff>
          <xdr:row>7</xdr:row>
          <xdr:rowOff>114300</xdr:rowOff>
        </xdr:from>
        <xdr:to>
          <xdr:col>27</xdr:col>
          <xdr:colOff>381000</xdr:colOff>
          <xdr:row>11</xdr:row>
          <xdr:rowOff>9525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7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7" name="Стрелка: вниз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3220700" y="1609725"/>
          <a:ext cx="590550" cy="7620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8" name="Стрелка: вниз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 rot="10800000">
          <a:off x="13230225" y="771525"/>
          <a:ext cx="590550" cy="6858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38100</xdr:rowOff>
        </xdr:from>
        <xdr:to>
          <xdr:col>3</xdr:col>
          <xdr:colOff>600075</xdr:colOff>
          <xdr:row>3</xdr:row>
          <xdr:rowOff>57150</xdr:rowOff>
        </xdr:to>
        <xdr:sp macro="" textlink="">
          <xdr:nvSpPr>
            <xdr:cNvPr id="17411" name="Drop Dow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00000000-0008-0000-0700-000003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</xdr:row>
          <xdr:rowOff>28575</xdr:rowOff>
        </xdr:from>
        <xdr:to>
          <xdr:col>9</xdr:col>
          <xdr:colOff>9525</xdr:colOff>
          <xdr:row>3</xdr:row>
          <xdr:rowOff>47625</xdr:rowOff>
        </xdr:to>
        <xdr:sp macro="" textlink="">
          <xdr:nvSpPr>
            <xdr:cNvPr id="17412" name="Drop Dow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0000000-0008-0000-0700-000004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2</xdr:row>
          <xdr:rowOff>9525</xdr:rowOff>
        </xdr:from>
        <xdr:to>
          <xdr:col>14</xdr:col>
          <xdr:colOff>0</xdr:colOff>
          <xdr:row>3</xdr:row>
          <xdr:rowOff>19050</xdr:rowOff>
        </xdr:to>
        <xdr:sp macro="" textlink="">
          <xdr:nvSpPr>
            <xdr:cNvPr id="17413" name="Drop Dow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00000000-0008-0000-0700-000005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ESP_head_m"/>
      <definedName name="ESP_IDbyRate"/>
      <definedName name="esp_maxRate_m3day"/>
      <definedName name="ESP_name"/>
      <definedName name="getUFVersion"/>
      <definedName name="MF_Mumix_cP"/>
      <definedName name="MF_Qmix_m3day"/>
      <definedName name="MF_Rhomix_kgm3"/>
      <definedName name="PVT_Bg_m3m3"/>
      <definedName name="PVT_Bo_m3m3"/>
      <definedName name="PVT_Bw_m3m3"/>
      <definedName name="PVT_encode_string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inity_ppm"/>
      <definedName name="PVT_STliqgas_Nm"/>
      <definedName name="PVT_SToilgas_Nm"/>
      <definedName name="PVT_STwatgas_Nm"/>
      <definedName name="PVT_Z"/>
      <definedName name="s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omments" Target="../comments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Relationship Id="rId9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Info"/>
  <dimension ref="A1:E4"/>
  <sheetViews>
    <sheetView workbookViewId="0">
      <selection activeCell="H15" sqref="H15"/>
    </sheetView>
  </sheetViews>
  <sheetFormatPr defaultRowHeight="14.25" x14ac:dyDescent="0.45"/>
  <sheetData>
    <row r="1" spans="1:5" x14ac:dyDescent="0.45">
      <c r="A1" t="str">
        <f>"вер "&amp;B1</f>
        <v>вер 7.7</v>
      </c>
      <c r="B1" s="16" t="str">
        <f>[1]!getUFVersion()</f>
        <v>7.7</v>
      </c>
    </row>
    <row r="2" spans="1:5" x14ac:dyDescent="0.45">
      <c r="A2" t="s">
        <v>161</v>
      </c>
    </row>
    <row r="4" spans="1:5" x14ac:dyDescent="0.45">
      <c r="A4" s="66" t="str">
        <f>"Унифлок "&amp;версия_номер_</f>
        <v>Унифлок 7.7</v>
      </c>
      <c r="B4" s="66"/>
      <c r="C4" s="66"/>
      <c r="D4" s="66"/>
      <c r="E4" s="66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Worksheet_PVT">
    <outlinePr summaryBelow="0"/>
  </sheetPr>
  <dimension ref="A1:AG102"/>
  <sheetViews>
    <sheetView tabSelected="1" topLeftCell="A35" zoomScale="85" zoomScaleNormal="85" workbookViewId="0">
      <selection activeCell="AP10" sqref="AP10"/>
    </sheetView>
  </sheetViews>
  <sheetFormatPr defaultRowHeight="14.25" outlineLevelRow="1" x14ac:dyDescent="0.45"/>
  <cols>
    <col min="1" max="1" width="7.265625" style="11" customWidth="1"/>
    <col min="2" max="2" width="12.265625" customWidth="1"/>
    <col min="4" max="4" width="10.1328125" customWidth="1"/>
    <col min="7" max="7" width="12.265625" style="1" customWidth="1"/>
    <col min="8" max="8" width="13.1328125" customWidth="1"/>
    <col min="9" max="9" width="11" customWidth="1"/>
    <col min="13" max="13" width="10" customWidth="1"/>
    <col min="14" max="14" width="10.1328125" customWidth="1"/>
  </cols>
  <sheetData>
    <row r="1" spans="1:17" x14ac:dyDescent="0.45">
      <c r="A1" s="59" t="str">
        <f>"Унифлок "&amp;версия_&amp;" приложение версия 1.0"</f>
        <v>Унифлок вер 7.7 приложение версия 1.0</v>
      </c>
      <c r="J1" s="2" t="s">
        <v>23</v>
      </c>
      <c r="K1" s="2"/>
      <c r="L1" s="2"/>
    </row>
    <row r="2" spans="1:17" ht="15.75" x14ac:dyDescent="0.45">
      <c r="A2" s="67" t="s">
        <v>0</v>
      </c>
      <c r="B2" s="67"/>
      <c r="C2" s="67"/>
      <c r="D2" s="67"/>
      <c r="E2" s="67"/>
      <c r="J2" s="6" t="s">
        <v>26</v>
      </c>
      <c r="K2" s="9">
        <v>1</v>
      </c>
      <c r="L2" s="5" t="s">
        <v>6</v>
      </c>
    </row>
    <row r="3" spans="1:17" ht="18" customHeight="1" x14ac:dyDescent="0.45">
      <c r="F3" s="68" t="s">
        <v>74</v>
      </c>
      <c r="G3" s="68"/>
      <c r="H3" s="9">
        <v>0</v>
      </c>
      <c r="J3" s="5" t="s">
        <v>27</v>
      </c>
      <c r="K3" s="9">
        <v>15</v>
      </c>
      <c r="L3" s="5" t="s">
        <v>24</v>
      </c>
    </row>
    <row r="6" spans="1:17" x14ac:dyDescent="0.45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5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69" t="s">
        <v>28</v>
      </c>
      <c r="O7" s="69"/>
      <c r="P7" s="69"/>
      <c r="Q7" s="69"/>
    </row>
    <row r="8" spans="1:17" ht="15.75" x14ac:dyDescent="0.45">
      <c r="B8" s="14" t="s">
        <v>10</v>
      </c>
      <c r="C8" s="9">
        <v>40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9"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5.75" x14ac:dyDescent="0.45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9"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5.75" x14ac:dyDescent="0.45">
      <c r="F10" s="5" t="s">
        <v>14</v>
      </c>
      <c r="G10" s="9">
        <v>1.07</v>
      </c>
      <c r="H10" s="5"/>
      <c r="J10" s="7" t="s">
        <v>34</v>
      </c>
      <c r="K10" s="12">
        <f>Ql_scm3day_*(1-fw_perc_/100)*gamma_oil_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5.75" x14ac:dyDescent="0.45">
      <c r="F11" s="7" t="s">
        <v>15</v>
      </c>
      <c r="G11" s="9">
        <v>100</v>
      </c>
      <c r="H11" s="5" t="s">
        <v>17</v>
      </c>
      <c r="J11" s="7" t="s">
        <v>18</v>
      </c>
      <c r="K11" s="9">
        <v>100</v>
      </c>
      <c r="L11" s="5" t="s">
        <v>17</v>
      </c>
    </row>
    <row r="12" spans="1:17" ht="15.75" x14ac:dyDescent="0.45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5">
      <c r="F13" s="2" t="s">
        <v>5</v>
      </c>
      <c r="G13" s="2"/>
      <c r="H13" s="2"/>
    </row>
    <row r="14" spans="1:17" ht="15.75" x14ac:dyDescent="0.45">
      <c r="F14" s="5" t="s">
        <v>16</v>
      </c>
      <c r="G14" s="9">
        <v>80</v>
      </c>
      <c r="H14" s="5" t="s">
        <v>75</v>
      </c>
    </row>
    <row r="15" spans="1:17" ht="15.75" x14ac:dyDescent="0.45">
      <c r="F15" s="5" t="s">
        <v>20</v>
      </c>
      <c r="G15" s="9">
        <v>100</v>
      </c>
      <c r="H15" s="5" t="s">
        <v>2</v>
      </c>
    </row>
    <row r="16" spans="1:17" ht="15.75" x14ac:dyDescent="0.45">
      <c r="F16" s="7" t="s">
        <v>21</v>
      </c>
      <c r="G16" s="9">
        <v>1.2</v>
      </c>
      <c r="H16" s="5" t="s">
        <v>17</v>
      </c>
    </row>
    <row r="17" spans="1:28" ht="15.75" x14ac:dyDescent="0.45">
      <c r="F17" s="8" t="s">
        <v>22</v>
      </c>
      <c r="G17" s="9">
        <v>1</v>
      </c>
      <c r="H17" s="5" t="s">
        <v>7</v>
      </c>
    </row>
    <row r="19" spans="1:28" x14ac:dyDescent="0.45">
      <c r="B19" s="10" t="s">
        <v>218</v>
      </c>
      <c r="C19" s="63" t="str">
        <f>[1]!PVT_encode_string(gamma_gas_,gamma_oil_,gamma_wat_,Rsb_,Rp_,Pb_,Tres_,Bob_,muob_)</f>
        <v>gamma_gas:0,700;gamma_oil:0,860;gamma_wat:40,000;rsb_m3m3:;rp_m3m3:;pb_atma:;tres_C:;bob_m3m3:;muob_cP:;PVTcorr:0;ksep_fr:0,000;pksep_atma:-1,000;tksep_C:-1,000;</v>
      </c>
      <c r="D19" s="63"/>
      <c r="E19" s="63"/>
      <c r="F19" s="63"/>
      <c r="G19" s="64"/>
      <c r="H19" s="63"/>
      <c r="I19" s="63"/>
      <c r="J19" s="63"/>
      <c r="K19" s="63"/>
      <c r="L19" s="63"/>
      <c r="M19" s="63"/>
      <c r="N19" s="63"/>
      <c r="O19" s="63"/>
      <c r="P19" s="63"/>
      <c r="Q19" s="63"/>
      <c r="R19" s="63"/>
    </row>
    <row r="20" spans="1:28" s="61" customFormat="1" ht="15.75" x14ac:dyDescent="0.5">
      <c r="A20" s="60"/>
      <c r="G20" s="62"/>
    </row>
    <row r="21" spans="1:28" x14ac:dyDescent="0.45">
      <c r="B21" s="19" t="s">
        <v>76</v>
      </c>
      <c r="C21" s="20"/>
      <c r="D21" s="20"/>
      <c r="E21" s="20"/>
      <c r="F21" s="20"/>
      <c r="G21" s="21"/>
      <c r="H21" s="20"/>
      <c r="I21" s="20"/>
      <c r="J21" s="20"/>
      <c r="K21" s="20"/>
      <c r="L21" s="20"/>
      <c r="M21" s="20"/>
      <c r="N21" s="20"/>
      <c r="O21" s="20"/>
      <c r="P21" s="20"/>
      <c r="Q21" s="20"/>
      <c r="R21" s="20"/>
      <c r="S21" s="20"/>
      <c r="T21" s="20"/>
      <c r="U21" s="20"/>
      <c r="V21" s="20"/>
      <c r="W21" s="20"/>
      <c r="X21" s="20"/>
      <c r="Y21" s="20"/>
      <c r="Z21" s="20"/>
      <c r="AA21" s="20"/>
      <c r="AB21" s="20"/>
    </row>
    <row r="22" spans="1:28" outlineLevel="1" x14ac:dyDescent="0.45"/>
    <row r="23" spans="1:28" outlineLevel="1" x14ac:dyDescent="0.45">
      <c r="B23" s="2" t="s">
        <v>77</v>
      </c>
      <c r="C23" s="2"/>
      <c r="D23" s="2"/>
      <c r="E23" s="2"/>
      <c r="F23" s="2"/>
      <c r="G23" s="2" t="s">
        <v>78</v>
      </c>
      <c r="H23" s="2"/>
    </row>
    <row r="24" spans="1:28" ht="15.75" outlineLevel="1" x14ac:dyDescent="0.45">
      <c r="B24" s="5" t="s">
        <v>79</v>
      </c>
      <c r="C24" s="22">
        <f>[1]!PVT_pb_atma(Tres_C_,gamma_gas_,gamma_oil_,gamma_w_,Rsb_m3m3_,,Pb_atma_,Tres_C_,Bob_m3m3_,mu_cP_,PVT_correlation_,Ksep_,Psep_atma_,Tsep_C_)</f>
        <v>100.00000000000001</v>
      </c>
      <c r="D24" s="5" t="s">
        <v>2</v>
      </c>
      <c r="E24" s="2"/>
      <c r="F24" s="2"/>
      <c r="G24" s="23">
        <f>[1]!PVT_pb_atma(T_C_,gamma_gas_,gamma_oil_,gamma_w_,Rsb_m3m3_,,Pb_atma_,Tres_C_,Bob_m3m3_,mu_cP_,PVT_correlation_,Ksep_,Psep_atma_,Tsep_C_)</f>
        <v>82.717995186413418</v>
      </c>
      <c r="H24" s="2"/>
    </row>
    <row r="25" spans="1:28" ht="15.75" outlineLevel="1" x14ac:dyDescent="0.45">
      <c r="B25" s="5" t="s">
        <v>16</v>
      </c>
      <c r="C25" s="24">
        <f>Tres_C_</f>
        <v>80</v>
      </c>
      <c r="D25" s="5" t="s">
        <v>25</v>
      </c>
      <c r="E25" s="2"/>
      <c r="F25" s="2"/>
      <c r="G25" s="25">
        <f>T_C_</f>
        <v>30</v>
      </c>
      <c r="H25" s="2"/>
    </row>
    <row r="26" spans="1:28" ht="15.75" outlineLevel="1" x14ac:dyDescent="0.45">
      <c r="B26" s="7" t="s">
        <v>15</v>
      </c>
      <c r="C26" s="24">
        <f>Rsb_m3m3_</f>
        <v>100</v>
      </c>
      <c r="D26" s="5" t="s">
        <v>17</v>
      </c>
      <c r="E26" s="2"/>
      <c r="F26" s="2"/>
      <c r="G26" s="10"/>
      <c r="H26" s="2"/>
    </row>
    <row r="27" spans="1:28" ht="15.75" outlineLevel="1" x14ac:dyDescent="0.45">
      <c r="B27" s="7" t="s">
        <v>80</v>
      </c>
      <c r="C27" s="26">
        <f>[1]!PVT_Bo_m3m3(C24,Tres_C_,gamma_gas_,gamma_oil_,gamma_w_,Rsb_m3m3_,,Pb_atma_,Tres_C_,Bob_m3m3_,mu_cP_,PVT_correlation_,Ksep_,Psep_atma_,Tsep_C_)</f>
        <v>1.2</v>
      </c>
      <c r="D27" s="5" t="s">
        <v>17</v>
      </c>
      <c r="E27" s="2"/>
      <c r="F27" s="2"/>
      <c r="G27" s="10"/>
      <c r="H27" s="2"/>
    </row>
    <row r="28" spans="1:28" ht="15.75" outlineLevel="1" x14ac:dyDescent="0.45">
      <c r="B28" s="8" t="s">
        <v>81</v>
      </c>
      <c r="C28" s="22">
        <f>[1]!PVT_Rhoo_kgm3(C24,Tres_C_,gamma_gas_,gamma_oil_,gamma_w_,Rsb_m3m3_,,Pb_atma_,Tres_C_,Bob_m3m3_,mu_cP_,PVT_correlation_,Ksep_,Psep_atma_,Tsep_C_)</f>
        <v>787.9325</v>
      </c>
      <c r="D28" s="5" t="s">
        <v>82</v>
      </c>
      <c r="E28" s="2"/>
      <c r="F28" s="2"/>
      <c r="G28" s="10"/>
      <c r="H28" s="2"/>
    </row>
    <row r="29" spans="1:28" ht="15.75" outlineLevel="1" x14ac:dyDescent="0.45">
      <c r="B29" s="8" t="s">
        <v>83</v>
      </c>
      <c r="C29" s="27">
        <f>[1]!PVT_Muo_cP(C24,Tres_C_,gamma_gas_,gamma_oil_,gamma_w_,Rsb_m3m3_,,Pb_atma_,Tres_C_,Bob_m3m3_,mu_cP_,PVT_correlation_,Ksep_,Psep_atma_,Tsep_C_)</f>
        <v>1</v>
      </c>
      <c r="D29" s="5" t="s">
        <v>7</v>
      </c>
      <c r="E29" s="2"/>
      <c r="F29" s="2"/>
      <c r="G29" s="10"/>
      <c r="H29" s="2"/>
    </row>
    <row r="30" spans="1:28" outlineLevel="1" x14ac:dyDescent="0.45"/>
    <row r="31" spans="1:28" outlineLevel="1" x14ac:dyDescent="0.45"/>
    <row r="32" spans="1:28" outlineLevel="1" x14ac:dyDescent="0.45">
      <c r="B32" s="2" t="s">
        <v>84</v>
      </c>
      <c r="C32" s="2"/>
      <c r="D32" s="2"/>
      <c r="E32" s="2"/>
      <c r="F32" s="2"/>
      <c r="G32" s="28"/>
      <c r="H32" s="2" t="s">
        <v>85</v>
      </c>
      <c r="I32" s="2"/>
      <c r="J32" s="2"/>
      <c r="K32" s="2"/>
      <c r="L32" s="2" t="s">
        <v>86</v>
      </c>
      <c r="M32" s="2"/>
      <c r="N32" s="2"/>
      <c r="Q32" s="2" t="s">
        <v>87</v>
      </c>
      <c r="R32" s="2"/>
      <c r="S32" s="2"/>
      <c r="T32" s="2"/>
      <c r="U32" s="2"/>
      <c r="V32" s="2"/>
      <c r="W32" s="2"/>
      <c r="X32" s="2"/>
      <c r="Z32" s="2" t="s">
        <v>88</v>
      </c>
      <c r="AA32" s="2"/>
      <c r="AB32" s="2"/>
    </row>
    <row r="33" spans="2:33" ht="15.75" outlineLevel="1" x14ac:dyDescent="0.55000000000000004">
      <c r="B33" s="5" t="s">
        <v>89</v>
      </c>
      <c r="C33" s="22">
        <f>[1]!PVT_Rhoo_kgm3(Psc_atma_,Tsc_C_,gamma_gas_,gamma_oil_,gamma_w_,Rsb_m3m3_,,Pb_atma_,Tres_C_,Bob_m3m3_,mu_cP_,PVT_correlation_,Ksep_,Psep_atma_,Tsep_C_)</f>
        <v>862.8366408100951</v>
      </c>
      <c r="D33" s="5" t="s">
        <v>82</v>
      </c>
      <c r="E33" s="29">
        <f>[1]!PVT_Rhoo_kgm3(Psc_atma_,Tsc_C_,gamma_gas_,gamma_oil_,gamma_w_,Rsb_m3m3_,,,,,,PVT_correlation_,Ksep_,Psep_atma_,Tsep_C_)</f>
        <v>864.35270080027806</v>
      </c>
      <c r="F33" s="30">
        <f t="shared" ref="F33:F38" si="0">(E33-C33)/E33</f>
        <v>1.7539830543472342E-3</v>
      </c>
      <c r="G33" s="31"/>
      <c r="H33" s="5" t="s">
        <v>90</v>
      </c>
      <c r="I33" s="27">
        <f>[1]!PVT_Rhog_kgm3(Psc_atma_,Tsc_C_,gamma_gas_,gamma_oil_,gamma_w_,Rsb_m3m3_,,Pb_atma_,Tres_C_,Bob_m3m3_,mu_cP_,PVT_correlation_,Ksep_,Psep_atma_,Tsep_C_)</f>
        <v>0.86851485761170277</v>
      </c>
      <c r="J33" s="5" t="s">
        <v>82</v>
      </c>
      <c r="L33" s="5" t="s">
        <v>91</v>
      </c>
      <c r="M33" s="22">
        <f>[1]!PVT_Rhow_kgm3(Psc_atma_,Tsc_C_,gamma_gas_,gamma_oil_,gamma_w_,Rsb_m3m3_,,Pb_atma_,Tres_C_,Bob_m3m3_,mu_cP_,PVT_correlation_,Ksep_,Psep_atma_,Tsep_C_)</f>
        <v>1070.3638451179736</v>
      </c>
      <c r="N33" s="5" t="s">
        <v>82</v>
      </c>
      <c r="Q33" s="5" t="s">
        <v>92</v>
      </c>
      <c r="R33" s="32">
        <v>0.86</v>
      </c>
      <c r="S33" s="2"/>
      <c r="T33" s="2" t="s">
        <v>93</v>
      </c>
      <c r="U33" s="2"/>
      <c r="V33" s="2" t="s">
        <v>94</v>
      </c>
      <c r="W33" s="2"/>
      <c r="X33" s="2" t="s">
        <v>95</v>
      </c>
      <c r="Z33" s="5" t="s">
        <v>79</v>
      </c>
      <c r="AA33" s="33">
        <f>ABS(U34)</f>
        <v>0.43554670446871596</v>
      </c>
      <c r="AB33" s="34">
        <f>ABS(Pb_diff_)</f>
        <v>0.43554670446871596</v>
      </c>
      <c r="AD33" s="2" t="str">
        <f>Q35&amp; " = "&amp;IFERROR(TEXT(gamma_gas_diff_total_*100,"0.0") &amp; "%",TEXT(gamma_gas_diff_total_*100,"0,0") &amp; "%")</f>
        <v>Сумм откл = 32,6%</v>
      </c>
      <c r="AE33" s="2"/>
      <c r="AF33" s="2"/>
      <c r="AG33" s="2"/>
    </row>
    <row r="34" spans="2:33" ht="15.75" outlineLevel="1" x14ac:dyDescent="0.45">
      <c r="B34" s="5" t="s">
        <v>96</v>
      </c>
      <c r="C34" s="27">
        <f>[1]!PVT_Muo_cP(Psc_atma_,Tsc_C_,gamma_gas_,gamma_oil_,gamma_w_,Rsb_m3m3_,,Pb_atma_,Tres_C_,Bob_m3m3_,mu_cP_,PVT_correlation_,Ksep_,Psep_atma_,Tsep_C_)</f>
        <v>17.24438940225496</v>
      </c>
      <c r="D34" s="5" t="s">
        <v>7</v>
      </c>
      <c r="E34" s="29">
        <f>[1]!PVT_Muo_cP(Psc_atma_,Tsc_C_,gamma_gas_,gamma_oil_,gamma_w_,Rsb_m3m3_,,,,,,PVT_correlation_,Ksep_,Psep_atma_,Tsep_C_)</f>
        <v>106.67231382661345</v>
      </c>
      <c r="F34" s="30">
        <f t="shared" si="0"/>
        <v>0.83834240785022984</v>
      </c>
      <c r="G34" s="31"/>
      <c r="H34" s="5" t="s">
        <v>97</v>
      </c>
      <c r="I34" s="39">
        <f>[1]!PVT_Mug_cP(Psc_atma_,Tsc_C_,gamma_gas_,gamma_oil_,gamma_w_,Rsb_m3m3_,,Pb_atma_,Tres_C_,Bob_m3m3_,mu_cP_,PVT_correlation_,Ksep_,Psep_atma_,Tsep_C_)</f>
        <v>1.0255672046621608E-2</v>
      </c>
      <c r="J34" s="5" t="s">
        <v>7</v>
      </c>
      <c r="L34" s="5" t="s">
        <v>98</v>
      </c>
      <c r="M34" s="26">
        <f>[1]!PVT_Muw_cP(Psc_atma_,Tsc_C_,gamma_gas_,gamma_oil_,gamma_w_,Rsb_m3m3_,,Pb_atma_,Tres_C_,Bob_m3m3_,mu_cP_,PVT_correlation_,Ksep_,Psep_atma_,Tsep_C_)</f>
        <v>1.2900781748980021</v>
      </c>
      <c r="N34" s="5" t="s">
        <v>7</v>
      </c>
      <c r="Q34" s="5" t="s">
        <v>99</v>
      </c>
      <c r="R34" s="32">
        <v>0.7</v>
      </c>
      <c r="S34" s="5" t="s">
        <v>79</v>
      </c>
      <c r="T34" s="29">
        <f>[1]!PVT_pb_atma(Tres_C_,gamma_gas_,gamma_oil_,gamma_w_,Rsb_m3m3_,,,Tres_C_,,,PVT_correlation_,Ksep_,Psep_atma_,Tsep_C_)</f>
        <v>177.16257623383413</v>
      </c>
      <c r="U34" s="30">
        <f>(T34-C24)/T34</f>
        <v>0.43554670446871596</v>
      </c>
      <c r="V34" s="29">
        <f>[1]!PVT_pb_atma(Tres_C_,gamma_gas_new_,gamma_oil_new_,gamma_w_,Rsb_m3m3_,,,Tres_C_,,,PVT_correlation_,Ksep_,Psep_atma_,Tsep_C_)</f>
        <v>177.16257623383413</v>
      </c>
      <c r="W34" s="30">
        <f>(V34-C24)/V34</f>
        <v>0.43554670446871596</v>
      </c>
      <c r="X34" s="2">
        <v>2</v>
      </c>
      <c r="Z34" s="7" t="s">
        <v>80</v>
      </c>
      <c r="AA34" s="33">
        <f>ABS(U35)</f>
        <v>0.35118164195931001</v>
      </c>
      <c r="AB34" s="33">
        <f>ABS(W35)</f>
        <v>0.35118164195931001</v>
      </c>
      <c r="AD34" s="2" t="str">
        <f>F9 &amp;" = "&amp;IFERROR(  TEXT(gamma_gas_,"0.00"),TEXT(gamma_gas_,"0,00")) &amp;",  "&amp; F8 &amp;" = "&amp;  IFERROR(TEXT(gamma_oil_,"0.00"),TEXT(gamma_oil_,"0,00"))</f>
        <v>γg = 0.70,  γo = 0.86</v>
      </c>
      <c r="AE34" s="2"/>
      <c r="AF34" s="2"/>
      <c r="AG34" s="2"/>
    </row>
    <row r="35" spans="2:33" ht="15.75" outlineLevel="1" x14ac:dyDescent="0.45">
      <c r="B35" s="5" t="s">
        <v>100</v>
      </c>
      <c r="C35" s="27">
        <f>[1]!PVT_Rs_m3m3(P_atma_,T_C_,gamma_gas_,gamma_oil_,gamma_w_,Rsb_m3m3_,,Pb_atma_,Tres_C_,Bob_m3m3_,mu_cP_,PVT_correlation_,Ksep_,Psep_atma_,Tsep_C_)</f>
        <v>41.446269501522167</v>
      </c>
      <c r="D35" s="5" t="s">
        <v>17</v>
      </c>
      <c r="E35" s="29">
        <f>[1]!PVT_Rs_m3m3(P_atma_,T_C_,gamma_gas_,gamma_oil_,gamma_w_,Rsb_m3m3_,,,,,,PVT_correlation_,Ksep_,Psep_atma_,Tsep_C_)</f>
        <v>20.818314940499885</v>
      </c>
      <c r="F35" s="30">
        <f t="shared" si="0"/>
        <v>-0.99085611011161734</v>
      </c>
      <c r="G35" s="31"/>
      <c r="H35" s="5" t="s">
        <v>101</v>
      </c>
      <c r="I35" s="26">
        <f>[1]!PVT_Z(P_atma_,T_C_,gamma_gas_,gamma_oil_,gamma_w_,Rsb_m3m3_,,Pb_atma_,Tres_C_,Bob_m3m3_,mu_cP_,PVT_correlation_,Ksep_,Psep_atma_,Tsep_C_)</f>
        <v>0.93919425965821102</v>
      </c>
      <c r="J35" s="5"/>
      <c r="L35" s="5" t="s">
        <v>102</v>
      </c>
      <c r="M35" s="22">
        <f>[1]!PVT_salinity_ppm(Psc_atma_,Tsc_C_,gamma_gas_,gamma_oil_,gamma_w_,Rsb_m3m3_,,Pb_atma_,Tres_C_,Bob_m3m3_,mu_cP_,PVT_correlation_,Ksep_,Psep_atma_,Tsep_C_)</f>
        <v>97525.871265721944</v>
      </c>
      <c r="N35" s="5" t="s">
        <v>172</v>
      </c>
      <c r="Q35" s="35" t="s">
        <v>103</v>
      </c>
      <c r="R35" s="36">
        <f>((X34*W34^2+X35*W35^2+X36*W36^2+X37*W37^2+X38*W38^2+X39*W39^2)/SUM(X34:X39))^0.5</f>
        <v>0.3256022634491873</v>
      </c>
      <c r="S35" s="7" t="s">
        <v>80</v>
      </c>
      <c r="T35" s="37">
        <f>[1]!PVT_Bo_m3m3(T34,Tres_C_,gamma_gas_,gamma_oil_,gamma_w_,Rsb_m3m3_,,,,,,PVT_correlation_,Ksep_,Psep_atma_,Tsep_C_)</f>
        <v>1.3082526835460737</v>
      </c>
      <c r="U35" s="30">
        <f>(T35-C27)/(T35-1)</f>
        <v>0.35118164195931001</v>
      </c>
      <c r="V35" s="37">
        <f>[1]!PVT_Bo_m3m3(V34,Tres_C_,gamma_gas_new_,gamma_oil_new_,gamma_w_,Rsb_m3m3_,,,,,,PVT_correlation_,Ksep_,Psep_atma_,Tsep_C_)</f>
        <v>1.3082526835460737</v>
      </c>
      <c r="W35" s="30">
        <f>(V35-C27)/(V35-1)</f>
        <v>0.35118164195931001</v>
      </c>
      <c r="X35" s="2">
        <v>2</v>
      </c>
      <c r="Z35" s="8" t="s">
        <v>83</v>
      </c>
      <c r="AA35" s="33">
        <f>ABS(U37)</f>
        <v>0.46589128817072106</v>
      </c>
      <c r="AB35" s="33">
        <f>ABS(W37)</f>
        <v>0.46589128817072106</v>
      </c>
      <c r="AD35" s="2" t="str">
        <f>Q34&amp;" = "&amp;IFERROR(TEXT(gamma_gas_new_,"0.00"),TEXT(gamma_gas_new_,"0,00"))&amp;",  "&amp;Q33&amp;" = "&amp;IFERROR(TEXT(gamma_oil_new_,"0.00"),TEXT(gamma_oil_new_,"0,00"))</f>
        <v>γg new  = 0.70,  γo new  = 0.86</v>
      </c>
      <c r="AE35" s="2"/>
      <c r="AF35" s="2"/>
      <c r="AG35" s="2"/>
    </row>
    <row r="36" spans="2:33" ht="15.75" outlineLevel="1" x14ac:dyDescent="0.45">
      <c r="B36" s="5" t="s">
        <v>104</v>
      </c>
      <c r="C36" s="26">
        <f>[1]!PVT_Bo_m3m3(P_atma_,T_C_,gamma_gas_,gamma_oil_,gamma_w_,Rsb_m3m3_,,Pb_atma_,Tres_C_,Bob_m3m3_,mu_cP_,PVT_correlation_,Ksep_,Psep_atma_,Tsep_C_)</f>
        <v>1.0642282485461247</v>
      </c>
      <c r="D36" s="5" t="s">
        <v>17</v>
      </c>
      <c r="E36" s="29">
        <f>[1]!PVT_Bo_m3m3(P_atma_,T_C_,gamma_gas_,gamma_oil_,gamma_w_,Rsb_m3m3_,,,,,,PVT_correlation_,Ksep_,Psep_atma_,Tsep_C_)</f>
        <v>1.0516657230383539</v>
      </c>
      <c r="F36" s="30">
        <f t="shared" si="0"/>
        <v>-1.1945359853962518E-2</v>
      </c>
      <c r="G36" s="31"/>
      <c r="H36" s="5" t="s">
        <v>105</v>
      </c>
      <c r="I36" s="39">
        <f>[1]!PVT_Bg_m3m3(P_atma_,T_C_,gamma_gas_,gamma_oil_,gamma_w_,Rsb_m3m3_,,Pb_atma_,Tres_C_,Bob_m3m3_,mu_cP_,PVT_correlation_,Ksep_,Psep_atma_,Tsep_C_)</f>
        <v>2.4379578175196839E-2</v>
      </c>
      <c r="J36" s="5" t="s">
        <v>17</v>
      </c>
      <c r="L36" s="5" t="s">
        <v>106</v>
      </c>
      <c r="M36" s="26">
        <f>[1]!PVT_Bw_m3m3(P_atma_,T_C_,gamma_gas_,gamma_oil_,gamma_w_,Rsb_m3m3_,,Pb_atma_,Tres_C_,Bob_m3m3_,mu_cP_,PVT_correlation_,Ksep_,Psep_atma_,Tsep_C_)</f>
        <v>1.0050124728223304</v>
      </c>
      <c r="N36" s="5" t="s">
        <v>17</v>
      </c>
      <c r="S36" s="8" t="s">
        <v>81</v>
      </c>
      <c r="T36" s="29">
        <f>[1]!PVT_Rhoo_kgm3(C24,Tres_C_,gamma_gas_,gamma_oil_,gamma_w_,Rsb_m3m3_,,,,,,PVT_correlation_,Ksep_,Psep_atma_,Tsep_C_)</f>
        <v>767.67276210310854</v>
      </c>
      <c r="U36" s="30">
        <f>(T36-C28)/T36</f>
        <v>-2.6391112068882179E-2</v>
      </c>
      <c r="V36" s="29">
        <f>[1]!PVT_Rhoo_kgm3(C24,Tres_C_,gamma_gas_new_,gamma_oil_new_,gamma_w_,Rsb_m3m3_,,,,,,PVT_correlation_,Ksep_,Psep_atma_,Tsep_C_)</f>
        <v>767.67276210310854</v>
      </c>
      <c r="W36" s="30">
        <f>(V36-C28)/V36</f>
        <v>-2.6391112068882179E-2</v>
      </c>
      <c r="X36" s="2">
        <v>0</v>
      </c>
      <c r="Z36" s="5" t="s">
        <v>110</v>
      </c>
      <c r="AA36" s="34">
        <f>ABS((gamma_oil_-gamma_oil_)/(gamma_oil_))</f>
        <v>0</v>
      </c>
      <c r="AB36" s="33">
        <f>ABS((gamma_oil_new_-gamma_oil_)/(gamma_oil_))</f>
        <v>0</v>
      </c>
    </row>
    <row r="37" spans="2:33" ht="15.75" outlineLevel="1" x14ac:dyDescent="0.45">
      <c r="B37" s="5" t="s">
        <v>107</v>
      </c>
      <c r="C37" s="22">
        <f>[1]!PVT_Rhoo_kgm3(P_atma_,T_C_,gamma_gas_,gamma_oil_,gamma_w_,Rsb_m3m3_,,Pb_atma_,Tres_C_,Bob_m3m3_,mu_cP_,PVT_correlation_,Ksep_,Psep_atma_,Tsep_C_)</f>
        <v>841.40261869415815</v>
      </c>
      <c r="D37" s="5" t="s">
        <v>82</v>
      </c>
      <c r="E37" s="29">
        <f>[1]!PVT_Rhoo_kgm3(P_atma_,T_C_,gamma_gas_,gamma_oil_,gamma_w_,Rsb_m3m3_,,,,,,PVT_correlation_,Ksep_,Psep_atma_,Tsep_C_)</f>
        <v>834.67930495815244</v>
      </c>
      <c r="F37" s="30">
        <f t="shared" si="0"/>
        <v>-8.054966375790026E-3</v>
      </c>
      <c r="G37" s="31"/>
      <c r="H37" s="5" t="s">
        <v>108</v>
      </c>
      <c r="I37" s="22">
        <f>[1]!PVT_Rhog_kgm3(P_atma_,T_C_,gamma_gas_,gamma_oil_,gamma_w_,Rsb_m3m3_,,Pb_atma_,Tres_C_,Bob_m3m3_,mu_cP_,PVT_correlation_,Ksep_,Psep_atma_,Tsep_C_)</f>
        <v>35.078129484211033</v>
      </c>
      <c r="J37" s="5" t="s">
        <v>82</v>
      </c>
      <c r="L37" s="5" t="s">
        <v>109</v>
      </c>
      <c r="M37" s="22">
        <f>[1]!PVT_Rhow_kgm3(P_atma_,T_C_,gamma_gas_,gamma_oil_,gamma_w_,Rsb_m3m3_,,Pb_atma_,Tres_C_,Bob_m3m3_,mu_cP_,PVT_correlation_,Ksep_,Psep_atma_,Tsep_C_)</f>
        <v>1064.6634036244029</v>
      </c>
      <c r="N37" s="5" t="s">
        <v>82</v>
      </c>
      <c r="S37" s="8" t="s">
        <v>83</v>
      </c>
      <c r="T37" s="38">
        <f>[1]!PVT_Muo_cP(T34,Tres_C_,gamma_gas_,gamma_oil_,gamma_w_,Rsb_m3m3_,,,,,,PVT_correlation_,Ksep_,Psep_atma_,Tsep_C_)</f>
        <v>0.68217882735894786</v>
      </c>
      <c r="U37" s="30">
        <f>(T37-C29)/T37</f>
        <v>-0.46589128817072106</v>
      </c>
      <c r="V37" s="38">
        <f>[1]!PVT_Muo_cP(V34,Tres_C_,gamma_gas_new_,gamma_oil_new_,gamma_w_,Rsb_m3m3_,,,,,,PVT_correlation_,Ksep_,Psep_atma_,Tsep_C_)</f>
        <v>0.68217882735894786</v>
      </c>
      <c r="W37" s="30">
        <f>(V37-C29)/V37</f>
        <v>-0.46589128817072106</v>
      </c>
      <c r="X37" s="2">
        <v>2</v>
      </c>
      <c r="Z37" s="5" t="s">
        <v>13</v>
      </c>
      <c r="AA37" s="34">
        <f>ABS(gamma_gas_-gamma_gas_)/gamma_gas_</f>
        <v>0</v>
      </c>
      <c r="AB37" s="33">
        <f>ABS(gamma_gas_new_-gamma_gas_)/gamma_gas_</f>
        <v>0</v>
      </c>
    </row>
    <row r="38" spans="2:33" ht="15.75" outlineLevel="1" x14ac:dyDescent="0.45">
      <c r="B38" s="5" t="s">
        <v>111</v>
      </c>
      <c r="C38" s="27">
        <f>[1]!PVT_Muo_cP(P_atma_,T_C_,gamma_gas_,gamma_oil_,gamma_w_,Rsb_m3m3_,,Pb_atma_,Tres_C_,Bob_m3m3_,mu_cP_,PVT_correlation_,Ksep_,Psep_atma_,Tsep_C_)</f>
        <v>2.145548808077582</v>
      </c>
      <c r="D38" s="5" t="s">
        <v>7</v>
      </c>
      <c r="E38" s="29">
        <f>[1]!PVT_Muo_cP(P_atma_,T_C_,gamma_gas_,gamma_oil_,gamma_w_,Rsb_m3m3_,,,,,,PVT_correlation_,Ksep_,Psep_atma_,Tsep_C_)</f>
        <v>7.7487517419678289</v>
      </c>
      <c r="F38" s="30">
        <f t="shared" si="0"/>
        <v>0.72311039512891773</v>
      </c>
      <c r="G38" s="31"/>
      <c r="H38" s="5" t="s">
        <v>112</v>
      </c>
      <c r="I38" s="39">
        <f>[1]!PVT_Mug_cP(P_atma_,T_C_,gamma_gas_,gamma_oil_,gamma_w_,Rsb_m3m3_,,Pb_atma_,Tres_C_,Bob_m3m3_,mu_cP_,PVT_correlation_,Ksep_,Psep_atma_,Tsep_C_)</f>
        <v>1.1774941966222424E-2</v>
      </c>
      <c r="J38" s="5" t="s">
        <v>7</v>
      </c>
      <c r="L38" s="5" t="s">
        <v>113</v>
      </c>
      <c r="M38" s="26">
        <f>[1]!PVT_Muw_cP(P_atma_,T_C_,gamma_gas_,gamma_oil_,gamma_w_,Rsb_m3m3_,,Pb_atma_,Tres_C_,Bob_m3m3_,mu_cP_,PVT_correlation_,Ksep_,Psep_atma_,Tsep_C_)</f>
        <v>0.91543932313862619</v>
      </c>
      <c r="N38" s="5" t="s">
        <v>7</v>
      </c>
      <c r="S38" s="6" t="s">
        <v>12</v>
      </c>
      <c r="W38" s="30">
        <f>(R33-G8)/R33</f>
        <v>0</v>
      </c>
      <c r="X38" s="2">
        <v>2</v>
      </c>
    </row>
    <row r="39" spans="2:33" ht="15.75" outlineLevel="1" x14ac:dyDescent="0.45">
      <c r="B39" s="5" t="s">
        <v>114</v>
      </c>
      <c r="C39" s="27"/>
      <c r="D39" s="5"/>
      <c r="E39" s="29"/>
      <c r="F39" s="30"/>
      <c r="G39" s="31"/>
      <c r="H39" s="5" t="s">
        <v>115</v>
      </c>
      <c r="I39" s="22"/>
      <c r="J39" s="5"/>
      <c r="L39" s="5" t="s">
        <v>116</v>
      </c>
      <c r="M39" s="22"/>
      <c r="N39" s="5"/>
      <c r="S39" s="5" t="s">
        <v>13</v>
      </c>
      <c r="W39" s="30">
        <f>(R34-G9)/R34</f>
        <v>0</v>
      </c>
      <c r="X39" s="2">
        <v>2</v>
      </c>
      <c r="Z39" s="8" t="s">
        <v>81</v>
      </c>
      <c r="AA39" s="33">
        <f>ABS(U36)</f>
        <v>2.6391112068882179E-2</v>
      </c>
      <c r="AB39" s="33">
        <f>ABS(W36)</f>
        <v>2.6391112068882179E-2</v>
      </c>
    </row>
    <row r="40" spans="2:33" ht="15.75" outlineLevel="1" x14ac:dyDescent="0.45">
      <c r="B40" s="5" t="s">
        <v>117</v>
      </c>
      <c r="C40" s="27"/>
      <c r="D40" s="5"/>
      <c r="E40" s="29"/>
      <c r="F40" s="30"/>
      <c r="G40" s="31"/>
      <c r="H40" s="5" t="s">
        <v>118</v>
      </c>
      <c r="I40" s="22"/>
      <c r="J40" s="5"/>
      <c r="L40" s="5" t="s">
        <v>119</v>
      </c>
      <c r="M40" s="22"/>
      <c r="N40" s="5"/>
    </row>
    <row r="41" spans="2:33" ht="15.75" outlineLevel="1" x14ac:dyDescent="0.45">
      <c r="B41" s="5" t="s">
        <v>174</v>
      </c>
      <c r="C41" s="65">
        <f>[1]!PVT_SToilgas_Nm(P_atma_,T_C_,gamma_gas_,gamma_oil_,gamma_w_,Rsb_m3m3_,,Pb_atma_,Tres_C_,Bob_m3m3_,mu_cP_,PVT_correlation_,Ksep_,Psep_atma_,Tsep_C_)</f>
        <v>3.8746755606618333E-2</v>
      </c>
      <c r="D41" s="5" t="s">
        <v>173</v>
      </c>
      <c r="L41" s="5" t="s">
        <v>175</v>
      </c>
      <c r="M41" s="65">
        <f>[1]!PVT_STwatgas_Nm(P_atma_,T_C_,gamma_gas_,gamma_oil_,gamma_w_,Rsb_m3m3_,,Pb_atma_,Tres_C_,Bob_m3m3_,mu_cP_,PVT_correlation_,Ksep_,Psep_atma_,Tsep_C_)</f>
        <v>5.8884365535558904E-2</v>
      </c>
      <c r="N41" s="5" t="s">
        <v>173</v>
      </c>
    </row>
    <row r="42" spans="2:33" outlineLevel="1" x14ac:dyDescent="0.45">
      <c r="L42" s="31"/>
    </row>
    <row r="43" spans="2:33" outlineLevel="1" x14ac:dyDescent="0.45">
      <c r="B43" s="2" t="s">
        <v>120</v>
      </c>
      <c r="C43" s="2"/>
      <c r="D43" s="2"/>
      <c r="E43" s="28"/>
      <c r="F43" s="31"/>
      <c r="L43" s="31"/>
    </row>
    <row r="44" spans="2:33" ht="15.75" outlineLevel="1" x14ac:dyDescent="0.45">
      <c r="B44" s="7" t="s">
        <v>121</v>
      </c>
      <c r="C44" s="40">
        <f>[1]!MF_Qmix_m3day(Ql_scm3day_,fw_perc_,P_atma_,T_C_,PVTstr_)</f>
        <v>68.587881491775804</v>
      </c>
      <c r="D44" s="5" t="s">
        <v>33</v>
      </c>
      <c r="E44" s="28"/>
      <c r="F44" s="31"/>
      <c r="L44" s="31"/>
    </row>
    <row r="45" spans="2:33" ht="15.75" outlineLevel="1" x14ac:dyDescent="0.45">
      <c r="B45" s="5" t="s">
        <v>122</v>
      </c>
      <c r="C45" s="40">
        <f>[1]!MF_Rhomix_kgm3(Ql_scm3day_,fw_perc_,P_atma_,T_C_,PVTstr_)</f>
        <v>317.06675475328126</v>
      </c>
      <c r="D45" s="5" t="s">
        <v>82</v>
      </c>
      <c r="E45" s="28"/>
      <c r="F45" s="31"/>
      <c r="X45">
        <f>gamma_gas_</f>
        <v>0.7</v>
      </c>
    </row>
    <row r="46" spans="2:33" ht="15.75" outlineLevel="1" x14ac:dyDescent="0.45">
      <c r="B46" s="5" t="s">
        <v>123</v>
      </c>
      <c r="C46" s="40">
        <f>[1]!MF_Mumix_cP(Ql_scm3day_,fw_perc_,P_atma_,T_C_,PVTstr_)</f>
        <v>2.7368397122095245</v>
      </c>
      <c r="D46" s="5" t="s">
        <v>7</v>
      </c>
      <c r="E46" s="28"/>
      <c r="F46" s="31"/>
    </row>
    <row r="47" spans="2:33" ht="15.75" outlineLevel="1" x14ac:dyDescent="0.45">
      <c r="B47" s="5" t="s">
        <v>124</v>
      </c>
      <c r="E47" s="31"/>
      <c r="F47" s="31"/>
    </row>
    <row r="48" spans="2:33" ht="15.75" outlineLevel="1" x14ac:dyDescent="0.45">
      <c r="B48" s="5" t="s">
        <v>125</v>
      </c>
      <c r="E48" s="31"/>
      <c r="F48" s="31"/>
    </row>
    <row r="49" spans="1:29" ht="15.75" outlineLevel="1" x14ac:dyDescent="0.45">
      <c r="B49" s="5" t="s">
        <v>126</v>
      </c>
      <c r="E49" s="31"/>
      <c r="F49" s="31"/>
    </row>
    <row r="50" spans="1:29" outlineLevel="1" x14ac:dyDescent="0.45">
      <c r="C50">
        <f>[1]!PVT_STliqgas_Nm(P_atma_,T_C_,gamma_gas_,gamma_oil_,gamma_w_,Rsb_m3m3_,,Pb_atma_,Tres_C_,Bob_m3m3_,mu_cP_,PVT_correlation_,Ksep_,Psep_atma_,Tsep_C_)</f>
        <v>3.8746755606618333E-2</v>
      </c>
      <c r="D50" s="5" t="s">
        <v>173</v>
      </c>
      <c r="E50" s="31"/>
      <c r="F50" s="31"/>
    </row>
    <row r="51" spans="1:29" outlineLevel="1" x14ac:dyDescent="0.45">
      <c r="E51" s="31"/>
      <c r="F51" s="31"/>
    </row>
    <row r="52" spans="1:29" outlineLevel="1" x14ac:dyDescent="0.45">
      <c r="E52" s="31"/>
      <c r="F52" s="31"/>
    </row>
    <row r="53" spans="1:29" outlineLevel="1" x14ac:dyDescent="0.45"/>
    <row r="54" spans="1:29" outlineLevel="1" x14ac:dyDescent="0.45"/>
    <row r="55" spans="1:29" x14ac:dyDescent="0.45">
      <c r="L55" s="31"/>
    </row>
    <row r="56" spans="1:29" x14ac:dyDescent="0.45">
      <c r="B56" s="41" t="s">
        <v>127</v>
      </c>
      <c r="C56" s="20"/>
      <c r="D56" s="20"/>
      <c r="E56" s="20"/>
      <c r="F56" s="20"/>
      <c r="G56" s="21"/>
      <c r="H56" s="20"/>
      <c r="I56" s="20"/>
      <c r="J56" s="20"/>
      <c r="K56" s="20"/>
      <c r="L56" s="42"/>
      <c r="M56" s="42"/>
      <c r="N56" s="20"/>
      <c r="O56" s="20"/>
      <c r="P56" s="20"/>
      <c r="Q56" s="20"/>
      <c r="R56" s="20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0"/>
    </row>
    <row r="57" spans="1:29" outlineLevel="1" x14ac:dyDescent="0.45">
      <c r="B57" t="str">
        <f>"Температура = " &amp;T_C_&amp;" °С"</f>
        <v>Температура = 30 °С</v>
      </c>
      <c r="L57" s="31"/>
      <c r="M57" s="31"/>
    </row>
    <row r="58" spans="1:29" outlineLevel="1" x14ac:dyDescent="0.45">
      <c r="L58" s="31"/>
      <c r="M58" s="31"/>
    </row>
    <row r="59" spans="1:29" ht="15.75" outlineLevel="1" x14ac:dyDescent="0.45">
      <c r="A59" s="43"/>
      <c r="B59" s="5" t="s">
        <v>128</v>
      </c>
      <c r="C59" s="5" t="s">
        <v>128</v>
      </c>
      <c r="D59" s="5" t="s">
        <v>100</v>
      </c>
      <c r="E59" s="5" t="s">
        <v>129</v>
      </c>
      <c r="F59" s="5" t="s">
        <v>162</v>
      </c>
      <c r="G59" s="5" t="s">
        <v>104</v>
      </c>
      <c r="H59" s="5" t="s">
        <v>130</v>
      </c>
      <c r="I59" s="5" t="s">
        <v>163</v>
      </c>
      <c r="J59" s="5" t="s">
        <v>107</v>
      </c>
      <c r="K59" s="5" t="s">
        <v>131</v>
      </c>
      <c r="L59" s="5" t="s">
        <v>164</v>
      </c>
      <c r="M59" s="5" t="s">
        <v>111</v>
      </c>
      <c r="N59" s="5" t="s">
        <v>132</v>
      </c>
      <c r="O59" s="5" t="s">
        <v>165</v>
      </c>
      <c r="P59" s="5" t="s">
        <v>166</v>
      </c>
      <c r="Q59" s="5" t="s">
        <v>167</v>
      </c>
      <c r="R59" s="5" t="s">
        <v>168</v>
      </c>
    </row>
    <row r="60" spans="1:29" outlineLevel="1" x14ac:dyDescent="0.45">
      <c r="A60" s="44">
        <v>1</v>
      </c>
      <c r="B60" s="45">
        <v>1</v>
      </c>
      <c r="C60" s="2">
        <v>1</v>
      </c>
      <c r="D60" s="2">
        <v>0.48820836578773286</v>
      </c>
      <c r="E60" s="2">
        <v>0.48820836578773286</v>
      </c>
      <c r="F60">
        <v>0.24522533964564697</v>
      </c>
      <c r="G60" s="2">
        <v>1.0054878892175982</v>
      </c>
      <c r="H60" s="10">
        <v>1.0054878892175982</v>
      </c>
      <c r="I60">
        <v>1.0080208293055315</v>
      </c>
      <c r="J60" s="2">
        <v>855.72140663161633</v>
      </c>
      <c r="K60" s="2">
        <v>855.72140663161633</v>
      </c>
      <c r="L60">
        <v>853.36501910466143</v>
      </c>
      <c r="M60" s="2">
        <v>8.6454209625030085</v>
      </c>
      <c r="N60" s="2">
        <v>8.6454209625030085</v>
      </c>
      <c r="O60">
        <v>19.222141283362781</v>
      </c>
      <c r="P60">
        <v>0.9903374046124116</v>
      </c>
      <c r="Q60">
        <v>0.9903374046124116</v>
      </c>
      <c r="R60">
        <v>0.99034313020516418</v>
      </c>
    </row>
    <row r="61" spans="1:29" outlineLevel="1" x14ac:dyDescent="0.45">
      <c r="A61" s="44">
        <v>2</v>
      </c>
      <c r="B61" s="46">
        <f t="shared" ref="B61:B79" si="1">($B$80-$B$60)/($A$80-$A$60)+B60</f>
        <v>5.0858997593206707</v>
      </c>
      <c r="C61" s="2">
        <v>5.0858997593206707</v>
      </c>
      <c r="D61" s="2">
        <v>3.4599676933560182</v>
      </c>
      <c r="E61" s="2">
        <v>3.4599676933560182</v>
      </c>
      <c r="F61">
        <v>1.7379295649659159</v>
      </c>
      <c r="G61" s="2">
        <v>1.0093474783811074</v>
      </c>
      <c r="H61" s="10">
        <v>1.0093474783811074</v>
      </c>
      <c r="I61">
        <v>1.0110022661806735</v>
      </c>
      <c r="J61" s="2">
        <v>854.96714288698786</v>
      </c>
      <c r="K61" s="2">
        <v>854.96714288698786</v>
      </c>
      <c r="L61">
        <v>852.11110677244449</v>
      </c>
      <c r="M61" s="2">
        <v>7.2267621064543954</v>
      </c>
      <c r="N61" s="2">
        <v>7.2267621064543954</v>
      </c>
      <c r="O61">
        <v>17.490688403588983</v>
      </c>
      <c r="P61">
        <v>0.95121561746257477</v>
      </c>
      <c r="Q61">
        <v>0.95121561746257477</v>
      </c>
      <c r="R61">
        <v>0.9515533990770576</v>
      </c>
    </row>
    <row r="62" spans="1:29" outlineLevel="1" x14ac:dyDescent="0.45">
      <c r="A62" s="44">
        <v>3</v>
      </c>
      <c r="B62" s="46">
        <f t="shared" si="1"/>
        <v>9.1717995186413415</v>
      </c>
      <c r="C62" s="2">
        <v>9.1717995186413415</v>
      </c>
      <c r="D62" s="2">
        <v>7.0372098042024414</v>
      </c>
      <c r="E62" s="2">
        <v>7.0372098042024414</v>
      </c>
      <c r="F62">
        <v>3.5347656560713978</v>
      </c>
      <c r="G62" s="2">
        <v>1.0141026688404693</v>
      </c>
      <c r="H62" s="10">
        <v>1.0141026688404693</v>
      </c>
      <c r="I62">
        <v>1.0146365727534183</v>
      </c>
      <c r="J62" s="2">
        <v>853.97482726543444</v>
      </c>
      <c r="K62" s="2">
        <v>853.97482726543444</v>
      </c>
      <c r="L62">
        <v>850.57341654798745</v>
      </c>
      <c r="M62" s="2">
        <v>5.9998611873594108</v>
      </c>
      <c r="N62" s="2">
        <v>5.9998611873594108</v>
      </c>
      <c r="O62">
        <v>15.748934816113904</v>
      </c>
      <c r="P62">
        <v>0.91232136026567112</v>
      </c>
      <c r="Q62">
        <v>0.91232136026567112</v>
      </c>
      <c r="R62">
        <v>0.9135680206238177</v>
      </c>
    </row>
    <row r="63" spans="1:29" outlineLevel="1" x14ac:dyDescent="0.45">
      <c r="A63" s="44">
        <v>4</v>
      </c>
      <c r="B63" s="46">
        <f t="shared" si="1"/>
        <v>13.257699277962011</v>
      </c>
      <c r="C63" s="2">
        <v>13.257699277962011</v>
      </c>
      <c r="D63" s="2">
        <v>10.966218282405341</v>
      </c>
      <c r="E63" s="2">
        <v>10.966218282405341</v>
      </c>
      <c r="F63">
        <v>5.5082927524031469</v>
      </c>
      <c r="G63" s="2">
        <v>1.0194487679917701</v>
      </c>
      <c r="H63" s="10">
        <v>1.0194487679917701</v>
      </c>
      <c r="I63">
        <v>1.0186820575605775</v>
      </c>
      <c r="J63" s="2">
        <v>852.79243794225533</v>
      </c>
      <c r="K63" s="2">
        <v>852.79243794225533</v>
      </c>
      <c r="L63">
        <v>848.85232881163836</v>
      </c>
      <c r="M63" s="2">
        <v>5.031850368812802</v>
      </c>
      <c r="N63" s="2">
        <v>5.031850368812802</v>
      </c>
      <c r="O63">
        <v>14.168072807709276</v>
      </c>
      <c r="P63">
        <v>0.87348396714813914</v>
      </c>
      <c r="Q63">
        <v>0.87348396714813914</v>
      </c>
      <c r="R63">
        <v>0.87625423569348715</v>
      </c>
    </row>
    <row r="64" spans="1:29" outlineLevel="1" x14ac:dyDescent="0.45">
      <c r="A64" s="44">
        <v>5</v>
      </c>
      <c r="B64" s="46">
        <f t="shared" si="1"/>
        <v>17.343599037282683</v>
      </c>
      <c r="C64" s="2">
        <v>17.343599037282683</v>
      </c>
      <c r="D64" s="2">
        <v>15.154054455012099</v>
      </c>
      <c r="E64" s="2">
        <v>15.154054455012099</v>
      </c>
      <c r="F64">
        <v>7.6118280864419114</v>
      </c>
      <c r="G64" s="2">
        <v>1.0252747573686323</v>
      </c>
      <c r="H64" s="10">
        <v>1.0252747573686323</v>
      </c>
      <c r="I64">
        <v>1.023052265423914</v>
      </c>
      <c r="J64" s="2">
        <v>851.43966488537433</v>
      </c>
      <c r="K64" s="2">
        <v>851.43966488537433</v>
      </c>
      <c r="L64">
        <v>846.9846444279126</v>
      </c>
      <c r="M64" s="2">
        <v>4.2768527136356287</v>
      </c>
      <c r="N64" s="28">
        <v>4.2768527136356287</v>
      </c>
      <c r="O64">
        <v>12.775263635242121</v>
      </c>
      <c r="P64">
        <v>0.83464663716677567</v>
      </c>
      <c r="Q64">
        <v>0.83464663716677567</v>
      </c>
      <c r="R64">
        <v>0.83956425047874417</v>
      </c>
    </row>
    <row r="65" spans="1:18" outlineLevel="1" x14ac:dyDescent="0.45">
      <c r="A65" s="44">
        <v>6</v>
      </c>
      <c r="B65" s="46">
        <f t="shared" si="1"/>
        <v>21.429498796603355</v>
      </c>
      <c r="C65" s="2">
        <v>21.429498796603355</v>
      </c>
      <c r="D65" s="2">
        <v>19.549861344141167</v>
      </c>
      <c r="E65" s="2">
        <v>19.549861344141167</v>
      </c>
      <c r="F65">
        <v>9.8198263776306298</v>
      </c>
      <c r="G65" s="2">
        <v>1.0315182177972313</v>
      </c>
      <c r="H65" s="10">
        <v>1.0315182177972313</v>
      </c>
      <c r="I65">
        <v>1.0277002122733561</v>
      </c>
      <c r="J65" s="2">
        <v>849.93054974355812</v>
      </c>
      <c r="K65" s="2">
        <v>849.93054974355812</v>
      </c>
      <c r="L65">
        <v>844.99137681301011</v>
      </c>
      <c r="M65" s="2">
        <v>3.6840738072317682</v>
      </c>
      <c r="N65" s="2">
        <v>3.6840738072317682</v>
      </c>
      <c r="O65">
        <v>11.561471109904048</v>
      </c>
      <c r="P65">
        <v>0.79580013160378804</v>
      </c>
      <c r="Q65">
        <v>0.79580013160378804</v>
      </c>
      <c r="R65">
        <v>0.80348347933771713</v>
      </c>
    </row>
    <row r="66" spans="1:18" outlineLevel="1" x14ac:dyDescent="0.45">
      <c r="A66" s="44">
        <v>7</v>
      </c>
      <c r="B66" s="46">
        <f t="shared" si="1"/>
        <v>25.515398555924026</v>
      </c>
      <c r="C66" s="2">
        <v>25.515398555924026</v>
      </c>
      <c r="D66" s="2">
        <v>24.120996980148316</v>
      </c>
      <c r="E66" s="2">
        <v>24.120996980148316</v>
      </c>
      <c r="F66">
        <v>12.115891679783919</v>
      </c>
      <c r="G66" s="2">
        <v>1.0381373812887227</v>
      </c>
      <c r="H66" s="10">
        <v>1.0381373812887227</v>
      </c>
      <c r="I66">
        <v>1.0325955937961664</v>
      </c>
      <c r="J66" s="2">
        <v>848.27697304788239</v>
      </c>
      <c r="K66" s="2">
        <v>848.27697304788239</v>
      </c>
      <c r="L66">
        <v>842.88698754358916</v>
      </c>
      <c r="M66" s="2">
        <v>3.2129441328488983</v>
      </c>
      <c r="N66" s="2">
        <v>3.2129441328488983</v>
      </c>
      <c r="O66">
        <v>10.507019750016946</v>
      </c>
      <c r="P66">
        <v>0.7569604348680431</v>
      </c>
      <c r="Q66">
        <v>0.7569604348680431</v>
      </c>
      <c r="R66">
        <v>0.76801307007478892</v>
      </c>
    </row>
    <row r="67" spans="1:18" outlineLevel="1" x14ac:dyDescent="0.45">
      <c r="A67" s="44">
        <v>8</v>
      </c>
      <c r="B67" s="46">
        <f t="shared" si="1"/>
        <v>29.601298315244698</v>
      </c>
      <c r="C67" s="2">
        <v>29.601298315244698</v>
      </c>
      <c r="D67" s="2">
        <v>28.844523681797149</v>
      </c>
      <c r="E67" s="2">
        <v>28.844523681797149</v>
      </c>
      <c r="F67">
        <v>14.488502476545118</v>
      </c>
      <c r="G67" s="2">
        <v>1.0451014799258675</v>
      </c>
      <c r="H67" s="10">
        <v>1.0451014799258675</v>
      </c>
      <c r="I67">
        <v>1.0377168267059278</v>
      </c>
      <c r="J67" s="2">
        <v>846.48961387959037</v>
      </c>
      <c r="K67" s="2">
        <v>846.48961387959037</v>
      </c>
      <c r="L67">
        <v>840.68254458413821</v>
      </c>
      <c r="M67" s="2">
        <v>2.8333621343502871</v>
      </c>
      <c r="N67" s="2">
        <v>2.8333621343502871</v>
      </c>
      <c r="O67">
        <v>9.5904229528244898</v>
      </c>
      <c r="P67">
        <v>0.71815804088134838</v>
      </c>
      <c r="Q67">
        <v>0.71815804088134838</v>
      </c>
      <c r="R67">
        <v>0.73316171026175736</v>
      </c>
    </row>
    <row r="68" spans="1:18" outlineLevel="1" x14ac:dyDescent="0.45">
      <c r="A68" s="44">
        <v>9</v>
      </c>
      <c r="B68" s="46">
        <f t="shared" si="1"/>
        <v>33.687198074565366</v>
      </c>
      <c r="C68" s="2">
        <v>33.687198074565366</v>
      </c>
      <c r="D68" s="2">
        <v>33.703340250448868</v>
      </c>
      <c r="E68" s="2">
        <v>33.703340250448868</v>
      </c>
      <c r="F68">
        <v>16.929068896174169</v>
      </c>
      <c r="G68" s="2">
        <v>1.0523864502714482</v>
      </c>
      <c r="H68" s="10">
        <v>1.0523864502714482</v>
      </c>
      <c r="I68">
        <v>1.043047505197235</v>
      </c>
      <c r="J68" s="2">
        <v>844.57830041380907</v>
      </c>
      <c r="K68" s="2">
        <v>844.57830041380907</v>
      </c>
      <c r="L68">
        <v>838.38709749270708</v>
      </c>
      <c r="M68" s="2">
        <v>2.5233926050489499</v>
      </c>
      <c r="N68" s="2">
        <v>2.5233926050489499</v>
      </c>
      <c r="O68">
        <v>8.7915974491929045</v>
      </c>
      <c r="P68">
        <v>0.67943186293901991</v>
      </c>
      <c r="Q68">
        <v>0.67943186293901991</v>
      </c>
      <c r="R68">
        <v>0.69894119599634219</v>
      </c>
    </row>
    <row r="69" spans="1:18" outlineLevel="1" x14ac:dyDescent="0.45">
      <c r="A69" s="44">
        <v>10</v>
      </c>
      <c r="B69" s="46">
        <f t="shared" si="1"/>
        <v>37.773097833886034</v>
      </c>
      <c r="C69" s="2">
        <v>37.773097833886034</v>
      </c>
      <c r="D69" s="2">
        <v>38.684151163661475</v>
      </c>
      <c r="E69" s="2">
        <v>38.684151163661475</v>
      </c>
      <c r="F69">
        <v>19.430912644657504</v>
      </c>
      <c r="G69" s="2">
        <v>1.0599726995394345</v>
      </c>
      <c r="H69" s="10">
        <v>1.0599726995394345</v>
      </c>
      <c r="I69">
        <v>1.0485745752779119</v>
      </c>
      <c r="J69" s="2">
        <v>842.55217103393522</v>
      </c>
      <c r="K69" s="2">
        <v>842.55217103393522</v>
      </c>
      <c r="L69">
        <v>836.00837065141309</v>
      </c>
      <c r="M69" s="2">
        <v>2.2670350952203826</v>
      </c>
      <c r="N69" s="2">
        <v>2.2670350952203826</v>
      </c>
      <c r="O69">
        <v>8.092891811419598</v>
      </c>
      <c r="P69">
        <v>0.64082539864001764</v>
      </c>
      <c r="Q69">
        <v>0.64082539864001764</v>
      </c>
      <c r="R69">
        <v>0.66536385630966211</v>
      </c>
    </row>
    <row r="70" spans="1:18" outlineLevel="1" x14ac:dyDescent="0.45">
      <c r="A70" s="44">
        <v>11</v>
      </c>
      <c r="B70" s="46">
        <f t="shared" si="1"/>
        <v>41.858997593206702</v>
      </c>
      <c r="C70" s="2">
        <v>41.858997593206702</v>
      </c>
      <c r="D70" s="2">
        <v>43.776290848338185</v>
      </c>
      <c r="E70" s="2">
        <v>43.776290848338185</v>
      </c>
      <c r="F70">
        <v>21.988676442258743</v>
      </c>
      <c r="G70" s="2">
        <v>1.0678438119876472</v>
      </c>
      <c r="H70" s="10">
        <v>1.0678438119876472</v>
      </c>
      <c r="I70">
        <v>1.0542872950610556</v>
      </c>
      <c r="J70" s="2">
        <v>840.41976560236117</v>
      </c>
      <c r="K70" s="2">
        <v>840.41976560236117</v>
      </c>
      <c r="L70">
        <v>833.55315038275421</v>
      </c>
      <c r="M70" s="2">
        <v>2.052517761393815</v>
      </c>
      <c r="N70" s="2">
        <v>2.052517761393815</v>
      </c>
      <c r="O70">
        <v>7.4792309500000211</v>
      </c>
      <c r="P70">
        <v>0.60238415504194409</v>
      </c>
      <c r="Q70">
        <v>0.60238415504194409</v>
      </c>
      <c r="R70">
        <v>0.63244101204616321</v>
      </c>
    </row>
    <row r="71" spans="1:18" outlineLevel="1" x14ac:dyDescent="0.45">
      <c r="A71" s="44">
        <v>12</v>
      </c>
      <c r="B71" s="46">
        <f t="shared" si="1"/>
        <v>45.94489735252737</v>
      </c>
      <c r="C71" s="2">
        <v>45.94489735252737</v>
      </c>
      <c r="D71" s="2">
        <v>48.970992830508102</v>
      </c>
      <c r="E71" s="2">
        <v>48.970992830508102</v>
      </c>
      <c r="F71">
        <v>24.597956920032022</v>
      </c>
      <c r="G71" s="2">
        <v>1.0759857381309996</v>
      </c>
      <c r="H71" s="10">
        <v>1.0759857381309996</v>
      </c>
      <c r="I71">
        <v>1.0601765970858861</v>
      </c>
      <c r="J71" s="2">
        <v>838.18908689746945</v>
      </c>
      <c r="K71" s="2">
        <v>838.18908689746945</v>
      </c>
      <c r="L71">
        <v>831.02751862298317</v>
      </c>
      <c r="M71" s="2">
        <v>1.8710787939746432</v>
      </c>
      <c r="N71" s="2">
        <v>1.8710787939746432</v>
      </c>
      <c r="O71">
        <v>6.9379178954980576</v>
      </c>
      <c r="P71">
        <v>0.56415385426856446</v>
      </c>
      <c r="Q71">
        <v>0.56415385426856446</v>
      </c>
      <c r="R71">
        <v>0.60018206160413512</v>
      </c>
    </row>
    <row r="72" spans="1:18" outlineLevel="1" x14ac:dyDescent="0.45">
      <c r="A72" s="44">
        <v>13</v>
      </c>
      <c r="B72" s="46">
        <f t="shared" si="1"/>
        <v>50.030797111848038</v>
      </c>
      <c r="C72" s="2">
        <v>50.030797111848038</v>
      </c>
      <c r="D72" s="2">
        <v>54.260910071364478</v>
      </c>
      <c r="E72" s="2">
        <v>54.260910071364478</v>
      </c>
      <c r="F72">
        <v>27.255063686306471</v>
      </c>
      <c r="G72" s="2">
        <v>1.0843862549524523</v>
      </c>
      <c r="H72" s="10">
        <v>1.0843862549524523</v>
      </c>
      <c r="I72">
        <v>1.0662346740182018</v>
      </c>
      <c r="J72" s="2">
        <v>835.86764729295999</v>
      </c>
      <c r="K72" s="2">
        <v>835.86764729295999</v>
      </c>
      <c r="L72">
        <v>828.43700307087681</v>
      </c>
      <c r="M72" s="2">
        <v>1.7161139954238955</v>
      </c>
      <c r="N72" s="2">
        <v>1.7161139954238955</v>
      </c>
      <c r="O72">
        <v>6.4583253961675684</v>
      </c>
      <c r="P72">
        <v>0.52617916373374751</v>
      </c>
      <c r="Q72">
        <v>0.52617916373374751</v>
      </c>
      <c r="R72">
        <v>0.56859396933094708</v>
      </c>
    </row>
    <row r="73" spans="1:18" outlineLevel="1" x14ac:dyDescent="0.45">
      <c r="A73" s="44">
        <v>14</v>
      </c>
      <c r="B73" s="46">
        <f t="shared" si="1"/>
        <v>54.116696871168706</v>
      </c>
      <c r="C73" s="2">
        <v>54.116696871168706</v>
      </c>
      <c r="D73" s="2">
        <v>59.639786346701669</v>
      </c>
      <c r="E73" s="2">
        <v>59.639786346701669</v>
      </c>
      <c r="F73">
        <v>29.956854261736666</v>
      </c>
      <c r="G73" s="2">
        <v>1.0930345891378184</v>
      </c>
      <c r="H73" s="10">
        <v>1.0930345891378184</v>
      </c>
      <c r="I73">
        <v>1.0724546967293833</v>
      </c>
      <c r="J73" s="2">
        <v>833.46250698656468</v>
      </c>
      <c r="K73" s="2">
        <v>833.46250698656468</v>
      </c>
      <c r="L73">
        <v>825.78667881909257</v>
      </c>
      <c r="M73" s="2">
        <v>1.5825819803599119</v>
      </c>
      <c r="N73" s="2">
        <v>1.5825819803599119</v>
      </c>
      <c r="O73">
        <v>6.0315760967724099</v>
      </c>
      <c r="P73">
        <v>0.4885028030623349</v>
      </c>
      <c r="Q73">
        <v>0.4885028030623349</v>
      </c>
      <c r="R73">
        <v>0.53768102313230037</v>
      </c>
    </row>
    <row r="74" spans="1:18" outlineLevel="1" x14ac:dyDescent="0.45">
      <c r="A74" s="44">
        <v>15</v>
      </c>
      <c r="B74" s="46">
        <f t="shared" si="1"/>
        <v>58.202596630489374</v>
      </c>
      <c r="C74" s="2">
        <v>58.202596630489374</v>
      </c>
      <c r="D74" s="2">
        <v>65.102223121008905</v>
      </c>
      <c r="E74" s="2">
        <v>65.102223121008905</v>
      </c>
      <c r="F74">
        <v>32.700616980982609</v>
      </c>
      <c r="G74" s="2">
        <v>1.1019211439741199</v>
      </c>
      <c r="H74" s="10">
        <v>1.1019211439741199</v>
      </c>
      <c r="I74">
        <v>1.0788306150108711</v>
      </c>
      <c r="J74" s="2">
        <v>830.98030671091419</v>
      </c>
      <c r="K74" s="2">
        <v>830.98030671091419</v>
      </c>
      <c r="L74">
        <v>823.08124026218775</v>
      </c>
      <c r="M74" s="2">
        <v>1.4665868095997878</v>
      </c>
      <c r="N74" s="2">
        <v>1.4665868095997878</v>
      </c>
      <c r="O74">
        <v>5.6502503577578036</v>
      </c>
      <c r="P74">
        <v>0.45116493590911438</v>
      </c>
      <c r="Q74">
        <v>0.45116493590911438</v>
      </c>
      <c r="R74">
        <v>0.50744477678137467</v>
      </c>
    </row>
    <row r="75" spans="1:18" outlineLevel="1" x14ac:dyDescent="0.45">
      <c r="A75" s="44">
        <v>16</v>
      </c>
      <c r="B75" s="46">
        <f t="shared" si="1"/>
        <v>62.288496389810042</v>
      </c>
      <c r="C75" s="2">
        <v>62.288496389810042</v>
      </c>
      <c r="D75" s="2">
        <v>70.643509318863522</v>
      </c>
      <c r="E75" s="2">
        <v>70.643509318863522</v>
      </c>
      <c r="F75">
        <v>35.483985487481007</v>
      </c>
      <c r="G75" s="2">
        <v>1.1110372952152698</v>
      </c>
      <c r="H75" s="10">
        <v>1.1110372952152698</v>
      </c>
      <c r="I75">
        <v>1.0853570121401381</v>
      </c>
      <c r="J75" s="2">
        <v>828.42729645368343</v>
      </c>
      <c r="K75" s="2">
        <v>828.42729645368343</v>
      </c>
      <c r="L75">
        <v>820.32505395936948</v>
      </c>
      <c r="M75" s="2">
        <v>1.3650823797889156</v>
      </c>
      <c r="N75" s="2">
        <v>1.3650823797889156</v>
      </c>
      <c r="O75">
        <v>5.3081340621613906</v>
      </c>
      <c r="P75">
        <v>0.41420278585004811</v>
      </c>
      <c r="Q75">
        <v>0.41420278585004811</v>
      </c>
      <c r="R75">
        <v>0.4778841207098275</v>
      </c>
    </row>
    <row r="76" spans="1:18" outlineLevel="1" x14ac:dyDescent="0.45">
      <c r="A76" s="44">
        <v>17</v>
      </c>
      <c r="B76" s="46">
        <f t="shared" si="1"/>
        <v>66.374396149130718</v>
      </c>
      <c r="C76" s="2">
        <v>66.374396149130718</v>
      </c>
      <c r="D76" s="2">
        <v>76.259493960147694</v>
      </c>
      <c r="E76" s="2">
        <v>76.259493960147694</v>
      </c>
      <c r="F76">
        <v>38.304874758564154</v>
      </c>
      <c r="G76" s="2">
        <v>1.1203752345814788</v>
      </c>
      <c r="H76" s="10">
        <v>1.1203752345814788</v>
      </c>
      <c r="I76">
        <v>1.0920289958375398</v>
      </c>
      <c r="J76" s="2">
        <v>825.80936108017181</v>
      </c>
      <c r="K76" s="2">
        <v>825.80936108017181</v>
      </c>
      <c r="L76">
        <v>817.5221988131085</v>
      </c>
      <c r="M76" s="2">
        <v>1.275660732416726</v>
      </c>
      <c r="N76" s="2">
        <v>1.275660732416726</v>
      </c>
      <c r="O76">
        <v>5.0000071599925153</v>
      </c>
      <c r="P76">
        <v>0.37765043348397281</v>
      </c>
      <c r="Q76">
        <v>0.37765043348397281</v>
      </c>
      <c r="R76">
        <v>0.4489954424395734</v>
      </c>
    </row>
    <row r="77" spans="1:18" outlineLevel="1" x14ac:dyDescent="0.45">
      <c r="A77" s="44">
        <v>18</v>
      </c>
      <c r="B77" s="46">
        <f t="shared" si="1"/>
        <v>70.460295908451386</v>
      </c>
      <c r="C77" s="2">
        <v>70.460295908451386</v>
      </c>
      <c r="D77" s="2">
        <v>81.946488861837338</v>
      </c>
      <c r="E77" s="2">
        <v>81.946488861837338</v>
      </c>
      <c r="F77">
        <v>41.161432232911608</v>
      </c>
      <c r="G77" s="2">
        <v>1.1299278472057264</v>
      </c>
      <c r="H77" s="10">
        <v>1.1299278472057264</v>
      </c>
      <c r="I77">
        <v>1.0988421145912328</v>
      </c>
      <c r="J77" s="2">
        <v>823.13204343959728</v>
      </c>
      <c r="K77" s="2">
        <v>823.13204343959728</v>
      </c>
      <c r="L77">
        <v>814.67649750963233</v>
      </c>
      <c r="M77" s="2">
        <v>1.1963986885655</v>
      </c>
      <c r="N77" s="2">
        <v>1.1963986885655</v>
      </c>
      <c r="O77">
        <v>4.721469088722011</v>
      </c>
      <c r="P77">
        <v>0.34153876278275164</v>
      </c>
      <c r="Q77">
        <v>0.34153876278275164</v>
      </c>
      <c r="R77">
        <v>0.42077284905507528</v>
      </c>
    </row>
    <row r="78" spans="1:18" outlineLevel="1" x14ac:dyDescent="0.45">
      <c r="A78" s="44">
        <v>19</v>
      </c>
      <c r="B78" s="46">
        <f t="shared" si="1"/>
        <v>74.546195667772054</v>
      </c>
      <c r="C78" s="2">
        <v>74.546195667772054</v>
      </c>
      <c r="D78" s="2">
        <v>87.701192958585537</v>
      </c>
      <c r="E78" s="2">
        <v>87.701192958585537</v>
      </c>
      <c r="F78">
        <v>44.051999797046399</v>
      </c>
      <c r="G78" s="2">
        <v>1.1396886139241917</v>
      </c>
      <c r="H78" s="10">
        <v>1.1396886139241917</v>
      </c>
      <c r="I78">
        <v>1.10579229214894</v>
      </c>
      <c r="J78" s="2">
        <v>820.40056536745033</v>
      </c>
      <c r="K78" s="2">
        <v>820.40056536745033</v>
      </c>
      <c r="L78">
        <v>811.7915417568563</v>
      </c>
      <c r="M78" s="2">
        <v>1.1257454374622893</v>
      </c>
      <c r="N78" s="2">
        <v>1.1257454374622893</v>
      </c>
      <c r="O78">
        <v>4.4687957917441903</v>
      </c>
      <c r="P78">
        <v>0.30589553164207089</v>
      </c>
      <c r="Q78">
        <v>0.30589553164207089</v>
      </c>
      <c r="R78">
        <v>0.39320843171952757</v>
      </c>
    </row>
    <row r="79" spans="1:18" outlineLevel="1" x14ac:dyDescent="0.45">
      <c r="A79" s="44">
        <v>20</v>
      </c>
      <c r="B79" s="46">
        <f t="shared" si="1"/>
        <v>78.632095427092722</v>
      </c>
      <c r="C79" s="2">
        <v>78.632095427092722</v>
      </c>
      <c r="D79" s="2">
        <v>93.520632505562418</v>
      </c>
      <c r="E79" s="2">
        <v>93.520632505562418</v>
      </c>
      <c r="F79">
        <v>46.9750837494324</v>
      </c>
      <c r="G79" s="2">
        <v>1.1496515321661374</v>
      </c>
      <c r="H79" s="10">
        <v>1.1496515321661374</v>
      </c>
      <c r="I79">
        <v>1.1128757753296028</v>
      </c>
      <c r="J79" s="2">
        <v>817.6198468951327</v>
      </c>
      <c r="K79" s="2">
        <v>817.6198468951327</v>
      </c>
      <c r="L79">
        <v>808.87071300035359</v>
      </c>
      <c r="M79" s="2">
        <v>1.0624391992452116</v>
      </c>
      <c r="N79" s="2">
        <v>1.0624391992452116</v>
      </c>
      <c r="O79">
        <v>4.238823042249356</v>
      </c>
      <c r="P79">
        <v>0.27074554617556945</v>
      </c>
      <c r="Q79">
        <v>0.27074554617556945</v>
      </c>
      <c r="R79">
        <v>0.36629255757650808</v>
      </c>
    </row>
    <row r="80" spans="1:18" outlineLevel="1" x14ac:dyDescent="0.45">
      <c r="A80" s="44">
        <v>21</v>
      </c>
      <c r="B80" s="47">
        <f>G24</f>
        <v>82.717995186413418</v>
      </c>
      <c r="C80" s="2">
        <v>82.717995186413418</v>
      </c>
      <c r="D80" s="2">
        <v>99.402113171021938</v>
      </c>
      <c r="E80" s="2">
        <v>99.402113171021938</v>
      </c>
      <c r="F80">
        <v>49.929330736739672</v>
      </c>
      <c r="G80" s="2">
        <v>1.1598110510438144</v>
      </c>
      <c r="H80" s="10">
        <v>1.1598110510438144</v>
      </c>
      <c r="I80">
        <v>1.1200890918059392</v>
      </c>
      <c r="J80" s="2">
        <v>814.79452391165955</v>
      </c>
      <c r="K80" s="2">
        <v>814.79452391165955</v>
      </c>
      <c r="L80">
        <v>805.91719976248942</v>
      </c>
      <c r="M80" s="2">
        <v>1.0054447609364912</v>
      </c>
      <c r="N80" s="2">
        <v>1.0054447609364912</v>
      </c>
      <c r="O80">
        <v>4.0288513220149778</v>
      </c>
      <c r="P80">
        <v>0.2361109214829763</v>
      </c>
      <c r="Q80">
        <v>0.2361109214829763</v>
      </c>
      <c r="R80">
        <v>0.34001417823638713</v>
      </c>
    </row>
    <row r="81" spans="1:18" outlineLevel="1" x14ac:dyDescent="0.45">
      <c r="A81" s="44">
        <v>22</v>
      </c>
      <c r="B81" s="46">
        <f t="shared" ref="B81:B99" si="2">($B$100-$B$80)/($A$100-$A$80)+B80</f>
        <v>93.582095427092753</v>
      </c>
      <c r="C81" s="2">
        <v>93.582095427092753</v>
      </c>
      <c r="D81" s="2">
        <v>100</v>
      </c>
      <c r="E81" s="2">
        <v>100</v>
      </c>
      <c r="F81">
        <v>57.927052951087354</v>
      </c>
      <c r="G81" s="2">
        <v>1.1575917406248379</v>
      </c>
      <c r="H81" s="10">
        <v>1.1575917406248379</v>
      </c>
      <c r="I81">
        <v>1.1398766200344992</v>
      </c>
      <c r="J81" s="2">
        <v>816.79832951264268</v>
      </c>
      <c r="K81" s="2">
        <v>816.79832951264268</v>
      </c>
      <c r="L81">
        <v>797.92726723854776</v>
      </c>
      <c r="M81" s="2">
        <v>1.027384216778682</v>
      </c>
      <c r="N81" s="2">
        <v>1.027384216778682</v>
      </c>
      <c r="O81">
        <v>3.5513689827805162</v>
      </c>
      <c r="P81">
        <v>0.14667023945601262</v>
      </c>
      <c r="Q81">
        <v>0.14667023945601262</v>
      </c>
      <c r="R81">
        <v>0.27314890691078814</v>
      </c>
    </row>
    <row r="82" spans="1:18" outlineLevel="1" x14ac:dyDescent="0.45">
      <c r="A82" s="44">
        <v>23</v>
      </c>
      <c r="B82" s="46">
        <f t="shared" si="2"/>
        <v>104.44619566777209</v>
      </c>
      <c r="C82" s="2">
        <v>104.44619566777209</v>
      </c>
      <c r="D82" s="2">
        <v>100</v>
      </c>
      <c r="E82" s="2">
        <v>100</v>
      </c>
      <c r="F82">
        <v>66.116836603516731</v>
      </c>
      <c r="G82" s="2">
        <v>1.1550187672765913</v>
      </c>
      <c r="H82" s="10">
        <v>1.1550187672765913</v>
      </c>
      <c r="I82">
        <v>1.1605062131117017</v>
      </c>
      <c r="J82" s="2">
        <v>818.61786733511792</v>
      </c>
      <c r="K82" s="2">
        <v>818.61786733511792</v>
      </c>
      <c r="L82">
        <v>789.77815641107816</v>
      </c>
      <c r="M82" s="2">
        <v>1.0583522869351631</v>
      </c>
      <c r="N82" s="2">
        <v>1.0583522869351631</v>
      </c>
      <c r="O82">
        <v>3.1663797752761074</v>
      </c>
      <c r="P82">
        <v>6.1322264580717385E-2</v>
      </c>
      <c r="Q82">
        <v>6.1322264580717385E-2</v>
      </c>
      <c r="R82">
        <v>0.21045589872431164</v>
      </c>
    </row>
    <row r="83" spans="1:18" outlineLevel="1" x14ac:dyDescent="0.45">
      <c r="A83" s="44">
        <v>24</v>
      </c>
      <c r="B83" s="46">
        <f t="shared" si="2"/>
        <v>115.31029590845142</v>
      </c>
      <c r="C83" s="2">
        <v>115.31029590845142</v>
      </c>
      <c r="D83" s="2">
        <v>100</v>
      </c>
      <c r="E83" s="2">
        <v>100</v>
      </c>
      <c r="F83">
        <v>74.482547288615194</v>
      </c>
      <c r="G83" s="2">
        <v>1.1529348301793272</v>
      </c>
      <c r="H83" s="10">
        <v>1.1529348301793272</v>
      </c>
      <c r="I83">
        <v>1.1819322528655662</v>
      </c>
      <c r="J83" s="2">
        <v>820.09752437866257</v>
      </c>
      <c r="K83" s="2">
        <v>820.09752437866257</v>
      </c>
      <c r="L83">
        <v>781.51410740866947</v>
      </c>
      <c r="M83" s="2">
        <v>1.092605097183809</v>
      </c>
      <c r="N83" s="2">
        <v>1.092605097183809</v>
      </c>
      <c r="O83">
        <v>2.8507355560454375</v>
      </c>
      <c r="P83">
        <v>0</v>
      </c>
      <c r="Q83">
        <v>0</v>
      </c>
      <c r="R83">
        <v>0.15169147668177993</v>
      </c>
    </row>
    <row r="84" spans="1:18" outlineLevel="1" x14ac:dyDescent="0.45">
      <c r="A84" s="44">
        <v>25</v>
      </c>
      <c r="B84" s="46">
        <f t="shared" si="2"/>
        <v>126.17439614913076</v>
      </c>
      <c r="C84" s="2">
        <v>126.17439614913076</v>
      </c>
      <c r="D84" s="2">
        <v>100</v>
      </c>
      <c r="E84" s="2">
        <v>100</v>
      </c>
      <c r="F84">
        <v>83.010821462413418</v>
      </c>
      <c r="G84" s="2">
        <v>1.1512126078076674</v>
      </c>
      <c r="H84" s="10">
        <v>1.1512126078076674</v>
      </c>
      <c r="I84">
        <v>1.2041153938500315</v>
      </c>
      <c r="J84" s="2">
        <v>821.32439619525724</v>
      </c>
      <c r="K84" s="2">
        <v>821.32439619525724</v>
      </c>
      <c r="L84">
        <v>773.17342603660211</v>
      </c>
      <c r="M84" s="2">
        <v>1.1298971206493074</v>
      </c>
      <c r="N84" s="2">
        <v>1.1298971206493074</v>
      </c>
      <c r="O84">
        <v>2.5881448757809533</v>
      </c>
      <c r="P84">
        <v>0</v>
      </c>
      <c r="Q84">
        <v>0</v>
      </c>
      <c r="R84">
        <v>9.6652944566165785E-2</v>
      </c>
    </row>
    <row r="85" spans="1:18" outlineLevel="1" x14ac:dyDescent="0.45">
      <c r="A85" s="44">
        <v>26</v>
      </c>
      <c r="B85" s="46">
        <f t="shared" si="2"/>
        <v>137.03849638981009</v>
      </c>
      <c r="C85" s="2">
        <v>137.03849638981009</v>
      </c>
      <c r="D85" s="2">
        <v>100</v>
      </c>
      <c r="E85" s="2">
        <v>100</v>
      </c>
      <c r="F85">
        <v>91.690389339733841</v>
      </c>
      <c r="G85" s="2">
        <v>1.1497654464310965</v>
      </c>
      <c r="H85" s="10">
        <v>1.1497654464310965</v>
      </c>
      <c r="I85">
        <v>1.2270212317049416</v>
      </c>
      <c r="J85" s="2">
        <v>822.35816264518724</v>
      </c>
      <c r="K85" s="2">
        <v>822.35816264518724</v>
      </c>
      <c r="L85">
        <v>764.78929607071746</v>
      </c>
      <c r="M85" s="2">
        <v>1.1700193190235846</v>
      </c>
      <c r="N85" s="2">
        <v>1.1700193190235846</v>
      </c>
      <c r="O85">
        <v>2.3668789394542484</v>
      </c>
      <c r="P85">
        <v>0</v>
      </c>
      <c r="Q85">
        <v>0</v>
      </c>
      <c r="R85">
        <v>4.5212227021245499E-2</v>
      </c>
    </row>
    <row r="86" spans="1:18" outlineLevel="1" x14ac:dyDescent="0.45">
      <c r="A86" s="44">
        <v>27</v>
      </c>
      <c r="B86" s="46">
        <f t="shared" si="2"/>
        <v>147.90259663048943</v>
      </c>
      <c r="C86" s="2">
        <v>147.90259663048943</v>
      </c>
      <c r="D86" s="2">
        <v>100</v>
      </c>
      <c r="E86" s="2">
        <v>100</v>
      </c>
      <c r="F86">
        <v>100</v>
      </c>
      <c r="G86" s="2">
        <v>1.148532323897125</v>
      </c>
      <c r="H86" s="10">
        <v>1.148532323897125</v>
      </c>
      <c r="I86">
        <v>1.2489648815331147</v>
      </c>
      <c r="J86" s="2">
        <v>823.24108806248182</v>
      </c>
      <c r="K86" s="2">
        <v>823.24108806248182</v>
      </c>
      <c r="L86">
        <v>757.04210260849572</v>
      </c>
      <c r="M86" s="2">
        <v>1.2127872985250252</v>
      </c>
      <c r="N86" s="2">
        <v>1.2127872985250252</v>
      </c>
      <c r="O86">
        <v>2.1923633335663339</v>
      </c>
      <c r="P86">
        <v>0</v>
      </c>
      <c r="Q86">
        <v>0</v>
      </c>
      <c r="R86">
        <v>0</v>
      </c>
    </row>
    <row r="87" spans="1:18" outlineLevel="1" x14ac:dyDescent="0.45">
      <c r="A87" s="44">
        <v>28</v>
      </c>
      <c r="B87" s="46">
        <f t="shared" si="2"/>
        <v>158.76669687116876</v>
      </c>
      <c r="C87" s="2">
        <v>158.76669687116876</v>
      </c>
      <c r="D87" s="2">
        <v>100</v>
      </c>
      <c r="E87" s="2">
        <v>100</v>
      </c>
      <c r="F87">
        <v>100</v>
      </c>
      <c r="G87" s="2">
        <v>1.147469025245093</v>
      </c>
      <c r="H87" s="10">
        <v>1.147469025245093</v>
      </c>
      <c r="I87">
        <v>1.2469171213490209</v>
      </c>
      <c r="J87" s="2">
        <v>824.00394189119174</v>
      </c>
      <c r="K87" s="2">
        <v>824.00394189119174</v>
      </c>
      <c r="L87">
        <v>758.28536140161202</v>
      </c>
      <c r="M87" s="2">
        <v>1.2580329173574858</v>
      </c>
      <c r="N87" s="2">
        <v>1.2580329173574858</v>
      </c>
      <c r="O87">
        <v>2.2255149688261042</v>
      </c>
      <c r="P87">
        <v>0</v>
      </c>
      <c r="Q87">
        <v>0</v>
      </c>
      <c r="R87">
        <v>0</v>
      </c>
    </row>
    <row r="88" spans="1:18" outlineLevel="1" x14ac:dyDescent="0.45">
      <c r="A88" s="44">
        <v>29</v>
      </c>
      <c r="B88" s="46">
        <f t="shared" si="2"/>
        <v>169.6307971118481</v>
      </c>
      <c r="C88" s="2">
        <v>169.6307971118481</v>
      </c>
      <c r="D88" s="2">
        <v>100</v>
      </c>
      <c r="E88" s="2">
        <v>100</v>
      </c>
      <c r="F88">
        <v>100</v>
      </c>
      <c r="G88" s="2">
        <v>1.1465427290790418</v>
      </c>
      <c r="H88" s="10">
        <v>1.1465427290790418</v>
      </c>
      <c r="I88">
        <v>1.2451344011667469</v>
      </c>
      <c r="J88" s="2">
        <v>824.66965776276504</v>
      </c>
      <c r="K88" s="2">
        <v>824.66965776276504</v>
      </c>
      <c r="L88">
        <v>759.37103586087267</v>
      </c>
      <c r="M88" s="2">
        <v>1.3055982457759914</v>
      </c>
      <c r="N88" s="2">
        <v>1.3055982457759914</v>
      </c>
      <c r="O88">
        <v>2.2612505580619069</v>
      </c>
      <c r="P88">
        <v>0</v>
      </c>
      <c r="Q88">
        <v>0</v>
      </c>
      <c r="R88">
        <v>0</v>
      </c>
    </row>
    <row r="89" spans="1:18" outlineLevel="1" x14ac:dyDescent="0.45">
      <c r="A89" s="44">
        <v>30</v>
      </c>
      <c r="B89" s="46">
        <f t="shared" si="2"/>
        <v>180.49489735252743</v>
      </c>
      <c r="C89" s="2">
        <v>180.49489735252743</v>
      </c>
      <c r="D89" s="2">
        <v>100</v>
      </c>
      <c r="E89" s="2">
        <v>100</v>
      </c>
      <c r="F89">
        <v>100</v>
      </c>
      <c r="G89" s="2">
        <v>1.1457285597676194</v>
      </c>
      <c r="H89" s="10">
        <v>1.1457285597676194</v>
      </c>
      <c r="I89">
        <v>1.2435683941733344</v>
      </c>
      <c r="J89" s="2">
        <v>825.25567852805671</v>
      </c>
      <c r="K89" s="2">
        <v>825.25567852805671</v>
      </c>
      <c r="L89">
        <v>760.32730039632145</v>
      </c>
      <c r="M89" s="2">
        <v>1.3553311830426407</v>
      </c>
      <c r="N89" s="2">
        <v>1.3553311830426407</v>
      </c>
      <c r="O89">
        <v>2.2994368169980333</v>
      </c>
      <c r="P89">
        <v>0</v>
      </c>
      <c r="Q89">
        <v>0</v>
      </c>
      <c r="R89">
        <v>0</v>
      </c>
    </row>
    <row r="90" spans="1:18" outlineLevel="1" x14ac:dyDescent="0.45">
      <c r="A90" s="44">
        <v>31</v>
      </c>
      <c r="B90" s="46">
        <f t="shared" si="2"/>
        <v>191.35899759320677</v>
      </c>
      <c r="C90" s="2">
        <v>191.35899759320677</v>
      </c>
      <c r="D90" s="2">
        <v>100</v>
      </c>
      <c r="E90" s="2">
        <v>100</v>
      </c>
      <c r="F90">
        <v>100</v>
      </c>
      <c r="G90" s="2">
        <v>1.1450073201883566</v>
      </c>
      <c r="H90" s="10">
        <v>1.1450073201883566</v>
      </c>
      <c r="I90">
        <v>1.2421818491383951</v>
      </c>
      <c r="J90" s="2">
        <v>825.77550669672553</v>
      </c>
      <c r="K90" s="2">
        <v>825.77550669672553</v>
      </c>
      <c r="L90">
        <v>761.17599098379435</v>
      </c>
      <c r="M90" s="2">
        <v>1.4070822762108266</v>
      </c>
      <c r="N90" s="2">
        <v>1.4070822762108266</v>
      </c>
      <c r="O90">
        <v>2.3399563934317111</v>
      </c>
      <c r="P90">
        <v>0</v>
      </c>
      <c r="Q90">
        <v>0</v>
      </c>
      <c r="R90">
        <v>0</v>
      </c>
    </row>
    <row r="91" spans="1:18" outlineLevel="1" x14ac:dyDescent="0.45">
      <c r="A91" s="44">
        <v>32</v>
      </c>
      <c r="B91" s="46">
        <f t="shared" si="2"/>
        <v>202.2230978338861</v>
      </c>
      <c r="C91" s="2">
        <v>202.2230978338861</v>
      </c>
      <c r="D91" s="2">
        <v>100</v>
      </c>
      <c r="E91" s="2">
        <v>100</v>
      </c>
      <c r="F91">
        <v>100</v>
      </c>
      <c r="G91" s="2">
        <v>1.1443639588844874</v>
      </c>
      <c r="H91" s="10">
        <v>1.1443639588844874</v>
      </c>
      <c r="I91">
        <v>1.2409455895378689</v>
      </c>
      <c r="J91" s="2">
        <v>826.23975760446081</v>
      </c>
      <c r="K91" s="2">
        <v>826.23975760446081</v>
      </c>
      <c r="L91">
        <v>761.93429266476824</v>
      </c>
      <c r="M91" s="2">
        <v>1.4607024342149095</v>
      </c>
      <c r="N91" s="2">
        <v>1.4607024342149095</v>
      </c>
      <c r="O91">
        <v>2.3827047461369713</v>
      </c>
      <c r="P91">
        <v>0</v>
      </c>
      <c r="Q91">
        <v>0</v>
      </c>
      <c r="R91">
        <v>0</v>
      </c>
    </row>
    <row r="92" spans="1:18" outlineLevel="1" x14ac:dyDescent="0.45">
      <c r="A92" s="44">
        <v>33</v>
      </c>
      <c r="B92" s="46">
        <f t="shared" si="2"/>
        <v>213.08719807456544</v>
      </c>
      <c r="C92" s="2">
        <v>213.08719807456544</v>
      </c>
      <c r="D92" s="2">
        <v>100</v>
      </c>
      <c r="E92" s="2">
        <v>100</v>
      </c>
      <c r="F92">
        <v>100</v>
      </c>
      <c r="G92" s="2">
        <v>1.1437865083116971</v>
      </c>
      <c r="H92" s="10">
        <v>1.1437865083116971</v>
      </c>
      <c r="I92">
        <v>1.2398364381914186</v>
      </c>
      <c r="J92" s="2">
        <v>826.65689193663172</v>
      </c>
      <c r="K92" s="2">
        <v>826.65689193663172</v>
      </c>
      <c r="L92">
        <v>762.61591519221111</v>
      </c>
      <c r="M92" s="2">
        <v>1.516041325019438</v>
      </c>
      <c r="N92" s="2">
        <v>1.516041325019438</v>
      </c>
      <c r="O92">
        <v>2.4275876549845874</v>
      </c>
      <c r="P92">
        <v>0</v>
      </c>
      <c r="Q92">
        <v>0</v>
      </c>
      <c r="R92">
        <v>0</v>
      </c>
    </row>
    <row r="93" spans="1:18" outlineLevel="1" x14ac:dyDescent="0.45">
      <c r="A93" s="44">
        <v>34</v>
      </c>
      <c r="B93" s="46">
        <f t="shared" si="2"/>
        <v>223.95129831524477</v>
      </c>
      <c r="C93" s="2">
        <v>223.95129831524477</v>
      </c>
      <c r="D93" s="2">
        <v>100</v>
      </c>
      <c r="E93" s="2">
        <v>100</v>
      </c>
      <c r="F93">
        <v>100</v>
      </c>
      <c r="G93" s="2">
        <v>1.1432653334956364</v>
      </c>
      <c r="H93" s="10">
        <v>1.1432653334956364</v>
      </c>
      <c r="I93">
        <v>1.2388357506851901</v>
      </c>
      <c r="J93" s="2">
        <v>827.0337359998407</v>
      </c>
      <c r="K93" s="2">
        <v>827.0337359998407</v>
      </c>
      <c r="L93">
        <v>763.23192923439683</v>
      </c>
      <c r="M93" s="2">
        <v>1.5729463048372987</v>
      </c>
      <c r="N93" s="2">
        <v>1.5729463048372987</v>
      </c>
      <c r="O93">
        <v>2.4745192138248622</v>
      </c>
      <c r="P93">
        <v>0</v>
      </c>
      <c r="Q93">
        <v>0</v>
      </c>
      <c r="R93">
        <v>0</v>
      </c>
    </row>
    <row r="94" spans="1:18" outlineLevel="1" x14ac:dyDescent="0.45">
      <c r="A94" s="44">
        <v>35</v>
      </c>
      <c r="B94" s="46">
        <f t="shared" si="2"/>
        <v>234.81539855592411</v>
      </c>
      <c r="C94" s="2">
        <v>234.81539855592411</v>
      </c>
      <c r="D94" s="2">
        <v>100</v>
      </c>
      <c r="E94" s="2">
        <v>100</v>
      </c>
      <c r="F94">
        <v>100</v>
      </c>
      <c r="G94" s="2">
        <v>1.1427925901442102</v>
      </c>
      <c r="H94" s="10">
        <v>1.1427925901442102</v>
      </c>
      <c r="I94">
        <v>1.2379283589505394</v>
      </c>
      <c r="J94" s="2">
        <v>827.37585818672835</v>
      </c>
      <c r="K94" s="2">
        <v>827.37585818672835</v>
      </c>
      <c r="L94">
        <v>763.7913722257473</v>
      </c>
      <c r="M94" s="2">
        <v>1.6312617690259159</v>
      </c>
      <c r="N94" s="2">
        <v>1.6312617690259159</v>
      </c>
      <c r="O94">
        <v>2.523420197952154</v>
      </c>
      <c r="P94">
        <v>0</v>
      </c>
      <c r="Q94">
        <v>0</v>
      </c>
      <c r="R94">
        <v>0</v>
      </c>
    </row>
    <row r="95" spans="1:18" outlineLevel="1" x14ac:dyDescent="0.45">
      <c r="A95" s="44">
        <v>36</v>
      </c>
      <c r="B95" s="46">
        <f t="shared" si="2"/>
        <v>245.67949879660344</v>
      </c>
      <c r="C95" s="2">
        <v>245.67949879660344</v>
      </c>
      <c r="D95" s="2">
        <v>100</v>
      </c>
      <c r="E95" s="2">
        <v>100</v>
      </c>
      <c r="F95">
        <v>100</v>
      </c>
      <c r="G95" s="2">
        <v>1.142361827117272</v>
      </c>
      <c r="H95" s="10">
        <v>1.142361827117272</v>
      </c>
      <c r="I95">
        <v>1.2371017971350247</v>
      </c>
      <c r="J95" s="2">
        <v>827.68784596558078</v>
      </c>
      <c r="K95" s="2">
        <v>827.68784596558078</v>
      </c>
      <c r="L95">
        <v>764.30169464607161</v>
      </c>
      <c r="M95" s="2">
        <v>1.6908288416492978</v>
      </c>
      <c r="N95" s="2">
        <v>1.6908288416492978</v>
      </c>
      <c r="O95">
        <v>2.5742167260574336</v>
      </c>
      <c r="P95">
        <v>0</v>
      </c>
      <c r="Q95">
        <v>0</v>
      </c>
      <c r="R95">
        <v>0</v>
      </c>
    </row>
    <row r="96" spans="1:18" outlineLevel="1" x14ac:dyDescent="0.45">
      <c r="A96" s="44">
        <v>37</v>
      </c>
      <c r="B96" s="46">
        <f t="shared" si="2"/>
        <v>256.54359903728277</v>
      </c>
      <c r="C96" s="2">
        <v>256.54359903728277</v>
      </c>
      <c r="D96" s="2">
        <v>100</v>
      </c>
      <c r="E96" s="2">
        <v>100</v>
      </c>
      <c r="F96">
        <v>100</v>
      </c>
      <c r="G96" s="2">
        <v>1.1419676902954501</v>
      </c>
      <c r="H96" s="10">
        <v>1.1419676902954501</v>
      </c>
      <c r="I96">
        <v>1.2363457255141621</v>
      </c>
      <c r="J96" s="2">
        <v>827.97351276670111</v>
      </c>
      <c r="K96" s="2">
        <v>827.97351276670111</v>
      </c>
      <c r="L96">
        <v>764.76909369892041</v>
      </c>
      <c r="M96" s="2">
        <v>1.7514853394491723</v>
      </c>
      <c r="N96" s="2">
        <v>1.7514853394491723</v>
      </c>
      <c r="O96">
        <v>2.6268391565231184</v>
      </c>
      <c r="P96">
        <v>0</v>
      </c>
      <c r="Q96">
        <v>0</v>
      </c>
      <c r="R96">
        <v>0</v>
      </c>
    </row>
    <row r="97" spans="1:18" outlineLevel="1" x14ac:dyDescent="0.45">
      <c r="A97" s="44">
        <v>38</v>
      </c>
      <c r="B97" s="46">
        <f t="shared" si="2"/>
        <v>267.40769927796208</v>
      </c>
      <c r="C97" s="2">
        <v>267.40769927796208</v>
      </c>
      <c r="D97" s="2">
        <v>100</v>
      </c>
      <c r="E97" s="2">
        <v>100</v>
      </c>
      <c r="F97">
        <v>100</v>
      </c>
      <c r="G97" s="2">
        <v>1.1416056989038812</v>
      </c>
      <c r="H97" s="10">
        <v>1.1416056989038812</v>
      </c>
      <c r="I97">
        <v>1.2356514957543565</v>
      </c>
      <c r="J97" s="2">
        <v>828.23605462713181</v>
      </c>
      <c r="K97" s="2">
        <v>828.23605462713181</v>
      </c>
      <c r="L97">
        <v>765.19876619642446</v>
      </c>
      <c r="M97" s="2">
        <v>1.8130659590157832</v>
      </c>
      <c r="N97" s="2">
        <v>1.8130659590157832</v>
      </c>
      <c r="O97">
        <v>2.6812211723122856</v>
      </c>
      <c r="P97">
        <v>0</v>
      </c>
      <c r="Q97">
        <v>0</v>
      </c>
      <c r="R97">
        <v>0</v>
      </c>
    </row>
    <row r="98" spans="1:18" outlineLevel="1" x14ac:dyDescent="0.45">
      <c r="A98" s="44">
        <v>39</v>
      </c>
      <c r="B98" s="46">
        <f t="shared" si="2"/>
        <v>278.27179951864139</v>
      </c>
      <c r="C98" s="2">
        <v>278.27179951864139</v>
      </c>
      <c r="D98" s="2">
        <v>100</v>
      </c>
      <c r="E98" s="2">
        <v>100</v>
      </c>
      <c r="F98">
        <v>100</v>
      </c>
      <c r="G98" s="2">
        <v>1.1412720744190104</v>
      </c>
      <c r="H98" s="10">
        <v>1.1412720744190104</v>
      </c>
      <c r="I98">
        <v>1.2350118186543246</v>
      </c>
      <c r="J98" s="2">
        <v>828.47817027446081</v>
      </c>
      <c r="K98" s="2">
        <v>828.47817027446081</v>
      </c>
      <c r="L98">
        <v>765.59510258795945</v>
      </c>
      <c r="M98" s="2">
        <v>1.8754026451768135</v>
      </c>
      <c r="N98" s="2">
        <v>1.8754026451768135</v>
      </c>
      <c r="O98">
        <v>2.7372990192472173</v>
      </c>
      <c r="P98">
        <v>0</v>
      </c>
      <c r="Q98">
        <v>0</v>
      </c>
      <c r="R98">
        <v>0</v>
      </c>
    </row>
    <row r="99" spans="1:18" outlineLevel="1" x14ac:dyDescent="0.45">
      <c r="A99" s="44">
        <v>40</v>
      </c>
      <c r="B99" s="46">
        <f t="shared" si="2"/>
        <v>289.13589975932069</v>
      </c>
      <c r="C99" s="2">
        <v>289.13589975932069</v>
      </c>
      <c r="D99" s="2">
        <v>100</v>
      </c>
      <c r="E99" s="2">
        <v>100</v>
      </c>
      <c r="F99">
        <v>100</v>
      </c>
      <c r="G99" s="2">
        <v>1.1409636081804897</v>
      </c>
      <c r="H99" s="10">
        <v>1.1409636081804897</v>
      </c>
      <c r="I99">
        <v>1.2344205072478223</v>
      </c>
      <c r="J99" s="2">
        <v>828.70215423244929</v>
      </c>
      <c r="K99" s="2">
        <v>828.70215423244929</v>
      </c>
      <c r="L99">
        <v>765.96183751683054</v>
      </c>
      <c r="M99" s="2">
        <v>1.9383251052784474</v>
      </c>
      <c r="N99" s="2">
        <v>1.9383251052784474</v>
      </c>
      <c r="O99">
        <v>2.7950108702929644</v>
      </c>
      <c r="P99">
        <v>0</v>
      </c>
      <c r="Q99">
        <v>0</v>
      </c>
      <c r="R99">
        <v>0</v>
      </c>
    </row>
    <row r="100" spans="1:18" outlineLevel="1" x14ac:dyDescent="0.45">
      <c r="A100" s="44">
        <v>41</v>
      </c>
      <c r="B100" s="45">
        <v>300</v>
      </c>
      <c r="C100" s="2">
        <v>300</v>
      </c>
      <c r="D100" s="2">
        <v>100</v>
      </c>
      <c r="E100" s="2">
        <v>100</v>
      </c>
      <c r="F100">
        <v>100</v>
      </c>
      <c r="G100" s="2">
        <v>1.140677557864092</v>
      </c>
      <c r="H100" s="10">
        <v>1.140677557864092</v>
      </c>
      <c r="I100">
        <v>1.2338722760523479</v>
      </c>
      <c r="J100" s="2">
        <v>828.90996976435258</v>
      </c>
      <c r="K100" s="2">
        <v>828.90996976435258</v>
      </c>
      <c r="L100">
        <v>766.30216785897346</v>
      </c>
      <c r="M100" s="2">
        <v>2.0016614389519001</v>
      </c>
      <c r="N100" s="2">
        <v>2.0016614389519001</v>
      </c>
      <c r="O100">
        <v>2.8542962943309615</v>
      </c>
      <c r="P100">
        <v>0</v>
      </c>
      <c r="Q100">
        <v>0</v>
      </c>
    </row>
    <row r="101" spans="1:18" outlineLevel="1" x14ac:dyDescent="0.45"/>
    <row r="102" spans="1:18" outlineLevel="1" x14ac:dyDescent="0.45"/>
  </sheetData>
  <mergeCells count="3">
    <mergeCell ref="A2:E2"/>
    <mergeCell ref="F3:G3"/>
    <mergeCell ref="N7:Q7"/>
  </mergeCells>
  <dataValidations count="1">
    <dataValidation type="whole" allowBlank="1" showInputMessage="1" showErrorMessage="1" sqref="H3" xr:uid="{B7445072-C1D8-424B-B64D-824B192D9BC3}">
      <formula1>0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142875</xdr:colOff>
                    <xdr:row>56</xdr:row>
                    <xdr:rowOff>0</xdr:rowOff>
                  </from>
                  <to>
                    <xdr:col>13</xdr:col>
                    <xdr:colOff>647700</xdr:colOff>
                    <xdr:row>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228600</xdr:colOff>
                    <xdr:row>8</xdr:row>
                    <xdr:rowOff>219075</xdr:rowOff>
                  </from>
                  <to>
                    <xdr:col>21</xdr:col>
                    <xdr:colOff>209550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228600</xdr:colOff>
                    <xdr:row>12</xdr:row>
                    <xdr:rowOff>104775</xdr:rowOff>
                  </from>
                  <to>
                    <xdr:col>21</xdr:col>
                    <xdr:colOff>209550</xdr:colOff>
                    <xdr:row>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219075</xdr:colOff>
                    <xdr:row>16</xdr:row>
                    <xdr:rowOff>9525</xdr:rowOff>
                  </from>
                  <to>
                    <xdr:col>21</xdr:col>
                    <xdr:colOff>190500</xdr:colOff>
                    <xdr:row>18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Build_PVT_charts">
                <anchor moveWithCells="1" sizeWithCells="1">
                  <from>
                    <xdr:col>18</xdr:col>
                    <xdr:colOff>171450</xdr:colOff>
                    <xdr:row>56</xdr:row>
                    <xdr:rowOff>104775</xdr:rowOff>
                  </from>
                  <to>
                    <xdr:col>21</xdr:col>
                    <xdr:colOff>276225</xdr:colOff>
                    <xdr:row>59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well_constr"/>
  <dimension ref="A1:AC176"/>
  <sheetViews>
    <sheetView zoomScale="70" zoomScaleNormal="70" workbookViewId="0">
      <selection activeCell="M21" sqref="M21"/>
    </sheetView>
  </sheetViews>
  <sheetFormatPr defaultRowHeight="14.25" x14ac:dyDescent="0.45"/>
  <sheetData>
    <row r="1" spans="1:16" x14ac:dyDescent="0.45">
      <c r="A1" t="str">
        <f>версия_</f>
        <v>вер 7.7</v>
      </c>
    </row>
    <row r="6" spans="1:16" x14ac:dyDescent="0.45">
      <c r="A6" s="11"/>
      <c r="B6" t="s">
        <v>37</v>
      </c>
      <c r="G6" s="1"/>
    </row>
    <row r="7" spans="1:16" x14ac:dyDescent="0.45">
      <c r="A7" s="11"/>
      <c r="G7" s="1"/>
    </row>
    <row r="8" spans="1:16" x14ac:dyDescent="0.45">
      <c r="A8" s="11"/>
      <c r="B8" s="17" t="s">
        <v>52</v>
      </c>
      <c r="C8" s="2"/>
      <c r="D8" s="2"/>
      <c r="G8" s="1"/>
    </row>
    <row r="9" spans="1:16" ht="15.75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5.75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5.75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5.75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5.75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5">
      <c r="A14" s="11"/>
      <c r="G14" s="1"/>
    </row>
    <row r="15" spans="1:16" x14ac:dyDescent="0.45">
      <c r="A15" s="11"/>
      <c r="G15" s="1"/>
    </row>
    <row r="16" spans="1:16" x14ac:dyDescent="0.45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5.75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5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5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5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5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5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5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5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5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5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5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5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5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5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5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5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5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5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5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5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5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5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5">
      <c r="A39" s="11"/>
      <c r="B39" s="9">
        <v>3500</v>
      </c>
      <c r="C39" s="9">
        <v>2500</v>
      </c>
      <c r="G39" s="1"/>
      <c r="M39" s="15"/>
      <c r="N39" s="15"/>
    </row>
    <row r="40" spans="1:29" x14ac:dyDescent="0.45">
      <c r="A40" s="11"/>
      <c r="B40" s="16"/>
      <c r="C40" s="16"/>
      <c r="G40" s="1"/>
      <c r="M40" s="15"/>
      <c r="N40" s="15"/>
    </row>
    <row r="41" spans="1:29" x14ac:dyDescent="0.45">
      <c r="A41" s="11"/>
      <c r="B41" s="16"/>
      <c r="C41" s="16"/>
      <c r="G41" s="1"/>
      <c r="M41" s="15"/>
      <c r="N41" s="15"/>
    </row>
    <row r="42" spans="1:29" x14ac:dyDescent="0.45">
      <c r="A42" s="11"/>
      <c r="B42" s="16"/>
      <c r="C42" s="16"/>
      <c r="G42" s="1"/>
      <c r="M42" s="15"/>
      <c r="N42" s="15"/>
    </row>
    <row r="43" spans="1:29" x14ac:dyDescent="0.45">
      <c r="A43" s="11"/>
      <c r="B43" s="16"/>
      <c r="C43" s="16"/>
      <c r="G43" s="1"/>
      <c r="M43" s="15"/>
      <c r="N43" s="15"/>
    </row>
    <row r="44" spans="1:29" x14ac:dyDescent="0.45">
      <c r="A44" s="11"/>
      <c r="B44" s="16"/>
      <c r="C44" s="16"/>
      <c r="G44" s="1"/>
      <c r="M44" s="15"/>
      <c r="N44" s="15"/>
    </row>
    <row r="45" spans="1:29" x14ac:dyDescent="0.45">
      <c r="A45" s="11"/>
      <c r="B45" s="16"/>
      <c r="C45" s="16"/>
      <c r="G45" s="1"/>
      <c r="M45" s="15"/>
      <c r="N45" s="15"/>
    </row>
    <row r="46" spans="1:29" x14ac:dyDescent="0.45">
      <c r="A46" s="11"/>
      <c r="B46" s="16"/>
      <c r="C46" s="16"/>
      <c r="G46" s="1"/>
    </row>
    <row r="47" spans="1:29" x14ac:dyDescent="0.45">
      <c r="A47" s="11"/>
      <c r="B47" s="16"/>
      <c r="C47" s="16"/>
      <c r="G47" s="1"/>
    </row>
    <row r="48" spans="1:29" x14ac:dyDescent="0.45">
      <c r="A48" s="11"/>
      <c r="B48" s="16"/>
      <c r="C48" s="16"/>
      <c r="G48" s="1"/>
    </row>
    <row r="49" spans="1:7" x14ac:dyDescent="0.45">
      <c r="A49" s="11"/>
      <c r="B49" s="16"/>
      <c r="C49" s="16"/>
      <c r="G49" s="1"/>
    </row>
    <row r="50" spans="1:7" x14ac:dyDescent="0.45">
      <c r="A50" s="11"/>
      <c r="B50" s="16"/>
      <c r="C50" s="16"/>
      <c r="G50" s="1"/>
    </row>
    <row r="51" spans="1:7" x14ac:dyDescent="0.45">
      <c r="A51" s="11"/>
      <c r="B51" s="16"/>
      <c r="C51" s="16"/>
      <c r="G51" s="1"/>
    </row>
    <row r="52" spans="1:7" x14ac:dyDescent="0.45">
      <c r="A52" s="11"/>
      <c r="B52" s="16"/>
      <c r="C52" s="16"/>
      <c r="G52" s="1"/>
    </row>
    <row r="53" spans="1:7" x14ac:dyDescent="0.45">
      <c r="A53" s="11"/>
      <c r="B53" s="16"/>
      <c r="C53" s="16"/>
      <c r="G53" s="1"/>
    </row>
    <row r="54" spans="1:7" x14ac:dyDescent="0.45">
      <c r="A54" s="11"/>
      <c r="B54" s="16"/>
      <c r="C54" s="16"/>
      <c r="G54" s="1"/>
    </row>
    <row r="55" spans="1:7" x14ac:dyDescent="0.45">
      <c r="A55" s="11"/>
      <c r="B55" s="16"/>
      <c r="C55" s="16"/>
      <c r="G55" s="1"/>
    </row>
    <row r="56" spans="1:7" x14ac:dyDescent="0.45">
      <c r="A56" s="11"/>
      <c r="B56" s="16"/>
      <c r="C56" s="16"/>
      <c r="G56" s="1"/>
    </row>
    <row r="57" spans="1:7" x14ac:dyDescent="0.45">
      <c r="A57" s="11"/>
      <c r="B57" s="16"/>
      <c r="C57" s="16"/>
      <c r="G57" s="1"/>
    </row>
    <row r="58" spans="1:7" x14ac:dyDescent="0.45">
      <c r="A58" s="11"/>
      <c r="B58" s="16"/>
      <c r="C58" s="16"/>
      <c r="G58" s="1"/>
    </row>
    <row r="59" spans="1:7" x14ac:dyDescent="0.45">
      <c r="A59" s="11"/>
      <c r="B59" s="16"/>
      <c r="C59" s="16"/>
      <c r="G59" s="1"/>
    </row>
    <row r="60" spans="1:7" x14ac:dyDescent="0.45">
      <c r="A60" s="11"/>
      <c r="B60" s="16"/>
      <c r="C60" s="16"/>
      <c r="G60" s="1"/>
    </row>
    <row r="61" spans="1:7" x14ac:dyDescent="0.45">
      <c r="A61" s="11"/>
      <c r="B61" s="16"/>
      <c r="C61" s="16"/>
      <c r="G61" s="1"/>
    </row>
    <row r="62" spans="1:7" x14ac:dyDescent="0.45">
      <c r="A62" s="11"/>
      <c r="B62" s="16"/>
      <c r="C62" s="16"/>
      <c r="G62" s="1"/>
    </row>
    <row r="63" spans="1:7" x14ac:dyDescent="0.45">
      <c r="A63" s="11"/>
      <c r="B63" s="16"/>
      <c r="C63" s="16"/>
      <c r="G63" s="1"/>
    </row>
    <row r="64" spans="1:7" x14ac:dyDescent="0.45">
      <c r="A64" s="11"/>
      <c r="B64" s="16"/>
      <c r="C64" s="16"/>
      <c r="G64" s="1"/>
    </row>
    <row r="65" spans="1:7" x14ac:dyDescent="0.45">
      <c r="A65" s="11"/>
      <c r="B65" s="16"/>
      <c r="C65" s="16"/>
      <c r="G65" s="1"/>
    </row>
    <row r="66" spans="1:7" x14ac:dyDescent="0.45">
      <c r="A66" s="11"/>
      <c r="B66" s="16"/>
      <c r="C66" s="16"/>
      <c r="G66" s="1"/>
    </row>
    <row r="67" spans="1:7" x14ac:dyDescent="0.45">
      <c r="A67" s="11"/>
      <c r="B67" s="16"/>
      <c r="C67" s="16"/>
      <c r="G67" s="1"/>
    </row>
    <row r="68" spans="1:7" x14ac:dyDescent="0.45">
      <c r="A68" s="11"/>
      <c r="B68" s="16"/>
      <c r="C68" s="16"/>
      <c r="G68" s="1"/>
    </row>
    <row r="69" spans="1:7" x14ac:dyDescent="0.45">
      <c r="A69" s="11"/>
      <c r="B69" s="16"/>
      <c r="C69" s="16"/>
      <c r="G69" s="1"/>
    </row>
    <row r="70" spans="1:7" x14ac:dyDescent="0.45">
      <c r="A70" s="11"/>
      <c r="B70" s="16"/>
      <c r="C70" s="16"/>
      <c r="G70" s="1"/>
    </row>
    <row r="71" spans="1:7" x14ac:dyDescent="0.45">
      <c r="A71" s="11"/>
      <c r="B71" s="16"/>
      <c r="C71" s="16"/>
      <c r="G71" s="1"/>
    </row>
    <row r="72" spans="1:7" x14ac:dyDescent="0.45">
      <c r="A72" s="11"/>
      <c r="B72" s="16"/>
      <c r="C72" s="16"/>
      <c r="G72" s="1"/>
    </row>
    <row r="73" spans="1:7" x14ac:dyDescent="0.45">
      <c r="A73" s="11"/>
      <c r="B73" s="16"/>
      <c r="C73" s="16"/>
      <c r="G73" s="1"/>
    </row>
    <row r="74" spans="1:7" x14ac:dyDescent="0.45">
      <c r="A74" s="11"/>
      <c r="B74" s="16"/>
      <c r="C74" s="16"/>
      <c r="G74" s="1"/>
    </row>
    <row r="75" spans="1:7" x14ac:dyDescent="0.45">
      <c r="A75" s="11"/>
      <c r="B75" s="16"/>
      <c r="C75" s="16"/>
      <c r="G75" s="1"/>
    </row>
    <row r="76" spans="1:7" x14ac:dyDescent="0.45">
      <c r="A76" s="11"/>
      <c r="B76" s="16"/>
      <c r="C76" s="16"/>
      <c r="G76" s="1"/>
    </row>
    <row r="77" spans="1:7" x14ac:dyDescent="0.45">
      <c r="A77" s="11"/>
      <c r="B77" s="16"/>
      <c r="C77" s="16"/>
      <c r="G77" s="1"/>
    </row>
    <row r="78" spans="1:7" x14ac:dyDescent="0.45">
      <c r="A78" s="11"/>
      <c r="B78" s="16"/>
      <c r="C78" s="16"/>
      <c r="G78" s="1"/>
    </row>
    <row r="79" spans="1:7" x14ac:dyDescent="0.45">
      <c r="A79" s="11"/>
      <c r="B79" s="16"/>
      <c r="C79" s="16"/>
      <c r="G79" s="1"/>
    </row>
    <row r="80" spans="1:7" x14ac:dyDescent="0.45">
      <c r="A80" s="11"/>
      <c r="B80" s="16"/>
      <c r="C80" s="16"/>
      <c r="G80" s="1"/>
    </row>
    <row r="81" spans="1:7" x14ac:dyDescent="0.45">
      <c r="A81" s="11"/>
      <c r="B81" s="16"/>
      <c r="C81" s="16"/>
      <c r="G81" s="1"/>
    </row>
    <row r="82" spans="1:7" x14ac:dyDescent="0.45">
      <c r="A82" s="11"/>
      <c r="B82" s="16"/>
      <c r="C82" s="16"/>
      <c r="G82" s="1"/>
    </row>
    <row r="83" spans="1:7" x14ac:dyDescent="0.45">
      <c r="A83" s="11"/>
      <c r="B83" s="16"/>
      <c r="C83" s="16"/>
      <c r="G83" s="1"/>
    </row>
    <row r="84" spans="1:7" x14ac:dyDescent="0.45">
      <c r="A84" s="11"/>
      <c r="B84" s="16"/>
      <c r="C84" s="16"/>
      <c r="G84" s="1"/>
    </row>
    <row r="85" spans="1:7" x14ac:dyDescent="0.45">
      <c r="A85" s="11"/>
      <c r="B85" s="16"/>
      <c r="C85" s="16"/>
      <c r="G85" s="1"/>
    </row>
    <row r="86" spans="1:7" x14ac:dyDescent="0.45">
      <c r="A86" s="11"/>
      <c r="B86" s="16"/>
      <c r="C86" s="16"/>
      <c r="G86" s="1"/>
    </row>
    <row r="87" spans="1:7" x14ac:dyDescent="0.45">
      <c r="A87" s="11"/>
      <c r="B87" s="16"/>
      <c r="C87" s="16"/>
      <c r="G87" s="1"/>
    </row>
    <row r="88" spans="1:7" x14ac:dyDescent="0.45">
      <c r="A88" s="11"/>
      <c r="B88" s="16"/>
      <c r="C88" s="16"/>
      <c r="G88" s="1"/>
    </row>
    <row r="89" spans="1:7" x14ac:dyDescent="0.45">
      <c r="A89" s="11"/>
      <c r="B89" s="16"/>
      <c r="C89" s="16"/>
      <c r="G89" s="1"/>
    </row>
    <row r="90" spans="1:7" x14ac:dyDescent="0.45">
      <c r="A90" s="11"/>
      <c r="B90" s="16"/>
      <c r="C90" s="16"/>
      <c r="G90" s="1"/>
    </row>
    <row r="91" spans="1:7" x14ac:dyDescent="0.45">
      <c r="A91" s="11"/>
      <c r="B91" s="16"/>
      <c r="C91" s="16"/>
      <c r="G91" s="1"/>
    </row>
    <row r="92" spans="1:7" x14ac:dyDescent="0.45">
      <c r="A92" s="11"/>
      <c r="B92" s="16"/>
      <c r="C92" s="16"/>
      <c r="G92" s="1"/>
    </row>
    <row r="93" spans="1:7" x14ac:dyDescent="0.45">
      <c r="A93" s="11"/>
      <c r="B93" s="16"/>
      <c r="C93" s="16"/>
      <c r="G93" s="1"/>
    </row>
    <row r="94" spans="1:7" x14ac:dyDescent="0.45">
      <c r="A94" s="11"/>
      <c r="B94" s="16"/>
      <c r="C94" s="16"/>
      <c r="G94" s="1"/>
    </row>
    <row r="95" spans="1:7" x14ac:dyDescent="0.45">
      <c r="A95" s="11"/>
      <c r="B95" s="16"/>
      <c r="C95" s="16"/>
      <c r="G95" s="1"/>
    </row>
    <row r="96" spans="1:7" x14ac:dyDescent="0.45">
      <c r="A96" s="11"/>
      <c r="B96" s="16"/>
      <c r="C96" s="16"/>
      <c r="G96" s="1"/>
    </row>
    <row r="97" spans="1:7" x14ac:dyDescent="0.45">
      <c r="A97" s="11"/>
      <c r="B97" s="16"/>
      <c r="C97" s="16"/>
      <c r="G97" s="1"/>
    </row>
    <row r="98" spans="1:7" x14ac:dyDescent="0.45">
      <c r="A98" s="11"/>
      <c r="B98" s="16"/>
      <c r="C98" s="16"/>
      <c r="G98" s="1"/>
    </row>
    <row r="99" spans="1:7" x14ac:dyDescent="0.45">
      <c r="A99" s="11"/>
      <c r="B99" s="16"/>
      <c r="C99" s="16"/>
      <c r="G99" s="1"/>
    </row>
    <row r="100" spans="1:7" x14ac:dyDescent="0.45">
      <c r="A100" s="11"/>
      <c r="B100" s="16"/>
      <c r="C100" s="16"/>
      <c r="G100" s="1"/>
    </row>
    <row r="101" spans="1:7" x14ac:dyDescent="0.45">
      <c r="A101" s="11"/>
      <c r="B101" s="16"/>
      <c r="C101" s="16"/>
      <c r="G101" s="1"/>
    </row>
    <row r="102" spans="1:7" x14ac:dyDescent="0.45">
      <c r="A102" s="11"/>
      <c r="B102" s="16"/>
      <c r="C102" s="16"/>
      <c r="G102" s="1"/>
    </row>
    <row r="103" spans="1:7" x14ac:dyDescent="0.45">
      <c r="A103" s="11"/>
      <c r="B103" s="16"/>
      <c r="C103" s="16"/>
      <c r="G103" s="1"/>
    </row>
    <row r="104" spans="1:7" x14ac:dyDescent="0.45">
      <c r="A104" s="11"/>
      <c r="B104" s="16"/>
      <c r="C104" s="16"/>
      <c r="G104" s="1"/>
    </row>
    <row r="105" spans="1:7" x14ac:dyDescent="0.45">
      <c r="A105" s="11"/>
      <c r="B105" s="16"/>
      <c r="C105" s="16"/>
      <c r="G105" s="1"/>
    </row>
    <row r="106" spans="1:7" x14ac:dyDescent="0.45">
      <c r="A106" s="11"/>
      <c r="B106" s="16"/>
      <c r="C106" s="16"/>
      <c r="G106" s="1"/>
    </row>
    <row r="107" spans="1:7" x14ac:dyDescent="0.45">
      <c r="A107" s="11"/>
      <c r="B107" s="16"/>
      <c r="C107" s="16"/>
      <c r="G107" s="1"/>
    </row>
    <row r="108" spans="1:7" x14ac:dyDescent="0.45">
      <c r="A108" s="11"/>
      <c r="B108" s="16"/>
      <c r="C108" s="16"/>
      <c r="G108" s="1"/>
    </row>
    <row r="109" spans="1:7" x14ac:dyDescent="0.45">
      <c r="A109" s="11"/>
      <c r="B109" s="16"/>
      <c r="C109" s="16"/>
      <c r="G109" s="1"/>
    </row>
    <row r="110" spans="1:7" x14ac:dyDescent="0.45">
      <c r="A110" s="11"/>
      <c r="B110" s="16"/>
      <c r="C110" s="16"/>
      <c r="G110" s="1"/>
    </row>
    <row r="111" spans="1:7" x14ac:dyDescent="0.45">
      <c r="A111" s="11"/>
      <c r="B111" s="16"/>
      <c r="C111" s="16"/>
      <c r="G111" s="1"/>
    </row>
    <row r="112" spans="1:7" x14ac:dyDescent="0.45">
      <c r="A112" s="11"/>
      <c r="B112" s="16"/>
      <c r="C112" s="16"/>
      <c r="G112" s="1"/>
    </row>
    <row r="113" spans="1:7" x14ac:dyDescent="0.45">
      <c r="A113" s="11"/>
      <c r="B113" s="16"/>
      <c r="C113" s="16"/>
      <c r="G113" s="1"/>
    </row>
    <row r="114" spans="1:7" x14ac:dyDescent="0.45">
      <c r="A114" s="11"/>
      <c r="B114" s="16"/>
      <c r="C114" s="16"/>
      <c r="G114" s="1"/>
    </row>
    <row r="115" spans="1:7" x14ac:dyDescent="0.45">
      <c r="A115" s="11"/>
      <c r="B115" s="16"/>
      <c r="C115" s="16"/>
      <c r="G115" s="1"/>
    </row>
    <row r="116" spans="1:7" x14ac:dyDescent="0.45">
      <c r="A116" s="11"/>
      <c r="B116" s="16"/>
      <c r="C116" s="16"/>
      <c r="G116" s="1"/>
    </row>
    <row r="117" spans="1:7" x14ac:dyDescent="0.45">
      <c r="A117" s="11"/>
      <c r="B117" s="16"/>
      <c r="C117" s="16"/>
      <c r="G117" s="1"/>
    </row>
    <row r="118" spans="1:7" x14ac:dyDescent="0.45">
      <c r="A118" s="11"/>
      <c r="B118" s="16"/>
      <c r="C118" s="16"/>
      <c r="G118" s="1"/>
    </row>
    <row r="119" spans="1:7" x14ac:dyDescent="0.45">
      <c r="A119" s="11"/>
      <c r="B119" s="16"/>
      <c r="C119" s="16"/>
      <c r="G119" s="1"/>
    </row>
    <row r="120" spans="1:7" x14ac:dyDescent="0.45">
      <c r="A120" s="11"/>
      <c r="B120" s="16"/>
      <c r="C120" s="16"/>
      <c r="G120" s="1"/>
    </row>
    <row r="121" spans="1:7" x14ac:dyDescent="0.45">
      <c r="A121" s="11"/>
      <c r="B121" s="16"/>
      <c r="C121" s="16"/>
      <c r="G121" s="1"/>
    </row>
    <row r="122" spans="1:7" x14ac:dyDescent="0.45">
      <c r="A122" s="11"/>
      <c r="B122" s="16"/>
      <c r="C122" s="16"/>
      <c r="G122" s="1"/>
    </row>
    <row r="123" spans="1:7" x14ac:dyDescent="0.45">
      <c r="A123" s="11"/>
      <c r="B123" s="16"/>
      <c r="C123" s="16"/>
      <c r="G123" s="1"/>
    </row>
    <row r="124" spans="1:7" x14ac:dyDescent="0.45">
      <c r="A124" s="11"/>
      <c r="B124" s="16"/>
      <c r="C124" s="16"/>
      <c r="G124" s="1"/>
    </row>
    <row r="125" spans="1:7" x14ac:dyDescent="0.45">
      <c r="A125" s="11"/>
      <c r="B125" s="16"/>
      <c r="C125" s="16"/>
      <c r="G125" s="1"/>
    </row>
    <row r="126" spans="1:7" x14ac:dyDescent="0.45">
      <c r="A126" s="11"/>
      <c r="B126" s="16"/>
      <c r="C126" s="16"/>
      <c r="G126" s="1"/>
    </row>
    <row r="127" spans="1:7" x14ac:dyDescent="0.45">
      <c r="A127" s="11"/>
      <c r="B127" s="16"/>
      <c r="C127" s="16"/>
      <c r="G127" s="1"/>
    </row>
    <row r="128" spans="1:7" x14ac:dyDescent="0.45">
      <c r="A128" s="11"/>
      <c r="B128" s="16"/>
      <c r="C128" s="16"/>
      <c r="G128" s="1"/>
    </row>
    <row r="129" spans="1:7" x14ac:dyDescent="0.45">
      <c r="A129" s="11"/>
      <c r="B129" s="16"/>
      <c r="C129" s="16"/>
      <c r="G129" s="1"/>
    </row>
    <row r="130" spans="1:7" x14ac:dyDescent="0.45">
      <c r="A130" s="11"/>
      <c r="B130" s="16"/>
      <c r="C130" s="16"/>
      <c r="G130" s="1"/>
    </row>
    <row r="131" spans="1:7" x14ac:dyDescent="0.45">
      <c r="A131" s="11"/>
      <c r="B131" s="16"/>
      <c r="C131" s="16"/>
      <c r="G131" s="1"/>
    </row>
    <row r="132" spans="1:7" x14ac:dyDescent="0.45">
      <c r="A132" s="11"/>
      <c r="B132" s="16"/>
      <c r="C132" s="16"/>
      <c r="G132" s="1"/>
    </row>
    <row r="133" spans="1:7" x14ac:dyDescent="0.45">
      <c r="A133" s="11"/>
      <c r="B133" s="16"/>
      <c r="C133" s="16"/>
      <c r="G133" s="1"/>
    </row>
    <row r="134" spans="1:7" x14ac:dyDescent="0.45">
      <c r="A134" s="11"/>
      <c r="B134" s="16"/>
      <c r="C134" s="16"/>
      <c r="G134" s="1"/>
    </row>
    <row r="135" spans="1:7" x14ac:dyDescent="0.45">
      <c r="A135" s="11"/>
      <c r="B135" s="16"/>
      <c r="C135" s="16"/>
      <c r="G135" s="1"/>
    </row>
    <row r="136" spans="1:7" x14ac:dyDescent="0.45">
      <c r="A136" s="11"/>
      <c r="B136" s="16"/>
      <c r="C136" s="16"/>
      <c r="G136" s="1"/>
    </row>
    <row r="137" spans="1:7" x14ac:dyDescent="0.45">
      <c r="A137" s="11"/>
      <c r="B137" s="16"/>
      <c r="C137" s="16"/>
      <c r="G137" s="1"/>
    </row>
    <row r="138" spans="1:7" x14ac:dyDescent="0.45">
      <c r="A138" s="11"/>
      <c r="B138" s="16"/>
      <c r="C138" s="16"/>
      <c r="G138" s="1"/>
    </row>
    <row r="139" spans="1:7" x14ac:dyDescent="0.45">
      <c r="A139" s="11"/>
      <c r="B139" s="16"/>
      <c r="C139" s="16"/>
      <c r="G139" s="1"/>
    </row>
    <row r="140" spans="1:7" x14ac:dyDescent="0.45">
      <c r="A140" s="11"/>
      <c r="B140" s="16"/>
      <c r="C140" s="16"/>
      <c r="G140" s="1"/>
    </row>
    <row r="141" spans="1:7" x14ac:dyDescent="0.45">
      <c r="A141" s="11"/>
      <c r="B141" s="16"/>
      <c r="C141" s="16"/>
      <c r="G141" s="1"/>
    </row>
    <row r="142" spans="1:7" x14ac:dyDescent="0.45">
      <c r="A142" s="11"/>
      <c r="B142" s="16"/>
      <c r="C142" s="16"/>
      <c r="G142" s="1"/>
    </row>
    <row r="143" spans="1:7" x14ac:dyDescent="0.45">
      <c r="A143" s="11"/>
      <c r="B143" s="16"/>
      <c r="C143" s="16"/>
      <c r="G143" s="1"/>
    </row>
    <row r="144" spans="1:7" x14ac:dyDescent="0.45">
      <c r="A144" s="11"/>
      <c r="B144" s="16"/>
      <c r="C144" s="16"/>
      <c r="G144" s="1"/>
    </row>
    <row r="145" spans="1:7" x14ac:dyDescent="0.45">
      <c r="A145" s="11"/>
      <c r="B145" s="16"/>
      <c r="C145" s="16"/>
      <c r="G145" s="1"/>
    </row>
    <row r="146" spans="1:7" x14ac:dyDescent="0.45">
      <c r="A146" s="11"/>
      <c r="B146" s="16"/>
      <c r="C146" s="16"/>
      <c r="G146" s="1"/>
    </row>
    <row r="147" spans="1:7" x14ac:dyDescent="0.45">
      <c r="A147" s="11"/>
      <c r="B147" s="16"/>
      <c r="C147" s="16"/>
      <c r="G147" s="1"/>
    </row>
    <row r="148" spans="1:7" x14ac:dyDescent="0.45">
      <c r="A148" s="11"/>
      <c r="B148" s="16"/>
      <c r="C148" s="16"/>
      <c r="G148" s="1"/>
    </row>
    <row r="149" spans="1:7" x14ac:dyDescent="0.45">
      <c r="A149" s="11"/>
      <c r="B149" s="16"/>
      <c r="C149" s="16"/>
      <c r="G149" s="1"/>
    </row>
    <row r="150" spans="1:7" x14ac:dyDescent="0.45">
      <c r="A150" s="11"/>
      <c r="B150" s="16"/>
      <c r="C150" s="16"/>
      <c r="G150" s="1"/>
    </row>
    <row r="151" spans="1:7" x14ac:dyDescent="0.45">
      <c r="A151" s="11"/>
      <c r="B151" s="16"/>
      <c r="C151" s="16"/>
      <c r="G151" s="1"/>
    </row>
    <row r="152" spans="1:7" x14ac:dyDescent="0.45">
      <c r="A152" s="11"/>
      <c r="B152" s="16"/>
      <c r="C152" s="16"/>
      <c r="G152" s="1"/>
    </row>
    <row r="153" spans="1:7" x14ac:dyDescent="0.45">
      <c r="A153" s="11"/>
      <c r="B153" s="16"/>
      <c r="C153" s="16"/>
      <c r="G153" s="1"/>
    </row>
    <row r="154" spans="1:7" x14ac:dyDescent="0.45">
      <c r="A154" s="11"/>
      <c r="B154" s="16"/>
      <c r="C154" s="16"/>
      <c r="G154" s="1"/>
    </row>
    <row r="155" spans="1:7" x14ac:dyDescent="0.45">
      <c r="A155" s="11"/>
      <c r="B155" s="16"/>
      <c r="C155" s="16"/>
      <c r="G155" s="1"/>
    </row>
    <row r="156" spans="1:7" x14ac:dyDescent="0.45">
      <c r="A156" s="11"/>
      <c r="B156" s="16"/>
      <c r="C156" s="16"/>
      <c r="G156" s="1"/>
    </row>
    <row r="157" spans="1:7" x14ac:dyDescent="0.45">
      <c r="A157" s="11"/>
      <c r="B157" s="16"/>
      <c r="C157" s="16"/>
      <c r="G157" s="1"/>
    </row>
    <row r="158" spans="1:7" x14ac:dyDescent="0.45">
      <c r="A158" s="11"/>
      <c r="B158" s="16"/>
      <c r="C158" s="16"/>
      <c r="G158" s="1"/>
    </row>
    <row r="159" spans="1:7" x14ac:dyDescent="0.45">
      <c r="A159" s="11"/>
      <c r="B159" s="16"/>
      <c r="C159" s="16"/>
      <c r="G159" s="1"/>
    </row>
    <row r="160" spans="1:7" x14ac:dyDescent="0.45">
      <c r="A160" s="11"/>
      <c r="B160" s="16"/>
      <c r="C160" s="16"/>
      <c r="G160" s="1"/>
    </row>
    <row r="161" spans="1:7" x14ac:dyDescent="0.45">
      <c r="A161" s="11"/>
      <c r="B161" s="16"/>
      <c r="C161" s="16"/>
      <c r="G161" s="1"/>
    </row>
    <row r="162" spans="1:7" x14ac:dyDescent="0.45">
      <c r="A162" s="11"/>
      <c r="B162" s="16"/>
      <c r="C162" s="16"/>
      <c r="G162" s="1"/>
    </row>
    <row r="163" spans="1:7" x14ac:dyDescent="0.45">
      <c r="A163" s="11"/>
      <c r="B163" s="16"/>
      <c r="C163" s="16"/>
      <c r="G163" s="1"/>
    </row>
    <row r="164" spans="1:7" x14ac:dyDescent="0.45">
      <c r="A164" s="11"/>
      <c r="B164" s="16"/>
      <c r="C164" s="16"/>
      <c r="G164" s="1"/>
    </row>
    <row r="165" spans="1:7" x14ac:dyDescent="0.45">
      <c r="A165" s="11"/>
      <c r="B165" s="16"/>
      <c r="C165" s="16"/>
      <c r="G165" s="1"/>
    </row>
    <row r="166" spans="1:7" x14ac:dyDescent="0.45">
      <c r="A166" s="11"/>
      <c r="B166" s="16"/>
      <c r="C166" s="16"/>
      <c r="G166" s="1"/>
    </row>
    <row r="167" spans="1:7" x14ac:dyDescent="0.45">
      <c r="A167" s="11"/>
      <c r="B167" s="16"/>
      <c r="C167" s="16"/>
      <c r="G167" s="1"/>
    </row>
    <row r="168" spans="1:7" x14ac:dyDescent="0.45">
      <c r="A168" s="11"/>
      <c r="B168" s="16"/>
      <c r="C168" s="16"/>
      <c r="G168" s="1"/>
    </row>
    <row r="169" spans="1:7" x14ac:dyDescent="0.45">
      <c r="A169" s="11"/>
      <c r="B169" s="16"/>
      <c r="C169" s="16"/>
      <c r="G169" s="1"/>
    </row>
    <row r="170" spans="1:7" x14ac:dyDescent="0.45">
      <c r="A170" s="11"/>
      <c r="B170" s="16"/>
      <c r="C170" s="16"/>
      <c r="G170" s="1"/>
    </row>
    <row r="171" spans="1:7" x14ac:dyDescent="0.45">
      <c r="A171" s="11"/>
      <c r="B171" s="16"/>
      <c r="C171" s="16"/>
      <c r="G171" s="1"/>
    </row>
    <row r="172" spans="1:7" x14ac:dyDescent="0.45">
      <c r="A172" s="11"/>
      <c r="B172" s="16"/>
      <c r="C172" s="16"/>
      <c r="G172" s="1"/>
    </row>
    <row r="173" spans="1:7" x14ac:dyDescent="0.45">
      <c r="A173" s="11"/>
      <c r="B173" s="16"/>
      <c r="C173" s="16"/>
      <c r="G173" s="1"/>
    </row>
    <row r="174" spans="1:7" x14ac:dyDescent="0.45">
      <c r="A174" s="11"/>
      <c r="B174" s="16"/>
      <c r="C174" s="16"/>
      <c r="G174" s="1"/>
    </row>
    <row r="175" spans="1:7" x14ac:dyDescent="0.45">
      <c r="A175" s="11"/>
      <c r="G175" s="1"/>
    </row>
    <row r="176" spans="1:7" x14ac:dyDescent="0.45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66675</xdr:rowOff>
                  </from>
                  <to>
                    <xdr:col>18</xdr:col>
                    <xdr:colOff>285750</xdr:colOff>
                    <xdr:row>14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Worksheet_ESP_data"/>
  <dimension ref="A1:K29"/>
  <sheetViews>
    <sheetView zoomScale="80" zoomScaleNormal="80" workbookViewId="0">
      <selection activeCell="L3" sqref="L3"/>
    </sheetView>
  </sheetViews>
  <sheetFormatPr defaultRowHeight="14.25" x14ac:dyDescent="0.45"/>
  <cols>
    <col min="2" max="2" width="21.1328125" customWidth="1"/>
    <col min="8" max="8" width="9.3984375" bestFit="1" customWidth="1"/>
    <col min="10" max="10" width="10.3984375" customWidth="1"/>
  </cols>
  <sheetData>
    <row r="1" spans="1:11" x14ac:dyDescent="0.45">
      <c r="A1" t="str">
        <f>версия_</f>
        <v>вер 7.7</v>
      </c>
    </row>
    <row r="4" spans="1:11" x14ac:dyDescent="0.45">
      <c r="B4" s="51" t="s">
        <v>176</v>
      </c>
      <c r="C4" s="52">
        <v>80</v>
      </c>
      <c r="D4" s="51" t="s">
        <v>177</v>
      </c>
    </row>
    <row r="5" spans="1:11" x14ac:dyDescent="0.45">
      <c r="B5" s="51" t="s">
        <v>178</v>
      </c>
      <c r="C5" s="52">
        <v>2000</v>
      </c>
      <c r="D5" s="51" t="s">
        <v>179</v>
      </c>
      <c r="G5" t="s">
        <v>193</v>
      </c>
      <c r="H5">
        <f>G29</f>
        <v>22</v>
      </c>
    </row>
    <row r="6" spans="1:11" x14ac:dyDescent="0.45">
      <c r="B6" s="51" t="s">
        <v>180</v>
      </c>
      <c r="C6" s="52">
        <v>35</v>
      </c>
      <c r="D6" s="51" t="s">
        <v>181</v>
      </c>
    </row>
    <row r="7" spans="1:11" x14ac:dyDescent="0.45">
      <c r="B7" s="51" t="s">
        <v>182</v>
      </c>
      <c r="C7" s="53" t="e">
        <f ca="1">[1]!ESP_IDbyRate(ESP_rate_nom_)</f>
        <v>#NAME?</v>
      </c>
      <c r="D7" s="51"/>
      <c r="H7" t="s">
        <v>192</v>
      </c>
      <c r="I7" t="s">
        <v>194</v>
      </c>
      <c r="J7" t="s">
        <v>195</v>
      </c>
      <c r="K7" t="s">
        <v>196</v>
      </c>
    </row>
    <row r="8" spans="1:11" x14ac:dyDescent="0.45">
      <c r="B8" s="51" t="s">
        <v>183</v>
      </c>
      <c r="C8" s="53" t="str">
        <f ca="1">[1]!ESP_name(ESP_ID_)</f>
        <v>-1</v>
      </c>
      <c r="D8" s="51"/>
      <c r="G8">
        <v>1</v>
      </c>
      <c r="H8" s="54">
        <v>1</v>
      </c>
      <c r="I8" s="50">
        <v>1079.0831725325882</v>
      </c>
      <c r="J8" s="50">
        <v>10.029614120376623</v>
      </c>
      <c r="K8" s="56">
        <v>7.6419950830696609E-3</v>
      </c>
    </row>
    <row r="9" spans="1:11" x14ac:dyDescent="0.45">
      <c r="B9" s="51" t="s">
        <v>184</v>
      </c>
      <c r="C9" s="53" t="e">
        <f ca="1">[1]!esp_maxRate_m3day(ESP_freq_,ESP_ID_)*1</f>
        <v>#NAME?</v>
      </c>
      <c r="D9" s="51"/>
      <c r="G9">
        <v>2</v>
      </c>
      <c r="H9" s="55" t="e">
        <f t="shared" ref="H9:H29" ca="1" si="0">(ESP_qmax_)/(pts_-1)+H8</f>
        <v>#NAME?</v>
      </c>
      <c r="I9" s="50">
        <v>1078.7767566335126</v>
      </c>
      <c r="J9" s="50">
        <v>10.320639703745014</v>
      </c>
      <c r="K9" s="56">
        <v>6.3039410357469239E-2</v>
      </c>
    </row>
    <row r="10" spans="1:11" x14ac:dyDescent="0.45">
      <c r="B10" s="51" t="s">
        <v>185</v>
      </c>
      <c r="C10" s="53">
        <f ca="1">INT(ESP_head_nom_/[1]!ESP_head_m(ESP_rate_nom_,1,,ESP_ID_))</f>
        <v>-2000</v>
      </c>
      <c r="D10" s="51" t="s">
        <v>186</v>
      </c>
      <c r="G10">
        <v>3</v>
      </c>
      <c r="H10" s="55" t="e">
        <f t="shared" ca="1" si="0"/>
        <v>#NAME?</v>
      </c>
      <c r="I10" s="50">
        <v>1085.220757873099</v>
      </c>
      <c r="J10" s="50">
        <v>10.505732346743628</v>
      </c>
      <c r="K10" s="56">
        <v>0.13179385535511876</v>
      </c>
    </row>
    <row r="11" spans="1:11" x14ac:dyDescent="0.45">
      <c r="G11">
        <v>4</v>
      </c>
      <c r="H11" s="55" t="e">
        <f t="shared" ca="1" si="0"/>
        <v>#NAME?</v>
      </c>
      <c r="I11" s="50">
        <v>1092.9964512878312</v>
      </c>
      <c r="J11" s="50">
        <v>10.62359411345555</v>
      </c>
      <c r="K11" s="56">
        <v>0.20684404492575748</v>
      </c>
    </row>
    <row r="12" spans="1:11" x14ac:dyDescent="0.45">
      <c r="G12">
        <v>5</v>
      </c>
      <c r="H12" s="55" t="e">
        <f t="shared" ca="1" si="0"/>
        <v>#NAME?</v>
      </c>
      <c r="I12" s="50">
        <v>1097.8608906627917</v>
      </c>
      <c r="J12" s="50">
        <v>10.705995645589445</v>
      </c>
      <c r="K12" s="56">
        <v>0.28238958758387067</v>
      </c>
    </row>
    <row r="13" spans="1:11" x14ac:dyDescent="0.45">
      <c r="B13" t="s">
        <v>187</v>
      </c>
      <c r="C13">
        <v>1000</v>
      </c>
      <c r="D13" t="s">
        <v>190</v>
      </c>
      <c r="G13">
        <v>6</v>
      </c>
      <c r="H13" s="55" t="e">
        <f t="shared" ca="1" si="0"/>
        <v>#NAME?</v>
      </c>
      <c r="I13" s="50">
        <v>1096.6319138567881</v>
      </c>
      <c r="J13" s="50">
        <v>10.778378098696951</v>
      </c>
      <c r="K13" s="56">
        <v>0.3537854579483623</v>
      </c>
    </row>
    <row r="14" spans="1:11" x14ac:dyDescent="0.45">
      <c r="B14" t="s">
        <v>188</v>
      </c>
      <c r="C14">
        <v>30</v>
      </c>
      <c r="D14" t="s">
        <v>191</v>
      </c>
      <c r="G14">
        <v>7</v>
      </c>
      <c r="H14" s="55" t="e">
        <f t="shared" ca="1" si="0"/>
        <v>#NAME?</v>
      </c>
      <c r="I14" s="50">
        <v>1087.073148127475</v>
      </c>
      <c r="J14" s="50">
        <v>10.860455078390027</v>
      </c>
      <c r="K14" s="56">
        <v>0.4174364691822256</v>
      </c>
    </row>
    <row r="15" spans="1:11" x14ac:dyDescent="0.45">
      <c r="G15">
        <v>8</v>
      </c>
      <c r="H15" s="55" t="e">
        <f t="shared" ca="1" si="0"/>
        <v>#NAME?</v>
      </c>
      <c r="I15" s="50">
        <v>1067.7790154564816</v>
      </c>
      <c r="J15" s="50">
        <v>10.966814576558331</v>
      </c>
      <c r="K15" s="56">
        <v>0.47069174543221609</v>
      </c>
    </row>
    <row r="16" spans="1:11" x14ac:dyDescent="0.45">
      <c r="B16" t="s">
        <v>189</v>
      </c>
      <c r="C16">
        <f>Htub_m_</f>
        <v>2500</v>
      </c>
      <c r="D16" t="s">
        <v>38</v>
      </c>
      <c r="G16">
        <v>9</v>
      </c>
      <c r="H16" s="55" t="e">
        <f t="shared" ca="1" si="0"/>
        <v>#NAME?</v>
      </c>
      <c r="I16" s="50">
        <v>1038.059737874534</v>
      </c>
      <c r="J16" s="50">
        <v>11.107520907586588</v>
      </c>
      <c r="K16" s="56">
        <v>0.5117391942685231</v>
      </c>
    </row>
    <row r="17" spans="7:11" x14ac:dyDescent="0.45">
      <c r="G17">
        <v>10</v>
      </c>
      <c r="H17" s="55" t="e">
        <f t="shared" ca="1" si="0"/>
        <v>#NAME?</v>
      </c>
      <c r="I17" s="50">
        <v>997.82634278658088</v>
      </c>
      <c r="J17" s="50">
        <v>11.288716644571958</v>
      </c>
      <c r="K17" s="56">
        <v>0.53949997912444025</v>
      </c>
    </row>
    <row r="18" spans="7:11" x14ac:dyDescent="0.45">
      <c r="G18">
        <v>11</v>
      </c>
      <c r="H18" s="55" t="e">
        <f t="shared" ca="1" si="0"/>
        <v>#NAME?</v>
      </c>
      <c r="I18" s="50">
        <v>947.47566829691891</v>
      </c>
      <c r="J18" s="50">
        <v>11.513224555541404</v>
      </c>
      <c r="K18" s="56">
        <v>0.55352299173604014</v>
      </c>
    </row>
    <row r="19" spans="7:11" x14ac:dyDescent="0.45">
      <c r="G19">
        <v>12</v>
      </c>
      <c r="H19" s="55" t="e">
        <f t="shared" ca="1" si="0"/>
        <v>#NAME?</v>
      </c>
      <c r="I19" s="50">
        <v>887.77536853431502</v>
      </c>
      <c r="J19" s="50">
        <v>11.78114953966907</v>
      </c>
      <c r="K19" s="56">
        <v>0.55387932458184386</v>
      </c>
    </row>
    <row r="20" spans="7:11" x14ac:dyDescent="0.45">
      <c r="G20">
        <v>13</v>
      </c>
      <c r="H20" s="55" t="e">
        <f t="shared" ca="1" si="0"/>
        <v>#NAME?</v>
      </c>
      <c r="I20" s="50">
        <v>819.74891897713496</v>
      </c>
      <c r="J20" s="50">
        <v>12.090480563493632</v>
      </c>
      <c r="K20" s="56">
        <v>0.54105674332249287</v>
      </c>
    </row>
    <row r="21" spans="7:11" x14ac:dyDescent="0.45">
      <c r="G21">
        <v>14</v>
      </c>
      <c r="H21" s="55" t="e">
        <f t="shared" ca="1" si="0"/>
        <v>#NAME?</v>
      </c>
      <c r="I21" s="50">
        <v>744.5606217784632</v>
      </c>
      <c r="J21" s="50">
        <v>12.437692597135685</v>
      </c>
      <c r="K21" s="56">
        <v>0.51585415924042133</v>
      </c>
    </row>
    <row r="22" spans="7:11" x14ac:dyDescent="0.45">
      <c r="G22">
        <v>15</v>
      </c>
      <c r="H22" s="55" t="e">
        <f t="shared" ca="1" si="0"/>
        <v>#NAME?</v>
      </c>
      <c r="I22" s="50">
        <v>663.40061109123053</v>
      </c>
      <c r="J22" s="50">
        <v>12.818348550515113</v>
      </c>
      <c r="K22" s="56">
        <v>0.47927610167952894</v>
      </c>
    </row>
    <row r="23" spans="7:11" x14ac:dyDescent="0.45">
      <c r="G23">
        <v>16</v>
      </c>
      <c r="H23" s="55" t="e">
        <f t="shared" ca="1" si="0"/>
        <v>#NAME?</v>
      </c>
      <c r="I23" s="50">
        <v>577.36985839334136</v>
      </c>
      <c r="J23" s="50">
        <v>13.227701209568421</v>
      </c>
      <c r="K23" s="56">
        <v>0.43242719048485301</v>
      </c>
    </row>
    <row r="24" spans="7:11" x14ac:dyDescent="0.45">
      <c r="G24">
        <v>17</v>
      </c>
      <c r="H24" s="55" t="e">
        <f t="shared" ca="1" si="0"/>
        <v>#NAME?</v>
      </c>
      <c r="I24" s="50">
        <v>487.36517781279076</v>
      </c>
      <c r="J24" s="50">
        <v>13.661295172466161</v>
      </c>
      <c r="K24" s="56">
        <v>0.3764066084422365</v>
      </c>
    </row>
    <row r="25" spans="7:11" x14ac:dyDescent="0.45">
      <c r="G25">
        <v>18</v>
      </c>
      <c r="H25" s="55" t="e">
        <f t="shared" ca="1" si="0"/>
        <v>#NAME?</v>
      </c>
      <c r="I25" s="50">
        <v>393.96423145279613</v>
      </c>
      <c r="J25" s="50">
        <v>14.11556878583027</v>
      </c>
      <c r="K25" s="56">
        <v>0.3122025737180032</v>
      </c>
    </row>
    <row r="26" spans="7:11" x14ac:dyDescent="0.45">
      <c r="G26">
        <v>19</v>
      </c>
      <c r="H26" s="55" t="e">
        <f t="shared" ca="1" si="0"/>
        <v>#NAME?</v>
      </c>
      <c r="I26" s="50">
        <v>297.31053471691985</v>
      </c>
      <c r="J26" s="50">
        <v>14.588456080951415</v>
      </c>
      <c r="K26" s="56">
        <v>0.24058681229863366</v>
      </c>
    </row>
    <row r="27" spans="7:11" x14ac:dyDescent="0.45">
      <c r="G27">
        <v>20</v>
      </c>
      <c r="H27" s="55" t="e">
        <f t="shared" ca="1" si="0"/>
        <v>#NAME?</v>
      </c>
      <c r="I27" s="50">
        <v>196.99846163419016</v>
      </c>
      <c r="J27" s="50">
        <v>15.079988710006425</v>
      </c>
      <c r="K27" s="56">
        <v>0.16200903043041937</v>
      </c>
    </row>
    <row r="28" spans="7:11" x14ac:dyDescent="0.45">
      <c r="G28">
        <v>21</v>
      </c>
      <c r="H28" s="55" t="e">
        <f t="shared" ca="1" si="0"/>
        <v>#NAME?</v>
      </c>
      <c r="I28" s="50">
        <v>91.958250184236846</v>
      </c>
      <c r="J28" s="50">
        <v>15.592897882275597</v>
      </c>
      <c r="K28" s="56">
        <v>7.6491387059163696E-2</v>
      </c>
    </row>
    <row r="29" spans="7:11" x14ac:dyDescent="0.45">
      <c r="G29">
        <v>22</v>
      </c>
      <c r="H29" s="55" t="e">
        <f t="shared" ca="1" si="0"/>
        <v>#NAME?</v>
      </c>
      <c r="I29" s="50">
        <v>0</v>
      </c>
      <c r="J29" s="50">
        <v>16.038267350690319</v>
      </c>
      <c r="K29" s="56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209550</xdr:colOff>
                    <xdr:row>1</xdr:row>
                    <xdr:rowOff>9525</xdr:rowOff>
                  </from>
                  <to>
                    <xdr:col>14</xdr:col>
                    <xdr:colOff>57150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5165B-7A6B-4829-B135-131C0BE6C697}">
  <sheetPr codeName="Worksheet_GL_data"/>
  <dimension ref="A1:D20"/>
  <sheetViews>
    <sheetView workbookViewId="0">
      <selection activeCell="E43" sqref="E43"/>
    </sheetView>
  </sheetViews>
  <sheetFormatPr defaultRowHeight="14.25" x14ac:dyDescent="0.45"/>
  <cols>
    <col min="2" max="2" width="13.265625" customWidth="1"/>
    <col min="3" max="3" width="10.59765625" customWidth="1"/>
    <col min="4" max="4" width="15.73046875" customWidth="1"/>
  </cols>
  <sheetData>
    <row r="1" spans="1:4" x14ac:dyDescent="0.45">
      <c r="A1" t="s">
        <v>217</v>
      </c>
    </row>
    <row r="3" spans="1:4" x14ac:dyDescent="0.45">
      <c r="B3" t="s">
        <v>207</v>
      </c>
    </row>
    <row r="5" spans="1:4" x14ac:dyDescent="0.45">
      <c r="B5" t="s">
        <v>208</v>
      </c>
      <c r="C5">
        <v>3</v>
      </c>
    </row>
    <row r="7" spans="1:4" x14ac:dyDescent="0.45">
      <c r="B7" t="s">
        <v>209</v>
      </c>
    </row>
    <row r="9" spans="1:4" x14ac:dyDescent="0.45">
      <c r="B9" s="5" t="s">
        <v>170</v>
      </c>
      <c r="C9" s="5" t="s">
        <v>210</v>
      </c>
      <c r="D9" s="5" t="s">
        <v>211</v>
      </c>
    </row>
    <row r="10" spans="1:4" x14ac:dyDescent="0.45">
      <c r="B10" s="5" t="s">
        <v>38</v>
      </c>
      <c r="C10" s="5" t="s">
        <v>41</v>
      </c>
      <c r="D10" s="5" t="s">
        <v>2</v>
      </c>
    </row>
    <row r="11" spans="1:4" x14ac:dyDescent="0.45">
      <c r="B11" s="9">
        <v>500</v>
      </c>
      <c r="C11" s="9">
        <v>0</v>
      </c>
      <c r="D11" s="9">
        <v>50</v>
      </c>
    </row>
    <row r="12" spans="1:4" x14ac:dyDescent="0.45">
      <c r="B12" s="9">
        <v>1500</v>
      </c>
      <c r="C12" s="9">
        <v>0</v>
      </c>
      <c r="D12" s="9">
        <v>60</v>
      </c>
    </row>
    <row r="13" spans="1:4" x14ac:dyDescent="0.45">
      <c r="B13" s="9">
        <v>2200</v>
      </c>
      <c r="C13" s="9">
        <v>3</v>
      </c>
      <c r="D13" s="9">
        <v>80</v>
      </c>
    </row>
    <row r="14" spans="1:4" x14ac:dyDescent="0.45">
      <c r="B14" s="9"/>
      <c r="C14" s="9"/>
      <c r="D14" s="9"/>
    </row>
    <row r="15" spans="1:4" x14ac:dyDescent="0.45">
      <c r="B15" s="9"/>
      <c r="C15" s="9"/>
      <c r="D15" s="9"/>
    </row>
    <row r="16" spans="1:4" x14ac:dyDescent="0.45">
      <c r="B16" s="9"/>
      <c r="C16" s="9"/>
      <c r="D16" s="9"/>
    </row>
    <row r="17" spans="2:4" x14ac:dyDescent="0.45">
      <c r="B17" s="9"/>
      <c r="C17" s="9"/>
      <c r="D17" s="9"/>
    </row>
    <row r="18" spans="2:4" x14ac:dyDescent="0.45">
      <c r="B18" s="9"/>
      <c r="C18" s="9"/>
      <c r="D18" s="9"/>
    </row>
    <row r="19" spans="2:4" x14ac:dyDescent="0.45">
      <c r="B19" s="9"/>
      <c r="C19" s="9"/>
      <c r="D19" s="9"/>
    </row>
    <row r="20" spans="2:4" x14ac:dyDescent="0.45">
      <c r="B20" s="9"/>
      <c r="C20" s="9"/>
      <c r="D20" s="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calc_ESP"/>
  <dimension ref="A1:AK44"/>
  <sheetViews>
    <sheetView zoomScale="90" zoomScaleNormal="90" workbookViewId="0">
      <selection activeCell="AE23" sqref="AE23"/>
    </sheetView>
  </sheetViews>
  <sheetFormatPr defaultRowHeight="14.25" x14ac:dyDescent="0.45"/>
  <cols>
    <col min="15" max="15" width="10.1328125" customWidth="1"/>
    <col min="22" max="22" width="10.73046875" customWidth="1"/>
  </cols>
  <sheetData>
    <row r="1" spans="1:37" x14ac:dyDescent="0.45">
      <c r="A1" t="str">
        <f>версия_</f>
        <v>вер 7.7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</row>
    <row r="2" spans="1:37" x14ac:dyDescent="0.45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0</v>
      </c>
      <c r="X2" s="58"/>
      <c r="Y2" s="58" t="s">
        <v>151</v>
      </c>
      <c r="Z2" s="58"/>
      <c r="AA2" s="58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</row>
    <row r="3" spans="1:37" x14ac:dyDescent="0.45">
      <c r="X3" s="58">
        <v>1</v>
      </c>
      <c r="Y3" s="58" t="s">
        <v>143</v>
      </c>
      <c r="Z3" s="58"/>
      <c r="AA3" s="58"/>
      <c r="AB3" s="58">
        <v>2</v>
      </c>
      <c r="AC3" s="58" t="s">
        <v>145</v>
      </c>
      <c r="AD3" s="58"/>
      <c r="AE3" s="58"/>
      <c r="AF3" s="58"/>
      <c r="AG3" s="58">
        <v>1</v>
      </c>
      <c r="AH3" s="58" t="s">
        <v>160</v>
      </c>
      <c r="AI3" s="58"/>
      <c r="AJ3" s="58"/>
      <c r="AK3" s="58"/>
    </row>
    <row r="4" spans="1:37" x14ac:dyDescent="0.45"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</row>
    <row r="5" spans="1:37" x14ac:dyDescent="0.45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Q5" s="17" t="s">
        <v>53</v>
      </c>
      <c r="R5" s="2"/>
      <c r="S5" s="2"/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</row>
    <row r="6" spans="1:37" ht="15.75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Q6" s="14" t="s">
        <v>45</v>
      </c>
      <c r="R6" s="9">
        <v>45</v>
      </c>
      <c r="S6" s="5" t="s">
        <v>204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</row>
    <row r="7" spans="1:37" ht="15.75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Q7" s="14" t="s">
        <v>46</v>
      </c>
      <c r="R7" s="9">
        <v>50</v>
      </c>
      <c r="S7" s="5" t="s">
        <v>204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</row>
    <row r="8" spans="1:37" ht="15.75" x14ac:dyDescent="0.55000000000000004">
      <c r="B8" s="7" t="s">
        <v>34</v>
      </c>
      <c r="C8" s="12" t="s">
        <v>63</v>
      </c>
      <c r="D8" s="5" t="s">
        <v>35</v>
      </c>
      <c r="Q8" s="14" t="s">
        <v>47</v>
      </c>
      <c r="R8" s="9">
        <v>90</v>
      </c>
      <c r="S8" s="5" t="s">
        <v>204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</row>
    <row r="9" spans="1:37" ht="15.75" x14ac:dyDescent="0.55000000000000004">
      <c r="B9" s="7" t="s">
        <v>18</v>
      </c>
      <c r="C9" s="9">
        <v>100</v>
      </c>
      <c r="D9" s="5" t="s">
        <v>17</v>
      </c>
      <c r="Q9" s="14" t="s">
        <v>197</v>
      </c>
      <c r="R9" s="9">
        <v>45</v>
      </c>
      <c r="S9" s="5" t="s">
        <v>204</v>
      </c>
    </row>
    <row r="10" spans="1:37" ht="15.75" x14ac:dyDescent="0.45">
      <c r="B10" s="7" t="s">
        <v>18</v>
      </c>
      <c r="C10" s="13">
        <f>Rp_m3m3_/PVT!gamma_oil_</f>
        <v>116.27906976744187</v>
      </c>
      <c r="D10" s="5" t="s">
        <v>36</v>
      </c>
      <c r="Q10" s="17"/>
      <c r="R10" s="2"/>
      <c r="S10" s="2"/>
      <c r="T10" s="17"/>
      <c r="U10" s="2"/>
      <c r="V10" s="2"/>
    </row>
    <row r="11" spans="1:37" ht="15.75" x14ac:dyDescent="0.55000000000000004">
      <c r="Q11" s="14" t="s">
        <v>205</v>
      </c>
      <c r="R11" s="25">
        <v>45</v>
      </c>
      <c r="S11" s="5" t="s">
        <v>204</v>
      </c>
      <c r="T11" s="14" t="s">
        <v>55</v>
      </c>
      <c r="U11" s="25">
        <v>30</v>
      </c>
      <c r="V11" s="5" t="s">
        <v>25</v>
      </c>
    </row>
    <row r="12" spans="1:37" ht="15.75" x14ac:dyDescent="0.55000000000000004">
      <c r="Q12" s="14" t="s">
        <v>206</v>
      </c>
      <c r="R12" s="25">
        <v>45.073299407958984</v>
      </c>
      <c r="S12" s="5" t="s">
        <v>204</v>
      </c>
      <c r="T12" s="14" t="s">
        <v>56</v>
      </c>
      <c r="U12" s="25">
        <v>30</v>
      </c>
      <c r="V12" s="5" t="s">
        <v>25</v>
      </c>
    </row>
    <row r="13" spans="1:37" ht="15.75" x14ac:dyDescent="0.55000000000000004">
      <c r="D13" s="1"/>
      <c r="Q13" s="14" t="s">
        <v>47</v>
      </c>
      <c r="R13" s="25">
        <v>160.03668578620261</v>
      </c>
      <c r="S13" s="5" t="s">
        <v>204</v>
      </c>
      <c r="T13" s="14" t="s">
        <v>57</v>
      </c>
      <c r="U13" s="25">
        <v>90</v>
      </c>
      <c r="V13" s="5" t="s">
        <v>25</v>
      </c>
    </row>
    <row r="14" spans="1:37" x14ac:dyDescent="0.45">
      <c r="B14" s="17" t="s">
        <v>58</v>
      </c>
      <c r="C14" s="2"/>
      <c r="D14" s="10"/>
      <c r="E14" s="2"/>
    </row>
    <row r="15" spans="1:37" ht="28.5" x14ac:dyDescent="0.45">
      <c r="B15" s="2"/>
      <c r="C15" s="2" t="s">
        <v>43</v>
      </c>
      <c r="D15" s="10" t="s">
        <v>62</v>
      </c>
      <c r="E15" s="2" t="s">
        <v>61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  <c r="W15" t="s">
        <v>198</v>
      </c>
    </row>
    <row r="16" spans="1:37" x14ac:dyDescent="0.45">
      <c r="B16" s="2" t="s">
        <v>59</v>
      </c>
      <c r="C16" s="49">
        <v>0</v>
      </c>
      <c r="D16" s="49">
        <v>0</v>
      </c>
      <c r="E16" s="49">
        <v>32</v>
      </c>
      <c r="G16" s="15"/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45.073299407958984</v>
      </c>
      <c r="P16">
        <v>0</v>
      </c>
      <c r="Q16">
        <v>30</v>
      </c>
      <c r="R16">
        <v>0</v>
      </c>
      <c r="S16">
        <v>0.80316057558179288</v>
      </c>
      <c r="U16">
        <v>0</v>
      </c>
      <c r="V16" s="50">
        <f>Pline_out_atma_</f>
        <v>45</v>
      </c>
    </row>
    <row r="17" spans="2:22" x14ac:dyDescent="0.45">
      <c r="B17" s="2" t="s">
        <v>60</v>
      </c>
      <c r="C17" s="18">
        <v>0</v>
      </c>
      <c r="D17" s="18">
        <v>12</v>
      </c>
      <c r="E17" s="18">
        <v>33</v>
      </c>
      <c r="G17" s="15"/>
      <c r="H17">
        <v>168.75</v>
      </c>
      <c r="I17">
        <v>16.978153001228488</v>
      </c>
      <c r="J17">
        <v>34.35</v>
      </c>
      <c r="K17">
        <v>194.44444444444446</v>
      </c>
      <c r="M17">
        <v>33.333333333333336</v>
      </c>
      <c r="N17">
        <v>194.44444444444446</v>
      </c>
      <c r="O17">
        <v>59.246860329131835</v>
      </c>
      <c r="P17">
        <v>194.44444444444446</v>
      </c>
      <c r="Q17">
        <v>33.333333333333336</v>
      </c>
      <c r="R17">
        <v>175</v>
      </c>
      <c r="S17">
        <v>0.88196132364168367</v>
      </c>
      <c r="U17">
        <v>0</v>
      </c>
      <c r="V17" s="50">
        <f>Pbuf_out_atma_</f>
        <v>45.073299407958984</v>
      </c>
    </row>
    <row r="18" spans="2:22" x14ac:dyDescent="0.45">
      <c r="B18" s="2"/>
      <c r="C18" s="18">
        <v>125</v>
      </c>
      <c r="D18" s="18">
        <v>15.557467590458288</v>
      </c>
      <c r="E18" s="18">
        <v>34</v>
      </c>
      <c r="G18" s="15"/>
      <c r="H18">
        <v>337.5</v>
      </c>
      <c r="I18">
        <v>22.808159517353957</v>
      </c>
      <c r="J18">
        <v>35.700000000000003</v>
      </c>
      <c r="K18">
        <v>388.88888888888891</v>
      </c>
      <c r="M18">
        <v>36.666666666666671</v>
      </c>
      <c r="N18">
        <v>388.88888888888891</v>
      </c>
      <c r="O18">
        <v>74.232210767456252</v>
      </c>
      <c r="P18">
        <v>388.88888888888891</v>
      </c>
      <c r="Q18">
        <v>36.666666666666671</v>
      </c>
      <c r="R18">
        <v>350</v>
      </c>
      <c r="S18">
        <v>0.94504731122751795</v>
      </c>
      <c r="U18">
        <f>Hperf_m_</f>
        <v>3500</v>
      </c>
      <c r="V18" s="50">
        <f>Pwf_out_atma_</f>
        <v>160.03668578620261</v>
      </c>
    </row>
    <row r="19" spans="2:22" x14ac:dyDescent="0.45">
      <c r="B19" s="2"/>
      <c r="C19" s="18">
        <v>250</v>
      </c>
      <c r="D19" s="18">
        <v>19.616568764087436</v>
      </c>
      <c r="E19" s="18">
        <v>35</v>
      </c>
      <c r="G19" s="15"/>
      <c r="H19">
        <v>506.25</v>
      </c>
      <c r="I19">
        <v>29.78946407595685</v>
      </c>
      <c r="J19">
        <v>37.049999999999997</v>
      </c>
      <c r="K19">
        <v>583.33333333333337</v>
      </c>
      <c r="M19">
        <v>40</v>
      </c>
      <c r="N19">
        <v>583.33333333333337</v>
      </c>
      <c r="O19">
        <v>89.67044938262157</v>
      </c>
      <c r="P19">
        <v>583.33333333333337</v>
      </c>
      <c r="Q19">
        <v>40</v>
      </c>
      <c r="R19">
        <v>525</v>
      </c>
      <c r="S19">
        <v>0.9903900672591337</v>
      </c>
    </row>
    <row r="20" spans="2:22" x14ac:dyDescent="0.45">
      <c r="B20" s="2"/>
      <c r="C20" s="18">
        <v>375</v>
      </c>
      <c r="D20" s="18">
        <v>24.17598412589675</v>
      </c>
      <c r="E20" s="18">
        <v>36</v>
      </c>
      <c r="G20" s="15"/>
      <c r="H20">
        <v>675</v>
      </c>
      <c r="I20">
        <v>38.734369437593315</v>
      </c>
      <c r="J20">
        <v>38.4</v>
      </c>
      <c r="K20">
        <v>777.77777777777783</v>
      </c>
      <c r="M20">
        <v>43.333333333333336</v>
      </c>
      <c r="N20">
        <v>777.77777777777783</v>
      </c>
      <c r="O20">
        <v>105.22295283261492</v>
      </c>
      <c r="P20">
        <v>777.77777777777783</v>
      </c>
      <c r="Q20">
        <v>43.333333333333336</v>
      </c>
      <c r="R20">
        <v>700</v>
      </c>
      <c r="S20">
        <v>1</v>
      </c>
    </row>
    <row r="21" spans="2:22" x14ac:dyDescent="0.45">
      <c r="B21" s="2"/>
      <c r="C21" s="18">
        <v>500</v>
      </c>
      <c r="D21" s="18">
        <v>29.478342712963183</v>
      </c>
      <c r="E21" s="18">
        <v>37</v>
      </c>
      <c r="G21" s="15"/>
      <c r="H21">
        <v>843.75</v>
      </c>
      <c r="I21">
        <v>49.937391904010141</v>
      </c>
      <c r="J21">
        <v>39.75</v>
      </c>
      <c r="K21">
        <v>972.22222222222229</v>
      </c>
      <c r="M21">
        <v>46.666666666666664</v>
      </c>
      <c r="N21">
        <v>972.22222222222229</v>
      </c>
      <c r="O21">
        <v>120.70237937904704</v>
      </c>
      <c r="P21">
        <v>972.22222222222229</v>
      </c>
      <c r="Q21">
        <v>46.666666666666664</v>
      </c>
      <c r="R21">
        <v>875</v>
      </c>
      <c r="S21">
        <v>1</v>
      </c>
    </row>
    <row r="22" spans="2:22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1166.6666666666667</v>
      </c>
      <c r="M22">
        <v>50</v>
      </c>
      <c r="N22">
        <v>1166.6666666666667</v>
      </c>
      <c r="O22">
        <v>135.54498787690332</v>
      </c>
      <c r="P22">
        <v>1166.6666666666667</v>
      </c>
      <c r="Q22">
        <v>50</v>
      </c>
      <c r="R22">
        <v>1050</v>
      </c>
      <c r="S22">
        <v>1</v>
      </c>
    </row>
    <row r="23" spans="2:22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1361.1111111111113</v>
      </c>
      <c r="M23">
        <v>53.333333333333336</v>
      </c>
      <c r="N23">
        <v>1361.1111111111113</v>
      </c>
      <c r="O23">
        <v>149.79673972299454</v>
      </c>
      <c r="P23">
        <v>1361.1111111111113</v>
      </c>
      <c r="Q23">
        <v>53.333333333333336</v>
      </c>
      <c r="R23">
        <v>1225</v>
      </c>
      <c r="S23">
        <v>1</v>
      </c>
    </row>
    <row r="24" spans="2:22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1555.5555555555557</v>
      </c>
      <c r="M24">
        <v>56.666666666666671</v>
      </c>
      <c r="N24">
        <v>1555.5555555555557</v>
      </c>
      <c r="O24">
        <v>163.42722466713471</v>
      </c>
      <c r="P24">
        <v>1555.5555555555557</v>
      </c>
      <c r="Q24">
        <v>56.666666666666671</v>
      </c>
      <c r="R24">
        <v>1400</v>
      </c>
      <c r="S24">
        <v>1</v>
      </c>
    </row>
    <row r="25" spans="2:22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1750</v>
      </c>
      <c r="M25">
        <v>60</v>
      </c>
      <c r="N25">
        <v>1750</v>
      </c>
      <c r="O25">
        <v>176.43552651162508</v>
      </c>
      <c r="P25">
        <v>1750</v>
      </c>
      <c r="Q25">
        <v>60</v>
      </c>
      <c r="R25">
        <v>1575</v>
      </c>
      <c r="S25">
        <v>1</v>
      </c>
    </row>
    <row r="26" spans="2:22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1944.4444444444446</v>
      </c>
      <c r="M26">
        <v>63.333333333333336</v>
      </c>
      <c r="N26">
        <v>1944.4444444444446</v>
      </c>
      <c r="O26">
        <v>188.82153300329225</v>
      </c>
      <c r="P26">
        <v>1944.4444444444446</v>
      </c>
      <c r="Q26">
        <v>63.333333333333336</v>
      </c>
      <c r="R26">
        <v>1750</v>
      </c>
      <c r="S26">
        <v>1</v>
      </c>
    </row>
    <row r="27" spans="2:22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2138.8888888888891</v>
      </c>
      <c r="M27">
        <v>66.666666666666671</v>
      </c>
      <c r="N27">
        <v>2138.8888888888891</v>
      </c>
      <c r="O27">
        <v>200.58579326561684</v>
      </c>
      <c r="P27">
        <v>2138.8888888888891</v>
      </c>
      <c r="Q27">
        <v>66.666666666666671</v>
      </c>
      <c r="R27">
        <v>1925</v>
      </c>
      <c r="S27">
        <v>1</v>
      </c>
    </row>
    <row r="28" spans="2:22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2333.3333333333335</v>
      </c>
      <c r="M28">
        <v>70</v>
      </c>
      <c r="N28">
        <v>2333.3333333333335</v>
      </c>
      <c r="O28">
        <v>211.72935059069442</v>
      </c>
      <c r="P28">
        <v>2333.3333333333335</v>
      </c>
      <c r="Q28">
        <v>70</v>
      </c>
      <c r="R28">
        <v>2100</v>
      </c>
      <c r="S28">
        <v>1</v>
      </c>
    </row>
    <row r="29" spans="2:22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2500</v>
      </c>
      <c r="M29">
        <v>72.857142857142861</v>
      </c>
      <c r="N29">
        <v>2500</v>
      </c>
      <c r="O29">
        <v>220.80468955826063</v>
      </c>
      <c r="P29">
        <v>2500</v>
      </c>
      <c r="Q29">
        <v>72.857142857142861</v>
      </c>
      <c r="R29">
        <v>2275</v>
      </c>
      <c r="S29">
        <v>1</v>
      </c>
    </row>
    <row r="30" spans="2:22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2501</v>
      </c>
      <c r="M30">
        <v>72.874285714285719</v>
      </c>
      <c r="N30">
        <v>2501</v>
      </c>
      <c r="O30">
        <v>142.28655369204679</v>
      </c>
      <c r="P30">
        <v>2501</v>
      </c>
      <c r="Q30">
        <v>72.874285714285719</v>
      </c>
      <c r="R30">
        <v>2450</v>
      </c>
      <c r="S30">
        <v>1</v>
      </c>
    </row>
    <row r="31" spans="2:22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2527.7777777777778</v>
      </c>
      <c r="M31">
        <v>73.333333333333343</v>
      </c>
      <c r="N31">
        <v>2527.7777777777778</v>
      </c>
      <c r="O31">
        <v>143.66972871542228</v>
      </c>
      <c r="P31">
        <v>2527.7777777777778</v>
      </c>
      <c r="Q31">
        <v>73.333333333333343</v>
      </c>
      <c r="R31">
        <v>2625</v>
      </c>
      <c r="S31">
        <v>1</v>
      </c>
    </row>
    <row r="32" spans="2:22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2722.2222222222226</v>
      </c>
      <c r="M32">
        <v>76.666666666666686</v>
      </c>
      <c r="N32">
        <v>2722.2222222222226</v>
      </c>
      <c r="O32">
        <v>153.0610248711493</v>
      </c>
      <c r="P32">
        <v>2722.2222222222226</v>
      </c>
      <c r="Q32">
        <v>76.666666666666686</v>
      </c>
      <c r="R32">
        <v>2800</v>
      </c>
      <c r="S32">
        <v>1</v>
      </c>
    </row>
    <row r="33" spans="2:19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2916.666666666667</v>
      </c>
      <c r="M33">
        <v>80.000000000000014</v>
      </c>
      <c r="N33">
        <v>2916.666666666667</v>
      </c>
      <c r="O33">
        <v>156.08958563658408</v>
      </c>
      <c r="P33">
        <v>2916.666666666667</v>
      </c>
      <c r="Q33">
        <v>80.000000000000014</v>
      </c>
      <c r="R33">
        <v>2975</v>
      </c>
      <c r="S33">
        <v>1</v>
      </c>
    </row>
    <row r="34" spans="2:19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3111.1111111111113</v>
      </c>
      <c r="M34">
        <v>83.333333333333329</v>
      </c>
      <c r="N34">
        <v>3111.1111111111113</v>
      </c>
      <c r="O34">
        <v>157.40907246880903</v>
      </c>
      <c r="P34">
        <v>3111.1111111111113</v>
      </c>
      <c r="Q34">
        <v>83.333333333333329</v>
      </c>
      <c r="R34">
        <v>3150</v>
      </c>
      <c r="S34">
        <v>1</v>
      </c>
    </row>
    <row r="35" spans="2:19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3305.5555555555557</v>
      </c>
      <c r="M35">
        <v>86.666666666666671</v>
      </c>
      <c r="N35">
        <v>3305.5555555555557</v>
      </c>
      <c r="O35">
        <v>158.72477248409859</v>
      </c>
      <c r="P35">
        <v>3305.5555555555557</v>
      </c>
      <c r="Q35">
        <v>86.666666666666671</v>
      </c>
      <c r="R35">
        <v>3325</v>
      </c>
      <c r="S35">
        <v>1</v>
      </c>
    </row>
    <row r="36" spans="2:19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160.03668578620261</v>
      </c>
      <c r="P36">
        <v>3500</v>
      </c>
      <c r="Q36">
        <v>90</v>
      </c>
      <c r="R36">
        <v>3500</v>
      </c>
      <c r="S36">
        <v>1</v>
      </c>
    </row>
    <row r="37" spans="2:19" x14ac:dyDescent="0.45">
      <c r="B37" s="2"/>
      <c r="C37" s="18">
        <v>2500</v>
      </c>
      <c r="D37" s="18">
        <v>176.72349338287597</v>
      </c>
      <c r="E37" s="18">
        <v>53</v>
      </c>
    </row>
    <row r="38" spans="2:19" x14ac:dyDescent="0.45">
      <c r="B38" s="2"/>
      <c r="C38" s="18">
        <v>2625</v>
      </c>
      <c r="D38" s="18">
        <v>186.511102757185</v>
      </c>
      <c r="E38" s="18">
        <v>54</v>
      </c>
    </row>
    <row r="39" spans="2:19" x14ac:dyDescent="0.45">
      <c r="B39" s="2"/>
      <c r="C39" s="18">
        <v>2750</v>
      </c>
      <c r="D39" s="18">
        <v>196.298712131494</v>
      </c>
      <c r="E39" s="18">
        <v>55</v>
      </c>
    </row>
    <row r="40" spans="2:19" x14ac:dyDescent="0.45">
      <c r="B40" s="2"/>
      <c r="C40" s="18">
        <v>2875</v>
      </c>
      <c r="D40" s="18">
        <v>206.08632150580399</v>
      </c>
      <c r="E40" s="18">
        <v>56</v>
      </c>
    </row>
    <row r="41" spans="2:19" x14ac:dyDescent="0.45">
      <c r="B41" s="2"/>
      <c r="C41" s="18">
        <v>3000</v>
      </c>
      <c r="D41" s="18">
        <v>215.87393088011299</v>
      </c>
      <c r="E41" s="18">
        <v>57</v>
      </c>
    </row>
    <row r="42" spans="2:19" x14ac:dyDescent="0.45">
      <c r="B42" s="2"/>
      <c r="C42" s="18">
        <v>3125</v>
      </c>
      <c r="D42" s="18">
        <v>225.66154025442199</v>
      </c>
      <c r="E42" s="18">
        <v>58</v>
      </c>
    </row>
    <row r="43" spans="2:19" x14ac:dyDescent="0.45">
      <c r="B43" s="2"/>
      <c r="C43" s="18">
        <v>3250</v>
      </c>
      <c r="D43" s="18">
        <v>235.44914962873099</v>
      </c>
      <c r="E43" s="18">
        <v>59</v>
      </c>
    </row>
    <row r="44" spans="2:19" x14ac:dyDescent="0.4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_calcESP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utton_calcESP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A627C-B905-4C8E-9BC1-A9F0C295BBF5}">
  <sheetPr codeName="Worksheet_calc_GL"/>
  <dimension ref="A1:AN44"/>
  <sheetViews>
    <sheetView zoomScale="90" zoomScaleNormal="90" workbookViewId="0">
      <selection activeCell="M11" sqref="M11"/>
    </sheetView>
  </sheetViews>
  <sheetFormatPr defaultRowHeight="14.25" x14ac:dyDescent="0.45"/>
  <cols>
    <col min="15" max="15" width="10.1328125" customWidth="1"/>
    <col min="22" max="22" width="10.73046875" customWidth="1"/>
  </cols>
  <sheetData>
    <row r="1" spans="1:40" x14ac:dyDescent="0.45">
      <c r="A1" t="s">
        <v>217</v>
      </c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</row>
    <row r="2" spans="1:40" x14ac:dyDescent="0.45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X2" s="58"/>
      <c r="Y2" s="58" t="s">
        <v>151</v>
      </c>
      <c r="Z2" s="58"/>
      <c r="AA2" s="58"/>
      <c r="AB2" s="58"/>
      <c r="AC2" s="58" t="s">
        <v>152</v>
      </c>
      <c r="AD2" s="58"/>
      <c r="AE2" s="58"/>
      <c r="AF2" s="58"/>
      <c r="AG2" s="58" t="s">
        <v>153</v>
      </c>
      <c r="AH2" s="58"/>
      <c r="AI2" s="58"/>
      <c r="AJ2" s="58"/>
      <c r="AK2" s="58"/>
      <c r="AL2" s="58"/>
      <c r="AM2" s="58"/>
      <c r="AN2" s="58"/>
    </row>
    <row r="3" spans="1:40" x14ac:dyDescent="0.45">
      <c r="X3" s="58">
        <v>1</v>
      </c>
      <c r="Y3" s="58" t="s">
        <v>143</v>
      </c>
      <c r="Z3" s="58"/>
      <c r="AA3" s="58"/>
      <c r="AB3" s="58">
        <v>1</v>
      </c>
      <c r="AC3" s="58" t="s">
        <v>145</v>
      </c>
      <c r="AD3" s="58"/>
      <c r="AE3" s="58"/>
      <c r="AF3" s="58"/>
      <c r="AG3" s="58">
        <v>2</v>
      </c>
      <c r="AH3" s="58" t="s">
        <v>160</v>
      </c>
      <c r="AI3" s="58"/>
      <c r="AJ3" s="58"/>
      <c r="AK3" s="58"/>
      <c r="AL3" s="58"/>
      <c r="AM3" s="58"/>
      <c r="AN3" s="58"/>
    </row>
    <row r="4" spans="1:40" x14ac:dyDescent="0.45">
      <c r="P4" s="17" t="s">
        <v>53</v>
      </c>
      <c r="Q4" s="2"/>
      <c r="R4" s="2"/>
      <c r="X4" s="58"/>
      <c r="Y4" s="58" t="s">
        <v>144</v>
      </c>
      <c r="Z4" s="58"/>
      <c r="AA4" s="58"/>
      <c r="AB4" s="58"/>
      <c r="AC4" s="58" t="s">
        <v>146</v>
      </c>
      <c r="AD4" s="58"/>
      <c r="AE4" s="58"/>
      <c r="AF4" s="58"/>
      <c r="AG4" s="58"/>
      <c r="AH4" s="58" t="s">
        <v>169</v>
      </c>
      <c r="AI4" s="58"/>
      <c r="AJ4" s="58"/>
      <c r="AK4" s="58"/>
      <c r="AL4" s="58"/>
      <c r="AM4" s="58"/>
      <c r="AN4" s="58"/>
    </row>
    <row r="5" spans="1:40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50</v>
      </c>
      <c r="R5" s="5" t="s">
        <v>44</v>
      </c>
      <c r="X5" s="58"/>
      <c r="Y5" s="58"/>
      <c r="Z5" s="58"/>
      <c r="AA5" s="58"/>
      <c r="AB5" s="58"/>
      <c r="AC5" s="58" t="s">
        <v>147</v>
      </c>
      <c r="AD5" s="58"/>
      <c r="AE5" s="58"/>
      <c r="AF5" s="58"/>
      <c r="AG5" s="58"/>
      <c r="AH5" s="58" t="s">
        <v>154</v>
      </c>
      <c r="AI5" s="58"/>
      <c r="AJ5" s="58"/>
      <c r="AK5" s="58"/>
      <c r="AL5" s="58"/>
      <c r="AM5" s="58"/>
      <c r="AN5" s="58"/>
    </row>
    <row r="6" spans="1:40" ht="15.75" x14ac:dyDescent="0.55000000000000004">
      <c r="B6" s="7" t="s">
        <v>32</v>
      </c>
      <c r="C6" s="9">
        <v>50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50</v>
      </c>
      <c r="R6" s="5" t="s">
        <v>44</v>
      </c>
      <c r="X6" s="58"/>
      <c r="Y6" s="58"/>
      <c r="Z6" s="58"/>
      <c r="AA6" s="58"/>
      <c r="AB6" s="58"/>
      <c r="AC6" s="58" t="s">
        <v>148</v>
      </c>
      <c r="AD6" s="58"/>
      <c r="AE6" s="58"/>
      <c r="AF6" s="58"/>
      <c r="AG6" s="58"/>
      <c r="AH6" s="58"/>
      <c r="AI6" s="58"/>
      <c r="AJ6" s="58"/>
      <c r="AK6" s="58"/>
      <c r="AL6" s="58"/>
      <c r="AM6" s="58"/>
      <c r="AN6" s="58"/>
    </row>
    <row r="7" spans="1:40" ht="15.75" x14ac:dyDescent="0.55000000000000004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180</v>
      </c>
      <c r="R7" s="5" t="s">
        <v>44</v>
      </c>
      <c r="X7" s="58"/>
      <c r="Y7" s="58"/>
      <c r="Z7" s="58"/>
      <c r="AA7" s="58"/>
      <c r="AB7" s="58"/>
      <c r="AC7" s="58" t="s">
        <v>149</v>
      </c>
      <c r="AD7" s="58"/>
      <c r="AE7" s="58"/>
      <c r="AF7" s="58"/>
      <c r="AG7" s="58"/>
      <c r="AH7" s="58"/>
      <c r="AI7" s="58"/>
      <c r="AJ7" s="58"/>
      <c r="AK7" s="58"/>
      <c r="AL7" s="58"/>
      <c r="AM7" s="58"/>
      <c r="AN7" s="58"/>
    </row>
    <row r="8" spans="1:40" ht="15.75" x14ac:dyDescent="0.55000000000000004">
      <c r="B8" s="7" t="s">
        <v>34</v>
      </c>
      <c r="C8" s="12" t="s">
        <v>63</v>
      </c>
      <c r="D8" s="5" t="s">
        <v>35</v>
      </c>
      <c r="P8" s="57" t="s">
        <v>197</v>
      </c>
      <c r="Q8" s="9">
        <v>150</v>
      </c>
      <c r="R8" s="5" t="s">
        <v>44</v>
      </c>
      <c r="X8" s="58"/>
      <c r="Y8" s="58"/>
      <c r="Z8" s="58"/>
      <c r="AA8" s="58"/>
      <c r="AB8" s="58"/>
      <c r="AC8" s="58" t="s">
        <v>150</v>
      </c>
      <c r="AD8" s="58"/>
      <c r="AE8" s="58"/>
      <c r="AF8" s="58"/>
      <c r="AG8" s="58"/>
      <c r="AH8" s="58"/>
      <c r="AI8" s="58"/>
      <c r="AJ8" s="58"/>
      <c r="AK8" s="58"/>
      <c r="AL8" s="58"/>
      <c r="AM8" s="58"/>
      <c r="AN8" s="58"/>
    </row>
    <row r="9" spans="1:40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  <c r="X9" s="58"/>
      <c r="Y9" s="58"/>
      <c r="Z9" s="58"/>
      <c r="AA9" s="58"/>
      <c r="AB9" s="58"/>
      <c r="AC9" s="58"/>
      <c r="AD9" s="58"/>
      <c r="AE9" s="58"/>
      <c r="AF9" s="58"/>
      <c r="AG9" s="58"/>
      <c r="AH9" s="58"/>
      <c r="AI9" s="58"/>
      <c r="AJ9" s="58"/>
      <c r="AK9" s="58"/>
      <c r="AL9" s="58"/>
      <c r="AM9" s="58"/>
      <c r="AN9" s="58"/>
    </row>
    <row r="10" spans="1:40" ht="15.75" x14ac:dyDescent="0.55000000000000004">
      <c r="B10" s="7" t="s">
        <v>18</v>
      </c>
      <c r="C10" s="13">
        <v>125</v>
      </c>
      <c r="D10" s="5" t="s">
        <v>36</v>
      </c>
      <c r="P10" s="57" t="s">
        <v>45</v>
      </c>
      <c r="Q10" s="25">
        <v>50.010292088439833</v>
      </c>
      <c r="R10" s="5" t="s">
        <v>44</v>
      </c>
      <c r="S10" s="57" t="s">
        <v>55</v>
      </c>
      <c r="T10" s="25">
        <v>20.000000000000004</v>
      </c>
      <c r="U10" s="5" t="s">
        <v>25</v>
      </c>
      <c r="X10" s="58"/>
      <c r="Y10" s="58"/>
      <c r="Z10" s="58"/>
      <c r="AA10" s="58"/>
      <c r="AB10" s="58"/>
      <c r="AC10" s="58"/>
      <c r="AD10" s="58"/>
      <c r="AE10" s="58"/>
      <c r="AF10" s="58" t="str">
        <f>[1]!s(0.2563)</f>
        <v>000,26</v>
      </c>
      <c r="AG10" s="58"/>
      <c r="AH10" s="58"/>
      <c r="AI10" s="58"/>
      <c r="AJ10" s="58"/>
      <c r="AK10" s="58"/>
      <c r="AL10" s="58"/>
      <c r="AM10" s="58"/>
      <c r="AN10" s="58"/>
    </row>
    <row r="11" spans="1:40" ht="15.75" x14ac:dyDescent="0.55000000000000004">
      <c r="B11" s="7" t="s">
        <v>212</v>
      </c>
      <c r="C11" s="9">
        <v>0</v>
      </c>
      <c r="P11" s="57" t="s">
        <v>46</v>
      </c>
      <c r="Q11" s="25">
        <v>50.010292088439833</v>
      </c>
      <c r="R11" s="5" t="s">
        <v>44</v>
      </c>
      <c r="S11" s="57" t="s">
        <v>56</v>
      </c>
      <c r="T11" s="25">
        <v>20.000000000000004</v>
      </c>
      <c r="U11" s="5" t="s">
        <v>25</v>
      </c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8"/>
      <c r="AI11" s="58"/>
      <c r="AJ11" s="58"/>
      <c r="AK11" s="58"/>
      <c r="AL11" s="58"/>
      <c r="AM11" s="58"/>
      <c r="AN11" s="58"/>
    </row>
    <row r="12" spans="1:40" ht="15.75" x14ac:dyDescent="0.55000000000000004">
      <c r="M12" t="s">
        <v>63</v>
      </c>
      <c r="P12" s="57" t="s">
        <v>47</v>
      </c>
      <c r="Q12" s="25">
        <v>230.72821252816129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40" x14ac:dyDescent="0.45">
      <c r="D13" s="1"/>
    </row>
    <row r="14" spans="1:40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40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 t="s">
        <v>213</v>
      </c>
      <c r="M15" t="s">
        <v>203</v>
      </c>
      <c r="N15" s="1" t="s">
        <v>199</v>
      </c>
      <c r="O15" s="1" t="s">
        <v>200</v>
      </c>
      <c r="P15" s="1" t="s">
        <v>214</v>
      </c>
      <c r="Q15" s="1" t="s">
        <v>201</v>
      </c>
      <c r="R15" s="5" t="s">
        <v>198</v>
      </c>
      <c r="S15" s="57" t="s">
        <v>215</v>
      </c>
      <c r="T15" s="1"/>
      <c r="U15" s="1" t="s">
        <v>202</v>
      </c>
      <c r="W15" s="5" t="s">
        <v>170</v>
      </c>
      <c r="X15" s="1" t="s">
        <v>171</v>
      </c>
      <c r="Y15" t="s">
        <v>198</v>
      </c>
      <c r="Z15" t="s">
        <v>216</v>
      </c>
    </row>
    <row r="16" spans="1:40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50.010292088439833</v>
      </c>
      <c r="P16">
        <v>0</v>
      </c>
      <c r="Q16">
        <v>20.000000000000004</v>
      </c>
      <c r="T16">
        <v>0</v>
      </c>
      <c r="U16">
        <v>0.9833573968458168</v>
      </c>
      <c r="W16">
        <v>0</v>
      </c>
      <c r="X16" s="50">
        <f>Pline_out_atma_</f>
        <v>50.010292088439833</v>
      </c>
    </row>
    <row r="17" spans="2:24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63.94791187821167</v>
      </c>
      <c r="P17">
        <v>184.21052631578948</v>
      </c>
      <c r="Q17">
        <v>25.526315789473689</v>
      </c>
      <c r="T17">
        <v>175</v>
      </c>
      <c r="U17">
        <v>0.98878683672859569</v>
      </c>
      <c r="W17">
        <v>0</v>
      </c>
      <c r="X17" s="50">
        <f>Pbuf_out_atma_</f>
        <v>50.010292088439833</v>
      </c>
    </row>
    <row r="18" spans="2:24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77.747148126448423</v>
      </c>
      <c r="P18">
        <v>368.42105263157896</v>
      </c>
      <c r="Q18">
        <v>31.05263157894737</v>
      </c>
      <c r="T18">
        <v>350</v>
      </c>
      <c r="U18">
        <v>0.99679948131597573</v>
      </c>
      <c r="W18">
        <v>3500</v>
      </c>
      <c r="X18" s="50">
        <f>Pwf_out_atma_</f>
        <v>230.72821252816129</v>
      </c>
    </row>
    <row r="19" spans="2:24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91.47569268959181</v>
      </c>
      <c r="P19">
        <v>552.63157894736844</v>
      </c>
      <c r="Q19">
        <v>36.578947368421055</v>
      </c>
      <c r="T19">
        <v>525</v>
      </c>
      <c r="U19">
        <v>1</v>
      </c>
    </row>
    <row r="20" spans="2:24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105.16840268766761</v>
      </c>
      <c r="P20">
        <v>736.84210526315792</v>
      </c>
      <c r="Q20">
        <v>42.10526315789474</v>
      </c>
      <c r="T20">
        <v>700</v>
      </c>
      <c r="U20">
        <v>1</v>
      </c>
    </row>
    <row r="21" spans="2:24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118.80022909242395</v>
      </c>
      <c r="P21">
        <v>921.0526315789474</v>
      </c>
      <c r="Q21">
        <v>47.631578947368425</v>
      </c>
      <c r="T21">
        <v>875</v>
      </c>
      <c r="U21">
        <v>1</v>
      </c>
    </row>
    <row r="22" spans="2:24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131.97714850378225</v>
      </c>
      <c r="P22">
        <v>1105.2631578947369</v>
      </c>
      <c r="Q22">
        <v>53.03</v>
      </c>
      <c r="T22">
        <v>1050</v>
      </c>
      <c r="U22">
        <v>1</v>
      </c>
    </row>
    <row r="23" spans="2:24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144.59961193221298</v>
      </c>
      <c r="P23">
        <v>1289.4736842105262</v>
      </c>
      <c r="Q23">
        <v>58.226315789473688</v>
      </c>
      <c r="T23">
        <v>1225</v>
      </c>
      <c r="U23">
        <v>1</v>
      </c>
    </row>
    <row r="24" spans="2:24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156.67776450025457</v>
      </c>
      <c r="P24">
        <v>1473.6842105263158</v>
      </c>
      <c r="Q24">
        <v>63.217368421052633</v>
      </c>
      <c r="T24">
        <v>1400</v>
      </c>
      <c r="U24">
        <v>1</v>
      </c>
    </row>
    <row r="25" spans="2:24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168.22449196454858</v>
      </c>
      <c r="P25">
        <v>1657.8947368421054</v>
      </c>
      <c r="Q25">
        <v>68.006315789473689</v>
      </c>
      <c r="T25">
        <v>1575</v>
      </c>
      <c r="U25">
        <v>1</v>
      </c>
    </row>
    <row r="26" spans="2:24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179.24401569234212</v>
      </c>
      <c r="P26">
        <v>1842.1052631578948</v>
      </c>
      <c r="Q26">
        <v>72.593157894736848</v>
      </c>
      <c r="T26">
        <v>1750</v>
      </c>
      <c r="U26">
        <v>1</v>
      </c>
    </row>
    <row r="27" spans="2:24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189.7404802389386</v>
      </c>
      <c r="P27">
        <v>2026.3157894736842</v>
      </c>
      <c r="Q27">
        <v>76.977894736842103</v>
      </c>
      <c r="T27">
        <v>1925</v>
      </c>
      <c r="U27">
        <v>1</v>
      </c>
    </row>
    <row r="28" spans="2:24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199.71794898009148</v>
      </c>
      <c r="P28">
        <v>2210.5263157894738</v>
      </c>
      <c r="Q28">
        <v>81.160526315789483</v>
      </c>
      <c r="T28">
        <v>2100</v>
      </c>
      <c r="U28">
        <v>1</v>
      </c>
    </row>
    <row r="29" spans="2:24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209.17239872226051</v>
      </c>
      <c r="P29">
        <v>2394.7368421052633</v>
      </c>
      <c r="Q29">
        <v>85.137894736842114</v>
      </c>
      <c r="T29">
        <v>2275</v>
      </c>
      <c r="U29">
        <v>1</v>
      </c>
    </row>
    <row r="30" spans="2:24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214.34541483674664</v>
      </c>
      <c r="P30">
        <v>2500</v>
      </c>
      <c r="Q30">
        <v>87.32</v>
      </c>
      <c r="T30">
        <v>2450</v>
      </c>
      <c r="U30">
        <v>1</v>
      </c>
    </row>
    <row r="31" spans="2:24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218.09746985028221</v>
      </c>
      <c r="P31">
        <v>2578.9473684210525</v>
      </c>
      <c r="Q31">
        <v>88.906842105263152</v>
      </c>
      <c r="T31">
        <v>2625</v>
      </c>
      <c r="U31">
        <v>1</v>
      </c>
    </row>
    <row r="32" spans="2:24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225.37620376055699</v>
      </c>
      <c r="P32">
        <v>2763.1578947368421</v>
      </c>
      <c r="Q32">
        <v>92.473684210526315</v>
      </c>
      <c r="T32">
        <v>2800</v>
      </c>
      <c r="U32">
        <v>1</v>
      </c>
    </row>
    <row r="33" spans="2:21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227.27525777068126</v>
      </c>
      <c r="P33">
        <v>2947.3684210526317</v>
      </c>
      <c r="Q33">
        <v>93.555263157894743</v>
      </c>
      <c r="T33">
        <v>2975</v>
      </c>
      <c r="U33">
        <v>1</v>
      </c>
    </row>
    <row r="34" spans="2:21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228.42663162041362</v>
      </c>
      <c r="P34">
        <v>3131.5789473684213</v>
      </c>
      <c r="Q34">
        <v>94.036842105263162</v>
      </c>
      <c r="T34">
        <v>3150</v>
      </c>
      <c r="U34">
        <v>1</v>
      </c>
    </row>
    <row r="35" spans="2:21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229.57761661460526</v>
      </c>
      <c r="P35">
        <v>3315.7894736842109</v>
      </c>
      <c r="Q35">
        <v>94.518421052631581</v>
      </c>
      <c r="T35">
        <v>3325</v>
      </c>
      <c r="U35">
        <v>1</v>
      </c>
    </row>
    <row r="36" spans="2:21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230.72821252816129</v>
      </c>
      <c r="P36">
        <v>3500</v>
      </c>
      <c r="Q36">
        <v>95</v>
      </c>
      <c r="T36">
        <v>3500</v>
      </c>
      <c r="U36">
        <v>1</v>
      </c>
    </row>
    <row r="37" spans="2:21" x14ac:dyDescent="0.45">
      <c r="B37" s="2"/>
      <c r="C37" s="18">
        <v>2500</v>
      </c>
      <c r="D37" s="18">
        <v>176.72349338287597</v>
      </c>
      <c r="E37" s="18">
        <v>53</v>
      </c>
    </row>
    <row r="38" spans="2:21" x14ac:dyDescent="0.45">
      <c r="B38" s="2"/>
      <c r="C38" s="18">
        <v>2625</v>
      </c>
      <c r="D38" s="18">
        <v>186.511102757185</v>
      </c>
      <c r="E38" s="18">
        <v>54</v>
      </c>
    </row>
    <row r="39" spans="2:21" x14ac:dyDescent="0.45">
      <c r="B39" s="2"/>
      <c r="C39" s="18">
        <v>2750</v>
      </c>
      <c r="D39" s="18">
        <v>196.298712131494</v>
      </c>
      <c r="E39" s="18">
        <v>55</v>
      </c>
    </row>
    <row r="40" spans="2:21" x14ac:dyDescent="0.45">
      <c r="B40" s="2"/>
      <c r="C40" s="18">
        <v>2875</v>
      </c>
      <c r="D40" s="18">
        <v>206.08632150580399</v>
      </c>
      <c r="E40" s="18">
        <v>56</v>
      </c>
    </row>
    <row r="41" spans="2:21" x14ac:dyDescent="0.45">
      <c r="B41" s="2"/>
      <c r="C41" s="18">
        <v>3000</v>
      </c>
      <c r="D41" s="18">
        <v>215.87393088011299</v>
      </c>
      <c r="E41" s="18">
        <v>57</v>
      </c>
    </row>
    <row r="42" spans="2:21" x14ac:dyDescent="0.45">
      <c r="B42" s="2"/>
      <c r="C42" s="18">
        <v>3125</v>
      </c>
      <c r="D42" s="18">
        <v>225.66154025442199</v>
      </c>
      <c r="E42" s="18">
        <v>58</v>
      </c>
    </row>
    <row r="43" spans="2:21" x14ac:dyDescent="0.45">
      <c r="B43" s="2"/>
      <c r="C43" s="18">
        <v>3250</v>
      </c>
      <c r="D43" s="18">
        <v>235.44914962873099</v>
      </c>
      <c r="E43" s="18">
        <v>59</v>
      </c>
    </row>
    <row r="44" spans="2:21" x14ac:dyDescent="0.45">
      <c r="B44" s="2"/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6" r:id="rId5" name="Button 2">
              <controlPr defaultSize="0" print="0" autoFill="0" autoPict="0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7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8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389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53C9B-8584-4FEA-A8E9-801E8F286F41}">
  <sheetPr codeName="Worksheet_calc_SF"/>
  <dimension ref="A1:AH44"/>
  <sheetViews>
    <sheetView zoomScale="60" zoomScaleNormal="60" workbookViewId="0">
      <selection activeCell="AL38" sqref="AL38"/>
    </sheetView>
  </sheetViews>
  <sheetFormatPr defaultRowHeight="14.25" x14ac:dyDescent="0.45"/>
  <cols>
    <col min="15" max="15" width="10.1328125" customWidth="1"/>
    <col min="22" max="22" width="10.73046875" customWidth="1"/>
  </cols>
  <sheetData>
    <row r="1" spans="1:34" x14ac:dyDescent="0.45">
      <c r="A1" t="s">
        <v>217</v>
      </c>
    </row>
    <row r="2" spans="1:34" x14ac:dyDescent="0.45">
      <c r="C2" t="s">
        <v>140</v>
      </c>
      <c r="E2">
        <f>X3-1</f>
        <v>0</v>
      </c>
      <c r="G2" t="s">
        <v>141</v>
      </c>
      <c r="J2">
        <f>AB3-1</f>
        <v>3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5">
      <c r="X3">
        <v>1</v>
      </c>
      <c r="Y3" t="s">
        <v>143</v>
      </c>
      <c r="AB3">
        <v>4</v>
      </c>
      <c r="AC3" t="s">
        <v>145</v>
      </c>
      <c r="AG3">
        <v>3</v>
      </c>
      <c r="AH3" t="s">
        <v>160</v>
      </c>
    </row>
    <row r="4" spans="1:34" x14ac:dyDescent="0.45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5.75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57" t="s">
        <v>45</v>
      </c>
      <c r="Q5" s="9">
        <v>10</v>
      </c>
      <c r="R5" s="5" t="s">
        <v>44</v>
      </c>
      <c r="AC5" t="s">
        <v>147</v>
      </c>
      <c r="AH5" t="s">
        <v>154</v>
      </c>
    </row>
    <row r="6" spans="1:34" ht="15.75" x14ac:dyDescent="0.55000000000000004">
      <c r="B6" s="7" t="s">
        <v>32</v>
      </c>
      <c r="C6" s="9">
        <v>100</v>
      </c>
      <c r="D6" s="5" t="s">
        <v>33</v>
      </c>
      <c r="G6" s="57" t="s">
        <v>157</v>
      </c>
      <c r="H6" s="9">
        <v>1.1000000000000001</v>
      </c>
      <c r="I6" s="5"/>
      <c r="L6" s="57" t="s">
        <v>156</v>
      </c>
      <c r="M6" s="9">
        <v>90</v>
      </c>
      <c r="N6" s="5" t="s">
        <v>25</v>
      </c>
      <c r="P6" s="57" t="s">
        <v>46</v>
      </c>
      <c r="Q6" s="9">
        <v>25</v>
      </c>
      <c r="R6" s="5" t="s">
        <v>44</v>
      </c>
      <c r="AC6" t="s">
        <v>148</v>
      </c>
    </row>
    <row r="7" spans="1:34" ht="15.75" x14ac:dyDescent="0.55000000000000004">
      <c r="B7" s="5" t="s">
        <v>19</v>
      </c>
      <c r="C7" s="9">
        <v>0</v>
      </c>
      <c r="D7" s="5" t="s">
        <v>9</v>
      </c>
      <c r="G7" s="57" t="s">
        <v>158</v>
      </c>
      <c r="H7" s="9">
        <v>0.9</v>
      </c>
      <c r="I7" s="5"/>
      <c r="L7" s="57" t="s">
        <v>56</v>
      </c>
      <c r="M7" s="9">
        <v>60</v>
      </c>
      <c r="N7" s="5" t="s">
        <v>25</v>
      </c>
      <c r="P7" s="57" t="s">
        <v>47</v>
      </c>
      <c r="Q7" s="9">
        <v>260</v>
      </c>
      <c r="R7" s="5" t="s">
        <v>44</v>
      </c>
      <c r="AC7" t="s">
        <v>149</v>
      </c>
    </row>
    <row r="8" spans="1:34" ht="15.75" x14ac:dyDescent="0.45">
      <c r="B8" s="7" t="s">
        <v>34</v>
      </c>
      <c r="C8" s="12" t="s">
        <v>63</v>
      </c>
      <c r="D8" s="5" t="s">
        <v>35</v>
      </c>
      <c r="AC8" t="s">
        <v>150</v>
      </c>
    </row>
    <row r="9" spans="1:34" ht="15.75" x14ac:dyDescent="0.45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5.75" x14ac:dyDescent="0.55000000000000004">
      <c r="B10" s="7" t="s">
        <v>18</v>
      </c>
      <c r="C10" s="13">
        <v>116.27906976744187</v>
      </c>
      <c r="D10" s="5" t="s">
        <v>36</v>
      </c>
      <c r="P10" s="57" t="s">
        <v>45</v>
      </c>
      <c r="Q10" s="25">
        <v>9.9830058422543733</v>
      </c>
      <c r="R10" s="5" t="s">
        <v>44</v>
      </c>
      <c r="S10" s="57" t="s">
        <v>55</v>
      </c>
      <c r="T10" s="25">
        <v>22.952221759788021</v>
      </c>
      <c r="U10" s="5" t="s">
        <v>25</v>
      </c>
    </row>
    <row r="11" spans="1:34" ht="15.75" x14ac:dyDescent="0.55000000000000004">
      <c r="P11" s="57" t="s">
        <v>46</v>
      </c>
      <c r="Q11" s="25">
        <v>10.349377861269023</v>
      </c>
      <c r="R11" s="5" t="s">
        <v>44</v>
      </c>
      <c r="S11" s="57" t="s">
        <v>56</v>
      </c>
      <c r="T11" s="25">
        <v>22.952221759788021</v>
      </c>
      <c r="U11" s="5" t="s">
        <v>25</v>
      </c>
    </row>
    <row r="12" spans="1:34" ht="15.75" x14ac:dyDescent="0.55000000000000004">
      <c r="M12" t="s">
        <v>63</v>
      </c>
      <c r="P12" s="57" t="s">
        <v>47</v>
      </c>
      <c r="Q12" s="25">
        <v>124.71219897034381</v>
      </c>
      <c r="R12" s="5" t="s">
        <v>44</v>
      </c>
      <c r="S12" s="57" t="s">
        <v>57</v>
      </c>
      <c r="T12" s="25">
        <v>90</v>
      </c>
      <c r="U12" s="5" t="s">
        <v>25</v>
      </c>
    </row>
    <row r="13" spans="1:34" x14ac:dyDescent="0.45">
      <c r="D13" s="1"/>
    </row>
    <row r="14" spans="1:34" x14ac:dyDescent="0.45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8.5" x14ac:dyDescent="0.45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203</v>
      </c>
      <c r="N15" s="1" t="s">
        <v>199</v>
      </c>
      <c r="O15" s="1" t="s">
        <v>200</v>
      </c>
      <c r="P15" s="1"/>
      <c r="Q15" s="1" t="s">
        <v>201</v>
      </c>
      <c r="R15" s="1"/>
      <c r="S15" s="1" t="s">
        <v>202</v>
      </c>
      <c r="U15" s="5" t="s">
        <v>170</v>
      </c>
      <c r="V15" s="1" t="s">
        <v>171</v>
      </c>
    </row>
    <row r="16" spans="1:34" x14ac:dyDescent="0.45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20.000000000000004</v>
      </c>
      <c r="N16">
        <v>0</v>
      </c>
      <c r="O16">
        <v>10.349377861269023</v>
      </c>
      <c r="P16">
        <v>0</v>
      </c>
      <c r="Q16">
        <v>22.952221759788021</v>
      </c>
      <c r="R16">
        <v>0</v>
      </c>
      <c r="S16">
        <v>0.17403064076706484</v>
      </c>
      <c r="U16">
        <v>0</v>
      </c>
      <c r="V16" s="50">
        <f>Pline_out_atma_</f>
        <v>9.9830058422543733</v>
      </c>
    </row>
    <row r="17" spans="2:22" x14ac:dyDescent="0.45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25.526315789473689</v>
      </c>
      <c r="N17">
        <v>184.21052631578948</v>
      </c>
      <c r="O17">
        <v>13.741344410687804</v>
      </c>
      <c r="P17">
        <v>184.21052631578948</v>
      </c>
      <c r="Q17">
        <v>28.465682773611565</v>
      </c>
      <c r="R17">
        <v>175</v>
      </c>
      <c r="S17">
        <v>0.2083129036658482</v>
      </c>
      <c r="U17">
        <v>0</v>
      </c>
      <c r="V17" s="50">
        <f>Pbuf_out_atma_</f>
        <v>10.349377861269023</v>
      </c>
    </row>
    <row r="18" spans="2:22" x14ac:dyDescent="0.45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31.05263157894737</v>
      </c>
      <c r="N18">
        <v>368.42105263157896</v>
      </c>
      <c r="O18">
        <v>17.771282354219174</v>
      </c>
      <c r="P18">
        <v>368.42105263157896</v>
      </c>
      <c r="Q18">
        <v>33.976620862457843</v>
      </c>
      <c r="R18">
        <v>350</v>
      </c>
      <c r="S18">
        <v>0.24682054065100995</v>
      </c>
      <c r="U18">
        <v>3500</v>
      </c>
      <c r="V18" s="50">
        <f>Pwf_out_atma_</f>
        <v>124.71219897034381</v>
      </c>
    </row>
    <row r="19" spans="2:22" x14ac:dyDescent="0.45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36.578947368421055</v>
      </c>
      <c r="N19">
        <v>552.63157894736844</v>
      </c>
      <c r="O19">
        <v>22.427998386371215</v>
      </c>
      <c r="P19">
        <v>552.63157894736844</v>
      </c>
      <c r="Q19">
        <v>39.485099606880745</v>
      </c>
      <c r="R19">
        <v>525</v>
      </c>
      <c r="S19">
        <v>0.27482928381080884</v>
      </c>
    </row>
    <row r="20" spans="2:22" x14ac:dyDescent="0.45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42.10526315789474</v>
      </c>
      <c r="N20">
        <v>736.84210526315792</v>
      </c>
      <c r="O20">
        <v>27.697497460727806</v>
      </c>
      <c r="P20">
        <v>736.84210526315792</v>
      </c>
      <c r="Q20">
        <v>44.981372128821143</v>
      </c>
      <c r="R20">
        <v>700</v>
      </c>
      <c r="S20">
        <v>0.32206457402940963</v>
      </c>
    </row>
    <row r="21" spans="2:22" x14ac:dyDescent="0.45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47.631578947368425</v>
      </c>
      <c r="N21">
        <v>921.0526315789474</v>
      </c>
      <c r="O21">
        <v>33.790554674442554</v>
      </c>
      <c r="P21">
        <v>921.0526315789474</v>
      </c>
      <c r="Q21">
        <v>50.425576958380844</v>
      </c>
      <c r="R21">
        <v>875</v>
      </c>
      <c r="S21">
        <v>0.37600657258778497</v>
      </c>
    </row>
    <row r="22" spans="2:22" x14ac:dyDescent="0.45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53.03</v>
      </c>
      <c r="N22">
        <v>1105.2631578947369</v>
      </c>
      <c r="O22">
        <v>40.571098261925016</v>
      </c>
      <c r="P22">
        <v>1105.2631578947369</v>
      </c>
      <c r="Q22">
        <v>55.682239319132059</v>
      </c>
      <c r="R22">
        <v>1050</v>
      </c>
      <c r="S22">
        <v>0.43545583220692841</v>
      </c>
    </row>
    <row r="23" spans="2:22" x14ac:dyDescent="0.45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58.226315789473688</v>
      </c>
      <c r="N23">
        <v>1289.4736842105262</v>
      </c>
      <c r="O23">
        <v>47.995271781745878</v>
      </c>
      <c r="P23">
        <v>1289.4736842105262</v>
      </c>
      <c r="Q23">
        <v>60.742113926725722</v>
      </c>
      <c r="R23">
        <v>1225</v>
      </c>
      <c r="S23">
        <v>0.49914015415189178</v>
      </c>
    </row>
    <row r="24" spans="2:22" x14ac:dyDescent="0.45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63.217368421052633</v>
      </c>
      <c r="N24">
        <v>1473.6842105263158</v>
      </c>
      <c r="O24">
        <v>56.000893863488322</v>
      </c>
      <c r="P24">
        <v>1473.6842105263158</v>
      </c>
      <c r="Q24">
        <v>65.596356446810319</v>
      </c>
      <c r="R24">
        <v>1400</v>
      </c>
      <c r="S24">
        <v>0.56692436629084675</v>
      </c>
    </row>
    <row r="25" spans="2:22" x14ac:dyDescent="0.45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68.006315789473689</v>
      </c>
      <c r="N25">
        <v>1657.8947368421054</v>
      </c>
      <c r="O25">
        <v>64.512336152903885</v>
      </c>
      <c r="P25">
        <v>1657.8947368421054</v>
      </c>
      <c r="Q25">
        <v>70.249042695695806</v>
      </c>
      <c r="R25">
        <v>1575</v>
      </c>
      <c r="S25">
        <v>0.6382521187315251</v>
      </c>
    </row>
    <row r="26" spans="2:22" x14ac:dyDescent="0.45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72.593157894736848</v>
      </c>
      <c r="N26">
        <v>1842.1052631578948</v>
      </c>
      <c r="O26">
        <v>73.448355689093802</v>
      </c>
      <c r="P26">
        <v>1842.1052631578948</v>
      </c>
      <c r="Q26">
        <v>74.70109360950714</v>
      </c>
      <c r="R26">
        <v>1750</v>
      </c>
      <c r="S26">
        <v>0.71192457606532189</v>
      </c>
    </row>
    <row r="27" spans="2:22" x14ac:dyDescent="0.45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76.977894736842103</v>
      </c>
      <c r="N27">
        <v>2026.3157894736842</v>
      </c>
      <c r="O27">
        <v>82.715600340070239</v>
      </c>
      <c r="P27">
        <v>2026.3157894736842</v>
      </c>
      <c r="Q27">
        <v>78.953355175869959</v>
      </c>
      <c r="R27">
        <v>1925</v>
      </c>
      <c r="S27">
        <v>0.78699220961971617</v>
      </c>
    </row>
    <row r="28" spans="2:22" x14ac:dyDescent="0.45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81.160526315789483</v>
      </c>
      <c r="N28">
        <v>2210.5263157894738</v>
      </c>
      <c r="O28">
        <v>92.212705554344296</v>
      </c>
      <c r="P28">
        <v>2210.5263157894738</v>
      </c>
      <c r="Q28">
        <v>83.006436483629727</v>
      </c>
      <c r="R28">
        <v>2100</v>
      </c>
      <c r="S28">
        <v>0.86247350204822038</v>
      </c>
    </row>
    <row r="29" spans="2:22" x14ac:dyDescent="0.45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85.137894736842114</v>
      </c>
      <c r="N29">
        <v>2394.7368421052633</v>
      </c>
      <c r="O29">
        <v>101.83496216008898</v>
      </c>
      <c r="P29">
        <v>2394.7368421052633</v>
      </c>
      <c r="Q29">
        <v>86.856811319572145</v>
      </c>
      <c r="R29">
        <v>2275</v>
      </c>
      <c r="S29">
        <v>0.937278125268451</v>
      </c>
    </row>
    <row r="30" spans="2:22" x14ac:dyDescent="0.45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87.32</v>
      </c>
      <c r="N30">
        <v>2500</v>
      </c>
      <c r="O30">
        <v>107.30225789229945</v>
      </c>
      <c r="P30">
        <v>2500</v>
      </c>
      <c r="Q30">
        <v>88.957283174406001</v>
      </c>
      <c r="R30">
        <v>2450</v>
      </c>
      <c r="S30">
        <v>0.99453771784586542</v>
      </c>
    </row>
    <row r="31" spans="2:22" x14ac:dyDescent="0.45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88.906842105263152</v>
      </c>
      <c r="N31">
        <v>2578.9473684210525</v>
      </c>
      <c r="O31">
        <v>111.27968001123517</v>
      </c>
      <c r="P31">
        <v>2578.9473684210525</v>
      </c>
      <c r="Q31">
        <v>90.435947919819242</v>
      </c>
      <c r="R31">
        <v>2625</v>
      </c>
      <c r="S31">
        <v>0.99918264911496246</v>
      </c>
    </row>
    <row r="32" spans="2:22" x14ac:dyDescent="0.45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92.473684210526315</v>
      </c>
      <c r="N32">
        <v>2763.1578947368421</v>
      </c>
      <c r="O32">
        <v>119.00656146614175</v>
      </c>
      <c r="P32">
        <v>2763.1578947368421</v>
      </c>
      <c r="Q32">
        <v>93.044460899835343</v>
      </c>
      <c r="R32">
        <v>2800</v>
      </c>
      <c r="S32">
        <v>0.99918172936188776</v>
      </c>
    </row>
    <row r="33" spans="2:19" x14ac:dyDescent="0.45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93.555263157894743</v>
      </c>
      <c r="N33">
        <v>2947.3684210526317</v>
      </c>
      <c r="O33">
        <v>121.02775510526814</v>
      </c>
      <c r="P33">
        <v>2947.3684210526317</v>
      </c>
      <c r="Q33">
        <v>93.766308521294192</v>
      </c>
      <c r="R33">
        <v>2975</v>
      </c>
      <c r="S33">
        <v>0.99918155847006418</v>
      </c>
    </row>
    <row r="34" spans="2:19" x14ac:dyDescent="0.45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94.036842105263162</v>
      </c>
      <c r="N34">
        <v>3131.5789473684213</v>
      </c>
      <c r="O34">
        <v>122.2551137557146</v>
      </c>
      <c r="P34">
        <v>3131.5789473684213</v>
      </c>
      <c r="Q34">
        <v>94.173682334516769</v>
      </c>
      <c r="R34">
        <v>3150</v>
      </c>
      <c r="S34">
        <v>0.99918139040342047</v>
      </c>
    </row>
    <row r="35" spans="2:19" x14ac:dyDescent="0.45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94.518421052631581</v>
      </c>
      <c r="N35">
        <v>3315.7894736842109</v>
      </c>
      <c r="O35">
        <v>123.4825957789155</v>
      </c>
      <c r="P35">
        <v>3315.7894736842109</v>
      </c>
      <c r="Q35">
        <v>94.053719754781142</v>
      </c>
      <c r="R35">
        <v>3325</v>
      </c>
      <c r="S35">
        <v>0.99918124786254015</v>
      </c>
    </row>
    <row r="36" spans="2:19" x14ac:dyDescent="0.45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95</v>
      </c>
      <c r="N36">
        <v>3500</v>
      </c>
      <c r="O36">
        <v>124.71219897034381</v>
      </c>
      <c r="P36">
        <v>3500</v>
      </c>
      <c r="Q36">
        <v>90</v>
      </c>
      <c r="R36">
        <v>3500</v>
      </c>
      <c r="S36">
        <v>0.99918126838063415</v>
      </c>
    </row>
    <row r="37" spans="2:19" x14ac:dyDescent="0.45">
      <c r="B37" s="2"/>
      <c r="C37" s="18">
        <v>2500</v>
      </c>
      <c r="D37" s="18">
        <v>176.72349338287597</v>
      </c>
      <c r="E37" s="18">
        <v>53</v>
      </c>
    </row>
    <row r="38" spans="2:19" x14ac:dyDescent="0.45">
      <c r="C38" s="18">
        <v>2625</v>
      </c>
      <c r="D38" s="18">
        <v>186.511102757185</v>
      </c>
      <c r="E38" s="18">
        <v>54</v>
      </c>
    </row>
    <row r="39" spans="2:19" x14ac:dyDescent="0.45">
      <c r="C39" s="18">
        <v>2750</v>
      </c>
      <c r="D39" s="18">
        <v>196.298712131494</v>
      </c>
      <c r="E39" s="18">
        <v>55</v>
      </c>
    </row>
    <row r="40" spans="2:19" x14ac:dyDescent="0.45">
      <c r="C40" s="18">
        <v>2875</v>
      </c>
      <c r="D40" s="18">
        <v>206.08632150580399</v>
      </c>
      <c r="E40" s="18">
        <v>56</v>
      </c>
    </row>
    <row r="41" spans="2:19" x14ac:dyDescent="0.45">
      <c r="C41" s="18">
        <v>3000</v>
      </c>
      <c r="D41" s="18">
        <v>215.87393088011299</v>
      </c>
      <c r="E41" s="18">
        <v>57</v>
      </c>
    </row>
    <row r="42" spans="2:19" x14ac:dyDescent="0.45">
      <c r="C42" s="18">
        <v>3125</v>
      </c>
      <c r="D42" s="18">
        <v>225.66154025442199</v>
      </c>
      <c r="E42" s="18">
        <v>58</v>
      </c>
    </row>
    <row r="43" spans="2:19" x14ac:dyDescent="0.45">
      <c r="C43" s="18">
        <v>3250</v>
      </c>
      <c r="D43" s="18">
        <v>235.44914962873099</v>
      </c>
      <c r="E43" s="18">
        <v>59</v>
      </c>
    </row>
    <row r="44" spans="2:19" x14ac:dyDescent="0.45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Button_calcSF_from_bottom">
                <anchor moveWithCells="1" sizeWithCells="1">
                  <from>
                    <xdr:col>22</xdr:col>
                    <xdr:colOff>333375</xdr:colOff>
                    <xdr:row>3</xdr:row>
                    <xdr:rowOff>142875</xdr:rowOff>
                  </from>
                  <to>
                    <xdr:col>27</xdr:col>
                    <xdr:colOff>352425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0]!Button_calcSF_from_top">
                <anchor moveWithCells="1" sizeWithCells="1">
                  <from>
                    <xdr:col>22</xdr:col>
                    <xdr:colOff>352425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Drop Down 3">
              <controlPr defaultSize="0" autoLine="0" autoPict="0">
                <anchor moveWithCells="1">
                  <from>
                    <xdr:col>2</xdr:col>
                    <xdr:colOff>9525</xdr:colOff>
                    <xdr:row>2</xdr:row>
                    <xdr:rowOff>38100</xdr:rowOff>
                  </from>
                  <to>
                    <xdr:col>3</xdr:col>
                    <xdr:colOff>600075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Drop Down 4">
              <controlPr defaultSize="0" autoLine="0" autoPict="0">
                <anchor moveWithCells="1">
                  <from>
                    <xdr:col>6</xdr:col>
                    <xdr:colOff>9525</xdr:colOff>
                    <xdr:row>2</xdr:row>
                    <xdr:rowOff>28575</xdr:rowOff>
                  </from>
                  <to>
                    <xdr:col>9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Drop Down 5">
              <controlPr defaultSize="0" autoLine="0" autoPict="0">
                <anchor moveWithCells="1">
                  <from>
                    <xdr:col>11</xdr:col>
                    <xdr:colOff>9525</xdr:colOff>
                    <xdr:row>2</xdr:row>
                    <xdr:rowOff>9525</xdr:rowOff>
                  </from>
                  <to>
                    <xdr:col>14</xdr:col>
                    <xdr:colOff>0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8</vt:i4>
      </vt:variant>
      <vt:variant>
        <vt:lpstr>Именованные диапазоны</vt:lpstr>
      </vt:variant>
      <vt:variant>
        <vt:i4>229</vt:i4>
      </vt:variant>
    </vt:vector>
  </HeadingPairs>
  <TitlesOfParts>
    <vt:vector size="237" baseType="lpstr">
      <vt:lpstr>Unifloc</vt:lpstr>
      <vt:lpstr>PVT</vt:lpstr>
      <vt:lpstr>Construction</vt:lpstr>
      <vt:lpstr>ESP</vt:lpstr>
      <vt:lpstr>GasLift</vt:lpstr>
      <vt:lpstr>Calc ESP</vt:lpstr>
      <vt:lpstr>Calc GasLift</vt:lpstr>
      <vt:lpstr>Calc Self Flow</vt:lpstr>
      <vt:lpstr>'Calc GasLift'!betta_fric_</vt:lpstr>
      <vt:lpstr>'Calc Self Flow'!betta_fric_</vt:lpstr>
      <vt:lpstr>betta_fric_</vt:lpstr>
      <vt:lpstr>'Calc GasLift'!betta_grav_</vt:lpstr>
      <vt:lpstr>'Calc Self Flow'!betta_grav_</vt:lpstr>
      <vt:lpstr>betta_grav_</vt:lpstr>
      <vt:lpstr>bo_list1_</vt:lpstr>
      <vt:lpstr>bo_list2_</vt:lpstr>
      <vt:lpstr>bo_list3_</vt:lpstr>
      <vt:lpstr>PVT!Bob_</vt:lpstr>
      <vt:lpstr>PVT!Bob_m3m3_</vt:lpstr>
      <vt:lpstr>'Calc GasLift'!correlation_MF_fontan_</vt:lpstr>
      <vt:lpstr>'Calc Self Flow'!correlation_MF_fontan_</vt:lpstr>
      <vt:lpstr>correlation_MF_fontan_</vt:lpstr>
      <vt:lpstr>'Calc GasLift'!correlation_PVT_fontan_</vt:lpstr>
      <vt:lpstr>'Calc Self Flow'!correlation_PVT_fontan_</vt:lpstr>
      <vt:lpstr>correlation_PVT_fontan_</vt:lpstr>
      <vt:lpstr>'Calc GasLift'!correlation_T_fontan_</vt:lpstr>
      <vt:lpstr>'Calc Self Flow'!correlation_T_fontan_</vt:lpstr>
      <vt:lpstr>correlation_T_fontan_</vt:lpstr>
      <vt:lpstr>d_valves_mm_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ESP!Freq_</vt:lpstr>
      <vt:lpstr>fw_perc_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gamma_wat_</vt:lpstr>
      <vt:lpstr>gammas</vt:lpstr>
      <vt:lpstr>gasfrac_list1_</vt:lpstr>
      <vt:lpstr>gasfrac_list2_</vt:lpstr>
      <vt:lpstr>gasfrac_list3_</vt:lpstr>
      <vt:lpstr>ESP!Head_ESP_</vt:lpstr>
      <vt:lpstr>'Calc GasLift'!Hlout_</vt:lpstr>
      <vt:lpstr>'Calc Self Flow'!Hlout_</vt:lpstr>
      <vt:lpstr>Hlout_</vt:lpstr>
      <vt:lpstr>'Calc GasLift'!Hlout_hmes_m_</vt:lpstr>
      <vt:lpstr>'Calc Self Flow'!Hlout_hmes_m_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'Calc GasLift'!Hmes_mes_m_</vt:lpstr>
      <vt:lpstr>'Calc Self Flow'!Hmes_mes_m_</vt:lpstr>
      <vt:lpstr>Hmes_mes_m_</vt:lpstr>
      <vt:lpstr>'Calc GasLift'!hmes_out_</vt:lpstr>
      <vt:lpstr>'Calc Self Flow'!hmes_out_</vt:lpstr>
      <vt:lpstr>hmes_out_</vt:lpstr>
      <vt:lpstr>hmes_tamb_m_</vt:lpstr>
      <vt:lpstr>'Calc ESP'!hmes_tamb_out_m_</vt:lpstr>
      <vt:lpstr>'Calc GasLift'!hmes_tamb_out_m_</vt:lpstr>
      <vt:lpstr>'Calc Self Flow'!hmes_tamb_out_m_</vt:lpstr>
      <vt:lpstr>hmes_tamb_out_m_</vt:lpstr>
      <vt:lpstr>Hmes_valves_m_</vt:lpstr>
      <vt:lpstr>'Calc GasLift'!Hout_</vt:lpstr>
      <vt:lpstr>'Calc Self Flow'!Hout_</vt:lpstr>
      <vt:lpstr>Hout_</vt:lpstr>
      <vt:lpstr>Hperf_m_</vt:lpstr>
      <vt:lpstr>Hpump_</vt:lpstr>
      <vt:lpstr>Htub_m_</vt:lpstr>
      <vt:lpstr>hvert_incl_m_</vt:lpstr>
      <vt:lpstr>hvert_incl_out_m_</vt:lpstr>
      <vt:lpstr>'Calc ESP'!hvert_tamb_out_m_</vt:lpstr>
      <vt:lpstr>'Calc GasLift'!hvert_tamb_out_m_</vt:lpstr>
      <vt:lpstr>'Calc Self Flow'!hvert_tamb_out_m_</vt:lpstr>
      <vt:lpstr>'Calc GasLift'!HydrCorr_</vt:lpstr>
      <vt:lpstr>'Calc Self Flow'!HydrCorr_</vt:lpstr>
      <vt:lpstr>HydrCorr_</vt:lpstr>
      <vt:lpstr>'Calc GasLift'!HydrCorr_selector_</vt:lpstr>
      <vt:lpstr>'Calc Self Flow'!HydrCorr_selector_</vt:lpstr>
      <vt:lpstr>HydrCorr_selector_</vt:lpstr>
      <vt:lpstr>PVT!Ksep_</vt:lpstr>
      <vt:lpstr>PVT!mu_cP_</vt:lpstr>
      <vt:lpstr>muo_list1_</vt:lpstr>
      <vt:lpstr>muo_list2_</vt:lpstr>
      <vt:lpstr>muo_list3_</vt:lpstr>
      <vt:lpstr>muob_</vt:lpstr>
      <vt:lpstr>NumValves_</vt:lpstr>
      <vt:lpstr>PVT!P_atma_</vt:lpstr>
      <vt:lpstr>p_charge_GLV_</vt:lpstr>
      <vt:lpstr>'Calc GasLift'!P_mes_atma_</vt:lpstr>
      <vt:lpstr>'Calc Self Flow'!P_mes_atma_</vt:lpstr>
      <vt:lpstr>P_mes_atma_</vt:lpstr>
      <vt:lpstr>PVT!Pb_</vt:lpstr>
      <vt:lpstr>PVT!Pb_atma_</vt:lpstr>
      <vt:lpstr>Pb_diff_</vt:lpstr>
      <vt:lpstr>'Calc GasLift'!Pbuf_atma_</vt:lpstr>
      <vt:lpstr>'Calc Self Flow'!Pbuf_atma_</vt:lpstr>
      <vt:lpstr>Pbuf_atma_</vt:lpstr>
      <vt:lpstr>'Calc GasLift'!Pbuf_out_atma_</vt:lpstr>
      <vt:lpstr>'Calc Self Flow'!Pbuf_out_atma_</vt:lpstr>
      <vt:lpstr>Pbuf_out_atma_</vt:lpstr>
      <vt:lpstr>'Calc GasLift'!Pcas_atma_</vt:lpstr>
      <vt:lpstr>Pcas_atma_</vt:lpstr>
      <vt:lpstr>'Calc GasLift'!Pcas_hmes_</vt:lpstr>
      <vt:lpstr>Pcas_hmes_</vt:lpstr>
      <vt:lpstr>'Calc GasLift'!Pcas_out_atma_</vt:lpstr>
      <vt:lpstr>Pcas_out_atma_</vt:lpstr>
      <vt:lpstr>'Calc GasLift'!Plin_mes_atma_</vt:lpstr>
      <vt:lpstr>'Calc Self Flow'!Plin_mes_atma_</vt:lpstr>
      <vt:lpstr>Plin_mes_atma_</vt:lpstr>
      <vt:lpstr>'Calc GasLift'!Pline_atma_</vt:lpstr>
      <vt:lpstr>'Calc Self Flow'!Pline_atma_</vt:lpstr>
      <vt:lpstr>Pline_atma_</vt:lpstr>
      <vt:lpstr>'Calc GasLift'!Pline_out_atma_</vt:lpstr>
      <vt:lpstr>'Calc Self Flow'!Pline_out_atma_</vt:lpstr>
      <vt:lpstr>GasLift!Pline_out_atma_</vt:lpstr>
      <vt:lpstr>Pline_out_atma_</vt:lpstr>
      <vt:lpstr>'Calc GasLift'!pmes_out_</vt:lpstr>
      <vt:lpstr>'Calc Self Flow'!pmes_out_</vt:lpstr>
      <vt:lpstr>pmes_out_</vt:lpstr>
      <vt:lpstr>'Calc GasLift'!Pout_</vt:lpstr>
      <vt:lpstr>'Calc Self Flow'!Pout_</vt:lpstr>
      <vt:lpstr>Pout_</vt:lpstr>
      <vt:lpstr>'Calc GasLift'!Pout_atma_</vt:lpstr>
      <vt:lpstr>'Calc Self Flow'!Pout_atma_</vt:lpstr>
      <vt:lpstr>Pout_atma_</vt:lpstr>
      <vt:lpstr>'Calc GasLift'!Pout_hmes_m_</vt:lpstr>
      <vt:lpstr>'Calc Self Flow'!Pout_hmes_m_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ESP!PumpID_</vt:lpstr>
      <vt:lpstr>PVT!PVT_correlation_</vt:lpstr>
      <vt:lpstr>'Calc GasLift'!PVT_selector_</vt:lpstr>
      <vt:lpstr>'Calc Self Flow'!PVT_selector_</vt:lpstr>
      <vt:lpstr>PVT_selector_</vt:lpstr>
      <vt:lpstr>PVTstr_</vt:lpstr>
      <vt:lpstr>'Calc GasLift'!Pwf_atma_</vt:lpstr>
      <vt:lpstr>'Calc Self Flow'!Pwf_atma_</vt:lpstr>
      <vt:lpstr>Pwf_atma_</vt:lpstr>
      <vt:lpstr>'Calc GasLift'!Pwf_out_atma_</vt:lpstr>
      <vt:lpstr>'Calc Self Flow'!Pwf_out_atma_</vt:lpstr>
      <vt:lpstr>GasLift!Pwf_out_atma_</vt:lpstr>
      <vt:lpstr>Pwf_out_atma_</vt:lpstr>
      <vt:lpstr>ESP!Q_ESP_</vt:lpstr>
      <vt:lpstr>Qg_scm3day_</vt:lpstr>
      <vt:lpstr>'Calc ESP'!Ql_scm3day_</vt:lpstr>
      <vt:lpstr>'Calc GasLift'!Ql_scm3day_</vt:lpstr>
      <vt:lpstr>'Calc Self Flow'!Ql_scm3day_</vt:lpstr>
      <vt:lpstr>PVT!Ql_scm3day_</vt:lpstr>
      <vt:lpstr>PVT!Qo_sctday_</vt:lpstr>
      <vt:lpstr>rhoo_list1_</vt:lpstr>
      <vt:lpstr>rhoo_list2_</vt:lpstr>
      <vt:lpstr>rhoo_list3_</vt:lpstr>
      <vt:lpstr>PVT!Rp_</vt:lpstr>
      <vt:lpstr>'Calc ESP'!Rp_m3m3_</vt:lpstr>
      <vt:lpstr>'Calc GasLift'!Rp_m3m3_</vt:lpstr>
      <vt:lpstr>'Calc Self Flow'!Rp_m3m3_</vt:lpstr>
      <vt:lpstr>PVT!Rp_m3m3_</vt:lpstr>
      <vt:lpstr>PVT!Rp_tm3_</vt:lpstr>
      <vt:lpstr>rs_list1_</vt:lpstr>
      <vt:lpstr>rs_list2_</vt:lpstr>
      <vt:lpstr>rs_list3_</vt:lpstr>
      <vt:lpstr>PVT!Rsb_</vt:lpstr>
      <vt:lpstr>PVT!Rsb_m3m3_</vt:lpstr>
      <vt:lpstr>PVT!T_C_</vt:lpstr>
      <vt:lpstr>T_label_</vt:lpstr>
      <vt:lpstr>'Calc GasLift'!T_mes_C_</vt:lpstr>
      <vt:lpstr>'Calc Self Flow'!T_mes_C_</vt:lpstr>
      <vt:lpstr>T_mes_C_</vt:lpstr>
      <vt:lpstr>tamb_C_</vt:lpstr>
      <vt:lpstr>'Calc ESP'!tamb_out_C_</vt:lpstr>
      <vt:lpstr>'Calc GasLift'!tamb_out_C_</vt:lpstr>
      <vt:lpstr>'Calc Self Flow'!tamb_out_C_</vt:lpstr>
      <vt:lpstr>tamb_out_C_</vt:lpstr>
      <vt:lpstr>'Calc GasLift'!Tbh_c_</vt:lpstr>
      <vt:lpstr>'Calc Self Flow'!Tbh_c_</vt:lpstr>
      <vt:lpstr>Tbh_c_</vt:lpstr>
      <vt:lpstr>'Calc GasLift'!Tbuf_out_C_</vt:lpstr>
      <vt:lpstr>'Calc Self Flow'!Tbuf_out_C_</vt:lpstr>
      <vt:lpstr>Tbuf_out_C_</vt:lpstr>
      <vt:lpstr>'Calc GasLift'!Tlin_mes_C_</vt:lpstr>
      <vt:lpstr>'Calc Self Flow'!Tlin_mes_C_</vt:lpstr>
      <vt:lpstr>Tlin_mes_C_</vt:lpstr>
      <vt:lpstr>'Calc GasLift'!Tline_out_C_</vt:lpstr>
      <vt:lpstr>'Calc Self Flow'!Tline_out_C_</vt:lpstr>
      <vt:lpstr>Tline_out_C_</vt:lpstr>
      <vt:lpstr>'Calc GasLift'!tmes_out_</vt:lpstr>
      <vt:lpstr>'Calc Self Flow'!tmes_out_</vt:lpstr>
      <vt:lpstr>tmes_out_</vt:lpstr>
      <vt:lpstr>'Calc GasLift'!Tout_C_</vt:lpstr>
      <vt:lpstr>'Calc Self Flow'!Tout_C_</vt:lpstr>
      <vt:lpstr>Tout_C_</vt:lpstr>
      <vt:lpstr>'Calc GasLift'!Tout_hmes_m_</vt:lpstr>
      <vt:lpstr>'Calc Self Flow'!Tout_hmes_m_</vt:lpstr>
      <vt:lpstr>Tout_hmes_m_</vt:lpstr>
      <vt:lpstr>Toutcas_C_</vt:lpstr>
      <vt:lpstr>Toutcas_hmes_m_</vt:lpstr>
      <vt:lpstr>PVT!Tres_</vt:lpstr>
      <vt:lpstr>PVT!Tres_C_</vt:lpstr>
      <vt:lpstr>PVT!Tsc_C_</vt:lpstr>
      <vt:lpstr>PVT!Tsep_C_</vt:lpstr>
      <vt:lpstr>'Calc GasLift'!Twf_out_C_</vt:lpstr>
      <vt:lpstr>'Calc Self Flow'!Twf_out_C_</vt:lpstr>
      <vt:lpstr>Twf_out_C_</vt:lpstr>
      <vt:lpstr>'Calc GasLift'!Twh_C_</vt:lpstr>
      <vt:lpstr>Twh_C_</vt:lpstr>
      <vt:lpstr>U_V_</vt:lpstr>
      <vt:lpstr>udl_out_m_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2019-06-28T04:29:54Z</dcterms:modified>
</cp:coreProperties>
</file>