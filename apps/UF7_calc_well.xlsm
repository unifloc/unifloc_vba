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B74DEE20-C0CB-4715-BCF2-B8FB092FF524}" xr6:coauthVersionLast="43" xr6:coauthVersionMax="43" xr10:uidLastSave="{00000000-0000-0000-0000-000000000000}"/>
  <bookViews>
    <workbookView xWindow="-110" yWindow="-110" windowWidth="25820" windowHeight="14160" tabRatio="529" activeTab="1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C24" i="4"/>
  <c r="AF10" i="9"/>
  <c r="C7" i="7"/>
  <c r="V34" i="4"/>
  <c r="M37" i="4"/>
  <c r="M33" i="4"/>
  <c r="I35" i="4"/>
  <c r="C38" i="4"/>
  <c r="C36" i="4"/>
  <c r="C34" i="4"/>
  <c r="C19" i="4"/>
  <c r="B1" i="6"/>
  <c r="M38" i="4"/>
  <c r="E36" i="4"/>
  <c r="G24" i="4"/>
  <c r="C10" i="7"/>
  <c r="C50" i="4"/>
  <c r="T36" i="4"/>
  <c r="T34" i="4"/>
  <c r="M36" i="4"/>
  <c r="I38" i="4"/>
  <c r="I34" i="4"/>
  <c r="C44" i="4"/>
  <c r="E37" i="4"/>
  <c r="E35" i="4"/>
  <c r="E33" i="4"/>
  <c r="C28" i="4"/>
  <c r="T37" i="4"/>
  <c r="M34" i="4"/>
  <c r="C9" i="7"/>
  <c r="V37" i="4"/>
  <c r="V35" i="4"/>
  <c r="M41" i="4"/>
  <c r="M35" i="4"/>
  <c r="I37" i="4"/>
  <c r="I33" i="4"/>
  <c r="C41" i="4"/>
  <c r="C37" i="4"/>
  <c r="C35" i="4"/>
  <c r="C33" i="4"/>
  <c r="C27" i="4"/>
  <c r="C8" i="7"/>
  <c r="T35" i="4"/>
  <c r="I36" i="4"/>
  <c r="C29" i="4"/>
  <c r="V36" i="4"/>
  <c r="C46" i="4"/>
  <c r="C45" i="4"/>
  <c r="O2" i="9" l="1"/>
  <c r="J2" i="9"/>
  <c r="E2" i="9"/>
  <c r="E2" i="2"/>
  <c r="C10" i="2"/>
  <c r="C9" i="2"/>
  <c r="C6" i="2"/>
  <c r="H3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<sst xmlns="http://schemas.openxmlformats.org/spreadsheetml/2006/main" count="456" uniqueCount="218">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</sst>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1020.492994506602</c:v>
                </c:pt>
                <c:pt idx="1">
                  <c:v>998.50273409187491</c:v>
                </c:pt>
                <c:pt idx="2">
                  <c:v>996.33018982821886</c:v>
                </c:pt>
                <c:pt idx="3">
                  <c:v>1005.5368957775936</c:v>
                </c:pt>
                <c:pt idx="4">
                  <c:v>1019.2350902166975</c:v>
                </c:pt>
                <c:pt idx="5">
                  <c:v>1031.9506113714424</c:v>
                </c:pt>
                <c:pt idx="6">
                  <c:v>1039.4857931514293</c:v>
                </c:pt>
                <c:pt idx="7">
                  <c:v>1038.7823608844246</c:v>
                </c:pt>
                <c:pt idx="8">
                  <c:v>1027.7843270508342</c:v>
                </c:pt>
                <c:pt idx="9">
                  <c:v>1005.30088701818</c:v>
                </c:pt>
                <c:pt idx="10">
                  <c:v>970.86931477557528</c:v>
                </c:pt>
                <c:pt idx="11">
                  <c:v>924.61785866820105</c:v>
                </c:pt>
                <c:pt idx="12">
                  <c:v>867.12863713177921</c:v>
                </c:pt>
                <c:pt idx="13">
                  <c:v>799.30053442705116</c:v>
                </c:pt>
                <c:pt idx="14">
                  <c:v>722.21209637425056</c:v>
                </c:pt>
                <c:pt idx="15">
                  <c:v>636.98442608758069</c:v>
                </c:pt>
                <c:pt idx="16">
                  <c:v>544.64407970968909</c:v>
                </c:pt>
                <c:pt idx="17">
                  <c:v>445.9859621461423</c:v>
                </c:pt>
                <c:pt idx="18">
                  <c:v>341.43622279990888</c:v>
                </c:pt>
                <c:pt idx="19">
                  <c:v>230.91515130581908</c:v>
                </c:pt>
                <c:pt idx="20">
                  <c:v>113.70007326505514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1.2118426969268953E-2</c:v>
                </c:pt>
                <c:pt idx="1">
                  <c:v>0.128063774405209</c:v>
                </c:pt>
                <c:pt idx="2">
                  <c:v>0.21867284436463946</c:v>
                </c:pt>
                <c:pt idx="3">
                  <c:v>0.29116648564167663</c:v>
                </c:pt>
                <c:pt idx="4">
                  <c:v>0.35108252336372453</c:v>
                </c:pt>
                <c:pt idx="5">
                  <c:v>0.40243937501579635</c:v>
                </c:pt>
                <c:pt idx="6">
                  <c:v>0.44789966646483514</c:v>
                </c:pt>
                <c:pt idx="7">
                  <c:v>0.48893384798403605</c:v>
                </c:pt>
                <c:pt idx="8">
                  <c:v>0.52598381027716712</c:v>
                </c:pt>
                <c:pt idx="9">
                  <c:v>0.55862650050289053</c:v>
                </c:pt>
                <c:pt idx="10">
                  <c:v>0.58573753829908504</c:v>
                </c:pt>
                <c:pt idx="11">
                  <c:v>0.60565483180716528</c:v>
                </c:pt>
                <c:pt idx="12">
                  <c:v>0.61634219369640608</c:v>
                </c:pt>
                <c:pt idx="13">
                  <c:v>0.6155529571882612</c:v>
                </c:pt>
                <c:pt idx="14">
                  <c:v>0.60099359208068459</c:v>
                </c:pt>
                <c:pt idx="15">
                  <c:v>0.57048732077245634</c:v>
                </c:pt>
                <c:pt idx="16">
                  <c:v>0.52213773428749444</c:v>
                </c:pt>
                <c:pt idx="17">
                  <c:v>0.45449240829919213</c:v>
                </c:pt>
                <c:pt idx="18">
                  <c:v>0.36670651915471719</c:v>
                </c:pt>
                <c:pt idx="19">
                  <c:v>0.25870645989935559</c:v>
                </c:pt>
                <c:pt idx="20">
                  <c:v>0.13135345630081563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12</c:v>
                </c:pt>
                <c:pt idx="2">
                  <c:v>23</c:v>
                </c:pt>
                <c:pt idx="3">
                  <c:v>34</c:v>
                </c:pt>
                <c:pt idx="4">
                  <c:v>45</c:v>
                </c:pt>
                <c:pt idx="5">
                  <c:v>56</c:v>
                </c:pt>
                <c:pt idx="6">
                  <c:v>67</c:v>
                </c:pt>
                <c:pt idx="7">
                  <c:v>78</c:v>
                </c:pt>
                <c:pt idx="8">
                  <c:v>89</c:v>
                </c:pt>
                <c:pt idx="9">
                  <c:v>100</c:v>
                </c:pt>
                <c:pt idx="10">
                  <c:v>111</c:v>
                </c:pt>
                <c:pt idx="11">
                  <c:v>122</c:v>
                </c:pt>
                <c:pt idx="12">
                  <c:v>133</c:v>
                </c:pt>
                <c:pt idx="13">
                  <c:v>144</c:v>
                </c:pt>
                <c:pt idx="14">
                  <c:v>155</c:v>
                </c:pt>
                <c:pt idx="15">
                  <c:v>166</c:v>
                </c:pt>
                <c:pt idx="16">
                  <c:v>177</c:v>
                </c:pt>
                <c:pt idx="17">
                  <c:v>188</c:v>
                </c:pt>
                <c:pt idx="18">
                  <c:v>199</c:v>
                </c:pt>
                <c:pt idx="19">
                  <c:v>210</c:v>
                </c:pt>
                <c:pt idx="20">
                  <c:v>221</c:v>
                </c:pt>
                <c:pt idx="21">
                  <c:v>232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12.403777231310915</c:v>
                </c:pt>
                <c:pt idx="1">
                  <c:v>11.2146006720822</c:v>
                </c:pt>
                <c:pt idx="2">
                  <c:v>11.403913012573343</c:v>
                </c:pt>
                <c:pt idx="3">
                  <c:v>12.460321630628856</c:v>
                </c:pt>
                <c:pt idx="4">
                  <c:v>13.978597219534477</c:v>
                </c:pt>
                <c:pt idx="5">
                  <c:v>15.649427714079199</c:v>
                </c:pt>
                <c:pt idx="6">
                  <c:v>17.249172216617289</c:v>
                </c:pt>
                <c:pt idx="7">
                  <c:v>18.629614923130273</c:v>
                </c:pt>
                <c:pt idx="8">
                  <c:v>19.707719049289011</c:v>
                </c:pt>
                <c:pt idx="9">
                  <c:v>20.455380756515638</c:v>
                </c:pt>
                <c:pt idx="10">
                  <c:v>20.889183078045637</c:v>
                </c:pt>
                <c:pt idx="11">
                  <c:v>21.060149844989816</c:v>
                </c:pt>
                <c:pt idx="12">
                  <c:v>21.043499612396342</c:v>
                </c:pt>
                <c:pt idx="13">
                  <c:v>20.928399585312835</c:v>
                </c:pt>
                <c:pt idx="14">
                  <c:v>20.807719544848116</c:v>
                </c:pt>
                <c:pt idx="15">
                  <c:v>20.767785774234667</c:v>
                </c:pt>
                <c:pt idx="16">
                  <c:v>20.878134984890032</c:v>
                </c:pt>
                <c:pt idx="17">
                  <c:v>21.181268242479618</c:v>
                </c:pt>
                <c:pt idx="18">
                  <c:v>21.682404892977956</c:v>
                </c:pt>
                <c:pt idx="19">
                  <c:v>22.33923648873138</c:v>
                </c:pt>
                <c:pt idx="20">
                  <c:v>23.051680714519161</c:v>
                </c:pt>
                <c:pt idx="21">
                  <c:v>23.607616774168317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</c:v>
                </c:pt>
                <c:pt idx="1">
                  <c:v>0.26413403069480013</c:v>
                </c:pt>
                <c:pt idx="2">
                  <c:v>0.45109530967177419</c:v>
                </c:pt>
                <c:pt idx="3">
                  <c:v>0.52359747823117997</c:v>
                </c:pt>
                <c:pt idx="4">
                  <c:v>0.67901862636685939</c:v>
                </c:pt>
                <c:pt idx="5">
                  <c:v>0.8325176616030745</c:v>
                </c:pt>
                <c:pt idx="6">
                  <c:v>0.9598082997125057</c:v>
                </c:pt>
                <c:pt idx="7">
                  <c:v>0.98107914423659881</c:v>
                </c:pt>
                <c:pt idx="8">
                  <c:v>0.98901971239248487</c:v>
                </c:pt>
                <c:pt idx="9">
                  <c:v>0.98804482062195298</c:v>
                </c:pt>
                <c:pt idx="10">
                  <c:v>0.99414299947876938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0.86836824164633108</c:v>
                </c:pt>
                <c:pt idx="1">
                  <c:v>3.5711063084111738</c:v>
                </c:pt>
                <c:pt idx="2">
                  <c:v>9.8971655837660713</c:v>
                </c:pt>
                <c:pt idx="3">
                  <c:v>18.764436436251131</c:v>
                </c:pt>
                <c:pt idx="4">
                  <c:v>29.502102670249773</c:v>
                </c:pt>
                <c:pt idx="5">
                  <c:v>42.932284385208831</c:v>
                </c:pt>
                <c:pt idx="6">
                  <c:v>57.42804510469113</c:v>
                </c:pt>
                <c:pt idx="7">
                  <c:v>71.55850548132176</c:v>
                </c:pt>
                <c:pt idx="8">
                  <c:v>85.027310130208136</c:v>
                </c:pt>
                <c:pt idx="9">
                  <c:v>97.757924177333891</c:v>
                </c:pt>
                <c:pt idx="10">
                  <c:v>109.89398991817768</c:v>
                </c:pt>
                <c:pt idx="11">
                  <c:v>121.42987166975419</c:v>
                </c:pt>
                <c:pt idx="12">
                  <c:v>132.34833480637047</c:v>
                </c:pt>
                <c:pt idx="13">
                  <c:v>141.20491990931566</c:v>
                </c:pt>
                <c:pt idx="14">
                  <c:v>72.31415066216303</c:v>
                </c:pt>
                <c:pt idx="15">
                  <c:v>73.695921592680989</c:v>
                </c:pt>
                <c:pt idx="16">
                  <c:v>83.054534398327988</c:v>
                </c:pt>
                <c:pt idx="17">
                  <c:v>86.066349111092023</c:v>
                </c:pt>
                <c:pt idx="18">
                  <c:v>87.379004654034688</c:v>
                </c:pt>
                <c:pt idx="19">
                  <c:v>88.690192510784627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7FECBEE7-F5C3-494F-9827-E6CEB7501C8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0EB2862-EBE9-4D9E-A04E-EE8659E29BE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12668905-C5D8-42A7-9EF2-48E29C94405F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DCA4242-AB47-444A-98CB-C182905C5964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E1C677-DCBC-47D7-A8D7-38266B874995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26EE6B6C-2B59-443B-91E2-4C080FE02A59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0</c:v>
                </c:pt>
                <c:pt idx="1">
                  <c:v>0.86836824164633108</c:v>
                </c:pt>
                <c:pt idx="2">
                  <c:v>90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31.676087695423359</c:v>
                </c:pt>
                <c:pt idx="1">
                  <c:v>32.107482534869519</c:v>
                </c:pt>
                <c:pt idx="2">
                  <c:v>32.670561148842502</c:v>
                </c:pt>
                <c:pt idx="3">
                  <c:v>33.248705444056874</c:v>
                </c:pt>
                <c:pt idx="4">
                  <c:v>33.866689969374576</c:v>
                </c:pt>
                <c:pt idx="5">
                  <c:v>34.69638780221338</c:v>
                </c:pt>
                <c:pt idx="6">
                  <c:v>36.097960201757822</c:v>
                </c:pt>
                <c:pt idx="7">
                  <c:v>38.885305918473819</c:v>
                </c:pt>
                <c:pt idx="8">
                  <c:v>44.958485844670449</c:v>
                </c:pt>
                <c:pt idx="9">
                  <c:v>53.036932319246702</c:v>
                </c:pt>
                <c:pt idx="10">
                  <c:v>60.098613964327804</c:v>
                </c:pt>
                <c:pt idx="11">
                  <c:v>65.960949165888138</c:v>
                </c:pt>
                <c:pt idx="12">
                  <c:v>75.37123306263527</c:v>
                </c:pt>
                <c:pt idx="13">
                  <c:v>90.721903886262041</c:v>
                </c:pt>
                <c:pt idx="14">
                  <c:v>79.052878582704253</c:v>
                </c:pt>
                <c:pt idx="15">
                  <c:v>79.966961863230821</c:v>
                </c:pt>
                <c:pt idx="16">
                  <c:v>85.753713587168079</c:v>
                </c:pt>
                <c:pt idx="17">
                  <c:v>87.620684746303141</c:v>
                </c:pt>
                <c:pt idx="18">
                  <c:v>88.548061429961393</c:v>
                </c:pt>
                <c:pt idx="19">
                  <c:v>89.439438362543441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0.33123422976230615</c:v>
                </c:pt>
                <c:pt idx="1">
                  <c:v>0.34952389137864415</c:v>
                </c:pt>
                <c:pt idx="2">
                  <c:v>0.36773633701788233</c:v>
                </c:pt>
                <c:pt idx="3">
                  <c:v>0.24793968948854639</c:v>
                </c:pt>
                <c:pt idx="4">
                  <c:v>0.25670801578652502</c:v>
                </c:pt>
                <c:pt idx="5">
                  <c:v>0.26517126882226605</c:v>
                </c:pt>
                <c:pt idx="6">
                  <c:v>0.39065778309790855</c:v>
                </c:pt>
                <c:pt idx="7">
                  <c:v>0.44152300977214026</c:v>
                </c:pt>
                <c:pt idx="8">
                  <c:v>0.4895289204796251</c:v>
                </c:pt>
                <c:pt idx="9">
                  <c:v>0.51611872814320825</c:v>
                </c:pt>
                <c:pt idx="10">
                  <c:v>0.53048216756686695</c:v>
                </c:pt>
                <c:pt idx="11">
                  <c:v>0.54111360053509339</c:v>
                </c:pt>
                <c:pt idx="12">
                  <c:v>0.54835522188523333</c:v>
                </c:pt>
                <c:pt idx="13">
                  <c:v>0.88834280998870463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50.000033529097045</c:v>
                </c:pt>
                <c:pt idx="1">
                  <c:v>56.875672766495214</c:v>
                </c:pt>
                <c:pt idx="2">
                  <c:v>64.139919536166119</c:v>
                </c:pt>
                <c:pt idx="3">
                  <c:v>66.270929096091223</c:v>
                </c:pt>
                <c:pt idx="4">
                  <c:v>70.182432563307216</c:v>
                </c:pt>
                <c:pt idx="5">
                  <c:v>75.827695454172641</c:v>
                </c:pt>
                <c:pt idx="6">
                  <c:v>82.665815607180548</c:v>
                </c:pt>
                <c:pt idx="7">
                  <c:v>90.523544536329297</c:v>
                </c:pt>
                <c:pt idx="8">
                  <c:v>97.616339165198511</c:v>
                </c:pt>
                <c:pt idx="9">
                  <c:v>98.804560754426305</c:v>
                </c:pt>
                <c:pt idx="10">
                  <c:v>107.03932467059272</c:v>
                </c:pt>
                <c:pt idx="11">
                  <c:v>115.01944938671282</c:v>
                </c:pt>
                <c:pt idx="12">
                  <c:v>122.66980290469306</c:v>
                </c:pt>
                <c:pt idx="13">
                  <c:v>123.10028219626146</c:v>
                </c:pt>
                <c:pt idx="14">
                  <c:v>134.26913478201249</c:v>
                </c:pt>
                <c:pt idx="15">
                  <c:v>139.136765448316</c:v>
                </c:pt>
                <c:pt idx="16">
                  <c:v>145.39252390115979</c:v>
                </c:pt>
                <c:pt idx="17">
                  <c:v>152.1616540505951</c:v>
                </c:pt>
                <c:pt idx="18">
                  <c:v>153.61439392276148</c:v>
                </c:pt>
                <c:pt idx="19">
                  <c:v>155.06701219857086</c:v>
                </c:pt>
                <c:pt idx="20">
                  <c:v>156.51950463419033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50DF7BA-D12E-45B1-9DFC-A74BFA3286D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EDB369A-EB90-4D4E-9D6F-C3F25CA20BB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F117C190-8DAC-44F4-B60D-F5BA148EA04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DC1BFD8-FF84-4C0D-AB8A-D98D0CF47AC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5D86B2-DD6C-47DB-8067-7B60F06B766C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D507ADAA-B6A8-4E74-BDBD-BE14710D4E66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50.000033529097045</c:v>
                </c:pt>
                <c:pt idx="1">
                  <c:v>50.000033529097045</c:v>
                </c:pt>
                <c:pt idx="2">
                  <c:v>156.51950463419033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0.17179321606433814</c:v>
                </c:pt>
                <c:pt idx="1">
                  <c:v>0.20397838505838051</c:v>
                </c:pt>
                <c:pt idx="2">
                  <c:v>0.23932395748138774</c:v>
                </c:pt>
                <c:pt idx="3">
                  <c:v>0.26259783638978962</c:v>
                </c:pt>
                <c:pt idx="4">
                  <c:v>0.30359643250410612</c:v>
                </c:pt>
                <c:pt idx="5">
                  <c:v>0.34895441641856995</c:v>
                </c:pt>
                <c:pt idx="6">
                  <c:v>0.39744161731737787</c:v>
                </c:pt>
                <c:pt idx="7">
                  <c:v>0.44785291958478951</c:v>
                </c:pt>
                <c:pt idx="8">
                  <c:v>0.50003390767536415</c:v>
                </c:pt>
                <c:pt idx="9">
                  <c:v>0.55349247311593075</c:v>
                </c:pt>
                <c:pt idx="10">
                  <c:v>0.60759751161074682</c:v>
                </c:pt>
                <c:pt idx="11">
                  <c:v>0.66187502078157257</c:v>
                </c:pt>
                <c:pt idx="12">
                  <c:v>0.71588057867743515</c:v>
                </c:pt>
                <c:pt idx="13">
                  <c:v>0.76912480595546606</c:v>
                </c:pt>
                <c:pt idx="14">
                  <c:v>0.8291871572363394</c:v>
                </c:pt>
                <c:pt idx="15">
                  <c:v>0.88532224711122409</c:v>
                </c:pt>
                <c:pt idx="16">
                  <c:v>0.92109465889763975</c:v>
                </c:pt>
                <c:pt idx="17">
                  <c:v>0.92742373478587647</c:v>
                </c:pt>
                <c:pt idx="18">
                  <c:v>0.93398999011661799</c:v>
                </c:pt>
                <c:pt idx="19">
                  <c:v>0.94224966849982261</c:v>
                </c:pt>
                <c:pt idx="20">
                  <c:v>0.96135601057038489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10.374492034077658</c:v>
                </c:pt>
                <c:pt idx="1">
                  <c:v>13.74238858278625</c:v>
                </c:pt>
                <c:pt idx="2">
                  <c:v>17.723509695861214</c:v>
                </c:pt>
                <c:pt idx="3">
                  <c:v>22.294012547832157</c:v>
                </c:pt>
                <c:pt idx="4">
                  <c:v>27.42019657233898</c:v>
                </c:pt>
                <c:pt idx="5">
                  <c:v>33.299649749763134</c:v>
                </c:pt>
                <c:pt idx="6">
                  <c:v>39.785940843991746</c:v>
                </c:pt>
                <c:pt idx="7">
                  <c:v>46.824201667328559</c:v>
                </c:pt>
                <c:pt idx="8">
                  <c:v>54.350342603310082</c:v>
                </c:pt>
                <c:pt idx="9">
                  <c:v>62.29399613953904</c:v>
                </c:pt>
                <c:pt idx="10">
                  <c:v>70.584576231134577</c:v>
                </c:pt>
                <c:pt idx="11">
                  <c:v>79.14537591351457</c:v>
                </c:pt>
                <c:pt idx="12">
                  <c:v>87.896067931127774</c:v>
                </c:pt>
                <c:pt idx="13">
                  <c:v>96.755482650217729</c:v>
                </c:pt>
                <c:pt idx="14">
                  <c:v>101.83426535966255</c:v>
                </c:pt>
                <c:pt idx="15">
                  <c:v>105.69273524005391</c:v>
                </c:pt>
                <c:pt idx="16">
                  <c:v>113.38280803466837</c:v>
                </c:pt>
                <c:pt idx="17">
                  <c:v>115.43997909138994</c:v>
                </c:pt>
                <c:pt idx="18">
                  <c:v>116.70137308246788</c:v>
                </c:pt>
                <c:pt idx="19">
                  <c:v>117.97063538542014</c:v>
                </c:pt>
                <c:pt idx="20">
                  <c:v>119.25410027770116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DD213CD0-F6FE-425C-BF86-FC3A90108C9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E2C540D-AA38-4B1D-B2BF-731B777B849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7539A90-0AB8-44BA-9DAC-5E939894931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E7E59F8-C946-4CBC-AAC1-7E41CE66B53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659C5E-C57C-40EA-B079-3BBDE9340FBD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E484D876-8AA2-49A0-9B6D-FB199D28D1FB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10.002165293596843</c:v>
                </c:pt>
                <c:pt idx="1">
                  <c:v>10.374492034077658</c:v>
                </c:pt>
                <c:pt idx="2">
                  <c:v>119.25410027770116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22.954558098352376</c:v>
                </c:pt>
                <c:pt idx="1">
                  <c:v>28.469691172312487</c:v>
                </c:pt>
                <c:pt idx="2">
                  <c:v>33.982968135261032</c:v>
                </c:pt>
                <c:pt idx="3">
                  <c:v>39.494657728749857</c:v>
                </c:pt>
                <c:pt idx="4">
                  <c:v>44.995419990604574</c:v>
                </c:pt>
                <c:pt idx="5">
                  <c:v>50.445161701407876</c:v>
                </c:pt>
                <c:pt idx="6">
                  <c:v>55.708233455949546</c:v>
                </c:pt>
                <c:pt idx="7">
                  <c:v>60.775500719009131</c:v>
                </c:pt>
                <c:pt idx="8">
                  <c:v>65.637797909240803</c:v>
                </c:pt>
                <c:pt idx="9">
                  <c:v>70.298832491122894</c:v>
                </c:pt>
                <c:pt idx="10">
                  <c:v>74.759106722274765</c:v>
                </c:pt>
                <c:pt idx="11">
                  <c:v>79.018935717066626</c:v>
                </c:pt>
                <c:pt idx="12">
                  <c:v>83.077594567215016</c:v>
                </c:pt>
                <c:pt idx="13">
                  <c:v>86.923444642787459</c:v>
                </c:pt>
                <c:pt idx="14">
                  <c:v>89.007677730919568</c:v>
                </c:pt>
                <c:pt idx="15">
                  <c:v>90.474940633480117</c:v>
                </c:pt>
                <c:pt idx="16">
                  <c:v>93.053438787687654</c:v>
                </c:pt>
                <c:pt idx="17">
                  <c:v>93.770140389335907</c:v>
                </c:pt>
                <c:pt idx="18">
                  <c:v>94.176971512191116</c:v>
                </c:pt>
                <c:pt idx="19">
                  <c:v>94.055876558165025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146050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222250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107950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222250</xdr:colOff>
          <xdr:row>16</xdr:row>
          <xdr:rowOff>12700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107950</xdr:rowOff>
        </xdr:from>
        <xdr:to>
          <xdr:col>21</xdr:col>
          <xdr:colOff>279400</xdr:colOff>
          <xdr:row>59</xdr:row>
          <xdr:rowOff>50800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812800</xdr:colOff>
          <xdr:row>2</xdr:row>
          <xdr:rowOff>12700</xdr:rowOff>
        </xdr:from>
        <xdr:to>
          <xdr:col>8</xdr:col>
          <xdr:colOff>304800</xdr:colOff>
          <xdr:row>2</xdr:row>
          <xdr:rowOff>222250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69850</xdr:rowOff>
        </xdr:from>
        <xdr:to>
          <xdr:col>18</xdr:col>
          <xdr:colOff>285750</xdr:colOff>
          <xdr:row>14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12700</xdr:rowOff>
        </xdr:from>
        <xdr:to>
          <xdr:col>14</xdr:col>
          <xdr:colOff>355600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146050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69850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31750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336550</xdr:colOff>
          <xdr:row>3</xdr:row>
          <xdr:rowOff>146050</xdr:rowOff>
        </xdr:from>
        <xdr:to>
          <xdr:col>27</xdr:col>
          <xdr:colOff>355600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7</xdr:row>
          <xdr:rowOff>114300</xdr:rowOff>
        </xdr:from>
        <xdr:to>
          <xdr:col>27</xdr:col>
          <xdr:colOff>381000</xdr:colOff>
          <xdr:row>11</xdr:row>
          <xdr:rowOff>12700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2</xdr:row>
          <xdr:rowOff>31750</xdr:rowOff>
        </xdr:from>
        <xdr:to>
          <xdr:col>9</xdr:col>
          <xdr:colOff>12700</xdr:colOff>
          <xdr:row>3</xdr:row>
          <xdr:rowOff>50800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12700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bi/AppData/Roaming/Microsoft/AddIns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q_mix_rc_m3day"/>
      <definedName name="MF_rho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4.5" x14ac:dyDescent="0.35"/>
  <sheetData>
    <row r="1" spans="1:5" x14ac:dyDescent="0.35">
      <c r="A1" t="str">
        <f>"вер "&amp;B1</f>
        <v>вер 7.8</v>
      </c>
      <c r="B1" s="16" t="str">
        <f>[1]!getUFVersion()</f>
        <v>7.8</v>
      </c>
    </row>
    <row r="2" spans="1:5" x14ac:dyDescent="0.35">
      <c r="A2" t="s">
        <v>161</v>
      </c>
    </row>
    <row r="4" spans="1:5" x14ac:dyDescent="0.35">
      <c r="A4" s="67" t="str">
        <f>"Унифлок "&amp;версия_номер_</f>
        <v>Унифлок 7.8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tabSelected="1" topLeftCell="A10" zoomScale="85" zoomScaleNormal="85" workbookViewId="0">
      <selection activeCell="K30" sqref="K30"/>
    </sheetView>
  </sheetViews>
  <sheetFormatPr defaultRowHeight="14.5" outlineLevelRow="1" x14ac:dyDescent="0.35"/>
  <cols>
    <col min="1" max="1" width="7.26953125" style="11" customWidth="1"/>
    <col min="2" max="2" width="12.26953125" customWidth="1"/>
    <col min="4" max="4" width="10.1796875" customWidth="1"/>
    <col min="7" max="7" width="12.26953125" style="1" customWidth="1"/>
    <col min="8" max="8" width="13.1796875" customWidth="1"/>
    <col min="9" max="9" width="11" customWidth="1"/>
    <col min="13" max="13" width="10" customWidth="1"/>
    <col min="14" max="14" width="10.1796875" customWidth="1"/>
  </cols>
  <sheetData>
    <row r="1" spans="1:42" x14ac:dyDescent="0.35">
      <c r="A1" s="59" t="str">
        <f>"Унифлок "&amp;версия_&amp;" приложение версия 1.1"</f>
        <v>Унифлок вер 7.8 приложение версия 1.1</v>
      </c>
      <c r="J1" s="2" t="s">
        <v>23</v>
      </c>
      <c r="K1" s="2"/>
      <c r="L1" s="2"/>
    </row>
    <row r="2" spans="1:42" ht="16.5" x14ac:dyDescent="0.3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3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35">
      <c r="AO4" s="66"/>
      <c r="AP4" s="66" t="s">
        <v>144</v>
      </c>
    </row>
    <row r="6" spans="1:42" x14ac:dyDescent="0.3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3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6.5" x14ac:dyDescent="0.3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42" ht="16.5" x14ac:dyDescent="0.3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6.5" x14ac:dyDescent="0.3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6.5" x14ac:dyDescent="0.3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6.5" x14ac:dyDescent="0.3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35">
      <c r="F13" s="2" t="s">
        <v>5</v>
      </c>
      <c r="G13" s="2"/>
      <c r="H13" s="2"/>
    </row>
    <row r="14" spans="1:42" ht="16.5" x14ac:dyDescent="0.35">
      <c r="F14" s="5" t="s">
        <v>16</v>
      </c>
      <c r="G14" s="9">
        <v>80</v>
      </c>
      <c r="H14" s="5" t="s">
        <v>75</v>
      </c>
    </row>
    <row r="15" spans="1:42" ht="16.5" x14ac:dyDescent="0.35">
      <c r="F15" s="5" t="s">
        <v>20</v>
      </c>
      <c r="G15" s="9">
        <v>120</v>
      </c>
      <c r="H15" s="5" t="s">
        <v>2</v>
      </c>
    </row>
    <row r="16" spans="1:42" ht="16.5" x14ac:dyDescent="0.35">
      <c r="F16" s="7" t="s">
        <v>21</v>
      </c>
      <c r="G16" s="9">
        <v>1.2</v>
      </c>
      <c r="H16" s="5" t="s">
        <v>17</v>
      </c>
    </row>
    <row r="17" spans="1:28" ht="16.5" x14ac:dyDescent="0.35">
      <c r="F17" s="8" t="s">
        <v>22</v>
      </c>
      <c r="G17" s="9">
        <v>1</v>
      </c>
      <c r="H17" s="5" t="s">
        <v>7</v>
      </c>
    </row>
    <row r="19" spans="1:28" x14ac:dyDescent="0.3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gamma_gas:0,700;gamma_oil:0,860;gamma_wat:1,070;rsb_m3m3:100,000;rp_m3m3:100,000;pb_atma:120,000;tres_C:80,000;bob_m3m3:1,200;muob_cP:1,000;PVTcorr:0;ksep_fr:0,000;pksep_atma:-1,000;tksep_C:-1,000;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5" x14ac:dyDescent="0.35">
      <c r="A20" s="60"/>
      <c r="G20" s="62"/>
    </row>
    <row r="21" spans="1:28" x14ac:dyDescent="0.3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35"/>
    <row r="23" spans="1:28" outlineLevel="1" x14ac:dyDescent="0.3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6.5" outlineLevel="1" x14ac:dyDescent="0.35">
      <c r="B24" s="5" t="s">
        <v>79</v>
      </c>
      <c r="C24" s="22">
        <f>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6.5" outlineLevel="1" x14ac:dyDescent="0.3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6.5" outlineLevel="1" x14ac:dyDescent="0.3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6.5" outlineLevel="1" x14ac:dyDescent="0.3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6.5" outlineLevel="1" x14ac:dyDescent="0.3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6.5" outlineLevel="1" x14ac:dyDescent="0.3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35"/>
    <row r="31" spans="1:28" outlineLevel="1" x14ac:dyDescent="0.35"/>
    <row r="32" spans="1:28" outlineLevel="1" x14ac:dyDescent="0.3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6.5" outlineLevel="1" x14ac:dyDescent="0.4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6.5" outlineLevel="1" x14ac:dyDescent="0.3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6.5" outlineLevel="1" x14ac:dyDescent="0.3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6.5" outlineLevel="1" x14ac:dyDescent="0.3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6.5" outlineLevel="1" x14ac:dyDescent="0.3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6.5" outlineLevel="1" x14ac:dyDescent="0.3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6.5" outlineLevel="1" x14ac:dyDescent="0.3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6.5" outlineLevel="1" x14ac:dyDescent="0.3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6.5" outlineLevel="1" x14ac:dyDescent="0.3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35">
      <c r="L42" s="31"/>
    </row>
    <row r="43" spans="2:33" outlineLevel="1" x14ac:dyDescent="0.35">
      <c r="B43" s="2" t="s">
        <v>120</v>
      </c>
      <c r="C43" s="2"/>
      <c r="D43" s="2"/>
      <c r="E43" s="28"/>
      <c r="F43" s="31"/>
      <c r="L43" s="31"/>
    </row>
    <row r="44" spans="2:33" ht="16.5" outlineLevel="1" x14ac:dyDescent="0.35">
      <c r="B44" s="7" t="s">
        <v>121</v>
      </c>
      <c r="C44" s="40">
        <f>[1]!MF_q_mix_rc_m3day(Ql_scm3day_,fw_perc_,P_atma_,T_C_,PVTstr_)</f>
        <v>61.603401480081459</v>
      </c>
      <c r="D44" s="5" t="s">
        <v>33</v>
      </c>
      <c r="E44" s="28"/>
      <c r="F44" s="31"/>
      <c r="L44" s="31"/>
    </row>
    <row r="45" spans="2:33" ht="16.5" outlineLevel="1" x14ac:dyDescent="0.35">
      <c r="B45" s="5" t="s">
        <v>122</v>
      </c>
      <c r="C45" s="40">
        <f>[1]!MF_rhomix_kgm3(Ql_scm3day_,fw_perc_,P_atma_,T_C_,PVTstr_)</f>
        <v>353.01519847133039</v>
      </c>
      <c r="D45" s="5" t="s">
        <v>82</v>
      </c>
      <c r="E45" s="28"/>
      <c r="F45" s="31"/>
    </row>
    <row r="46" spans="2:33" ht="16.5" outlineLevel="1" x14ac:dyDescent="0.35">
      <c r="B46" s="5" t="s">
        <v>123</v>
      </c>
      <c r="C46" s="40">
        <f>MF_mu_mix_cP(Ql_scm3day_,fw_perc_,P_atma_,T_C_,PVTstr_)</f>
        <v>1.005127952128688</v>
      </c>
      <c r="D46" s="5" t="s">
        <v>7</v>
      </c>
      <c r="E46" s="28"/>
      <c r="F46" s="31"/>
    </row>
    <row r="47" spans="2:33" ht="16.5" outlineLevel="1" x14ac:dyDescent="0.35">
      <c r="B47" s="5" t="s">
        <v>124</v>
      </c>
      <c r="E47" s="31"/>
      <c r="F47" s="31"/>
    </row>
    <row r="48" spans="2:33" ht="16.5" outlineLevel="1" x14ac:dyDescent="0.35">
      <c r="B48" s="5" t="s">
        <v>125</v>
      </c>
      <c r="E48" s="31"/>
      <c r="F48" s="31"/>
    </row>
    <row r="49" spans="1:29" ht="16.5" outlineLevel="1" x14ac:dyDescent="0.35">
      <c r="B49" s="5" t="s">
        <v>126</v>
      </c>
      <c r="E49" s="31"/>
      <c r="F49" s="31"/>
    </row>
    <row r="50" spans="1:29" outlineLevel="1" x14ac:dyDescent="0.3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35">
      <c r="E51" s="31"/>
      <c r="F51" s="31"/>
    </row>
    <row r="52" spans="1:29" outlineLevel="1" x14ac:dyDescent="0.35">
      <c r="E52" s="31"/>
      <c r="F52" s="31"/>
    </row>
    <row r="53" spans="1:29" outlineLevel="1" x14ac:dyDescent="0.35"/>
    <row r="54" spans="1:29" outlineLevel="1" x14ac:dyDescent="0.35"/>
    <row r="55" spans="1:29" x14ac:dyDescent="0.35">
      <c r="L55" s="31"/>
    </row>
    <row r="56" spans="1:29" x14ac:dyDescent="0.3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3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35">
      <c r="L58" s="31"/>
      <c r="M58" s="31"/>
    </row>
    <row r="59" spans="1:29" ht="16.5" outlineLevel="1" x14ac:dyDescent="0.3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3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3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3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3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3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3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3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3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3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3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3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3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3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3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3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3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3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3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3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3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3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3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3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3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3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3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3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3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3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3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3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3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3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3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3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3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3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3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3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3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3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35"/>
    <row r="102" spans="1:18" outlineLevel="1" x14ac:dyDescent="0.3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146050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222250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107950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222250</xdr:colOff>
                    <xdr:row>16</xdr:row>
                    <xdr:rowOff>12700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107950</xdr:rowOff>
                  </from>
                  <to>
                    <xdr:col>21</xdr:col>
                    <xdr:colOff>279400</xdr:colOff>
                    <xdr:row>59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812800</xdr:colOff>
                    <xdr:row>2</xdr:row>
                    <xdr:rowOff>12700</xdr:rowOff>
                  </from>
                  <to>
                    <xdr:col>8</xdr:col>
                    <xdr:colOff>304800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4.5" x14ac:dyDescent="0.35"/>
  <sheetData>
    <row r="1" spans="1:16" x14ac:dyDescent="0.35">
      <c r="A1" t="str">
        <f>версия_</f>
        <v>вер 7.8</v>
      </c>
    </row>
    <row r="6" spans="1:16" x14ac:dyDescent="0.35">
      <c r="A6" s="11"/>
      <c r="B6" t="s">
        <v>37</v>
      </c>
      <c r="G6" s="1"/>
    </row>
    <row r="7" spans="1:16" x14ac:dyDescent="0.35">
      <c r="A7" s="11"/>
      <c r="G7" s="1"/>
    </row>
    <row r="8" spans="1:16" x14ac:dyDescent="0.35">
      <c r="A8" s="11"/>
      <c r="B8" s="17" t="s">
        <v>52</v>
      </c>
      <c r="C8" s="2"/>
      <c r="D8" s="2"/>
      <c r="G8" s="1"/>
    </row>
    <row r="9" spans="1:16" ht="16.5" x14ac:dyDescent="0.45">
      <c r="A9" s="11"/>
      <c r="B9" s="14" t="s">
        <v>39</v>
      </c>
      <c r="C9" s="9">
        <v>3500</v>
      </c>
      <c r="D9" s="5" t="s">
        <v>38</v>
      </c>
      <c r="G9" s="1"/>
    </row>
    <row r="10" spans="1:16" ht="16.5" x14ac:dyDescent="0.45">
      <c r="A10" s="11"/>
      <c r="B10" s="14" t="s">
        <v>40</v>
      </c>
      <c r="C10" s="9">
        <v>2500</v>
      </c>
      <c r="D10" s="5" t="s">
        <v>25</v>
      </c>
      <c r="G10" s="1"/>
    </row>
    <row r="11" spans="1:16" ht="16.5" x14ac:dyDescent="0.45">
      <c r="A11" s="11"/>
      <c r="B11" s="14" t="s">
        <v>49</v>
      </c>
      <c r="C11" s="9">
        <v>140</v>
      </c>
      <c r="D11" s="5" t="s">
        <v>41</v>
      </c>
      <c r="G11" s="1"/>
    </row>
    <row r="12" spans="1:16" ht="16.5" x14ac:dyDescent="0.45">
      <c r="A12" s="11"/>
      <c r="B12" s="14" t="s">
        <v>50</v>
      </c>
      <c r="C12" s="9">
        <v>65</v>
      </c>
      <c r="D12" s="5" t="s">
        <v>41</v>
      </c>
      <c r="G12" s="1"/>
    </row>
    <row r="13" spans="1:16" ht="16.5" x14ac:dyDescent="0.4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35">
      <c r="A14" s="11"/>
      <c r="G14" s="1"/>
    </row>
    <row r="15" spans="1:16" x14ac:dyDescent="0.35">
      <c r="A15" s="11"/>
      <c r="G15" s="1"/>
    </row>
    <row r="16" spans="1:16" x14ac:dyDescent="0.3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6.5" x14ac:dyDescent="0.4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3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3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3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3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3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3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3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3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3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3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3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3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3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3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3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3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3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3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3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3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3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35">
      <c r="A39" s="11"/>
      <c r="B39" s="9">
        <v>3500</v>
      </c>
      <c r="C39" s="9">
        <v>2500</v>
      </c>
      <c r="G39" s="1"/>
      <c r="M39" s="15"/>
      <c r="N39" s="15"/>
    </row>
    <row r="40" spans="1:29" x14ac:dyDescent="0.35">
      <c r="A40" s="11"/>
      <c r="B40" s="16"/>
      <c r="C40" s="16"/>
      <c r="G40" s="1"/>
      <c r="M40" s="15"/>
      <c r="N40" s="15"/>
    </row>
    <row r="41" spans="1:29" x14ac:dyDescent="0.35">
      <c r="A41" s="11"/>
      <c r="B41" s="16"/>
      <c r="C41" s="16"/>
      <c r="G41" s="1"/>
      <c r="M41" s="15"/>
      <c r="N41" s="15"/>
    </row>
    <row r="42" spans="1:29" x14ac:dyDescent="0.35">
      <c r="A42" s="11"/>
      <c r="B42" s="16"/>
      <c r="C42" s="16"/>
      <c r="G42" s="1"/>
      <c r="M42" s="15"/>
      <c r="N42" s="15"/>
    </row>
    <row r="43" spans="1:29" x14ac:dyDescent="0.35">
      <c r="A43" s="11"/>
      <c r="B43" s="16"/>
      <c r="C43" s="16"/>
      <c r="G43" s="1"/>
      <c r="M43" s="15"/>
      <c r="N43" s="15"/>
    </row>
    <row r="44" spans="1:29" x14ac:dyDescent="0.35">
      <c r="A44" s="11"/>
      <c r="B44" s="16"/>
      <c r="C44" s="16"/>
      <c r="G44" s="1"/>
      <c r="M44" s="15"/>
      <c r="N44" s="15"/>
    </row>
    <row r="45" spans="1:29" x14ac:dyDescent="0.35">
      <c r="A45" s="11"/>
      <c r="B45" s="16"/>
      <c r="C45" s="16"/>
      <c r="G45" s="1"/>
      <c r="M45" s="15"/>
      <c r="N45" s="15"/>
    </row>
    <row r="46" spans="1:29" x14ac:dyDescent="0.35">
      <c r="A46" s="11"/>
      <c r="B46" s="16"/>
      <c r="C46" s="16"/>
      <c r="G46" s="1"/>
    </row>
    <row r="47" spans="1:29" x14ac:dyDescent="0.35">
      <c r="A47" s="11"/>
      <c r="B47" s="16"/>
      <c r="C47" s="16"/>
      <c r="G47" s="1"/>
    </row>
    <row r="48" spans="1:29" x14ac:dyDescent="0.35">
      <c r="A48" s="11"/>
      <c r="B48" s="16"/>
      <c r="C48" s="16"/>
      <c r="G48" s="1"/>
    </row>
    <row r="49" spans="1:7" x14ac:dyDescent="0.35">
      <c r="A49" s="11"/>
      <c r="B49" s="16"/>
      <c r="C49" s="16"/>
      <c r="G49" s="1"/>
    </row>
    <row r="50" spans="1:7" x14ac:dyDescent="0.35">
      <c r="A50" s="11"/>
      <c r="B50" s="16"/>
      <c r="C50" s="16"/>
      <c r="G50" s="1"/>
    </row>
    <row r="51" spans="1:7" x14ac:dyDescent="0.35">
      <c r="A51" s="11"/>
      <c r="B51" s="16"/>
      <c r="C51" s="16"/>
      <c r="G51" s="1"/>
    </row>
    <row r="52" spans="1:7" x14ac:dyDescent="0.35">
      <c r="A52" s="11"/>
      <c r="B52" s="16"/>
      <c r="C52" s="16"/>
      <c r="G52" s="1"/>
    </row>
    <row r="53" spans="1:7" x14ac:dyDescent="0.35">
      <c r="A53" s="11"/>
      <c r="B53" s="16"/>
      <c r="C53" s="16"/>
      <c r="G53" s="1"/>
    </row>
    <row r="54" spans="1:7" x14ac:dyDescent="0.35">
      <c r="A54" s="11"/>
      <c r="B54" s="16"/>
      <c r="C54" s="16"/>
      <c r="G54" s="1"/>
    </row>
    <row r="55" spans="1:7" x14ac:dyDescent="0.35">
      <c r="A55" s="11"/>
      <c r="B55" s="16"/>
      <c r="C55" s="16"/>
      <c r="G55" s="1"/>
    </row>
    <row r="56" spans="1:7" x14ac:dyDescent="0.35">
      <c r="A56" s="11"/>
      <c r="B56" s="16"/>
      <c r="C56" s="16"/>
      <c r="G56" s="1"/>
    </row>
    <row r="57" spans="1:7" x14ac:dyDescent="0.35">
      <c r="A57" s="11"/>
      <c r="B57" s="16"/>
      <c r="C57" s="16"/>
      <c r="G57" s="1"/>
    </row>
    <row r="58" spans="1:7" x14ac:dyDescent="0.35">
      <c r="A58" s="11"/>
      <c r="B58" s="16"/>
      <c r="C58" s="16"/>
      <c r="G58" s="1"/>
    </row>
    <row r="59" spans="1:7" x14ac:dyDescent="0.35">
      <c r="A59" s="11"/>
      <c r="B59" s="16"/>
      <c r="C59" s="16"/>
      <c r="G59" s="1"/>
    </row>
    <row r="60" spans="1:7" x14ac:dyDescent="0.35">
      <c r="A60" s="11"/>
      <c r="B60" s="16"/>
      <c r="C60" s="16"/>
      <c r="G60" s="1"/>
    </row>
    <row r="61" spans="1:7" x14ac:dyDescent="0.35">
      <c r="A61" s="11"/>
      <c r="B61" s="16"/>
      <c r="C61" s="16"/>
      <c r="G61" s="1"/>
    </row>
    <row r="62" spans="1:7" x14ac:dyDescent="0.35">
      <c r="A62" s="11"/>
      <c r="B62" s="16"/>
      <c r="C62" s="16"/>
      <c r="G62" s="1"/>
    </row>
    <row r="63" spans="1:7" x14ac:dyDescent="0.35">
      <c r="A63" s="11"/>
      <c r="B63" s="16"/>
      <c r="C63" s="16"/>
      <c r="G63" s="1"/>
    </row>
    <row r="64" spans="1:7" x14ac:dyDescent="0.35">
      <c r="A64" s="11"/>
      <c r="B64" s="16"/>
      <c r="C64" s="16"/>
      <c r="G64" s="1"/>
    </row>
    <row r="65" spans="1:7" x14ac:dyDescent="0.35">
      <c r="A65" s="11"/>
      <c r="B65" s="16"/>
      <c r="C65" s="16"/>
      <c r="G65" s="1"/>
    </row>
    <row r="66" spans="1:7" x14ac:dyDescent="0.35">
      <c r="A66" s="11"/>
      <c r="B66" s="16"/>
      <c r="C66" s="16"/>
      <c r="G66" s="1"/>
    </row>
    <row r="67" spans="1:7" x14ac:dyDescent="0.35">
      <c r="A67" s="11"/>
      <c r="B67" s="16"/>
      <c r="C67" s="16"/>
      <c r="G67" s="1"/>
    </row>
    <row r="68" spans="1:7" x14ac:dyDescent="0.35">
      <c r="A68" s="11"/>
      <c r="B68" s="16"/>
      <c r="C68" s="16"/>
      <c r="G68" s="1"/>
    </row>
    <row r="69" spans="1:7" x14ac:dyDescent="0.35">
      <c r="A69" s="11"/>
      <c r="B69" s="16"/>
      <c r="C69" s="16"/>
      <c r="G69" s="1"/>
    </row>
    <row r="70" spans="1:7" x14ac:dyDescent="0.35">
      <c r="A70" s="11"/>
      <c r="B70" s="16"/>
      <c r="C70" s="16"/>
      <c r="G70" s="1"/>
    </row>
    <row r="71" spans="1:7" x14ac:dyDescent="0.35">
      <c r="A71" s="11"/>
      <c r="B71" s="16"/>
      <c r="C71" s="16"/>
      <c r="G71" s="1"/>
    </row>
    <row r="72" spans="1:7" x14ac:dyDescent="0.35">
      <c r="A72" s="11"/>
      <c r="B72" s="16"/>
      <c r="C72" s="16"/>
      <c r="G72" s="1"/>
    </row>
    <row r="73" spans="1:7" x14ac:dyDescent="0.35">
      <c r="A73" s="11"/>
      <c r="B73" s="16"/>
      <c r="C73" s="16"/>
      <c r="G73" s="1"/>
    </row>
    <row r="74" spans="1:7" x14ac:dyDescent="0.35">
      <c r="A74" s="11"/>
      <c r="B74" s="16"/>
      <c r="C74" s="16"/>
      <c r="G74" s="1"/>
    </row>
    <row r="75" spans="1:7" x14ac:dyDescent="0.35">
      <c r="A75" s="11"/>
      <c r="B75" s="16"/>
      <c r="C75" s="16"/>
      <c r="G75" s="1"/>
    </row>
    <row r="76" spans="1:7" x14ac:dyDescent="0.35">
      <c r="A76" s="11"/>
      <c r="B76" s="16"/>
      <c r="C76" s="16"/>
      <c r="G76" s="1"/>
    </row>
    <row r="77" spans="1:7" x14ac:dyDescent="0.35">
      <c r="A77" s="11"/>
      <c r="B77" s="16"/>
      <c r="C77" s="16"/>
      <c r="G77" s="1"/>
    </row>
    <row r="78" spans="1:7" x14ac:dyDescent="0.35">
      <c r="A78" s="11"/>
      <c r="B78" s="16"/>
      <c r="C78" s="16"/>
      <c r="G78" s="1"/>
    </row>
    <row r="79" spans="1:7" x14ac:dyDescent="0.35">
      <c r="A79" s="11"/>
      <c r="B79" s="16"/>
      <c r="C79" s="16"/>
      <c r="G79" s="1"/>
    </row>
    <row r="80" spans="1:7" x14ac:dyDescent="0.35">
      <c r="A80" s="11"/>
      <c r="B80" s="16"/>
      <c r="C80" s="16"/>
      <c r="G80" s="1"/>
    </row>
    <row r="81" spans="1:7" x14ac:dyDescent="0.35">
      <c r="A81" s="11"/>
      <c r="B81" s="16"/>
      <c r="C81" s="16"/>
      <c r="G81" s="1"/>
    </row>
    <row r="82" spans="1:7" x14ac:dyDescent="0.35">
      <c r="A82" s="11"/>
      <c r="B82" s="16"/>
      <c r="C82" s="16"/>
      <c r="G82" s="1"/>
    </row>
    <row r="83" spans="1:7" x14ac:dyDescent="0.35">
      <c r="A83" s="11"/>
      <c r="B83" s="16"/>
      <c r="C83" s="16"/>
      <c r="G83" s="1"/>
    </row>
    <row r="84" spans="1:7" x14ac:dyDescent="0.35">
      <c r="A84" s="11"/>
      <c r="B84" s="16"/>
      <c r="C84" s="16"/>
      <c r="G84" s="1"/>
    </row>
    <row r="85" spans="1:7" x14ac:dyDescent="0.35">
      <c r="A85" s="11"/>
      <c r="B85" s="16"/>
      <c r="C85" s="16"/>
      <c r="G85" s="1"/>
    </row>
    <row r="86" spans="1:7" x14ac:dyDescent="0.35">
      <c r="A86" s="11"/>
      <c r="B86" s="16"/>
      <c r="C86" s="16"/>
      <c r="G86" s="1"/>
    </row>
    <row r="87" spans="1:7" x14ac:dyDescent="0.35">
      <c r="A87" s="11"/>
      <c r="B87" s="16"/>
      <c r="C87" s="16"/>
      <c r="G87" s="1"/>
    </row>
    <row r="88" spans="1:7" x14ac:dyDescent="0.35">
      <c r="A88" s="11"/>
      <c r="B88" s="16"/>
      <c r="C88" s="16"/>
      <c r="G88" s="1"/>
    </row>
    <row r="89" spans="1:7" x14ac:dyDescent="0.35">
      <c r="A89" s="11"/>
      <c r="B89" s="16"/>
      <c r="C89" s="16"/>
      <c r="G89" s="1"/>
    </row>
    <row r="90" spans="1:7" x14ac:dyDescent="0.35">
      <c r="A90" s="11"/>
      <c r="B90" s="16"/>
      <c r="C90" s="16"/>
      <c r="G90" s="1"/>
    </row>
    <row r="91" spans="1:7" x14ac:dyDescent="0.35">
      <c r="A91" s="11"/>
      <c r="B91" s="16"/>
      <c r="C91" s="16"/>
      <c r="G91" s="1"/>
    </row>
    <row r="92" spans="1:7" x14ac:dyDescent="0.35">
      <c r="A92" s="11"/>
      <c r="B92" s="16"/>
      <c r="C92" s="16"/>
      <c r="G92" s="1"/>
    </row>
    <row r="93" spans="1:7" x14ac:dyDescent="0.35">
      <c r="A93" s="11"/>
      <c r="B93" s="16"/>
      <c r="C93" s="16"/>
      <c r="G93" s="1"/>
    </row>
    <row r="94" spans="1:7" x14ac:dyDescent="0.35">
      <c r="A94" s="11"/>
      <c r="B94" s="16"/>
      <c r="C94" s="16"/>
      <c r="G94" s="1"/>
    </row>
    <row r="95" spans="1:7" x14ac:dyDescent="0.35">
      <c r="A95" s="11"/>
      <c r="B95" s="16"/>
      <c r="C95" s="16"/>
      <c r="G95" s="1"/>
    </row>
    <row r="96" spans="1:7" x14ac:dyDescent="0.35">
      <c r="A96" s="11"/>
      <c r="B96" s="16"/>
      <c r="C96" s="16"/>
      <c r="G96" s="1"/>
    </row>
    <row r="97" spans="1:7" x14ac:dyDescent="0.35">
      <c r="A97" s="11"/>
      <c r="B97" s="16"/>
      <c r="C97" s="16"/>
      <c r="G97" s="1"/>
    </row>
    <row r="98" spans="1:7" x14ac:dyDescent="0.35">
      <c r="A98" s="11"/>
      <c r="B98" s="16"/>
      <c r="C98" s="16"/>
      <c r="G98" s="1"/>
    </row>
    <row r="99" spans="1:7" x14ac:dyDescent="0.35">
      <c r="A99" s="11"/>
      <c r="B99" s="16"/>
      <c r="C99" s="16"/>
      <c r="G99" s="1"/>
    </row>
    <row r="100" spans="1:7" x14ac:dyDescent="0.35">
      <c r="A100" s="11"/>
      <c r="B100" s="16"/>
      <c r="C100" s="16"/>
      <c r="G100" s="1"/>
    </row>
    <row r="101" spans="1:7" x14ac:dyDescent="0.35">
      <c r="A101" s="11"/>
      <c r="B101" s="16"/>
      <c r="C101" s="16"/>
      <c r="G101" s="1"/>
    </row>
    <row r="102" spans="1:7" x14ac:dyDescent="0.35">
      <c r="A102" s="11"/>
      <c r="B102" s="16"/>
      <c r="C102" s="16"/>
      <c r="G102" s="1"/>
    </row>
    <row r="103" spans="1:7" x14ac:dyDescent="0.35">
      <c r="A103" s="11"/>
      <c r="B103" s="16"/>
      <c r="C103" s="16"/>
      <c r="G103" s="1"/>
    </row>
    <row r="104" spans="1:7" x14ac:dyDescent="0.35">
      <c r="A104" s="11"/>
      <c r="B104" s="16"/>
      <c r="C104" s="16"/>
      <c r="G104" s="1"/>
    </row>
    <row r="105" spans="1:7" x14ac:dyDescent="0.35">
      <c r="A105" s="11"/>
      <c r="B105" s="16"/>
      <c r="C105" s="16"/>
      <c r="G105" s="1"/>
    </row>
    <row r="106" spans="1:7" x14ac:dyDescent="0.35">
      <c r="A106" s="11"/>
      <c r="B106" s="16"/>
      <c r="C106" s="16"/>
      <c r="G106" s="1"/>
    </row>
    <row r="107" spans="1:7" x14ac:dyDescent="0.35">
      <c r="A107" s="11"/>
      <c r="B107" s="16"/>
      <c r="C107" s="16"/>
      <c r="G107" s="1"/>
    </row>
    <row r="108" spans="1:7" x14ac:dyDescent="0.35">
      <c r="A108" s="11"/>
      <c r="B108" s="16"/>
      <c r="C108" s="16"/>
      <c r="G108" s="1"/>
    </row>
    <row r="109" spans="1:7" x14ac:dyDescent="0.35">
      <c r="A109" s="11"/>
      <c r="B109" s="16"/>
      <c r="C109" s="16"/>
      <c r="G109" s="1"/>
    </row>
    <row r="110" spans="1:7" x14ac:dyDescent="0.35">
      <c r="A110" s="11"/>
      <c r="B110" s="16"/>
      <c r="C110" s="16"/>
      <c r="G110" s="1"/>
    </row>
    <row r="111" spans="1:7" x14ac:dyDescent="0.35">
      <c r="A111" s="11"/>
      <c r="B111" s="16"/>
      <c r="C111" s="16"/>
      <c r="G111" s="1"/>
    </row>
    <row r="112" spans="1:7" x14ac:dyDescent="0.35">
      <c r="A112" s="11"/>
      <c r="B112" s="16"/>
      <c r="C112" s="16"/>
      <c r="G112" s="1"/>
    </row>
    <row r="113" spans="1:7" x14ac:dyDescent="0.35">
      <c r="A113" s="11"/>
      <c r="B113" s="16"/>
      <c r="C113" s="16"/>
      <c r="G113" s="1"/>
    </row>
    <row r="114" spans="1:7" x14ac:dyDescent="0.35">
      <c r="A114" s="11"/>
      <c r="B114" s="16"/>
      <c r="C114" s="16"/>
      <c r="G114" s="1"/>
    </row>
    <row r="115" spans="1:7" x14ac:dyDescent="0.35">
      <c r="A115" s="11"/>
      <c r="B115" s="16"/>
      <c r="C115" s="16"/>
      <c r="G115" s="1"/>
    </row>
    <row r="116" spans="1:7" x14ac:dyDescent="0.35">
      <c r="A116" s="11"/>
      <c r="B116" s="16"/>
      <c r="C116" s="16"/>
      <c r="G116" s="1"/>
    </row>
    <row r="117" spans="1:7" x14ac:dyDescent="0.35">
      <c r="A117" s="11"/>
      <c r="B117" s="16"/>
      <c r="C117" s="16"/>
      <c r="G117" s="1"/>
    </row>
    <row r="118" spans="1:7" x14ac:dyDescent="0.35">
      <c r="A118" s="11"/>
      <c r="B118" s="16"/>
      <c r="C118" s="16"/>
      <c r="G118" s="1"/>
    </row>
    <row r="119" spans="1:7" x14ac:dyDescent="0.35">
      <c r="A119" s="11"/>
      <c r="B119" s="16"/>
      <c r="C119" s="16"/>
      <c r="G119" s="1"/>
    </row>
    <row r="120" spans="1:7" x14ac:dyDescent="0.35">
      <c r="A120" s="11"/>
      <c r="B120" s="16"/>
      <c r="C120" s="16"/>
      <c r="G120" s="1"/>
    </row>
    <row r="121" spans="1:7" x14ac:dyDescent="0.35">
      <c r="A121" s="11"/>
      <c r="B121" s="16"/>
      <c r="C121" s="16"/>
      <c r="G121" s="1"/>
    </row>
    <row r="122" spans="1:7" x14ac:dyDescent="0.35">
      <c r="A122" s="11"/>
      <c r="B122" s="16"/>
      <c r="C122" s="16"/>
      <c r="G122" s="1"/>
    </row>
    <row r="123" spans="1:7" x14ac:dyDescent="0.35">
      <c r="A123" s="11"/>
      <c r="B123" s="16"/>
      <c r="C123" s="16"/>
      <c r="G123" s="1"/>
    </row>
    <row r="124" spans="1:7" x14ac:dyDescent="0.35">
      <c r="A124" s="11"/>
      <c r="B124" s="16"/>
      <c r="C124" s="16"/>
      <c r="G124" s="1"/>
    </row>
    <row r="125" spans="1:7" x14ac:dyDescent="0.35">
      <c r="A125" s="11"/>
      <c r="B125" s="16"/>
      <c r="C125" s="16"/>
      <c r="G125" s="1"/>
    </row>
    <row r="126" spans="1:7" x14ac:dyDescent="0.35">
      <c r="A126" s="11"/>
      <c r="B126" s="16"/>
      <c r="C126" s="16"/>
      <c r="G126" s="1"/>
    </row>
    <row r="127" spans="1:7" x14ac:dyDescent="0.35">
      <c r="A127" s="11"/>
      <c r="B127" s="16"/>
      <c r="C127" s="16"/>
      <c r="G127" s="1"/>
    </row>
    <row r="128" spans="1:7" x14ac:dyDescent="0.35">
      <c r="A128" s="11"/>
      <c r="B128" s="16"/>
      <c r="C128" s="16"/>
      <c r="G128" s="1"/>
    </row>
    <row r="129" spans="1:7" x14ac:dyDescent="0.35">
      <c r="A129" s="11"/>
      <c r="B129" s="16"/>
      <c r="C129" s="16"/>
      <c r="G129" s="1"/>
    </row>
    <row r="130" spans="1:7" x14ac:dyDescent="0.35">
      <c r="A130" s="11"/>
      <c r="B130" s="16"/>
      <c r="C130" s="16"/>
      <c r="G130" s="1"/>
    </row>
    <row r="131" spans="1:7" x14ac:dyDescent="0.35">
      <c r="A131" s="11"/>
      <c r="B131" s="16"/>
      <c r="C131" s="16"/>
      <c r="G131" s="1"/>
    </row>
    <row r="132" spans="1:7" x14ac:dyDescent="0.35">
      <c r="A132" s="11"/>
      <c r="B132" s="16"/>
      <c r="C132" s="16"/>
      <c r="G132" s="1"/>
    </row>
    <row r="133" spans="1:7" x14ac:dyDescent="0.35">
      <c r="A133" s="11"/>
      <c r="B133" s="16"/>
      <c r="C133" s="16"/>
      <c r="G133" s="1"/>
    </row>
    <row r="134" spans="1:7" x14ac:dyDescent="0.35">
      <c r="A134" s="11"/>
      <c r="B134" s="16"/>
      <c r="C134" s="16"/>
      <c r="G134" s="1"/>
    </row>
    <row r="135" spans="1:7" x14ac:dyDescent="0.35">
      <c r="A135" s="11"/>
      <c r="B135" s="16"/>
      <c r="C135" s="16"/>
      <c r="G135" s="1"/>
    </row>
    <row r="136" spans="1:7" x14ac:dyDescent="0.35">
      <c r="A136" s="11"/>
      <c r="B136" s="16"/>
      <c r="C136" s="16"/>
      <c r="G136" s="1"/>
    </row>
    <row r="137" spans="1:7" x14ac:dyDescent="0.35">
      <c r="A137" s="11"/>
      <c r="B137" s="16"/>
      <c r="C137" s="16"/>
      <c r="G137" s="1"/>
    </row>
    <row r="138" spans="1:7" x14ac:dyDescent="0.35">
      <c r="A138" s="11"/>
      <c r="B138" s="16"/>
      <c r="C138" s="16"/>
      <c r="G138" s="1"/>
    </row>
    <row r="139" spans="1:7" x14ac:dyDescent="0.35">
      <c r="A139" s="11"/>
      <c r="B139" s="16"/>
      <c r="C139" s="16"/>
      <c r="G139" s="1"/>
    </row>
    <row r="140" spans="1:7" x14ac:dyDescent="0.35">
      <c r="A140" s="11"/>
      <c r="B140" s="16"/>
      <c r="C140" s="16"/>
      <c r="G140" s="1"/>
    </row>
    <row r="141" spans="1:7" x14ac:dyDescent="0.35">
      <c r="A141" s="11"/>
      <c r="B141" s="16"/>
      <c r="C141" s="16"/>
      <c r="G141" s="1"/>
    </row>
    <row r="142" spans="1:7" x14ac:dyDescent="0.35">
      <c r="A142" s="11"/>
      <c r="B142" s="16"/>
      <c r="C142" s="16"/>
      <c r="G142" s="1"/>
    </row>
    <row r="143" spans="1:7" x14ac:dyDescent="0.35">
      <c r="A143" s="11"/>
      <c r="B143" s="16"/>
      <c r="C143" s="16"/>
      <c r="G143" s="1"/>
    </row>
    <row r="144" spans="1:7" x14ac:dyDescent="0.35">
      <c r="A144" s="11"/>
      <c r="B144" s="16"/>
      <c r="C144" s="16"/>
      <c r="G144" s="1"/>
    </row>
    <row r="145" spans="1:7" x14ac:dyDescent="0.35">
      <c r="A145" s="11"/>
      <c r="B145" s="16"/>
      <c r="C145" s="16"/>
      <c r="G145" s="1"/>
    </row>
    <row r="146" spans="1:7" x14ac:dyDescent="0.35">
      <c r="A146" s="11"/>
      <c r="B146" s="16"/>
      <c r="C146" s="16"/>
      <c r="G146" s="1"/>
    </row>
    <row r="147" spans="1:7" x14ac:dyDescent="0.35">
      <c r="A147" s="11"/>
      <c r="B147" s="16"/>
      <c r="C147" s="16"/>
      <c r="G147" s="1"/>
    </row>
    <row r="148" spans="1:7" x14ac:dyDescent="0.35">
      <c r="A148" s="11"/>
      <c r="B148" s="16"/>
      <c r="C148" s="16"/>
      <c r="G148" s="1"/>
    </row>
    <row r="149" spans="1:7" x14ac:dyDescent="0.35">
      <c r="A149" s="11"/>
      <c r="B149" s="16"/>
      <c r="C149" s="16"/>
      <c r="G149" s="1"/>
    </row>
    <row r="150" spans="1:7" x14ac:dyDescent="0.35">
      <c r="A150" s="11"/>
      <c r="B150" s="16"/>
      <c r="C150" s="16"/>
      <c r="G150" s="1"/>
    </row>
    <row r="151" spans="1:7" x14ac:dyDescent="0.35">
      <c r="A151" s="11"/>
      <c r="B151" s="16"/>
      <c r="C151" s="16"/>
      <c r="G151" s="1"/>
    </row>
    <row r="152" spans="1:7" x14ac:dyDescent="0.35">
      <c r="A152" s="11"/>
      <c r="B152" s="16"/>
      <c r="C152" s="16"/>
      <c r="G152" s="1"/>
    </row>
    <row r="153" spans="1:7" x14ac:dyDescent="0.35">
      <c r="A153" s="11"/>
      <c r="B153" s="16"/>
      <c r="C153" s="16"/>
      <c r="G153" s="1"/>
    </row>
    <row r="154" spans="1:7" x14ac:dyDescent="0.35">
      <c r="A154" s="11"/>
      <c r="B154" s="16"/>
      <c r="C154" s="16"/>
      <c r="G154" s="1"/>
    </row>
    <row r="155" spans="1:7" x14ac:dyDescent="0.35">
      <c r="A155" s="11"/>
      <c r="B155" s="16"/>
      <c r="C155" s="16"/>
      <c r="G155" s="1"/>
    </row>
    <row r="156" spans="1:7" x14ac:dyDescent="0.35">
      <c r="A156" s="11"/>
      <c r="B156" s="16"/>
      <c r="C156" s="16"/>
      <c r="G156" s="1"/>
    </row>
    <row r="157" spans="1:7" x14ac:dyDescent="0.35">
      <c r="A157" s="11"/>
      <c r="B157" s="16"/>
      <c r="C157" s="16"/>
      <c r="G157" s="1"/>
    </row>
    <row r="158" spans="1:7" x14ac:dyDescent="0.35">
      <c r="A158" s="11"/>
      <c r="B158" s="16"/>
      <c r="C158" s="16"/>
      <c r="G158" s="1"/>
    </row>
    <row r="159" spans="1:7" x14ac:dyDescent="0.35">
      <c r="A159" s="11"/>
      <c r="B159" s="16"/>
      <c r="C159" s="16"/>
      <c r="G159" s="1"/>
    </row>
    <row r="160" spans="1:7" x14ac:dyDescent="0.35">
      <c r="A160" s="11"/>
      <c r="B160" s="16"/>
      <c r="C160" s="16"/>
      <c r="G160" s="1"/>
    </row>
    <row r="161" spans="1:7" x14ac:dyDescent="0.35">
      <c r="A161" s="11"/>
      <c r="B161" s="16"/>
      <c r="C161" s="16"/>
      <c r="G161" s="1"/>
    </row>
    <row r="162" spans="1:7" x14ac:dyDescent="0.35">
      <c r="A162" s="11"/>
      <c r="B162" s="16"/>
      <c r="C162" s="16"/>
      <c r="G162" s="1"/>
    </row>
    <row r="163" spans="1:7" x14ac:dyDescent="0.35">
      <c r="A163" s="11"/>
      <c r="B163" s="16"/>
      <c r="C163" s="16"/>
      <c r="G163" s="1"/>
    </row>
    <row r="164" spans="1:7" x14ac:dyDescent="0.35">
      <c r="A164" s="11"/>
      <c r="B164" s="16"/>
      <c r="C164" s="16"/>
      <c r="G164" s="1"/>
    </row>
    <row r="165" spans="1:7" x14ac:dyDescent="0.35">
      <c r="A165" s="11"/>
      <c r="B165" s="16"/>
      <c r="C165" s="16"/>
      <c r="G165" s="1"/>
    </row>
    <row r="166" spans="1:7" x14ac:dyDescent="0.35">
      <c r="A166" s="11"/>
      <c r="B166" s="16"/>
      <c r="C166" s="16"/>
      <c r="G166" s="1"/>
    </row>
    <row r="167" spans="1:7" x14ac:dyDescent="0.35">
      <c r="A167" s="11"/>
      <c r="B167" s="16"/>
      <c r="C167" s="16"/>
      <c r="G167" s="1"/>
    </row>
    <row r="168" spans="1:7" x14ac:dyDescent="0.35">
      <c r="A168" s="11"/>
      <c r="B168" s="16"/>
      <c r="C168" s="16"/>
      <c r="G168" s="1"/>
    </row>
    <row r="169" spans="1:7" x14ac:dyDescent="0.35">
      <c r="A169" s="11"/>
      <c r="B169" s="16"/>
      <c r="C169" s="16"/>
      <c r="G169" s="1"/>
    </row>
    <row r="170" spans="1:7" x14ac:dyDescent="0.35">
      <c r="A170" s="11"/>
      <c r="B170" s="16"/>
      <c r="C170" s="16"/>
      <c r="G170" s="1"/>
    </row>
    <row r="171" spans="1:7" x14ac:dyDescent="0.35">
      <c r="A171" s="11"/>
      <c r="B171" s="16"/>
      <c r="C171" s="16"/>
      <c r="G171" s="1"/>
    </row>
    <row r="172" spans="1:7" x14ac:dyDescent="0.35">
      <c r="A172" s="11"/>
      <c r="B172" s="16"/>
      <c r="C172" s="16"/>
      <c r="G172" s="1"/>
    </row>
    <row r="173" spans="1:7" x14ac:dyDescent="0.35">
      <c r="A173" s="11"/>
      <c r="B173" s="16"/>
      <c r="C173" s="16"/>
      <c r="G173" s="1"/>
    </row>
    <row r="174" spans="1:7" x14ac:dyDescent="0.35">
      <c r="A174" s="11"/>
      <c r="B174" s="16"/>
      <c r="C174" s="16"/>
      <c r="G174" s="1"/>
    </row>
    <row r="175" spans="1:7" x14ac:dyDescent="0.35">
      <c r="A175" s="11"/>
      <c r="G175" s="1"/>
    </row>
    <row r="176" spans="1:7" x14ac:dyDescent="0.3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69850</xdr:rowOff>
                  </from>
                  <to>
                    <xdr:col>18</xdr:col>
                    <xdr:colOff>285750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Q33" sqref="Q33"/>
    </sheetView>
  </sheetViews>
  <sheetFormatPr defaultRowHeight="14.5" x14ac:dyDescent="0.35"/>
  <cols>
    <col min="2" max="2" width="21.1796875" customWidth="1"/>
    <col min="8" max="8" width="9.453125" bestFit="1" customWidth="1"/>
    <col min="10" max="10" width="10.453125" customWidth="1"/>
  </cols>
  <sheetData>
    <row r="1" spans="1:11" x14ac:dyDescent="0.35">
      <c r="A1" t="str">
        <f>версия_</f>
        <v>вер 7.8</v>
      </c>
    </row>
    <row r="4" spans="1:11" x14ac:dyDescent="0.35">
      <c r="B4" s="51" t="s">
        <v>176</v>
      </c>
      <c r="C4" s="52">
        <v>156</v>
      </c>
      <c r="D4" s="51" t="s">
        <v>177</v>
      </c>
    </row>
    <row r="5" spans="1:11" x14ac:dyDescent="0.3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35">
      <c r="B6" s="51" t="s">
        <v>180</v>
      </c>
      <c r="C6" s="52">
        <v>35</v>
      </c>
      <c r="D6" s="51" t="s">
        <v>181</v>
      </c>
    </row>
    <row r="7" spans="1:11" x14ac:dyDescent="0.35">
      <c r="B7" s="51" t="s">
        <v>182</v>
      </c>
      <c r="C7" s="53">
        <f>[1]!ESP_id_by_rate(ESP_rate_nom_)</f>
        <v>1010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35">
      <c r="B8" s="51" t="s">
        <v>183</v>
      </c>
      <c r="C8" s="53" t="str">
        <f>[1]!ESP_name(ESP_ID_)</f>
        <v>ЭЦН5А-200</v>
      </c>
      <c r="D8" s="51"/>
      <c r="G8">
        <v>1</v>
      </c>
      <c r="H8" s="54">
        <v>1</v>
      </c>
      <c r="I8" s="50">
        <v>1020.492994506602</v>
      </c>
      <c r="J8" s="50">
        <v>12.403777231310915</v>
      </c>
      <c r="K8" s="56">
        <v>1.2118426969268953E-2</v>
      </c>
    </row>
    <row r="9" spans="1:11" x14ac:dyDescent="0.35">
      <c r="B9" s="51" t="s">
        <v>184</v>
      </c>
      <c r="C9" s="53">
        <f>[1]!ESP_max_rate_m3day(ESP_freq_,ESP_ID_)*1</f>
        <v>231</v>
      </c>
      <c r="D9" s="51"/>
      <c r="G9">
        <v>2</v>
      </c>
      <c r="H9" s="55">
        <f t="shared" ref="H9:H29" si="0">(ESP_qmax_)/(pts_-1)+H8</f>
        <v>12</v>
      </c>
      <c r="I9" s="50">
        <v>998.50273409187491</v>
      </c>
      <c r="J9" s="50">
        <v>11.2146006720822</v>
      </c>
      <c r="K9" s="56">
        <v>0.128063774405209</v>
      </c>
    </row>
    <row r="10" spans="1:11" x14ac:dyDescent="0.35">
      <c r="B10" s="51" t="s">
        <v>185</v>
      </c>
      <c r="C10" s="53">
        <f>INT(ESP_head_nom_/[1]!ESP_head_m(ESP_rate_nom_,1,,ESP_ID_))</f>
        <v>337</v>
      </c>
      <c r="D10" s="51" t="s">
        <v>186</v>
      </c>
      <c r="G10">
        <v>3</v>
      </c>
      <c r="H10" s="55">
        <f t="shared" si="0"/>
        <v>23</v>
      </c>
      <c r="I10" s="50">
        <v>996.33018982821886</v>
      </c>
      <c r="J10" s="50">
        <v>11.403913012573343</v>
      </c>
      <c r="K10" s="56">
        <v>0.21867284436463946</v>
      </c>
    </row>
    <row r="11" spans="1:11" x14ac:dyDescent="0.35">
      <c r="G11">
        <v>4</v>
      </c>
      <c r="H11" s="55">
        <f t="shared" si="0"/>
        <v>34</v>
      </c>
      <c r="I11" s="50">
        <v>1005.5368957775936</v>
      </c>
      <c r="J11" s="50">
        <v>12.460321630628856</v>
      </c>
      <c r="K11" s="56">
        <v>0.29116648564167663</v>
      </c>
    </row>
    <row r="12" spans="1:11" x14ac:dyDescent="0.35">
      <c r="G12">
        <v>5</v>
      </c>
      <c r="H12" s="55">
        <f t="shared" si="0"/>
        <v>45</v>
      </c>
      <c r="I12" s="50">
        <v>1019.2350902166975</v>
      </c>
      <c r="J12" s="50">
        <v>13.978597219534477</v>
      </c>
      <c r="K12" s="56">
        <v>0.35108252336372453</v>
      </c>
    </row>
    <row r="13" spans="1:11" x14ac:dyDescent="0.35">
      <c r="B13" t="s">
        <v>187</v>
      </c>
      <c r="C13">
        <v>1000</v>
      </c>
      <c r="D13" t="s">
        <v>190</v>
      </c>
      <c r="G13">
        <v>6</v>
      </c>
      <c r="H13" s="55">
        <f t="shared" si="0"/>
        <v>56</v>
      </c>
      <c r="I13" s="50">
        <v>1031.9506113714424</v>
      </c>
      <c r="J13" s="50">
        <v>15.649427714079199</v>
      </c>
      <c r="K13" s="56">
        <v>0.40243937501579635</v>
      </c>
    </row>
    <row r="14" spans="1:11" x14ac:dyDescent="0.35">
      <c r="B14" t="s">
        <v>188</v>
      </c>
      <c r="C14">
        <v>30</v>
      </c>
      <c r="D14" t="s">
        <v>191</v>
      </c>
      <c r="G14">
        <v>7</v>
      </c>
      <c r="H14" s="55">
        <f t="shared" si="0"/>
        <v>67</v>
      </c>
      <c r="I14" s="50">
        <v>1039.4857931514293</v>
      </c>
      <c r="J14" s="50">
        <v>17.249172216617289</v>
      </c>
      <c r="K14" s="56">
        <v>0.44789966646483514</v>
      </c>
    </row>
    <row r="15" spans="1:11" x14ac:dyDescent="0.35">
      <c r="G15">
        <v>8</v>
      </c>
      <c r="H15" s="55">
        <f t="shared" si="0"/>
        <v>78</v>
      </c>
      <c r="I15" s="50">
        <v>1038.7823608844246</v>
      </c>
      <c r="J15" s="50">
        <v>18.629614923130273</v>
      </c>
      <c r="K15" s="56">
        <v>0.48893384798403605</v>
      </c>
    </row>
    <row r="16" spans="1:11" x14ac:dyDescent="0.3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89</v>
      </c>
      <c r="I16" s="50">
        <v>1027.7843270508342</v>
      </c>
      <c r="J16" s="50">
        <v>19.707719049289011</v>
      </c>
      <c r="K16" s="56">
        <v>0.52598381027716712</v>
      </c>
    </row>
    <row r="17" spans="7:11" x14ac:dyDescent="0.35">
      <c r="G17">
        <v>10</v>
      </c>
      <c r="H17" s="55">
        <f t="shared" si="0"/>
        <v>100</v>
      </c>
      <c r="I17" s="50">
        <v>1005.30088701818</v>
      </c>
      <c r="J17" s="50">
        <v>20.455380756515638</v>
      </c>
      <c r="K17" s="56">
        <v>0.55862650050289053</v>
      </c>
    </row>
    <row r="18" spans="7:11" x14ac:dyDescent="0.35">
      <c r="G18">
        <v>11</v>
      </c>
      <c r="H18" s="55">
        <f t="shared" si="0"/>
        <v>111</v>
      </c>
      <c r="I18" s="50">
        <v>970.86931477557528</v>
      </c>
      <c r="J18" s="50">
        <v>20.889183078045637</v>
      </c>
      <c r="K18" s="56">
        <v>0.58573753829908504</v>
      </c>
    </row>
    <row r="19" spans="7:11" x14ac:dyDescent="0.35">
      <c r="G19">
        <v>12</v>
      </c>
      <c r="H19" s="55">
        <f t="shared" si="0"/>
        <v>122</v>
      </c>
      <c r="I19" s="50">
        <v>924.61785866820105</v>
      </c>
      <c r="J19" s="50">
        <v>21.060149844989816</v>
      </c>
      <c r="K19" s="56">
        <v>0.60565483180716528</v>
      </c>
    </row>
    <row r="20" spans="7:11" x14ac:dyDescent="0.35">
      <c r="G20">
        <v>13</v>
      </c>
      <c r="H20" s="55">
        <f t="shared" si="0"/>
        <v>133</v>
      </c>
      <c r="I20" s="50">
        <v>867.12863713177921</v>
      </c>
      <c r="J20" s="50">
        <v>21.043499612396342</v>
      </c>
      <c r="K20" s="56">
        <v>0.61634219369640608</v>
      </c>
    </row>
    <row r="21" spans="7:11" x14ac:dyDescent="0.35">
      <c r="G21">
        <v>14</v>
      </c>
      <c r="H21" s="55">
        <f t="shared" si="0"/>
        <v>144</v>
      </c>
      <c r="I21" s="50">
        <v>799.30053442705116</v>
      </c>
      <c r="J21" s="50">
        <v>20.928399585312835</v>
      </c>
      <c r="K21" s="56">
        <v>0.6155529571882612</v>
      </c>
    </row>
    <row r="22" spans="7:11" x14ac:dyDescent="0.35">
      <c r="G22">
        <v>15</v>
      </c>
      <c r="H22" s="55">
        <f t="shared" si="0"/>
        <v>155</v>
      </c>
      <c r="I22" s="50">
        <v>722.21209637425056</v>
      </c>
      <c r="J22" s="50">
        <v>20.807719544848116</v>
      </c>
      <c r="K22" s="56">
        <v>0.60099359208068459</v>
      </c>
    </row>
    <row r="23" spans="7:11" x14ac:dyDescent="0.35">
      <c r="G23">
        <v>16</v>
      </c>
      <c r="H23" s="55">
        <f t="shared" si="0"/>
        <v>166</v>
      </c>
      <c r="I23" s="50">
        <v>636.98442608758069</v>
      </c>
      <c r="J23" s="50">
        <v>20.767785774234667</v>
      </c>
      <c r="K23" s="56">
        <v>0.57048732077245634</v>
      </c>
    </row>
    <row r="24" spans="7:11" x14ac:dyDescent="0.35">
      <c r="G24">
        <v>17</v>
      </c>
      <c r="H24" s="55">
        <f t="shared" si="0"/>
        <v>177</v>
      </c>
      <c r="I24" s="50">
        <v>544.64407970968909</v>
      </c>
      <c r="J24" s="50">
        <v>20.878134984890032</v>
      </c>
      <c r="K24" s="56">
        <v>0.52213773428749444</v>
      </c>
    </row>
    <row r="25" spans="7:11" x14ac:dyDescent="0.35">
      <c r="G25">
        <v>18</v>
      </c>
      <c r="H25" s="55">
        <f t="shared" si="0"/>
        <v>188</v>
      </c>
      <c r="I25" s="50">
        <v>445.9859621461423</v>
      </c>
      <c r="J25" s="50">
        <v>21.181268242479618</v>
      </c>
      <c r="K25" s="56">
        <v>0.45449240829919213</v>
      </c>
    </row>
    <row r="26" spans="7:11" x14ac:dyDescent="0.35">
      <c r="G26">
        <v>19</v>
      </c>
      <c r="H26" s="55">
        <f t="shared" si="0"/>
        <v>199</v>
      </c>
      <c r="I26" s="50">
        <v>341.43622279990888</v>
      </c>
      <c r="J26" s="50">
        <v>21.682404892977956</v>
      </c>
      <c r="K26" s="56">
        <v>0.36670651915471719</v>
      </c>
    </row>
    <row r="27" spans="7:11" x14ac:dyDescent="0.35">
      <c r="G27">
        <v>20</v>
      </c>
      <c r="H27" s="55">
        <f t="shared" si="0"/>
        <v>210</v>
      </c>
      <c r="I27" s="50">
        <v>230.91515130581908</v>
      </c>
      <c r="J27" s="50">
        <v>22.33923648873138</v>
      </c>
      <c r="K27" s="56">
        <v>0.25870645989935559</v>
      </c>
    </row>
    <row r="28" spans="7:11" x14ac:dyDescent="0.35">
      <c r="G28">
        <v>21</v>
      </c>
      <c r="H28" s="55">
        <f t="shared" si="0"/>
        <v>221</v>
      </c>
      <c r="I28" s="50">
        <v>113.70007326505514</v>
      </c>
      <c r="J28" s="50">
        <v>23.051680714519161</v>
      </c>
      <c r="K28" s="56">
        <v>0.13135345630081563</v>
      </c>
    </row>
    <row r="29" spans="7:11" x14ac:dyDescent="0.35">
      <c r="G29">
        <v>22</v>
      </c>
      <c r="H29" s="55">
        <f t="shared" si="0"/>
        <v>232</v>
      </c>
      <c r="I29" s="50">
        <v>0</v>
      </c>
      <c r="J29" s="50">
        <v>23.607616774168317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12700</xdr:rowOff>
                  </from>
                  <to>
                    <xdr:col>14</xdr:col>
                    <xdr:colOff>355600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4.5" x14ac:dyDescent="0.35"/>
  <cols>
    <col min="2" max="2" width="13.26953125" customWidth="1"/>
    <col min="3" max="3" width="10.54296875" customWidth="1"/>
    <col min="4" max="4" width="15.7265625" customWidth="1"/>
  </cols>
  <sheetData>
    <row r="1" spans="1:4" x14ac:dyDescent="0.35">
      <c r="A1" t="str">
        <f>версия_</f>
        <v>вер 7.8</v>
      </c>
    </row>
    <row r="3" spans="1:4" x14ac:dyDescent="0.35">
      <c r="B3" t="s">
        <v>207</v>
      </c>
    </row>
    <row r="5" spans="1:4" x14ac:dyDescent="0.35">
      <c r="B5" t="s">
        <v>208</v>
      </c>
      <c r="C5" s="11">
        <v>3</v>
      </c>
    </row>
    <row r="7" spans="1:4" x14ac:dyDescent="0.35">
      <c r="B7" t="s">
        <v>209</v>
      </c>
    </row>
    <row r="9" spans="1:4" x14ac:dyDescent="0.35">
      <c r="B9" s="5" t="s">
        <v>170</v>
      </c>
      <c r="C9" s="5" t="s">
        <v>210</v>
      </c>
      <c r="D9" s="5" t="s">
        <v>211</v>
      </c>
    </row>
    <row r="10" spans="1:4" x14ac:dyDescent="0.35">
      <c r="B10" s="5" t="s">
        <v>38</v>
      </c>
      <c r="C10" s="5" t="s">
        <v>41</v>
      </c>
      <c r="D10" s="5" t="s">
        <v>2</v>
      </c>
    </row>
    <row r="11" spans="1:4" x14ac:dyDescent="0.35">
      <c r="B11" s="9">
        <v>500</v>
      </c>
      <c r="C11" s="9">
        <v>0</v>
      </c>
      <c r="D11" s="9">
        <v>50</v>
      </c>
    </row>
    <row r="12" spans="1:4" x14ac:dyDescent="0.35">
      <c r="B12" s="9">
        <v>1500</v>
      </c>
      <c r="C12" s="9">
        <v>0</v>
      </c>
      <c r="D12" s="9">
        <v>60</v>
      </c>
    </row>
    <row r="13" spans="1:4" x14ac:dyDescent="0.35">
      <c r="B13" s="9">
        <v>2200</v>
      </c>
      <c r="C13" s="9">
        <v>3</v>
      </c>
      <c r="D13" s="9">
        <v>80</v>
      </c>
    </row>
    <row r="14" spans="1:4" x14ac:dyDescent="0.35">
      <c r="B14" s="9"/>
      <c r="C14" s="9"/>
      <c r="D14" s="9"/>
    </row>
    <row r="15" spans="1:4" x14ac:dyDescent="0.35">
      <c r="B15" s="9"/>
      <c r="C15" s="9"/>
      <c r="D15" s="9"/>
    </row>
    <row r="16" spans="1:4" x14ac:dyDescent="0.35">
      <c r="B16" s="9"/>
      <c r="C16" s="9"/>
      <c r="D16" s="9"/>
    </row>
    <row r="17" spans="2:4" x14ac:dyDescent="0.35">
      <c r="B17" s="9"/>
      <c r="C17" s="9"/>
      <c r="D17" s="9"/>
    </row>
    <row r="18" spans="2:4" x14ac:dyDescent="0.35">
      <c r="B18" s="9"/>
      <c r="C18" s="9"/>
      <c r="D18" s="9"/>
    </row>
    <row r="19" spans="2:4" x14ac:dyDescent="0.35">
      <c r="B19" s="9"/>
      <c r="C19" s="9"/>
      <c r="D19" s="9"/>
    </row>
    <row r="20" spans="2:4" x14ac:dyDescent="0.3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90" zoomScaleNormal="90" workbookViewId="0"/>
  </sheetViews>
  <sheetFormatPr defaultRowHeight="14.5" x14ac:dyDescent="0.35"/>
  <cols>
    <col min="15" max="15" width="10.1796875" customWidth="1"/>
    <col min="22" max="22" width="10.7265625" customWidth="1"/>
    <col min="31" max="35" width="6.26953125" customWidth="1"/>
  </cols>
  <sheetData>
    <row r="1" spans="1:37" x14ac:dyDescent="0.35">
      <c r="A1" t="str">
        <f>версия_</f>
        <v>вер 7.8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3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3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6.5" x14ac:dyDescent="0.45">
      <c r="B6" s="7" t="s">
        <v>32</v>
      </c>
      <c r="C6" s="12">
        <f>Ql_scm3day_</f>
        <v>23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6.5" x14ac:dyDescent="0.4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6.5" x14ac:dyDescent="0.45">
      <c r="B8" s="7" t="s">
        <v>34</v>
      </c>
      <c r="C8" s="12">
        <f>Qo_sctday_</f>
        <v>19.78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6.5" x14ac:dyDescent="0.4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6.5" x14ac:dyDescent="0.3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6.5" x14ac:dyDescent="0.45">
      <c r="Q11" s="14" t="s">
        <v>205</v>
      </c>
      <c r="R11" s="25">
        <v>0</v>
      </c>
      <c r="S11" s="5" t="s">
        <v>204</v>
      </c>
      <c r="T11" s="14" t="s">
        <v>55</v>
      </c>
      <c r="U11" s="25">
        <v>31.676087695423359</v>
      </c>
      <c r="V11" s="5" t="s">
        <v>25</v>
      </c>
    </row>
    <row r="12" spans="1:37" ht="16.5" x14ac:dyDescent="0.45">
      <c r="Q12" s="14" t="s">
        <v>206</v>
      </c>
      <c r="R12" s="25">
        <v>0.86836824164633108</v>
      </c>
      <c r="S12" s="5" t="s">
        <v>204</v>
      </c>
      <c r="T12" s="14" t="s">
        <v>56</v>
      </c>
      <c r="U12" s="25">
        <v>31.676087695423359</v>
      </c>
      <c r="V12" s="5" t="s">
        <v>25</v>
      </c>
    </row>
    <row r="13" spans="1:37" ht="16.5" x14ac:dyDescent="0.45">
      <c r="D13" s="1"/>
      <c r="Q13" s="14" t="s">
        <v>47</v>
      </c>
      <c r="R13" s="25">
        <v>90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35">
      <c r="B14" s="17" t="s">
        <v>58</v>
      </c>
      <c r="C14" s="2"/>
      <c r="D14" s="10"/>
      <c r="E14" s="2"/>
    </row>
    <row r="15" spans="1:37" ht="29" x14ac:dyDescent="0.3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3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0.86836824164633108</v>
      </c>
      <c r="P16">
        <v>0</v>
      </c>
      <c r="Q16">
        <v>31.676087695423359</v>
      </c>
      <c r="R16">
        <v>0</v>
      </c>
      <c r="S16">
        <v>0</v>
      </c>
      <c r="U16">
        <v>0</v>
      </c>
      <c r="V16" s="50">
        <f>Pline_out_atma_</f>
        <v>0</v>
      </c>
    </row>
    <row r="17" spans="2:22" x14ac:dyDescent="0.3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3.5711063084111738</v>
      </c>
      <c r="P17">
        <v>194.44444444444446</v>
      </c>
      <c r="Q17">
        <v>32.107482534869519</v>
      </c>
      <c r="R17">
        <v>175</v>
      </c>
      <c r="S17">
        <v>0.26413403069480013</v>
      </c>
      <c r="U17">
        <v>0</v>
      </c>
      <c r="V17" s="50">
        <f>Pbuf_out_atma_</f>
        <v>0.86836824164633108</v>
      </c>
    </row>
    <row r="18" spans="2:22" x14ac:dyDescent="0.3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9.8971655837660713</v>
      </c>
      <c r="P18">
        <v>388.88888888888891</v>
      </c>
      <c r="Q18">
        <v>32.670561148842502</v>
      </c>
      <c r="R18">
        <v>350</v>
      </c>
      <c r="S18">
        <v>0.45109530967177419</v>
      </c>
      <c r="U18">
        <f>Hperf_m_</f>
        <v>3500</v>
      </c>
      <c r="V18" s="50">
        <f>Pwf_out_atma_</f>
        <v>90</v>
      </c>
    </row>
    <row r="19" spans="2:22" x14ac:dyDescent="0.3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18.764436436251131</v>
      </c>
      <c r="P19">
        <v>583.33333333333337</v>
      </c>
      <c r="Q19">
        <v>33.248705444056874</v>
      </c>
      <c r="R19">
        <v>525</v>
      </c>
      <c r="S19">
        <v>0.52359747823117997</v>
      </c>
    </row>
    <row r="20" spans="2:22" x14ac:dyDescent="0.3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29.502102670249773</v>
      </c>
      <c r="P20">
        <v>777.77777777777783</v>
      </c>
      <c r="Q20">
        <v>33.866689969374576</v>
      </c>
      <c r="R20">
        <v>700</v>
      </c>
      <c r="S20">
        <v>0.67901862636685939</v>
      </c>
    </row>
    <row r="21" spans="2:22" x14ac:dyDescent="0.3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42.932284385208831</v>
      </c>
      <c r="P21">
        <v>972.22222222222229</v>
      </c>
      <c r="Q21">
        <v>34.69638780221338</v>
      </c>
      <c r="R21">
        <v>875</v>
      </c>
      <c r="S21">
        <v>0.8325176616030745</v>
      </c>
    </row>
    <row r="22" spans="2:22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57.42804510469113</v>
      </c>
      <c r="P22">
        <v>1166.6666666666667</v>
      </c>
      <c r="Q22">
        <v>36.097960201757822</v>
      </c>
      <c r="R22">
        <v>1050</v>
      </c>
      <c r="S22">
        <v>0.9598082997125057</v>
      </c>
    </row>
    <row r="23" spans="2:22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71.55850548132176</v>
      </c>
      <c r="P23">
        <v>1361.1111111111113</v>
      </c>
      <c r="Q23">
        <v>38.885305918473819</v>
      </c>
      <c r="R23">
        <v>1225</v>
      </c>
      <c r="S23">
        <v>0.98107914423659881</v>
      </c>
    </row>
    <row r="24" spans="2:22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85.027310130208136</v>
      </c>
      <c r="P24">
        <v>1555.5555555555557</v>
      </c>
      <c r="Q24">
        <v>44.958485844670449</v>
      </c>
      <c r="R24">
        <v>1400</v>
      </c>
      <c r="S24">
        <v>0.98901971239248487</v>
      </c>
    </row>
    <row r="25" spans="2:22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97.757924177333891</v>
      </c>
      <c r="P25">
        <v>1750</v>
      </c>
      <c r="Q25">
        <v>53.036932319246702</v>
      </c>
      <c r="R25">
        <v>1575</v>
      </c>
      <c r="S25">
        <v>0.98804482062195298</v>
      </c>
    </row>
    <row r="26" spans="2:22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109.89398991817768</v>
      </c>
      <c r="P26">
        <v>1944.4444444444446</v>
      </c>
      <c r="Q26">
        <v>60.098613964327804</v>
      </c>
      <c r="R26">
        <v>1750</v>
      </c>
      <c r="S26">
        <v>0.99414299947876938</v>
      </c>
    </row>
    <row r="27" spans="2:22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121.42987166975419</v>
      </c>
      <c r="P27">
        <v>2138.8888888888891</v>
      </c>
      <c r="Q27">
        <v>65.960949165888138</v>
      </c>
      <c r="R27">
        <v>1925</v>
      </c>
      <c r="S27">
        <v>1</v>
      </c>
    </row>
    <row r="28" spans="2:22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132.34833480637047</v>
      </c>
      <c r="P28">
        <v>2333.3333333333335</v>
      </c>
      <c r="Q28">
        <v>75.37123306263527</v>
      </c>
      <c r="R28">
        <v>2100</v>
      </c>
      <c r="S28">
        <v>1</v>
      </c>
    </row>
    <row r="29" spans="2:22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141.20491990931566</v>
      </c>
      <c r="P29">
        <v>2500</v>
      </c>
      <c r="Q29">
        <v>90.721903886262041</v>
      </c>
      <c r="R29">
        <v>2275</v>
      </c>
      <c r="S29">
        <v>1</v>
      </c>
    </row>
    <row r="30" spans="2:22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72.31415066216303</v>
      </c>
      <c r="P30">
        <v>2501</v>
      </c>
      <c r="Q30">
        <v>79.052878582704253</v>
      </c>
      <c r="R30">
        <v>2450</v>
      </c>
      <c r="S30">
        <v>1</v>
      </c>
    </row>
    <row r="31" spans="2:22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73.695921592680989</v>
      </c>
      <c r="P31">
        <v>2527.7777777777778</v>
      </c>
      <c r="Q31">
        <v>79.966961863230821</v>
      </c>
      <c r="R31">
        <v>2625</v>
      </c>
      <c r="S31">
        <v>1</v>
      </c>
    </row>
    <row r="32" spans="2:22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83.054534398327988</v>
      </c>
      <c r="P32">
        <v>2722.2222222222226</v>
      </c>
      <c r="Q32">
        <v>85.753713587168079</v>
      </c>
      <c r="R32">
        <v>2800</v>
      </c>
      <c r="S32">
        <v>1</v>
      </c>
    </row>
    <row r="33" spans="2:19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86.066349111092023</v>
      </c>
      <c r="P33">
        <v>2916.666666666667</v>
      </c>
      <c r="Q33">
        <v>87.620684746303141</v>
      </c>
      <c r="R33">
        <v>2975</v>
      </c>
      <c r="S33">
        <v>1</v>
      </c>
    </row>
    <row r="34" spans="2:19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87.379004654034688</v>
      </c>
      <c r="P34">
        <v>3111.1111111111113</v>
      </c>
      <c r="Q34">
        <v>88.548061429961393</v>
      </c>
      <c r="R34">
        <v>3150</v>
      </c>
      <c r="S34">
        <v>1</v>
      </c>
    </row>
    <row r="35" spans="2:19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88.690192510784627</v>
      </c>
      <c r="P35">
        <v>3305.5555555555557</v>
      </c>
      <c r="Q35">
        <v>89.439438362543441</v>
      </c>
      <c r="R35">
        <v>3325</v>
      </c>
      <c r="S35">
        <v>1</v>
      </c>
    </row>
    <row r="36" spans="2:19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90</v>
      </c>
      <c r="P36">
        <v>3500</v>
      </c>
      <c r="Q36">
        <v>90</v>
      </c>
      <c r="R36">
        <v>3500</v>
      </c>
      <c r="S36">
        <v>1</v>
      </c>
    </row>
    <row r="37" spans="2:19" x14ac:dyDescent="0.35">
      <c r="B37" s="2"/>
      <c r="C37" s="18">
        <v>2500</v>
      </c>
      <c r="D37" s="18">
        <v>176.72349338287597</v>
      </c>
      <c r="E37" s="18">
        <v>53</v>
      </c>
    </row>
    <row r="38" spans="2:19" x14ac:dyDescent="0.35">
      <c r="B38" s="2"/>
      <c r="C38" s="18">
        <v>2625</v>
      </c>
      <c r="D38" s="18">
        <v>186.511102757185</v>
      </c>
      <c r="E38" s="18">
        <v>54</v>
      </c>
    </row>
    <row r="39" spans="2:19" x14ac:dyDescent="0.35">
      <c r="B39" s="2"/>
      <c r="C39" s="18">
        <v>2750</v>
      </c>
      <c r="D39" s="18">
        <v>196.298712131494</v>
      </c>
      <c r="E39" s="18">
        <v>55</v>
      </c>
    </row>
    <row r="40" spans="2:19" x14ac:dyDescent="0.35">
      <c r="B40" s="2"/>
      <c r="C40" s="18">
        <v>2875</v>
      </c>
      <c r="D40" s="18">
        <v>206.08632150580399</v>
      </c>
      <c r="E40" s="18">
        <v>56</v>
      </c>
    </row>
    <row r="41" spans="2:19" x14ac:dyDescent="0.35">
      <c r="B41" s="2"/>
      <c r="C41" s="18">
        <v>3000</v>
      </c>
      <c r="D41" s="18">
        <v>215.87393088011299</v>
      </c>
      <c r="E41" s="18">
        <v>57</v>
      </c>
    </row>
    <row r="42" spans="2:19" x14ac:dyDescent="0.35">
      <c r="B42" s="2"/>
      <c r="C42" s="18">
        <v>3125</v>
      </c>
      <c r="D42" s="18">
        <v>225.66154025442199</v>
      </c>
      <c r="E42" s="18">
        <v>58</v>
      </c>
    </row>
    <row r="43" spans="2:19" x14ac:dyDescent="0.35">
      <c r="B43" s="2"/>
      <c r="C43" s="18">
        <v>3250</v>
      </c>
      <c r="D43" s="18">
        <v>235.44914962873099</v>
      </c>
      <c r="E43" s="18">
        <v>59</v>
      </c>
    </row>
    <row r="44" spans="2:19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146050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90" zoomScaleNormal="90" workbookViewId="0">
      <selection activeCell="Q9" sqref="Q9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40" x14ac:dyDescent="0.35">
      <c r="A1" t="str">
        <f>версия_</f>
        <v>вер 7.8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3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3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3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6.5" x14ac:dyDescent="0.4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6.5" x14ac:dyDescent="0.4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6.5" x14ac:dyDescent="0.45">
      <c r="B10" s="7" t="s">
        <v>18</v>
      </c>
      <c r="C10" s="13">
        <v>125</v>
      </c>
      <c r="D10" s="5" t="s">
        <v>36</v>
      </c>
      <c r="P10" s="57" t="s">
        <v>45</v>
      </c>
      <c r="Q10" s="25">
        <v>50.000033529097045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000,26</v>
      </c>
      <c r="AG10" s="58"/>
      <c r="AH10" s="58"/>
      <c r="AI10" s="58"/>
      <c r="AJ10" s="58"/>
      <c r="AK10" s="58"/>
      <c r="AL10" s="58"/>
      <c r="AM10" s="58"/>
      <c r="AN10" s="58"/>
    </row>
    <row r="11" spans="1:40" ht="16.5" x14ac:dyDescent="0.45">
      <c r="B11" s="7" t="s">
        <v>212</v>
      </c>
      <c r="C11" s="9">
        <v>5000</v>
      </c>
      <c r="P11" s="57" t="s">
        <v>46</v>
      </c>
      <c r="Q11" s="25">
        <v>50.000033529097045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6.5" x14ac:dyDescent="0.45">
      <c r="M12" t="s">
        <v>63</v>
      </c>
      <c r="P12" s="57" t="s">
        <v>47</v>
      </c>
      <c r="Q12" s="25">
        <v>156.51950463419033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35">
      <c r="D13" s="1"/>
    </row>
    <row r="14" spans="1:40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3.5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50.000033529097045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0.33123422976230615</v>
      </c>
      <c r="W16">
        <v>0</v>
      </c>
      <c r="X16" s="50">
        <f>Pline_out_atma_</f>
        <v>50.000033529097045</v>
      </c>
      <c r="Y16">
        <v>0</v>
      </c>
      <c r="Z16">
        <v>200</v>
      </c>
    </row>
    <row r="17" spans="2:26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56.875672766495214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0.34952389137864415</v>
      </c>
      <c r="W17">
        <v>0</v>
      </c>
      <c r="X17" s="50">
        <f>Pbuf_out_atma_</f>
        <v>50.000033529097045</v>
      </c>
      <c r="Y17">
        <v>122.22222222222223</v>
      </c>
      <c r="Z17">
        <v>202.49597241993845</v>
      </c>
    </row>
    <row r="18" spans="2:26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64.139919536166119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0.36773633701788233</v>
      </c>
      <c r="W18">
        <v>3500</v>
      </c>
      <c r="X18" s="50">
        <f>Pwf_out_atma_</f>
        <v>156.51950463419033</v>
      </c>
      <c r="Y18">
        <v>244.44444444444446</v>
      </c>
      <c r="Z18">
        <v>204.88319611310359</v>
      </c>
    </row>
    <row r="19" spans="2:26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66.270929096091223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0.24793968948854639</v>
      </c>
      <c r="Y19">
        <v>366.66666666666669</v>
      </c>
      <c r="Z19">
        <v>207.17287532766855</v>
      </c>
    </row>
    <row r="20" spans="2:26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70.182432563307216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0.25670801578652502</v>
      </c>
      <c r="Y20">
        <v>488.88888888888891</v>
      </c>
      <c r="Z20">
        <v>209.37751949356351</v>
      </c>
    </row>
    <row r="21" spans="2:26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75.827695454172641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0.26517126882226605</v>
      </c>
      <c r="Y21">
        <v>500</v>
      </c>
      <c r="Z21">
        <v>209.57624632011914</v>
      </c>
    </row>
    <row r="22" spans="2:26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82.665815607180548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0.39065778309790855</v>
      </c>
      <c r="Y22">
        <v>611.11111111111109</v>
      </c>
      <c r="Z22">
        <v>211.50464371719048</v>
      </c>
    </row>
    <row r="23" spans="2:26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90.523544536329297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0.44152300977214026</v>
      </c>
      <c r="Y23">
        <v>733.33333333333337</v>
      </c>
      <c r="Z23">
        <v>213.56711102381416</v>
      </c>
    </row>
    <row r="24" spans="2:26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97.616339165198511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0.4895289204796251</v>
      </c>
      <c r="Y24">
        <v>855.55555555555566</v>
      </c>
      <c r="Z24">
        <v>215.57915487286351</v>
      </c>
    </row>
    <row r="25" spans="2:26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98.804560754426305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0.51611872814320825</v>
      </c>
      <c r="Y25">
        <v>977.77777777777783</v>
      </c>
      <c r="Z25">
        <v>217.54798897835713</v>
      </c>
    </row>
    <row r="26" spans="2:26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107.03932467059272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0.53048216756686695</v>
      </c>
      <c r="Y26">
        <v>1100</v>
      </c>
      <c r="Z26">
        <v>219.48004907049904</v>
      </c>
    </row>
    <row r="27" spans="2:26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115.01944938671282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0.54111360053509339</v>
      </c>
      <c r="Y27">
        <v>1222.2222222222222</v>
      </c>
      <c r="Z27">
        <v>221.37682637303485</v>
      </c>
    </row>
    <row r="28" spans="2:26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122.66980290469306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0.54835522188523333</v>
      </c>
      <c r="Y28">
        <v>1344.4444444444446</v>
      </c>
      <c r="Z28">
        <v>223.24740723231372</v>
      </c>
    </row>
    <row r="29" spans="2:26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123.10028219626146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0.88834280998870463</v>
      </c>
      <c r="Y29">
        <v>1466.6666666666667</v>
      </c>
      <c r="Z29">
        <v>225.09486371131879</v>
      </c>
    </row>
    <row r="30" spans="2:26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134.26913478201249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139.136765448316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145.39252390115979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152.1616540505951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153.61439392276148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155.06701219857086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156.51950463419033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35">
      <c r="B37" s="2"/>
      <c r="C37" s="18">
        <v>2500</v>
      </c>
      <c r="D37" s="18">
        <v>176.72349338287597</v>
      </c>
      <c r="E37" s="18">
        <v>53</v>
      </c>
    </row>
    <row r="38" spans="2:26" x14ac:dyDescent="0.35">
      <c r="B38" s="2"/>
      <c r="C38" s="18">
        <v>2625</v>
      </c>
      <c r="D38" s="18">
        <v>186.511102757185</v>
      </c>
      <c r="E38" s="18">
        <v>54</v>
      </c>
    </row>
    <row r="39" spans="2:26" x14ac:dyDescent="0.35">
      <c r="B39" s="2"/>
      <c r="C39" s="18">
        <v>2750</v>
      </c>
      <c r="D39" s="18">
        <v>196.298712131494</v>
      </c>
      <c r="E39" s="18">
        <v>55</v>
      </c>
    </row>
    <row r="40" spans="2:26" x14ac:dyDescent="0.35">
      <c r="B40" s="2"/>
      <c r="C40" s="18">
        <v>2875</v>
      </c>
      <c r="D40" s="18">
        <v>206.08632150580399</v>
      </c>
      <c r="E40" s="18">
        <v>56</v>
      </c>
    </row>
    <row r="41" spans="2:26" x14ac:dyDescent="0.35">
      <c r="B41" s="2"/>
      <c r="C41" s="18">
        <v>3000</v>
      </c>
      <c r="D41" s="18">
        <v>215.87393088011299</v>
      </c>
      <c r="E41" s="18">
        <v>57</v>
      </c>
    </row>
    <row r="42" spans="2:26" x14ac:dyDescent="0.35">
      <c r="B42" s="2"/>
      <c r="C42" s="18">
        <v>3125</v>
      </c>
      <c r="D42" s="18">
        <v>225.66154025442199</v>
      </c>
      <c r="E42" s="18">
        <v>58</v>
      </c>
    </row>
    <row r="43" spans="2:26" x14ac:dyDescent="0.35">
      <c r="B43" s="2"/>
      <c r="C43" s="18">
        <v>3250</v>
      </c>
      <c r="D43" s="18">
        <v>235.44914962873099</v>
      </c>
      <c r="E43" s="18">
        <v>59</v>
      </c>
    </row>
    <row r="44" spans="2:26" x14ac:dyDescent="0.3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topLeftCell="B8" zoomScale="115" zoomScaleNormal="115" workbookViewId="0">
      <selection activeCell="N53" sqref="N53"/>
    </sheetView>
  </sheetViews>
  <sheetFormatPr defaultRowHeight="14.5" x14ac:dyDescent="0.35"/>
  <cols>
    <col min="15" max="15" width="10.1796875" customWidth="1"/>
    <col min="22" max="22" width="10.7265625" customWidth="1"/>
  </cols>
  <sheetData>
    <row r="1" spans="1:34" x14ac:dyDescent="0.35">
      <c r="A1" t="str">
        <f>версия_</f>
        <v>вер 7.8</v>
      </c>
    </row>
    <row r="2" spans="1:34" x14ac:dyDescent="0.3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3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3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6.5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6.5" x14ac:dyDescent="0.4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6.5" x14ac:dyDescent="0.4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6.5" x14ac:dyDescent="0.35">
      <c r="B8" s="7" t="s">
        <v>34</v>
      </c>
      <c r="C8" s="12" t="s">
        <v>63</v>
      </c>
      <c r="D8" s="5" t="s">
        <v>35</v>
      </c>
      <c r="AC8" t="s">
        <v>150</v>
      </c>
    </row>
    <row r="9" spans="1:34" ht="16.5" x14ac:dyDescent="0.3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6.5" x14ac:dyDescent="0.4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10.002165293596843</v>
      </c>
      <c r="R10" s="5" t="s">
        <v>44</v>
      </c>
      <c r="S10" s="57" t="s">
        <v>55</v>
      </c>
      <c r="T10" s="25">
        <v>22.954558098352376</v>
      </c>
      <c r="U10" s="5" t="s">
        <v>25</v>
      </c>
    </row>
    <row r="11" spans="1:34" ht="16.5" x14ac:dyDescent="0.45">
      <c r="P11" s="57" t="s">
        <v>46</v>
      </c>
      <c r="Q11" s="25">
        <v>10.374492034077658</v>
      </c>
      <c r="R11" s="5" t="s">
        <v>44</v>
      </c>
      <c r="S11" s="57" t="s">
        <v>56</v>
      </c>
      <c r="T11" s="25">
        <v>22.954558098352376</v>
      </c>
      <c r="U11" s="5" t="s">
        <v>25</v>
      </c>
    </row>
    <row r="12" spans="1:34" ht="16.5" x14ac:dyDescent="0.45">
      <c r="M12" t="s">
        <v>63</v>
      </c>
      <c r="P12" s="57" t="s">
        <v>47</v>
      </c>
      <c r="Q12" s="25">
        <v>119.25410027770116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35">
      <c r="D13" s="1"/>
    </row>
    <row r="14" spans="1:34" x14ac:dyDescent="0.3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" x14ac:dyDescent="0.3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3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10.374492034077658</v>
      </c>
      <c r="P16">
        <v>0</v>
      </c>
      <c r="Q16">
        <v>22.954558098352376</v>
      </c>
      <c r="R16">
        <v>0</v>
      </c>
      <c r="S16">
        <v>0.17179321606433814</v>
      </c>
      <c r="U16">
        <v>0</v>
      </c>
      <c r="V16" s="50">
        <f>Pline_out_atma_</f>
        <v>10.002165293596843</v>
      </c>
    </row>
    <row r="17" spans="2:22" x14ac:dyDescent="0.3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13.74238858278625</v>
      </c>
      <c r="P17">
        <v>184.21052631578948</v>
      </c>
      <c r="Q17">
        <v>28.469691172312487</v>
      </c>
      <c r="R17">
        <v>175</v>
      </c>
      <c r="S17">
        <v>0.20397838505838051</v>
      </c>
      <c r="U17">
        <v>0</v>
      </c>
      <c r="V17" s="50">
        <f>Pbuf_out_atma_</f>
        <v>10.374492034077658</v>
      </c>
    </row>
    <row r="18" spans="2:22" x14ac:dyDescent="0.3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17.723509695861214</v>
      </c>
      <c r="P18">
        <v>368.42105263157896</v>
      </c>
      <c r="Q18">
        <v>33.982968135261032</v>
      </c>
      <c r="R18">
        <v>350</v>
      </c>
      <c r="S18">
        <v>0.23932395748138774</v>
      </c>
      <c r="U18">
        <v>3500</v>
      </c>
      <c r="V18" s="50">
        <f>Pwf_out_atma_</f>
        <v>119.25410027770116</v>
      </c>
    </row>
    <row r="19" spans="2:22" x14ac:dyDescent="0.3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22.294012547832157</v>
      </c>
      <c r="P19">
        <v>552.63157894736844</v>
      </c>
      <c r="Q19">
        <v>39.494657728749857</v>
      </c>
      <c r="R19">
        <v>525</v>
      </c>
      <c r="S19">
        <v>0.26259783638978962</v>
      </c>
    </row>
    <row r="20" spans="2:22" x14ac:dyDescent="0.3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27.42019657233898</v>
      </c>
      <c r="P20">
        <v>736.84210526315792</v>
      </c>
      <c r="Q20">
        <v>44.995419990604574</v>
      </c>
      <c r="R20">
        <v>700</v>
      </c>
      <c r="S20">
        <v>0.30359643250410612</v>
      </c>
    </row>
    <row r="21" spans="2:22" x14ac:dyDescent="0.3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33.299649749763134</v>
      </c>
      <c r="P21">
        <v>921.0526315789474</v>
      </c>
      <c r="Q21">
        <v>50.445161701407876</v>
      </c>
      <c r="R21">
        <v>875</v>
      </c>
      <c r="S21">
        <v>0.34895441641856995</v>
      </c>
    </row>
    <row r="22" spans="2:22" x14ac:dyDescent="0.3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39.785940843991746</v>
      </c>
      <c r="P22">
        <v>1105.2631578947369</v>
      </c>
      <c r="Q22">
        <v>55.708233455949546</v>
      </c>
      <c r="R22">
        <v>1050</v>
      </c>
      <c r="S22">
        <v>0.39744161731737787</v>
      </c>
    </row>
    <row r="23" spans="2:22" x14ac:dyDescent="0.3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46.824201667328559</v>
      </c>
      <c r="P23">
        <v>1289.4736842105262</v>
      </c>
      <c r="Q23">
        <v>60.775500719009131</v>
      </c>
      <c r="R23">
        <v>1225</v>
      </c>
      <c r="S23">
        <v>0.44785291958478951</v>
      </c>
    </row>
    <row r="24" spans="2:22" x14ac:dyDescent="0.3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54.350342603310082</v>
      </c>
      <c r="P24">
        <v>1473.6842105263158</v>
      </c>
      <c r="Q24">
        <v>65.637797909240803</v>
      </c>
      <c r="R24">
        <v>1400</v>
      </c>
      <c r="S24">
        <v>0.50003390767536415</v>
      </c>
    </row>
    <row r="25" spans="2:22" x14ac:dyDescent="0.3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62.29399613953904</v>
      </c>
      <c r="P25">
        <v>1657.8947368421054</v>
      </c>
      <c r="Q25">
        <v>70.298832491122894</v>
      </c>
      <c r="R25">
        <v>1575</v>
      </c>
      <c r="S25">
        <v>0.55349247311593075</v>
      </c>
    </row>
    <row r="26" spans="2:22" x14ac:dyDescent="0.3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70.584576231134577</v>
      </c>
      <c r="P26">
        <v>1842.1052631578948</v>
      </c>
      <c r="Q26">
        <v>74.759106722274765</v>
      </c>
      <c r="R26">
        <v>1750</v>
      </c>
      <c r="S26">
        <v>0.60759751161074682</v>
      </c>
    </row>
    <row r="27" spans="2:22" x14ac:dyDescent="0.3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79.14537591351457</v>
      </c>
      <c r="P27">
        <v>2026.3157894736842</v>
      </c>
      <c r="Q27">
        <v>79.018935717066626</v>
      </c>
      <c r="R27">
        <v>1925</v>
      </c>
      <c r="S27">
        <v>0.66187502078157257</v>
      </c>
    </row>
    <row r="28" spans="2:22" x14ac:dyDescent="0.3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87.896067931127774</v>
      </c>
      <c r="P28">
        <v>2210.5263157894738</v>
      </c>
      <c r="Q28">
        <v>83.077594567215016</v>
      </c>
      <c r="R28">
        <v>2100</v>
      </c>
      <c r="S28">
        <v>0.71588057867743515</v>
      </c>
    </row>
    <row r="29" spans="2:22" x14ac:dyDescent="0.3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96.755482650217729</v>
      </c>
      <c r="P29">
        <v>2394.7368421052633</v>
      </c>
      <c r="Q29">
        <v>86.923444642787459</v>
      </c>
      <c r="R29">
        <v>2275</v>
      </c>
      <c r="S29">
        <v>0.76912480595546606</v>
      </c>
    </row>
    <row r="30" spans="2:22" x14ac:dyDescent="0.3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101.83426535966255</v>
      </c>
      <c r="P30">
        <v>2500</v>
      </c>
      <c r="Q30">
        <v>89.007677730919568</v>
      </c>
      <c r="R30">
        <v>2450</v>
      </c>
      <c r="S30">
        <v>0.8291871572363394</v>
      </c>
    </row>
    <row r="31" spans="2:22" x14ac:dyDescent="0.3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105.69273524005391</v>
      </c>
      <c r="P31">
        <v>2578.9473684210525</v>
      </c>
      <c r="Q31">
        <v>90.474940633480117</v>
      </c>
      <c r="R31">
        <v>2625</v>
      </c>
      <c r="S31">
        <v>0.88532224711122409</v>
      </c>
    </row>
    <row r="32" spans="2:22" x14ac:dyDescent="0.3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113.38280803466837</v>
      </c>
      <c r="P32">
        <v>2763.1578947368421</v>
      </c>
      <c r="Q32">
        <v>93.053438787687654</v>
      </c>
      <c r="R32">
        <v>2800</v>
      </c>
      <c r="S32">
        <v>0.92109465889763975</v>
      </c>
    </row>
    <row r="33" spans="2:19" x14ac:dyDescent="0.3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115.43997909138994</v>
      </c>
      <c r="P33">
        <v>2947.3684210526317</v>
      </c>
      <c r="Q33">
        <v>93.770140389335907</v>
      </c>
      <c r="R33">
        <v>2975</v>
      </c>
      <c r="S33">
        <v>0.92742373478587647</v>
      </c>
    </row>
    <row r="34" spans="2:19" x14ac:dyDescent="0.3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116.70137308246788</v>
      </c>
      <c r="P34">
        <v>3131.5789473684213</v>
      </c>
      <c r="Q34">
        <v>94.176971512191116</v>
      </c>
      <c r="R34">
        <v>3150</v>
      </c>
      <c r="S34">
        <v>0.93398999011661799</v>
      </c>
    </row>
    <row r="35" spans="2:19" x14ac:dyDescent="0.3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117.97063538542014</v>
      </c>
      <c r="P35">
        <v>3315.7894736842109</v>
      </c>
      <c r="Q35">
        <v>94.055876558165025</v>
      </c>
      <c r="R35">
        <v>3325</v>
      </c>
      <c r="S35">
        <v>0.94224966849982261</v>
      </c>
    </row>
    <row r="36" spans="2:19" x14ac:dyDescent="0.3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119.25410027770116</v>
      </c>
      <c r="P36">
        <v>3500</v>
      </c>
      <c r="Q36">
        <v>90</v>
      </c>
      <c r="R36">
        <v>3500</v>
      </c>
      <c r="S36">
        <v>0.96135601057038489</v>
      </c>
    </row>
    <row r="37" spans="2:19" x14ac:dyDescent="0.35">
      <c r="B37" s="2"/>
      <c r="C37" s="18">
        <v>2500</v>
      </c>
      <c r="D37" s="18">
        <v>176.72349338287597</v>
      </c>
      <c r="E37" s="18">
        <v>53</v>
      </c>
    </row>
    <row r="38" spans="2:19" x14ac:dyDescent="0.35">
      <c r="C38" s="18">
        <v>2625</v>
      </c>
      <c r="D38" s="18">
        <v>186.511102757185</v>
      </c>
      <c r="E38" s="18">
        <v>54</v>
      </c>
    </row>
    <row r="39" spans="2:19" x14ac:dyDescent="0.35">
      <c r="C39" s="18">
        <v>2750</v>
      </c>
      <c r="D39" s="18">
        <v>196.298712131494</v>
      </c>
      <c r="E39" s="18">
        <v>55</v>
      </c>
    </row>
    <row r="40" spans="2:19" x14ac:dyDescent="0.35">
      <c r="C40" s="18">
        <v>2875</v>
      </c>
      <c r="D40" s="18">
        <v>206.08632150580399</v>
      </c>
      <c r="E40" s="18">
        <v>56</v>
      </c>
    </row>
    <row r="41" spans="2:19" x14ac:dyDescent="0.35">
      <c r="C41" s="18">
        <v>3000</v>
      </c>
      <c r="D41" s="18">
        <v>215.87393088011299</v>
      </c>
      <c r="E41" s="18">
        <v>57</v>
      </c>
    </row>
    <row r="42" spans="2:19" x14ac:dyDescent="0.35">
      <c r="C42" s="18">
        <v>3125</v>
      </c>
      <c r="D42" s="18">
        <v>225.66154025442199</v>
      </c>
      <c r="E42" s="18">
        <v>58</v>
      </c>
    </row>
    <row r="43" spans="2:19" x14ac:dyDescent="0.35">
      <c r="C43" s="18">
        <v>3250</v>
      </c>
      <c r="D43" s="18">
        <v>235.44914962873099</v>
      </c>
      <c r="E43" s="18">
        <v>59</v>
      </c>
    </row>
    <row r="44" spans="2:19" x14ac:dyDescent="0.3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336550</xdr:colOff>
                    <xdr:row>3</xdr:row>
                    <xdr:rowOff>146050</xdr:rowOff>
                  </from>
                  <to>
                    <xdr:col>27</xdr:col>
                    <xdr:colOff>355600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355600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12700</xdr:colOff>
                    <xdr:row>2</xdr:row>
                    <xdr:rowOff>31750</xdr:rowOff>
                  </from>
                  <to>
                    <xdr:col>9</xdr:col>
                    <xdr:colOff>12700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12700</xdr:colOff>
                    <xdr:row>2</xdr:row>
                    <xdr:rowOff>12700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2019-07-16T04:39:51Z</dcterms:modified>
</cp:coreProperties>
</file>