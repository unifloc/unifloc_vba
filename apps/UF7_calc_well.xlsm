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7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8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drawings/drawing1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5.xml" ContentType="application/vnd.openxmlformats-officedocument.spreadsheetml.comments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drawings/drawing1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6.xml" ContentType="application/vnd.openxmlformats-officedocument.spreadsheetml.comments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Workbook_App_well" defaultThemeVersion="166925"/>
  <mc:AlternateContent xmlns:mc="http://schemas.openxmlformats.org/markup-compatibility/2006">
    <mc:Choice Requires="x15">
      <x15ac:absPath xmlns:x15ac="http://schemas.microsoft.com/office/spreadsheetml/2010/11/ac" url="C:\rnt\unifloc_vba\apps\"/>
    </mc:Choice>
  </mc:AlternateContent>
  <xr:revisionPtr revIDLastSave="0" documentId="13_ncr:1_{C7BE8E42-ECAC-4B82-B5F2-C20BCFE69AC6}" xr6:coauthVersionLast="45" xr6:coauthVersionMax="45" xr10:uidLastSave="{00000000-0000-0000-0000-000000000000}"/>
  <bookViews>
    <workbookView xWindow="18585" yWindow="3855" windowWidth="15345" windowHeight="6495" tabRatio="529" xr2:uid="{00000000-000D-0000-FFFF-FFFF00000000}"/>
  </bookViews>
  <sheets>
    <sheet name="Unifloc" sheetId="6" r:id="rId1"/>
    <sheet name="PVT" sheetId="4" r:id="rId2"/>
    <sheet name="Construction" sheetId="3" r:id="rId3"/>
    <sheet name="ESP" sheetId="7" r:id="rId4"/>
    <sheet name="GasLift" sheetId="8" r:id="rId5"/>
    <sheet name="Calc ESP" sheetId="2" r:id="rId6"/>
    <sheet name="Calc GasLift" sheetId="9" r:id="rId7"/>
    <sheet name="Calc Self Flow" sheetId="10" r:id="rId8"/>
  </sheets>
  <externalReferences>
    <externalReference r:id="rId9"/>
  </externalReferences>
  <definedNames>
    <definedName name="betta_fric_" localSheetId="6">'Calc GasLift'!$H$7</definedName>
    <definedName name="betta_fric_" localSheetId="7">'Calc Self Flow'!$H$7</definedName>
    <definedName name="betta_fric_">'Calc ESP'!$H$7</definedName>
    <definedName name="betta_grav_" localSheetId="6">'Calc GasLift'!$H$6</definedName>
    <definedName name="betta_grav_" localSheetId="7">'Calc Self Flow'!$H$6</definedName>
    <definedName name="betta_grav_">'Calc ESP'!$H$6</definedName>
    <definedName name="bo_list1_">PVT!$G$60:$G$100</definedName>
    <definedName name="bo_list2_">PVT!$H$60:$H$100</definedName>
    <definedName name="bo_list3_">PVT!$I$60:$I$100</definedName>
    <definedName name="Bob_m3m3_" localSheetId="1">PVT!$G$16</definedName>
    <definedName name="correlation_MF_fontan_" localSheetId="5">'Calc ESP'!$J$2</definedName>
    <definedName name="correlation_MF_fontan_" localSheetId="6">'Calc GasLift'!$J$2</definedName>
    <definedName name="correlation_MF_fontan_" localSheetId="7">'Calc Self Flow'!$J$2</definedName>
    <definedName name="correlation_PVT_fontan_" localSheetId="5">'Calc ESP'!$E$2</definedName>
    <definedName name="correlation_PVT_fontan_" localSheetId="6">'Calc GasLift'!$E$2</definedName>
    <definedName name="correlation_PVT_fontan_" localSheetId="7">'Calc Self Flow'!$E$2</definedName>
    <definedName name="correlation_T_fontan_" localSheetId="5">'Calc ESP'!$O$2</definedName>
    <definedName name="correlation_T_fontan_" localSheetId="6">'Calc GasLift'!$O$2</definedName>
    <definedName name="correlation_T_fontan_" localSheetId="7">'Calc Self Flow'!$O$2</definedName>
    <definedName name="d_valves_mm_">GasLift!$C$11:$C$20</definedName>
    <definedName name="dcas_arr_mm_">Construction!$I$19:$I$38</definedName>
    <definedName name="dcas_mm_">Construction!$C$11</definedName>
    <definedName name="dcas_out_mm_">Construction!$V$18:$V$38</definedName>
    <definedName name="dchoke_mm_">Construction!$C$13</definedName>
    <definedName name="dtub_arr_mm_">Construction!$K$19:$K$38</definedName>
    <definedName name="dtub_mm_">Construction!$C$12</definedName>
    <definedName name="dtub_out_mm_">Construction!$X$18:$X$38</definedName>
    <definedName name="ESP_eff_list_">ESP!$K$8:$K$29</definedName>
    <definedName name="ESP_freq_">ESP!$C$6</definedName>
    <definedName name="ESP_head_list_">ESP!$I$8:$I$29</definedName>
    <definedName name="ESP_head_nom_">ESP!$C$5</definedName>
    <definedName name="ESP_ID_">ESP!$C$7</definedName>
    <definedName name="ESP_name_">ESP!$C$8</definedName>
    <definedName name="ESP_power_list_">ESP!$J$8:$J$29</definedName>
    <definedName name="ESP_qmax_">ESP!$C$9</definedName>
    <definedName name="ESP_rate_list_">ESP!$H$8:$H$29</definedName>
    <definedName name="ESP_rate_nom_">ESP!$C$4</definedName>
    <definedName name="ESP_stages_">ESP!$C$10</definedName>
    <definedName name="Freq_" localSheetId="3">ESP!$C$34</definedName>
    <definedName name="fw_perc_">PVT!$K$9</definedName>
    <definedName name="gamma_gas_" localSheetId="1">PVT!$G$9</definedName>
    <definedName name="gamma_gas_diff_total_">PVT!$R$35</definedName>
    <definedName name="gamma_gas_new_">PVT!$R$34</definedName>
    <definedName name="gamma_oil_" localSheetId="1">PVT!$G$8</definedName>
    <definedName name="gamma_oil_new_">PVT!$R$33</definedName>
    <definedName name="gamma_w_" localSheetId="1">PVT!$G$10</definedName>
    <definedName name="gamma_wat_">PVT!$G$10</definedName>
    <definedName name="gammas">PVT!$R$33:$R$34</definedName>
    <definedName name="gasfrac_list1_">PVT!$P$60:$P$100</definedName>
    <definedName name="gasfrac_list2_">PVT!$Q$60:$Q$100</definedName>
    <definedName name="gasfrac_list3_">PVT!$R$60:$R$99</definedName>
    <definedName name="Head_ESP_" localSheetId="3">ESP!$C$33</definedName>
    <definedName name="Hlout_" localSheetId="6">'Calc GasLift'!$U$16:$U$36</definedName>
    <definedName name="Hlout_" localSheetId="7">'Calc Self Flow'!$S$16:$S$36</definedName>
    <definedName name="Hlout_">'Calc ESP'!$S$16:$S$36</definedName>
    <definedName name="Hlout_hmes_m_" localSheetId="6">'Calc GasLift'!$T$16:$T$36</definedName>
    <definedName name="Hlout_hmes_m_" localSheetId="7">'Calc Self Flow'!$R$16:$R$36</definedName>
    <definedName name="Hlout_hmes_m_">'Calc ESP'!$R$16:$R$36</definedName>
    <definedName name="hmes_dcas_m_">Construction!$H$19:$H$38</definedName>
    <definedName name="hmes_dcas_out_m_">Construction!$U$18:$U$38</definedName>
    <definedName name="hmes_dtub_m_">Construction!$J$19:$J$38</definedName>
    <definedName name="hmes_dtub_out_m_">Construction!$W$18:$W$38</definedName>
    <definedName name="hmes_incl_m_">Construction!$B$19:$B$176</definedName>
    <definedName name="hmes_incl_out_m_">Construction!$P$18:$P$38</definedName>
    <definedName name="Hmes_mes_m_" localSheetId="6">'Calc GasLift'!$C$17:$C$352</definedName>
    <definedName name="Hmes_mes_m_" localSheetId="7">'Calc Self Flow'!$C$17:$C$352</definedName>
    <definedName name="Hmes_mes_m_">'Calc ESP'!$C$17:$C$352</definedName>
    <definedName name="hmes_out_" localSheetId="6">'Calc GasLift'!$H$16:$H$36</definedName>
    <definedName name="hmes_out_" localSheetId="7">'Calc Self Flow'!$H$16:$H$36</definedName>
    <definedName name="hmes_out_">'Calc ESP'!$H$16:$H$36</definedName>
    <definedName name="hmes_tamb_m_">Construction!$E$19:$E$38</definedName>
    <definedName name="hmes_tamb_out_m_" localSheetId="5">'Calc ESP'!$K$16:$K$36</definedName>
    <definedName name="hmes_tamb_out_m_" localSheetId="6">'Calc GasLift'!$K$16:$K$36</definedName>
    <definedName name="hmes_tamb_out_m_" localSheetId="7">'Calc Self Flow'!$K$16:$K$36</definedName>
    <definedName name="hmes_tamb_out_m_">Construction!$S$18:$S$38</definedName>
    <definedName name="Hmes_valves_m_">GasLift!$B$11:$B$20</definedName>
    <definedName name="Hout_" localSheetId="6">'Calc GasLift'!$N$17:$N$36</definedName>
    <definedName name="Hout_" localSheetId="7">'Calc Self Flow'!$N$17:$N$36</definedName>
    <definedName name="Hout_">'Calc ESP'!$N$17:$N$36</definedName>
    <definedName name="Hperf_m_">Construction!$C$9</definedName>
    <definedName name="Hpump_">ESP!$C$16</definedName>
    <definedName name="Htub_m_">Construction!$C$10</definedName>
    <definedName name="hvert_incl_m_">Construction!$C$19:$C$176</definedName>
    <definedName name="hvert_incl_out_m_">Construction!$Q$18:$Q$38</definedName>
    <definedName name="hvert_tamb_out_m_" localSheetId="5">'Calc ESP'!$L$16:$L$36</definedName>
    <definedName name="hvert_tamb_out_m_" localSheetId="6">'Calc GasLift'!$L$16:$L$36</definedName>
    <definedName name="hvert_tamb_out_m_" localSheetId="7">'Calc Self Flow'!$L$16:$L$36</definedName>
    <definedName name="HydrCorr_" localSheetId="6">'Calc GasLift'!$AA$6</definedName>
    <definedName name="HydrCorr_" localSheetId="7">'Calc Self Flow'!$AA$6</definedName>
    <definedName name="HydrCorr_">'Calc ESP'!$AA$6</definedName>
    <definedName name="HydrCorr_selector_" localSheetId="6">'Calc GasLift'!$AB$3</definedName>
    <definedName name="HydrCorr_selector_" localSheetId="7">'Calc Self Flow'!$AB$3</definedName>
    <definedName name="HydrCorr_selector_">'Calc ESP'!$AB$3</definedName>
    <definedName name="Ksep_" localSheetId="1">PVT!$O$8</definedName>
    <definedName name="mu_cP_" localSheetId="1">PVT!$G$17</definedName>
    <definedName name="muo_list1_">PVT!$M$60:$M$100</definedName>
    <definedName name="muo_list2_">PVT!$N$60:$N$100</definedName>
    <definedName name="muo_list3_">PVT!$O$60:$O$100</definedName>
    <definedName name="NumValves_">GasLift!$C$5</definedName>
    <definedName name="P_atma_" localSheetId="1">PVT!$C$8</definedName>
    <definedName name="p_charge_GLV_">GasLift!$D$11:$D$20</definedName>
    <definedName name="P_mes_atma_" localSheetId="6">'Calc GasLift'!$D$17:$D$352</definedName>
    <definedName name="P_mes_atma_" localSheetId="7">'Calc Self Flow'!$D$17:$D$352</definedName>
    <definedName name="P_mes_atma_">'Calc ESP'!$D$17:$D$352</definedName>
    <definedName name="Pb_atma_" localSheetId="1">PVT!$G$15</definedName>
    <definedName name="Pb_diff_">PVT!$W$34</definedName>
    <definedName name="Pbuf_atma_" localSheetId="6">'Calc GasLift'!$Q$6</definedName>
    <definedName name="Pbuf_atma_" localSheetId="7">'Calc Self Flow'!$Q$6</definedName>
    <definedName name="Pbuf_atma_">'Calc ESP'!$R$7</definedName>
    <definedName name="Pbuf_out_atma_" localSheetId="6">'Calc GasLift'!$Q$11</definedName>
    <definedName name="Pbuf_out_atma_" localSheetId="7">'Calc Self Flow'!$Q$11</definedName>
    <definedName name="Pbuf_out_atma_" localSheetId="4">Calc GasLift!$Q$11</definedName>
    <definedName name="Pbuf_out_atma_">'Calc ESP'!$R$12</definedName>
    <definedName name="Pcas_atma_" localSheetId="6">'Calc GasLift'!$Q$8</definedName>
    <definedName name="Pcas_atma_">'Calc ESP'!$R$9</definedName>
    <definedName name="Pcas_hmes_" localSheetId="6">'Calc GasLift'!$Y$16:$Y$36</definedName>
    <definedName name="Pcas_hmes_">'Calc ESP'!$W$16:$W$36</definedName>
    <definedName name="Pcas_out_atma_" localSheetId="6">'Calc GasLift'!$Z$16:$Z$36</definedName>
    <definedName name="Pcas_out_atma_">'Calc ESP'!$X$16:$X$36</definedName>
    <definedName name="Plin_mes_atma_" localSheetId="6">'Calc GasLift'!$D$16</definedName>
    <definedName name="Plin_mes_atma_" localSheetId="7">'Calc Self Flow'!$D$16</definedName>
    <definedName name="Plin_mes_atma_">'Calc ESP'!$D$16</definedName>
    <definedName name="Pline_atma_" localSheetId="6">'Calc GasLift'!$Q$5</definedName>
    <definedName name="Pline_atma_" localSheetId="7">'Calc Self Flow'!$Q$5</definedName>
    <definedName name="Pline_atma_">'Calc ESP'!$R$6</definedName>
    <definedName name="Pline_out_atma_" localSheetId="6">'Calc GasLift'!$Q$10</definedName>
    <definedName name="Pline_out_atma_" localSheetId="7">'Calc Self Flow'!$Q$10</definedName>
    <definedName name="Pline_out_atma_" localSheetId="4">'Calc GasLift'!$Q$11</definedName>
    <definedName name="Pline_out_atma_">'Calc ESP'!$R$11</definedName>
    <definedName name="pmes_out_" localSheetId="6">'Calc GasLift'!$I$16:$I$36</definedName>
    <definedName name="pmes_out_" localSheetId="7">'Calc Self Flow'!$I$16:$I$36</definedName>
    <definedName name="pmes_out_">'Calc ESP'!$I$16:$I$36</definedName>
    <definedName name="Pout_" localSheetId="6">'Calc GasLift'!$O$17:$O$36</definedName>
    <definedName name="Pout_" localSheetId="7">'Calc Self Flow'!$O$17:$O$36</definedName>
    <definedName name="Pout_">'Calc ESP'!$O$17:$O$36</definedName>
    <definedName name="Pout_atma_" localSheetId="6">'Calc GasLift'!$O$16:$O$36</definedName>
    <definedName name="Pout_atma_" localSheetId="7">'Calc Self Flow'!$O$16:$O$36</definedName>
    <definedName name="Pout_atma_">'Calc ESP'!$O$16:$O$36</definedName>
    <definedName name="Pout_hmes_m_" localSheetId="6">'Calc GasLift'!$N$16:$N$36</definedName>
    <definedName name="Pout_hmes_m_" localSheetId="7">'Calc Self Flow'!$N$16:$N$36</definedName>
    <definedName name="Pout_hmes_m_">'Calc ESP'!$N$16:$N$36</definedName>
    <definedName name="Power_Motor_nom_">ESP!$C$14</definedName>
    <definedName name="press_list0_">PVT!$B$60:$B$100</definedName>
    <definedName name="press_list1_">PVT!$C$60:$C$100</definedName>
    <definedName name="Psc_atma_" localSheetId="1">PVT!$K$2</definedName>
    <definedName name="Psep_atma_" localSheetId="1">PVT!$O$9</definedName>
    <definedName name="pts_">ESP!$H$5</definedName>
    <definedName name="PumpID_" localSheetId="3">ESP!$C$35</definedName>
    <definedName name="PVT_correlation_" localSheetId="1">PVT!$H$3</definedName>
    <definedName name="PVT_selector_" localSheetId="6">'Calc GasLift'!$X$3</definedName>
    <definedName name="PVT_selector_" localSheetId="7">'Calc Self Flow'!$X$3</definedName>
    <definedName name="PVT_selector_">'Calc ESP'!$X$3</definedName>
    <definedName name="PVTstr_">PVT!$C$19</definedName>
    <definedName name="Pwf_atma_" localSheetId="6">'Calc GasLift'!$Q$7</definedName>
    <definedName name="Pwf_atma_" localSheetId="7">'Calc Self Flow'!$Q$7</definedName>
    <definedName name="Pwf_atma_">'Calc ESP'!$R$8</definedName>
    <definedName name="Pwf_out_atma_" localSheetId="6">'Calc GasLift'!$Q$12</definedName>
    <definedName name="Pwf_out_atma_" localSheetId="7">'Calc Self Flow'!$Q$12</definedName>
    <definedName name="Pwf_out_atma_" localSheetId="4">'Calc GasLift'!$Q$12</definedName>
    <definedName name="Pwf_out_atma_">'Calc ESP'!$R$13</definedName>
    <definedName name="Q_ESP_" localSheetId="3">ESP!$C$32</definedName>
    <definedName name="Qg_scm3day_">'Calc GasLift'!$C$11</definedName>
    <definedName name="Ql_scm3day_">PVT!$K$8</definedName>
    <definedName name="Qo_sctday_">PVT!$K$10</definedName>
    <definedName name="rhoo_list1_">PVT!$J$60:$J$100</definedName>
    <definedName name="rhoo_list2_">PVT!$K$60:$K$100</definedName>
    <definedName name="rhoo_list3_">PVT!$L$60:$L$100</definedName>
    <definedName name="Rp_m3m3_">PVT!$K$11</definedName>
    <definedName name="Rp_tm3_" localSheetId="1">PVT!$K$12</definedName>
    <definedName name="rs_list1_">PVT!$D$60:$D$100</definedName>
    <definedName name="rs_list2_">PVT!$E$60:$E$100</definedName>
    <definedName name="rs_list3_">PVT!$F$60:$F$100</definedName>
    <definedName name="Rsb_m3m3_" localSheetId="1">PVT!$G$11</definedName>
    <definedName name="solver_adj" localSheetId="1" hidden="1">PVT!$R$33:$R$34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PVT!$R$33</definedName>
    <definedName name="solver_lhs10" localSheetId="1" hidden="1">PVT!$R$34</definedName>
    <definedName name="solver_lhs11" localSheetId="1" hidden="1">PVT!$R$34</definedName>
    <definedName name="solver_lhs12" localSheetId="1" hidden="1">PVT!$R$34</definedName>
    <definedName name="solver_lhs13" localSheetId="1" hidden="1">PVT!$R$34</definedName>
    <definedName name="solver_lhs14" localSheetId="1" hidden="1">PVT!$R$34</definedName>
    <definedName name="solver_lhs15" localSheetId="1" hidden="1">PVT!$R$34</definedName>
    <definedName name="solver_lhs16" localSheetId="1" hidden="1">PVT!$R$34</definedName>
    <definedName name="solver_lhs17" localSheetId="1" hidden="1">PVT!$R$34</definedName>
    <definedName name="solver_lhs18" localSheetId="1" hidden="1">PVT!$R$34</definedName>
    <definedName name="solver_lhs19" localSheetId="1" hidden="1">PVT!$R$34</definedName>
    <definedName name="solver_lhs2" localSheetId="1" hidden="1">PVT!$R$34</definedName>
    <definedName name="solver_lhs20" localSheetId="1" hidden="1">PVT!$R$34</definedName>
    <definedName name="solver_lhs21" localSheetId="1" hidden="1">PVT!$R$34</definedName>
    <definedName name="solver_lhs22" localSheetId="1" hidden="1">PVT!$R$34</definedName>
    <definedName name="solver_lhs23" localSheetId="1" hidden="1">PVT!$R$34</definedName>
    <definedName name="solver_lhs24" localSheetId="1" hidden="1">PVT!$R$34</definedName>
    <definedName name="solver_lhs25" localSheetId="1" hidden="1">PVT!$R$34</definedName>
    <definedName name="solver_lhs26" localSheetId="1" hidden="1">PVT!$R$34</definedName>
    <definedName name="solver_lhs27" localSheetId="1" hidden="1">PVT!$R$34</definedName>
    <definedName name="solver_lhs28" localSheetId="1" hidden="1">PVT!$R$34</definedName>
    <definedName name="solver_lhs29" localSheetId="1" hidden="1">PVT!$R$34</definedName>
    <definedName name="solver_lhs3" localSheetId="1" hidden="1">PVT!$R$34</definedName>
    <definedName name="solver_lhs30" localSheetId="1" hidden="1">PVT!$R$34</definedName>
    <definedName name="solver_lhs31" localSheetId="1" hidden="1">PVT!$R$34</definedName>
    <definedName name="solver_lhs32" localSheetId="1" hidden="1">PVT!$R$34</definedName>
    <definedName name="solver_lhs33" localSheetId="1" hidden="1">PVT!$R$34</definedName>
    <definedName name="solver_lhs34" localSheetId="1" hidden="1">PVT!$R$34</definedName>
    <definedName name="solver_lhs35" localSheetId="1" hidden="1">PVT!$R$33</definedName>
    <definedName name="solver_lhs36" localSheetId="1" hidden="1">PVT!$R$33</definedName>
    <definedName name="solver_lhs37" localSheetId="1" hidden="1">PVT!$R$34</definedName>
    <definedName name="solver_lhs38" localSheetId="1" hidden="1">PVT!$R$34</definedName>
    <definedName name="solver_lhs39" localSheetId="1" hidden="1">PVT!$R$33</definedName>
    <definedName name="solver_lhs4" localSheetId="1" hidden="1">PVT!$R$34</definedName>
    <definedName name="solver_lhs40" localSheetId="1" hidden="1">PVT!$R$33</definedName>
    <definedName name="solver_lhs41" localSheetId="1" hidden="1">PVT!$R$34</definedName>
    <definedName name="solver_lhs42" localSheetId="1" hidden="1">PVT!$R$34</definedName>
    <definedName name="solver_lhs43" localSheetId="1" hidden="1">PVT!$R$33</definedName>
    <definedName name="solver_lhs44" localSheetId="1" hidden="1">PVT!$R$33</definedName>
    <definedName name="solver_lhs45" localSheetId="1" hidden="1">PVT!$R$34</definedName>
    <definedName name="solver_lhs46" localSheetId="1" hidden="1">PVT!$R$34</definedName>
    <definedName name="solver_lhs47" localSheetId="1" hidden="1">PVT!$R$33</definedName>
    <definedName name="solver_lhs48" localSheetId="1" hidden="1">PVT!$R$33</definedName>
    <definedName name="solver_lhs49" localSheetId="1" hidden="1">PVT!$R$34</definedName>
    <definedName name="solver_lhs5" localSheetId="1" hidden="1">PVT!$R$34</definedName>
    <definedName name="solver_lhs50" localSheetId="1" hidden="1">PVT!$R$34</definedName>
    <definedName name="solver_lhs51" localSheetId="1" hidden="1">PVT!$R$33</definedName>
    <definedName name="solver_lhs52" localSheetId="1" hidden="1">PVT!$R$33</definedName>
    <definedName name="solver_lhs53" localSheetId="1" hidden="1">PVT!$R$34</definedName>
    <definedName name="solver_lhs54" localSheetId="1" hidden="1">PVT!$R$34</definedName>
    <definedName name="solver_lhs6" localSheetId="1" hidden="1">PVT!$R$34</definedName>
    <definedName name="solver_lhs7" localSheetId="1" hidden="1">PVT!$R$34</definedName>
    <definedName name="solver_lhs8" localSheetId="1" hidden="1">PVT!$R$34</definedName>
    <definedName name="solver_lhs9" localSheetId="1" hidden="1">PVT!$R$34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PVT!$R$35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PVT!$B$57</definedName>
    <definedName name="T_mes_C_" localSheetId="6">'Calc GasLift'!$E$17:$E$352</definedName>
    <definedName name="T_mes_C_" localSheetId="7">'Calc Self Flow'!$E$17:$E$352</definedName>
    <definedName name="T_mes_C_">'Calc ESP'!$E$17:$E$352</definedName>
    <definedName name="tamb_C_">Construction!$F$19:$F$38</definedName>
    <definedName name="tamb_out_C_" localSheetId="5">'Calc ESP'!$M$16:$M$36</definedName>
    <definedName name="tamb_out_C_" localSheetId="6">'Calc GasLift'!$M$16:$M$36</definedName>
    <definedName name="tamb_out_C_" localSheetId="7">'Calc Self Flow'!$M$16:$M$36</definedName>
    <definedName name="tamb_out_C_">Construction!$T$18:$T$38</definedName>
    <definedName name="Tbh_c_" localSheetId="6">'Calc GasLift'!$M$6</definedName>
    <definedName name="Tbh_c_" localSheetId="7">'Calc Self Flow'!$M$6</definedName>
    <definedName name="Tbh_c_">'Calc ESP'!$M$6</definedName>
    <definedName name="Tbuf_out_C_" localSheetId="6">'Calc GasLift'!$T$11</definedName>
    <definedName name="Tbuf_out_C_" localSheetId="7">'Calc Self Flow'!$T$11</definedName>
    <definedName name="Tbuf_out_C_">'Calc ESP'!$U$12</definedName>
    <definedName name="Tlin_mes_C_" localSheetId="6">'Calc GasLift'!$E$16</definedName>
    <definedName name="Tlin_mes_C_" localSheetId="7">'Calc Self Flow'!$E$16</definedName>
    <definedName name="Tlin_mes_C_">'Calc ESP'!$E$16</definedName>
    <definedName name="Tline_out_C_" localSheetId="6">'Calc GasLift'!$T$10</definedName>
    <definedName name="Tline_out_C_" localSheetId="7">'Calc Self Flow'!$T$10</definedName>
    <definedName name="Tline_out_C_">'Calc ESP'!$U$11</definedName>
    <definedName name="tmes_out_" localSheetId="6">'Calc GasLift'!$J$16:$J$36</definedName>
    <definedName name="tmes_out_" localSheetId="7">'Calc Self Flow'!$J$16:$J$36</definedName>
    <definedName name="tmes_out_">'Calc ESP'!$J$16:$J$36</definedName>
    <definedName name="Tout_C_" localSheetId="6">'Calc GasLift'!$Q$16:$Q$36</definedName>
    <definedName name="Tout_C_" localSheetId="7">'Calc Self Flow'!$Q$16:$Q$36</definedName>
    <definedName name="Tout_C_">'Calc ESP'!$Q$16:$Q$36</definedName>
    <definedName name="Tout_hmes_m_" localSheetId="6">'Calc GasLift'!$P$16:$P$36</definedName>
    <definedName name="Tout_hmes_m_" localSheetId="7">'Calc Self Flow'!$P$16:$P$36</definedName>
    <definedName name="Tout_hmes_m_">'Calc ESP'!$P$16:$P$36</definedName>
    <definedName name="Toutcas_C_">'Calc GasLift'!$S$16:$S$36</definedName>
    <definedName name="Toutcas_hmes_m_">'Calc GasLift'!$R$16:$R$36</definedName>
    <definedName name="Tres_C_" localSheetId="1">PVT!$G$14</definedName>
    <definedName name="Tsc_C_" localSheetId="1">PVT!$K$3</definedName>
    <definedName name="Tsep_C_" localSheetId="1">PVT!$O$10</definedName>
    <definedName name="Twf_out_C_" localSheetId="6">'Calc GasLift'!$T$12</definedName>
    <definedName name="Twf_out_C_" localSheetId="7">'Calc Self Flow'!$T$12</definedName>
    <definedName name="Twf_out_C_">'Calc ESP'!$U$13</definedName>
    <definedName name="Twh_C_" localSheetId="6">'Calc GasLift'!$M$7</definedName>
    <definedName name="Twh_C_">'Calc ESP'!$M$7</definedName>
    <definedName name="U_V_">ESP!$C$13</definedName>
    <definedName name="udl_out_m_">Construction!$R$18:$R$38</definedName>
    <definedName name="версия_">Unifloc!$A$1</definedName>
    <definedName name="версия_номер_">Unifloc!$B$1</definedName>
  </definedNames>
  <calcPr calcId="191029"/>
  <extLst>
    <ext xmlns:x14="http://schemas.microsoft.com/office/spreadsheetml/2009/9/main" uri="{8193D73E-4604-4355-AFF4-8A2333D13BE4}">
      <x14:definedNames>
        <x14:definedName name="MF_dp_choke_atm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_mix_cP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p_choke_atma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_mix_rc_m3day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liq_choke_sm3day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p_gas_fraction_m3m3">
          <x14:argumentDescriptions count="5">
            <x14:argumentDescription index="0">Доля свободного газа в потоке, безразмерная величина</x14:argumentDescription>
            <x14:argumentDescription index="1">Давление расчета, атма</x14:argumentDescription>
            <x14:argumentDescription index="2">Температура расчета, С</x14:argumentDescription>
            <x14:argumentDescription index="3">Обводненность объемная на поверхности, %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decode_string">
          <x14:argumentDescriptions count="2">
            <x14:argumentDescription index="0">PVT строка для раскодировки</x14:argumentDescription>
            <x14:argumentDescription index="1">Флаг проверки раскодировки. Если 1, то возвращается повторно закодированная строка, если 0 - то возвращается PVT объект (применимо только в коде VBA)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_gas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oil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wat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5">
            <x14:argumentDescription index="0">Температура расчета, С</x14:argumentDescription>
            <x14:argumentDescription index="1">Относительная плотность газа, по воздуху (плотность воздуха 1.2217 кг/м3)</x14:argumentDescription>
            <x14:argumentDescription index="2">Относительная плотность нефти, по воде</x14:argumentDescription>
            <x14:argumentDescription index="3">Относительная плотность воды</x14:argumentDescription>
            <x14:argumentDescription index="4">Газосодержание в нефти при давлении насыщения (в пластовых условиях), м3/м3</x14:argumentDescription>
            <x14:argumentDescription index="5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6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7">Температура пластовая (соответствует давлению насыщения), С</x14:argumentDescription>
            <x14:argumentDescription index="8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9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0">Набор PVT корреляций. 0 - на основе Стендинга, 1 - на основе Валко Маккейна</x14:argumentDescription>
            <x14:argumentDescription index="11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2">Давление при котором произошла сепарация части свободного газа, атма</x14:argumentDescription>
            <x14:argumentDescription index="13">Температура при которой произошла сепарация части свободного газа, С</x14:argumentDescription>
            <x14:argumentDescription index="1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inity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liq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oil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wat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8" i="4" l="1"/>
  <c r="E34" i="4"/>
  <c r="C24" i="4"/>
  <c r="C50" i="4"/>
  <c r="C41" i="4"/>
  <c r="M41" i="4"/>
  <c r="M37" i="4"/>
  <c r="M33" i="4"/>
  <c r="I33" i="4"/>
  <c r="I37" i="4"/>
  <c r="T36" i="4"/>
  <c r="E33" i="4"/>
  <c r="E37" i="4"/>
  <c r="V36" i="4"/>
  <c r="C45" i="4"/>
  <c r="C37" i="4"/>
  <c r="C33" i="4"/>
  <c r="C28" i="4"/>
  <c r="C7" i="7"/>
  <c r="I35" i="4"/>
  <c r="C19" i="4"/>
  <c r="T34" i="4"/>
  <c r="C44" i="4"/>
  <c r="B1" i="6"/>
  <c r="G24" i="4"/>
  <c r="C8" i="7"/>
  <c r="C34" i="4"/>
  <c r="V34" i="4"/>
  <c r="C38" i="4"/>
  <c r="M34" i="4"/>
  <c r="M36" i="4"/>
  <c r="M38" i="4"/>
  <c r="C9" i="7"/>
  <c r="M35" i="4"/>
  <c r="T35" i="4"/>
  <c r="AF10" i="9"/>
  <c r="E36" i="4"/>
  <c r="C36" i="4"/>
  <c r="C10" i="7"/>
  <c r="I38" i="4"/>
  <c r="E35" i="4"/>
  <c r="C46" i="4"/>
  <c r="V37" i="4"/>
  <c r="C35" i="4"/>
  <c r="I36" i="4"/>
  <c r="C29" i="4"/>
  <c r="I34" i="4"/>
  <c r="V35" i="4"/>
  <c r="C27" i="4"/>
  <c r="O2" i="9" l="1"/>
  <c r="J2" i="9"/>
  <c r="E2" i="9"/>
  <c r="E2" i="2"/>
  <c r="C10" i="2"/>
  <c r="C9" i="2"/>
  <c r="C6" i="2"/>
  <c r="H3" i="4"/>
  <c r="T37" i="4"/>
  <c r="K10" i="4" l="1"/>
  <c r="C8" i="2" s="1"/>
  <c r="V18" i="10" l="1"/>
  <c r="V17" i="10"/>
  <c r="V16" i="10"/>
  <c r="O2" i="10"/>
  <c r="J2" i="10"/>
  <c r="E2" i="10"/>
  <c r="X18" i="9"/>
  <c r="X17" i="9"/>
  <c r="X16" i="9"/>
  <c r="B57" i="4" l="1"/>
  <c r="W39" i="4"/>
  <c r="W38" i="4"/>
  <c r="AB37" i="4"/>
  <c r="AA37" i="4"/>
  <c r="AB36" i="4"/>
  <c r="AA36" i="4"/>
  <c r="AD35" i="4"/>
  <c r="AD34" i="4"/>
  <c r="C26" i="4"/>
  <c r="G25" i="4"/>
  <c r="C25" i="4"/>
  <c r="K12" i="4"/>
  <c r="W35" i="4" l="1"/>
  <c r="AB34" i="4" s="1"/>
  <c r="W37" i="4"/>
  <c r="AB35" i="4" s="1"/>
  <c r="W36" i="4"/>
  <c r="AB39" i="4" s="1"/>
  <c r="U35" i="4"/>
  <c r="AA34" i="4" s="1"/>
  <c r="U37" i="4"/>
  <c r="AA35" i="4" s="1"/>
  <c r="U36" i="4"/>
  <c r="AA39" i="4" s="1"/>
  <c r="W34" i="4"/>
  <c r="B80" i="4"/>
  <c r="F38" i="4"/>
  <c r="F34" i="4"/>
  <c r="F35" i="4"/>
  <c r="F37" i="4"/>
  <c r="F36" i="4"/>
  <c r="U34" i="4"/>
  <c r="AA33" i="4" s="1"/>
  <c r="F33" i="4"/>
  <c r="H5" i="7"/>
  <c r="C16" i="7"/>
  <c r="R35" i="4" l="1"/>
  <c r="AD33" i="4" s="1"/>
  <c r="AB33" i="4"/>
  <c r="B61" i="4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1" i="4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U18" i="2"/>
  <c r="V18" i="2"/>
  <c r="V17" i="2"/>
  <c r="V16" i="2"/>
  <c r="A4" i="6"/>
  <c r="A1" i="6"/>
  <c r="A1" i="10" l="1"/>
  <c r="A1" i="9"/>
  <c r="A1" i="4"/>
  <c r="A1" i="8"/>
  <c r="A1" i="2"/>
  <c r="A1" i="7"/>
  <c r="A1" i="3"/>
  <c r="O2" i="2" l="1"/>
  <c r="J2" i="2"/>
  <c r="C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4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4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3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3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4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4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4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5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5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5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5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6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6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7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7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8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8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8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8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9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9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9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40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40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40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9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51FB8876-3AC2-46D5-88E7-9A7C7FBFA7E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8398F41A-6DB7-48D2-BAEC-C22FC8B7173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4EEB3847-8D49-4184-B2AD-635A26366E0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5DDAABD9-81B8-4333-B91C-BF8D86BCBF0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53FD05B6-9814-470E-B9F9-41EA6FDBDB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893AABCE-78E5-4A03-93FC-8F749FB1D3B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994519C-DE1C-456A-AF46-5A264F796E8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3F2FEF5B-41E1-4F96-99C1-B6CD8385FB3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C2CCE89E-3BC9-4AB0-B69D-108710E9C724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E659F8AB-A731-46DC-A333-94A77134951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C71CEA1F-11C1-4F2F-B2A9-11126185204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E55D2CF-0ECF-4CB0-960B-C1AF92CC9FF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AE85BFBD-D2E0-4F28-B45A-E8C4B03099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BE00E118-D1EE-4893-AD14-F476231891E7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1A3D2AE4-E807-4862-BB7D-0C4B6009E51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28711583-A18C-4F35-B2F8-75317CE29F0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61CC350-E68A-48A6-8047-5A3C39D2EDB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917549DD-9915-4336-AA0A-324C4DBDB85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722109D0-DC45-42B8-9034-975CBDAE1A5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4226DED0-8401-4978-8DA6-16A640ED3051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<sst xmlns="http://schemas.openxmlformats.org/spreadsheetml/2006/main" count="456" uniqueCount="218">
  <si>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</si>
  <si>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</si>
  <si>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</si>
  <si>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</si>
  <si>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</si>
  <si>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</si>
  <si>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</si>
  <si>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</si>
  <si>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</si>
  <si>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</si>
  <si>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</si>
  <si>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</si>
  <si>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</si>
  <si>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</si>
  <si>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</si>
  <si>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</si>
  <si>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</si>
  <si>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</si>
  <si>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</si>
  <si>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</si>
  <si>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</si>
  <si>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</si>
  <si>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</si>
  <si>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</si>
  <si>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</si>
  <si>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</si>
  <si>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</si>
  <si>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</si>
  <si>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</si>
  <si>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</si>
  <si>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</si>
  <si>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</si>
  <si>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</si>
  <si>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</si>
  <si>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</si>
  <si>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</si>
  <si>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</si>
  <si>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</si>
  <si>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</si>
  <si>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</si>
  <si>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</si>
  <si>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</si>
  <si>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</si>
  <si>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</si>
  <si>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</si>
  <si>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</si>
  <si>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</si>
  <si>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</si>
  <si>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</si>
  <si>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</si>
  <si>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</si>
  <si>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</si>
  <si>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</si>
  <si>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</si>
  <si>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</si>
  <si>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</si>
  <si>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</si>
  <si>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</si>
  <si>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</si>
  <si>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</si>
  <si>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</si>
  <si>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</si>
  <si>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</si>
  <si>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</si>
  <si>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</si>
  <si>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</si>
  <si>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</si>
  <si>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</si>
  <si>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</si>
  <si>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</si>
  <si>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</si>
  <si>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</si>
  <si>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</si>
  <si>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</si>
  <si>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</si>
  <si>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</si>
  <si>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</si>
  <si>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</si>
  <si>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</si>
  <si>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</si>
  <si>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</si>
  <si>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</si>
  <si>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</si>
  <si>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</si>
  <si>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</si>
  <si>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</si>
  <si>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</si>
  <si>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</si>
  <si>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</si>
  <si>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</si>
  <si>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</si>
  <si>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</si>
  <si>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</si>
  <si>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</si>
  <si>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</si>
  <si>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</si>
  <si>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</si>
  <si>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</si>
  <si>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</si>
  <si>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</si>
  <si>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</si>
  <si>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</si>
  <si>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</si>
  <si>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</si>
  <si>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</si>
  <si>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</si>
  <si>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</si>
  <si>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</si>
  <si>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</si>
  <si>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</si>
  <si>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</si>
  <si>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</si>
  <si>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</si>
  <si>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</si>
  <si>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</si>
  <si>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</si>
  <si>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</si>
  <si>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</si>
  <si>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</si>
  <si>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</si>
  <si>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</si>
  <si>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</si>
  <si>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</si>
  <si>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</si>
  <si>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</si>
  <si>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</si>
  <si>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</si>
  <si>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</si>
  <si>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</si>
  <si>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</si>
  <si>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</si>
  <si>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</si>
  <si>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</si>
  <si>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</si>
  <si>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</si>
  <si>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</si>
  <si>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</si>
  <si>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</si>
  <si>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</si>
  <si>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</si>
  <si>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</si>
  <si>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</si>
  <si>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</si>
  <si>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</si>
  <si>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</si>
  <si>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</si>
  <si>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</si>
  <si>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</si>
  <si>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</si>
  <si>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</si>
  <si>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</si>
  <si>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</si>
  <si>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</si>
  <si>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</si>
  <si>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</si>
  <si>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</si>
  <si>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</si>
  <si>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</si>
  <si>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</si>
  <si>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</si>
  <si>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</si>
  <si>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</si>
  <si>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</si>
  <si>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</si>
  <si>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</si>
  <si>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</si>
  <si>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</si>
  <si>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</si>
  <si>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</si>
  <si>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</si>
  <si>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</si>
  <si>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</si>
  <si>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</si>
  <si>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</si>
  <si>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</si>
  <si>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</si>
  <si>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</si>
  <si>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</si>
  <si>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</si>
  <si>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</si>
  <si>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</si>
  <si>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</si>
  <si>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</si>
  <si>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</si>
  <si>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</si>
  <si>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</si>
  <si>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</si>
  <si>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</si>
  <si>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</si>
  <si>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</si>
  <si>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</si>
  <si>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</si>
  <si>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</si>
  <si>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</si>
  <si>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</si>
  <si>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</si>
  <si>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</si>
  <si>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</si>
  <si>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</si>
  <si>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hmes ptub</t>
  </si>
  <si>
    <t>Ptub</t>
  </si>
  <si>
    <t>Ttub</t>
  </si>
  <si>
    <t>Hl</t>
  </si>
  <si>
    <t>Tamb</t>
  </si>
  <si>
    <t>атмa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</si>
  <si>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</si>
  <si>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buf</t>
    </r>
  </si>
  <si>
    <t>Ввод данных по газлифтной компоновке</t>
  </si>
  <si>
    <t>Кол-клапанов</t>
  </si>
  <si>
    <t>Глубины расположения клапанов</t>
  </si>
  <si>
    <t>Диаметр</t>
  </si>
  <si>
    <t>Давление зарядки</t>
  </si>
  <si>
    <t>Qg_inj</t>
  </si>
  <si>
    <t>hmes Tamb</t>
  </si>
  <si>
    <t>hmes Ttub</t>
  </si>
  <si>
    <t>Tcas</t>
  </si>
  <si>
    <t>pcas</t>
  </si>
  <si>
    <t>PVT строка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</si>
</sst>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2" xfId="0" applyBorder="1"/>
    <xf numFmtId="0" fontId="0" fillId="8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12" fillId="0" borderId="0" xfId="0" applyFont="1"/>
    <xf numFmtId="0" fontId="10" fillId="0" borderId="0" xfId="0" applyFont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/>
    <xf numFmtId="0" fontId="13" fillId="0" borderId="0" xfId="0" applyFont="1" applyAlignment="1">
      <alignment wrapText="1"/>
    </xf>
    <xf numFmtId="0" fontId="0" fillId="4" borderId="0" xfId="0" applyFill="1"/>
    <xf numFmtId="0" fontId="0" fillId="4" borderId="0" xfId="0" applyFill="1" applyAlignment="1">
      <alignment wrapText="1"/>
    </xf>
    <xf numFmtId="165" fontId="0" fillId="4" borderId="0" xfId="0" applyNumberFormat="1" applyFill="1" applyAlignment="1">
      <alignment horizontal="center"/>
    </xf>
    <xf numFmtId="0" fontId="16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PVT!$D$59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PVT!$D$60:$D$100</c:f>
              <c:numCache>
                <c:formatCode>General</c:formatCode>
                <c:ptCount val="41"/>
                <c:pt idx="0">
                  <c:v>0.39198639768953764</c:v>
                </c:pt>
                <c:pt idx="1">
                  <c:v>3.330693979468156</c:v>
                </c:pt>
                <c:pt idx="2">
                  <c:v>6.8988737311188588</c:v>
                </c:pt>
                <c:pt idx="3">
                  <c:v>10.825286830931745</c:v>
                </c:pt>
                <c:pt idx="4">
                  <c:v>15.01389788560717</c:v>
                </c:pt>
                <c:pt idx="5">
                  <c:v>19.412643909507473</c:v>
                </c:pt>
                <c:pt idx="6">
                  <c:v>23.988268741157043</c:v>
                </c:pt>
                <c:pt idx="7">
                  <c:v>28.717472444881921</c:v>
                </c:pt>
                <c:pt idx="8">
                  <c:v>33.582919059001995</c:v>
                </c:pt>
                <c:pt idx="9">
                  <c:v>38.571150547805694</c:v>
                </c:pt>
                <c:pt idx="10">
                  <c:v>43.671383204425346</c:v>
                </c:pt>
                <c:pt idx="11">
                  <c:v>48.874761381642415</c:v>
                </c:pt>
                <c:pt idx="12">
                  <c:v>54.173868679626857</c:v>
                </c:pt>
                <c:pt idx="13">
                  <c:v>59.562393590542591</c:v>
                </c:pt>
                <c:pt idx="14">
                  <c:v>65.034892614042533</c:v>
                </c:pt>
                <c:pt idx="15">
                  <c:v>70.586617473020823</c:v>
                </c:pt>
                <c:pt idx="16">
                  <c:v>76.213385956574797</c:v>
                </c:pt>
                <c:pt idx="17">
                  <c:v>81.911483331315523</c:v>
                </c:pt>
                <c:pt idx="18">
                  <c:v>87.677585711374817</c:v>
                </c:pt>
                <c:pt idx="19">
                  <c:v>93.508699547004454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PVT!$E$59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PVT!$E$60:$E$100</c:f>
              <c:numCache>
                <c:formatCode>General</c:formatCode>
                <c:ptCount val="41"/>
                <c:pt idx="0">
                  <c:v>0.39198639768953764</c:v>
                </c:pt>
                <c:pt idx="1">
                  <c:v>3.330693979468156</c:v>
                </c:pt>
                <c:pt idx="2">
                  <c:v>6.8988737311188588</c:v>
                </c:pt>
                <c:pt idx="3">
                  <c:v>10.825286830931745</c:v>
                </c:pt>
                <c:pt idx="4">
                  <c:v>15.01389788560717</c:v>
                </c:pt>
                <c:pt idx="5">
                  <c:v>19.412643909507473</c:v>
                </c:pt>
                <c:pt idx="6">
                  <c:v>23.988268741157043</c:v>
                </c:pt>
                <c:pt idx="7">
                  <c:v>28.717472444881921</c:v>
                </c:pt>
                <c:pt idx="8">
                  <c:v>33.582919059001995</c:v>
                </c:pt>
                <c:pt idx="9">
                  <c:v>38.571150547805694</c:v>
                </c:pt>
                <c:pt idx="10">
                  <c:v>43.671383204425346</c:v>
                </c:pt>
                <c:pt idx="11">
                  <c:v>48.874761381642415</c:v>
                </c:pt>
                <c:pt idx="12">
                  <c:v>54.173868679626857</c:v>
                </c:pt>
                <c:pt idx="13">
                  <c:v>59.562393590542591</c:v>
                </c:pt>
                <c:pt idx="14">
                  <c:v>65.034892614042533</c:v>
                </c:pt>
                <c:pt idx="15">
                  <c:v>70.586617473020823</c:v>
                </c:pt>
                <c:pt idx="16">
                  <c:v>76.213385956574797</c:v>
                </c:pt>
                <c:pt idx="17">
                  <c:v>81.911483331315523</c:v>
                </c:pt>
                <c:pt idx="18">
                  <c:v>87.677585711374817</c:v>
                </c:pt>
                <c:pt idx="19">
                  <c:v>93.508699547004454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PVT!$F$59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PVT!$F$60:$F$100</c:f>
              <c:numCache>
                <c:formatCode>General</c:formatCode>
                <c:ptCount val="41"/>
                <c:pt idx="0">
                  <c:v>0.24522533964564697</c:v>
                </c:pt>
                <c:pt idx="1">
                  <c:v>2.0836706762914035</c:v>
                </c:pt>
                <c:pt idx="2">
                  <c:v>4.3159116333061673</c:v>
                </c:pt>
                <c:pt idx="3">
                  <c:v>6.7722621384921586</c:v>
                </c:pt>
                <c:pt idx="4">
                  <c:v>9.3926427807302151</c:v>
                </c:pt>
                <c:pt idx="5">
                  <c:v>12.144483135609654</c:v>
                </c:pt>
                <c:pt idx="6">
                  <c:v>15.006978263108998</c:v>
                </c:pt>
                <c:pt idx="7">
                  <c:v>17.965551803760047</c:v>
                </c:pt>
                <c:pt idx="8">
                  <c:v>21.009358439673843</c:v>
                </c:pt>
                <c:pt idx="9">
                  <c:v>24.129978870084365</c:v>
                </c:pt>
                <c:pt idx="10">
                  <c:v>27.32066684513488</c:v>
                </c:pt>
                <c:pt idx="11">
                  <c:v>30.575882302441194</c:v>
                </c:pt>
                <c:pt idx="12">
                  <c:v>33.890985567825872</c:v>
                </c:pt>
                <c:pt idx="13">
                  <c:v>37.262028183735517</c:v>
                </c:pt>
                <c:pt idx="14">
                  <c:v>40.685604715110827</c:v>
                </c:pt>
                <c:pt idx="15">
                  <c:v>44.158744656156443</c:v>
                </c:pt>
                <c:pt idx="16">
                  <c:v>47.678831630143243</c:v>
                </c:pt>
                <c:pt idx="17">
                  <c:v>51.243541712663692</c:v>
                </c:pt>
                <c:pt idx="18">
                  <c:v>54.850795492172466</c:v>
                </c:pt>
                <c:pt idx="19">
                  <c:v>58.498720214262562</c:v>
                </c:pt>
                <c:pt idx="20">
                  <c:v>62.185619469288788</c:v>
                </c:pt>
                <c:pt idx="21">
                  <c:v>69.832391150560952</c:v>
                </c:pt>
                <c:pt idx="22">
                  <c:v>77.623947773431695</c:v>
                </c:pt>
                <c:pt idx="23">
                  <c:v>85.550488074551552</c:v>
                </c:pt>
                <c:pt idx="24">
                  <c:v>93.603592056427246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PVT!$J$59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PVT!$J$60:$J$100</c:f>
              <c:numCache>
                <c:formatCode>General</c:formatCode>
                <c:ptCount val="41"/>
                <c:pt idx="0">
                  <c:v>855.74466160740519</c:v>
                </c:pt>
                <c:pt idx="1">
                  <c:v>855.00134570104126</c:v>
                </c:pt>
                <c:pt idx="2">
                  <c:v>854.01477042205386</c:v>
                </c:pt>
                <c:pt idx="3">
                  <c:v>852.83637592135608</c:v>
                </c:pt>
                <c:pt idx="4">
                  <c:v>851.48634587392849</c:v>
                </c:pt>
                <c:pt idx="5">
                  <c:v>849.97891727027388</c:v>
                </c:pt>
                <c:pt idx="6">
                  <c:v>848.32609244149762</c:v>
                </c:pt>
                <c:pt idx="7">
                  <c:v>846.5386453140668</c:v>
                </c:pt>
                <c:pt idx="8">
                  <c:v>844.6264853189075</c:v>
                </c:pt>
                <c:pt idx="9">
                  <c:v>842.59882328529204</c:v>
                </c:pt>
                <c:pt idx="10">
                  <c:v>840.46426480407308</c:v>
                </c:pt>
                <c:pt idx="11">
                  <c:v>838.23087278509183</c:v>
                </c:pt>
                <c:pt idx="12">
                  <c:v>835.90621485395764</c:v>
                </c:pt>
                <c:pt idx="13">
                  <c:v>833.49740210522918</c:v>
                </c:pt>
                <c:pt idx="14">
                  <c:v>831.01112223038695</c:v>
                </c:pt>
                <c:pt idx="15">
                  <c:v>828.45366858659111</c:v>
                </c:pt>
                <c:pt idx="16">
                  <c:v>825.83096611926464</c:v>
                </c:pt>
                <c:pt idx="17">
                  <c:v>823.14859473129854</c:v>
                </c:pt>
                <c:pt idx="18">
                  <c:v>820.41181051867727</c:v>
                </c:pt>
                <c:pt idx="19">
                  <c:v>817.62556518900601</c:v>
                </c:pt>
                <c:pt idx="20">
                  <c:v>814.79452391165955</c:v>
                </c:pt>
                <c:pt idx="21">
                  <c:v>816.31886533150612</c:v>
                </c:pt>
                <c:pt idx="22">
                  <c:v>817.82934178467667</c:v>
                </c:pt>
                <c:pt idx="23">
                  <c:v>819.10762558452825</c:v>
                </c:pt>
                <c:pt idx="24">
                  <c:v>820.20343359464277</c:v>
                </c:pt>
                <c:pt idx="25">
                  <c:v>821.15323476887397</c:v>
                </c:pt>
                <c:pt idx="26">
                  <c:v>821.98438713735209</c:v>
                </c:pt>
                <c:pt idx="27">
                  <c:v>822.71781569655047</c:v>
                </c:pt>
                <c:pt idx="28">
                  <c:v>823.36979824746538</c:v>
                </c:pt>
                <c:pt idx="29">
                  <c:v>823.95318762631814</c:v>
                </c:pt>
                <c:pt idx="30">
                  <c:v>824.47826747443958</c:v>
                </c:pt>
                <c:pt idx="31">
                  <c:v>824.95336363342642</c:v>
                </c:pt>
                <c:pt idx="32">
                  <c:v>825.38528888060375</c:v>
                </c:pt>
                <c:pt idx="33">
                  <c:v>825.77967170225872</c:v>
                </c:pt>
                <c:pt idx="34">
                  <c:v>826.14120291110112</c:v>
                </c:pt>
                <c:pt idx="35">
                  <c:v>826.47382310129922</c:v>
                </c:pt>
                <c:pt idx="36">
                  <c:v>826.78086686265169</c:v>
                </c:pt>
                <c:pt idx="37">
                  <c:v>827.06517495992159</c:v>
                </c:pt>
                <c:pt idx="38">
                  <c:v>827.3291824829206</c:v>
                </c:pt>
                <c:pt idx="39">
                  <c:v>827.57498876533236</c:v>
                </c:pt>
                <c:pt idx="40">
                  <c:v>827.80441332470468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PVT!$K$59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PVT!$K$60:$K$100</c:f>
              <c:numCache>
                <c:formatCode>General</c:formatCode>
                <c:ptCount val="41"/>
                <c:pt idx="0">
                  <c:v>855.74466160740519</c:v>
                </c:pt>
                <c:pt idx="1">
                  <c:v>855.00134570104126</c:v>
                </c:pt>
                <c:pt idx="2">
                  <c:v>854.01477042205386</c:v>
                </c:pt>
                <c:pt idx="3">
                  <c:v>852.83637592135608</c:v>
                </c:pt>
                <c:pt idx="4">
                  <c:v>851.48634587392849</c:v>
                </c:pt>
                <c:pt idx="5">
                  <c:v>849.97891727027388</c:v>
                </c:pt>
                <c:pt idx="6">
                  <c:v>848.32609244149762</c:v>
                </c:pt>
                <c:pt idx="7">
                  <c:v>846.5386453140668</c:v>
                </c:pt>
                <c:pt idx="8">
                  <c:v>844.6264853189075</c:v>
                </c:pt>
                <c:pt idx="9">
                  <c:v>842.59882328529204</c:v>
                </c:pt>
                <c:pt idx="10">
                  <c:v>840.46426480407308</c:v>
                </c:pt>
                <c:pt idx="11">
                  <c:v>838.23087278509183</c:v>
                </c:pt>
                <c:pt idx="12">
                  <c:v>835.90621485395764</c:v>
                </c:pt>
                <c:pt idx="13">
                  <c:v>833.49740210522918</c:v>
                </c:pt>
                <c:pt idx="14">
                  <c:v>831.01112223038695</c:v>
                </c:pt>
                <c:pt idx="15">
                  <c:v>828.45366858659111</c:v>
                </c:pt>
                <c:pt idx="16">
                  <c:v>825.83096611926464</c:v>
                </c:pt>
                <c:pt idx="17">
                  <c:v>823.14859473129854</c:v>
                </c:pt>
                <c:pt idx="18">
                  <c:v>820.41181051867727</c:v>
                </c:pt>
                <c:pt idx="19">
                  <c:v>817.62556518900601</c:v>
                </c:pt>
                <c:pt idx="20">
                  <c:v>814.79452391165955</c:v>
                </c:pt>
                <c:pt idx="21">
                  <c:v>816.31886533150612</c:v>
                </c:pt>
                <c:pt idx="22">
                  <c:v>817.82934178467667</c:v>
                </c:pt>
                <c:pt idx="23">
                  <c:v>819.10762558452825</c:v>
                </c:pt>
                <c:pt idx="24">
                  <c:v>820.20343359464277</c:v>
                </c:pt>
                <c:pt idx="25">
                  <c:v>821.15323476887397</c:v>
                </c:pt>
                <c:pt idx="26">
                  <c:v>821.98438713735209</c:v>
                </c:pt>
                <c:pt idx="27">
                  <c:v>822.71781569655047</c:v>
                </c:pt>
                <c:pt idx="28">
                  <c:v>823.36979824746538</c:v>
                </c:pt>
                <c:pt idx="29">
                  <c:v>823.95318762631814</c:v>
                </c:pt>
                <c:pt idx="30">
                  <c:v>824.47826747443958</c:v>
                </c:pt>
                <c:pt idx="31">
                  <c:v>824.95336363342642</c:v>
                </c:pt>
                <c:pt idx="32">
                  <c:v>825.38528888060375</c:v>
                </c:pt>
                <c:pt idx="33">
                  <c:v>825.77967170225872</c:v>
                </c:pt>
                <c:pt idx="34">
                  <c:v>826.14120291110112</c:v>
                </c:pt>
                <c:pt idx="35">
                  <c:v>826.47382310129922</c:v>
                </c:pt>
                <c:pt idx="36">
                  <c:v>826.78086686265169</c:v>
                </c:pt>
                <c:pt idx="37">
                  <c:v>827.06517495992159</c:v>
                </c:pt>
                <c:pt idx="38">
                  <c:v>827.3291824829206</c:v>
                </c:pt>
                <c:pt idx="39">
                  <c:v>827.57498876533236</c:v>
                </c:pt>
                <c:pt idx="40">
                  <c:v>827.80441332470468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PVT!$L$59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PVT!$L$60:$L$100</c:f>
              <c:numCache>
                <c:formatCode>General</c:formatCode>
                <c:ptCount val="41"/>
                <c:pt idx="0">
                  <c:v>853.36501910466143</c:v>
                </c:pt>
                <c:pt idx="1">
                  <c:v>851.81754557754698</c:v>
                </c:pt>
                <c:pt idx="2">
                  <c:v>849.89602297964996</c:v>
                </c:pt>
                <c:pt idx="3">
                  <c:v>847.73394434232841</c:v>
                </c:pt>
                <c:pt idx="4">
                  <c:v>845.37945794485836</c:v>
                </c:pt>
                <c:pt idx="5">
                  <c:v>842.8605958899708</c:v>
                </c:pt>
                <c:pt idx="6">
                  <c:v>840.19713819442973</c:v>
                </c:pt>
                <c:pt idx="7">
                  <c:v>837.4045702766756</c:v>
                </c:pt>
                <c:pt idx="8">
                  <c:v>834.49578079704759</c:v>
                </c:pt>
                <c:pt idx="9">
                  <c:v>831.48191152527806</c:v>
                </c:pt>
                <c:pt idx="10">
                  <c:v>828.37283206381744</c:v>
                </c:pt>
                <c:pt idx="11">
                  <c:v>825.17742845397902</c:v>
                </c:pt>
                <c:pt idx="12">
                  <c:v>821.90379108716832</c:v>
                </c:pt>
                <c:pt idx="13">
                  <c:v>818.55934423731026</c:v>
                </c:pt>
                <c:pt idx="14">
                  <c:v>815.15093975456739</c:v>
                </c:pt>
                <c:pt idx="15">
                  <c:v>811.68492766303518</c:v>
                </c:pt>
                <c:pt idx="16">
                  <c:v>808.16721123705156</c:v>
                </c:pt>
                <c:pt idx="17">
                  <c:v>804.60329125721387</c:v>
                </c:pt>
                <c:pt idx="18">
                  <c:v>800.99830247561226</c:v>
                </c:pt>
                <c:pt idx="19">
                  <c:v>797.35704430831811</c:v>
                </c:pt>
                <c:pt idx="20">
                  <c:v>793.68400713947676</c:v>
                </c:pt>
                <c:pt idx="21">
                  <c:v>786.09891267606145</c:v>
                </c:pt>
                <c:pt idx="22">
                  <c:v>778.4309577060435</c:v>
                </c:pt>
                <c:pt idx="23">
                  <c:v>770.70861699364718</c:v>
                </c:pt>
                <c:pt idx="24">
                  <c:v>762.95682604567833</c:v>
                </c:pt>
                <c:pt idx="25">
                  <c:v>757.22963411265869</c:v>
                </c:pt>
                <c:pt idx="26">
                  <c:v>758.36145954663607</c:v>
                </c:pt>
                <c:pt idx="27">
                  <c:v>759.36066205184477</c:v>
                </c:pt>
                <c:pt idx="28">
                  <c:v>760.24926113498736</c:v>
                </c:pt>
                <c:pt idx="29">
                  <c:v>761.04465751199837</c:v>
                </c:pt>
                <c:pt idx="30">
                  <c:v>761.76078377546401</c:v>
                </c:pt>
                <c:pt idx="31">
                  <c:v>762.40892740119614</c:v>
                </c:pt>
                <c:pt idx="32">
                  <c:v>762.99833001386889</c:v>
                </c:pt>
                <c:pt idx="33">
                  <c:v>763.5366307977298</c:v>
                </c:pt>
                <c:pt idx="34">
                  <c:v>764.03019937674458</c:v>
                </c:pt>
                <c:pt idx="35">
                  <c:v>764.48438902584849</c:v>
                </c:pt>
                <c:pt idx="36">
                  <c:v>764.9037316048649</c:v>
                </c:pt>
                <c:pt idx="37">
                  <c:v>765.29208928494904</c:v>
                </c:pt>
                <c:pt idx="38">
                  <c:v>765.65277384253875</c:v>
                </c:pt>
                <c:pt idx="39">
                  <c:v>765.98864133057157</c:v>
                </c:pt>
                <c:pt idx="40">
                  <c:v>766.30216785897346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PVT!$G$59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PVT!$G$60:$G$100</c:f>
              <c:numCache>
                <c:formatCode>General</c:formatCode>
                <c:ptCount val="41"/>
                <c:pt idx="0">
                  <c:v>1.0053644053489181</c:v>
                </c:pt>
                <c:pt idx="1">
                  <c:v>1.0091777989855981</c:v>
                </c:pt>
                <c:pt idx="2">
                  <c:v>1.013916711766224</c:v>
                </c:pt>
                <c:pt idx="3">
                  <c:v>1.0192549257832111</c:v>
                </c:pt>
                <c:pt idx="4">
                  <c:v>1.0250777825884545</c:v>
                </c:pt>
                <c:pt idx="5">
                  <c:v>1.0313214611959987</c:v>
                </c:pt>
                <c:pt idx="6">
                  <c:v>1.0379434693687348</c:v>
                </c:pt>
                <c:pt idx="7">
                  <c:v>1.0449125980916869</c:v>
                </c:pt>
                <c:pt idx="8">
                  <c:v>1.052204485648484</c:v>
                </c:pt>
                <c:pt idx="9">
                  <c:v>1.0597993227135396</c:v>
                </c:pt>
                <c:pt idx="10">
                  <c:v>1.0676805282277884</c:v>
                </c:pt>
                <c:pt idx="11">
                  <c:v>1.0758339217328878</c:v>
                </c:pt>
                <c:pt idx="12">
                  <c:v>1.0842471734876096</c:v>
                </c:pt>
                <c:pt idx="13">
                  <c:v>1.0929094212817836</c:v>
                </c:pt>
                <c:pt idx="14">
                  <c:v>1.1018109930431956</c:v>
                </c:pt>
                <c:pt idx="15">
                  <c:v>1.1109431997168528</c:v>
                </c:pt>
                <c:pt idx="16">
                  <c:v>1.120298176615711</c:v>
                </c:pt>
                <c:pt idx="17">
                  <c:v>1.1298687592775458</c:v>
                </c:pt>
                <c:pt idx="18">
                  <c:v>1.1396483845514132</c:v>
                </c:pt>
                <c:pt idx="19">
                  <c:v>1.1496310105571559</c:v>
                </c:pt>
                <c:pt idx="20">
                  <c:v>1.1598110510438144</c:v>
                </c:pt>
                <c:pt idx="21">
                  <c:v>1.1582716511347877</c:v>
                </c:pt>
                <c:pt idx="22">
                  <c:v>1.1561324003571178</c:v>
                </c:pt>
                <c:pt idx="23">
                  <c:v>1.1543281620962356</c:v>
                </c:pt>
                <c:pt idx="24">
                  <c:v>1.1527859568401784</c:v>
                </c:pt>
                <c:pt idx="25">
                  <c:v>1.1514525669086972</c:v>
                </c:pt>
                <c:pt idx="26">
                  <c:v>1.1502882716457308</c:v>
                </c:pt>
                <c:pt idx="27">
                  <c:v>1.1492628237295195</c:v>
                </c:pt>
                <c:pt idx="28">
                  <c:v>1.1483527839040586</c:v>
                </c:pt>
                <c:pt idx="29">
                  <c:v>1.1475397075941829</c:v>
                </c:pt>
                <c:pt idx="30">
                  <c:v>1.146808881811203</c:v>
                </c:pt>
                <c:pt idx="31">
                  <c:v>1.1461484269068909</c:v>
                </c:pt>
                <c:pt idx="32">
                  <c:v>1.1455486458721875</c:v>
                </c:pt>
                <c:pt idx="33">
                  <c:v>1.145001545086368</c:v>
                </c:pt>
                <c:pt idx="34">
                  <c:v>1.1445004760303001</c:v>
                </c:pt>
                <c:pt idx="35">
                  <c:v>1.144039863781759</c:v>
                </c:pt>
                <c:pt idx="36">
                  <c:v>1.1436149987213886</c:v>
                </c:pt>
                <c:pt idx="37">
                  <c:v>1.1432218749215484</c:v>
                </c:pt>
                <c:pt idx="38">
                  <c:v>1.1428570634513056</c:v>
                </c:pt>
                <c:pt idx="39">
                  <c:v>1.1425176121025957</c:v>
                </c:pt>
                <c:pt idx="40">
                  <c:v>1.1422009653252743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PVT!$H$59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PVT!$H$60:$H$100</c:f>
              <c:numCache>
                <c:formatCode>General</c:formatCode>
                <c:ptCount val="41"/>
                <c:pt idx="0">
                  <c:v>1.0053644053489181</c:v>
                </c:pt>
                <c:pt idx="1">
                  <c:v>1.0091777989855981</c:v>
                </c:pt>
                <c:pt idx="2">
                  <c:v>1.013916711766224</c:v>
                </c:pt>
                <c:pt idx="3">
                  <c:v>1.0192549257832111</c:v>
                </c:pt>
                <c:pt idx="4">
                  <c:v>1.0250777825884545</c:v>
                </c:pt>
                <c:pt idx="5">
                  <c:v>1.0313214611959987</c:v>
                </c:pt>
                <c:pt idx="6">
                  <c:v>1.0379434693687348</c:v>
                </c:pt>
                <c:pt idx="7">
                  <c:v>1.0449125980916869</c:v>
                </c:pt>
                <c:pt idx="8">
                  <c:v>1.052204485648484</c:v>
                </c:pt>
                <c:pt idx="9">
                  <c:v>1.0597993227135396</c:v>
                </c:pt>
                <c:pt idx="10">
                  <c:v>1.0676805282277884</c:v>
                </c:pt>
                <c:pt idx="11">
                  <c:v>1.0758339217328878</c:v>
                </c:pt>
                <c:pt idx="12">
                  <c:v>1.0842471734876096</c:v>
                </c:pt>
                <c:pt idx="13">
                  <c:v>1.0929094212817836</c:v>
                </c:pt>
                <c:pt idx="14">
                  <c:v>1.1018109930431956</c:v>
                </c:pt>
                <c:pt idx="15">
                  <c:v>1.1109431997168528</c:v>
                </c:pt>
                <c:pt idx="16">
                  <c:v>1.120298176615711</c:v>
                </c:pt>
                <c:pt idx="17">
                  <c:v>1.1298687592775458</c:v>
                </c:pt>
                <c:pt idx="18">
                  <c:v>1.1396483845514132</c:v>
                </c:pt>
                <c:pt idx="19">
                  <c:v>1.1496310105571559</c:v>
                </c:pt>
                <c:pt idx="20">
                  <c:v>1.1598110510438144</c:v>
                </c:pt>
                <c:pt idx="21">
                  <c:v>1.1582716511347877</c:v>
                </c:pt>
                <c:pt idx="22">
                  <c:v>1.1561324003571178</c:v>
                </c:pt>
                <c:pt idx="23">
                  <c:v>1.1543281620962356</c:v>
                </c:pt>
                <c:pt idx="24">
                  <c:v>1.1527859568401784</c:v>
                </c:pt>
                <c:pt idx="25">
                  <c:v>1.1514525669086972</c:v>
                </c:pt>
                <c:pt idx="26">
                  <c:v>1.1502882716457308</c:v>
                </c:pt>
                <c:pt idx="27">
                  <c:v>1.1492628237295195</c:v>
                </c:pt>
                <c:pt idx="28">
                  <c:v>1.1483527839040586</c:v>
                </c:pt>
                <c:pt idx="29">
                  <c:v>1.1475397075941829</c:v>
                </c:pt>
                <c:pt idx="30">
                  <c:v>1.146808881811203</c:v>
                </c:pt>
                <c:pt idx="31">
                  <c:v>1.1461484269068909</c:v>
                </c:pt>
                <c:pt idx="32">
                  <c:v>1.1455486458721875</c:v>
                </c:pt>
                <c:pt idx="33">
                  <c:v>1.145001545086368</c:v>
                </c:pt>
                <c:pt idx="34">
                  <c:v>1.1445004760303001</c:v>
                </c:pt>
                <c:pt idx="35">
                  <c:v>1.144039863781759</c:v>
                </c:pt>
                <c:pt idx="36">
                  <c:v>1.1436149987213886</c:v>
                </c:pt>
                <c:pt idx="37">
                  <c:v>1.1432218749215484</c:v>
                </c:pt>
                <c:pt idx="38">
                  <c:v>1.1428570634513056</c:v>
                </c:pt>
                <c:pt idx="39">
                  <c:v>1.1425176121025957</c:v>
                </c:pt>
                <c:pt idx="40">
                  <c:v>1.1422009653252743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PVT!$I$59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PVT!$I$60:$I$100</c:f>
              <c:numCache>
                <c:formatCode>General</c:formatCode>
                <c:ptCount val="41"/>
                <c:pt idx="0">
                  <c:v>1.0080208293055315</c:v>
                </c:pt>
                <c:pt idx="1">
                  <c:v>1.0116977970221952</c:v>
                </c:pt>
                <c:pt idx="2">
                  <c:v>1.0162312813768366</c:v>
                </c:pt>
                <c:pt idx="3">
                  <c:v>1.0213010539879912</c:v>
                </c:pt>
                <c:pt idx="4">
                  <c:v>1.0267962936902495</c:v>
                </c:pt>
                <c:pt idx="5">
                  <c:v>1.0326569361256086</c:v>
                </c:pt>
                <c:pt idx="6">
                  <c:v>1.0388440736855331</c:v>
                </c:pt>
                <c:pt idx="7">
                  <c:v>1.0453298098884751</c:v>
                </c:pt>
                <c:pt idx="8">
                  <c:v>1.0520927887801381</c:v>
                </c:pt>
                <c:pt idx="9">
                  <c:v>1.0591159042948526</c:v>
                </c:pt>
                <c:pt idx="10">
                  <c:v>1.0663849982603448</c:v>
                </c:pt>
                <c:pt idx="11">
                  <c:v>1.073888061197309</c:v>
                </c:pt>
                <c:pt idx="12">
                  <c:v>1.0816147115854664</c:v>
                </c:pt>
                <c:pt idx="13">
                  <c:v>1.0895558399781531</c:v>
                </c:pt>
                <c:pt idx="14">
                  <c:v>1.0977033560995806</c:v>
                </c:pt>
                <c:pt idx="15">
                  <c:v>1.1060500032041969</c:v>
                </c:pt>
                <c:pt idx="16">
                  <c:v>1.1145892180443424</c:v>
                </c:pt>
                <c:pt idx="17">
                  <c:v>1.1233150227673139</c:v>
                </c:pt>
                <c:pt idx="18">
                  <c:v>1.1322219397893958</c:v>
                </c:pt>
                <c:pt idx="19">
                  <c:v>1.1413049236047763</c:v>
                </c:pt>
                <c:pt idx="20">
                  <c:v>1.1505593053400971</c:v>
                </c:pt>
                <c:pt idx="21">
                  <c:v>1.169979944962791</c:v>
                </c:pt>
                <c:pt idx="22">
                  <c:v>1.1900647253628218</c:v>
                </c:pt>
                <c:pt idx="23">
                  <c:v>1.2107843370644027</c:v>
                </c:pt>
                <c:pt idx="24">
                  <c:v>1.2321127799103735</c:v>
                </c:pt>
                <c:pt idx="25">
                  <c:v>1.2486555694666963</c:v>
                </c:pt>
                <c:pt idx="26">
                  <c:v>1.2467919988513796</c:v>
                </c:pt>
                <c:pt idx="27">
                  <c:v>1.2451514112479076</c:v>
                </c:pt>
                <c:pt idx="28">
                  <c:v>1.2436960459368558</c:v>
                </c:pt>
                <c:pt idx="29">
                  <c:v>1.2423962124523464</c:v>
                </c:pt>
                <c:pt idx="30">
                  <c:v>1.2412282440082927</c:v>
                </c:pt>
                <c:pt idx="31">
                  <c:v>1.2401730436485923</c:v>
                </c:pt>
                <c:pt idx="32">
                  <c:v>1.2392150320732858</c:v>
                </c:pt>
                <c:pt idx="33">
                  <c:v>1.2383413733695241</c:v>
                </c:pt>
                <c:pt idx="34">
                  <c:v>1.2375413966245108</c:v>
                </c:pt>
                <c:pt idx="35">
                  <c:v>1.2368061579450125</c:v>
                </c:pt>
                <c:pt idx="36">
                  <c:v>1.2361281046651209</c:v>
                </c:pt>
                <c:pt idx="37">
                  <c:v>1.2355008149678459</c:v>
                </c:pt>
                <c:pt idx="38">
                  <c:v>1.2349187938741168</c:v>
                </c:pt>
                <c:pt idx="39">
                  <c:v>1.2343773118587928</c:v>
                </c:pt>
                <c:pt idx="40">
                  <c:v>1.2338722760523479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PVT!$M$59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PVT!$M$60:$M$100</c:f>
              <c:numCache>
                <c:formatCode>General</c:formatCode>
                <c:ptCount val="41"/>
                <c:pt idx="0">
                  <c:v>8.699673907270034</c:v>
                </c:pt>
                <c:pt idx="1">
                  <c:v>7.2795800752869804</c:v>
                </c:pt>
                <c:pt idx="2">
                  <c:v>6.0401381812669444</c:v>
                </c:pt>
                <c:pt idx="3">
                  <c:v>5.0615348045428519</c:v>
                </c:pt>
                <c:pt idx="4">
                  <c:v>4.2986777188826739</c:v>
                </c:pt>
                <c:pt idx="5">
                  <c:v>3.7002264522084776</c:v>
                </c:pt>
                <c:pt idx="6">
                  <c:v>3.2250051908612867</c:v>
                </c:pt>
                <c:pt idx="7">
                  <c:v>2.8424457876306803</c:v>
                </c:pt>
                <c:pt idx="8">
                  <c:v>2.530283382084316</c:v>
                </c:pt>
                <c:pt idx="9">
                  <c:v>2.2722899572312136</c:v>
                </c:pt>
                <c:pt idx="10">
                  <c:v>2.0565368095672496</c:v>
                </c:pt>
                <c:pt idx="11">
                  <c:v>1.874153207376293</c:v>
                </c:pt>
                <c:pt idx="12">
                  <c:v>1.7184584723758236</c:v>
                </c:pt>
                <c:pt idx="13">
                  <c:v>1.5843568380798965</c:v>
                </c:pt>
                <c:pt idx="14">
                  <c:v>1.4679131960280634</c:v>
                </c:pt>
                <c:pt idx="15">
                  <c:v>1.3660528706447512</c:v>
                </c:pt>
                <c:pt idx="16">
                  <c:v>1.2763468063126029</c:v>
                </c:pt>
                <c:pt idx="17">
                  <c:v>1.1968560659102583</c:v>
                </c:pt>
                <c:pt idx="18">
                  <c:v>1.1260179399617538</c:v>
                </c:pt>
                <c:pt idx="19">
                  <c:v>1.0625615723945179</c:v>
                </c:pt>
                <c:pt idx="20">
                  <c:v>1.0054447609364912</c:v>
                </c:pt>
                <c:pt idx="21">
                  <c:v>1.0207529765567527</c:v>
                </c:pt>
                <c:pt idx="22">
                  <c:v>1.0436752181585873</c:v>
                </c:pt>
                <c:pt idx="23">
                  <c:v>1.0686200137921675</c:v>
                </c:pt>
                <c:pt idx="24">
                  <c:v>1.0954628964424935</c:v>
                </c:pt>
                <c:pt idx="25">
                  <c:v>1.1240959486950539</c:v>
                </c:pt>
                <c:pt idx="26">
                  <c:v>1.154423566787018</c:v>
                </c:pt>
                <c:pt idx="27">
                  <c:v>1.186359256812282</c:v>
                </c:pt>
                <c:pt idx="28">
                  <c:v>1.2198231793090057</c:v>
                </c:pt>
                <c:pt idx="29">
                  <c:v>1.2547402484110013</c:v>
                </c:pt>
                <c:pt idx="30">
                  <c:v>1.2910386501741087</c:v>
                </c:pt>
                <c:pt idx="31">
                  <c:v>1.3286486835913016</c:v>
                </c:pt>
                <c:pt idx="32">
                  <c:v>1.3675018542704318</c:v>
                </c:pt>
                <c:pt idx="33">
                  <c:v>1.4075301690824011</c:v>
                </c:pt>
                <c:pt idx="34">
                  <c:v>1.4486655929978147</c:v>
                </c:pt>
                <c:pt idx="35">
                  <c:v>1.4908396385506315</c:v>
                </c:pt>
                <c:pt idx="36">
                  <c:v>1.5339830650350841</c:v>
                </c:pt>
                <c:pt idx="37">
                  <c:v>1.5780256694173169</c:v>
                </c:pt>
                <c:pt idx="38">
                  <c:v>1.622896154543507</c:v>
                </c:pt>
                <c:pt idx="39">
                  <c:v>1.6685220629096622</c:v>
                </c:pt>
                <c:pt idx="40">
                  <c:v>1.7148297662762775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PVT!$N$59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PVT!$N$60:$N$100</c:f>
              <c:numCache>
                <c:formatCode>General</c:formatCode>
                <c:ptCount val="41"/>
                <c:pt idx="0">
                  <c:v>8.699673907270034</c:v>
                </c:pt>
                <c:pt idx="1">
                  <c:v>7.2795800752869804</c:v>
                </c:pt>
                <c:pt idx="2">
                  <c:v>6.0401381812669444</c:v>
                </c:pt>
                <c:pt idx="3">
                  <c:v>5.0615348045428519</c:v>
                </c:pt>
                <c:pt idx="4">
                  <c:v>4.2986777188826739</c:v>
                </c:pt>
                <c:pt idx="5">
                  <c:v>3.7002264522084776</c:v>
                </c:pt>
                <c:pt idx="6">
                  <c:v>3.2250051908612867</c:v>
                </c:pt>
                <c:pt idx="7">
                  <c:v>2.8424457876306803</c:v>
                </c:pt>
                <c:pt idx="8">
                  <c:v>2.530283382084316</c:v>
                </c:pt>
                <c:pt idx="9">
                  <c:v>2.2722899572312136</c:v>
                </c:pt>
                <c:pt idx="10">
                  <c:v>2.0565368095672496</c:v>
                </c:pt>
                <c:pt idx="11">
                  <c:v>1.874153207376293</c:v>
                </c:pt>
                <c:pt idx="12">
                  <c:v>1.7184584723758236</c:v>
                </c:pt>
                <c:pt idx="13">
                  <c:v>1.5843568380798965</c:v>
                </c:pt>
                <c:pt idx="14">
                  <c:v>1.4679131960280634</c:v>
                </c:pt>
                <c:pt idx="15">
                  <c:v>1.3660528706447512</c:v>
                </c:pt>
                <c:pt idx="16">
                  <c:v>1.2763468063126029</c:v>
                </c:pt>
                <c:pt idx="17">
                  <c:v>1.1968560659102583</c:v>
                </c:pt>
                <c:pt idx="18">
                  <c:v>1.1260179399617538</c:v>
                </c:pt>
                <c:pt idx="19">
                  <c:v>1.0625615723945179</c:v>
                </c:pt>
                <c:pt idx="20">
                  <c:v>1.0054447609364912</c:v>
                </c:pt>
                <c:pt idx="21">
                  <c:v>1.0207529765567527</c:v>
                </c:pt>
                <c:pt idx="22">
                  <c:v>1.0436752181585873</c:v>
                </c:pt>
                <c:pt idx="23">
                  <c:v>1.0686200137921675</c:v>
                </c:pt>
                <c:pt idx="24">
                  <c:v>1.0954628964424935</c:v>
                </c:pt>
                <c:pt idx="25">
                  <c:v>1.1240959486950539</c:v>
                </c:pt>
                <c:pt idx="26">
                  <c:v>1.154423566787018</c:v>
                </c:pt>
                <c:pt idx="27">
                  <c:v>1.186359256812282</c:v>
                </c:pt>
                <c:pt idx="28">
                  <c:v>1.2198231793090057</c:v>
                </c:pt>
                <c:pt idx="29">
                  <c:v>1.2547402484110013</c:v>
                </c:pt>
                <c:pt idx="30">
                  <c:v>1.2910386501741087</c:v>
                </c:pt>
                <c:pt idx="31">
                  <c:v>1.3286486835913016</c:v>
                </c:pt>
                <c:pt idx="32">
                  <c:v>1.3675018542704318</c:v>
                </c:pt>
                <c:pt idx="33">
                  <c:v>1.4075301690824011</c:v>
                </c:pt>
                <c:pt idx="34">
                  <c:v>1.4486655929978147</c:v>
                </c:pt>
                <c:pt idx="35">
                  <c:v>1.4908396385506315</c:v>
                </c:pt>
                <c:pt idx="36">
                  <c:v>1.5339830650350841</c:v>
                </c:pt>
                <c:pt idx="37">
                  <c:v>1.5780256694173169</c:v>
                </c:pt>
                <c:pt idx="38">
                  <c:v>1.622896154543507</c:v>
                </c:pt>
                <c:pt idx="39">
                  <c:v>1.6685220629096622</c:v>
                </c:pt>
                <c:pt idx="40">
                  <c:v>1.7148297662762775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PVT!$O$59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PVT!$O$60:$O$100</c:f>
              <c:numCache>
                <c:formatCode>General</c:formatCode>
                <c:ptCount val="41"/>
                <c:pt idx="0">
                  <c:v>19.222141283362781</c:v>
                </c:pt>
                <c:pt idx="1">
                  <c:v>17.129203978069782</c:v>
                </c:pt>
                <c:pt idx="2">
                  <c:v>15.086593761208942</c:v>
                </c:pt>
                <c:pt idx="3">
                  <c:v>13.299926796259093</c:v>
                </c:pt>
                <c:pt idx="4">
                  <c:v>11.77941826821861</c:v>
                </c:pt>
                <c:pt idx="5">
                  <c:v>10.495013084946841</c:v>
                </c:pt>
                <c:pt idx="6">
                  <c:v>9.4096417226881677</c:v>
                </c:pt>
                <c:pt idx="7">
                  <c:v>8.4888966356150277</c:v>
                </c:pt>
                <c:pt idx="8">
                  <c:v>7.7035142147442617</c:v>
                </c:pt>
                <c:pt idx="9">
                  <c:v>7.0294616291957235</c:v>
                </c:pt>
                <c:pt idx="10">
                  <c:v>6.4472830901680007</c:v>
                </c:pt>
                <c:pt idx="11">
                  <c:v>5.9413011235292226</c:v>
                </c:pt>
                <c:pt idx="12">
                  <c:v>5.4988781080973439</c:v>
                </c:pt>
                <c:pt idx="13">
                  <c:v>5.109795332848301</c:v>
                </c:pt>
                <c:pt idx="14">
                  <c:v>4.7657521134140053</c:v>
                </c:pt>
                <c:pt idx="15">
                  <c:v>4.4599695141416973</c:v>
                </c:pt>
                <c:pt idx="16">
                  <c:v>4.186879479895997</c:v>
                </c:pt>
                <c:pt idx="17">
                  <c:v>3.941881596185512</c:v>
                </c:pt>
                <c:pt idx="18">
                  <c:v>3.721152608527647</c:v>
                </c:pt>
                <c:pt idx="19">
                  <c:v>3.5214968338972046</c:v>
                </c:pt>
                <c:pt idx="20">
                  <c:v>3.3402282103479428</c:v>
                </c:pt>
                <c:pt idx="21">
                  <c:v>3.0179300771231135</c:v>
                </c:pt>
                <c:pt idx="22">
                  <c:v>2.7479651483479524</c:v>
                </c:pt>
                <c:pt idx="23">
                  <c:v>2.5191569351789669</c:v>
                </c:pt>
                <c:pt idx="24">
                  <c:v>2.3231931564587418</c:v>
                </c:pt>
                <c:pt idx="25">
                  <c:v>2.1969105778534734</c:v>
                </c:pt>
                <c:pt idx="26">
                  <c:v>2.2277934807390247</c:v>
                </c:pt>
                <c:pt idx="27">
                  <c:v>2.260873652360408</c:v>
                </c:pt>
                <c:pt idx="28">
                  <c:v>2.2960464389042663</c:v>
                </c:pt>
                <c:pt idx="29">
                  <c:v>2.3332188042345927</c:v>
                </c:pt>
                <c:pt idx="30">
                  <c:v>2.3723072099186853</c:v>
                </c:pt>
                <c:pt idx="31">
                  <c:v>2.4132358958560109</c:v>
                </c:pt>
                <c:pt idx="32">
                  <c:v>2.4559354731722225</c:v>
                </c:pt>
                <c:pt idx="33">
                  <c:v>2.5003417635681928</c:v>
                </c:pt>
                <c:pt idx="34">
                  <c:v>2.5463948354167449</c:v>
                </c:pt>
                <c:pt idx="35">
                  <c:v>2.594038198593605</c:v>
                </c:pt>
                <c:pt idx="36">
                  <c:v>2.6432181286425935</c:v>
                </c:pt>
                <c:pt idx="37">
                  <c:v>2.6938830973012582</c:v>
                </c:pt>
                <c:pt idx="38">
                  <c:v>2.7459832912631539</c:v>
                </c:pt>
                <c:pt idx="39">
                  <c:v>2.799470204751993</c:v>
                </c:pt>
                <c:pt idx="40">
                  <c:v>2.8542962943309615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PVT!$AD$34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PVT!$AA$33:$AA$37</c:f>
              <c:numCache>
                <c:formatCode>0%</c:formatCode>
                <c:ptCount val="5"/>
                <c:pt idx="0">
                  <c:v>0.32265604536245934</c:v>
                </c:pt>
                <c:pt idx="1">
                  <c:v>0.35464901339588434</c:v>
                </c:pt>
                <c:pt idx="2">
                  <c:v>0.47111831970777346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PVT!$AD$35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PVT!$AB$33:$AB$37</c:f>
              <c:numCache>
                <c:formatCode>0%</c:formatCode>
                <c:ptCount val="5"/>
                <c:pt idx="0">
                  <c:v>0.32265604536245934</c:v>
                </c:pt>
                <c:pt idx="1">
                  <c:v>0.35464901339588434</c:v>
                </c:pt>
                <c:pt idx="2">
                  <c:v>0.47111831970777346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PVT!$P$59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PVT!$P$60:$P$100</c:f>
              <c:numCache>
                <c:formatCode>General</c:formatCode>
                <c:ptCount val="41"/>
                <c:pt idx="0">
                  <c:v>0.99035427943497301</c:v>
                </c:pt>
                <c:pt idx="1">
                  <c:v>0.94325476126154773</c:v>
                </c:pt>
                <c:pt idx="2">
                  <c:v>0.89606962911494659</c:v>
                </c:pt>
                <c:pt idx="3">
                  <c:v>0.84852300667349612</c:v>
                </c:pt>
                <c:pt idx="4">
                  <c:v>0.80052603370457465</c:v>
                </c:pt>
                <c:pt idx="5">
                  <c:v>0.75206472860500317</c:v>
                </c:pt>
                <c:pt idx="6">
                  <c:v>0.70316372874524324</c:v>
                </c:pt>
                <c:pt idx="7">
                  <c:v>0.65386923187926527</c:v>
                </c:pt>
                <c:pt idx="8">
                  <c:v>0.60423942084303528</c:v>
                </c:pt>
                <c:pt idx="9">
                  <c:v>0.5543385118058114</c:v>
                </c:pt>
                <c:pt idx="10">
                  <c:v>0.50423284144947522</c:v>
                </c:pt>
                <c:pt idx="11">
                  <c:v>0.4539882457512634</c:v>
                </c:pt>
                <c:pt idx="12">
                  <c:v>0.40366834074158631</c:v>
                </c:pt>
                <c:pt idx="13">
                  <c:v>0.35333348489685312</c:v>
                </c:pt>
                <c:pt idx="14">
                  <c:v>0.30304028916924758</c:v>
                </c:pt>
                <c:pt idx="15">
                  <c:v>0.25284158729678208</c:v>
                </c:pt>
                <c:pt idx="16">
                  <c:v>0.20278680538694865</c:v>
                </c:pt>
                <c:pt idx="17">
                  <c:v>0.15292268508730628</c:v>
                </c:pt>
                <c:pt idx="18">
                  <c:v>0.1032943234871818</c:v>
                </c:pt>
                <c:pt idx="19">
                  <c:v>5.3946497400018681E-2</c:v>
                </c:pt>
                <c:pt idx="20">
                  <c:v>4.9252407321075933E-3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PVT!$Q$59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PVT!$Q$60:$Q$100</c:f>
              <c:numCache>
                <c:formatCode>General</c:formatCode>
                <c:ptCount val="41"/>
                <c:pt idx="0">
                  <c:v>0.99035427943497301</c:v>
                </c:pt>
                <c:pt idx="1">
                  <c:v>0.94325476126154773</c:v>
                </c:pt>
                <c:pt idx="2">
                  <c:v>0.89606962911494659</c:v>
                </c:pt>
                <c:pt idx="3">
                  <c:v>0.84852300667349612</c:v>
                </c:pt>
                <c:pt idx="4">
                  <c:v>0.80052603370457465</c:v>
                </c:pt>
                <c:pt idx="5">
                  <c:v>0.75206472860500317</c:v>
                </c:pt>
                <c:pt idx="6">
                  <c:v>0.70316372874524324</c:v>
                </c:pt>
                <c:pt idx="7">
                  <c:v>0.65386923187926527</c:v>
                </c:pt>
                <c:pt idx="8">
                  <c:v>0.60423942084303528</c:v>
                </c:pt>
                <c:pt idx="9">
                  <c:v>0.5543385118058114</c:v>
                </c:pt>
                <c:pt idx="10">
                  <c:v>0.50423284144947522</c:v>
                </c:pt>
                <c:pt idx="11">
                  <c:v>0.4539882457512634</c:v>
                </c:pt>
                <c:pt idx="12">
                  <c:v>0.40366834074158631</c:v>
                </c:pt>
                <c:pt idx="13">
                  <c:v>0.35333348489685312</c:v>
                </c:pt>
                <c:pt idx="14">
                  <c:v>0.30304028916924758</c:v>
                </c:pt>
                <c:pt idx="15">
                  <c:v>0.25284158729678208</c:v>
                </c:pt>
                <c:pt idx="16">
                  <c:v>0.20278680538694865</c:v>
                </c:pt>
                <c:pt idx="17">
                  <c:v>0.15292268508730628</c:v>
                </c:pt>
                <c:pt idx="18">
                  <c:v>0.1032943234871818</c:v>
                </c:pt>
                <c:pt idx="19">
                  <c:v>5.3946497400018681E-2</c:v>
                </c:pt>
                <c:pt idx="20">
                  <c:v>4.9252407321075933E-3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PVT!$R$59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PVT!$R$60:$R$100</c:f>
              <c:numCache>
                <c:formatCode>General</c:formatCode>
                <c:ptCount val="41"/>
                <c:pt idx="0">
                  <c:v>0.99034313020516418</c:v>
                </c:pt>
                <c:pt idx="1">
                  <c:v>0.94380480305796899</c:v>
                </c:pt>
                <c:pt idx="2">
                  <c:v>0.89838271320356688</c:v>
                </c:pt>
                <c:pt idx="3">
                  <c:v>0.85389787785148896</c:v>
                </c:pt>
                <c:pt idx="4">
                  <c:v>0.81029957875240433</c:v>
                </c:pt>
                <c:pt idx="5">
                  <c:v>0.76758282317998527</c:v>
                </c:pt>
                <c:pt idx="6">
                  <c:v>0.72576148688122155</c:v>
                </c:pt>
                <c:pt idx="7">
                  <c:v>0.68485613630527642</c:v>
                </c:pt>
                <c:pt idx="8">
                  <c:v>0.6448877558763968</c:v>
                </c:pt>
                <c:pt idx="9">
                  <c:v>0.60587437769733143</c:v>
                </c:pt>
                <c:pt idx="10">
                  <c:v>0.56782932158282373</c:v>
                </c:pt>
                <c:pt idx="11">
                  <c:v>0.5307604002111781</c:v>
                </c:pt>
                <c:pt idx="12">
                  <c:v>0.49466973078924525</c:v>
                </c:pt>
                <c:pt idx="13">
                  <c:v>0.45955393739525124</c:v>
                </c:pt>
                <c:pt idx="14">
                  <c:v>0.42540460627061427</c:v>
                </c:pt>
                <c:pt idx="15">
                  <c:v>0.39220890251892532</c:v>
                </c:pt>
                <c:pt idx="16">
                  <c:v>0.35995028579310601</c:v>
                </c:pt>
                <c:pt idx="17">
                  <c:v>0.32860928186250504</c:v>
                </c:pt>
                <c:pt idx="18">
                  <c:v>0.2981642802084542</c:v>
                </c:pt>
                <c:pt idx="19">
                  <c:v>0.26859233704544261</c:v>
                </c:pt>
                <c:pt idx="20">
                  <c:v>0.23986996956425102</c:v>
                </c:pt>
                <c:pt idx="21">
                  <c:v>0.18373743834635339</c:v>
                </c:pt>
                <c:pt idx="22">
                  <c:v>0.13087400987928097</c:v>
                </c:pt>
                <c:pt idx="23">
                  <c:v>8.1140523979548809E-2</c:v>
                </c:pt>
                <c:pt idx="24">
                  <c:v>3.4460110113717669E-2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Construction!$Q$18:$Q$38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Construction!$S$18:$S$38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Construction!$V$18:$V$38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Construction!$U$18:$U$38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Construction!$X$18:$X$38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Construction!$W$18:$W$38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27</c:v>
                </c:pt>
                <c:pt idx="2">
                  <c:v>53</c:v>
                </c:pt>
                <c:pt idx="3">
                  <c:v>79</c:v>
                </c:pt>
                <c:pt idx="4">
                  <c:v>105</c:v>
                </c:pt>
                <c:pt idx="5">
                  <c:v>131</c:v>
                </c:pt>
                <c:pt idx="6">
                  <c:v>157</c:v>
                </c:pt>
                <c:pt idx="7">
                  <c:v>183</c:v>
                </c:pt>
                <c:pt idx="8">
                  <c:v>209</c:v>
                </c:pt>
                <c:pt idx="9">
                  <c:v>235</c:v>
                </c:pt>
                <c:pt idx="10">
                  <c:v>261</c:v>
                </c:pt>
                <c:pt idx="11">
                  <c:v>287</c:v>
                </c:pt>
                <c:pt idx="12">
                  <c:v>313</c:v>
                </c:pt>
                <c:pt idx="13">
                  <c:v>339</c:v>
                </c:pt>
                <c:pt idx="14">
                  <c:v>365</c:v>
                </c:pt>
                <c:pt idx="15">
                  <c:v>391</c:v>
                </c:pt>
                <c:pt idx="16">
                  <c:v>417</c:v>
                </c:pt>
                <c:pt idx="17">
                  <c:v>443</c:v>
                </c:pt>
                <c:pt idx="18">
                  <c:v>469</c:v>
                </c:pt>
                <c:pt idx="19">
                  <c:v>495</c:v>
                </c:pt>
                <c:pt idx="20">
                  <c:v>521</c:v>
                </c:pt>
                <c:pt idx="21">
                  <c:v>547</c:v>
                </c:pt>
              </c:numCache>
            </c:numRef>
          </c:xVal>
          <c:yVal>
            <c:numRef>
              <c:f>ESP!$I$8:$I$29</c:f>
              <c:numCache>
                <c:formatCode>0</c:formatCode>
                <c:ptCount val="22"/>
                <c:pt idx="0">
                  <c:v>1511.5486957327657</c:v>
                </c:pt>
                <c:pt idx="1">
                  <c:v>1526.6026544003516</c:v>
                </c:pt>
                <c:pt idx="2">
                  <c:v>1519.2733667831737</c:v>
                </c:pt>
                <c:pt idx="3">
                  <c:v>1494.4794329685121</c:v>
                </c:pt>
                <c:pt idx="4">
                  <c:v>1456.7391081524324</c:v>
                </c:pt>
                <c:pt idx="5">
                  <c:v>1410.1064470451115</c:v>
                </c:pt>
                <c:pt idx="6">
                  <c:v>1358.107448276161</c:v>
                </c:pt>
                <c:pt idx="7">
                  <c:v>1303.6761987999519</c:v>
                </c:pt>
                <c:pt idx="8">
                  <c:v>1249.0910183009403</c:v>
                </c:pt>
                <c:pt idx="9">
                  <c:v>1195.9106035989912</c:v>
                </c:pt>
                <c:pt idx="10">
                  <c:v>1144.9101730547027</c:v>
                </c:pt>
                <c:pt idx="11">
                  <c:v>1096.0176109747313</c:v>
                </c:pt>
                <c:pt idx="12">
                  <c:v>1048.2496120171163</c:v>
                </c:pt>
                <c:pt idx="13">
                  <c:v>999.647825596605</c:v>
                </c:pt>
                <c:pt idx="14">
                  <c:v>947.21500028997593</c:v>
                </c:pt>
                <c:pt idx="15">
                  <c:v>886.85112824136411</c:v>
                </c:pt>
                <c:pt idx="16">
                  <c:v>813.28958956758697</c:v>
                </c:pt>
                <c:pt idx="17">
                  <c:v>720.03329676346868</c:v>
                </c:pt>
                <c:pt idx="18">
                  <c:v>599.29083910716054</c:v>
                </c:pt>
                <c:pt idx="19">
                  <c:v>441.91262706547246</c:v>
                </c:pt>
                <c:pt idx="20">
                  <c:v>237.32703669919169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ESP!$K$7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27</c:v>
                </c:pt>
                <c:pt idx="2">
                  <c:v>53</c:v>
                </c:pt>
                <c:pt idx="3">
                  <c:v>79</c:v>
                </c:pt>
                <c:pt idx="4">
                  <c:v>105</c:v>
                </c:pt>
                <c:pt idx="5">
                  <c:v>131</c:v>
                </c:pt>
                <c:pt idx="6">
                  <c:v>157</c:v>
                </c:pt>
                <c:pt idx="7">
                  <c:v>183</c:v>
                </c:pt>
                <c:pt idx="8">
                  <c:v>209</c:v>
                </c:pt>
                <c:pt idx="9">
                  <c:v>235</c:v>
                </c:pt>
                <c:pt idx="10">
                  <c:v>261</c:v>
                </c:pt>
                <c:pt idx="11">
                  <c:v>287</c:v>
                </c:pt>
                <c:pt idx="12">
                  <c:v>313</c:v>
                </c:pt>
                <c:pt idx="13">
                  <c:v>339</c:v>
                </c:pt>
                <c:pt idx="14">
                  <c:v>365</c:v>
                </c:pt>
                <c:pt idx="15">
                  <c:v>391</c:v>
                </c:pt>
                <c:pt idx="16">
                  <c:v>417</c:v>
                </c:pt>
                <c:pt idx="17">
                  <c:v>443</c:v>
                </c:pt>
                <c:pt idx="18">
                  <c:v>469</c:v>
                </c:pt>
                <c:pt idx="19">
                  <c:v>495</c:v>
                </c:pt>
                <c:pt idx="20">
                  <c:v>521</c:v>
                </c:pt>
                <c:pt idx="21">
                  <c:v>547</c:v>
                </c:pt>
              </c:numCache>
            </c:numRef>
          </c:xVal>
          <c:yVal>
            <c:numRef>
              <c:f>ESP!$K$8:$K$29</c:f>
              <c:numCache>
                <c:formatCode>0.00</c:formatCode>
                <c:ptCount val="22"/>
                <c:pt idx="0">
                  <c:v>2.4464792109942994E-3</c:v>
                </c:pt>
                <c:pt idx="1">
                  <c:v>7.7984259960700714E-2</c:v>
                </c:pt>
                <c:pt idx="2">
                  <c:v>0.1449265279149502</c:v>
                </c:pt>
                <c:pt idx="3">
                  <c:v>0.20432900833120726</c:v>
                </c:pt>
                <c:pt idx="4">
                  <c:v>0.25732077153429417</c:v>
                </c:pt>
                <c:pt idx="5">
                  <c:v>0.30502407251407149</c:v>
                </c:pt>
                <c:pt idx="6">
                  <c:v>0.34847419052311784</c:v>
                </c:pt>
                <c:pt idx="7">
                  <c:v>0.38853926867441102</c:v>
                </c:pt>
                <c:pt idx="8">
                  <c:v>0.42584015353900773</c:v>
                </c:pt>
                <c:pt idx="9">
                  <c:v>0.46067023474372432</c:v>
                </c:pt>
                <c:pt idx="10">
                  <c:v>0.49291528456881661</c:v>
                </c:pt>
                <c:pt idx="11">
                  <c:v>0.52197329754566124</c:v>
                </c:pt>
                <c:pt idx="12">
                  <c:v>0.546674330054435</c:v>
                </c:pt>
                <c:pt idx="13">
                  <c:v>0.56520033992179486</c:v>
                </c:pt>
                <c:pt idx="14">
                  <c:v>0.57500502601856018</c:v>
                </c:pt>
                <c:pt idx="15">
                  <c:v>0.57273366785739144</c:v>
                </c:pt>
                <c:pt idx="16">
                  <c:v>0.55414296519047013</c:v>
                </c:pt>
                <c:pt idx="17">
                  <c:v>0.51402087760718174</c:v>
                </c:pt>
                <c:pt idx="18">
                  <c:v>0.44610646413179267</c:v>
                </c:pt>
                <c:pt idx="19">
                  <c:v>0.34300972282113351</c:v>
                </c:pt>
                <c:pt idx="20">
                  <c:v>0.19613143036227587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27</c:v>
                </c:pt>
                <c:pt idx="2">
                  <c:v>53</c:v>
                </c:pt>
                <c:pt idx="3">
                  <c:v>79</c:v>
                </c:pt>
                <c:pt idx="4">
                  <c:v>105</c:v>
                </c:pt>
                <c:pt idx="5">
                  <c:v>131</c:v>
                </c:pt>
                <c:pt idx="6">
                  <c:v>157</c:v>
                </c:pt>
                <c:pt idx="7">
                  <c:v>183</c:v>
                </c:pt>
                <c:pt idx="8">
                  <c:v>209</c:v>
                </c:pt>
                <c:pt idx="9">
                  <c:v>235</c:v>
                </c:pt>
                <c:pt idx="10">
                  <c:v>261</c:v>
                </c:pt>
                <c:pt idx="11">
                  <c:v>287</c:v>
                </c:pt>
                <c:pt idx="12">
                  <c:v>313</c:v>
                </c:pt>
                <c:pt idx="13">
                  <c:v>339</c:v>
                </c:pt>
                <c:pt idx="14">
                  <c:v>365</c:v>
                </c:pt>
                <c:pt idx="15">
                  <c:v>391</c:v>
                </c:pt>
                <c:pt idx="16">
                  <c:v>417</c:v>
                </c:pt>
                <c:pt idx="17">
                  <c:v>443</c:v>
                </c:pt>
                <c:pt idx="18">
                  <c:v>469</c:v>
                </c:pt>
                <c:pt idx="19">
                  <c:v>495</c:v>
                </c:pt>
                <c:pt idx="20">
                  <c:v>521</c:v>
                </c:pt>
                <c:pt idx="21">
                  <c:v>547</c:v>
                </c:pt>
              </c:numCache>
            </c:numRef>
          </c:xVal>
          <c:yVal>
            <c:numRef>
              <c:f>ESP!$J$8:$J$29</c:f>
              <c:numCache>
                <c:formatCode>0</c:formatCode>
                <c:ptCount val="22"/>
                <c:pt idx="0">
                  <c:v>58.526904992008383</c:v>
                </c:pt>
                <c:pt idx="1">
                  <c:v>61.984437516992209</c:v>
                </c:pt>
                <c:pt idx="2">
                  <c:v>64.736144778134886</c:v>
                </c:pt>
                <c:pt idx="3">
                  <c:v>66.795576716402834</c:v>
                </c:pt>
                <c:pt idx="4">
                  <c:v>68.214753539382158</c:v>
                </c:pt>
                <c:pt idx="5">
                  <c:v>69.07564082264831</c:v>
                </c:pt>
                <c:pt idx="6">
                  <c:v>69.481624611135828</c:v>
                </c:pt>
                <c:pt idx="7">
                  <c:v>69.548986520508109</c:v>
                </c:pt>
                <c:pt idx="8">
                  <c:v>69.398378838527066</c:v>
                </c:pt>
                <c:pt idx="9">
                  <c:v>69.146299626422774</c:v>
                </c:pt>
                <c:pt idx="10">
                  <c:v>68.8965678202633</c:v>
                </c:pt>
                <c:pt idx="11">
                  <c:v>68.731798332324388</c:v>
                </c:pt>
                <c:pt idx="12">
                  <c:v>68.704877152458991</c:v>
                </c:pt>
                <c:pt idx="13">
                  <c:v>68.830436449467328</c:v>
                </c:pt>
                <c:pt idx="14">
                  <c:v>69.076329672466258</c:v>
                </c:pt>
                <c:pt idx="15">
                  <c:v>69.355106652259195</c:v>
                </c:pt>
                <c:pt idx="16">
                  <c:v>69.515488702705753</c:v>
                </c:pt>
                <c:pt idx="17">
                  <c:v>69.333843722091473</c:v>
                </c:pt>
                <c:pt idx="18">
                  <c:v>68.505661294497457</c:v>
                </c:pt>
                <c:pt idx="19">
                  <c:v>66.637027791170155</c:v>
                </c:pt>
                <c:pt idx="20">
                  <c:v>63.23610147189104</c:v>
                </c:pt>
                <c:pt idx="21">
                  <c:v>57.964982049754923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ESP'!$S$16:$S$36</c:f>
              <c:numCache>
                <c:formatCode>General</c:formatCode>
                <c:ptCount val="21"/>
                <c:pt idx="0">
                  <c:v>0.6224641750921015</c:v>
                </c:pt>
                <c:pt idx="1">
                  <c:v>0.67890266672290622</c:v>
                </c:pt>
                <c:pt idx="2">
                  <c:v>0.7454274562742873</c:v>
                </c:pt>
                <c:pt idx="3">
                  <c:v>0.91729091636380833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ESP'!$R$16:$R$36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  <c:max val="1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ESP'!$N$14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ESP'!$O$16:$O$36</c:f>
              <c:numCache>
                <c:formatCode>General</c:formatCode>
                <c:ptCount val="21"/>
                <c:pt idx="0">
                  <c:v>53.27585670283807</c:v>
                </c:pt>
                <c:pt idx="1">
                  <c:v>64.163226131035231</c:v>
                </c:pt>
                <c:pt idx="2">
                  <c:v>75.934495980827137</c:v>
                </c:pt>
                <c:pt idx="3">
                  <c:v>89.677476275513385</c:v>
                </c:pt>
                <c:pt idx="4">
                  <c:v>105.16534924635414</c:v>
                </c:pt>
                <c:pt idx="5">
                  <c:v>120.71831929033702</c:v>
                </c:pt>
                <c:pt idx="6">
                  <c:v>135.67896403402602</c:v>
                </c:pt>
                <c:pt idx="7">
                  <c:v>150.07413111211446</c:v>
                </c:pt>
                <c:pt idx="8">
                  <c:v>163.8562744727038</c:v>
                </c:pt>
                <c:pt idx="9">
                  <c:v>177.01950463319326</c:v>
                </c:pt>
                <c:pt idx="10">
                  <c:v>189.56721434859952</c:v>
                </c:pt>
                <c:pt idx="11">
                  <c:v>201.50500625641891</c:v>
                </c:pt>
                <c:pt idx="12">
                  <c:v>212.83831796135908</c:v>
                </c:pt>
                <c:pt idx="13">
                  <c:v>222.09150746292553</c:v>
                </c:pt>
                <c:pt idx="14">
                  <c:v>134.97335533115665</c:v>
                </c:pt>
                <c:pt idx="15">
                  <c:v>136.32221295973326</c:v>
                </c:pt>
                <c:pt idx="16">
                  <c:v>145.48718839435037</c:v>
                </c:pt>
                <c:pt idx="17">
                  <c:v>148.46100454663184</c:v>
                </c:pt>
                <c:pt idx="18">
                  <c:v>149.76578393822314</c:v>
                </c:pt>
                <c:pt idx="19">
                  <c:v>151.07066643473541</c:v>
                </c:pt>
                <c:pt idx="20">
                  <c:v>152.37578087124166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'Calc ESP'!$H$14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ESP'!$I$16:$I$36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276FA003-36C8-4BFE-BA1F-73FC124AF32C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94270D27-03CA-4BF2-9B44-1CB9614E1763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42B27841-1FDB-4256-AB47-0D604882F99E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6C5C06E8-1B8C-43D4-AC90-7D5B2822DC6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B56933-1D46-4DDC-B59E-25627000DCA2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8D05BA80-7AFC-4EFC-B200-703DC9474D1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ESP'!$V$16:$V$18</c:f>
              <c:numCache>
                <c:formatCode>0</c:formatCode>
                <c:ptCount val="3"/>
                <c:pt idx="0">
                  <c:v>45.003531296830985</c:v>
                </c:pt>
                <c:pt idx="1">
                  <c:v>53.27585670283807</c:v>
                </c:pt>
                <c:pt idx="2">
                  <c:v>152.37578087124166</c:v>
                </c:pt>
              </c:numCache>
            </c:numRef>
          </c:xVal>
          <c:yVal>
            <c:numRef>
              <c:f>'Calc ESP'!$U$16:$U$18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ESP'!$Q$11:$Q$13</c15:f>
                <c15:dlblRangeCache>
                  <c:ptCount val="3"/>
                  <c:pt idx="0">
                    <c:v>Plin</c:v>
                  </c:pt>
                  <c:pt idx="1">
                    <c:v>Pbuf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ESP'!$X$16:$X$36</c:f>
              <c:numCache>
                <c:formatCode>General</c:formatCode>
                <c:ptCount val="21"/>
              </c:numCache>
            </c:numRef>
          </c:xVal>
          <c:yVal>
            <c:numRef>
              <c:f>'Calc ESP'!$W$16:$W$36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ESP'!$Q$16:$Q$36</c:f>
              <c:numCache>
                <c:formatCode>General</c:formatCode>
                <c:ptCount val="21"/>
                <c:pt idx="0">
                  <c:v>46.547433671946678</c:v>
                </c:pt>
                <c:pt idx="1">
                  <c:v>47.704293884014703</c:v>
                </c:pt>
                <c:pt idx="2">
                  <c:v>49.004116569362942</c:v>
                </c:pt>
                <c:pt idx="3">
                  <c:v>50.533067744134122</c:v>
                </c:pt>
                <c:pt idx="4">
                  <c:v>52.319129806239083</c:v>
                </c:pt>
                <c:pt idx="5">
                  <c:v>54.243595283699356</c:v>
                </c:pt>
                <c:pt idx="6">
                  <c:v>56.647169851651661</c:v>
                </c:pt>
                <c:pt idx="7">
                  <c:v>61.493528856530908</c:v>
                </c:pt>
                <c:pt idx="8">
                  <c:v>67.56472475231331</c:v>
                </c:pt>
                <c:pt idx="9">
                  <c:v>73.823699225330898</c:v>
                </c:pt>
                <c:pt idx="10">
                  <c:v>79.508023854739236</c:v>
                </c:pt>
                <c:pt idx="11">
                  <c:v>84.559438155377379</c:v>
                </c:pt>
                <c:pt idx="12">
                  <c:v>88.928550327930523</c:v>
                </c:pt>
                <c:pt idx="13">
                  <c:v>92.106753657762326</c:v>
                </c:pt>
                <c:pt idx="14">
                  <c:v>86.892371117135738</c:v>
                </c:pt>
                <c:pt idx="15">
                  <c:v>87.161884767265576</c:v>
                </c:pt>
                <c:pt idx="16">
                  <c:v>88.702811208584734</c:v>
                </c:pt>
                <c:pt idx="17">
                  <c:v>89.293693685155574</c:v>
                </c:pt>
                <c:pt idx="18">
                  <c:v>89.664839044580077</c:v>
                </c:pt>
                <c:pt idx="19">
                  <c:v>89.90981315410589</c:v>
                </c:pt>
                <c:pt idx="20">
                  <c:v>90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ESP'!$M$16:$M$36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30.648148148148149</c:v>
                </c:pt>
                <c:pt idx="2">
                  <c:v>31.296296296296294</c:v>
                </c:pt>
                <c:pt idx="3">
                  <c:v>31.944444444444446</c:v>
                </c:pt>
                <c:pt idx="4">
                  <c:v>32.592592592592588</c:v>
                </c:pt>
                <c:pt idx="5">
                  <c:v>33.24074074074074</c:v>
                </c:pt>
                <c:pt idx="6">
                  <c:v>33.864444444444445</c:v>
                </c:pt>
                <c:pt idx="7">
                  <c:v>34.465370370370373</c:v>
                </c:pt>
                <c:pt idx="8">
                  <c:v>36.505000000000003</c:v>
                </c:pt>
                <c:pt idx="9">
                  <c:v>44.762500000000003</c:v>
                </c:pt>
                <c:pt idx="10">
                  <c:v>53.431111111111115</c:v>
                </c:pt>
                <c:pt idx="11">
                  <c:v>61.684166666666677</c:v>
                </c:pt>
                <c:pt idx="12">
                  <c:v>69.521666666666675</c:v>
                </c:pt>
                <c:pt idx="13">
                  <c:v>75.92</c:v>
                </c:pt>
                <c:pt idx="14">
                  <c:v>75.956850000000003</c:v>
                </c:pt>
                <c:pt idx="15">
                  <c:v>76.943316555555555</c:v>
                </c:pt>
                <c:pt idx="16">
                  <c:v>83.943663650793667</c:v>
                </c:pt>
                <c:pt idx="17">
                  <c:v>87.204166666666666</c:v>
                </c:pt>
                <c:pt idx="18">
                  <c:v>88.136111111111106</c:v>
                </c:pt>
                <c:pt idx="19">
                  <c:v>89.068055555555546</c:v>
                </c:pt>
                <c:pt idx="20">
                  <c:v>90</c:v>
                </c:pt>
              </c:numCache>
            </c:numRef>
          </c:xVal>
          <c:yVal>
            <c:numRef>
              <c:f>'Calc ESP'!$K$16:$K$36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ESP'!$J$16:$J$36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GasLift'!$U$16:$U$36</c:f>
              <c:numCache>
                <c:formatCode>General</c:formatCode>
                <c:ptCount val="21"/>
                <c:pt idx="0">
                  <c:v>0.22668731020820712</c:v>
                </c:pt>
                <c:pt idx="1">
                  <c:v>0.25541240909811125</c:v>
                </c:pt>
                <c:pt idx="2">
                  <c:v>0.28184310807101681</c:v>
                </c:pt>
                <c:pt idx="3">
                  <c:v>0.2971733743074737</c:v>
                </c:pt>
                <c:pt idx="4">
                  <c:v>0.32704823955337387</c:v>
                </c:pt>
                <c:pt idx="5">
                  <c:v>0.35404212991315909</c:v>
                </c:pt>
                <c:pt idx="6">
                  <c:v>0.39345513661238563</c:v>
                </c:pt>
                <c:pt idx="7">
                  <c:v>0.42105922276377644</c:v>
                </c:pt>
                <c:pt idx="8">
                  <c:v>0.44587930026816092</c:v>
                </c:pt>
                <c:pt idx="9">
                  <c:v>0.4672606495827244</c:v>
                </c:pt>
                <c:pt idx="10">
                  <c:v>0.48582187837909391</c:v>
                </c:pt>
                <c:pt idx="11">
                  <c:v>0.50187014283179388</c:v>
                </c:pt>
                <c:pt idx="12">
                  <c:v>0.51570911223793081</c:v>
                </c:pt>
                <c:pt idx="13">
                  <c:v>0.88067358743973367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GasLift'!$T$16:$T$36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AC-4CE4-89FE-33DD70EA6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GasLift'!$N$14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GasLift'!$O$16:$O$36</c:f>
              <c:numCache>
                <c:formatCode>General</c:formatCode>
                <c:ptCount val="21"/>
                <c:pt idx="0">
                  <c:v>24.261435087158841</c:v>
                </c:pt>
                <c:pt idx="1">
                  <c:v>31.41256142797009</c:v>
                </c:pt>
                <c:pt idx="2">
                  <c:v>38.754659076273086</c:v>
                </c:pt>
                <c:pt idx="3">
                  <c:v>40.898835824426627</c:v>
                </c:pt>
                <c:pt idx="4">
                  <c:v>47.957174118656269</c:v>
                </c:pt>
                <c:pt idx="5">
                  <c:v>57.855556961590345</c:v>
                </c:pt>
                <c:pt idx="6">
                  <c:v>67.827146594939208</c:v>
                </c:pt>
                <c:pt idx="7">
                  <c:v>77.748186097618287</c:v>
                </c:pt>
                <c:pt idx="8">
                  <c:v>86.148051394259483</c:v>
                </c:pt>
                <c:pt idx="9">
                  <c:v>87.530106439027421</c:v>
                </c:pt>
                <c:pt idx="10">
                  <c:v>97.107085371336979</c:v>
                </c:pt>
                <c:pt idx="11">
                  <c:v>106.42037260970724</c:v>
                </c:pt>
                <c:pt idx="12">
                  <c:v>115.42090986639899</c:v>
                </c:pt>
                <c:pt idx="13">
                  <c:v>115.92866977958474</c:v>
                </c:pt>
                <c:pt idx="14">
                  <c:v>127.53720466563811</c:v>
                </c:pt>
                <c:pt idx="15">
                  <c:v>132.59151141505092</c:v>
                </c:pt>
                <c:pt idx="16">
                  <c:v>138.84308632127357</c:v>
                </c:pt>
                <c:pt idx="17">
                  <c:v>145.61293612888792</c:v>
                </c:pt>
                <c:pt idx="18">
                  <c:v>147.07537338562349</c:v>
                </c:pt>
                <c:pt idx="19">
                  <c:v>148.53772968390442</c:v>
                </c:pt>
                <c:pt idx="20">
                  <c:v>150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B2-4477-A99D-41FE07DF1941}"/>
            </c:ext>
          </c:extLst>
        </c:ser>
        <c:ser>
          <c:idx val="1"/>
          <c:order val="1"/>
          <c:tx>
            <c:strRef>
              <c:f>'Calc GasLift'!$H$14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B2-4477-A99D-41FE07DF194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86238536-4DB3-41BC-84B4-D724A528C192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5111FA4F-63E9-41C9-B7EA-B53B693AB06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5B2-4477-A99D-41FE07DF1941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C9C977E9-B824-4723-BFD3-7062B6C80990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AAD9002B-F6EA-4F0D-A2C0-983432DA454D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5B2-4477-A99D-41FE07DF19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5043437-B881-4662-8A18-B012FEDB8BFB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285DBA6-9DCF-49B4-A75E-B3F159EA3353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5B2-4477-A99D-41FE07DF19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GasLift'!$X$16:$X$18</c:f>
              <c:numCache>
                <c:formatCode>0</c:formatCode>
                <c:ptCount val="3"/>
                <c:pt idx="0">
                  <c:v>1</c:v>
                </c:pt>
                <c:pt idx="1">
                  <c:v>24.261435087158841</c:v>
                </c:pt>
                <c:pt idx="2">
                  <c:v>150</c:v>
                </c:pt>
              </c:numCache>
            </c:numRef>
          </c:xVal>
          <c:yVal>
            <c:numRef>
              <c:f>'Calc GasLift'!$W$16:$W$18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GasLift'!$P$10:$P$12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55B2-4477-A99D-41FE07DF194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GasLift'!$Z$16:$Z$36</c:f>
              <c:numCache>
                <c:formatCode>General</c:formatCode>
                <c:ptCount val="21"/>
                <c:pt idx="0">
                  <c:v>200</c:v>
                </c:pt>
                <c:pt idx="1">
                  <c:v>202.49597241993845</c:v>
                </c:pt>
                <c:pt idx="2">
                  <c:v>204.88319611310359</c:v>
                </c:pt>
                <c:pt idx="3">
                  <c:v>207.17287532766855</c:v>
                </c:pt>
                <c:pt idx="4">
                  <c:v>209.37751949356351</c:v>
                </c:pt>
                <c:pt idx="5">
                  <c:v>209.57624632011914</c:v>
                </c:pt>
                <c:pt idx="6">
                  <c:v>211.50464371719048</c:v>
                </c:pt>
                <c:pt idx="7">
                  <c:v>213.56711102381416</c:v>
                </c:pt>
                <c:pt idx="8">
                  <c:v>215.57915487286351</c:v>
                </c:pt>
                <c:pt idx="9">
                  <c:v>217.54798897835713</c:v>
                </c:pt>
                <c:pt idx="10">
                  <c:v>219.48004907049904</c:v>
                </c:pt>
                <c:pt idx="11">
                  <c:v>221.37682637303485</c:v>
                </c:pt>
                <c:pt idx="12">
                  <c:v>223.24740723231372</c:v>
                </c:pt>
                <c:pt idx="13">
                  <c:v>225.09486371131879</c:v>
                </c:pt>
                <c:pt idx="14">
                  <c:v>225.59642225294877</c:v>
                </c:pt>
                <c:pt idx="15">
                  <c:v>226.92164832195087</c:v>
                </c:pt>
                <c:pt idx="16">
                  <c:v>228.72844497405364</c:v>
                </c:pt>
                <c:pt idx="17">
                  <c:v>230.51716195194143</c:v>
                </c:pt>
                <c:pt idx="18">
                  <c:v>232.2905066554913</c:v>
                </c:pt>
                <c:pt idx="19">
                  <c:v>234.04959668623326</c:v>
                </c:pt>
                <c:pt idx="20">
                  <c:v>235.79540974647344</c:v>
                </c:pt>
              </c:numCache>
            </c:numRef>
          </c:xVal>
          <c:yVal>
            <c:numRef>
              <c:f>'Calc GasLift'!$Y$16:$Y$36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5B2-4477-A99D-41FE07DF1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GasLift'!$Q$16:$Q$36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26.562500000000004</c:v>
                </c:pt>
                <c:pt idx="2">
                  <c:v>33.125</c:v>
                </c:pt>
                <c:pt idx="3">
                  <c:v>35</c:v>
                </c:pt>
                <c:pt idx="4">
                  <c:v>39.6875</c:v>
                </c:pt>
                <c:pt idx="5">
                  <c:v>46.25</c:v>
                </c:pt>
                <c:pt idx="6">
                  <c:v>52.7</c:v>
                </c:pt>
                <c:pt idx="7">
                  <c:v>58.861250000000005</c:v>
                </c:pt>
                <c:pt idx="8">
                  <c:v>63.92</c:v>
                </c:pt>
                <c:pt idx="9">
                  <c:v>64.735624999999999</c:v>
                </c:pt>
                <c:pt idx="10">
                  <c:v>70.325000000000003</c:v>
                </c:pt>
                <c:pt idx="11">
                  <c:v>75.62937500000001</c:v>
                </c:pt>
                <c:pt idx="12">
                  <c:v>80.648750000000007</c:v>
                </c:pt>
                <c:pt idx="13">
                  <c:v>80.930000000000007</c:v>
                </c:pt>
                <c:pt idx="14">
                  <c:v>85.379374999999996</c:v>
                </c:pt>
                <c:pt idx="15">
                  <c:v>87.32</c:v>
                </c:pt>
                <c:pt idx="16">
                  <c:v>89.817499999999995</c:v>
                </c:pt>
                <c:pt idx="17">
                  <c:v>93.284374999999997</c:v>
                </c:pt>
                <c:pt idx="18">
                  <c:v>93.856250000000003</c:v>
                </c:pt>
                <c:pt idx="19">
                  <c:v>94.428124999999994</c:v>
                </c:pt>
                <c:pt idx="20">
                  <c:v>95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47-46CE-ACF1-313FF0D21364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GasLift'!$M$16:$M$36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26.562500000000004</c:v>
                </c:pt>
                <c:pt idx="2">
                  <c:v>33.125</c:v>
                </c:pt>
                <c:pt idx="3">
                  <c:v>35</c:v>
                </c:pt>
                <c:pt idx="4">
                  <c:v>39.6875</c:v>
                </c:pt>
                <c:pt idx="5">
                  <c:v>46.25</c:v>
                </c:pt>
                <c:pt idx="6">
                  <c:v>52.7</c:v>
                </c:pt>
                <c:pt idx="7">
                  <c:v>58.861250000000005</c:v>
                </c:pt>
                <c:pt idx="8">
                  <c:v>63.92</c:v>
                </c:pt>
                <c:pt idx="9">
                  <c:v>64.735624999999999</c:v>
                </c:pt>
                <c:pt idx="10">
                  <c:v>70.325000000000003</c:v>
                </c:pt>
                <c:pt idx="11">
                  <c:v>75.62937500000001</c:v>
                </c:pt>
                <c:pt idx="12">
                  <c:v>80.648750000000007</c:v>
                </c:pt>
                <c:pt idx="13">
                  <c:v>80.930000000000007</c:v>
                </c:pt>
                <c:pt idx="14">
                  <c:v>85.379374999999996</c:v>
                </c:pt>
                <c:pt idx="15">
                  <c:v>87.32</c:v>
                </c:pt>
                <c:pt idx="16">
                  <c:v>89.817499999999995</c:v>
                </c:pt>
                <c:pt idx="17">
                  <c:v>93.284374999999997</c:v>
                </c:pt>
                <c:pt idx="18">
                  <c:v>93.856250000000003</c:v>
                </c:pt>
                <c:pt idx="19">
                  <c:v>94.428124999999994</c:v>
                </c:pt>
                <c:pt idx="20">
                  <c:v>95</c:v>
                </c:pt>
              </c:numCache>
            </c:numRef>
          </c:xVal>
          <c:yVal>
            <c:numRef>
              <c:f>'Calc GasLift'!$K$16:$K$36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47-46CE-ACF1-313FF0D21364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GasLift'!$J$16:$J$36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47-46CE-ACF1-313FF0D21364}"/>
            </c:ext>
          </c:extLst>
        </c:ser>
        <c:ser>
          <c:idx val="3"/>
          <c:order val="3"/>
          <c:spPr>
            <a:ln w="19050">
              <a:noFill/>
            </a:ln>
          </c:spPr>
          <c:xVal>
            <c:numRef>
              <c:f>'Calc GasLift'!$S$16:$S$36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23.666666666666671</c:v>
                </c:pt>
                <c:pt idx="2">
                  <c:v>27.333333333333336</c:v>
                </c:pt>
                <c:pt idx="3">
                  <c:v>31</c:v>
                </c:pt>
                <c:pt idx="4">
                  <c:v>34.666666666666664</c:v>
                </c:pt>
                <c:pt idx="5">
                  <c:v>35</c:v>
                </c:pt>
                <c:pt idx="6">
                  <c:v>38.333333333333336</c:v>
                </c:pt>
                <c:pt idx="7">
                  <c:v>42</c:v>
                </c:pt>
                <c:pt idx="8">
                  <c:v>45.666666666666671</c:v>
                </c:pt>
                <c:pt idx="9">
                  <c:v>49.333333333333336</c:v>
                </c:pt>
                <c:pt idx="10">
                  <c:v>52.88</c:v>
                </c:pt>
                <c:pt idx="11">
                  <c:v>56.35</c:v>
                </c:pt>
                <c:pt idx="12">
                  <c:v>59.733333333333341</c:v>
                </c:pt>
                <c:pt idx="13">
                  <c:v>63.03</c:v>
                </c:pt>
                <c:pt idx="14">
                  <c:v>63.92</c:v>
                </c:pt>
                <c:pt idx="15">
                  <c:v>66.240000000000009</c:v>
                </c:pt>
                <c:pt idx="16">
                  <c:v>69.356666666666669</c:v>
                </c:pt>
                <c:pt idx="17">
                  <c:v>72.38000000000001</c:v>
                </c:pt>
                <c:pt idx="18">
                  <c:v>75.316666666666677</c:v>
                </c:pt>
                <c:pt idx="19">
                  <c:v>78.166666666666671</c:v>
                </c:pt>
                <c:pt idx="20">
                  <c:v>80.930000000000007</c:v>
                </c:pt>
              </c:numCache>
            </c:numRef>
          </c:xVal>
          <c:yVal>
            <c:numRef>
              <c:f>'Calc GasLift'!$R$16:$R$36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47-46CE-ACF1-313FF0D21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791753427150634"/>
          <c:y val="0.15513099121185048"/>
          <c:w val="0.81028107720389475"/>
          <c:h val="0.8279824652525295"/>
        </c:manualLayout>
      </c:layout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Self Flow'!$S$16:$S$36</c:f>
              <c:numCache>
                <c:formatCode>General</c:formatCode>
                <c:ptCount val="21"/>
                <c:pt idx="0">
                  <c:v>0.39737876377081538</c:v>
                </c:pt>
                <c:pt idx="1">
                  <c:v>0.4598812899434877</c:v>
                </c:pt>
                <c:pt idx="2">
                  <c:v>0.52872452542064474</c:v>
                </c:pt>
                <c:pt idx="3">
                  <c:v>0.60138846394205348</c:v>
                </c:pt>
                <c:pt idx="4">
                  <c:v>0.68577196222536185</c:v>
                </c:pt>
                <c:pt idx="5">
                  <c:v>0.77744315349524584</c:v>
                </c:pt>
                <c:pt idx="6">
                  <c:v>0.87360642093019292</c:v>
                </c:pt>
                <c:pt idx="7">
                  <c:v>0.9679357443151746</c:v>
                </c:pt>
                <c:pt idx="8">
                  <c:v>0.99902551841682774</c:v>
                </c:pt>
                <c:pt idx="9">
                  <c:v>0.99902500819790507</c:v>
                </c:pt>
                <c:pt idx="10">
                  <c:v>0.99902448501052143</c:v>
                </c:pt>
                <c:pt idx="11">
                  <c:v>0.99902394627406665</c:v>
                </c:pt>
                <c:pt idx="12">
                  <c:v>0.99902338850571004</c:v>
                </c:pt>
                <c:pt idx="13">
                  <c:v>0.99902280467927107</c:v>
                </c:pt>
                <c:pt idx="14">
                  <c:v>0.99904081321255234</c:v>
                </c:pt>
                <c:pt idx="15">
                  <c:v>0.99905826210256321</c:v>
                </c:pt>
                <c:pt idx="16">
                  <c:v>0.99905714586207595</c:v>
                </c:pt>
                <c:pt idx="17">
                  <c:v>0.99905693295840459</c:v>
                </c:pt>
                <c:pt idx="18">
                  <c:v>0.99905671713182664</c:v>
                </c:pt>
                <c:pt idx="19">
                  <c:v>0.9990564984149749</c:v>
                </c:pt>
                <c:pt idx="20">
                  <c:v>0.99905627685587417</c:v>
                </c:pt>
              </c:numCache>
            </c:numRef>
          </c:xVal>
          <c:yVal>
            <c:numRef>
              <c:f>'Calc Self Flow'!$R$16:$R$36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A9-4FE2-B56B-A86DE4EB6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Self Flow'!$N$14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Flow'!$O$16:$O$36</c:f>
              <c:numCache>
                <c:formatCode>General</c:formatCode>
                <c:ptCount val="21"/>
                <c:pt idx="0">
                  <c:v>41.058817324509512</c:v>
                </c:pt>
                <c:pt idx="1">
                  <c:v>48.810792655834476</c:v>
                </c:pt>
                <c:pt idx="2">
                  <c:v>57.615065815069393</c:v>
                </c:pt>
                <c:pt idx="3">
                  <c:v>67.629424674208181</c:v>
                </c:pt>
                <c:pt idx="4">
                  <c:v>79.003134643557914</c:v>
                </c:pt>
                <c:pt idx="5">
                  <c:v>91.635811375423401</c:v>
                </c:pt>
                <c:pt idx="6">
                  <c:v>105.16070135715371</c:v>
                </c:pt>
                <c:pt idx="7">
                  <c:v>119.40684810685711</c:v>
                </c:pt>
                <c:pt idx="8">
                  <c:v>133.56776031247483</c:v>
                </c:pt>
                <c:pt idx="9">
                  <c:v>147.18171452280947</c:v>
                </c:pt>
                <c:pt idx="10">
                  <c:v>160.23555415058107</c:v>
                </c:pt>
                <c:pt idx="11">
                  <c:v>172.72691897815648</c:v>
                </c:pt>
                <c:pt idx="12">
                  <c:v>184.65481972206643</c:v>
                </c:pt>
                <c:pt idx="13">
                  <c:v>196.00990379960871</c:v>
                </c:pt>
                <c:pt idx="14">
                  <c:v>202.24547317793807</c:v>
                </c:pt>
                <c:pt idx="15">
                  <c:v>206.6599620312667</c:v>
                </c:pt>
                <c:pt idx="16">
                  <c:v>215.24259244561983</c:v>
                </c:pt>
                <c:pt idx="17">
                  <c:v>217.49484275926088</c:v>
                </c:pt>
                <c:pt idx="18">
                  <c:v>218.86642342944083</c:v>
                </c:pt>
                <c:pt idx="19">
                  <c:v>220.23860882037442</c:v>
                </c:pt>
                <c:pt idx="20">
                  <c:v>221.61159086457991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C6-4A09-84A8-D39504B397FE}"/>
            </c:ext>
          </c:extLst>
        </c:ser>
        <c:ser>
          <c:idx val="1"/>
          <c:order val="1"/>
          <c:tx>
            <c:strRef>
              <c:f>'Calc Self Flow'!$H$14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C6-4A09-84A8-D39504B397F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371B0C63-8899-4F66-96C7-0630E03AA390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3D0718F7-C8B9-43C7-8DE6-5884825D03FF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7C6-4A09-84A8-D39504B397FE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6FDF9AFF-15EC-4802-9303-5EB06086104E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F3DABC5A-1445-48CF-AB79-C89184EB1306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7C6-4A09-84A8-D39504B397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8597FC-5A30-40D4-821D-34A756D38B29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D6157AA2-B445-4314-A2E7-AA85F38C5E15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7C6-4A09-84A8-D39504B397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Self Flow'!$V$16:$V$18</c:f>
              <c:numCache>
                <c:formatCode>0</c:formatCode>
                <c:ptCount val="3"/>
                <c:pt idx="0">
                  <c:v>0</c:v>
                </c:pt>
                <c:pt idx="1">
                  <c:v>41.058817324509512</c:v>
                </c:pt>
                <c:pt idx="2">
                  <c:v>221.61159086457991</c:v>
                </c:pt>
              </c:numCache>
            </c:numRef>
          </c:xVal>
          <c:yVal>
            <c:numRef>
              <c:f>'Calc Self Flow'!$U$16:$U$18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Self Flow'!$P$10:$P$12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87C6-4A09-84A8-D39504B39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Self Flow'!$Q$16:$Q$36</c:f>
              <c:numCache>
                <c:formatCode>General</c:formatCode>
                <c:ptCount val="21"/>
                <c:pt idx="0">
                  <c:v>45.041809114944598</c:v>
                </c:pt>
                <c:pt idx="1">
                  <c:v>49.745199656049621</c:v>
                </c:pt>
                <c:pt idx="2">
                  <c:v>54.332061775240511</c:v>
                </c:pt>
                <c:pt idx="3">
                  <c:v>58.791967511448384</c:v>
                </c:pt>
                <c:pt idx="4">
                  <c:v>63.114391973118252</c:v>
                </c:pt>
                <c:pt idx="5">
                  <c:v>67.274815675013741</c:v>
                </c:pt>
                <c:pt idx="6">
                  <c:v>71.259010598839851</c:v>
                </c:pt>
                <c:pt idx="7">
                  <c:v>75.065743674886988</c:v>
                </c:pt>
                <c:pt idx="8">
                  <c:v>78.616210038808035</c:v>
                </c:pt>
                <c:pt idx="9">
                  <c:v>81.845105184943989</c:v>
                </c:pt>
                <c:pt idx="10">
                  <c:v>84.723156516442018</c:v>
                </c:pt>
                <c:pt idx="11">
                  <c:v>87.215431332438826</c:v>
                </c:pt>
                <c:pt idx="12">
                  <c:v>89.278890740788043</c:v>
                </c:pt>
                <c:pt idx="13">
                  <c:v>90.851873400906697</c:v>
                </c:pt>
                <c:pt idx="14">
                  <c:v>91.508498999492431</c:v>
                </c:pt>
                <c:pt idx="15">
                  <c:v>91.846791864574215</c:v>
                </c:pt>
                <c:pt idx="16">
                  <c:v>92.182090008185284</c:v>
                </c:pt>
                <c:pt idx="17">
                  <c:v>91.969188001107057</c:v>
                </c:pt>
                <c:pt idx="18">
                  <c:v>91.544171574727329</c:v>
                </c:pt>
                <c:pt idx="19">
                  <c:v>90.904517195119467</c:v>
                </c:pt>
                <c:pt idx="20">
                  <c:v>90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64-45F3-BF04-DE254193273C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25.526315789473689</c:v>
                </c:pt>
                <c:pt idx="2">
                  <c:v>31.05263157894737</c:v>
                </c:pt>
                <c:pt idx="3">
                  <c:v>36.578947368421055</c:v>
                </c:pt>
                <c:pt idx="4">
                  <c:v>42.10526315789474</c:v>
                </c:pt>
                <c:pt idx="5">
                  <c:v>47.631578947368425</c:v>
                </c:pt>
                <c:pt idx="6">
                  <c:v>53.03</c:v>
                </c:pt>
                <c:pt idx="7">
                  <c:v>58.226315789473688</c:v>
                </c:pt>
                <c:pt idx="8">
                  <c:v>63.217368421052633</c:v>
                </c:pt>
                <c:pt idx="9">
                  <c:v>68.006315789473689</c:v>
                </c:pt>
                <c:pt idx="10">
                  <c:v>72.593157894736848</c:v>
                </c:pt>
                <c:pt idx="11">
                  <c:v>76.977894736842103</c:v>
                </c:pt>
                <c:pt idx="12">
                  <c:v>81.160526315789483</c:v>
                </c:pt>
                <c:pt idx="13">
                  <c:v>85.137894736842114</c:v>
                </c:pt>
                <c:pt idx="14">
                  <c:v>87.32</c:v>
                </c:pt>
                <c:pt idx="15">
                  <c:v>88.906842105263152</c:v>
                </c:pt>
                <c:pt idx="16">
                  <c:v>92.473684210526315</c:v>
                </c:pt>
                <c:pt idx="17">
                  <c:v>93.555263157894743</c:v>
                </c:pt>
                <c:pt idx="18">
                  <c:v>94.036842105263162</c:v>
                </c:pt>
                <c:pt idx="19">
                  <c:v>94.518421052631581</c:v>
                </c:pt>
                <c:pt idx="20">
                  <c:v>95</c:v>
                </c:pt>
              </c:numCache>
            </c:numRef>
          </c:xVal>
          <c:yVal>
            <c:numRef>
              <c:f>'Calc Self Flow'!$K$16:$K$36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64-45F3-BF04-DE254193273C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Self Flow'!$J$16:$J$36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64-45F3-BF04-DE2541932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Lines="2" dropStyle="combo" dx="22" fmlaLink="$AO$3" fmlaRange="$AP$3:$AP$4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6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Lines="6" dropStyle="combo" dx="22" fmlaLink="$AB$3" fmlaRange="$AC$3:$AC$8" noThreeD="1" sel="4" val="0"/>
</file>

<file path=xl/ctrlProps/ctrlProp20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  <a:endParaRPr lang="en-US" sz="1100" baseline="0"/>
        </a:p>
        <a:p>
          <a:r>
            <a:rPr lang="en-US" sz="1100" baseline="0"/>
            <a:t>28.05.2019</a:t>
          </a:r>
        </a:p>
        <a:p>
          <a:r>
            <a:rPr lang="en-US" sz="1100" baseline="0"/>
            <a:t>- </a:t>
          </a:r>
          <a:r>
            <a:rPr lang="ru-RU" sz="1100" baseline="0"/>
            <a:t>исправления для работы версии 7.7 для расчета скважины с УЭЦН</a:t>
          </a:r>
        </a:p>
        <a:p>
          <a:r>
            <a:rPr lang="en-US" sz="1100" baseline="0"/>
            <a:t>08.10.2019</a:t>
          </a:r>
        </a:p>
        <a:p>
          <a:r>
            <a:rPr lang="en-US" sz="1100" baseline="0"/>
            <a:t>- </a:t>
          </a:r>
          <a:r>
            <a:rPr lang="ru-RU" sz="1100" baseline="0"/>
            <a:t>обновление под новые функции унифлока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56</xdr:row>
          <xdr:rowOff>0</xdr:rowOff>
        </xdr:from>
        <xdr:to>
          <xdr:col>13</xdr:col>
          <xdr:colOff>647700</xdr:colOff>
          <xdr:row>56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59</xdr:row>
      <xdr:rowOff>166608</xdr:rowOff>
    </xdr:from>
    <xdr:to>
      <xdr:col>9</xdr:col>
      <xdr:colOff>339116</xdr:colOff>
      <xdr:row>79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59</xdr:row>
      <xdr:rowOff>163886</xdr:rowOff>
    </xdr:from>
    <xdr:to>
      <xdr:col>17</xdr:col>
      <xdr:colOff>468464</xdr:colOff>
      <xdr:row>79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79</xdr:row>
      <xdr:rowOff>116261</xdr:rowOff>
    </xdr:from>
    <xdr:to>
      <xdr:col>9</xdr:col>
      <xdr:colOff>325587</xdr:colOff>
      <xdr:row>99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79</xdr:row>
      <xdr:rowOff>128167</xdr:rowOff>
    </xdr:from>
    <xdr:to>
      <xdr:col>17</xdr:col>
      <xdr:colOff>492275</xdr:colOff>
      <xdr:row>99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78438</xdr:colOff>
      <xdr:row>0</xdr:row>
      <xdr:rowOff>96722</xdr:rowOff>
    </xdr:from>
    <xdr:to>
      <xdr:col>28</xdr:col>
      <xdr:colOff>350182</xdr:colOff>
      <xdr:row>19</xdr:row>
      <xdr:rowOff>152681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8</xdr:row>
          <xdr:rowOff>219075</xdr:rowOff>
        </xdr:from>
        <xdr:to>
          <xdr:col>21</xdr:col>
          <xdr:colOff>209550</xdr:colOff>
          <xdr:row>12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21</xdr:row>
      <xdr:rowOff>65134</xdr:rowOff>
    </xdr:from>
    <xdr:to>
      <xdr:col>27</xdr:col>
      <xdr:colOff>415318</xdr:colOff>
      <xdr:row>30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12</xdr:row>
          <xdr:rowOff>104775</xdr:rowOff>
        </xdr:from>
        <xdr:to>
          <xdr:col>21</xdr:col>
          <xdr:colOff>209550</xdr:colOff>
          <xdr:row>15</xdr:row>
          <xdr:rowOff>209550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219075</xdr:colOff>
          <xdr:row>16</xdr:row>
          <xdr:rowOff>9525</xdr:rowOff>
        </xdr:from>
        <xdr:to>
          <xdr:col>21</xdr:col>
          <xdr:colOff>190500</xdr:colOff>
          <xdr:row>18</xdr:row>
          <xdr:rowOff>133350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56</xdr:row>
          <xdr:rowOff>104775</xdr:rowOff>
        </xdr:from>
        <xdr:to>
          <xdr:col>21</xdr:col>
          <xdr:colOff>276225</xdr:colOff>
          <xdr:row>59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59</xdr:row>
      <xdr:rowOff>145677</xdr:rowOff>
    </xdr:from>
    <xdr:to>
      <xdr:col>26</xdr:col>
      <xdr:colOff>403412</xdr:colOff>
      <xdr:row>79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435429</xdr:colOff>
      <xdr:row>0</xdr:row>
      <xdr:rowOff>149678</xdr:rowOff>
    </xdr:from>
    <xdr:to>
      <xdr:col>38</xdr:col>
      <xdr:colOff>449036</xdr:colOff>
      <xdr:row>29</xdr:row>
      <xdr:rowOff>13607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437679" y="149678"/>
          <a:ext cx="6136821" cy="589189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Лист</a:t>
          </a:r>
          <a:r>
            <a:rPr lang="ru-RU" sz="1100" baseline="0"/>
            <a:t> </a:t>
          </a:r>
          <a:r>
            <a:rPr lang="en-US" sz="1100" baseline="0"/>
            <a:t>PVT - </a:t>
          </a:r>
          <a:r>
            <a:rPr lang="ru-RU" sz="1100" baseline="0"/>
            <a:t>Калькулятор </a:t>
          </a:r>
          <a:r>
            <a:rPr lang="en-US" sz="1100" baseline="0"/>
            <a:t>PVT </a:t>
          </a:r>
          <a:r>
            <a:rPr lang="ru-RU" sz="1100" baseline="0"/>
            <a:t>свойст предназначен для ввода и анализа данных по физико-химическим свойствам флюидов.</a:t>
          </a:r>
        </a:p>
        <a:p>
          <a:r>
            <a:rPr lang="ru-RU" sz="1100" baseline="0"/>
            <a:t>Позоляет рассчитать все доступные для расчета параметры при заданных давлении и температуре и построить графические зависимости.</a:t>
          </a:r>
        </a:p>
        <a:p>
          <a:endParaRPr lang="ru-RU" sz="1100" baseline="0"/>
        </a:p>
        <a:p>
          <a:r>
            <a:rPr lang="ru-RU" sz="1100" baseline="0"/>
            <a:t>Данные введенные в калькуляторе используются в других расчетных листах данного расчетного модуля в качестве исходных данных.</a:t>
          </a:r>
        </a:p>
        <a:p>
          <a:endParaRPr lang="ru-RU" sz="1100" baseline="0"/>
        </a:p>
        <a:p>
          <a:r>
            <a:rPr lang="ru-RU" sz="1100" baseline="0"/>
            <a:t>Для работы с диаграммой рассогласованности </a:t>
          </a:r>
          <a:r>
            <a:rPr lang="en-US" sz="1100" baseline="0"/>
            <a:t>PVT </a:t>
          </a:r>
          <a:r>
            <a:rPr lang="ru-RU" sz="1100" baseline="0"/>
            <a:t>данных необходимо активировать надстройку "поиск решения" в </a:t>
          </a:r>
          <a:r>
            <a:rPr lang="en-US" sz="1100" baseline="0"/>
            <a:t>Excel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809625</xdr:colOff>
          <xdr:row>2</xdr:row>
          <xdr:rowOff>9525</xdr:rowOff>
        </xdr:from>
        <xdr:to>
          <xdr:col>8</xdr:col>
          <xdr:colOff>304800</xdr:colOff>
          <xdr:row>2</xdr:row>
          <xdr:rowOff>219075</xdr:rowOff>
        </xdr:to>
        <xdr:sp macro="" textlink="">
          <xdr:nvSpPr>
            <xdr:cNvPr id="5170" name="Drop Dow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3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30.1%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9525</xdr:rowOff>
        </xdr:from>
        <xdr:to>
          <xdr:col>14</xdr:col>
          <xdr:colOff>352425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543381</xdr:colOff>
      <xdr:row>12</xdr:row>
      <xdr:rowOff>190501</xdr:rowOff>
    </xdr:from>
    <xdr:to>
      <xdr:col>28</xdr:col>
      <xdr:colOff>166311</xdr:colOff>
      <xdr:row>43</xdr:row>
      <xdr:rowOff>25703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596621</xdr:colOff>
      <xdr:row>12</xdr:row>
      <xdr:rowOff>208815</xdr:rowOff>
    </xdr:from>
    <xdr:to>
      <xdr:col>13</xdr:col>
      <xdr:colOff>289857</xdr:colOff>
      <xdr:row>43</xdr:row>
      <xdr:rowOff>70411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271085</xdr:colOff>
      <xdr:row>13</xdr:row>
      <xdr:rowOff>5445</xdr:rowOff>
    </xdr:from>
    <xdr:to>
      <xdr:col>20</xdr:col>
      <xdr:colOff>461358</xdr:colOff>
      <xdr:row>43</xdr:row>
      <xdr:rowOff>81644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361950</xdr:colOff>
          <xdr:row>3</xdr:row>
          <xdr:rowOff>142875</xdr:rowOff>
        </xdr:from>
        <xdr:to>
          <xdr:col>27</xdr:col>
          <xdr:colOff>381000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553509</xdr:colOff>
      <xdr:row>7</xdr:row>
      <xdr:rowOff>119591</xdr:rowOff>
    </xdr:from>
    <xdr:to>
      <xdr:col>28</xdr:col>
      <xdr:colOff>535517</xdr:colOff>
      <xdr:row>10</xdr:row>
      <xdr:rowOff>200024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296342" y="1537758"/>
          <a:ext cx="595842" cy="7789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531284</xdr:colOff>
      <xdr:row>3</xdr:row>
      <xdr:rowOff>157691</xdr:rowOff>
    </xdr:from>
    <xdr:to>
      <xdr:col>28</xdr:col>
      <xdr:colOff>513292</xdr:colOff>
      <xdr:row>6</xdr:row>
      <xdr:rowOff>200025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 rot="10800000">
          <a:off x="17274117" y="729191"/>
          <a:ext cx="595842" cy="656167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448542</xdr:colOff>
      <xdr:row>13</xdr:row>
      <xdr:rowOff>-1</xdr:rowOff>
    </xdr:from>
    <xdr:to>
      <xdr:col>28</xdr:col>
      <xdr:colOff>398318</xdr:colOff>
      <xdr:row>42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260389</xdr:colOff>
      <xdr:row>13</xdr:row>
      <xdr:rowOff>1687</xdr:rowOff>
    </xdr:from>
    <xdr:to>
      <xdr:col>12</xdr:col>
      <xdr:colOff>515132</xdr:colOff>
      <xdr:row>42</xdr:row>
      <xdr:rowOff>82851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472516</xdr:colOff>
      <xdr:row>13</xdr:row>
      <xdr:rowOff>624</xdr:rowOff>
    </xdr:from>
    <xdr:to>
      <xdr:col>20</xdr:col>
      <xdr:colOff>265660</xdr:colOff>
      <xdr:row>42</xdr:row>
      <xdr:rowOff>78554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16388" name="Drop Dow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6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28575</xdr:rowOff>
        </xdr:to>
        <xdr:sp macro="" textlink="">
          <xdr:nvSpPr>
            <xdr:cNvPr id="16389" name="Drop Dow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6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314325</xdr:colOff>
      <xdr:row>12</xdr:row>
      <xdr:rowOff>190499</xdr:rowOff>
    </xdr:from>
    <xdr:to>
      <xdr:col>29</xdr:col>
      <xdr:colOff>47625</xdr:colOff>
      <xdr:row>43</xdr:row>
      <xdr:rowOff>111124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23586</xdr:colOff>
      <xdr:row>12</xdr:row>
      <xdr:rowOff>174172</xdr:rowOff>
    </xdr:from>
    <xdr:to>
      <xdr:col>13</xdr:col>
      <xdr:colOff>315686</xdr:colOff>
      <xdr:row>43</xdr:row>
      <xdr:rowOff>50347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349704</xdr:colOff>
      <xdr:row>13</xdr:row>
      <xdr:rowOff>14515</xdr:rowOff>
    </xdr:from>
    <xdr:to>
      <xdr:col>21</xdr:col>
      <xdr:colOff>254000</xdr:colOff>
      <xdr:row>43</xdr:row>
      <xdr:rowOff>119289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17413" name="Drop Dow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head_m"/>
      <definedName name="ESP_id_by_rate"/>
      <definedName name="ESP_max_rate_m3day"/>
      <definedName name="ESP_name"/>
      <definedName name="getUFVersion"/>
      <definedName name="MF_mu_mix_cP"/>
      <definedName name="MF_q_mix_rc_m3day"/>
      <definedName name="PVT_bg_m3m3"/>
      <definedName name="PVT_bo_m3m3"/>
      <definedName name="PVT_bw_m3m3"/>
      <definedName name="PVT_encode_string"/>
      <definedName name="PVT_mu_gas_cP"/>
      <definedName name="PVT_mu_oil_cP"/>
      <definedName name="PVT_mu_wat_cP"/>
      <definedName name="PVT_Muo_cP"/>
      <definedName name="PVT_pb_atma"/>
      <definedName name="PVT_rs_m3m3"/>
      <definedName name="PVT_salinity_ppm"/>
      <definedName name="PVT_z"/>
      <definedName name="s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Info"/>
  <dimension ref="A1:E4"/>
  <sheetViews>
    <sheetView tabSelected="1" workbookViewId="0">
      <selection activeCell="O15" sqref="O15"/>
    </sheetView>
  </sheetViews>
  <sheetFormatPr defaultRowHeight="15" x14ac:dyDescent="0.25"/>
  <sheetData>
    <row r="1" spans="1:5" x14ac:dyDescent="0.25">
      <c r="A1" t="str">
        <f>"вер "&amp;B1</f>
        <v>вер 7.10</v>
      </c>
      <c r="B1" s="16" t="str">
        <f>[1]!getUFVersion()</f>
        <v>7.10</v>
      </c>
    </row>
    <row r="2" spans="1:5" x14ac:dyDescent="0.25">
      <c r="A2" t="s">
        <v>161</v>
      </c>
    </row>
    <row r="4" spans="1:5" x14ac:dyDescent="0.25">
      <c r="A4" s="67" t="str">
        <f>"Унифлок "&amp;версия_номер_</f>
        <v>Унифлок 7.10</v>
      </c>
      <c r="B4" s="67"/>
      <c r="C4" s="67"/>
      <c r="D4" s="67"/>
      <c r="E4" s="67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PVT">
    <outlinePr summaryBelow="0"/>
  </sheetPr>
  <dimension ref="A1:AP102"/>
  <sheetViews>
    <sheetView topLeftCell="A34" zoomScale="85" zoomScaleNormal="85" workbookViewId="0">
      <selection activeCell="U55" sqref="U55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42" x14ac:dyDescent="0.25">
      <c r="A1" s="59" t="str">
        <f>"Унифлок "&amp;версия_&amp;" приложение версия 1.1"</f>
        <v>Унифлок вер 7.10 приложение версия 1.1</v>
      </c>
      <c r="J1" s="2" t="s">
        <v>23</v>
      </c>
      <c r="K1" s="2"/>
      <c r="L1" s="2"/>
    </row>
    <row r="2" spans="1:42" ht="18" x14ac:dyDescent="0.25">
      <c r="A2" s="68" t="s">
        <v>0</v>
      </c>
      <c r="B2" s="68"/>
      <c r="C2" s="68"/>
      <c r="D2" s="68"/>
      <c r="E2" s="68"/>
      <c r="J2" s="6" t="s">
        <v>26</v>
      </c>
      <c r="K2" s="9">
        <v>1</v>
      </c>
      <c r="L2" s="5" t="s">
        <v>6</v>
      </c>
      <c r="AO2" s="66"/>
      <c r="AP2" s="66" t="s">
        <v>151</v>
      </c>
    </row>
    <row r="3" spans="1:42" ht="18" customHeight="1" x14ac:dyDescent="0.25">
      <c r="F3" s="69" t="s">
        <v>74</v>
      </c>
      <c r="G3" s="69"/>
      <c r="H3" s="9">
        <f>AO3-1</f>
        <v>0</v>
      </c>
      <c r="J3" s="5" t="s">
        <v>27</v>
      </c>
      <c r="K3" s="9">
        <v>15</v>
      </c>
      <c r="L3" s="5" t="s">
        <v>24</v>
      </c>
      <c r="AO3" s="66">
        <v>1</v>
      </c>
      <c r="AP3" s="66" t="s">
        <v>143</v>
      </c>
    </row>
    <row r="4" spans="1:42" x14ac:dyDescent="0.25">
      <c r="AO4" s="66"/>
      <c r="AP4" s="66" t="s">
        <v>144</v>
      </c>
    </row>
    <row r="6" spans="1:42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42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70" t="s">
        <v>28</v>
      </c>
      <c r="O7" s="70"/>
      <c r="P7" s="70"/>
      <c r="Q7" s="70"/>
    </row>
    <row r="8" spans="1:42" ht="18" x14ac:dyDescent="0.25">
      <c r="B8" s="14" t="s">
        <v>10</v>
      </c>
      <c r="C8" s="9">
        <v>40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9">
        <v>230</v>
      </c>
      <c r="L8" s="5" t="s">
        <v>33</v>
      </c>
      <c r="N8" s="6" t="s">
        <v>29</v>
      </c>
      <c r="O8" s="9">
        <v>0</v>
      </c>
      <c r="P8" s="5"/>
      <c r="Q8" s="2"/>
    </row>
    <row r="9" spans="1:42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9"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42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Ql_scm3day_*(1-fw_perc_/100)*gamma_oil_</f>
        <v>197.79999999999998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42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9">
        <v>100</v>
      </c>
      <c r="L11" s="5" t="s">
        <v>17</v>
      </c>
    </row>
    <row r="12" spans="1:42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42" x14ac:dyDescent="0.25">
      <c r="F13" s="2" t="s">
        <v>5</v>
      </c>
      <c r="G13" s="2"/>
      <c r="H13" s="2"/>
    </row>
    <row r="14" spans="1:42" ht="18" x14ac:dyDescent="0.25">
      <c r="F14" s="5" t="s">
        <v>16</v>
      </c>
      <c r="G14" s="9">
        <v>80</v>
      </c>
      <c r="H14" s="5" t="s">
        <v>75</v>
      </c>
    </row>
    <row r="15" spans="1:42" ht="18" x14ac:dyDescent="0.25">
      <c r="F15" s="5" t="s">
        <v>20</v>
      </c>
      <c r="G15" s="9">
        <v>120</v>
      </c>
      <c r="H15" s="5" t="s">
        <v>2</v>
      </c>
    </row>
    <row r="16" spans="1:42" ht="18" x14ac:dyDescent="0.25">
      <c r="F16" s="7" t="s">
        <v>21</v>
      </c>
      <c r="G16" s="9">
        <v>1.2</v>
      </c>
      <c r="H16" s="5" t="s">
        <v>17</v>
      </c>
    </row>
    <row r="17" spans="1:28" ht="18" x14ac:dyDescent="0.25">
      <c r="F17" s="8" t="s">
        <v>22</v>
      </c>
      <c r="G17" s="9">
        <v>1</v>
      </c>
      <c r="H17" s="5" t="s">
        <v>7</v>
      </c>
    </row>
    <row r="19" spans="1:28" x14ac:dyDescent="0.25">
      <c r="B19" s="10" t="s">
        <v>217</v>
      </c>
      <c r="C19" s="63" t="str">
        <f>[1]!PVT_encode_string(gamma_gas_,gamma_oil_,gamma_wat_,Rsb_m3m3_,Rp_m3m3_,Pb_atma_,Tres_C_,Bob_m3m3_,mu_cP_,H3)</f>
        <v>gamma_gas:0,700;gamma_oil:0,860;gamma_wat:1,070;rsb_m3m3:100,000;rp_m3m3:100,000;pb_atma:120,000;t_res_C:80,000;bob_m3m3:1,200;muob_cP:1,000;PVTcorr:0;ksep_fr:0,000;p_ksep_atma:-1,000;t_ksep_C:-1,000;gas_only:False;</v>
      </c>
      <c r="D19" s="63"/>
      <c r="E19" s="63"/>
      <c r="F19" s="63"/>
      <c r="G19" s="64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</row>
    <row r="20" spans="1:28" s="61" customFormat="1" ht="15.75" x14ac:dyDescent="0.25">
      <c r="A20" s="60"/>
      <c r="G20" s="62"/>
    </row>
    <row r="21" spans="1:28" x14ac:dyDescent="0.25">
      <c r="B21" s="19" t="s">
        <v>76</v>
      </c>
      <c r="C21" s="20"/>
      <c r="D21" s="20"/>
      <c r="E21" s="20"/>
      <c r="F21" s="20"/>
      <c r="G21" s="21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</row>
    <row r="22" spans="1:28" outlineLevel="1" x14ac:dyDescent="0.25"/>
    <row r="23" spans="1:28" outlineLevel="1" x14ac:dyDescent="0.25">
      <c r="B23" s="2" t="s">
        <v>77</v>
      </c>
      <c r="C23" s="2"/>
      <c r="D23" s="2"/>
      <c r="E23" s="2"/>
      <c r="F23" s="2"/>
      <c r="G23" s="2" t="s">
        <v>78</v>
      </c>
      <c r="H23" s="2"/>
    </row>
    <row r="24" spans="1:28" ht="18" outlineLevel="1" x14ac:dyDescent="0.25">
      <c r="B24" s="5" t="s">
        <v>79</v>
      </c>
      <c r="C24" s="22">
        <f>PVT_pb_atma(Tres_C_,gamma_gas_,gamma_oil_,gamma_w_,Rsb_m3m3_,,Pb_atma_,Tres_C_,Bob_m3m3_,mu_cP_,PVT_correlation_,Ksep_,Psep_atma_,Tsep_C_)</f>
        <v>119.99999999999999</v>
      </c>
      <c r="D24" s="5" t="s">
        <v>2</v>
      </c>
      <c r="E24" s="2"/>
      <c r="F24" s="2"/>
      <c r="G24" s="23">
        <f>[1]!PVT_pb_atma(T_C_,gamma_gas_,gamma_oil_,gamma_w_,Rsb_m3m3_,,Pb_atma_,Tres_C_,Bob_m3m3_,mu_cP_,PVT_correlation_,Ksep_,Psep_atma_,Tsep_C_)</f>
        <v>99.261594223696079</v>
      </c>
      <c r="H24" s="2"/>
    </row>
    <row r="25" spans="1:28" ht="18" outlineLevel="1" x14ac:dyDescent="0.25">
      <c r="B25" s="5" t="s">
        <v>16</v>
      </c>
      <c r="C25" s="24">
        <f>Tres_C_</f>
        <v>80</v>
      </c>
      <c r="D25" s="5" t="s">
        <v>25</v>
      </c>
      <c r="E25" s="2"/>
      <c r="F25" s="2"/>
      <c r="G25" s="25">
        <f>T_C_</f>
        <v>30</v>
      </c>
      <c r="H25" s="2"/>
    </row>
    <row r="26" spans="1:28" ht="18" outlineLevel="1" x14ac:dyDescent="0.25">
      <c r="B26" s="7" t="s">
        <v>15</v>
      </c>
      <c r="C26" s="24">
        <f>Rsb_m3m3_</f>
        <v>100</v>
      </c>
      <c r="D26" s="5" t="s">
        <v>17</v>
      </c>
      <c r="E26" s="2"/>
      <c r="F26" s="2"/>
      <c r="G26" s="10"/>
      <c r="H26" s="2"/>
    </row>
    <row r="27" spans="1:28" ht="18" outlineLevel="1" x14ac:dyDescent="0.25">
      <c r="B27" s="7" t="s">
        <v>80</v>
      </c>
      <c r="C27" s="26">
        <f>[1]!PVT_bo_m3m3(C24,Tres_C_,gamma_gas_,gamma_oil_,gamma_w_,Rsb_m3m3_,,Pb_atma_,Tres_C_,Bob_m3m3_,mu_cP_,PVT_correlation_,Ksep_,Psep_atma_,Tsep_C_)</f>
        <v>1.1989311734498249</v>
      </c>
      <c r="D27" s="5" t="s">
        <v>17</v>
      </c>
      <c r="E27" s="2"/>
      <c r="F27" s="2"/>
      <c r="G27" s="10"/>
      <c r="H27" s="2"/>
    </row>
    <row r="28" spans="1:28" ht="18" outlineLevel="1" x14ac:dyDescent="0.25">
      <c r="B28" s="8" t="s">
        <v>81</v>
      </c>
      <c r="C28" s="22">
        <f>PVT_rho_oil_kgm3(C24,Tres_C_,gamma_gas_,gamma_oil_,gamma_w_,Rsb_m3m3_,,Pb_atma_,Tres_C_,Bob_m3m3_,mu_cP_,PVT_correlation_,Ksep_,Psep_atma_,Tsep_C_)</f>
        <v>788.20845940934635</v>
      </c>
      <c r="D28" s="5" t="s">
        <v>82</v>
      </c>
      <c r="E28" s="2"/>
      <c r="F28" s="2"/>
      <c r="G28" s="10"/>
      <c r="H28" s="2"/>
    </row>
    <row r="29" spans="1:28" ht="18" outlineLevel="1" x14ac:dyDescent="0.25">
      <c r="B29" s="8" t="s">
        <v>83</v>
      </c>
      <c r="C29" s="27">
        <f>[1]!PVT_mu_oil_cP(C24,Tres_C_,gamma_gas_,gamma_oil_,gamma_w_,Rsb_m3m3_,,Pb_atma_,Tres_C_,Bob_m3m3_,mu_cP_,PVT_correlation_,Ksep_,Psep_atma_,Tsep_C_)</f>
        <v>1.0035657702445147</v>
      </c>
      <c r="D29" s="5" t="s">
        <v>7</v>
      </c>
      <c r="E29" s="2"/>
      <c r="F29" s="2"/>
      <c r="G29" s="10"/>
      <c r="H29" s="2"/>
    </row>
    <row r="30" spans="1:28" outlineLevel="1" x14ac:dyDescent="0.25"/>
    <row r="31" spans="1:28" outlineLevel="1" x14ac:dyDescent="0.25"/>
    <row r="32" spans="1:28" outlineLevel="1" x14ac:dyDescent="0.25">
      <c r="B32" s="2" t="s">
        <v>84</v>
      </c>
      <c r="C32" s="2"/>
      <c r="D32" s="2"/>
      <c r="E32" s="2"/>
      <c r="F32" s="2"/>
      <c r="G32" s="28"/>
      <c r="H32" s="2" t="s">
        <v>85</v>
      </c>
      <c r="I32" s="2"/>
      <c r="J32" s="2"/>
      <c r="K32" s="2"/>
      <c r="L32" s="2" t="s">
        <v>86</v>
      </c>
      <c r="M32" s="2"/>
      <c r="N32" s="2"/>
      <c r="Q32" s="2" t="s">
        <v>87</v>
      </c>
      <c r="R32" s="2"/>
      <c r="S32" s="2"/>
      <c r="T32" s="2"/>
      <c r="U32" s="2"/>
      <c r="V32" s="2"/>
      <c r="W32" s="2"/>
      <c r="X32" s="2"/>
      <c r="Z32" s="2" t="s">
        <v>88</v>
      </c>
      <c r="AA32" s="2"/>
      <c r="AB32" s="2"/>
    </row>
    <row r="33" spans="2:33" ht="18" outlineLevel="1" x14ac:dyDescent="0.35">
      <c r="B33" s="5" t="s">
        <v>89</v>
      </c>
      <c r="C33" s="22">
        <f>PVT_rho_oil_kgm3(Psc_atma_,Tsc_C_,gamma_gas_,gamma_oil_,gamma_w_,Rsb_m3m3_,,Pb_atma_,Tres_C_,Bob_m3m3_,mu_cP_,PVT_correlation_,Ksep_,Psep_atma_,Tsep_C_)</f>
        <v>862.85554822523807</v>
      </c>
      <c r="D33" s="5" t="s">
        <v>82</v>
      </c>
      <c r="E33" s="29">
        <f>PVT_rho_oil_kgm3(Psc_atma_,Tsc_C_,gamma_gas_,gamma_oil_,gamma_w_,Rsb_m3m3_,,,,,,PVT_correlation_,Ksep_,Psep_atma_,Tsep_C_)</f>
        <v>864.35270080027806</v>
      </c>
      <c r="F33" s="30">
        <f t="shared" ref="F33:F38" si="0">(E33-C33)/E33</f>
        <v>1.7321084016441693E-3</v>
      </c>
      <c r="G33" s="31"/>
      <c r="H33" s="5" t="s">
        <v>90</v>
      </c>
      <c r="I33" s="27">
        <f>PVT_rho_gas_kgm3(Psc_atma_,Tsc_C_,gamma_gas_,gamma_oil_,gamma_w_,Rsb_m3m3_,,Pb_atma_,Tres_C_,Bob_m3m3_,mu_cP_,PVT_correlation_,Ksep_,Psep_atma_,Tsep_C_)</f>
        <v>0.86851485761170277</v>
      </c>
      <c r="J33" s="5" t="s">
        <v>82</v>
      </c>
      <c r="L33" s="5" t="s">
        <v>91</v>
      </c>
      <c r="M33" s="22">
        <f>PVT_rho_wat_kgm3(Psc_atma_,Tsc_C_,gamma_gas_,gamma_oil_,gamma_w_,Rsb_m3m3_,,Pb_atma_,Tres_C_,Bob_m3m3_,mu_cP_,PVT_correlation_,Ksep_,Psep_atma_,Tsep_C_)</f>
        <v>1070.3638451179736</v>
      </c>
      <c r="N33" s="5" t="s">
        <v>82</v>
      </c>
      <c r="Q33" s="5" t="s">
        <v>92</v>
      </c>
      <c r="R33" s="32">
        <v>0.86</v>
      </c>
      <c r="S33" s="2"/>
      <c r="T33" s="2" t="s">
        <v>93</v>
      </c>
      <c r="U33" s="2"/>
      <c r="V33" s="2" t="s">
        <v>94</v>
      </c>
      <c r="W33" s="2"/>
      <c r="X33" s="2" t="s">
        <v>95</v>
      </c>
      <c r="Z33" s="5" t="s">
        <v>79</v>
      </c>
      <c r="AA33" s="33">
        <f>ABS(U34)</f>
        <v>0.32265604536245934</v>
      </c>
      <c r="AB33" s="34">
        <f>ABS(Pb_diff_)</f>
        <v>0.32265604536245934</v>
      </c>
      <c r="AD33" s="2" t="str">
        <f>Q35&amp; " = "&amp;IFERROR(TEXT(gamma_gas_diff_total_*100,"0.0") &amp; "%",TEXT(gamma_gas_diff_total_*100,"0,0") &amp; "%")</f>
        <v>Сумм откл = 30.1%</v>
      </c>
      <c r="AE33" s="2"/>
      <c r="AF33" s="2"/>
      <c r="AG33" s="2"/>
    </row>
    <row r="34" spans="2:33" ht="18" outlineLevel="1" x14ac:dyDescent="0.25">
      <c r="B34" s="5" t="s">
        <v>96</v>
      </c>
      <c r="C34" s="27">
        <f>[1]!PVT_mu_oil_cP(Psc_atma_,Tsc_C_,gamma_gas_,gamma_oil_,gamma_w_,Rsb_m3m3_,,Pb_atma_,Tres_C_,Bob_m3m3_,mu_cP_,PVT_correlation_,Ksep_,Psep_atma_,Tsep_C_)</f>
        <v>17.398202043728901</v>
      </c>
      <c r="D34" s="5" t="s">
        <v>7</v>
      </c>
      <c r="E34" s="29" t="e">
        <f ca="1">[1]!PVT_Muo_cP(Psc_atma_,Tsc_C_,gamma_gas_,gamma_oil_,gamma_w_,Rsb_m3m3_,,,,,,PVT_correlation_,Ksep_,Psep_atma_,Tsep_C_)</f>
        <v>#NAME?</v>
      </c>
      <c r="F34" s="30" t="e">
        <f t="shared" ca="1" si="0"/>
        <v>#NAME?</v>
      </c>
      <c r="G34" s="31"/>
      <c r="H34" s="5" t="s">
        <v>97</v>
      </c>
      <c r="I34" s="39">
        <f>[1]!PVT_mu_gas_cP(Psc_atma_,Tsc_C_,gamma_gas_,gamma_oil_,gamma_w_,Rsb_m3m3_,,Pb_atma_,Tres_C_,Bob_m3m3_,mu_cP_,PVT_correlation_,Ksep_,Psep_atma_,Tsep_C_)</f>
        <v>1.0255672046621608E-2</v>
      </c>
      <c r="J34" s="5" t="s">
        <v>7</v>
      </c>
      <c r="L34" s="5" t="s">
        <v>98</v>
      </c>
      <c r="M34" s="26">
        <f>[1]!PVT_mu_wat_cP(Psc_atma_,Tsc_C_,gamma_gas_,gamma_oil_,gamma_w_,Rsb_m3m3_,,Pb_atma_,Tres_C_,Bob_m3m3_,mu_cP_,PVT_correlation_,Ksep_,Psep_atma_,Tsep_C_)</f>
        <v>1.2900781748980021</v>
      </c>
      <c r="N34" s="5" t="s">
        <v>7</v>
      </c>
      <c r="Q34" s="5" t="s">
        <v>99</v>
      </c>
      <c r="R34" s="32">
        <v>0.7</v>
      </c>
      <c r="S34" s="5" t="s">
        <v>79</v>
      </c>
      <c r="T34" s="29">
        <f>[1]!PVT_pb_atma(Tres_C_,gamma_gas_,gamma_oil_,gamma_w_,Rsb_m3m3_,,,Tres_C_,,,PVT_correlation_,Ksep_,Psep_atma_,Tsep_C_)</f>
        <v>177.16257623383413</v>
      </c>
      <c r="U34" s="30">
        <f>(T34-C24)/T34</f>
        <v>0.32265604536245934</v>
      </c>
      <c r="V34" s="29">
        <f>[1]!PVT_pb_atma(Tres_C_,gamma_gas_new_,gamma_oil_new_,gamma_w_,Rsb_m3m3_,,,Tres_C_,,,PVT_correlation_,Ksep_,Psep_atma_,Tsep_C_)</f>
        <v>177.16257623383413</v>
      </c>
      <c r="W34" s="30">
        <f>(V34-C24)/V34</f>
        <v>0.32265604536245934</v>
      </c>
      <c r="X34" s="2">
        <v>2</v>
      </c>
      <c r="Z34" s="7" t="s">
        <v>80</v>
      </c>
      <c r="AA34" s="33">
        <f>ABS(U35)</f>
        <v>0.35464901339588434</v>
      </c>
      <c r="AB34" s="33">
        <f>ABS(W35)</f>
        <v>0.35464901339588434</v>
      </c>
      <c r="AD34" s="2" t="str">
        <f>F9 &amp;" = "&amp;IFERROR(  TEXT(gamma_gas_,"0.00"),TEXT(gamma_gas_,"0,00")) &amp;",  "&amp; F8 &amp;" = "&amp;  IFERROR(TEXT(gamma_oil_,"0.00"),TEXT(gamma_oil_,"0,00"))</f>
        <v>γg = 0.70,  γo = 0.86</v>
      </c>
      <c r="AE34" s="2"/>
      <c r="AF34" s="2"/>
      <c r="AG34" s="2"/>
    </row>
    <row r="35" spans="2:33" ht="18" outlineLevel="1" x14ac:dyDescent="0.25">
      <c r="B35" s="5" t="s">
        <v>100</v>
      </c>
      <c r="C35" s="27">
        <f>[1]!PVT_rs_m3m3(P_atma_,T_C_,gamma_gas_,gamma_oil_,gamma_w_,Rsb_m3m3_,,Pb_atma_,Tres_C_,Bob_m3m3_,mu_cP_,PVT_correlation_,Ksep_,Psep_atma_,Tsep_C_)</f>
        <v>33.277540939630583</v>
      </c>
      <c r="D35" s="5" t="s">
        <v>17</v>
      </c>
      <c r="E35" s="29">
        <f>[1]!PVT_rs_m3m3(P_atma_,T_C_,gamma_gas_,gamma_oil_,gamma_w_,Rsb_m3m3_,,,,,,PVT_correlation_,Ksep_,Psep_atma_,Tsep_C_)</f>
        <v>20.818314940499885</v>
      </c>
      <c r="F35" s="30">
        <f t="shared" si="0"/>
        <v>-0.59847427780490337</v>
      </c>
      <c r="G35" s="31"/>
      <c r="H35" s="5" t="s">
        <v>101</v>
      </c>
      <c r="I35" s="26">
        <f>[1]!PVT_z(P_atma_,T_C_,gamma_gas_,gamma_oil_,gamma_w_,Rsb_m3m3_,,Pb_atma_,Tres_C_,Bob_m3m3_,mu_cP_,PVT_correlation_,Ksep_,Psep_atma_,Tsep_C_)</f>
        <v>0.93919425965821102</v>
      </c>
      <c r="J35" s="5"/>
      <c r="L35" s="5" t="s">
        <v>102</v>
      </c>
      <c r="M35" s="22">
        <f>[1]!PVT_salinity_ppm(Psc_atma_,Tsc_C_,gamma_gas_,gamma_oil_,gamma_w_,Rsb_m3m3_,,Pb_atma_,Tres_C_,Bob_m3m3_,mu_cP_,PVT_correlation_,Ksep_,Psep_atma_,Tsep_C_)</f>
        <v>97525.871265721944</v>
      </c>
      <c r="N35" s="5" t="s">
        <v>172</v>
      </c>
      <c r="Q35" s="35" t="s">
        <v>103</v>
      </c>
      <c r="R35" s="36">
        <f>((X34*W34^2+X35*W35^2+X36*W36^2+X37*W37^2+X38*W38^2+X39*W39^2)/SUM(X34:X39))^0.5</f>
        <v>0.3006111499847906</v>
      </c>
      <c r="S35" s="7" t="s">
        <v>80</v>
      </c>
      <c r="T35" s="37">
        <f>[1]!PVT_bo_m3m3(T34,Tres_C_,gamma_gas_,gamma_oil_,gamma_w_,Rsb_m3m3_,,,,,,PVT_correlation_,Ksep_,Psep_atma_,Tsep_C_)</f>
        <v>1.3082526835460737</v>
      </c>
      <c r="U35" s="30">
        <f>(T35-C27)/(T35-1)</f>
        <v>0.35464901339588434</v>
      </c>
      <c r="V35" s="37">
        <f>[1]!PVT_bo_m3m3(V34,Tres_C_,gamma_gas_new_,gamma_oil_new_,gamma_w_,Rsb_m3m3_,,,,,,PVT_correlation_,Ksep_,Psep_atma_,Tsep_C_)</f>
        <v>1.3082526835460737</v>
      </c>
      <c r="W35" s="30">
        <f>(V35-C27)/(V35-1)</f>
        <v>0.35464901339588434</v>
      </c>
      <c r="X35" s="2">
        <v>2</v>
      </c>
      <c r="Z35" s="8" t="s">
        <v>83</v>
      </c>
      <c r="AA35" s="33">
        <f>ABS(U37)</f>
        <v>0.47111831970777346</v>
      </c>
      <c r="AB35" s="33">
        <f>ABS(W37)</f>
        <v>0.47111831970777346</v>
      </c>
      <c r="AD35" s="2" t="str">
        <f>Q34&amp;" = "&amp;IFERROR(TEXT(gamma_gas_new_,"0.00"),TEXT(gamma_gas_new_,"0,00"))&amp;",  "&amp;Q33&amp;" = "&amp;IFERROR(TEXT(gamma_oil_new_,"0.00"),TEXT(gamma_oil_new_,"0,00"))</f>
        <v>γg new  = 0.70,  γo new  = 0.86</v>
      </c>
      <c r="AE35" s="2"/>
      <c r="AF35" s="2"/>
      <c r="AG35" s="2"/>
    </row>
    <row r="36" spans="2:33" ht="18" outlineLevel="1" x14ac:dyDescent="0.25">
      <c r="B36" s="5" t="s">
        <v>104</v>
      </c>
      <c r="C36" s="26">
        <f>[1]!PVT_bo_m3m3(P_atma_,T_C_,gamma_gas_,gamma_oil_,gamma_w_,Rsb_m3m3_,,Pb_atma_,Tres_C_,Bob_m3m3_,mu_cP_,PVT_correlation_,Ksep_,Psep_atma_,Tsep_C_)</f>
        <v>1.0517433532998948</v>
      </c>
      <c r="D36" s="5" t="s">
        <v>17</v>
      </c>
      <c r="E36" s="29">
        <f>[1]!PVT_bo_m3m3(P_atma_,T_C_,gamma_gas_,gamma_oil_,gamma_w_,Rsb_m3m3_,,,,,,PVT_correlation_,Ksep_,Psep_atma_,Tsep_C_)</f>
        <v>1.0516657230383539</v>
      </c>
      <c r="F36" s="30">
        <f t="shared" si="0"/>
        <v>-7.3816479742782852E-5</v>
      </c>
      <c r="G36" s="31"/>
      <c r="H36" s="5" t="s">
        <v>105</v>
      </c>
      <c r="I36" s="39">
        <f>[1]!PVT_bg_m3m3(P_atma_,T_C_,gamma_gas_,gamma_oil_,gamma_w_,Rsb_m3m3_,,Pb_atma_,Tres_C_,Bob_m3m3_,mu_cP_,PVT_correlation_,Ksep_,Psep_atma_,Tsep_C_)</f>
        <v>2.4379578175196839E-2</v>
      </c>
      <c r="J36" s="5" t="s">
        <v>17</v>
      </c>
      <c r="L36" s="5" t="s">
        <v>106</v>
      </c>
      <c r="M36" s="26">
        <f>[1]!PVT_bw_m3m3(P_atma_,T_C_,gamma_gas_,gamma_oil_,gamma_w_,Rsb_m3m3_,,Pb_atma_,Tres_C_,Bob_m3m3_,mu_cP_,PVT_correlation_,Ksep_,Psep_atma_,Tsep_C_)</f>
        <v>1.0050124728223304</v>
      </c>
      <c r="N36" s="5" t="s">
        <v>17</v>
      </c>
      <c r="S36" s="8" t="s">
        <v>81</v>
      </c>
      <c r="T36" s="29">
        <f>PVT_rho_oil_kgm3(C24,Tres_C_,gamma_gas_,gamma_oil_,gamma_w_,Rsb_m3m3_,,,,,,PVT_correlation_,Ksep_,Psep_atma_,Tsep_C_)</f>
        <v>756.10553589019935</v>
      </c>
      <c r="U36" s="30">
        <f>(T36-C28)/T36</f>
        <v>-4.245825747241843E-2</v>
      </c>
      <c r="V36" s="29">
        <f>PVT_rho_oil_kgm3(C24,Tres_C_,gamma_gas_new_,gamma_oil_new_,gamma_w_,Rsb_m3m3_,,,,,,PVT_correlation_,Ksep_,Psep_atma_,Tsep_C_)</f>
        <v>756.10553589019935</v>
      </c>
      <c r="W36" s="30">
        <f>(V36-C28)/V36</f>
        <v>-4.245825747241843E-2</v>
      </c>
      <c r="X36" s="2">
        <v>0</v>
      </c>
      <c r="Z36" s="5" t="s">
        <v>110</v>
      </c>
      <c r="AA36" s="34">
        <f>ABS((gamma_oil_-gamma_oil_)/(gamma_oil_))</f>
        <v>0</v>
      </c>
      <c r="AB36" s="33">
        <f>ABS((gamma_oil_new_-gamma_oil_)/(gamma_oil_))</f>
        <v>0</v>
      </c>
    </row>
    <row r="37" spans="2:33" ht="18" outlineLevel="1" x14ac:dyDescent="0.25">
      <c r="B37" s="5" t="s">
        <v>107</v>
      </c>
      <c r="C37" s="22">
        <f>PVT_rho_oil_kgm3(P_atma_,T_C_,gamma_gas_,gamma_oil_,gamma_w_,Rsb_m3m3_,,Pb_atma_,Tres_C_,Bob_m3m3_,mu_cP_,PVT_correlation_,Ksep_,Psep_atma_,Tsep_C_)</f>
        <v>844.74850014367246</v>
      </c>
      <c r="D37" s="5" t="s">
        <v>82</v>
      </c>
      <c r="E37" s="29">
        <f>PVT_rho_oil_kgm3(P_atma_,T_C_,gamma_gas_,gamma_oil_,gamma_w_,Rsb_m3m3_,,,,,,PVT_correlation_,Ksep_,Psep_atma_,Tsep_C_)</f>
        <v>834.67930495815244</v>
      </c>
      <c r="F37" s="30">
        <f t="shared" si="0"/>
        <v>-1.206354958809581E-2</v>
      </c>
      <c r="G37" s="31"/>
      <c r="H37" s="5" t="s">
        <v>108</v>
      </c>
      <c r="I37" s="22">
        <f>PVT_rho_gas_kgm3(P_atma_,T_C_,gamma_gas_,gamma_oil_,gamma_w_,Rsb_m3m3_,,Pb_atma_,Tres_C_,Bob_m3m3_,mu_cP_,PVT_correlation_,Ksep_,Psep_atma_,Tsep_C_)</f>
        <v>35.078129484211033</v>
      </c>
      <c r="J37" s="5" t="s">
        <v>82</v>
      </c>
      <c r="L37" s="5" t="s">
        <v>109</v>
      </c>
      <c r="M37" s="22">
        <f>PVT_rho_wat_kgm3(P_atma_,T_C_,gamma_gas_,gamma_oil_,gamma_w_,Rsb_m3m3_,,Pb_atma_,Tres_C_,Bob_m3m3_,mu_cP_,PVT_correlation_,Ksep_,Psep_atma_,Tsep_C_)</f>
        <v>1064.6634036244029</v>
      </c>
      <c r="N37" s="5" t="s">
        <v>82</v>
      </c>
      <c r="S37" s="8" t="s">
        <v>83</v>
      </c>
      <c r="T37" s="38">
        <f>[1]!PVT_mu_oil_cP(T34,Tres_C_,gamma_gas_,gamma_oil_,gamma_w_,Rsb_m3m3_,,,,,,PVT_correlation_,Ksep_,Psep_atma_,Tsep_C_)</f>
        <v>0.68217882735894786</v>
      </c>
      <c r="U37" s="30">
        <f>(T37-C29)/T37</f>
        <v>-0.47111831970777346</v>
      </c>
      <c r="V37" s="38">
        <f>[1]!PVT_mu_oil_cP(V34,Tres_C_,gamma_gas_new_,gamma_oil_new_,gamma_w_,Rsb_m3m3_,,,,,,PVT_correlation_,Ksep_,Psep_atma_,Tsep_C_)</f>
        <v>0.68217882735894786</v>
      </c>
      <c r="W37" s="30">
        <f>(V37-C29)/V37</f>
        <v>-0.47111831970777346</v>
      </c>
      <c r="X37" s="2">
        <v>2</v>
      </c>
      <c r="Z37" s="5" t="s">
        <v>13</v>
      </c>
      <c r="AA37" s="34">
        <f>ABS(gamma_gas_-gamma_gas_)/gamma_gas_</f>
        <v>0</v>
      </c>
      <c r="AB37" s="33">
        <f>ABS(gamma_gas_new_-gamma_gas_)/gamma_gas_</f>
        <v>0</v>
      </c>
    </row>
    <row r="38" spans="2:33" ht="18" outlineLevel="1" x14ac:dyDescent="0.25">
      <c r="B38" s="5" t="s">
        <v>111</v>
      </c>
      <c r="C38" s="27">
        <f>[1]!PVT_mu_oil_cP(P_atma_,T_C_,gamma_gas_,gamma_oil_,gamma_w_,Rsb_m3m3_,,Pb_atma_,Tres_C_,Bob_m3m3_,mu_cP_,PVT_correlation_,Ksep_,Psep_atma_,Tsep_C_)</f>
        <v>2.5479213028060124</v>
      </c>
      <c r="D38" s="5" t="s">
        <v>7</v>
      </c>
      <c r="E38" s="29" t="e">
        <f ca="1">[1]!PVT_Muo_cP(P_atma_,T_C_,gamma_gas_,gamma_oil_,gamma_w_,Rsb_m3m3_,,,,,,PVT_correlation_,Ksep_,Psep_atma_,Tsep_C_)</f>
        <v>#NAME?</v>
      </c>
      <c r="F38" s="30" t="e">
        <f t="shared" ca="1" si="0"/>
        <v>#NAME?</v>
      </c>
      <c r="G38" s="31"/>
      <c r="H38" s="5" t="s">
        <v>112</v>
      </c>
      <c r="I38" s="39">
        <f>[1]!PVT_mu_gas_cP(P_atma_,T_C_,gamma_gas_,gamma_oil_,gamma_w_,Rsb_m3m3_,,Pb_atma_,Tres_C_,Bob_m3m3_,mu_cP_,PVT_correlation_,Ksep_,Psep_atma_,Tsep_C_)</f>
        <v>1.1774941966222424E-2</v>
      </c>
      <c r="J38" s="5" t="s">
        <v>7</v>
      </c>
      <c r="L38" s="5" t="s">
        <v>113</v>
      </c>
      <c r="M38" s="26">
        <f>[1]!PVT_mu_wat_cP(P_atma_,T_C_,gamma_gas_,gamma_oil_,gamma_w_,Rsb_m3m3_,,Pb_atma_,Tres_C_,Bob_m3m3_,mu_cP_,PVT_correlation_,Ksep_,Psep_atma_,Tsep_C_)</f>
        <v>0.91543932313862619</v>
      </c>
      <c r="N38" s="5" t="s">
        <v>7</v>
      </c>
      <c r="S38" s="6" t="s">
        <v>12</v>
      </c>
      <c r="W38" s="30">
        <f>(R33-G8)/R33</f>
        <v>0</v>
      </c>
      <c r="X38" s="2">
        <v>2</v>
      </c>
    </row>
    <row r="39" spans="2:33" ht="18" outlineLevel="1" x14ac:dyDescent="0.25">
      <c r="B39" s="5" t="s">
        <v>114</v>
      </c>
      <c r="C39" s="27"/>
      <c r="D39" s="5"/>
      <c r="E39" s="29"/>
      <c r="F39" s="30"/>
      <c r="G39" s="31"/>
      <c r="H39" s="5" t="s">
        <v>115</v>
      </c>
      <c r="I39" s="22"/>
      <c r="J39" s="5"/>
      <c r="L39" s="5" t="s">
        <v>116</v>
      </c>
      <c r="M39" s="22"/>
      <c r="N39" s="5"/>
      <c r="S39" s="5" t="s">
        <v>13</v>
      </c>
      <c r="W39" s="30">
        <f>(R34-G9)/R34</f>
        <v>0</v>
      </c>
      <c r="X39" s="2">
        <v>2</v>
      </c>
      <c r="Z39" s="8" t="s">
        <v>81</v>
      </c>
      <c r="AA39" s="33">
        <f>ABS(U36)</f>
        <v>4.245825747241843E-2</v>
      </c>
      <c r="AB39" s="33">
        <f>ABS(W36)</f>
        <v>4.245825747241843E-2</v>
      </c>
    </row>
    <row r="40" spans="2:33" ht="18" outlineLevel="1" x14ac:dyDescent="0.25">
      <c r="B40" s="5" t="s">
        <v>117</v>
      </c>
      <c r="C40" s="27"/>
      <c r="D40" s="5"/>
      <c r="E40" s="29"/>
      <c r="F40" s="30"/>
      <c r="G40" s="31"/>
      <c r="H40" s="5" t="s">
        <v>118</v>
      </c>
      <c r="I40" s="22"/>
      <c r="J40" s="5"/>
      <c r="L40" s="5" t="s">
        <v>119</v>
      </c>
      <c r="M40" s="22"/>
      <c r="N40" s="5"/>
    </row>
    <row r="41" spans="2:33" ht="18" outlineLevel="1" x14ac:dyDescent="0.25">
      <c r="B41" s="5" t="s">
        <v>174</v>
      </c>
      <c r="C41" s="65">
        <f>PVT_ST_oilgas_Nm(P_atma_,T_C_,gamma_gas_,gamma_oil_,gamma_w_,Rsb_m3m3_,,Pb_atma_,Tres_C_,Bob_m3m3_,mu_cP_,PVT_correlation_,Ksep_,Psep_atma_,Tsep_C_)</f>
        <v>3.8746755606618333E-2</v>
      </c>
      <c r="D41" s="5" t="s">
        <v>173</v>
      </c>
      <c r="L41" s="5" t="s">
        <v>175</v>
      </c>
      <c r="M41" s="65">
        <f>PVT_ST_watgas_Nm(P_atma_,T_C_,gamma_gas_,gamma_oil_,gamma_w_,Rsb_m3m3_,,Pb_atma_,Tres_C_,Bob_m3m3_,mu_cP_,PVT_correlation_,Ksep_,Psep_atma_,Tsep_C_)</f>
        <v>5.8884365535558904E-2</v>
      </c>
      <c r="N41" s="5" t="s">
        <v>173</v>
      </c>
    </row>
    <row r="42" spans="2:33" outlineLevel="1" x14ac:dyDescent="0.25">
      <c r="L42" s="31"/>
    </row>
    <row r="43" spans="2:33" outlineLevel="1" x14ac:dyDescent="0.25">
      <c r="B43" s="2" t="s">
        <v>120</v>
      </c>
      <c r="C43" s="2"/>
      <c r="D43" s="2"/>
      <c r="E43" s="28"/>
      <c r="F43" s="31"/>
      <c r="L43" s="31"/>
    </row>
    <row r="44" spans="2:33" ht="18" outlineLevel="1" x14ac:dyDescent="0.25">
      <c r="B44" s="7" t="s">
        <v>121</v>
      </c>
      <c r="C44" s="40">
        <f>[1]!MF_q_mix_rc_m3day(Ql_scm3day_,fw_perc_,P_atma_,T_C_,PVTstr_)</f>
        <v>616.03401480081459</v>
      </c>
      <c r="D44" s="5" t="s">
        <v>33</v>
      </c>
      <c r="E44" s="28"/>
      <c r="F44" s="31"/>
      <c r="L44" s="31"/>
    </row>
    <row r="45" spans="2:33" ht="18" outlineLevel="1" x14ac:dyDescent="0.25">
      <c r="B45" s="5" t="s">
        <v>122</v>
      </c>
      <c r="C45" s="40">
        <f>MF_rho_mix_kgm3(Ql_scm3day_,fw_perc_,P_atma_,T_C_,PVTstr_)</f>
        <v>353.01519847133039</v>
      </c>
      <c r="D45" s="5" t="s">
        <v>82</v>
      </c>
      <c r="E45" s="28"/>
      <c r="F45" s="31"/>
    </row>
    <row r="46" spans="2:33" ht="18" outlineLevel="1" x14ac:dyDescent="0.25">
      <c r="B46" s="5" t="s">
        <v>123</v>
      </c>
      <c r="C46" s="40">
        <f>[1]!MF_mu_mix_cP(Ql_scm3day_,fw_perc_,P_atma_,T_C_,PVTstr_)</f>
        <v>1.005127952128688</v>
      </c>
      <c r="D46" s="5" t="s">
        <v>7</v>
      </c>
      <c r="E46" s="28"/>
      <c r="F46" s="31"/>
    </row>
    <row r="47" spans="2:33" ht="18" outlineLevel="1" x14ac:dyDescent="0.25">
      <c r="B47" s="5" t="s">
        <v>124</v>
      </c>
      <c r="E47" s="31"/>
      <c r="F47" s="31"/>
    </row>
    <row r="48" spans="2:33" ht="18" outlineLevel="1" x14ac:dyDescent="0.25">
      <c r="B48" s="5" t="s">
        <v>125</v>
      </c>
      <c r="E48" s="31"/>
      <c r="F48" s="31"/>
    </row>
    <row r="49" spans="1:29" ht="18" outlineLevel="1" x14ac:dyDescent="0.25">
      <c r="B49" s="5" t="s">
        <v>126</v>
      </c>
      <c r="E49" s="31"/>
      <c r="F49" s="31"/>
    </row>
    <row r="50" spans="1:29" outlineLevel="1" x14ac:dyDescent="0.25">
      <c r="C50">
        <f>PVT_ST_liqgas_Nm(P_atma_,T_C_,gamma_gas_,gamma_oil_,gamma_w_,Rsb_m3m3_,,Pb_atma_,Tres_C_,Bob_m3m3_,mu_cP_,PVT_correlation_,Ksep_,Psep_atma_,Tsep_C_)</f>
        <v>3.8746755606618333E-2</v>
      </c>
      <c r="D50" s="5" t="s">
        <v>173</v>
      </c>
      <c r="E50" s="31"/>
      <c r="F50" s="31"/>
    </row>
    <row r="51" spans="1:29" outlineLevel="1" x14ac:dyDescent="0.25">
      <c r="E51" s="31"/>
      <c r="F51" s="31"/>
    </row>
    <row r="52" spans="1:29" outlineLevel="1" x14ac:dyDescent="0.25">
      <c r="E52" s="31"/>
      <c r="F52" s="31"/>
    </row>
    <row r="53" spans="1:29" outlineLevel="1" x14ac:dyDescent="0.25"/>
    <row r="54" spans="1:29" outlineLevel="1" x14ac:dyDescent="0.25"/>
    <row r="55" spans="1:29" x14ac:dyDescent="0.25">
      <c r="L55" s="31"/>
    </row>
    <row r="56" spans="1:29" x14ac:dyDescent="0.25">
      <c r="B56" s="41" t="s">
        <v>127</v>
      </c>
      <c r="C56" s="20"/>
      <c r="D56" s="20"/>
      <c r="E56" s="20"/>
      <c r="F56" s="20"/>
      <c r="G56" s="21"/>
      <c r="H56" s="20"/>
      <c r="I56" s="20"/>
      <c r="J56" s="20"/>
      <c r="K56" s="20"/>
      <c r="L56" s="42"/>
      <c r="M56" s="42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</row>
    <row r="57" spans="1:29" outlineLevel="1" x14ac:dyDescent="0.25">
      <c r="B57" t="str">
        <f>"Температура = " &amp;T_C_&amp;" °С"</f>
        <v>Температура = 30 °С</v>
      </c>
      <c r="L57" s="31"/>
      <c r="M57" s="31"/>
    </row>
    <row r="58" spans="1:29" outlineLevel="1" x14ac:dyDescent="0.25">
      <c r="L58" s="31"/>
      <c r="M58" s="31"/>
    </row>
    <row r="59" spans="1:29" ht="18" outlineLevel="1" x14ac:dyDescent="0.25">
      <c r="A59" s="43"/>
      <c r="B59" s="5" t="s">
        <v>128</v>
      </c>
      <c r="C59" s="5" t="s">
        <v>128</v>
      </c>
      <c r="D59" s="5" t="s">
        <v>100</v>
      </c>
      <c r="E59" s="5" t="s">
        <v>129</v>
      </c>
      <c r="F59" s="5" t="s">
        <v>162</v>
      </c>
      <c r="G59" s="5" t="s">
        <v>104</v>
      </c>
      <c r="H59" s="5" t="s">
        <v>130</v>
      </c>
      <c r="I59" s="5" t="s">
        <v>163</v>
      </c>
      <c r="J59" s="5" t="s">
        <v>107</v>
      </c>
      <c r="K59" s="5" t="s">
        <v>131</v>
      </c>
      <c r="L59" s="5" t="s">
        <v>164</v>
      </c>
      <c r="M59" s="5" t="s">
        <v>111</v>
      </c>
      <c r="N59" s="5" t="s">
        <v>132</v>
      </c>
      <c r="O59" s="5" t="s">
        <v>165</v>
      </c>
      <c r="P59" s="5" t="s">
        <v>166</v>
      </c>
      <c r="Q59" s="5" t="s">
        <v>167</v>
      </c>
      <c r="R59" s="5" t="s">
        <v>168</v>
      </c>
    </row>
    <row r="60" spans="1:29" outlineLevel="1" x14ac:dyDescent="0.25">
      <c r="A60" s="44">
        <v>1</v>
      </c>
      <c r="B60" s="45">
        <v>1</v>
      </c>
      <c r="C60" s="2">
        <v>1</v>
      </c>
      <c r="D60" s="2">
        <v>0.39198639768953764</v>
      </c>
      <c r="E60" s="2">
        <v>0.39198639768953764</v>
      </c>
      <c r="F60">
        <v>0.24522533964564697</v>
      </c>
      <c r="G60" s="2">
        <v>1.0053644053489181</v>
      </c>
      <c r="H60" s="10">
        <v>1.0053644053489181</v>
      </c>
      <c r="I60">
        <v>1.0080208293055315</v>
      </c>
      <c r="J60" s="2">
        <v>855.74466160740519</v>
      </c>
      <c r="K60" s="2">
        <v>855.74466160740519</v>
      </c>
      <c r="L60">
        <v>853.36501910466143</v>
      </c>
      <c r="M60" s="2">
        <v>8.699673907270034</v>
      </c>
      <c r="N60" s="2">
        <v>8.699673907270034</v>
      </c>
      <c r="O60">
        <v>19.222141283362781</v>
      </c>
      <c r="P60">
        <v>0.99035427943497301</v>
      </c>
      <c r="Q60">
        <v>0.99035427943497301</v>
      </c>
      <c r="R60">
        <v>0.99034313020516418</v>
      </c>
    </row>
    <row r="61" spans="1:29" outlineLevel="1" x14ac:dyDescent="0.25">
      <c r="A61" s="44">
        <v>2</v>
      </c>
      <c r="B61" s="46">
        <f t="shared" ref="B61:B79" si="1">($B$80-$B$60)/($A$80-$A$60)+B60</f>
        <v>5.9130797111848041</v>
      </c>
      <c r="C61" s="2">
        <v>5.9130797111848041</v>
      </c>
      <c r="D61" s="2">
        <v>3.330693979468156</v>
      </c>
      <c r="E61" s="2">
        <v>3.330693979468156</v>
      </c>
      <c r="F61">
        <v>2.0836706762914035</v>
      </c>
      <c r="G61" s="2">
        <v>1.0091777989855981</v>
      </c>
      <c r="H61" s="10">
        <v>1.0091777989855981</v>
      </c>
      <c r="I61">
        <v>1.0116977970221952</v>
      </c>
      <c r="J61" s="2">
        <v>855.00134570104126</v>
      </c>
      <c r="K61" s="2">
        <v>855.00134570104126</v>
      </c>
      <c r="L61">
        <v>851.81754557754698</v>
      </c>
      <c r="M61" s="2">
        <v>7.2795800752869804</v>
      </c>
      <c r="N61" s="2">
        <v>7.2795800752869804</v>
      </c>
      <c r="O61">
        <v>17.129203978069782</v>
      </c>
      <c r="P61">
        <v>0.94325476126154773</v>
      </c>
      <c r="Q61">
        <v>0.94325476126154773</v>
      </c>
      <c r="R61">
        <v>0.94380480305796899</v>
      </c>
    </row>
    <row r="62" spans="1:29" outlineLevel="1" x14ac:dyDescent="0.25">
      <c r="A62" s="44">
        <v>3</v>
      </c>
      <c r="B62" s="46">
        <f t="shared" si="1"/>
        <v>10.826159422369608</v>
      </c>
      <c r="C62" s="2">
        <v>10.826159422369608</v>
      </c>
      <c r="D62" s="2">
        <v>6.8988737311188588</v>
      </c>
      <c r="E62" s="2">
        <v>6.8988737311188588</v>
      </c>
      <c r="F62">
        <v>4.3159116333061673</v>
      </c>
      <c r="G62" s="2">
        <v>1.013916711766224</v>
      </c>
      <c r="H62" s="10">
        <v>1.013916711766224</v>
      </c>
      <c r="I62">
        <v>1.0162312813768366</v>
      </c>
      <c r="J62" s="2">
        <v>854.01477042205386</v>
      </c>
      <c r="K62" s="2">
        <v>854.01477042205386</v>
      </c>
      <c r="L62">
        <v>849.89602297964996</v>
      </c>
      <c r="M62" s="2">
        <v>6.0401381812669444</v>
      </c>
      <c r="N62" s="2">
        <v>6.0401381812669444</v>
      </c>
      <c r="O62">
        <v>15.086593761208942</v>
      </c>
      <c r="P62">
        <v>0.89606962911494659</v>
      </c>
      <c r="Q62">
        <v>0.89606962911494659</v>
      </c>
      <c r="R62">
        <v>0.89838271320356688</v>
      </c>
    </row>
    <row r="63" spans="1:29" outlineLevel="1" x14ac:dyDescent="0.25">
      <c r="A63" s="44">
        <v>4</v>
      </c>
      <c r="B63" s="46">
        <f t="shared" si="1"/>
        <v>15.739239133554413</v>
      </c>
      <c r="C63" s="2">
        <v>15.739239133554413</v>
      </c>
      <c r="D63" s="2">
        <v>10.825286830931745</v>
      </c>
      <c r="E63" s="2">
        <v>10.825286830931745</v>
      </c>
      <c r="F63">
        <v>6.7722621384921586</v>
      </c>
      <c r="G63" s="2">
        <v>1.0192549257832111</v>
      </c>
      <c r="H63" s="10">
        <v>1.0192549257832111</v>
      </c>
      <c r="I63">
        <v>1.0213010539879912</v>
      </c>
      <c r="J63" s="2">
        <v>852.83637592135608</v>
      </c>
      <c r="K63" s="2">
        <v>852.83637592135608</v>
      </c>
      <c r="L63">
        <v>847.73394434232841</v>
      </c>
      <c r="M63" s="2">
        <v>5.0615348045428519</v>
      </c>
      <c r="N63" s="2">
        <v>5.0615348045428519</v>
      </c>
      <c r="O63">
        <v>13.299926796259093</v>
      </c>
      <c r="P63">
        <v>0.84852300667349612</v>
      </c>
      <c r="Q63">
        <v>0.84852300667349612</v>
      </c>
      <c r="R63">
        <v>0.85389787785148896</v>
      </c>
    </row>
    <row r="64" spans="1:29" outlineLevel="1" x14ac:dyDescent="0.25">
      <c r="A64" s="44">
        <v>5</v>
      </c>
      <c r="B64" s="46">
        <f t="shared" si="1"/>
        <v>20.652318844739217</v>
      </c>
      <c r="C64" s="2">
        <v>20.652318844739217</v>
      </c>
      <c r="D64" s="2">
        <v>15.01389788560717</v>
      </c>
      <c r="E64" s="2">
        <v>15.01389788560717</v>
      </c>
      <c r="F64">
        <v>9.3926427807302151</v>
      </c>
      <c r="G64" s="2">
        <v>1.0250777825884545</v>
      </c>
      <c r="H64" s="10">
        <v>1.0250777825884545</v>
      </c>
      <c r="I64">
        <v>1.0267962936902495</v>
      </c>
      <c r="J64" s="2">
        <v>851.48634587392849</v>
      </c>
      <c r="K64" s="2">
        <v>851.48634587392849</v>
      </c>
      <c r="L64">
        <v>845.37945794485836</v>
      </c>
      <c r="M64" s="2">
        <v>4.2986777188826739</v>
      </c>
      <c r="N64" s="28">
        <v>4.2986777188826739</v>
      </c>
      <c r="O64">
        <v>11.77941826821861</v>
      </c>
      <c r="P64">
        <v>0.80052603370457465</v>
      </c>
      <c r="Q64">
        <v>0.80052603370457465</v>
      </c>
      <c r="R64">
        <v>0.81029957875240433</v>
      </c>
    </row>
    <row r="65" spans="1:18" outlineLevel="1" x14ac:dyDescent="0.25">
      <c r="A65" s="44">
        <v>6</v>
      </c>
      <c r="B65" s="46">
        <f t="shared" si="1"/>
        <v>25.56539855592402</v>
      </c>
      <c r="C65" s="2">
        <v>25.56539855592402</v>
      </c>
      <c r="D65" s="2">
        <v>19.412643909507473</v>
      </c>
      <c r="E65" s="2">
        <v>19.412643909507473</v>
      </c>
      <c r="F65">
        <v>12.144483135609654</v>
      </c>
      <c r="G65" s="2">
        <v>1.0313214611959987</v>
      </c>
      <c r="H65" s="10">
        <v>1.0313214611959987</v>
      </c>
      <c r="I65">
        <v>1.0326569361256086</v>
      </c>
      <c r="J65" s="2">
        <v>849.97891727027388</v>
      </c>
      <c r="K65" s="2">
        <v>849.97891727027388</v>
      </c>
      <c r="L65">
        <v>842.8605958899708</v>
      </c>
      <c r="M65" s="2">
        <v>3.7002264522084776</v>
      </c>
      <c r="N65" s="2">
        <v>3.7002264522084776</v>
      </c>
      <c r="O65">
        <v>10.495013084946841</v>
      </c>
      <c r="P65">
        <v>0.75206472860500317</v>
      </c>
      <c r="Q65">
        <v>0.75206472860500317</v>
      </c>
      <c r="R65">
        <v>0.76758282317998527</v>
      </c>
    </row>
    <row r="66" spans="1:18" outlineLevel="1" x14ac:dyDescent="0.25">
      <c r="A66" s="44">
        <v>7</v>
      </c>
      <c r="B66" s="46">
        <f t="shared" si="1"/>
        <v>30.478478267108823</v>
      </c>
      <c r="C66" s="2">
        <v>30.478478267108823</v>
      </c>
      <c r="D66" s="2">
        <v>23.988268741157043</v>
      </c>
      <c r="E66" s="2">
        <v>23.988268741157043</v>
      </c>
      <c r="F66">
        <v>15.006978263108998</v>
      </c>
      <c r="G66" s="2">
        <v>1.0379434693687348</v>
      </c>
      <c r="H66" s="10">
        <v>1.0379434693687348</v>
      </c>
      <c r="I66">
        <v>1.0388440736855331</v>
      </c>
      <c r="J66" s="2">
        <v>848.32609244149762</v>
      </c>
      <c r="K66" s="2">
        <v>848.32609244149762</v>
      </c>
      <c r="L66">
        <v>840.19713819442973</v>
      </c>
      <c r="M66" s="2">
        <v>3.2250051908612867</v>
      </c>
      <c r="N66" s="2">
        <v>3.2250051908612867</v>
      </c>
      <c r="O66">
        <v>9.4096417226881677</v>
      </c>
      <c r="P66">
        <v>0.70316372874524324</v>
      </c>
      <c r="Q66">
        <v>0.70316372874524324</v>
      </c>
      <c r="R66">
        <v>0.72576148688122155</v>
      </c>
    </row>
    <row r="67" spans="1:18" outlineLevel="1" x14ac:dyDescent="0.25">
      <c r="A67" s="44">
        <v>8</v>
      </c>
      <c r="B67" s="46">
        <f t="shared" si="1"/>
        <v>35.391557978293626</v>
      </c>
      <c r="C67" s="2">
        <v>35.391557978293626</v>
      </c>
      <c r="D67" s="2">
        <v>28.717472444881921</v>
      </c>
      <c r="E67" s="2">
        <v>28.717472444881921</v>
      </c>
      <c r="F67">
        <v>17.965551803760047</v>
      </c>
      <c r="G67" s="2">
        <v>1.0449125980916869</v>
      </c>
      <c r="H67" s="10">
        <v>1.0449125980916869</v>
      </c>
      <c r="I67">
        <v>1.0453298098884751</v>
      </c>
      <c r="J67" s="2">
        <v>846.5386453140668</v>
      </c>
      <c r="K67" s="2">
        <v>846.5386453140668</v>
      </c>
      <c r="L67">
        <v>837.4045702766756</v>
      </c>
      <c r="M67" s="2">
        <v>2.8424457876306803</v>
      </c>
      <c r="N67" s="2">
        <v>2.8424457876306803</v>
      </c>
      <c r="O67">
        <v>8.4888966356150277</v>
      </c>
      <c r="P67">
        <v>0.65386923187926527</v>
      </c>
      <c r="Q67">
        <v>0.65386923187926527</v>
      </c>
      <c r="R67">
        <v>0.68485613630527642</v>
      </c>
    </row>
    <row r="68" spans="1:18" outlineLevel="1" x14ac:dyDescent="0.25">
      <c r="A68" s="44">
        <v>9</v>
      </c>
      <c r="B68" s="46">
        <f t="shared" si="1"/>
        <v>40.304637689478433</v>
      </c>
      <c r="C68" s="2">
        <v>40.304637689478433</v>
      </c>
      <c r="D68" s="2">
        <v>33.582919059001995</v>
      </c>
      <c r="E68" s="2">
        <v>33.582919059001995</v>
      </c>
      <c r="F68">
        <v>21.009358439673843</v>
      </c>
      <c r="G68" s="2">
        <v>1.052204485648484</v>
      </c>
      <c r="H68" s="10">
        <v>1.052204485648484</v>
      </c>
      <c r="I68">
        <v>1.0520927887801381</v>
      </c>
      <c r="J68" s="2">
        <v>844.6264853189075</v>
      </c>
      <c r="K68" s="2">
        <v>844.6264853189075</v>
      </c>
      <c r="L68">
        <v>834.49578079704759</v>
      </c>
      <c r="M68" s="2">
        <v>2.530283382084316</v>
      </c>
      <c r="N68" s="2">
        <v>2.530283382084316</v>
      </c>
      <c r="O68">
        <v>7.7035142147442617</v>
      </c>
      <c r="P68">
        <v>0.60423942084303528</v>
      </c>
      <c r="Q68">
        <v>0.60423942084303528</v>
      </c>
      <c r="R68">
        <v>0.6448877558763968</v>
      </c>
    </row>
    <row r="69" spans="1:18" outlineLevel="1" x14ac:dyDescent="0.25">
      <c r="A69" s="44">
        <v>10</v>
      </c>
      <c r="B69" s="46">
        <f t="shared" si="1"/>
        <v>45.21771740066324</v>
      </c>
      <c r="C69" s="2">
        <v>45.21771740066324</v>
      </c>
      <c r="D69" s="2">
        <v>38.571150547805694</v>
      </c>
      <c r="E69" s="2">
        <v>38.571150547805694</v>
      </c>
      <c r="F69">
        <v>24.129978870084365</v>
      </c>
      <c r="G69" s="2">
        <v>1.0597993227135396</v>
      </c>
      <c r="H69" s="10">
        <v>1.0597993227135396</v>
      </c>
      <c r="I69">
        <v>1.0591159042948526</v>
      </c>
      <c r="J69" s="2">
        <v>842.59882328529204</v>
      </c>
      <c r="K69" s="2">
        <v>842.59882328529204</v>
      </c>
      <c r="L69">
        <v>831.48191152527806</v>
      </c>
      <c r="M69" s="2">
        <v>2.2722899572312136</v>
      </c>
      <c r="N69" s="2">
        <v>2.2722899572312136</v>
      </c>
      <c r="O69">
        <v>7.0294616291957235</v>
      </c>
      <c r="P69">
        <v>0.5543385118058114</v>
      </c>
      <c r="Q69">
        <v>0.5543385118058114</v>
      </c>
      <c r="R69">
        <v>0.60587437769733143</v>
      </c>
    </row>
    <row r="70" spans="1:18" outlineLevel="1" x14ac:dyDescent="0.25">
      <c r="A70" s="44">
        <v>11</v>
      </c>
      <c r="B70" s="46">
        <f t="shared" si="1"/>
        <v>50.130797111848047</v>
      </c>
      <c r="C70" s="2">
        <v>50.130797111848047</v>
      </c>
      <c r="D70" s="2">
        <v>43.671383204425346</v>
      </c>
      <c r="E70" s="2">
        <v>43.671383204425346</v>
      </c>
      <c r="F70">
        <v>27.32066684513488</v>
      </c>
      <c r="G70" s="2">
        <v>1.0676805282277884</v>
      </c>
      <c r="H70" s="10">
        <v>1.0676805282277884</v>
      </c>
      <c r="I70">
        <v>1.0663849982603448</v>
      </c>
      <c r="J70" s="2">
        <v>840.46426480407308</v>
      </c>
      <c r="K70" s="2">
        <v>840.46426480407308</v>
      </c>
      <c r="L70">
        <v>828.37283206381744</v>
      </c>
      <c r="M70" s="2">
        <v>2.0565368095672496</v>
      </c>
      <c r="N70" s="2">
        <v>2.0565368095672496</v>
      </c>
      <c r="O70">
        <v>6.4472830901680007</v>
      </c>
      <c r="P70">
        <v>0.50423284144947522</v>
      </c>
      <c r="Q70">
        <v>0.50423284144947522</v>
      </c>
      <c r="R70">
        <v>0.56782932158282373</v>
      </c>
    </row>
    <row r="71" spans="1:18" outlineLevel="1" x14ac:dyDescent="0.25">
      <c r="A71" s="44">
        <v>12</v>
      </c>
      <c r="B71" s="46">
        <f t="shared" si="1"/>
        <v>55.043876823032853</v>
      </c>
      <c r="C71" s="2">
        <v>55.043876823032853</v>
      </c>
      <c r="D71" s="2">
        <v>48.874761381642415</v>
      </c>
      <c r="E71" s="2">
        <v>48.874761381642415</v>
      </c>
      <c r="F71">
        <v>30.575882302441194</v>
      </c>
      <c r="G71" s="2">
        <v>1.0758339217328878</v>
      </c>
      <c r="H71" s="10">
        <v>1.0758339217328878</v>
      </c>
      <c r="I71">
        <v>1.073888061197309</v>
      </c>
      <c r="J71" s="2">
        <v>838.23087278509183</v>
      </c>
      <c r="K71" s="2">
        <v>838.23087278509183</v>
      </c>
      <c r="L71">
        <v>825.17742845397902</v>
      </c>
      <c r="M71" s="2">
        <v>1.874153207376293</v>
      </c>
      <c r="N71" s="2">
        <v>1.874153207376293</v>
      </c>
      <c r="O71">
        <v>5.9413011235292226</v>
      </c>
      <c r="P71">
        <v>0.4539882457512634</v>
      </c>
      <c r="Q71">
        <v>0.4539882457512634</v>
      </c>
      <c r="R71">
        <v>0.5307604002111781</v>
      </c>
    </row>
    <row r="72" spans="1:18" outlineLevel="1" x14ac:dyDescent="0.25">
      <c r="A72" s="44">
        <v>13</v>
      </c>
      <c r="B72" s="46">
        <f t="shared" si="1"/>
        <v>59.95695653421766</v>
      </c>
      <c r="C72" s="2">
        <v>59.95695653421766</v>
      </c>
      <c r="D72" s="2">
        <v>54.173868679626857</v>
      </c>
      <c r="E72" s="2">
        <v>54.173868679626857</v>
      </c>
      <c r="F72">
        <v>33.890985567825872</v>
      </c>
      <c r="G72" s="2">
        <v>1.0842471734876096</v>
      </c>
      <c r="H72" s="10">
        <v>1.0842471734876096</v>
      </c>
      <c r="I72">
        <v>1.0816147115854664</v>
      </c>
      <c r="J72" s="2">
        <v>835.90621485395764</v>
      </c>
      <c r="K72" s="2">
        <v>835.90621485395764</v>
      </c>
      <c r="L72">
        <v>821.90379108716832</v>
      </c>
      <c r="M72" s="2">
        <v>1.7184584723758236</v>
      </c>
      <c r="N72" s="2">
        <v>1.7184584723758236</v>
      </c>
      <c r="O72">
        <v>5.4988781080973439</v>
      </c>
      <c r="P72">
        <v>0.40366834074158631</v>
      </c>
      <c r="Q72">
        <v>0.40366834074158631</v>
      </c>
      <c r="R72">
        <v>0.49466973078924525</v>
      </c>
    </row>
    <row r="73" spans="1:18" outlineLevel="1" x14ac:dyDescent="0.25">
      <c r="A73" s="44">
        <v>14</v>
      </c>
      <c r="B73" s="46">
        <f t="shared" si="1"/>
        <v>64.87003624540246</v>
      </c>
      <c r="C73" s="2">
        <v>64.87003624540246</v>
      </c>
      <c r="D73" s="2">
        <v>59.562393590542591</v>
      </c>
      <c r="E73" s="2">
        <v>59.562393590542591</v>
      </c>
      <c r="F73">
        <v>37.262028183735517</v>
      </c>
      <c r="G73" s="2">
        <v>1.0929094212817836</v>
      </c>
      <c r="H73" s="10">
        <v>1.0929094212817836</v>
      </c>
      <c r="I73">
        <v>1.0895558399781531</v>
      </c>
      <c r="J73" s="2">
        <v>833.49740210522918</v>
      </c>
      <c r="K73" s="2">
        <v>833.49740210522918</v>
      </c>
      <c r="L73">
        <v>818.55934423731026</v>
      </c>
      <c r="M73" s="2">
        <v>1.5843568380798965</v>
      </c>
      <c r="N73" s="2">
        <v>1.5843568380798965</v>
      </c>
      <c r="O73">
        <v>5.109795332848301</v>
      </c>
      <c r="P73">
        <v>0.35333348489685312</v>
      </c>
      <c r="Q73">
        <v>0.35333348489685312</v>
      </c>
      <c r="R73">
        <v>0.45955393739525124</v>
      </c>
    </row>
    <row r="74" spans="1:18" outlineLevel="1" x14ac:dyDescent="0.25">
      <c r="A74" s="44">
        <v>15</v>
      </c>
      <c r="B74" s="46">
        <f t="shared" si="1"/>
        <v>69.783115956587267</v>
      </c>
      <c r="C74" s="2">
        <v>69.783115956587267</v>
      </c>
      <c r="D74" s="2">
        <v>65.034892614042533</v>
      </c>
      <c r="E74" s="2">
        <v>65.034892614042533</v>
      </c>
      <c r="F74">
        <v>40.685604715110827</v>
      </c>
      <c r="G74" s="2">
        <v>1.1018109930431956</v>
      </c>
      <c r="H74" s="10">
        <v>1.1018109930431956</v>
      </c>
      <c r="I74">
        <v>1.0977033560995806</v>
      </c>
      <c r="J74" s="2">
        <v>831.01112223038695</v>
      </c>
      <c r="K74" s="2">
        <v>831.01112223038695</v>
      </c>
      <c r="L74">
        <v>815.15093975456739</v>
      </c>
      <c r="M74" s="2">
        <v>1.4679131960280634</v>
      </c>
      <c r="N74" s="2">
        <v>1.4679131960280634</v>
      </c>
      <c r="O74">
        <v>4.7657521134140053</v>
      </c>
      <c r="P74">
        <v>0.30304028916924758</v>
      </c>
      <c r="Q74">
        <v>0.30304028916924758</v>
      </c>
      <c r="R74">
        <v>0.42540460627061427</v>
      </c>
    </row>
    <row r="75" spans="1:18" outlineLevel="1" x14ac:dyDescent="0.25">
      <c r="A75" s="44">
        <v>16</v>
      </c>
      <c r="B75" s="46">
        <f t="shared" si="1"/>
        <v>74.696195667772074</v>
      </c>
      <c r="C75" s="2">
        <v>74.696195667772074</v>
      </c>
      <c r="D75" s="2">
        <v>70.586617473020823</v>
      </c>
      <c r="E75" s="2">
        <v>70.586617473020823</v>
      </c>
      <c r="F75">
        <v>44.158744656156443</v>
      </c>
      <c r="G75" s="2">
        <v>1.1109431997168528</v>
      </c>
      <c r="H75" s="10">
        <v>1.1109431997168528</v>
      </c>
      <c r="I75">
        <v>1.1060500032041969</v>
      </c>
      <c r="J75" s="2">
        <v>828.45366858659111</v>
      </c>
      <c r="K75" s="2">
        <v>828.45366858659111</v>
      </c>
      <c r="L75">
        <v>811.68492766303518</v>
      </c>
      <c r="M75" s="2">
        <v>1.3660528706447512</v>
      </c>
      <c r="N75" s="2">
        <v>1.3660528706447512</v>
      </c>
      <c r="O75">
        <v>4.4599695141416973</v>
      </c>
      <c r="P75">
        <v>0.25284158729678208</v>
      </c>
      <c r="Q75">
        <v>0.25284158729678208</v>
      </c>
      <c r="R75">
        <v>0.39220890251892532</v>
      </c>
    </row>
    <row r="76" spans="1:18" outlineLevel="1" x14ac:dyDescent="0.25">
      <c r="A76" s="44">
        <v>17</v>
      </c>
      <c r="B76" s="46">
        <f t="shared" si="1"/>
        <v>79.60927537895688</v>
      </c>
      <c r="C76" s="2">
        <v>79.60927537895688</v>
      </c>
      <c r="D76" s="2">
        <v>76.213385956574797</v>
      </c>
      <c r="E76" s="2">
        <v>76.213385956574797</v>
      </c>
      <c r="F76">
        <v>47.678831630143243</v>
      </c>
      <c r="G76" s="2">
        <v>1.120298176615711</v>
      </c>
      <c r="H76" s="10">
        <v>1.120298176615711</v>
      </c>
      <c r="I76">
        <v>1.1145892180443424</v>
      </c>
      <c r="J76" s="2">
        <v>825.83096611926464</v>
      </c>
      <c r="K76" s="2">
        <v>825.83096611926464</v>
      </c>
      <c r="L76">
        <v>808.16721123705156</v>
      </c>
      <c r="M76" s="2">
        <v>1.2763468063126029</v>
      </c>
      <c r="N76" s="2">
        <v>1.2763468063126029</v>
      </c>
      <c r="O76">
        <v>4.186879479895997</v>
      </c>
      <c r="P76">
        <v>0.20278680538694865</v>
      </c>
      <c r="Q76">
        <v>0.20278680538694865</v>
      </c>
      <c r="R76">
        <v>0.35995028579310601</v>
      </c>
    </row>
    <row r="77" spans="1:18" outlineLevel="1" x14ac:dyDescent="0.25">
      <c r="A77" s="44">
        <v>18</v>
      </c>
      <c r="B77" s="46">
        <f t="shared" si="1"/>
        <v>84.522355090141687</v>
      </c>
      <c r="C77" s="2">
        <v>84.522355090141687</v>
      </c>
      <c r="D77" s="2">
        <v>81.911483331315523</v>
      </c>
      <c r="E77" s="2">
        <v>81.911483331315523</v>
      </c>
      <c r="F77">
        <v>51.243541712663692</v>
      </c>
      <c r="G77" s="2">
        <v>1.1298687592775458</v>
      </c>
      <c r="H77" s="10">
        <v>1.1298687592775458</v>
      </c>
      <c r="I77">
        <v>1.1233150227673139</v>
      </c>
      <c r="J77" s="2">
        <v>823.14859473129854</v>
      </c>
      <c r="K77" s="2">
        <v>823.14859473129854</v>
      </c>
      <c r="L77">
        <v>804.60329125721387</v>
      </c>
      <c r="M77" s="2">
        <v>1.1968560659102583</v>
      </c>
      <c r="N77" s="2">
        <v>1.1968560659102583</v>
      </c>
      <c r="O77">
        <v>3.941881596185512</v>
      </c>
      <c r="P77">
        <v>0.15292268508730628</v>
      </c>
      <c r="Q77">
        <v>0.15292268508730628</v>
      </c>
      <c r="R77">
        <v>0.32860928186250504</v>
      </c>
    </row>
    <row r="78" spans="1:18" outlineLevel="1" x14ac:dyDescent="0.25">
      <c r="A78" s="44">
        <v>19</v>
      </c>
      <c r="B78" s="46">
        <f t="shared" si="1"/>
        <v>89.435434801326494</v>
      </c>
      <c r="C78" s="2">
        <v>89.435434801326494</v>
      </c>
      <c r="D78" s="2">
        <v>87.677585711374817</v>
      </c>
      <c r="E78" s="2">
        <v>87.677585711374817</v>
      </c>
      <c r="F78">
        <v>54.850795492172466</v>
      </c>
      <c r="G78" s="2">
        <v>1.1396483845514132</v>
      </c>
      <c r="H78" s="10">
        <v>1.1396483845514132</v>
      </c>
      <c r="I78">
        <v>1.1322219397893958</v>
      </c>
      <c r="J78" s="2">
        <v>820.41181051867727</v>
      </c>
      <c r="K78" s="2">
        <v>820.41181051867727</v>
      </c>
      <c r="L78">
        <v>800.99830247561226</v>
      </c>
      <c r="M78" s="2">
        <v>1.1260179399617538</v>
      </c>
      <c r="N78" s="2">
        <v>1.1260179399617538</v>
      </c>
      <c r="O78">
        <v>3.721152608527647</v>
      </c>
      <c r="P78">
        <v>0.1032943234871818</v>
      </c>
      <c r="Q78">
        <v>0.1032943234871818</v>
      </c>
      <c r="R78">
        <v>0.2981642802084542</v>
      </c>
    </row>
    <row r="79" spans="1:18" outlineLevel="1" x14ac:dyDescent="0.25">
      <c r="A79" s="44">
        <v>20</v>
      </c>
      <c r="B79" s="46">
        <f t="shared" si="1"/>
        <v>94.348514512511301</v>
      </c>
      <c r="C79" s="2">
        <v>94.348514512511301</v>
      </c>
      <c r="D79" s="2">
        <v>93.508699547004454</v>
      </c>
      <c r="E79" s="2">
        <v>93.508699547004454</v>
      </c>
      <c r="F79">
        <v>58.498720214262562</v>
      </c>
      <c r="G79" s="2">
        <v>1.1496310105571559</v>
      </c>
      <c r="H79" s="10">
        <v>1.1496310105571559</v>
      </c>
      <c r="I79">
        <v>1.1413049236047763</v>
      </c>
      <c r="J79" s="2">
        <v>817.62556518900601</v>
      </c>
      <c r="K79" s="2">
        <v>817.62556518900601</v>
      </c>
      <c r="L79">
        <v>797.35704430831811</v>
      </c>
      <c r="M79" s="2">
        <v>1.0625615723945179</v>
      </c>
      <c r="N79" s="2">
        <v>1.0625615723945179</v>
      </c>
      <c r="O79">
        <v>3.5214968338972046</v>
      </c>
      <c r="P79">
        <v>5.3946497400018681E-2</v>
      </c>
      <c r="Q79">
        <v>5.3946497400018681E-2</v>
      </c>
      <c r="R79">
        <v>0.26859233704544261</v>
      </c>
    </row>
    <row r="80" spans="1:18" outlineLevel="1" x14ac:dyDescent="0.25">
      <c r="A80" s="44">
        <v>21</v>
      </c>
      <c r="B80" s="47">
        <f>G24</f>
        <v>99.261594223696079</v>
      </c>
      <c r="C80" s="2">
        <v>99.261594223696079</v>
      </c>
      <c r="D80" s="2">
        <v>99.402113171021938</v>
      </c>
      <c r="E80" s="2">
        <v>99.402113171021938</v>
      </c>
      <c r="F80">
        <v>62.185619469288788</v>
      </c>
      <c r="G80" s="2">
        <v>1.1598110510438144</v>
      </c>
      <c r="H80" s="10">
        <v>1.1598110510438144</v>
      </c>
      <c r="I80">
        <v>1.1505593053400971</v>
      </c>
      <c r="J80" s="2">
        <v>814.79452391165955</v>
      </c>
      <c r="K80" s="2">
        <v>814.79452391165955</v>
      </c>
      <c r="L80">
        <v>793.68400713947676</v>
      </c>
      <c r="M80" s="2">
        <v>1.0054447609364912</v>
      </c>
      <c r="N80" s="2">
        <v>1.0054447609364912</v>
      </c>
      <c r="O80">
        <v>3.3402282103479428</v>
      </c>
      <c r="P80">
        <v>4.9252407321075933E-3</v>
      </c>
      <c r="Q80">
        <v>4.9252407321075933E-3</v>
      </c>
      <c r="R80">
        <v>0.23986996956425102</v>
      </c>
    </row>
    <row r="81" spans="1:18" outlineLevel="1" x14ac:dyDescent="0.25">
      <c r="A81" s="44">
        <v>22</v>
      </c>
      <c r="B81" s="46">
        <f t="shared" ref="B81:B99" si="2">($B$100-$B$80)/($A$100-$A$80)+B80</f>
        <v>109.29851451251128</v>
      </c>
      <c r="C81" s="2">
        <v>109.29851451251128</v>
      </c>
      <c r="D81" s="2">
        <v>100</v>
      </c>
      <c r="E81" s="2">
        <v>100</v>
      </c>
      <c r="F81">
        <v>69.832391150560952</v>
      </c>
      <c r="G81" s="2">
        <v>1.1582716511347877</v>
      </c>
      <c r="H81" s="10">
        <v>1.1582716511347877</v>
      </c>
      <c r="I81">
        <v>1.169979944962791</v>
      </c>
      <c r="J81" s="2">
        <v>816.31886533150612</v>
      </c>
      <c r="K81" s="2">
        <v>816.31886533150612</v>
      </c>
      <c r="L81">
        <v>786.09891267606145</v>
      </c>
      <c r="M81" s="2">
        <v>1.0207529765567527</v>
      </c>
      <c r="N81" s="2">
        <v>1.0207529765567527</v>
      </c>
      <c r="O81">
        <v>3.0179300771231135</v>
      </c>
      <c r="P81">
        <v>0</v>
      </c>
      <c r="Q81">
        <v>0</v>
      </c>
      <c r="R81">
        <v>0.18373743834635339</v>
      </c>
    </row>
    <row r="82" spans="1:18" outlineLevel="1" x14ac:dyDescent="0.25">
      <c r="A82" s="44">
        <v>23</v>
      </c>
      <c r="B82" s="46">
        <f t="shared" si="2"/>
        <v>119.33543480132647</v>
      </c>
      <c r="C82" s="2">
        <v>119.33543480132647</v>
      </c>
      <c r="D82" s="2">
        <v>100</v>
      </c>
      <c r="E82" s="2">
        <v>100</v>
      </c>
      <c r="F82">
        <v>77.623947773431695</v>
      </c>
      <c r="G82" s="2">
        <v>1.1561324003571178</v>
      </c>
      <c r="H82" s="10">
        <v>1.1561324003571178</v>
      </c>
      <c r="I82">
        <v>1.1900647253628218</v>
      </c>
      <c r="J82" s="2">
        <v>817.82934178467667</v>
      </c>
      <c r="K82" s="2">
        <v>817.82934178467667</v>
      </c>
      <c r="L82">
        <v>778.4309577060435</v>
      </c>
      <c r="M82" s="2">
        <v>1.0436752181585873</v>
      </c>
      <c r="N82" s="2">
        <v>1.0436752181585873</v>
      </c>
      <c r="O82">
        <v>2.7479651483479524</v>
      </c>
      <c r="P82">
        <v>0</v>
      </c>
      <c r="Q82">
        <v>0</v>
      </c>
      <c r="R82">
        <v>0.13087400987928097</v>
      </c>
    </row>
    <row r="83" spans="1:18" outlineLevel="1" x14ac:dyDescent="0.25">
      <c r="A83" s="44">
        <v>24</v>
      </c>
      <c r="B83" s="46">
        <f t="shared" si="2"/>
        <v>129.37235509014167</v>
      </c>
      <c r="C83" s="2">
        <v>129.37235509014167</v>
      </c>
      <c r="D83" s="2">
        <v>100</v>
      </c>
      <c r="E83" s="2">
        <v>100</v>
      </c>
      <c r="F83">
        <v>85.550488074551552</v>
      </c>
      <c r="G83" s="2">
        <v>1.1543281620962356</v>
      </c>
      <c r="H83" s="10">
        <v>1.1543281620962356</v>
      </c>
      <c r="I83">
        <v>1.2107843370644027</v>
      </c>
      <c r="J83" s="2">
        <v>819.10762558452825</v>
      </c>
      <c r="K83" s="2">
        <v>819.10762558452825</v>
      </c>
      <c r="L83">
        <v>770.70861699364718</v>
      </c>
      <c r="M83" s="2">
        <v>1.0686200137921675</v>
      </c>
      <c r="N83" s="2">
        <v>1.0686200137921675</v>
      </c>
      <c r="O83">
        <v>2.5191569351789669</v>
      </c>
      <c r="P83">
        <v>0</v>
      </c>
      <c r="Q83">
        <v>0</v>
      </c>
      <c r="R83">
        <v>8.1140523979548809E-2</v>
      </c>
    </row>
    <row r="84" spans="1:18" outlineLevel="1" x14ac:dyDescent="0.25">
      <c r="A84" s="44">
        <v>25</v>
      </c>
      <c r="B84" s="46">
        <f t="shared" si="2"/>
        <v>139.40927537895686</v>
      </c>
      <c r="C84" s="2">
        <v>139.40927537895686</v>
      </c>
      <c r="D84" s="2">
        <v>100</v>
      </c>
      <c r="E84" s="2">
        <v>100</v>
      </c>
      <c r="F84">
        <v>93.603592056427246</v>
      </c>
      <c r="G84" s="2">
        <v>1.1527859568401784</v>
      </c>
      <c r="H84" s="10">
        <v>1.1527859568401784</v>
      </c>
      <c r="I84">
        <v>1.2321127799103735</v>
      </c>
      <c r="J84" s="2">
        <v>820.20343359464277</v>
      </c>
      <c r="K84" s="2">
        <v>820.20343359464277</v>
      </c>
      <c r="L84">
        <v>762.95682604567833</v>
      </c>
      <c r="M84" s="2">
        <v>1.0954628964424935</v>
      </c>
      <c r="N84" s="2">
        <v>1.0954628964424935</v>
      </c>
      <c r="O84">
        <v>2.3231931564587418</v>
      </c>
      <c r="P84">
        <v>0</v>
      </c>
      <c r="Q84">
        <v>0</v>
      </c>
      <c r="R84">
        <v>3.4460110113717669E-2</v>
      </c>
    </row>
    <row r="85" spans="1:18" outlineLevel="1" x14ac:dyDescent="0.25">
      <c r="A85" s="44">
        <v>26</v>
      </c>
      <c r="B85" s="46">
        <f t="shared" si="2"/>
        <v>149.44619566777206</v>
      </c>
      <c r="C85" s="2">
        <v>149.44619566777206</v>
      </c>
      <c r="D85" s="2">
        <v>100</v>
      </c>
      <c r="E85" s="2">
        <v>100</v>
      </c>
      <c r="F85">
        <v>100</v>
      </c>
      <c r="G85" s="2">
        <v>1.1514525669086972</v>
      </c>
      <c r="H85" s="10">
        <v>1.1514525669086972</v>
      </c>
      <c r="I85">
        <v>1.2486555694666963</v>
      </c>
      <c r="J85" s="2">
        <v>821.15323476887397</v>
      </c>
      <c r="K85" s="2">
        <v>821.15323476887397</v>
      </c>
      <c r="L85">
        <v>757.22963411265869</v>
      </c>
      <c r="M85" s="2">
        <v>1.1240959486950539</v>
      </c>
      <c r="N85" s="2">
        <v>1.1240959486950539</v>
      </c>
      <c r="O85">
        <v>2.1969105778534734</v>
      </c>
      <c r="P85">
        <v>0</v>
      </c>
      <c r="Q85">
        <v>0</v>
      </c>
      <c r="R85">
        <v>0</v>
      </c>
    </row>
    <row r="86" spans="1:18" outlineLevel="1" x14ac:dyDescent="0.25">
      <c r="A86" s="44">
        <v>27</v>
      </c>
      <c r="B86" s="46">
        <f t="shared" si="2"/>
        <v>159.48311595658726</v>
      </c>
      <c r="C86" s="2">
        <v>159.48311595658726</v>
      </c>
      <c r="D86" s="2">
        <v>100</v>
      </c>
      <c r="E86" s="2">
        <v>100</v>
      </c>
      <c r="F86">
        <v>100</v>
      </c>
      <c r="G86" s="2">
        <v>1.1502882716457308</v>
      </c>
      <c r="H86" s="10">
        <v>1.1502882716457308</v>
      </c>
      <c r="I86">
        <v>1.2467919988513796</v>
      </c>
      <c r="J86" s="2">
        <v>821.98438713735209</v>
      </c>
      <c r="K86" s="2">
        <v>821.98438713735209</v>
      </c>
      <c r="L86">
        <v>758.36145954663607</v>
      </c>
      <c r="M86" s="2">
        <v>1.154423566787018</v>
      </c>
      <c r="N86" s="2">
        <v>1.154423566787018</v>
      </c>
      <c r="O86">
        <v>2.2277934807390247</v>
      </c>
      <c r="P86">
        <v>0</v>
      </c>
      <c r="Q86">
        <v>0</v>
      </c>
      <c r="R86">
        <v>0</v>
      </c>
    </row>
    <row r="87" spans="1:18" outlineLevel="1" x14ac:dyDescent="0.25">
      <c r="A87" s="44">
        <v>28</v>
      </c>
      <c r="B87" s="46">
        <f t="shared" si="2"/>
        <v>169.52003624540245</v>
      </c>
      <c r="C87" s="2">
        <v>169.52003624540245</v>
      </c>
      <c r="D87" s="2">
        <v>100</v>
      </c>
      <c r="E87" s="2">
        <v>100</v>
      </c>
      <c r="F87">
        <v>100</v>
      </c>
      <c r="G87" s="2">
        <v>1.1492628237295195</v>
      </c>
      <c r="H87" s="10">
        <v>1.1492628237295195</v>
      </c>
      <c r="I87">
        <v>1.2451514112479076</v>
      </c>
      <c r="J87" s="2">
        <v>822.71781569655047</v>
      </c>
      <c r="K87" s="2">
        <v>822.71781569655047</v>
      </c>
      <c r="L87">
        <v>759.36066205184477</v>
      </c>
      <c r="M87" s="2">
        <v>1.186359256812282</v>
      </c>
      <c r="N87" s="2">
        <v>1.186359256812282</v>
      </c>
      <c r="O87">
        <v>2.260873652360408</v>
      </c>
      <c r="P87">
        <v>0</v>
      </c>
      <c r="Q87">
        <v>0</v>
      </c>
      <c r="R87">
        <v>0</v>
      </c>
    </row>
    <row r="88" spans="1:18" outlineLevel="1" x14ac:dyDescent="0.25">
      <c r="A88" s="44">
        <v>29</v>
      </c>
      <c r="B88" s="46">
        <f t="shared" si="2"/>
        <v>179.55695653421765</v>
      </c>
      <c r="C88" s="2">
        <v>179.55695653421765</v>
      </c>
      <c r="D88" s="2">
        <v>100</v>
      </c>
      <c r="E88" s="2">
        <v>100</v>
      </c>
      <c r="F88">
        <v>100</v>
      </c>
      <c r="G88" s="2">
        <v>1.1483527839040586</v>
      </c>
      <c r="H88" s="10">
        <v>1.1483527839040586</v>
      </c>
      <c r="I88">
        <v>1.2436960459368558</v>
      </c>
      <c r="J88" s="2">
        <v>823.36979824746538</v>
      </c>
      <c r="K88" s="2">
        <v>823.36979824746538</v>
      </c>
      <c r="L88">
        <v>760.24926113498736</v>
      </c>
      <c r="M88" s="2">
        <v>1.2198231793090057</v>
      </c>
      <c r="N88" s="2">
        <v>1.2198231793090057</v>
      </c>
      <c r="O88">
        <v>2.2960464389042663</v>
      </c>
      <c r="P88">
        <v>0</v>
      </c>
      <c r="Q88">
        <v>0</v>
      </c>
      <c r="R88">
        <v>0</v>
      </c>
    </row>
    <row r="89" spans="1:18" outlineLevel="1" x14ac:dyDescent="0.25">
      <c r="A89" s="44">
        <v>30</v>
      </c>
      <c r="B89" s="46">
        <f t="shared" si="2"/>
        <v>189.59387682303284</v>
      </c>
      <c r="C89" s="2">
        <v>189.59387682303284</v>
      </c>
      <c r="D89" s="2">
        <v>100</v>
      </c>
      <c r="E89" s="2">
        <v>100</v>
      </c>
      <c r="F89">
        <v>100</v>
      </c>
      <c r="G89" s="2">
        <v>1.1475397075941829</v>
      </c>
      <c r="H89" s="10">
        <v>1.1475397075941829</v>
      </c>
      <c r="I89">
        <v>1.2423962124523464</v>
      </c>
      <c r="J89" s="2">
        <v>823.95318762631814</v>
      </c>
      <c r="K89" s="2">
        <v>823.95318762631814</v>
      </c>
      <c r="L89">
        <v>761.04465751199837</v>
      </c>
      <c r="M89" s="2">
        <v>1.2547402484110013</v>
      </c>
      <c r="N89" s="2">
        <v>1.2547402484110013</v>
      </c>
      <c r="O89">
        <v>2.3332188042345927</v>
      </c>
      <c r="P89">
        <v>0</v>
      </c>
      <c r="Q89">
        <v>0</v>
      </c>
      <c r="R89">
        <v>0</v>
      </c>
    </row>
    <row r="90" spans="1:18" outlineLevel="1" x14ac:dyDescent="0.25">
      <c r="A90" s="44">
        <v>31</v>
      </c>
      <c r="B90" s="46">
        <f t="shared" si="2"/>
        <v>199.63079711184804</v>
      </c>
      <c r="C90" s="2">
        <v>199.63079711184804</v>
      </c>
      <c r="D90" s="2">
        <v>100</v>
      </c>
      <c r="E90" s="2">
        <v>100</v>
      </c>
      <c r="F90">
        <v>100</v>
      </c>
      <c r="G90" s="2">
        <v>1.146808881811203</v>
      </c>
      <c r="H90" s="10">
        <v>1.146808881811203</v>
      </c>
      <c r="I90">
        <v>1.2412282440082927</v>
      </c>
      <c r="J90" s="2">
        <v>824.47826747443958</v>
      </c>
      <c r="K90" s="2">
        <v>824.47826747443958</v>
      </c>
      <c r="L90">
        <v>761.76078377546401</v>
      </c>
      <c r="M90" s="2">
        <v>1.2910386501741087</v>
      </c>
      <c r="N90" s="2">
        <v>1.2910386501741087</v>
      </c>
      <c r="O90">
        <v>2.3723072099186853</v>
      </c>
      <c r="P90">
        <v>0</v>
      </c>
      <c r="Q90">
        <v>0</v>
      </c>
      <c r="R90">
        <v>0</v>
      </c>
    </row>
    <row r="91" spans="1:18" outlineLevel="1" x14ac:dyDescent="0.25">
      <c r="A91" s="44">
        <v>32</v>
      </c>
      <c r="B91" s="46">
        <f t="shared" si="2"/>
        <v>209.66771740066324</v>
      </c>
      <c r="C91" s="2">
        <v>209.66771740066324</v>
      </c>
      <c r="D91" s="2">
        <v>100</v>
      </c>
      <c r="E91" s="2">
        <v>100</v>
      </c>
      <c r="F91">
        <v>100</v>
      </c>
      <c r="G91" s="2">
        <v>1.1461484269068909</v>
      </c>
      <c r="H91" s="10">
        <v>1.1461484269068909</v>
      </c>
      <c r="I91">
        <v>1.2401730436485923</v>
      </c>
      <c r="J91" s="2">
        <v>824.95336363342642</v>
      </c>
      <c r="K91" s="2">
        <v>824.95336363342642</v>
      </c>
      <c r="L91">
        <v>762.40892740119614</v>
      </c>
      <c r="M91" s="2">
        <v>1.3286486835913016</v>
      </c>
      <c r="N91" s="2">
        <v>1.3286486835913016</v>
      </c>
      <c r="O91">
        <v>2.4132358958560109</v>
      </c>
      <c r="P91">
        <v>0</v>
      </c>
      <c r="Q91">
        <v>0</v>
      </c>
      <c r="R91">
        <v>0</v>
      </c>
    </row>
    <row r="92" spans="1:18" outlineLevel="1" x14ac:dyDescent="0.25">
      <c r="A92" s="44">
        <v>33</v>
      </c>
      <c r="B92" s="46">
        <f t="shared" si="2"/>
        <v>219.70463768947843</v>
      </c>
      <c r="C92" s="2">
        <v>219.70463768947843</v>
      </c>
      <c r="D92" s="2">
        <v>100</v>
      </c>
      <c r="E92" s="2">
        <v>100</v>
      </c>
      <c r="F92">
        <v>100</v>
      </c>
      <c r="G92" s="2">
        <v>1.1455486458721875</v>
      </c>
      <c r="H92" s="10">
        <v>1.1455486458721875</v>
      </c>
      <c r="I92">
        <v>1.2392150320732858</v>
      </c>
      <c r="J92" s="2">
        <v>825.38528888060375</v>
      </c>
      <c r="K92" s="2">
        <v>825.38528888060375</v>
      </c>
      <c r="L92">
        <v>762.99833001386889</v>
      </c>
      <c r="M92" s="2">
        <v>1.3675018542704318</v>
      </c>
      <c r="N92" s="2">
        <v>1.3675018542704318</v>
      </c>
      <c r="O92">
        <v>2.4559354731722225</v>
      </c>
      <c r="P92">
        <v>0</v>
      </c>
      <c r="Q92">
        <v>0</v>
      </c>
      <c r="R92">
        <v>0</v>
      </c>
    </row>
    <row r="93" spans="1:18" outlineLevel="1" x14ac:dyDescent="0.25">
      <c r="A93" s="44">
        <v>34</v>
      </c>
      <c r="B93" s="46">
        <f t="shared" si="2"/>
        <v>229.74155797829363</v>
      </c>
      <c r="C93" s="2">
        <v>229.74155797829363</v>
      </c>
      <c r="D93" s="2">
        <v>100</v>
      </c>
      <c r="E93" s="2">
        <v>100</v>
      </c>
      <c r="F93">
        <v>100</v>
      </c>
      <c r="G93" s="2">
        <v>1.145001545086368</v>
      </c>
      <c r="H93" s="10">
        <v>1.145001545086368</v>
      </c>
      <c r="I93">
        <v>1.2383413733695241</v>
      </c>
      <c r="J93" s="2">
        <v>825.77967170225872</v>
      </c>
      <c r="K93" s="2">
        <v>825.77967170225872</v>
      </c>
      <c r="L93">
        <v>763.5366307977298</v>
      </c>
      <c r="M93" s="2">
        <v>1.4075301690824011</v>
      </c>
      <c r="N93" s="2">
        <v>1.4075301690824011</v>
      </c>
      <c r="O93">
        <v>2.5003417635681928</v>
      </c>
      <c r="P93">
        <v>0</v>
      </c>
      <c r="Q93">
        <v>0</v>
      </c>
      <c r="R93">
        <v>0</v>
      </c>
    </row>
    <row r="94" spans="1:18" outlineLevel="1" x14ac:dyDescent="0.25">
      <c r="A94" s="44">
        <v>35</v>
      </c>
      <c r="B94" s="46">
        <f t="shared" si="2"/>
        <v>239.77847826710882</v>
      </c>
      <c r="C94" s="2">
        <v>239.77847826710882</v>
      </c>
      <c r="D94" s="2">
        <v>100</v>
      </c>
      <c r="E94" s="2">
        <v>100</v>
      </c>
      <c r="F94">
        <v>100</v>
      </c>
      <c r="G94" s="2">
        <v>1.1445004760303001</v>
      </c>
      <c r="H94" s="10">
        <v>1.1445004760303001</v>
      </c>
      <c r="I94">
        <v>1.2375413966245108</v>
      </c>
      <c r="J94" s="2">
        <v>826.14120291110112</v>
      </c>
      <c r="K94" s="2">
        <v>826.14120291110112</v>
      </c>
      <c r="L94">
        <v>764.03019937674458</v>
      </c>
      <c r="M94" s="2">
        <v>1.4486655929978147</v>
      </c>
      <c r="N94" s="2">
        <v>1.4486655929978147</v>
      </c>
      <c r="O94">
        <v>2.5463948354167449</v>
      </c>
      <c r="P94">
        <v>0</v>
      </c>
      <c r="Q94">
        <v>0</v>
      </c>
      <c r="R94">
        <v>0</v>
      </c>
    </row>
    <row r="95" spans="1:18" outlineLevel="1" x14ac:dyDescent="0.25">
      <c r="A95" s="44">
        <v>36</v>
      </c>
      <c r="B95" s="46">
        <f t="shared" si="2"/>
        <v>249.81539855592402</v>
      </c>
      <c r="C95" s="2">
        <v>249.81539855592402</v>
      </c>
      <c r="D95" s="2">
        <v>100</v>
      </c>
      <c r="E95" s="2">
        <v>100</v>
      </c>
      <c r="F95">
        <v>100</v>
      </c>
      <c r="G95" s="2">
        <v>1.144039863781759</v>
      </c>
      <c r="H95" s="10">
        <v>1.144039863781759</v>
      </c>
      <c r="I95">
        <v>1.2368061579450125</v>
      </c>
      <c r="J95" s="2">
        <v>826.47382310129922</v>
      </c>
      <c r="K95" s="2">
        <v>826.47382310129922</v>
      </c>
      <c r="L95">
        <v>764.48438902584849</v>
      </c>
      <c r="M95" s="2">
        <v>1.4908396385506315</v>
      </c>
      <c r="N95" s="2">
        <v>1.4908396385506315</v>
      </c>
      <c r="O95">
        <v>2.594038198593605</v>
      </c>
      <c r="P95">
        <v>0</v>
      </c>
      <c r="Q95">
        <v>0</v>
      </c>
      <c r="R95">
        <v>0</v>
      </c>
    </row>
    <row r="96" spans="1:18" outlineLevel="1" x14ac:dyDescent="0.25">
      <c r="A96" s="44">
        <v>37</v>
      </c>
      <c r="B96" s="46">
        <f t="shared" si="2"/>
        <v>259.85231884473922</v>
      </c>
      <c r="C96" s="2">
        <v>259.85231884473922</v>
      </c>
      <c r="D96" s="2">
        <v>100</v>
      </c>
      <c r="E96" s="2">
        <v>100</v>
      </c>
      <c r="F96">
        <v>100</v>
      </c>
      <c r="G96" s="2">
        <v>1.1436149987213886</v>
      </c>
      <c r="H96" s="10">
        <v>1.1436149987213886</v>
      </c>
      <c r="I96">
        <v>1.2361281046651209</v>
      </c>
      <c r="J96" s="2">
        <v>826.78086686265169</v>
      </c>
      <c r="K96" s="2">
        <v>826.78086686265169</v>
      </c>
      <c r="L96">
        <v>764.9037316048649</v>
      </c>
      <c r="M96" s="2">
        <v>1.5339830650350841</v>
      </c>
      <c r="N96" s="2">
        <v>1.5339830650350841</v>
      </c>
      <c r="O96">
        <v>2.6432181286425935</v>
      </c>
      <c r="P96">
        <v>0</v>
      </c>
      <c r="Q96">
        <v>0</v>
      </c>
      <c r="R96">
        <v>0</v>
      </c>
    </row>
    <row r="97" spans="1:18" outlineLevel="1" x14ac:dyDescent="0.25">
      <c r="A97" s="44">
        <v>38</v>
      </c>
      <c r="B97" s="46">
        <f t="shared" si="2"/>
        <v>269.88923913355438</v>
      </c>
      <c r="C97" s="2">
        <v>269.88923913355438</v>
      </c>
      <c r="D97" s="2">
        <v>100</v>
      </c>
      <c r="E97" s="2">
        <v>100</v>
      </c>
      <c r="F97">
        <v>100</v>
      </c>
      <c r="G97" s="2">
        <v>1.1432218749215484</v>
      </c>
      <c r="H97" s="10">
        <v>1.1432218749215484</v>
      </c>
      <c r="I97">
        <v>1.2355008149678459</v>
      </c>
      <c r="J97" s="2">
        <v>827.06517495992159</v>
      </c>
      <c r="K97" s="2">
        <v>827.06517495992159</v>
      </c>
      <c r="L97">
        <v>765.29208928494904</v>
      </c>
      <c r="M97" s="2">
        <v>1.5780256694173169</v>
      </c>
      <c r="N97" s="2">
        <v>1.5780256694173169</v>
      </c>
      <c r="O97">
        <v>2.6938830973012582</v>
      </c>
      <c r="P97">
        <v>0</v>
      </c>
      <c r="Q97">
        <v>0</v>
      </c>
      <c r="R97">
        <v>0</v>
      </c>
    </row>
    <row r="98" spans="1:18" outlineLevel="1" x14ac:dyDescent="0.25">
      <c r="A98" s="44">
        <v>39</v>
      </c>
      <c r="B98" s="46">
        <f t="shared" si="2"/>
        <v>279.92615942236955</v>
      </c>
      <c r="C98" s="2">
        <v>279.92615942236955</v>
      </c>
      <c r="D98" s="2">
        <v>100</v>
      </c>
      <c r="E98" s="2">
        <v>100</v>
      </c>
      <c r="F98">
        <v>100</v>
      </c>
      <c r="G98" s="2">
        <v>1.1428570634513056</v>
      </c>
      <c r="H98" s="10">
        <v>1.1428570634513056</v>
      </c>
      <c r="I98">
        <v>1.2349187938741168</v>
      </c>
      <c r="J98" s="2">
        <v>827.3291824829206</v>
      </c>
      <c r="K98" s="2">
        <v>827.3291824829206</v>
      </c>
      <c r="L98">
        <v>765.65277384253875</v>
      </c>
      <c r="M98" s="2">
        <v>1.622896154543507</v>
      </c>
      <c r="N98" s="2">
        <v>1.622896154543507</v>
      </c>
      <c r="O98">
        <v>2.7459832912631539</v>
      </c>
      <c r="P98">
        <v>0</v>
      </c>
      <c r="Q98">
        <v>0</v>
      </c>
      <c r="R98">
        <v>0</v>
      </c>
    </row>
    <row r="99" spans="1:18" outlineLevel="1" x14ac:dyDescent="0.25">
      <c r="A99" s="44">
        <v>40</v>
      </c>
      <c r="B99" s="46">
        <f t="shared" si="2"/>
        <v>289.96307971118472</v>
      </c>
      <c r="C99" s="2">
        <v>289.96307971118472</v>
      </c>
      <c r="D99" s="2">
        <v>100</v>
      </c>
      <c r="E99" s="2">
        <v>100</v>
      </c>
      <c r="F99">
        <v>100</v>
      </c>
      <c r="G99" s="2">
        <v>1.1425176121025957</v>
      </c>
      <c r="H99" s="10">
        <v>1.1425176121025957</v>
      </c>
      <c r="I99">
        <v>1.2343773118587928</v>
      </c>
      <c r="J99" s="2">
        <v>827.57498876533236</v>
      </c>
      <c r="K99" s="2">
        <v>827.57498876533236</v>
      </c>
      <c r="L99">
        <v>765.98864133057157</v>
      </c>
      <c r="M99" s="2">
        <v>1.6685220629096622</v>
      </c>
      <c r="N99" s="2">
        <v>1.6685220629096622</v>
      </c>
      <c r="O99">
        <v>2.799470204751993</v>
      </c>
      <c r="P99">
        <v>0</v>
      </c>
      <c r="Q99">
        <v>0</v>
      </c>
      <c r="R99">
        <v>0</v>
      </c>
    </row>
    <row r="100" spans="1:18" outlineLevel="1" x14ac:dyDescent="0.25">
      <c r="A100" s="44">
        <v>41</v>
      </c>
      <c r="B100" s="45">
        <v>300</v>
      </c>
      <c r="C100" s="2">
        <v>300</v>
      </c>
      <c r="D100" s="2">
        <v>100</v>
      </c>
      <c r="E100" s="2">
        <v>100</v>
      </c>
      <c r="F100">
        <v>100</v>
      </c>
      <c r="G100" s="2">
        <v>1.1422009653252743</v>
      </c>
      <c r="H100" s="10">
        <v>1.1422009653252743</v>
      </c>
      <c r="I100">
        <v>1.2338722760523479</v>
      </c>
      <c r="J100" s="2">
        <v>827.80441332470468</v>
      </c>
      <c r="K100" s="2">
        <v>827.80441332470468</v>
      </c>
      <c r="L100">
        <v>766.30216785897346</v>
      </c>
      <c r="M100" s="2">
        <v>1.7148297662762775</v>
      </c>
      <c r="N100" s="2">
        <v>1.7148297662762775</v>
      </c>
      <c r="O100">
        <v>2.8542962943309615</v>
      </c>
      <c r="P100">
        <v>0</v>
      </c>
      <c r="Q100">
        <v>0</v>
      </c>
    </row>
    <row r="101" spans="1:18" outlineLevel="1" x14ac:dyDescent="0.25"/>
    <row r="102" spans="1:18" outlineLevel="1" x14ac:dyDescent="0.25"/>
  </sheetData>
  <mergeCells count="3">
    <mergeCell ref="A2:E2"/>
    <mergeCell ref="F3:G3"/>
    <mergeCell ref="N7:Q7"/>
  </mergeCells>
  <dataValidations count="1">
    <dataValidation type="whole" allowBlank="1" showInputMessage="1" showErrorMessage="1" sqref="H3" xr:uid="{B7445072-C1D8-424B-B64D-824B192D9BC3}">
      <formula1>0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56</xdr:row>
                    <xdr:rowOff>0</xdr:rowOff>
                  </from>
                  <to>
                    <xdr:col>13</xdr:col>
                    <xdr:colOff>647700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228600</xdr:colOff>
                    <xdr:row>8</xdr:row>
                    <xdr:rowOff>219075</xdr:rowOff>
                  </from>
                  <to>
                    <xdr:col>21</xdr:col>
                    <xdr:colOff>209550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228600</xdr:colOff>
                    <xdr:row>12</xdr:row>
                    <xdr:rowOff>104775</xdr:rowOff>
                  </from>
                  <to>
                    <xdr:col>21</xdr:col>
                    <xdr:colOff>209550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219075</xdr:colOff>
                    <xdr:row>16</xdr:row>
                    <xdr:rowOff>9525</xdr:rowOff>
                  </from>
                  <to>
                    <xdr:col>21</xdr:col>
                    <xdr:colOff>190500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Build_PVT_charts">
                <anchor moveWithCells="1" sizeWithCells="1">
                  <from>
                    <xdr:col>18</xdr:col>
                    <xdr:colOff>171450</xdr:colOff>
                    <xdr:row>56</xdr:row>
                    <xdr:rowOff>104775</xdr:rowOff>
                  </from>
                  <to>
                    <xdr:col>21</xdr:col>
                    <xdr:colOff>276225</xdr:colOff>
                    <xdr:row>59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9" name="Drop Down 50">
              <controlPr defaultSize="0" autoLine="0" autoPict="0">
                <anchor moveWithCells="1">
                  <from>
                    <xdr:col>6</xdr:col>
                    <xdr:colOff>809625</xdr:colOff>
                    <xdr:row>2</xdr:row>
                    <xdr:rowOff>9525</xdr:rowOff>
                  </from>
                  <to>
                    <xdr:col>8</xdr:col>
                    <xdr:colOff>304800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well_constr"/>
  <dimension ref="A1:AC176"/>
  <sheetViews>
    <sheetView zoomScale="70" zoomScaleNormal="70" workbookViewId="0">
      <selection activeCell="L10" sqref="L10"/>
    </sheetView>
  </sheetViews>
  <sheetFormatPr defaultRowHeight="15" x14ac:dyDescent="0.25"/>
  <sheetData>
    <row r="1" spans="1:16" x14ac:dyDescent="0.25">
      <c r="A1" t="str">
        <f>версия_</f>
        <v>вер 7.10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Worksheet_ESP_data"/>
  <dimension ref="A1:K29"/>
  <sheetViews>
    <sheetView zoomScale="80" zoomScaleNormal="80" workbookViewId="0">
      <selection activeCell="C5" sqref="C5"/>
    </sheetView>
  </sheetViews>
  <sheetFormatPr defaultRowHeight="15" x14ac:dyDescent="0.25"/>
  <cols>
    <col min="2" max="2" width="21.140625" customWidth="1"/>
    <col min="8" max="8" width="9.42578125" bestFit="1" customWidth="1"/>
    <col min="10" max="10" width="10.42578125" customWidth="1"/>
  </cols>
  <sheetData>
    <row r="1" spans="1:11" x14ac:dyDescent="0.25">
      <c r="A1" t="str">
        <f>версия_</f>
        <v>вер 7.10</v>
      </c>
    </row>
    <row r="4" spans="1:11" x14ac:dyDescent="0.25">
      <c r="B4" s="51" t="s">
        <v>176</v>
      </c>
      <c r="C4" s="52">
        <v>500</v>
      </c>
      <c r="D4" s="51" t="s">
        <v>177</v>
      </c>
    </row>
    <row r="5" spans="1:11" x14ac:dyDescent="0.25">
      <c r="B5" s="51" t="s">
        <v>178</v>
      </c>
      <c r="C5" s="52">
        <v>2000</v>
      </c>
      <c r="D5" s="51" t="s">
        <v>179</v>
      </c>
      <c r="G5" t="s">
        <v>193</v>
      </c>
      <c r="H5">
        <f>G29</f>
        <v>22</v>
      </c>
    </row>
    <row r="6" spans="1:11" x14ac:dyDescent="0.25">
      <c r="B6" s="51" t="s">
        <v>180</v>
      </c>
      <c r="C6" s="52">
        <v>35</v>
      </c>
      <c r="D6" s="51" t="s">
        <v>181</v>
      </c>
    </row>
    <row r="7" spans="1:11" x14ac:dyDescent="0.25">
      <c r="B7" s="51" t="s">
        <v>182</v>
      </c>
      <c r="C7" s="53">
        <f>[1]!ESP_id_by_rate(ESP_rate_nom_)</f>
        <v>753</v>
      </c>
      <c r="D7" s="51"/>
      <c r="H7" t="s">
        <v>192</v>
      </c>
      <c r="I7" t="s">
        <v>194</v>
      </c>
      <c r="J7" t="s">
        <v>195</v>
      </c>
      <c r="K7" t="s">
        <v>196</v>
      </c>
    </row>
    <row r="8" spans="1:11" x14ac:dyDescent="0.25">
      <c r="B8" s="51" t="s">
        <v>183</v>
      </c>
      <c r="C8" s="53" t="str">
        <f>[1]!ESP_name(ESP_ID_)</f>
        <v>ВНН5А-500</v>
      </c>
      <c r="D8" s="51"/>
      <c r="G8">
        <v>1</v>
      </c>
      <c r="H8" s="54">
        <v>1</v>
      </c>
      <c r="I8" s="50">
        <v>1511.5486957327657</v>
      </c>
      <c r="J8" s="50">
        <v>58.526904992008383</v>
      </c>
      <c r="K8" s="56">
        <v>2.4464792109942994E-3</v>
      </c>
    </row>
    <row r="9" spans="1:11" x14ac:dyDescent="0.25">
      <c r="B9" s="51" t="s">
        <v>184</v>
      </c>
      <c r="C9" s="53">
        <f>[1]!ESP_max_rate_m3day(ESP_freq_,ESP_ID_)*1</f>
        <v>546</v>
      </c>
      <c r="D9" s="51"/>
      <c r="G9">
        <v>2</v>
      </c>
      <c r="H9" s="55">
        <f t="shared" ref="H9:H29" si="0">(ESP_qmax_)/(pts_-1)+H8</f>
        <v>27</v>
      </c>
      <c r="I9" s="50">
        <v>1526.6026544003516</v>
      </c>
      <c r="J9" s="50">
        <v>61.984437516992209</v>
      </c>
      <c r="K9" s="56">
        <v>7.7984259960700714E-2</v>
      </c>
    </row>
    <row r="10" spans="1:11" x14ac:dyDescent="0.25">
      <c r="B10" s="51" t="s">
        <v>185</v>
      </c>
      <c r="C10" s="53">
        <f>INT(ESP_head_nom_/[1]!ESP_head_m(ESP_rate_nom_,1,,ESP_ID_))</f>
        <v>427</v>
      </c>
      <c r="D10" s="51" t="s">
        <v>186</v>
      </c>
      <c r="G10">
        <v>3</v>
      </c>
      <c r="H10" s="55">
        <f t="shared" si="0"/>
        <v>53</v>
      </c>
      <c r="I10" s="50">
        <v>1519.2733667831737</v>
      </c>
      <c r="J10" s="50">
        <v>64.736144778134886</v>
      </c>
      <c r="K10" s="56">
        <v>0.1449265279149502</v>
      </c>
    </row>
    <row r="11" spans="1:11" x14ac:dyDescent="0.25">
      <c r="G11">
        <v>4</v>
      </c>
      <c r="H11" s="55">
        <f t="shared" si="0"/>
        <v>79</v>
      </c>
      <c r="I11" s="50">
        <v>1494.4794329685121</v>
      </c>
      <c r="J11" s="50">
        <v>66.795576716402834</v>
      </c>
      <c r="K11" s="56">
        <v>0.20432900833120726</v>
      </c>
    </row>
    <row r="12" spans="1:11" x14ac:dyDescent="0.25">
      <c r="G12">
        <v>5</v>
      </c>
      <c r="H12" s="55">
        <f t="shared" si="0"/>
        <v>105</v>
      </c>
      <c r="I12" s="50">
        <v>1456.7391081524324</v>
      </c>
      <c r="J12" s="50">
        <v>68.214753539382158</v>
      </c>
      <c r="K12" s="56">
        <v>0.25732077153429417</v>
      </c>
    </row>
    <row r="13" spans="1:11" x14ac:dyDescent="0.25">
      <c r="B13" t="s">
        <v>187</v>
      </c>
      <c r="C13">
        <v>1000</v>
      </c>
      <c r="D13" t="s">
        <v>190</v>
      </c>
      <c r="G13">
        <v>6</v>
      </c>
      <c r="H13" s="55">
        <f t="shared" si="0"/>
        <v>131</v>
      </c>
      <c r="I13" s="50">
        <v>1410.1064470451115</v>
      </c>
      <c r="J13" s="50">
        <v>69.07564082264831</v>
      </c>
      <c r="K13" s="56">
        <v>0.30502407251407149</v>
      </c>
    </row>
    <row r="14" spans="1:11" x14ac:dyDescent="0.25">
      <c r="B14" t="s">
        <v>188</v>
      </c>
      <c r="C14">
        <v>30</v>
      </c>
      <c r="D14" t="s">
        <v>191</v>
      </c>
      <c r="G14">
        <v>7</v>
      </c>
      <c r="H14" s="55">
        <f t="shared" si="0"/>
        <v>157</v>
      </c>
      <c r="I14" s="50">
        <v>1358.107448276161</v>
      </c>
      <c r="J14" s="50">
        <v>69.481624611135828</v>
      </c>
      <c r="K14" s="56">
        <v>0.34847419052311784</v>
      </c>
    </row>
    <row r="15" spans="1:11" x14ac:dyDescent="0.25">
      <c r="G15">
        <v>8</v>
      </c>
      <c r="H15" s="55">
        <f t="shared" si="0"/>
        <v>183</v>
      </c>
      <c r="I15" s="50">
        <v>1303.6761987999519</v>
      </c>
      <c r="J15" s="50">
        <v>69.548986520508109</v>
      </c>
      <c r="K15" s="56">
        <v>0.38853926867441102</v>
      </c>
    </row>
    <row r="16" spans="1:11" x14ac:dyDescent="0.25">
      <c r="B16" t="s">
        <v>189</v>
      </c>
      <c r="C16">
        <f>Htub_m_</f>
        <v>2500</v>
      </c>
      <c r="D16" t="s">
        <v>38</v>
      </c>
      <c r="G16">
        <v>9</v>
      </c>
      <c r="H16" s="55">
        <f t="shared" si="0"/>
        <v>209</v>
      </c>
      <c r="I16" s="50">
        <v>1249.0910183009403</v>
      </c>
      <c r="J16" s="50">
        <v>69.398378838527066</v>
      </c>
      <c r="K16" s="56">
        <v>0.42584015353900773</v>
      </c>
    </row>
    <row r="17" spans="7:11" x14ac:dyDescent="0.25">
      <c r="G17">
        <v>10</v>
      </c>
      <c r="H17" s="55">
        <f t="shared" si="0"/>
        <v>235</v>
      </c>
      <c r="I17" s="50">
        <v>1195.9106035989912</v>
      </c>
      <c r="J17" s="50">
        <v>69.146299626422774</v>
      </c>
      <c r="K17" s="56">
        <v>0.46067023474372432</v>
      </c>
    </row>
    <row r="18" spans="7:11" x14ac:dyDescent="0.25">
      <c r="G18">
        <v>11</v>
      </c>
      <c r="H18" s="55">
        <f t="shared" si="0"/>
        <v>261</v>
      </c>
      <c r="I18" s="50">
        <v>1144.9101730547027</v>
      </c>
      <c r="J18" s="50">
        <v>68.8965678202633</v>
      </c>
      <c r="K18" s="56">
        <v>0.49291528456881661</v>
      </c>
    </row>
    <row r="19" spans="7:11" x14ac:dyDescent="0.25">
      <c r="G19">
        <v>12</v>
      </c>
      <c r="H19" s="55">
        <f t="shared" si="0"/>
        <v>287</v>
      </c>
      <c r="I19" s="50">
        <v>1096.0176109747313</v>
      </c>
      <c r="J19" s="50">
        <v>68.731798332324388</v>
      </c>
      <c r="K19" s="56">
        <v>0.52197329754566124</v>
      </c>
    </row>
    <row r="20" spans="7:11" x14ac:dyDescent="0.25">
      <c r="G20">
        <v>13</v>
      </c>
      <c r="H20" s="55">
        <f t="shared" si="0"/>
        <v>313</v>
      </c>
      <c r="I20" s="50">
        <v>1048.2496120171163</v>
      </c>
      <c r="J20" s="50">
        <v>68.704877152458991</v>
      </c>
      <c r="K20" s="56">
        <v>0.546674330054435</v>
      </c>
    </row>
    <row r="21" spans="7:11" x14ac:dyDescent="0.25">
      <c r="G21">
        <v>14</v>
      </c>
      <c r="H21" s="55">
        <f t="shared" si="0"/>
        <v>339</v>
      </c>
      <c r="I21" s="50">
        <v>999.647825596605</v>
      </c>
      <c r="J21" s="50">
        <v>68.830436449467328</v>
      </c>
      <c r="K21" s="56">
        <v>0.56520033992179486</v>
      </c>
    </row>
    <row r="22" spans="7:11" x14ac:dyDescent="0.25">
      <c r="G22">
        <v>15</v>
      </c>
      <c r="H22" s="55">
        <f t="shared" si="0"/>
        <v>365</v>
      </c>
      <c r="I22" s="50">
        <v>947.21500028997593</v>
      </c>
      <c r="J22" s="50">
        <v>69.076329672466258</v>
      </c>
      <c r="K22" s="56">
        <v>0.57500502601856018</v>
      </c>
    </row>
    <row r="23" spans="7:11" x14ac:dyDescent="0.25">
      <c r="G23">
        <v>16</v>
      </c>
      <c r="H23" s="55">
        <f t="shared" si="0"/>
        <v>391</v>
      </c>
      <c r="I23" s="50">
        <v>886.85112824136411</v>
      </c>
      <c r="J23" s="50">
        <v>69.355106652259195</v>
      </c>
      <c r="K23" s="56">
        <v>0.57273366785739144</v>
      </c>
    </row>
    <row r="24" spans="7:11" x14ac:dyDescent="0.25">
      <c r="G24">
        <v>17</v>
      </c>
      <c r="H24" s="55">
        <f t="shared" si="0"/>
        <v>417</v>
      </c>
      <c r="I24" s="50">
        <v>813.28958956758697</v>
      </c>
      <c r="J24" s="50">
        <v>69.515488702705753</v>
      </c>
      <c r="K24" s="56">
        <v>0.55414296519047013</v>
      </c>
    </row>
    <row r="25" spans="7:11" x14ac:dyDescent="0.25">
      <c r="G25">
        <v>18</v>
      </c>
      <c r="H25" s="55">
        <f t="shared" si="0"/>
        <v>443</v>
      </c>
      <c r="I25" s="50">
        <v>720.03329676346868</v>
      </c>
      <c r="J25" s="50">
        <v>69.333843722091473</v>
      </c>
      <c r="K25" s="56">
        <v>0.51402087760718174</v>
      </c>
    </row>
    <row r="26" spans="7:11" x14ac:dyDescent="0.25">
      <c r="G26">
        <v>19</v>
      </c>
      <c r="H26" s="55">
        <f t="shared" si="0"/>
        <v>469</v>
      </c>
      <c r="I26" s="50">
        <v>599.29083910716054</v>
      </c>
      <c r="J26" s="50">
        <v>68.505661294497457</v>
      </c>
      <c r="K26" s="56">
        <v>0.44610646413179267</v>
      </c>
    </row>
    <row r="27" spans="7:11" x14ac:dyDescent="0.25">
      <c r="G27">
        <v>20</v>
      </c>
      <c r="H27" s="55">
        <f t="shared" si="0"/>
        <v>495</v>
      </c>
      <c r="I27" s="50">
        <v>441.91262706547246</v>
      </c>
      <c r="J27" s="50">
        <v>66.637027791170155</v>
      </c>
      <c r="K27" s="56">
        <v>0.34300972282113351</v>
      </c>
    </row>
    <row r="28" spans="7:11" x14ac:dyDescent="0.25">
      <c r="G28">
        <v>21</v>
      </c>
      <c r="H28" s="55">
        <f t="shared" si="0"/>
        <v>521</v>
      </c>
      <c r="I28" s="50">
        <v>237.32703669919169</v>
      </c>
      <c r="J28" s="50">
        <v>63.23610147189104</v>
      </c>
      <c r="K28" s="56">
        <v>0.19613143036227587</v>
      </c>
    </row>
    <row r="29" spans="7:11" x14ac:dyDescent="0.25">
      <c r="G29">
        <v>22</v>
      </c>
      <c r="H29" s="55">
        <f t="shared" si="0"/>
        <v>547</v>
      </c>
      <c r="I29" s="50">
        <v>0</v>
      </c>
      <c r="J29" s="50">
        <v>57.964982049754923</v>
      </c>
      <c r="K29" s="5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9525</xdr:rowOff>
                  </from>
                  <to>
                    <xdr:col>14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5165B-7A6B-4829-B135-131C0BE6C697}">
  <sheetPr codeName="Worksheet_GL_data"/>
  <dimension ref="A1:D20"/>
  <sheetViews>
    <sheetView workbookViewId="0">
      <selection activeCell="A2" sqref="A2"/>
    </sheetView>
  </sheetViews>
  <sheetFormatPr defaultRowHeight="15" x14ac:dyDescent="0.25"/>
  <cols>
    <col min="2" max="2" width="13.28515625" customWidth="1"/>
    <col min="3" max="3" width="10.5703125" customWidth="1"/>
    <col min="4" max="4" width="15.7109375" customWidth="1"/>
  </cols>
  <sheetData>
    <row r="1" spans="1:4" x14ac:dyDescent="0.25">
      <c r="A1" t="str">
        <f>версия_</f>
        <v>вер 7.10</v>
      </c>
    </row>
    <row r="3" spans="1:4" x14ac:dyDescent="0.25">
      <c r="B3" t="s">
        <v>207</v>
      </c>
    </row>
    <row r="5" spans="1:4" x14ac:dyDescent="0.25">
      <c r="B5" t="s">
        <v>208</v>
      </c>
      <c r="C5" s="11">
        <v>3</v>
      </c>
    </row>
    <row r="7" spans="1:4" x14ac:dyDescent="0.25">
      <c r="B7" t="s">
        <v>209</v>
      </c>
    </row>
    <row r="9" spans="1:4" x14ac:dyDescent="0.25">
      <c r="B9" s="5" t="s">
        <v>170</v>
      </c>
      <c r="C9" s="5" t="s">
        <v>210</v>
      </c>
      <c r="D9" s="5" t="s">
        <v>211</v>
      </c>
    </row>
    <row r="10" spans="1:4" x14ac:dyDescent="0.25">
      <c r="B10" s="5" t="s">
        <v>38</v>
      </c>
      <c r="C10" s="5" t="s">
        <v>41</v>
      </c>
      <c r="D10" s="5" t="s">
        <v>2</v>
      </c>
    </row>
    <row r="11" spans="1:4" x14ac:dyDescent="0.25">
      <c r="B11" s="9">
        <v>500</v>
      </c>
      <c r="C11" s="9">
        <v>0</v>
      </c>
      <c r="D11" s="9">
        <v>50</v>
      </c>
    </row>
    <row r="12" spans="1:4" x14ac:dyDescent="0.25">
      <c r="B12" s="9">
        <v>1500</v>
      </c>
      <c r="C12" s="9">
        <v>0</v>
      </c>
      <c r="D12" s="9">
        <v>60</v>
      </c>
    </row>
    <row r="13" spans="1:4" x14ac:dyDescent="0.25">
      <c r="B13" s="9">
        <v>2200</v>
      </c>
      <c r="C13" s="9">
        <v>3</v>
      </c>
      <c r="D13" s="9">
        <v>80</v>
      </c>
    </row>
    <row r="14" spans="1:4" x14ac:dyDescent="0.25">
      <c r="B14" s="9"/>
      <c r="C14" s="9"/>
      <c r="D14" s="9"/>
    </row>
    <row r="15" spans="1:4" x14ac:dyDescent="0.25">
      <c r="B15" s="9"/>
      <c r="C15" s="9"/>
      <c r="D15" s="9"/>
    </row>
    <row r="16" spans="1:4" x14ac:dyDescent="0.25">
      <c r="B16" s="9"/>
      <c r="C16" s="9"/>
      <c r="D16" s="9"/>
    </row>
    <row r="17" spans="2:4" x14ac:dyDescent="0.25">
      <c r="B17" s="9"/>
      <c r="C17" s="9"/>
      <c r="D17" s="9"/>
    </row>
    <row r="18" spans="2:4" x14ac:dyDescent="0.25">
      <c r="B18" s="9"/>
      <c r="C18" s="9"/>
      <c r="D18" s="9"/>
    </row>
    <row r="19" spans="2:4" x14ac:dyDescent="0.25">
      <c r="B19" s="9"/>
      <c r="C19" s="9"/>
      <c r="D19" s="9"/>
    </row>
    <row r="20" spans="2:4" x14ac:dyDescent="0.25">
      <c r="B20" s="9"/>
      <c r="C20" s="9"/>
      <c r="D20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calc_ESP"/>
  <dimension ref="A1:AK44"/>
  <sheetViews>
    <sheetView zoomScale="70" zoomScaleNormal="70" workbookViewId="0">
      <selection activeCell="AG27" sqref="AG27"/>
    </sheetView>
  </sheetViews>
  <sheetFormatPr defaultRowHeight="15" x14ac:dyDescent="0.25"/>
  <cols>
    <col min="15" max="15" width="10.140625" customWidth="1"/>
    <col min="22" max="22" width="10.7109375" customWidth="1"/>
    <col min="31" max="35" width="6.28515625" customWidth="1"/>
  </cols>
  <sheetData>
    <row r="1" spans="1:37" x14ac:dyDescent="0.25">
      <c r="A1" t="str">
        <f>версия_</f>
        <v>вер 7.10</v>
      </c>
      <c r="W1" s="66"/>
      <c r="X1" s="66"/>
      <c r="Y1" s="66"/>
      <c r="Z1" s="66"/>
      <c r="AA1" s="66"/>
      <c r="AB1" s="58"/>
      <c r="AC1" s="58"/>
      <c r="AD1" s="58"/>
      <c r="AE1" s="58"/>
      <c r="AF1" s="58"/>
      <c r="AG1" s="58"/>
      <c r="AH1" s="58"/>
      <c r="AI1" s="58"/>
      <c r="AJ1" s="58"/>
      <c r="AK1" s="58"/>
    </row>
    <row r="2" spans="1:37" x14ac:dyDescent="0.25">
      <c r="E2">
        <f>PVT!PVT_correlation_</f>
        <v>0</v>
      </c>
      <c r="G2" t="s">
        <v>141</v>
      </c>
      <c r="J2">
        <f>AB3-1</f>
        <v>0</v>
      </c>
      <c r="L2" t="s">
        <v>142</v>
      </c>
      <c r="O2">
        <f>AG3-1</f>
        <v>2</v>
      </c>
      <c r="W2" s="66"/>
      <c r="X2" s="66"/>
      <c r="Y2" s="66"/>
      <c r="Z2" s="66"/>
      <c r="AA2" s="66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37" x14ac:dyDescent="0.25">
      <c r="W3" s="66"/>
      <c r="X3" s="66"/>
      <c r="Y3" s="66"/>
      <c r="Z3" s="66"/>
      <c r="AA3" s="66"/>
      <c r="AB3" s="58">
        <v>1</v>
      </c>
      <c r="AC3" s="58" t="s">
        <v>145</v>
      </c>
      <c r="AD3" s="58"/>
      <c r="AE3" s="58"/>
      <c r="AF3" s="58"/>
      <c r="AG3" s="58">
        <v>3</v>
      </c>
      <c r="AH3" s="58" t="s">
        <v>160</v>
      </c>
      <c r="AI3" s="58"/>
      <c r="AJ3" s="58"/>
      <c r="AK3" s="58"/>
    </row>
    <row r="4" spans="1:37" x14ac:dyDescent="0.25">
      <c r="W4" s="66"/>
      <c r="X4" s="66"/>
      <c r="Y4" s="66"/>
      <c r="Z4" s="66"/>
      <c r="AA4" s="66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</row>
    <row r="5" spans="1:37" x14ac:dyDescent="0.2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Q5" s="17" t="s">
        <v>53</v>
      </c>
      <c r="R5" s="2"/>
      <c r="S5" s="2"/>
      <c r="W5" s="66"/>
      <c r="X5" s="66"/>
      <c r="Y5" s="66"/>
      <c r="Z5" s="66"/>
      <c r="AA5" s="66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</row>
    <row r="6" spans="1:37" ht="18" x14ac:dyDescent="0.35">
      <c r="B6" s="7" t="s">
        <v>32</v>
      </c>
      <c r="C6" s="12">
        <f>Ql_scm3day_</f>
        <v>230</v>
      </c>
      <c r="D6" s="5" t="s">
        <v>33</v>
      </c>
      <c r="G6" s="14" t="s">
        <v>157</v>
      </c>
      <c r="H6" s="9">
        <v>1</v>
      </c>
      <c r="I6" s="5"/>
      <c r="L6" s="14" t="s">
        <v>156</v>
      </c>
      <c r="M6" s="9">
        <v>90</v>
      </c>
      <c r="N6" s="5" t="s">
        <v>25</v>
      </c>
      <c r="Q6" s="14" t="s">
        <v>45</v>
      </c>
      <c r="R6" s="9">
        <v>45</v>
      </c>
      <c r="S6" s="5" t="s">
        <v>204</v>
      </c>
      <c r="W6" s="66"/>
      <c r="X6" s="66"/>
      <c r="Y6" s="66"/>
      <c r="Z6" s="66"/>
      <c r="AA6" s="66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</row>
    <row r="7" spans="1:37" ht="18" x14ac:dyDescent="0.35">
      <c r="B7" s="5" t="s">
        <v>19</v>
      </c>
      <c r="C7" s="12">
        <f>fw_perc_</f>
        <v>0</v>
      </c>
      <c r="D7" s="5" t="s">
        <v>9</v>
      </c>
      <c r="G7" s="14" t="s">
        <v>158</v>
      </c>
      <c r="H7" s="9">
        <v>1</v>
      </c>
      <c r="I7" s="5"/>
      <c r="L7" s="14" t="s">
        <v>56</v>
      </c>
      <c r="M7" s="9">
        <v>60</v>
      </c>
      <c r="N7" s="5" t="s">
        <v>25</v>
      </c>
      <c r="Q7" s="14" t="s">
        <v>46</v>
      </c>
      <c r="R7" s="9">
        <v>50</v>
      </c>
      <c r="S7" s="5" t="s">
        <v>204</v>
      </c>
      <c r="W7" s="66"/>
      <c r="X7" s="66"/>
      <c r="Y7" s="66"/>
      <c r="Z7" s="66"/>
      <c r="AA7" s="66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</row>
    <row r="8" spans="1:37" ht="18" x14ac:dyDescent="0.35">
      <c r="B8" s="7" t="s">
        <v>34</v>
      </c>
      <c r="C8" s="12">
        <f>Qo_sctday_</f>
        <v>197.79999999999998</v>
      </c>
      <c r="D8" s="5" t="s">
        <v>35</v>
      </c>
      <c r="Q8" s="14" t="s">
        <v>47</v>
      </c>
      <c r="R8" s="9">
        <v>90</v>
      </c>
      <c r="S8" s="5" t="s">
        <v>204</v>
      </c>
      <c r="W8" s="66"/>
      <c r="X8" s="66"/>
      <c r="Y8" s="66"/>
      <c r="Z8" s="66"/>
      <c r="AA8" s="66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</row>
    <row r="9" spans="1:37" ht="18" x14ac:dyDescent="0.35">
      <c r="B9" s="7" t="s">
        <v>18</v>
      </c>
      <c r="C9" s="12">
        <f>Rp_m3m3_</f>
        <v>100</v>
      </c>
      <c r="D9" s="5" t="s">
        <v>17</v>
      </c>
      <c r="Q9" s="14" t="s">
        <v>197</v>
      </c>
      <c r="R9" s="9">
        <v>45</v>
      </c>
      <c r="S9" s="5" t="s">
        <v>204</v>
      </c>
      <c r="AB9" s="58"/>
      <c r="AC9" s="58"/>
      <c r="AD9" s="58"/>
      <c r="AE9" s="58"/>
      <c r="AF9" s="58"/>
      <c r="AG9" s="58"/>
      <c r="AH9" s="58"/>
    </row>
    <row r="10" spans="1:37" ht="18" x14ac:dyDescent="0.25">
      <c r="B10" s="7" t="s">
        <v>18</v>
      </c>
      <c r="C10" s="13">
        <f>Rp_m3m3_/PVT!gamma_oil_</f>
        <v>116.27906976744187</v>
      </c>
      <c r="D10" s="5" t="s">
        <v>36</v>
      </c>
      <c r="Q10" s="17"/>
      <c r="R10" s="2"/>
      <c r="S10" s="2"/>
      <c r="T10" s="17"/>
      <c r="U10" s="2"/>
      <c r="V10" s="2"/>
      <c r="AB10" s="58"/>
      <c r="AC10" s="58"/>
      <c r="AD10" s="58"/>
      <c r="AE10" s="58"/>
      <c r="AF10" s="58"/>
      <c r="AG10" s="58"/>
      <c r="AH10" s="58"/>
    </row>
    <row r="11" spans="1:37" ht="18" x14ac:dyDescent="0.35">
      <c r="Q11" s="14" t="s">
        <v>205</v>
      </c>
      <c r="R11" s="25">
        <v>45.003531296830985</v>
      </c>
      <c r="S11" s="5" t="s">
        <v>204</v>
      </c>
      <c r="T11" s="14" t="s">
        <v>55</v>
      </c>
      <c r="U11" s="25">
        <v>46.547433671946678</v>
      </c>
      <c r="V11" s="5" t="s">
        <v>25</v>
      </c>
    </row>
    <row r="12" spans="1:37" ht="18" x14ac:dyDescent="0.35">
      <c r="Q12" s="14" t="s">
        <v>206</v>
      </c>
      <c r="R12" s="25">
        <v>53.27585670283807</v>
      </c>
      <c r="S12" s="5" t="s">
        <v>204</v>
      </c>
      <c r="T12" s="14" t="s">
        <v>56</v>
      </c>
      <c r="U12" s="25">
        <v>46.547433671946678</v>
      </c>
      <c r="V12" s="5" t="s">
        <v>25</v>
      </c>
    </row>
    <row r="13" spans="1:37" ht="18" x14ac:dyDescent="0.35">
      <c r="D13" s="1"/>
      <c r="Q13" s="14" t="s">
        <v>47</v>
      </c>
      <c r="R13" s="25">
        <v>152.37578087124166</v>
      </c>
      <c r="S13" s="5" t="s">
        <v>204</v>
      </c>
      <c r="T13" s="14" t="s">
        <v>57</v>
      </c>
      <c r="U13" s="25">
        <v>90</v>
      </c>
      <c r="V13" s="5" t="s">
        <v>25</v>
      </c>
    </row>
    <row r="14" spans="1:37" x14ac:dyDescent="0.25">
      <c r="B14" s="17" t="s">
        <v>58</v>
      </c>
      <c r="C14" s="2"/>
      <c r="D14" s="10"/>
      <c r="E14" s="2"/>
    </row>
    <row r="15" spans="1:37" ht="30" x14ac:dyDescent="0.25">
      <c r="B15" s="2"/>
      <c r="C15" s="2" t="s">
        <v>43</v>
      </c>
      <c r="D15" s="10" t="s">
        <v>62</v>
      </c>
      <c r="E15" s="2" t="s">
        <v>61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  <c r="W15" t="s">
        <v>198</v>
      </c>
    </row>
    <row r="16" spans="1:37" x14ac:dyDescent="0.25">
      <c r="B16" s="2" t="s">
        <v>59</v>
      </c>
      <c r="C16" s="49">
        <v>0</v>
      </c>
      <c r="D16" s="49">
        <v>0</v>
      </c>
      <c r="E16" s="49">
        <v>32</v>
      </c>
      <c r="G16" s="15"/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53.27585670283807</v>
      </c>
      <c r="P16">
        <v>0</v>
      </c>
      <c r="Q16">
        <v>46.547433671946678</v>
      </c>
      <c r="R16">
        <v>0</v>
      </c>
      <c r="S16">
        <v>0.6224641750921015</v>
      </c>
      <c r="U16">
        <v>0</v>
      </c>
      <c r="V16" s="50">
        <f>Pline_out_atma_</f>
        <v>45.003531296830985</v>
      </c>
    </row>
    <row r="17" spans="2:22" x14ac:dyDescent="0.25">
      <c r="B17" s="2" t="s">
        <v>60</v>
      </c>
      <c r="C17" s="18">
        <v>0</v>
      </c>
      <c r="D17" s="18">
        <v>12</v>
      </c>
      <c r="E17" s="18">
        <v>33</v>
      </c>
      <c r="G17" s="15"/>
      <c r="H17">
        <v>168.75</v>
      </c>
      <c r="I17">
        <v>16.978153001228488</v>
      </c>
      <c r="J17">
        <v>34.35</v>
      </c>
      <c r="K17">
        <v>194.44444444444446</v>
      </c>
      <c r="M17">
        <v>30.648148148148149</v>
      </c>
      <c r="N17">
        <v>194.44444444444446</v>
      </c>
      <c r="O17">
        <v>64.163226131035231</v>
      </c>
      <c r="P17">
        <v>194.44444444444446</v>
      </c>
      <c r="Q17">
        <v>47.704293884014703</v>
      </c>
      <c r="R17">
        <v>175</v>
      </c>
      <c r="S17">
        <v>0.67890266672290622</v>
      </c>
      <c r="U17">
        <v>0</v>
      </c>
      <c r="V17" s="50">
        <f>Pbuf_out_atma_</f>
        <v>53.27585670283807</v>
      </c>
    </row>
    <row r="18" spans="2:22" x14ac:dyDescent="0.25">
      <c r="B18" s="2"/>
      <c r="C18" s="18">
        <v>125</v>
      </c>
      <c r="D18" s="18">
        <v>15.557467590458288</v>
      </c>
      <c r="E18" s="18">
        <v>34</v>
      </c>
      <c r="G18" s="15"/>
      <c r="H18">
        <v>337.5</v>
      </c>
      <c r="I18">
        <v>22.808159517353957</v>
      </c>
      <c r="J18">
        <v>35.700000000000003</v>
      </c>
      <c r="K18">
        <v>388.88888888888891</v>
      </c>
      <c r="M18">
        <v>31.296296296296294</v>
      </c>
      <c r="N18">
        <v>388.88888888888891</v>
      </c>
      <c r="O18">
        <v>75.934495980827137</v>
      </c>
      <c r="P18">
        <v>388.88888888888891</v>
      </c>
      <c r="Q18">
        <v>49.004116569362942</v>
      </c>
      <c r="R18">
        <v>350</v>
      </c>
      <c r="S18">
        <v>0.7454274562742873</v>
      </c>
      <c r="U18">
        <f>Hperf_m_</f>
        <v>3500</v>
      </c>
      <c r="V18" s="50">
        <f>Pwf_out_atma_</f>
        <v>152.37578087124166</v>
      </c>
    </row>
    <row r="19" spans="2:22" x14ac:dyDescent="0.25">
      <c r="B19" s="2"/>
      <c r="C19" s="18">
        <v>250</v>
      </c>
      <c r="D19" s="18">
        <v>19.616568764087436</v>
      </c>
      <c r="E19" s="18">
        <v>35</v>
      </c>
      <c r="G19" s="15"/>
      <c r="H19">
        <v>506.25</v>
      </c>
      <c r="I19">
        <v>29.78946407595685</v>
      </c>
      <c r="J19">
        <v>37.049999999999997</v>
      </c>
      <c r="K19">
        <v>583.33333333333337</v>
      </c>
      <c r="M19">
        <v>31.944444444444446</v>
      </c>
      <c r="N19">
        <v>583.33333333333337</v>
      </c>
      <c r="O19">
        <v>89.677476275513385</v>
      </c>
      <c r="P19">
        <v>583.33333333333337</v>
      </c>
      <c r="Q19">
        <v>50.533067744134122</v>
      </c>
      <c r="R19">
        <v>525</v>
      </c>
      <c r="S19">
        <v>0.91729091636380833</v>
      </c>
    </row>
    <row r="20" spans="2:22" x14ac:dyDescent="0.25">
      <c r="B20" s="2"/>
      <c r="C20" s="18">
        <v>375</v>
      </c>
      <c r="D20" s="18">
        <v>24.17598412589675</v>
      </c>
      <c r="E20" s="18">
        <v>36</v>
      </c>
      <c r="G20" s="15"/>
      <c r="H20">
        <v>675</v>
      </c>
      <c r="I20">
        <v>38.734369437593315</v>
      </c>
      <c r="J20">
        <v>38.4</v>
      </c>
      <c r="K20">
        <v>777.77777777777783</v>
      </c>
      <c r="M20">
        <v>32.592592592592588</v>
      </c>
      <c r="N20">
        <v>777.77777777777783</v>
      </c>
      <c r="O20">
        <v>105.16534924635414</v>
      </c>
      <c r="P20">
        <v>777.77777777777783</v>
      </c>
      <c r="Q20">
        <v>52.319129806239083</v>
      </c>
      <c r="R20">
        <v>700</v>
      </c>
      <c r="S20">
        <v>1</v>
      </c>
    </row>
    <row r="21" spans="2:22" x14ac:dyDescent="0.25">
      <c r="B21" s="2"/>
      <c r="C21" s="18">
        <v>500</v>
      </c>
      <c r="D21" s="18">
        <v>29.478342712963183</v>
      </c>
      <c r="E21" s="18">
        <v>37</v>
      </c>
      <c r="G21" s="15"/>
      <c r="H21">
        <v>843.75</v>
      </c>
      <c r="I21">
        <v>49.937391904010141</v>
      </c>
      <c r="J21">
        <v>39.75</v>
      </c>
      <c r="K21">
        <v>972.22222222222229</v>
      </c>
      <c r="M21">
        <v>33.24074074074074</v>
      </c>
      <c r="N21">
        <v>972.22222222222229</v>
      </c>
      <c r="O21">
        <v>120.71831929033702</v>
      </c>
      <c r="P21">
        <v>972.22222222222229</v>
      </c>
      <c r="Q21">
        <v>54.243595283699356</v>
      </c>
      <c r="R21">
        <v>875</v>
      </c>
      <c r="S21">
        <v>1</v>
      </c>
    </row>
    <row r="22" spans="2:22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1166.6666666666667</v>
      </c>
      <c r="M22">
        <v>33.864444444444445</v>
      </c>
      <c r="N22">
        <v>1166.6666666666667</v>
      </c>
      <c r="O22">
        <v>135.67896403402602</v>
      </c>
      <c r="P22">
        <v>1166.6666666666667</v>
      </c>
      <c r="Q22">
        <v>56.647169851651661</v>
      </c>
      <c r="R22">
        <v>1050</v>
      </c>
      <c r="S22">
        <v>1</v>
      </c>
    </row>
    <row r="23" spans="2:22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1361.1111111111113</v>
      </c>
      <c r="M23">
        <v>34.465370370370373</v>
      </c>
      <c r="N23">
        <v>1361.1111111111113</v>
      </c>
      <c r="O23">
        <v>150.07413111211446</v>
      </c>
      <c r="P23">
        <v>1361.1111111111113</v>
      </c>
      <c r="Q23">
        <v>61.493528856530908</v>
      </c>
      <c r="R23">
        <v>1225</v>
      </c>
      <c r="S23">
        <v>1</v>
      </c>
    </row>
    <row r="24" spans="2:22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1555.5555555555557</v>
      </c>
      <c r="M24">
        <v>36.505000000000003</v>
      </c>
      <c r="N24">
        <v>1555.5555555555557</v>
      </c>
      <c r="O24">
        <v>163.8562744727038</v>
      </c>
      <c r="P24">
        <v>1555.5555555555557</v>
      </c>
      <c r="Q24">
        <v>67.56472475231331</v>
      </c>
      <c r="R24">
        <v>1400</v>
      </c>
      <c r="S24">
        <v>1</v>
      </c>
    </row>
    <row r="25" spans="2:22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1750</v>
      </c>
      <c r="M25">
        <v>44.762500000000003</v>
      </c>
      <c r="N25">
        <v>1750</v>
      </c>
      <c r="O25">
        <v>177.01950463319326</v>
      </c>
      <c r="P25">
        <v>1750</v>
      </c>
      <c r="Q25">
        <v>73.823699225330898</v>
      </c>
      <c r="R25">
        <v>1575</v>
      </c>
      <c r="S25">
        <v>1</v>
      </c>
    </row>
    <row r="26" spans="2:22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1944.4444444444446</v>
      </c>
      <c r="M26">
        <v>53.431111111111115</v>
      </c>
      <c r="N26">
        <v>1944.4444444444446</v>
      </c>
      <c r="O26">
        <v>189.56721434859952</v>
      </c>
      <c r="P26">
        <v>1944.4444444444446</v>
      </c>
      <c r="Q26">
        <v>79.508023854739236</v>
      </c>
      <c r="R26">
        <v>1750</v>
      </c>
      <c r="S26">
        <v>1</v>
      </c>
    </row>
    <row r="27" spans="2:22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2138.8888888888891</v>
      </c>
      <c r="M27">
        <v>61.684166666666677</v>
      </c>
      <c r="N27">
        <v>2138.8888888888891</v>
      </c>
      <c r="O27">
        <v>201.50500625641891</v>
      </c>
      <c r="P27">
        <v>2138.8888888888891</v>
      </c>
      <c r="Q27">
        <v>84.559438155377379</v>
      </c>
      <c r="R27">
        <v>1925</v>
      </c>
      <c r="S27">
        <v>1</v>
      </c>
    </row>
    <row r="28" spans="2:22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2333.3333333333335</v>
      </c>
      <c r="M28">
        <v>69.521666666666675</v>
      </c>
      <c r="N28">
        <v>2333.3333333333335</v>
      </c>
      <c r="O28">
        <v>212.83831796135908</v>
      </c>
      <c r="P28">
        <v>2333.3333333333335</v>
      </c>
      <c r="Q28">
        <v>88.928550327930523</v>
      </c>
      <c r="R28">
        <v>2100</v>
      </c>
      <c r="S28">
        <v>1</v>
      </c>
    </row>
    <row r="29" spans="2:22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2500</v>
      </c>
      <c r="M29">
        <v>75.92</v>
      </c>
      <c r="N29">
        <v>2500</v>
      </c>
      <c r="O29">
        <v>222.09150746292553</v>
      </c>
      <c r="P29">
        <v>2500</v>
      </c>
      <c r="Q29">
        <v>92.106753657762326</v>
      </c>
      <c r="R29">
        <v>2275</v>
      </c>
      <c r="S29">
        <v>1</v>
      </c>
    </row>
    <row r="30" spans="2:22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2501</v>
      </c>
      <c r="M30">
        <v>75.956850000000003</v>
      </c>
      <c r="N30">
        <v>2501</v>
      </c>
      <c r="O30">
        <v>134.97335533115665</v>
      </c>
      <c r="P30">
        <v>2501</v>
      </c>
      <c r="Q30">
        <v>86.892371117135738</v>
      </c>
      <c r="R30">
        <v>2450</v>
      </c>
      <c r="S30">
        <v>1</v>
      </c>
    </row>
    <row r="31" spans="2:22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2527.7777777777778</v>
      </c>
      <c r="M31">
        <v>76.943316555555555</v>
      </c>
      <c r="N31">
        <v>2527.7777777777778</v>
      </c>
      <c r="O31">
        <v>136.32221295973326</v>
      </c>
      <c r="P31">
        <v>2527.7777777777778</v>
      </c>
      <c r="Q31">
        <v>87.161884767265576</v>
      </c>
      <c r="R31">
        <v>2625</v>
      </c>
      <c r="S31">
        <v>1</v>
      </c>
    </row>
    <row r="32" spans="2:22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2722.2222222222226</v>
      </c>
      <c r="M32">
        <v>83.943663650793667</v>
      </c>
      <c r="N32">
        <v>2722.2222222222226</v>
      </c>
      <c r="O32">
        <v>145.48718839435037</v>
      </c>
      <c r="P32">
        <v>2722.2222222222226</v>
      </c>
      <c r="Q32">
        <v>88.702811208584734</v>
      </c>
      <c r="R32">
        <v>2800</v>
      </c>
      <c r="S32">
        <v>1</v>
      </c>
    </row>
    <row r="33" spans="2:19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2916.666666666667</v>
      </c>
      <c r="M33">
        <v>87.204166666666666</v>
      </c>
      <c r="N33">
        <v>2916.666666666667</v>
      </c>
      <c r="O33">
        <v>148.46100454663184</v>
      </c>
      <c r="P33">
        <v>2916.666666666667</v>
      </c>
      <c r="Q33">
        <v>89.293693685155574</v>
      </c>
      <c r="R33">
        <v>2975</v>
      </c>
      <c r="S33">
        <v>1</v>
      </c>
    </row>
    <row r="34" spans="2:19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3111.1111111111113</v>
      </c>
      <c r="M34">
        <v>88.136111111111106</v>
      </c>
      <c r="N34">
        <v>3111.1111111111113</v>
      </c>
      <c r="O34">
        <v>149.76578393822314</v>
      </c>
      <c r="P34">
        <v>3111.1111111111113</v>
      </c>
      <c r="Q34">
        <v>89.664839044580077</v>
      </c>
      <c r="R34">
        <v>3150</v>
      </c>
      <c r="S34">
        <v>1</v>
      </c>
    </row>
    <row r="35" spans="2:19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3305.5555555555557</v>
      </c>
      <c r="M35">
        <v>89.068055555555546</v>
      </c>
      <c r="N35">
        <v>3305.5555555555557</v>
      </c>
      <c r="O35">
        <v>151.07066643473541</v>
      </c>
      <c r="P35">
        <v>3305.5555555555557</v>
      </c>
      <c r="Q35">
        <v>89.90981315410589</v>
      </c>
      <c r="R35">
        <v>3325</v>
      </c>
      <c r="S35">
        <v>1</v>
      </c>
    </row>
    <row r="36" spans="2:19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152.37578087124166</v>
      </c>
      <c r="P36">
        <v>3500</v>
      </c>
      <c r="Q36">
        <v>90</v>
      </c>
      <c r="R36">
        <v>3500</v>
      </c>
      <c r="S36">
        <v>1</v>
      </c>
    </row>
    <row r="37" spans="2:19" x14ac:dyDescent="0.25">
      <c r="B37" s="2"/>
      <c r="C37" s="18">
        <v>2500</v>
      </c>
      <c r="D37" s="18">
        <v>176.72349338287597</v>
      </c>
      <c r="E37" s="18">
        <v>53</v>
      </c>
    </row>
    <row r="38" spans="2:19" x14ac:dyDescent="0.25">
      <c r="B38" s="2"/>
      <c r="C38" s="18">
        <v>2625</v>
      </c>
      <c r="D38" s="18">
        <v>186.511102757185</v>
      </c>
      <c r="E38" s="18">
        <v>54</v>
      </c>
    </row>
    <row r="39" spans="2:19" x14ac:dyDescent="0.25">
      <c r="B39" s="2"/>
      <c r="C39" s="18">
        <v>2750</v>
      </c>
      <c r="D39" s="18">
        <v>196.298712131494</v>
      </c>
      <c r="E39" s="18">
        <v>55</v>
      </c>
    </row>
    <row r="40" spans="2:19" x14ac:dyDescent="0.25">
      <c r="B40" s="2"/>
      <c r="C40" s="18">
        <v>2875</v>
      </c>
      <c r="D40" s="18">
        <v>206.08632150580399</v>
      </c>
      <c r="E40" s="18">
        <v>56</v>
      </c>
    </row>
    <row r="41" spans="2:19" x14ac:dyDescent="0.25">
      <c r="B41" s="2"/>
      <c r="C41" s="18">
        <v>3000</v>
      </c>
      <c r="D41" s="18">
        <v>215.87393088011299</v>
      </c>
      <c r="E41" s="18">
        <v>57</v>
      </c>
    </row>
    <row r="42" spans="2:19" x14ac:dyDescent="0.25">
      <c r="B42" s="2"/>
      <c r="C42" s="18">
        <v>3125</v>
      </c>
      <c r="D42" s="18">
        <v>225.66154025442199</v>
      </c>
      <c r="E42" s="18">
        <v>58</v>
      </c>
    </row>
    <row r="43" spans="2:19" x14ac:dyDescent="0.25">
      <c r="B43" s="2"/>
      <c r="C43" s="18">
        <v>3250</v>
      </c>
      <c r="D43" s="18">
        <v>235.44914962873099</v>
      </c>
      <c r="E43" s="18">
        <v>59</v>
      </c>
    </row>
    <row r="44" spans="2:19" x14ac:dyDescent="0.2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alcESP_from_bottom">
                <anchor moveWithCells="1" sizeWithCells="1">
                  <from>
                    <xdr:col>22</xdr:col>
                    <xdr:colOff>361950</xdr:colOff>
                    <xdr:row>3</xdr:row>
                    <xdr:rowOff>142875</xdr:rowOff>
                  </from>
                  <to>
                    <xdr:col>27</xdr:col>
                    <xdr:colOff>381000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alcESP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627C-B905-4C8E-9BC1-A9F0C295BBF5}">
  <sheetPr codeName="Worksheet_calc_GL"/>
  <dimension ref="A1:AN44"/>
  <sheetViews>
    <sheetView zoomScale="85" zoomScaleNormal="85" workbookViewId="0">
      <selection activeCell="AF27" sqref="AF27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40" x14ac:dyDescent="0.25">
      <c r="A1" t="str">
        <f>версия_</f>
        <v>вер 7.10</v>
      </c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</row>
    <row r="2" spans="1:40" x14ac:dyDescent="0.25">
      <c r="E2">
        <f>PVT!PVT_correlation_</f>
        <v>0</v>
      </c>
      <c r="G2" t="s">
        <v>141</v>
      </c>
      <c r="J2">
        <f>AB3-1</f>
        <v>0</v>
      </c>
      <c r="L2" t="s">
        <v>142</v>
      </c>
      <c r="O2">
        <f>AG3-1</f>
        <v>1</v>
      </c>
      <c r="W2" s="66"/>
      <c r="X2" s="66"/>
      <c r="Y2" s="66"/>
      <c r="Z2" s="66"/>
      <c r="AA2" s="66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40" x14ac:dyDescent="0.25">
      <c r="X3" s="58">
        <v>1</v>
      </c>
      <c r="Y3" s="58" t="s">
        <v>143</v>
      </c>
      <c r="Z3" s="58"/>
      <c r="AA3" s="58"/>
      <c r="AB3" s="58">
        <v>1</v>
      </c>
      <c r="AC3" s="58" t="s">
        <v>145</v>
      </c>
      <c r="AD3" s="58"/>
      <c r="AE3" s="58"/>
      <c r="AF3" s="58"/>
      <c r="AG3" s="58">
        <v>2</v>
      </c>
      <c r="AH3" s="58" t="s">
        <v>160</v>
      </c>
      <c r="AI3" s="58"/>
      <c r="AJ3" s="58"/>
      <c r="AK3" s="58"/>
      <c r="AL3" s="58"/>
      <c r="AM3" s="58"/>
      <c r="AN3" s="58"/>
    </row>
    <row r="4" spans="1:40" x14ac:dyDescent="0.25">
      <c r="P4" s="17" t="s">
        <v>53</v>
      </c>
      <c r="Q4" s="2"/>
      <c r="R4" s="2"/>
      <c r="X4" s="58"/>
      <c r="Y4" s="58" t="s">
        <v>144</v>
      </c>
      <c r="Z4" s="58"/>
      <c r="AA4" s="58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  <c r="AL4" s="58"/>
      <c r="AM4" s="58"/>
      <c r="AN4" s="58"/>
    </row>
    <row r="5" spans="1:40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50</v>
      </c>
      <c r="R5" s="5" t="s">
        <v>44</v>
      </c>
      <c r="X5" s="58"/>
      <c r="Y5" s="58"/>
      <c r="Z5" s="58"/>
      <c r="AA5" s="58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  <c r="AL5" s="58"/>
      <c r="AM5" s="58"/>
      <c r="AN5" s="58"/>
    </row>
    <row r="6" spans="1:40" ht="18" x14ac:dyDescent="0.35">
      <c r="B6" s="7" t="s">
        <v>32</v>
      </c>
      <c r="C6" s="9">
        <v>50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50</v>
      </c>
      <c r="R6" s="5" t="s">
        <v>44</v>
      </c>
      <c r="X6" s="58"/>
      <c r="Y6" s="58"/>
      <c r="Z6" s="58"/>
      <c r="AA6" s="58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</row>
    <row r="7" spans="1:40" ht="18" x14ac:dyDescent="0.3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150</v>
      </c>
      <c r="R7" s="5" t="s">
        <v>44</v>
      </c>
      <c r="X7" s="58"/>
      <c r="Y7" s="58"/>
      <c r="Z7" s="58"/>
      <c r="AA7" s="58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</row>
    <row r="8" spans="1:40" ht="18" x14ac:dyDescent="0.35">
      <c r="B8" s="7" t="s">
        <v>34</v>
      </c>
      <c r="C8" s="12" t="s">
        <v>63</v>
      </c>
      <c r="D8" s="5" t="s">
        <v>35</v>
      </c>
      <c r="P8" s="57" t="s">
        <v>197</v>
      </c>
      <c r="Q8" s="9">
        <v>200</v>
      </c>
      <c r="R8" s="5" t="s">
        <v>44</v>
      </c>
      <c r="X8" s="58"/>
      <c r="Y8" s="58"/>
      <c r="Z8" s="58"/>
      <c r="AA8" s="58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</row>
    <row r="9" spans="1:40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</row>
    <row r="10" spans="1:40" ht="18" x14ac:dyDescent="0.35">
      <c r="B10" s="7" t="s">
        <v>18</v>
      </c>
      <c r="C10" s="13">
        <v>125</v>
      </c>
      <c r="D10" s="5" t="s">
        <v>36</v>
      </c>
      <c r="P10" s="57" t="s">
        <v>45</v>
      </c>
      <c r="Q10" s="25">
        <v>1</v>
      </c>
      <c r="R10" s="5" t="s">
        <v>44</v>
      </c>
      <c r="S10" s="57" t="s">
        <v>55</v>
      </c>
      <c r="T10" s="25">
        <v>20.000000000000004</v>
      </c>
      <c r="U10" s="5" t="s">
        <v>25</v>
      </c>
      <c r="X10" s="58"/>
      <c r="Y10" s="58"/>
      <c r="Z10" s="58"/>
      <c r="AA10" s="58"/>
      <c r="AB10" s="58"/>
      <c r="AC10" s="58"/>
      <c r="AD10" s="58"/>
      <c r="AE10" s="58"/>
      <c r="AF10" s="58" t="str">
        <f>[1]!s(0.2563)</f>
        <v>000,2563</v>
      </c>
      <c r="AG10" s="58"/>
      <c r="AH10" s="58"/>
      <c r="AI10" s="58"/>
      <c r="AJ10" s="58"/>
      <c r="AK10" s="58"/>
      <c r="AL10" s="58"/>
      <c r="AM10" s="58"/>
      <c r="AN10" s="58"/>
    </row>
    <row r="11" spans="1:40" ht="18" x14ac:dyDescent="0.35">
      <c r="B11" s="7" t="s">
        <v>212</v>
      </c>
      <c r="C11" s="9">
        <v>40000</v>
      </c>
      <c r="P11" s="57" t="s">
        <v>46</v>
      </c>
      <c r="Q11" s="25">
        <v>24.261435087158841</v>
      </c>
      <c r="R11" s="5" t="s">
        <v>44</v>
      </c>
      <c r="S11" s="57" t="s">
        <v>56</v>
      </c>
      <c r="T11" s="25">
        <v>20.000000000000004</v>
      </c>
      <c r="U11" s="5" t="s">
        <v>25</v>
      </c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</row>
    <row r="12" spans="1:40" ht="18" x14ac:dyDescent="0.35">
      <c r="M12" t="s">
        <v>63</v>
      </c>
      <c r="P12" s="57" t="s">
        <v>47</v>
      </c>
      <c r="Q12" s="25">
        <v>150</v>
      </c>
      <c r="R12" s="5" t="s">
        <v>44</v>
      </c>
      <c r="S12" s="57" t="s">
        <v>57</v>
      </c>
      <c r="T12" s="25">
        <v>90</v>
      </c>
      <c r="U12" s="5" t="s">
        <v>25</v>
      </c>
    </row>
    <row r="13" spans="1:40" x14ac:dyDescent="0.25">
      <c r="D13" s="1"/>
    </row>
    <row r="14" spans="1:40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40" ht="45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 t="s">
        <v>213</v>
      </c>
      <c r="M15" t="s">
        <v>203</v>
      </c>
      <c r="N15" s="1" t="s">
        <v>199</v>
      </c>
      <c r="O15" s="1" t="s">
        <v>200</v>
      </c>
      <c r="P15" s="1" t="s">
        <v>214</v>
      </c>
      <c r="Q15" s="1" t="s">
        <v>201</v>
      </c>
      <c r="R15" s="5" t="s">
        <v>198</v>
      </c>
      <c r="S15" s="57" t="s">
        <v>215</v>
      </c>
      <c r="T15" s="1"/>
      <c r="U15" s="1" t="s">
        <v>202</v>
      </c>
      <c r="W15" s="5" t="s">
        <v>170</v>
      </c>
      <c r="X15" s="1" t="s">
        <v>171</v>
      </c>
      <c r="Y15" t="s">
        <v>198</v>
      </c>
      <c r="Z15" t="s">
        <v>216</v>
      </c>
    </row>
    <row r="16" spans="1:40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24.261435087158841</v>
      </c>
      <c r="P16">
        <v>0</v>
      </c>
      <c r="Q16">
        <v>20.000000000000004</v>
      </c>
      <c r="R16">
        <v>0</v>
      </c>
      <c r="S16">
        <v>20.000000000000004</v>
      </c>
      <c r="T16">
        <v>0</v>
      </c>
      <c r="U16">
        <v>0.22668731020820712</v>
      </c>
      <c r="W16">
        <v>0</v>
      </c>
      <c r="X16" s="50">
        <f>Pline_out_atma_</f>
        <v>1</v>
      </c>
      <c r="Y16">
        <v>0</v>
      </c>
      <c r="Z16">
        <v>200</v>
      </c>
    </row>
    <row r="17" spans="2:26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218.75</v>
      </c>
      <c r="M17">
        <v>26.562500000000004</v>
      </c>
      <c r="N17">
        <v>218.75</v>
      </c>
      <c r="O17">
        <v>31.41256142797009</v>
      </c>
      <c r="P17">
        <v>218.75</v>
      </c>
      <c r="Q17">
        <v>26.562500000000004</v>
      </c>
      <c r="R17">
        <v>122.22222222222223</v>
      </c>
      <c r="S17">
        <v>23.666666666666671</v>
      </c>
      <c r="T17">
        <v>175</v>
      </c>
      <c r="U17">
        <v>0.25541240909811125</v>
      </c>
      <c r="W17">
        <v>0</v>
      </c>
      <c r="X17" s="50">
        <f>Pbuf_out_atma_</f>
        <v>24.261435087158841</v>
      </c>
      <c r="Y17">
        <v>122.22222222222223</v>
      </c>
      <c r="Z17">
        <v>202.49597241993845</v>
      </c>
    </row>
    <row r="18" spans="2:26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437.5</v>
      </c>
      <c r="M18">
        <v>33.125</v>
      </c>
      <c r="N18">
        <v>437.5</v>
      </c>
      <c r="O18">
        <v>38.754659076273086</v>
      </c>
      <c r="P18">
        <v>437.5</v>
      </c>
      <c r="Q18">
        <v>33.125</v>
      </c>
      <c r="R18">
        <v>244.44444444444446</v>
      </c>
      <c r="S18">
        <v>27.333333333333336</v>
      </c>
      <c r="T18">
        <v>350</v>
      </c>
      <c r="U18">
        <v>0.28184310807101681</v>
      </c>
      <c r="W18">
        <v>3500</v>
      </c>
      <c r="X18" s="50">
        <f>Pwf_out_atma_</f>
        <v>150</v>
      </c>
      <c r="Y18">
        <v>244.44444444444446</v>
      </c>
      <c r="Z18">
        <v>204.88319611310359</v>
      </c>
    </row>
    <row r="19" spans="2:26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500</v>
      </c>
      <c r="M19">
        <v>35</v>
      </c>
      <c r="N19">
        <v>500</v>
      </c>
      <c r="O19">
        <v>40.898835824426627</v>
      </c>
      <c r="P19">
        <v>500</v>
      </c>
      <c r="Q19">
        <v>35</v>
      </c>
      <c r="R19">
        <v>366.66666666666669</v>
      </c>
      <c r="S19">
        <v>31</v>
      </c>
      <c r="T19">
        <v>525</v>
      </c>
      <c r="U19">
        <v>0.2971733743074737</v>
      </c>
      <c r="Y19">
        <v>366.66666666666669</v>
      </c>
      <c r="Z19">
        <v>207.17287532766855</v>
      </c>
    </row>
    <row r="20" spans="2:26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656.25</v>
      </c>
      <c r="M20">
        <v>39.6875</v>
      </c>
      <c r="N20">
        <v>656.25</v>
      </c>
      <c r="O20">
        <v>47.957174118656269</v>
      </c>
      <c r="P20">
        <v>656.25</v>
      </c>
      <c r="Q20">
        <v>39.6875</v>
      </c>
      <c r="R20">
        <v>488.88888888888891</v>
      </c>
      <c r="S20">
        <v>34.666666666666664</v>
      </c>
      <c r="T20">
        <v>700</v>
      </c>
      <c r="U20">
        <v>0.32704823955337387</v>
      </c>
      <c r="Y20">
        <v>488.88888888888891</v>
      </c>
      <c r="Z20">
        <v>209.37751949356351</v>
      </c>
    </row>
    <row r="21" spans="2:26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875</v>
      </c>
      <c r="M21">
        <v>46.25</v>
      </c>
      <c r="N21">
        <v>875</v>
      </c>
      <c r="O21">
        <v>57.855556961590345</v>
      </c>
      <c r="P21">
        <v>875</v>
      </c>
      <c r="Q21">
        <v>46.25</v>
      </c>
      <c r="R21">
        <v>500</v>
      </c>
      <c r="S21">
        <v>35</v>
      </c>
      <c r="T21">
        <v>875</v>
      </c>
      <c r="U21">
        <v>0.35404212991315909</v>
      </c>
      <c r="Y21">
        <v>500</v>
      </c>
      <c r="Z21">
        <v>209.57624632011914</v>
      </c>
    </row>
    <row r="22" spans="2:26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1093.75</v>
      </c>
      <c r="M22">
        <v>52.7</v>
      </c>
      <c r="N22">
        <v>1093.75</v>
      </c>
      <c r="O22">
        <v>67.827146594939208</v>
      </c>
      <c r="P22">
        <v>1093.75</v>
      </c>
      <c r="Q22">
        <v>52.7</v>
      </c>
      <c r="R22">
        <v>611.11111111111109</v>
      </c>
      <c r="S22">
        <v>38.333333333333336</v>
      </c>
      <c r="T22">
        <v>1050</v>
      </c>
      <c r="U22">
        <v>0.39345513661238563</v>
      </c>
      <c r="Y22">
        <v>611.11111111111109</v>
      </c>
      <c r="Z22">
        <v>211.50464371719048</v>
      </c>
    </row>
    <row r="23" spans="2:26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1312.5</v>
      </c>
      <c r="M23">
        <v>58.861250000000005</v>
      </c>
      <c r="N23">
        <v>1312.5</v>
      </c>
      <c r="O23">
        <v>77.748186097618287</v>
      </c>
      <c r="P23">
        <v>1312.5</v>
      </c>
      <c r="Q23">
        <v>58.861250000000005</v>
      </c>
      <c r="R23">
        <v>733.33333333333337</v>
      </c>
      <c r="S23">
        <v>42</v>
      </c>
      <c r="T23">
        <v>1225</v>
      </c>
      <c r="U23">
        <v>0.42105922276377644</v>
      </c>
      <c r="Y23">
        <v>733.33333333333337</v>
      </c>
      <c r="Z23">
        <v>213.56711102381416</v>
      </c>
    </row>
    <row r="24" spans="2:26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1500</v>
      </c>
      <c r="M24">
        <v>63.92</v>
      </c>
      <c r="N24">
        <v>1500</v>
      </c>
      <c r="O24">
        <v>86.148051394259483</v>
      </c>
      <c r="P24">
        <v>1500</v>
      </c>
      <c r="Q24">
        <v>63.92</v>
      </c>
      <c r="R24">
        <v>855.55555555555566</v>
      </c>
      <c r="S24">
        <v>45.666666666666671</v>
      </c>
      <c r="T24">
        <v>1400</v>
      </c>
      <c r="U24">
        <v>0.44587930026816092</v>
      </c>
      <c r="Y24">
        <v>855.55555555555566</v>
      </c>
      <c r="Z24">
        <v>215.57915487286351</v>
      </c>
    </row>
    <row r="25" spans="2:26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1531.25</v>
      </c>
      <c r="M25">
        <v>64.735624999999999</v>
      </c>
      <c r="N25">
        <v>1531.25</v>
      </c>
      <c r="O25">
        <v>87.530106439027421</v>
      </c>
      <c r="P25">
        <v>1531.25</v>
      </c>
      <c r="Q25">
        <v>64.735624999999999</v>
      </c>
      <c r="R25">
        <v>977.77777777777783</v>
      </c>
      <c r="S25">
        <v>49.333333333333336</v>
      </c>
      <c r="T25">
        <v>1575</v>
      </c>
      <c r="U25">
        <v>0.4672606495827244</v>
      </c>
      <c r="Y25">
        <v>977.77777777777783</v>
      </c>
      <c r="Z25">
        <v>217.54798897835713</v>
      </c>
    </row>
    <row r="26" spans="2:26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1750</v>
      </c>
      <c r="M26">
        <v>70.325000000000003</v>
      </c>
      <c r="N26">
        <v>1750</v>
      </c>
      <c r="O26">
        <v>97.107085371336979</v>
      </c>
      <c r="P26">
        <v>1750</v>
      </c>
      <c r="Q26">
        <v>70.325000000000003</v>
      </c>
      <c r="R26">
        <v>1100</v>
      </c>
      <c r="S26">
        <v>52.88</v>
      </c>
      <c r="T26">
        <v>1750</v>
      </c>
      <c r="U26">
        <v>0.48582187837909391</v>
      </c>
      <c r="Y26">
        <v>1100</v>
      </c>
      <c r="Z26">
        <v>219.48004907049904</v>
      </c>
    </row>
    <row r="27" spans="2:26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1968.75</v>
      </c>
      <c r="M27">
        <v>75.62937500000001</v>
      </c>
      <c r="N27">
        <v>1968.75</v>
      </c>
      <c r="O27">
        <v>106.42037260970724</v>
      </c>
      <c r="P27">
        <v>1968.75</v>
      </c>
      <c r="Q27">
        <v>75.62937500000001</v>
      </c>
      <c r="R27">
        <v>1222.2222222222222</v>
      </c>
      <c r="S27">
        <v>56.35</v>
      </c>
      <c r="T27">
        <v>1925</v>
      </c>
      <c r="U27">
        <v>0.50187014283179388</v>
      </c>
      <c r="Y27">
        <v>1222.2222222222222</v>
      </c>
      <c r="Z27">
        <v>221.37682637303485</v>
      </c>
    </row>
    <row r="28" spans="2:26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2187.5</v>
      </c>
      <c r="M28">
        <v>80.648750000000007</v>
      </c>
      <c r="N28">
        <v>2187.5</v>
      </c>
      <c r="O28">
        <v>115.42090986639899</v>
      </c>
      <c r="P28">
        <v>2187.5</v>
      </c>
      <c r="Q28">
        <v>80.648750000000007</v>
      </c>
      <c r="R28">
        <v>1344.4444444444446</v>
      </c>
      <c r="S28">
        <v>59.733333333333341</v>
      </c>
      <c r="T28">
        <v>2100</v>
      </c>
      <c r="U28">
        <v>0.51570911223793081</v>
      </c>
      <c r="Y28">
        <v>1344.4444444444446</v>
      </c>
      <c r="Z28">
        <v>223.24740723231372</v>
      </c>
    </row>
    <row r="29" spans="2:26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2200</v>
      </c>
      <c r="M29">
        <v>80.930000000000007</v>
      </c>
      <c r="N29">
        <v>2200</v>
      </c>
      <c r="O29">
        <v>115.92866977958474</v>
      </c>
      <c r="P29">
        <v>2200</v>
      </c>
      <c r="Q29">
        <v>80.930000000000007</v>
      </c>
      <c r="R29">
        <v>1466.6666666666667</v>
      </c>
      <c r="S29">
        <v>63.03</v>
      </c>
      <c r="T29">
        <v>2275</v>
      </c>
      <c r="U29">
        <v>0.88067358743973367</v>
      </c>
      <c r="Y29">
        <v>1466.6666666666667</v>
      </c>
      <c r="Z29">
        <v>225.09486371131879</v>
      </c>
    </row>
    <row r="30" spans="2:26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2406.25</v>
      </c>
      <c r="M30">
        <v>85.379374999999996</v>
      </c>
      <c r="N30">
        <v>2406.25</v>
      </c>
      <c r="O30">
        <v>127.53720466563811</v>
      </c>
      <c r="P30">
        <v>2406.25</v>
      </c>
      <c r="Q30">
        <v>85.379374999999996</v>
      </c>
      <c r="R30">
        <v>1500</v>
      </c>
      <c r="S30">
        <v>63.92</v>
      </c>
      <c r="T30">
        <v>2450</v>
      </c>
      <c r="U30">
        <v>1</v>
      </c>
      <c r="Y30">
        <v>1500</v>
      </c>
      <c r="Z30">
        <v>225.59642225294877</v>
      </c>
    </row>
    <row r="31" spans="2:26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2500</v>
      </c>
      <c r="M31">
        <v>87.32</v>
      </c>
      <c r="N31">
        <v>2500</v>
      </c>
      <c r="O31">
        <v>132.59151141505092</v>
      </c>
      <c r="P31">
        <v>2500</v>
      </c>
      <c r="Q31">
        <v>87.32</v>
      </c>
      <c r="R31">
        <v>1588.8888888888889</v>
      </c>
      <c r="S31">
        <v>66.240000000000009</v>
      </c>
      <c r="T31">
        <v>2625</v>
      </c>
      <c r="U31">
        <v>1</v>
      </c>
      <c r="Y31">
        <v>1588.8888888888889</v>
      </c>
      <c r="Z31">
        <v>226.92164832195087</v>
      </c>
    </row>
    <row r="32" spans="2:26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2625</v>
      </c>
      <c r="M32">
        <v>89.817499999999995</v>
      </c>
      <c r="N32">
        <v>2625</v>
      </c>
      <c r="O32">
        <v>138.84308632127357</v>
      </c>
      <c r="P32">
        <v>2625</v>
      </c>
      <c r="Q32">
        <v>89.817499999999995</v>
      </c>
      <c r="R32">
        <v>1711.1111111111113</v>
      </c>
      <c r="S32">
        <v>69.356666666666669</v>
      </c>
      <c r="T32">
        <v>2800</v>
      </c>
      <c r="U32">
        <v>1</v>
      </c>
      <c r="Y32">
        <v>1711.1111111111113</v>
      </c>
      <c r="Z32">
        <v>228.72844497405364</v>
      </c>
    </row>
    <row r="33" spans="2:26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2843.75</v>
      </c>
      <c r="M33">
        <v>93.284374999999997</v>
      </c>
      <c r="N33">
        <v>2843.75</v>
      </c>
      <c r="O33">
        <v>145.61293612888792</v>
      </c>
      <c r="P33">
        <v>2843.75</v>
      </c>
      <c r="Q33">
        <v>93.284374999999997</v>
      </c>
      <c r="R33">
        <v>1833.3333333333335</v>
      </c>
      <c r="S33">
        <v>72.38000000000001</v>
      </c>
      <c r="T33">
        <v>2975</v>
      </c>
      <c r="U33">
        <v>1</v>
      </c>
      <c r="Y33">
        <v>1833.3333333333335</v>
      </c>
      <c r="Z33">
        <v>230.51716195194143</v>
      </c>
    </row>
    <row r="34" spans="2:26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3062.5</v>
      </c>
      <c r="M34">
        <v>93.856250000000003</v>
      </c>
      <c r="N34">
        <v>3062.5</v>
      </c>
      <c r="O34">
        <v>147.07537338562349</v>
      </c>
      <c r="P34">
        <v>3062.5</v>
      </c>
      <c r="Q34">
        <v>93.856250000000003</v>
      </c>
      <c r="R34">
        <v>1955.5555555555557</v>
      </c>
      <c r="S34">
        <v>75.316666666666677</v>
      </c>
      <c r="T34">
        <v>3150</v>
      </c>
      <c r="U34">
        <v>1</v>
      </c>
      <c r="Y34">
        <v>1955.5555555555557</v>
      </c>
      <c r="Z34">
        <v>232.2905066554913</v>
      </c>
    </row>
    <row r="35" spans="2:26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3281.25</v>
      </c>
      <c r="M35">
        <v>94.428124999999994</v>
      </c>
      <c r="N35">
        <v>3281.25</v>
      </c>
      <c r="O35">
        <v>148.53772968390442</v>
      </c>
      <c r="P35">
        <v>3281.25</v>
      </c>
      <c r="Q35">
        <v>94.428124999999994</v>
      </c>
      <c r="R35">
        <v>2077.7777777777778</v>
      </c>
      <c r="S35">
        <v>78.166666666666671</v>
      </c>
      <c r="T35">
        <v>3325</v>
      </c>
      <c r="U35">
        <v>1</v>
      </c>
      <c r="Y35">
        <v>2077.7777777777778</v>
      </c>
      <c r="Z35">
        <v>234.04959668623326</v>
      </c>
    </row>
    <row r="36" spans="2:26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150</v>
      </c>
      <c r="P36">
        <v>3500</v>
      </c>
      <c r="Q36">
        <v>95</v>
      </c>
      <c r="R36">
        <v>2200</v>
      </c>
      <c r="S36">
        <v>80.930000000000007</v>
      </c>
      <c r="T36">
        <v>3500</v>
      </c>
      <c r="U36">
        <v>1</v>
      </c>
      <c r="Y36">
        <v>2200</v>
      </c>
      <c r="Z36">
        <v>235.79540974647344</v>
      </c>
    </row>
    <row r="37" spans="2:26" x14ac:dyDescent="0.25">
      <c r="B37" s="2"/>
      <c r="C37" s="18">
        <v>2500</v>
      </c>
      <c r="D37" s="18">
        <v>176.72349338287597</v>
      </c>
      <c r="E37" s="18">
        <v>53</v>
      </c>
    </row>
    <row r="38" spans="2:26" x14ac:dyDescent="0.25">
      <c r="B38" s="2"/>
      <c r="C38" s="18">
        <v>2625</v>
      </c>
      <c r="D38" s="18">
        <v>186.511102757185</v>
      </c>
      <c r="E38" s="18">
        <v>54</v>
      </c>
    </row>
    <row r="39" spans="2:26" x14ac:dyDescent="0.25">
      <c r="B39" s="2"/>
      <c r="C39" s="18">
        <v>2750</v>
      </c>
      <c r="D39" s="18">
        <v>196.298712131494</v>
      </c>
      <c r="E39" s="18">
        <v>55</v>
      </c>
    </row>
    <row r="40" spans="2:26" x14ac:dyDescent="0.25">
      <c r="B40" s="2"/>
      <c r="C40" s="18">
        <v>2875</v>
      </c>
      <c r="D40" s="18">
        <v>206.08632150580399</v>
      </c>
      <c r="E40" s="18">
        <v>56</v>
      </c>
    </row>
    <row r="41" spans="2:26" x14ac:dyDescent="0.25">
      <c r="B41" s="2"/>
      <c r="C41" s="18">
        <v>3000</v>
      </c>
      <c r="D41" s="18">
        <v>215.87393088011299</v>
      </c>
      <c r="E41" s="18">
        <v>57</v>
      </c>
    </row>
    <row r="42" spans="2:26" x14ac:dyDescent="0.25">
      <c r="B42" s="2"/>
      <c r="C42" s="18">
        <v>3125</v>
      </c>
      <c r="D42" s="18">
        <v>225.66154025442199</v>
      </c>
      <c r="E42" s="18">
        <v>58</v>
      </c>
    </row>
    <row r="43" spans="2:26" x14ac:dyDescent="0.25">
      <c r="B43" s="2"/>
      <c r="C43" s="18">
        <v>3250</v>
      </c>
      <c r="D43" s="18">
        <v>235.44914962873099</v>
      </c>
      <c r="E43" s="18">
        <v>59</v>
      </c>
    </row>
    <row r="44" spans="2:26" x14ac:dyDescent="0.2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calcGL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Button_calcGL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53C9B-8584-4FEA-A8E9-801E8F286F41}">
  <sheetPr codeName="Worksheet_calc_SF"/>
  <dimension ref="A1:AH44"/>
  <sheetViews>
    <sheetView zoomScale="70" zoomScaleNormal="70" workbookViewId="0">
      <selection activeCell="AG25" sqref="AG25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7.10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3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4</v>
      </c>
      <c r="AC3" t="s">
        <v>145</v>
      </c>
      <c r="AG3">
        <v>3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10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100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25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260</v>
      </c>
      <c r="R7" s="5" t="s">
        <v>44</v>
      </c>
      <c r="AC7" t="s">
        <v>149</v>
      </c>
    </row>
    <row r="8" spans="1:34" ht="18" x14ac:dyDescent="0.25">
      <c r="B8" s="7" t="s">
        <v>34</v>
      </c>
      <c r="C8" s="12" t="s">
        <v>63</v>
      </c>
      <c r="D8" s="5" t="s">
        <v>35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v>116.27906976744187</v>
      </c>
      <c r="D10" s="5" t="s">
        <v>36</v>
      </c>
      <c r="P10" s="57" t="s">
        <v>45</v>
      </c>
      <c r="Q10" s="25">
        <v>0</v>
      </c>
      <c r="R10" s="5" t="s">
        <v>44</v>
      </c>
      <c r="S10" s="57" t="s">
        <v>55</v>
      </c>
      <c r="T10" s="25">
        <v>45.041809114944598</v>
      </c>
      <c r="U10" s="5" t="s">
        <v>25</v>
      </c>
    </row>
    <row r="11" spans="1:34" ht="18" x14ac:dyDescent="0.35">
      <c r="P11" s="57" t="s">
        <v>46</v>
      </c>
      <c r="Q11" s="25">
        <v>41.058817324509512</v>
      </c>
      <c r="R11" s="5" t="s">
        <v>44</v>
      </c>
      <c r="S11" s="57" t="s">
        <v>56</v>
      </c>
      <c r="T11" s="25">
        <v>45.041809114944598</v>
      </c>
      <c r="U11" s="5" t="s">
        <v>25</v>
      </c>
    </row>
    <row r="12" spans="1:34" ht="18" x14ac:dyDescent="0.35">
      <c r="M12" t="s">
        <v>63</v>
      </c>
      <c r="P12" s="57" t="s">
        <v>47</v>
      </c>
      <c r="Q12" s="25">
        <v>221.61159086457991</v>
      </c>
      <c r="R12" s="5" t="s">
        <v>44</v>
      </c>
      <c r="S12" s="57" t="s">
        <v>57</v>
      </c>
      <c r="T12" s="25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41.058817324509512</v>
      </c>
      <c r="P16">
        <v>0</v>
      </c>
      <c r="Q16">
        <v>45.041809114944598</v>
      </c>
      <c r="R16">
        <v>0</v>
      </c>
      <c r="S16">
        <v>0.39737876377081538</v>
      </c>
      <c r="U16">
        <v>0</v>
      </c>
      <c r="V16" s="50">
        <f>Pline_out_atma_</f>
        <v>0</v>
      </c>
    </row>
    <row r="17" spans="2:22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25.526315789473689</v>
      </c>
      <c r="N17">
        <v>184.21052631578948</v>
      </c>
      <c r="O17">
        <v>48.810792655834476</v>
      </c>
      <c r="P17">
        <v>184.21052631578948</v>
      </c>
      <c r="Q17">
        <v>49.745199656049621</v>
      </c>
      <c r="R17">
        <v>175</v>
      </c>
      <c r="S17">
        <v>0.4598812899434877</v>
      </c>
      <c r="U17">
        <v>0</v>
      </c>
      <c r="V17" s="50">
        <f>Pbuf_out_atma_</f>
        <v>41.058817324509512</v>
      </c>
    </row>
    <row r="18" spans="2:22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31.05263157894737</v>
      </c>
      <c r="N18">
        <v>368.42105263157896</v>
      </c>
      <c r="O18">
        <v>57.615065815069393</v>
      </c>
      <c r="P18">
        <v>368.42105263157896</v>
      </c>
      <c r="Q18">
        <v>54.332061775240511</v>
      </c>
      <c r="R18">
        <v>350</v>
      </c>
      <c r="S18">
        <v>0.52872452542064474</v>
      </c>
      <c r="U18">
        <v>3500</v>
      </c>
      <c r="V18" s="50">
        <f>Pwf_out_atma_</f>
        <v>221.61159086457991</v>
      </c>
    </row>
    <row r="19" spans="2:22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36.578947368421055</v>
      </c>
      <c r="N19">
        <v>552.63157894736844</v>
      </c>
      <c r="O19">
        <v>67.629424674208181</v>
      </c>
      <c r="P19">
        <v>552.63157894736844</v>
      </c>
      <c r="Q19">
        <v>58.791967511448384</v>
      </c>
      <c r="R19">
        <v>525</v>
      </c>
      <c r="S19">
        <v>0.60138846394205348</v>
      </c>
    </row>
    <row r="20" spans="2:22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42.10526315789474</v>
      </c>
      <c r="N20">
        <v>736.84210526315792</v>
      </c>
      <c r="O20">
        <v>79.003134643557914</v>
      </c>
      <c r="P20">
        <v>736.84210526315792</v>
      </c>
      <c r="Q20">
        <v>63.114391973118252</v>
      </c>
      <c r="R20">
        <v>700</v>
      </c>
      <c r="S20">
        <v>0.68577196222536185</v>
      </c>
    </row>
    <row r="21" spans="2:22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47.631578947368425</v>
      </c>
      <c r="N21">
        <v>921.0526315789474</v>
      </c>
      <c r="O21">
        <v>91.635811375423401</v>
      </c>
      <c r="P21">
        <v>921.0526315789474</v>
      </c>
      <c r="Q21">
        <v>67.274815675013741</v>
      </c>
      <c r="R21">
        <v>875</v>
      </c>
      <c r="S21">
        <v>0.77744315349524584</v>
      </c>
    </row>
    <row r="22" spans="2:22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53.03</v>
      </c>
      <c r="N22">
        <v>1105.2631578947369</v>
      </c>
      <c r="O22">
        <v>105.16070135715371</v>
      </c>
      <c r="P22">
        <v>1105.2631578947369</v>
      </c>
      <c r="Q22">
        <v>71.259010598839851</v>
      </c>
      <c r="R22">
        <v>1050</v>
      </c>
      <c r="S22">
        <v>0.87360642093019292</v>
      </c>
    </row>
    <row r="23" spans="2:22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58.226315789473688</v>
      </c>
      <c r="N23">
        <v>1289.4736842105262</v>
      </c>
      <c r="O23">
        <v>119.40684810685711</v>
      </c>
      <c r="P23">
        <v>1289.4736842105262</v>
      </c>
      <c r="Q23">
        <v>75.065743674886988</v>
      </c>
      <c r="R23">
        <v>1225</v>
      </c>
      <c r="S23">
        <v>0.9679357443151746</v>
      </c>
    </row>
    <row r="24" spans="2:22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63.217368421052633</v>
      </c>
      <c r="N24">
        <v>1473.6842105263158</v>
      </c>
      <c r="O24">
        <v>133.56776031247483</v>
      </c>
      <c r="P24">
        <v>1473.6842105263158</v>
      </c>
      <c r="Q24">
        <v>78.616210038808035</v>
      </c>
      <c r="R24">
        <v>1400</v>
      </c>
      <c r="S24">
        <v>0.99902551841682774</v>
      </c>
    </row>
    <row r="25" spans="2:22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68.006315789473689</v>
      </c>
      <c r="N25">
        <v>1657.8947368421054</v>
      </c>
      <c r="O25">
        <v>147.18171452280947</v>
      </c>
      <c r="P25">
        <v>1657.8947368421054</v>
      </c>
      <c r="Q25">
        <v>81.845105184943989</v>
      </c>
      <c r="R25">
        <v>1575</v>
      </c>
      <c r="S25">
        <v>0.99902500819790507</v>
      </c>
    </row>
    <row r="26" spans="2:22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72.593157894736848</v>
      </c>
      <c r="N26">
        <v>1842.1052631578948</v>
      </c>
      <c r="O26">
        <v>160.23555415058107</v>
      </c>
      <c r="P26">
        <v>1842.1052631578948</v>
      </c>
      <c r="Q26">
        <v>84.723156516442018</v>
      </c>
      <c r="R26">
        <v>1750</v>
      </c>
      <c r="S26">
        <v>0.99902448501052143</v>
      </c>
    </row>
    <row r="27" spans="2:22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76.977894736842103</v>
      </c>
      <c r="N27">
        <v>2026.3157894736842</v>
      </c>
      <c r="O27">
        <v>172.72691897815648</v>
      </c>
      <c r="P27">
        <v>2026.3157894736842</v>
      </c>
      <c r="Q27">
        <v>87.215431332438826</v>
      </c>
      <c r="R27">
        <v>1925</v>
      </c>
      <c r="S27">
        <v>0.99902394627406665</v>
      </c>
    </row>
    <row r="28" spans="2:22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81.160526315789483</v>
      </c>
      <c r="N28">
        <v>2210.5263157894738</v>
      </c>
      <c r="O28">
        <v>184.65481972206643</v>
      </c>
      <c r="P28">
        <v>2210.5263157894738</v>
      </c>
      <c r="Q28">
        <v>89.278890740788043</v>
      </c>
      <c r="R28">
        <v>2100</v>
      </c>
      <c r="S28">
        <v>0.99902338850571004</v>
      </c>
    </row>
    <row r="29" spans="2:22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85.137894736842114</v>
      </c>
      <c r="N29">
        <v>2394.7368421052633</v>
      </c>
      <c r="O29">
        <v>196.00990379960871</v>
      </c>
      <c r="P29">
        <v>2394.7368421052633</v>
      </c>
      <c r="Q29">
        <v>90.851873400906697</v>
      </c>
      <c r="R29">
        <v>2275</v>
      </c>
      <c r="S29">
        <v>0.99902280467927107</v>
      </c>
    </row>
    <row r="30" spans="2:22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87.32</v>
      </c>
      <c r="N30">
        <v>2500</v>
      </c>
      <c r="O30">
        <v>202.24547317793807</v>
      </c>
      <c r="P30">
        <v>2500</v>
      </c>
      <c r="Q30">
        <v>91.508498999492431</v>
      </c>
      <c r="R30">
        <v>2450</v>
      </c>
      <c r="S30">
        <v>0.99904081321255234</v>
      </c>
    </row>
    <row r="31" spans="2:22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88.906842105263152</v>
      </c>
      <c r="N31">
        <v>2578.9473684210525</v>
      </c>
      <c r="O31">
        <v>206.6599620312667</v>
      </c>
      <c r="P31">
        <v>2578.9473684210525</v>
      </c>
      <c r="Q31">
        <v>91.846791864574215</v>
      </c>
      <c r="R31">
        <v>2625</v>
      </c>
      <c r="S31">
        <v>0.99905826210256321</v>
      </c>
    </row>
    <row r="32" spans="2:22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92.473684210526315</v>
      </c>
      <c r="N32">
        <v>2763.1578947368421</v>
      </c>
      <c r="O32">
        <v>215.24259244561983</v>
      </c>
      <c r="P32">
        <v>2763.1578947368421</v>
      </c>
      <c r="Q32">
        <v>92.182090008185284</v>
      </c>
      <c r="R32">
        <v>2800</v>
      </c>
      <c r="S32">
        <v>0.99905714586207595</v>
      </c>
    </row>
    <row r="33" spans="2:19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93.555263157894743</v>
      </c>
      <c r="N33">
        <v>2947.3684210526317</v>
      </c>
      <c r="O33">
        <v>217.49484275926088</v>
      </c>
      <c r="P33">
        <v>2947.3684210526317</v>
      </c>
      <c r="Q33">
        <v>91.969188001107057</v>
      </c>
      <c r="R33">
        <v>2975</v>
      </c>
      <c r="S33">
        <v>0.99905693295840459</v>
      </c>
    </row>
    <row r="34" spans="2:19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94.036842105263162</v>
      </c>
      <c r="N34">
        <v>3131.5789473684213</v>
      </c>
      <c r="O34">
        <v>218.86642342944083</v>
      </c>
      <c r="P34">
        <v>3131.5789473684213</v>
      </c>
      <c r="Q34">
        <v>91.544171574727329</v>
      </c>
      <c r="R34">
        <v>3150</v>
      </c>
      <c r="S34">
        <v>0.99905671713182664</v>
      </c>
    </row>
    <row r="35" spans="2:19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94.518421052631581</v>
      </c>
      <c r="N35">
        <v>3315.7894736842109</v>
      </c>
      <c r="O35">
        <v>220.23860882037442</v>
      </c>
      <c r="P35">
        <v>3315.7894736842109</v>
      </c>
      <c r="Q35">
        <v>90.904517195119467</v>
      </c>
      <c r="R35">
        <v>3325</v>
      </c>
      <c r="S35">
        <v>0.9990564984149749</v>
      </c>
    </row>
    <row r="36" spans="2:19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221.61159086457991</v>
      </c>
      <c r="P36">
        <v>3500</v>
      </c>
      <c r="Q36">
        <v>90</v>
      </c>
      <c r="R36">
        <v>3500</v>
      </c>
      <c r="S36">
        <v>0.99905627685587417</v>
      </c>
    </row>
    <row r="37" spans="2:19" x14ac:dyDescent="0.25">
      <c r="B37" s="2"/>
      <c r="C37" s="18">
        <v>2500</v>
      </c>
      <c r="D37" s="18">
        <v>176.72349338287597</v>
      </c>
      <c r="E37" s="18">
        <v>53</v>
      </c>
    </row>
    <row r="38" spans="2:19" x14ac:dyDescent="0.25">
      <c r="C38" s="18">
        <v>2625</v>
      </c>
      <c r="D38" s="18">
        <v>186.511102757185</v>
      </c>
      <c r="E38" s="18">
        <v>54</v>
      </c>
    </row>
    <row r="39" spans="2:19" x14ac:dyDescent="0.25">
      <c r="C39" s="18">
        <v>2750</v>
      </c>
      <c r="D39" s="18">
        <v>196.298712131494</v>
      </c>
      <c r="E39" s="18">
        <v>55</v>
      </c>
    </row>
    <row r="40" spans="2:19" x14ac:dyDescent="0.25">
      <c r="C40" s="18">
        <v>2875</v>
      </c>
      <c r="D40" s="18">
        <v>206.08632150580399</v>
      </c>
      <c r="E40" s="18">
        <v>56</v>
      </c>
    </row>
    <row r="41" spans="2:19" x14ac:dyDescent="0.25">
      <c r="C41" s="18">
        <v>3000</v>
      </c>
      <c r="D41" s="18">
        <v>215.87393088011299</v>
      </c>
      <c r="E41" s="18">
        <v>57</v>
      </c>
    </row>
    <row r="42" spans="2:19" x14ac:dyDescent="0.25">
      <c r="C42" s="18">
        <v>3125</v>
      </c>
      <c r="D42" s="18">
        <v>225.66154025442199</v>
      </c>
      <c r="E42" s="18">
        <v>58</v>
      </c>
    </row>
    <row r="43" spans="2:19" x14ac:dyDescent="0.25">
      <c r="C43" s="18">
        <v>3250</v>
      </c>
      <c r="D43" s="18">
        <v>235.44914962873099</v>
      </c>
      <c r="E43" s="18">
        <v>59</v>
      </c>
    </row>
    <row r="44" spans="2:19" x14ac:dyDescent="0.2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Button_calcSF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Button_calcSF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217</vt:i4>
      </vt:variant>
    </vt:vector>
  </HeadingPairs>
  <TitlesOfParts>
    <vt:vector size="225" baseType="lpstr">
      <vt:lpstr>Unifloc</vt:lpstr>
      <vt:lpstr>PVT</vt:lpstr>
      <vt:lpstr>Construction</vt:lpstr>
      <vt:lpstr>ESP</vt:lpstr>
      <vt:lpstr>GasLift</vt:lpstr>
      <vt:lpstr>Calc ESP</vt:lpstr>
      <vt:lpstr>Calc GasLift</vt:lpstr>
      <vt:lpstr>Calc Self Flow</vt:lpstr>
      <vt:lpstr>'Calc GasLift'!betta_fric_</vt:lpstr>
      <vt:lpstr>'Calc Self Flow'!betta_fric_</vt:lpstr>
      <vt:lpstr>betta_fric_</vt:lpstr>
      <vt:lpstr>'Calc GasLift'!betta_grav_</vt:lpstr>
      <vt:lpstr>'Calc Self Flow'!betta_grav_</vt:lpstr>
      <vt:lpstr>betta_grav_</vt:lpstr>
      <vt:lpstr>bo_list1_</vt:lpstr>
      <vt:lpstr>bo_list2_</vt:lpstr>
      <vt:lpstr>bo_list3_</vt:lpstr>
      <vt:lpstr>PVT!Bob_m3m3_</vt:lpstr>
      <vt:lpstr>'Calc ESP'!correlation_MF_fontan_</vt:lpstr>
      <vt:lpstr>'Calc GasLift'!correlation_MF_fontan_</vt:lpstr>
      <vt:lpstr>'Calc Self Flow'!correlation_MF_fontan_</vt:lpstr>
      <vt:lpstr>'Calc ESP'!correlation_PVT_fontan_</vt:lpstr>
      <vt:lpstr>'Calc GasLift'!correlation_PVT_fontan_</vt:lpstr>
      <vt:lpstr>'Calc Self Flow'!correlation_PVT_fontan_</vt:lpstr>
      <vt:lpstr>'Calc ESP'!correlation_T_fontan_</vt:lpstr>
      <vt:lpstr>'Calc GasLift'!correlation_T_fontan_</vt:lpstr>
      <vt:lpstr>'Calc Self Flow'!correlation_T_fontan_</vt:lpstr>
      <vt:lpstr>d_valves_mm_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ESP!Freq_</vt:lpstr>
      <vt:lpstr>fw_perc_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gamma_wat_</vt:lpstr>
      <vt:lpstr>gammas</vt:lpstr>
      <vt:lpstr>gasfrac_list1_</vt:lpstr>
      <vt:lpstr>gasfrac_list2_</vt:lpstr>
      <vt:lpstr>gasfrac_list3_</vt:lpstr>
      <vt:lpstr>ESP!Head_ESP_</vt:lpstr>
      <vt:lpstr>'Calc GasLift'!Hlout_</vt:lpstr>
      <vt:lpstr>'Calc Self Flow'!Hlout_</vt:lpstr>
      <vt:lpstr>Hlout_</vt:lpstr>
      <vt:lpstr>'Calc GasLift'!Hlout_hmes_m_</vt:lpstr>
      <vt:lpstr>'Calc Self Flow'!Hlout_hmes_m_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'Calc GasLift'!Hmes_mes_m_</vt:lpstr>
      <vt:lpstr>'Calc Self Flow'!Hmes_mes_m_</vt:lpstr>
      <vt:lpstr>Hmes_mes_m_</vt:lpstr>
      <vt:lpstr>'Calc GasLift'!hmes_out_</vt:lpstr>
      <vt:lpstr>'Calc Self Flow'!hmes_out_</vt:lpstr>
      <vt:lpstr>hmes_out_</vt:lpstr>
      <vt:lpstr>hmes_tamb_m_</vt:lpstr>
      <vt:lpstr>'Calc ESP'!hmes_tamb_out_m_</vt:lpstr>
      <vt:lpstr>'Calc GasLift'!hmes_tamb_out_m_</vt:lpstr>
      <vt:lpstr>'Calc Self Flow'!hmes_tamb_out_m_</vt:lpstr>
      <vt:lpstr>hmes_tamb_out_m_</vt:lpstr>
      <vt:lpstr>Hmes_valves_m_</vt:lpstr>
      <vt:lpstr>'Calc GasLift'!Hout_</vt:lpstr>
      <vt:lpstr>'Calc Self Flow'!Hout_</vt:lpstr>
      <vt:lpstr>Hout_</vt:lpstr>
      <vt:lpstr>Hperf_m_</vt:lpstr>
      <vt:lpstr>Hpump_</vt:lpstr>
      <vt:lpstr>Htub_m_</vt:lpstr>
      <vt:lpstr>hvert_incl_m_</vt:lpstr>
      <vt:lpstr>hvert_incl_out_m_</vt:lpstr>
      <vt:lpstr>'Calc ESP'!hvert_tamb_out_m_</vt:lpstr>
      <vt:lpstr>'Calc GasLift'!hvert_tamb_out_m_</vt:lpstr>
      <vt:lpstr>'Calc Self Flow'!hvert_tamb_out_m_</vt:lpstr>
      <vt:lpstr>'Calc GasLift'!HydrCorr_</vt:lpstr>
      <vt:lpstr>'Calc Self Flow'!HydrCorr_</vt:lpstr>
      <vt:lpstr>HydrCorr_</vt:lpstr>
      <vt:lpstr>'Calc GasLift'!HydrCorr_selector_</vt:lpstr>
      <vt:lpstr>'Calc Self Flow'!HydrCorr_selector_</vt:lpstr>
      <vt:lpstr>HydrCorr_selector_</vt:lpstr>
      <vt:lpstr>PVT!Ksep_</vt:lpstr>
      <vt:lpstr>PVT!mu_cP_</vt:lpstr>
      <vt:lpstr>muo_list1_</vt:lpstr>
      <vt:lpstr>muo_list2_</vt:lpstr>
      <vt:lpstr>muo_list3_</vt:lpstr>
      <vt:lpstr>NumValves_</vt:lpstr>
      <vt:lpstr>PVT!P_atma_</vt:lpstr>
      <vt:lpstr>p_charge_GLV_</vt:lpstr>
      <vt:lpstr>'Calc GasLift'!P_mes_atma_</vt:lpstr>
      <vt:lpstr>'Calc Self Flow'!P_mes_atma_</vt:lpstr>
      <vt:lpstr>P_mes_atma_</vt:lpstr>
      <vt:lpstr>PVT!Pb_atma_</vt:lpstr>
      <vt:lpstr>Pb_diff_</vt:lpstr>
      <vt:lpstr>'Calc GasLift'!Pbuf_atma_</vt:lpstr>
      <vt:lpstr>'Calc Self Flow'!Pbuf_atma_</vt:lpstr>
      <vt:lpstr>Pbuf_atma_</vt:lpstr>
      <vt:lpstr>'Calc GasLift'!Pbuf_out_atma_</vt:lpstr>
      <vt:lpstr>'Calc Self Flow'!Pbuf_out_atma_</vt:lpstr>
      <vt:lpstr>Pbuf_out_atma_</vt:lpstr>
      <vt:lpstr>'Calc GasLift'!Pcas_atma_</vt:lpstr>
      <vt:lpstr>Pcas_atma_</vt:lpstr>
      <vt:lpstr>'Calc GasLift'!Pcas_hmes_</vt:lpstr>
      <vt:lpstr>Pcas_hmes_</vt:lpstr>
      <vt:lpstr>'Calc GasLift'!Pcas_out_atma_</vt:lpstr>
      <vt:lpstr>Pcas_out_atma_</vt:lpstr>
      <vt:lpstr>'Calc GasLift'!Plin_mes_atma_</vt:lpstr>
      <vt:lpstr>'Calc Self Flow'!Plin_mes_atma_</vt:lpstr>
      <vt:lpstr>Plin_mes_atma_</vt:lpstr>
      <vt:lpstr>'Calc GasLift'!Pline_atma_</vt:lpstr>
      <vt:lpstr>'Calc Self Flow'!Pline_atma_</vt:lpstr>
      <vt:lpstr>Pline_atma_</vt:lpstr>
      <vt:lpstr>'Calc GasLift'!Pline_out_atma_</vt:lpstr>
      <vt:lpstr>'Calc Self Flow'!Pline_out_atma_</vt:lpstr>
      <vt:lpstr>GasLift!Pline_out_atma_</vt:lpstr>
      <vt:lpstr>Pline_out_atma_</vt:lpstr>
      <vt:lpstr>'Calc GasLift'!pmes_out_</vt:lpstr>
      <vt:lpstr>'Calc Self Flow'!pmes_out_</vt:lpstr>
      <vt:lpstr>pmes_out_</vt:lpstr>
      <vt:lpstr>'Calc GasLift'!Pout_</vt:lpstr>
      <vt:lpstr>'Calc Self Flow'!Pout_</vt:lpstr>
      <vt:lpstr>Pout_</vt:lpstr>
      <vt:lpstr>'Calc GasLift'!Pout_atma_</vt:lpstr>
      <vt:lpstr>'Calc Self Flow'!Pout_atma_</vt:lpstr>
      <vt:lpstr>Pout_atma_</vt:lpstr>
      <vt:lpstr>'Calc GasLift'!Pout_hmes_m_</vt:lpstr>
      <vt:lpstr>'Calc Self Flow'!Pout_hmes_m_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ESP!PumpID_</vt:lpstr>
      <vt:lpstr>PVT!PVT_correlation_</vt:lpstr>
      <vt:lpstr>'Calc GasLift'!PVT_selector_</vt:lpstr>
      <vt:lpstr>'Calc Self Flow'!PVT_selector_</vt:lpstr>
      <vt:lpstr>PVT_selector_</vt:lpstr>
      <vt:lpstr>PVTstr_</vt:lpstr>
      <vt:lpstr>'Calc GasLift'!Pwf_atma_</vt:lpstr>
      <vt:lpstr>'Calc Self Flow'!Pwf_atma_</vt:lpstr>
      <vt:lpstr>Pwf_atma_</vt:lpstr>
      <vt:lpstr>'Calc GasLift'!Pwf_out_atma_</vt:lpstr>
      <vt:lpstr>'Calc Self Flow'!Pwf_out_atma_</vt:lpstr>
      <vt:lpstr>GasLift!Pwf_out_atma_</vt:lpstr>
      <vt:lpstr>Pwf_out_atma_</vt:lpstr>
      <vt:lpstr>ESP!Q_ESP_</vt:lpstr>
      <vt:lpstr>Qg_scm3day_</vt:lpstr>
      <vt:lpstr>Ql_scm3day_</vt:lpstr>
      <vt:lpstr>Qo_sctday_</vt:lpstr>
      <vt:lpstr>rhoo_list1_</vt:lpstr>
      <vt:lpstr>rhoo_list2_</vt:lpstr>
      <vt:lpstr>rhoo_list3_</vt:lpstr>
      <vt:lpstr>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'Calc GasLift'!T_mes_C_</vt:lpstr>
      <vt:lpstr>'Calc Self Flow'!T_mes_C_</vt:lpstr>
      <vt:lpstr>T_mes_C_</vt:lpstr>
      <vt:lpstr>tamb_C_</vt:lpstr>
      <vt:lpstr>'Calc ESP'!tamb_out_C_</vt:lpstr>
      <vt:lpstr>'Calc GasLift'!tamb_out_C_</vt:lpstr>
      <vt:lpstr>'Calc Self Flow'!tamb_out_C_</vt:lpstr>
      <vt:lpstr>tamb_out_C_</vt:lpstr>
      <vt:lpstr>'Calc GasLift'!Tbh_c_</vt:lpstr>
      <vt:lpstr>'Calc Self Flow'!Tbh_c_</vt:lpstr>
      <vt:lpstr>Tbh_c_</vt:lpstr>
      <vt:lpstr>'Calc GasLift'!Tbuf_out_C_</vt:lpstr>
      <vt:lpstr>'Calc Self Flow'!Tbuf_out_C_</vt:lpstr>
      <vt:lpstr>Tbuf_out_C_</vt:lpstr>
      <vt:lpstr>'Calc GasLift'!Tlin_mes_C_</vt:lpstr>
      <vt:lpstr>'Calc Self Flow'!Tlin_mes_C_</vt:lpstr>
      <vt:lpstr>Tlin_mes_C_</vt:lpstr>
      <vt:lpstr>'Calc GasLift'!Tline_out_C_</vt:lpstr>
      <vt:lpstr>'Calc Self Flow'!Tline_out_C_</vt:lpstr>
      <vt:lpstr>Tline_out_C_</vt:lpstr>
      <vt:lpstr>'Calc GasLift'!tmes_out_</vt:lpstr>
      <vt:lpstr>'Calc Self Flow'!tmes_out_</vt:lpstr>
      <vt:lpstr>tmes_out_</vt:lpstr>
      <vt:lpstr>'Calc GasLift'!Tout_C_</vt:lpstr>
      <vt:lpstr>'Calc Self Flow'!Tout_C_</vt:lpstr>
      <vt:lpstr>Tout_C_</vt:lpstr>
      <vt:lpstr>'Calc GasLift'!Tout_hmes_m_</vt:lpstr>
      <vt:lpstr>'Calc Self Flow'!Tout_hmes_m_</vt:lpstr>
      <vt:lpstr>Tout_hmes_m_</vt:lpstr>
      <vt:lpstr>Toutcas_C_</vt:lpstr>
      <vt:lpstr>Toutcas_hmes_m_</vt:lpstr>
      <vt:lpstr>PVT!Tres_C_</vt:lpstr>
      <vt:lpstr>PVT!Tsc_C_</vt:lpstr>
      <vt:lpstr>PVT!Tsep_C_</vt:lpstr>
      <vt:lpstr>'Calc GasLift'!Twf_out_C_</vt:lpstr>
      <vt:lpstr>'Calc Self Flow'!Twf_out_C_</vt:lpstr>
      <vt:lpstr>Twf_out_C_</vt:lpstr>
      <vt:lpstr>'Calc GasLift'!Twh_C_</vt:lpstr>
      <vt:lpstr>Twh_C_</vt:lpstr>
      <vt:lpstr>U_V_</vt:lpstr>
      <vt:lpstr>udl_out_m_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2019-10-08T13:08:38Z</dcterms:modified>
</cp:coreProperties>
</file>