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B477FCAA-7949-44A3-BC1B-EC1D97E7517F}" xr6:coauthVersionLast="45" xr6:coauthVersionMax="45" xr10:uidLastSave="{00000000-0000-0000-0000-000000000000}"/>
  <bookViews>
    <workbookView xWindow="-38520" yWindow="-120" windowWidth="38640" windowHeight="21240" tabRatio="529" activeTab="7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 calcOnSave="0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E37" i="4"/>
  <c r="C36" i="4"/>
  <c r="C24" i="4"/>
  <c r="V36" i="4" s="1"/>
  <c r="C34" i="4"/>
  <c r="E35" i="4"/>
  <c r="C28" i="4"/>
  <c r="C7" i="7"/>
  <c r="C10" i="7" s="1"/>
  <c r="M33" i="4"/>
  <c r="C50" i="4"/>
  <c r="C37" i="4"/>
  <c r="V34" i="4"/>
  <c r="V37" i="4" s="1"/>
  <c r="I38" i="4"/>
  <c r="C41" i="4"/>
  <c r="C33" i="4"/>
  <c r="C38" i="4"/>
  <c r="M41" i="4"/>
  <c r="M34" i="4"/>
  <c r="M37" i="4"/>
  <c r="M36" i="4"/>
  <c r="I35" i="4"/>
  <c r="I33" i="4"/>
  <c r="C19" i="4"/>
  <c r="C9" i="7"/>
  <c r="I36" i="4"/>
  <c r="I37" i="4"/>
  <c r="T34" i="4"/>
  <c r="M35" i="4"/>
  <c r="C29" i="4"/>
  <c r="C44" i="4"/>
  <c r="T35" i="4"/>
  <c r="I34" i="4"/>
  <c r="V35" i="4"/>
  <c r="C27" i="4"/>
  <c r="C8" i="7"/>
  <c r="AF10" i="9"/>
  <c r="T36" i="4"/>
  <c r="B1" i="6"/>
  <c r="G24" i="4"/>
  <c r="M38" i="4"/>
  <c r="E33" i="4"/>
  <c r="E36" i="4"/>
  <c r="C35" i="4"/>
  <c r="C46" i="4"/>
  <c r="C45" i="4"/>
  <c r="O2" i="9" l="1"/>
  <c r="J2" i="9"/>
  <c r="E2" i="9"/>
  <c r="E2" i="2"/>
  <c r="C10" i="2"/>
  <c r="C9" i="2"/>
  <c r="C6" i="2"/>
  <c r="H3" i="4"/>
  <c r="T37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<sst xmlns="http://schemas.openxmlformats.org/spreadsheetml/2006/main" count="456" uniqueCount="218">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</sst>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1511.5486957327657</c:v>
                </c:pt>
                <c:pt idx="1">
                  <c:v>1526.6026544003516</c:v>
                </c:pt>
                <c:pt idx="2">
                  <c:v>1519.2733667831737</c:v>
                </c:pt>
                <c:pt idx="3">
                  <c:v>1494.4794329685121</c:v>
                </c:pt>
                <c:pt idx="4">
                  <c:v>1456.7391081524324</c:v>
                </c:pt>
                <c:pt idx="5">
                  <c:v>1410.1064470451115</c:v>
                </c:pt>
                <c:pt idx="6">
                  <c:v>1358.107448276161</c:v>
                </c:pt>
                <c:pt idx="7">
                  <c:v>1303.6761987999519</c:v>
                </c:pt>
                <c:pt idx="8">
                  <c:v>1249.0910183009403</c:v>
                </c:pt>
                <c:pt idx="9">
                  <c:v>1195.9106035989912</c:v>
                </c:pt>
                <c:pt idx="10">
                  <c:v>1144.9101730547027</c:v>
                </c:pt>
                <c:pt idx="11">
                  <c:v>1096.0176109747313</c:v>
                </c:pt>
                <c:pt idx="12">
                  <c:v>1048.2496120171163</c:v>
                </c:pt>
                <c:pt idx="13">
                  <c:v>999.647825596605</c:v>
                </c:pt>
                <c:pt idx="14">
                  <c:v>947.21500028997593</c:v>
                </c:pt>
                <c:pt idx="15">
                  <c:v>886.85112824136411</c:v>
                </c:pt>
                <c:pt idx="16">
                  <c:v>813.28958956758697</c:v>
                </c:pt>
                <c:pt idx="17">
                  <c:v>720.03329676346868</c:v>
                </c:pt>
                <c:pt idx="18">
                  <c:v>599.29083910716054</c:v>
                </c:pt>
                <c:pt idx="19">
                  <c:v>441.91262706547246</c:v>
                </c:pt>
                <c:pt idx="20">
                  <c:v>237.32703669919169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2.4464792109942994E-3</c:v>
                </c:pt>
                <c:pt idx="1">
                  <c:v>7.7984259960700714E-2</c:v>
                </c:pt>
                <c:pt idx="2">
                  <c:v>0.1449265279149502</c:v>
                </c:pt>
                <c:pt idx="3">
                  <c:v>0.20432900833120726</c:v>
                </c:pt>
                <c:pt idx="4">
                  <c:v>0.25732077153429417</c:v>
                </c:pt>
                <c:pt idx="5">
                  <c:v>0.30502407251407149</c:v>
                </c:pt>
                <c:pt idx="6">
                  <c:v>0.34847419052311784</c:v>
                </c:pt>
                <c:pt idx="7">
                  <c:v>0.38853926867441102</c:v>
                </c:pt>
                <c:pt idx="8">
                  <c:v>0.42584015353900773</c:v>
                </c:pt>
                <c:pt idx="9">
                  <c:v>0.46067023474372432</c:v>
                </c:pt>
                <c:pt idx="10">
                  <c:v>0.49291528456881661</c:v>
                </c:pt>
                <c:pt idx="11">
                  <c:v>0.52197329754566124</c:v>
                </c:pt>
                <c:pt idx="12">
                  <c:v>0.546674330054435</c:v>
                </c:pt>
                <c:pt idx="13">
                  <c:v>0.56520033992179486</c:v>
                </c:pt>
                <c:pt idx="14">
                  <c:v>0.57500502601856018</c:v>
                </c:pt>
                <c:pt idx="15">
                  <c:v>0.57273366785739144</c:v>
                </c:pt>
                <c:pt idx="16">
                  <c:v>0.55414296519047013</c:v>
                </c:pt>
                <c:pt idx="17">
                  <c:v>0.51402087760718174</c:v>
                </c:pt>
                <c:pt idx="18">
                  <c:v>0.44610646413179267</c:v>
                </c:pt>
                <c:pt idx="19">
                  <c:v>0.34300972282113351</c:v>
                </c:pt>
                <c:pt idx="20">
                  <c:v>0.19613143036227587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58.526904992008383</c:v>
                </c:pt>
                <c:pt idx="1">
                  <c:v>61.984437516992209</c:v>
                </c:pt>
                <c:pt idx="2">
                  <c:v>64.736144778134886</c:v>
                </c:pt>
                <c:pt idx="3">
                  <c:v>66.795576716402834</c:v>
                </c:pt>
                <c:pt idx="4">
                  <c:v>68.214753539382158</c:v>
                </c:pt>
                <c:pt idx="5">
                  <c:v>69.07564082264831</c:v>
                </c:pt>
                <c:pt idx="6">
                  <c:v>69.481624611135828</c:v>
                </c:pt>
                <c:pt idx="7">
                  <c:v>69.548986520508109</c:v>
                </c:pt>
                <c:pt idx="8">
                  <c:v>69.398378838527066</c:v>
                </c:pt>
                <c:pt idx="9">
                  <c:v>69.146299626422774</c:v>
                </c:pt>
                <c:pt idx="10">
                  <c:v>68.8965678202633</c:v>
                </c:pt>
                <c:pt idx="11">
                  <c:v>68.731798332324388</c:v>
                </c:pt>
                <c:pt idx="12">
                  <c:v>68.704877152458991</c:v>
                </c:pt>
                <c:pt idx="13">
                  <c:v>68.830436449467328</c:v>
                </c:pt>
                <c:pt idx="14">
                  <c:v>69.076329672466258</c:v>
                </c:pt>
                <c:pt idx="15">
                  <c:v>69.355106652259195</c:v>
                </c:pt>
                <c:pt idx="16">
                  <c:v>69.515488702705753</c:v>
                </c:pt>
                <c:pt idx="17">
                  <c:v>69.333843722091473</c:v>
                </c:pt>
                <c:pt idx="18">
                  <c:v>68.505661294497457</c:v>
                </c:pt>
                <c:pt idx="19">
                  <c:v>66.637027791170155</c:v>
                </c:pt>
                <c:pt idx="20">
                  <c:v>63.23610147189104</c:v>
                </c:pt>
                <c:pt idx="21">
                  <c:v>57.964982049754923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76FA003-36C8-4BFE-BA1F-73FC124AF32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270D27-03CA-4BF2-9B44-1CB9614E176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2B27841-1FDB-4256-AB47-0D604882F9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5C06E8-1B8C-43D4-AC90-7D5B2822DC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56933-1D46-4DDC-B59E-25627000DCA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05BA80-7AFC-4EFC-B200-703DC9474D1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0.41718109644909435</c:v>
                </c:pt>
                <c:pt idx="1">
                  <c:v>0.44766917385789734</c:v>
                </c:pt>
                <c:pt idx="2">
                  <c:v>0.47679239713070498</c:v>
                </c:pt>
                <c:pt idx="3">
                  <c:v>0.48998284004918974</c:v>
                </c:pt>
                <c:pt idx="4">
                  <c:v>0.51837454672837857</c:v>
                </c:pt>
                <c:pt idx="5">
                  <c:v>0.54495111549063635</c:v>
                </c:pt>
                <c:pt idx="6">
                  <c:v>0.59057203889125409</c:v>
                </c:pt>
                <c:pt idx="7">
                  <c:v>0.61640236306462159</c:v>
                </c:pt>
                <c:pt idx="8">
                  <c:v>0.62883478003886906</c:v>
                </c:pt>
                <c:pt idx="9">
                  <c:v>0.63592820970421515</c:v>
                </c:pt>
                <c:pt idx="10">
                  <c:v>0.64073323307748153</c:v>
                </c:pt>
                <c:pt idx="11">
                  <c:v>0.64376558019520336</c:v>
                </c:pt>
                <c:pt idx="12">
                  <c:v>0.64543190650396587</c:v>
                </c:pt>
                <c:pt idx="13">
                  <c:v>0.91146951438093604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50.009668382816152</c:v>
                </c:pt>
                <c:pt idx="1">
                  <c:v>59.24510895711451</c:v>
                </c:pt>
                <c:pt idx="2">
                  <c:v>68.993084575219171</c:v>
                </c:pt>
                <c:pt idx="3">
                  <c:v>71.857496233328988</c:v>
                </c:pt>
                <c:pt idx="4">
                  <c:v>79.779652352563886</c:v>
                </c:pt>
                <c:pt idx="5">
                  <c:v>91.17465816010538</c:v>
                </c:pt>
                <c:pt idx="6">
                  <c:v>102.84534930739868</c:v>
                </c:pt>
                <c:pt idx="7">
                  <c:v>114.46409883195142</c:v>
                </c:pt>
                <c:pt idx="8">
                  <c:v>124.19894157832748</c:v>
                </c:pt>
                <c:pt idx="9">
                  <c:v>125.7848648098866</c:v>
                </c:pt>
                <c:pt idx="10">
                  <c:v>136.70830921167183</c:v>
                </c:pt>
                <c:pt idx="11">
                  <c:v>147.18344741885576</c:v>
                </c:pt>
                <c:pt idx="12">
                  <c:v>157.1767959930358</c:v>
                </c:pt>
                <c:pt idx="13">
                  <c:v>157.73816745703635</c:v>
                </c:pt>
                <c:pt idx="14">
                  <c:v>169.42870112033373</c:v>
                </c:pt>
                <c:pt idx="15">
                  <c:v>174.52979522286978</c:v>
                </c:pt>
                <c:pt idx="16">
                  <c:v>180.83829442482607</c:v>
                </c:pt>
                <c:pt idx="17">
                  <c:v>187.66698340500233</c:v>
                </c:pt>
                <c:pt idx="18">
                  <c:v>189.14180393756993</c:v>
                </c:pt>
                <c:pt idx="19">
                  <c:v>190.61640791117705</c:v>
                </c:pt>
                <c:pt idx="20">
                  <c:v>192.0907934159944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238536-4DB3-41BC-84B4-D724A528C192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11FA4F-63E9-41C9-B7EA-B53B693AB0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C977E9-B824-4723-BFD3-7062B6C809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AD9002B-F6EA-4F0D-A2C0-983432DA45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43437-B881-4662-8A18-B012FEDB8BF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85DBA6-9DCF-49B4-A75E-B3F159EA33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50.009668382816152</c:v>
                </c:pt>
                <c:pt idx="1">
                  <c:v>50.009668382816152</c:v>
                </c:pt>
                <c:pt idx="2">
                  <c:v>192.0907934159944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0.39737876377081538</c:v>
                </c:pt>
                <c:pt idx="1">
                  <c:v>0.4598812899434877</c:v>
                </c:pt>
                <c:pt idx="2">
                  <c:v>0.52872452542064474</c:v>
                </c:pt>
                <c:pt idx="3">
                  <c:v>0.60138846394205348</c:v>
                </c:pt>
                <c:pt idx="4">
                  <c:v>0.68577196222536185</c:v>
                </c:pt>
                <c:pt idx="5">
                  <c:v>0.77744315349524584</c:v>
                </c:pt>
                <c:pt idx="6">
                  <c:v>0.87360642093019292</c:v>
                </c:pt>
                <c:pt idx="7">
                  <c:v>0.9679357443151746</c:v>
                </c:pt>
                <c:pt idx="8">
                  <c:v>0.99902551841682774</c:v>
                </c:pt>
                <c:pt idx="9">
                  <c:v>0.99902500819790507</c:v>
                </c:pt>
                <c:pt idx="10">
                  <c:v>0.99902448501052143</c:v>
                </c:pt>
                <c:pt idx="11">
                  <c:v>0.99902394627406665</c:v>
                </c:pt>
                <c:pt idx="12">
                  <c:v>0.99902338850571004</c:v>
                </c:pt>
                <c:pt idx="13">
                  <c:v>0.99902280467927107</c:v>
                </c:pt>
                <c:pt idx="14">
                  <c:v>0.99904081321255234</c:v>
                </c:pt>
                <c:pt idx="15">
                  <c:v>0.99905826210256321</c:v>
                </c:pt>
                <c:pt idx="16">
                  <c:v>0.99905714586207595</c:v>
                </c:pt>
                <c:pt idx="17">
                  <c:v>0.99905693295840459</c:v>
                </c:pt>
                <c:pt idx="18">
                  <c:v>0.99905671713182664</c:v>
                </c:pt>
                <c:pt idx="19">
                  <c:v>0.9990564984149749</c:v>
                </c:pt>
                <c:pt idx="20">
                  <c:v>0.99905627685587417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41.058817324509512</c:v>
                </c:pt>
                <c:pt idx="1">
                  <c:v>48.810792655834476</c:v>
                </c:pt>
                <c:pt idx="2">
                  <c:v>57.615065815069393</c:v>
                </c:pt>
                <c:pt idx="3">
                  <c:v>67.629424674208181</c:v>
                </c:pt>
                <c:pt idx="4">
                  <c:v>79.003134643557914</c:v>
                </c:pt>
                <c:pt idx="5">
                  <c:v>91.635811375423401</c:v>
                </c:pt>
                <c:pt idx="6">
                  <c:v>105.16070135715371</c:v>
                </c:pt>
                <c:pt idx="7">
                  <c:v>119.40684810685711</c:v>
                </c:pt>
                <c:pt idx="8">
                  <c:v>133.56776031247483</c:v>
                </c:pt>
                <c:pt idx="9">
                  <c:v>147.18171452280947</c:v>
                </c:pt>
                <c:pt idx="10">
                  <c:v>160.23555415058107</c:v>
                </c:pt>
                <c:pt idx="11">
                  <c:v>172.72691897815648</c:v>
                </c:pt>
                <c:pt idx="12">
                  <c:v>184.65481972206643</c:v>
                </c:pt>
                <c:pt idx="13">
                  <c:v>196.00990379960871</c:v>
                </c:pt>
                <c:pt idx="14">
                  <c:v>202.24547317793807</c:v>
                </c:pt>
                <c:pt idx="15">
                  <c:v>206.6599620312667</c:v>
                </c:pt>
                <c:pt idx="16">
                  <c:v>215.24259244561983</c:v>
                </c:pt>
                <c:pt idx="17">
                  <c:v>217.49484275926088</c:v>
                </c:pt>
                <c:pt idx="18">
                  <c:v>218.86642342944083</c:v>
                </c:pt>
                <c:pt idx="19">
                  <c:v>220.23860882037442</c:v>
                </c:pt>
                <c:pt idx="20">
                  <c:v>221.61159086457991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71B0C63-8899-4F66-96C7-0630E03AA390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D0718F7-C8B9-43C7-8DE6-5884825D03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FDF9AFF-15EC-4802-9303-5EB06086104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DABC5A-1445-48CF-AB79-C89184EB1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597FC-5A30-40D4-821D-34A756D38B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157AA2-B445-4314-A2E7-AA85F38C5E1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0</c:v>
                </c:pt>
                <c:pt idx="1">
                  <c:v>41.058817324509512</c:v>
                </c:pt>
                <c:pt idx="2">
                  <c:v>221.61159086457991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45.041809114944598</c:v>
                </c:pt>
                <c:pt idx="1">
                  <c:v>49.745199656049621</c:v>
                </c:pt>
                <c:pt idx="2">
                  <c:v>54.332061775240511</c:v>
                </c:pt>
                <c:pt idx="3">
                  <c:v>58.791967511448384</c:v>
                </c:pt>
                <c:pt idx="4">
                  <c:v>63.114391973118252</c:v>
                </c:pt>
                <c:pt idx="5">
                  <c:v>67.274815675013741</c:v>
                </c:pt>
                <c:pt idx="6">
                  <c:v>71.259010598839851</c:v>
                </c:pt>
                <c:pt idx="7">
                  <c:v>75.065743674886988</c:v>
                </c:pt>
                <c:pt idx="8">
                  <c:v>78.616210038808035</c:v>
                </c:pt>
                <c:pt idx="9">
                  <c:v>81.845105184943989</c:v>
                </c:pt>
                <c:pt idx="10">
                  <c:v>84.723156516442018</c:v>
                </c:pt>
                <c:pt idx="11">
                  <c:v>87.215431332438826</c:v>
                </c:pt>
                <c:pt idx="12">
                  <c:v>89.278890740788043</c:v>
                </c:pt>
                <c:pt idx="13">
                  <c:v>90.851873400906697</c:v>
                </c:pt>
                <c:pt idx="14">
                  <c:v>91.508498999492431</c:v>
                </c:pt>
                <c:pt idx="15">
                  <c:v>91.846791864574215</c:v>
                </c:pt>
                <c:pt idx="16">
                  <c:v>92.182090008185284</c:v>
                </c:pt>
                <c:pt idx="17">
                  <c:v>91.969188001107057</c:v>
                </c:pt>
                <c:pt idx="18">
                  <c:v>91.544171574727329</c:v>
                </c:pt>
                <c:pt idx="19">
                  <c:v>90.904517195119467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472516</xdr:colOff>
      <xdr:row>13</xdr:row>
      <xdr:rowOff>624</xdr:rowOff>
    </xdr:from>
    <xdr:to>
      <xdr:col>20</xdr:col>
      <xdr:colOff>265660</xdr:colOff>
      <xdr:row>42</xdr:row>
      <xdr:rowOff>78554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L13" sqref="L13"/>
    </sheetView>
  </sheetViews>
  <sheetFormatPr defaultRowHeight="15" x14ac:dyDescent="0.25"/>
  <sheetData>
    <row r="1" spans="1:5" x14ac:dyDescent="0.25">
      <c r="A1" t="str">
        <f>"вер "&amp;B1</f>
        <v>вер 7.11</v>
      </c>
      <c r="B1" s="16" t="str">
        <f>[1]!getUFVersion()</f>
        <v>7.11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7.11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opLeftCell="A34" zoomScale="85" zoomScaleNormal="85" workbookViewId="0">
      <selection activeCell="U55" sqref="U5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7.11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gamma_gas:0.700;gamma_oil:0.860;gamma_wat:1.070;rsb_m3m3:100.000;rp_m3m3:100.000;pb_atma:120.000;tres_C:80.000;bob_m3m3:1.200;muob_cP:1.000;PVTcorr:0;ksep_fr:0.000;p_ksep_atma:-1.000;t_ksep_C:-1.000;gas_only:False;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[1]!PVT_rho_oil_kgm3(C24,Tres_C_,gamma_gas_,gamma_oil_,gamma_w_,Rsb_m3m3_,,Pb_atma_,Tres_C_,Bob_m3m3_,mu_cP_,PVT_correlation_,Ksep_,Psep_atma_,Tsep_C_)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[1]!PVT_rho_oil_kgm3(Psc_atma_,Tsc_C_,gamma_gas_,gamma_oil_,gamma_w_,Rsb_m3m3_,,Pb_atma_,Tres_C_,Bob_m3m3_,mu_cP_,PVT_correlation_,Ksep_,Psep_atma_,Tsep_C_)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[1]!PVT_rho_oil_kgm3(Psc_atma_,Tsc_C_,gamma_gas_,gamma_oil_,gamma_w_,Rsb_m3m3_,,,,,,PVT_correlation_,Ksep_,Psep_atma_,Tsep_C_)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[1]!PVT_rho_gas_kgm3(Psc_atma_,Tsc_C_,gamma_gas_,gamma_oil_,gamma_w_,Rsb_m3m3_,,Pb_atma_,Tres_C_,Bob_m3m3_,mu_cP_,PVT_correlation_,Ksep_,Psep_atma_,Tsep_C_)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[1]!PVT_rho_wat_kgm3(Psc_atma_,Tsc_C_,gamma_gas_,gamma_oil_,gamma_w_,Rsb_m3m3_,,Pb_atma_,Tres_C_,Bob_m3m3_,mu_cP_,PVT_correlation_,Ksep_,Psep_atma_,Tsep_C_)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[1]!PVT_rho_oil_kgm3(C24,Tres_C_,gamma_gas_,gamma_oil_,gamma_w_,Rsb_m3m3_,,,,,,PVT_correlation_,Ksep_,Psep_atma_,Tsep_C_)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[1]!PVT_rho_oil_kgm3(C24,Tres_C_,gamma_gas_new_,gamma_oil_new_,gamma_w_,Rsb_m3m3_,,,,,,PVT_correlation_,Ksep_,Psep_atma_,Tsep_C_)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[1]!PVT_rho_oil_kgm3(P_atma_,T_C_,gamma_gas_,gamma_oil_,gamma_w_,Rsb_m3m3_,,Pb_atma_,Tres_C_,Bob_m3m3_,mu_cP_,PVT_correlation_,Ksep_,Psep_atma_,Tsep_C_)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[1]!PVT_rho_oil_kgm3(P_atma_,T_C_,gamma_gas_,gamma_oil_,gamma_w_,Rsb_m3m3_,,,,,,PVT_correlation_,Ksep_,Psep_atma_,Tsep_C_)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[1]!PVT_rho_gas_kgm3(P_atma_,T_C_,gamma_gas_,gamma_oil_,gamma_w_,Rsb_m3m3_,,Pb_atma_,Tres_C_,Bob_m3m3_,mu_cP_,PVT_correlation_,Ksep_,Psep_atma_,Tsep_C_)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[1]!PVT_rho_wat_kgm3(P_atma_,T_C_,gamma_gas_,gamma_oil_,gamma_w_,Rsb_m3m3_,,Pb_atma_,Tres_C_,Bob_m3m3_,mu_cP_,PVT_correlation_,Ksep_,Psep_atma_,Tsep_C_)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[1]!PVT_ST_oilgas_Nm(P_atma_,T_C_,gamma_gas_,gamma_oil_,gamma_w_,Rsb_m3m3_,,Pb_atma_,Tres_C_,Bob_m3m3_,mu_cP_,PVT_correlation_,Ksep_,Psep_atma_,Tsep_C_)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[1]!PVT_ST_watgas_Nm(P_atma_,T_C_,gamma_gas_,gamma_oil_,gamma_w_,Rsb_m3m3_,,Pb_atma_,Tres_C_,Bob_m3m3_,mu_cP_,PVT_correlation_,Ksep_,Psep_atma_,Tsep_C_)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[1]!MF_rho_mix_kgm3(Ql_scm3day_,fw_perc_,P_atma_,T_C_,PVTstr_)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0.99035427943497301</v>
      </c>
      <c r="Q60">
        <v>0.99035427943497301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0.94325476126154773</v>
      </c>
      <c r="Q61">
        <v>0.94325476126154773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0.89606962911494659</v>
      </c>
      <c r="Q62">
        <v>0.89606962911494659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0.84852300667349612</v>
      </c>
      <c r="Q63">
        <v>0.84852300667349612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0.80052603370457465</v>
      </c>
      <c r="Q64">
        <v>0.80052603370457465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0.75206472860500317</v>
      </c>
      <c r="Q65">
        <v>0.75206472860500317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0.70316372874524324</v>
      </c>
      <c r="Q66">
        <v>0.70316372874524324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0.65386923187926527</v>
      </c>
      <c r="Q67">
        <v>0.65386923187926527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0.60423942084303528</v>
      </c>
      <c r="Q68">
        <v>0.60423942084303528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0.5543385118058114</v>
      </c>
      <c r="Q69">
        <v>0.5543385118058114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0.50423284144947522</v>
      </c>
      <c r="Q70">
        <v>0.50423284144947522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0.4539882457512634</v>
      </c>
      <c r="Q71">
        <v>0.4539882457512634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0.40366834074158631</v>
      </c>
      <c r="Q72">
        <v>0.40366834074158631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0.35333348489685312</v>
      </c>
      <c r="Q73">
        <v>0.35333348489685312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0.30304028916924758</v>
      </c>
      <c r="Q74">
        <v>0.30304028916924758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0.25284158729678208</v>
      </c>
      <c r="Q75">
        <v>0.25284158729678208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0.20278680538694865</v>
      </c>
      <c r="Q76">
        <v>0.20278680538694865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0.15292268508730628</v>
      </c>
      <c r="Q77">
        <v>0.15292268508730628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0.1032943234871818</v>
      </c>
      <c r="Q78">
        <v>0.1032943234871818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5.3946497400018681E-2</v>
      </c>
      <c r="Q79">
        <v>5.3946497400018681E-2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4.9252407321075933E-3</v>
      </c>
      <c r="Q80">
        <v>4.9252407321075933E-3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</v>
      </c>
      <c r="Q81">
        <v>0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0</v>
      </c>
      <c r="Q82">
        <v>0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0</v>
      </c>
      <c r="Q83">
        <v>0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L10" sqref="L10"/>
    </sheetView>
  </sheetViews>
  <sheetFormatPr defaultRowHeight="15" x14ac:dyDescent="0.25"/>
  <sheetData>
    <row r="1" spans="1:16" x14ac:dyDescent="0.25">
      <c r="A1" t="str">
        <f>версия_</f>
        <v>вер 7.11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7.11</v>
      </c>
    </row>
    <row r="4" spans="1:11" x14ac:dyDescent="0.25">
      <c r="B4" s="51" t="s">
        <v>176</v>
      </c>
      <c r="C4" s="52">
        <v>500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1511.5486957327657</v>
      </c>
      <c r="J8" s="50">
        <v>58.526904992008383</v>
      </c>
      <c r="K8" s="56">
        <v>2.4464792109942994E-3</v>
      </c>
    </row>
    <row r="9" spans="1:11" x14ac:dyDescent="0.2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1526.6026544003516</v>
      </c>
      <c r="J9" s="50">
        <v>61.984437516992209</v>
      </c>
      <c r="K9" s="56">
        <v>7.7984259960700714E-2</v>
      </c>
    </row>
    <row r="10" spans="1:11" x14ac:dyDescent="0.2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1519.2733667831737</v>
      </c>
      <c r="J10" s="50">
        <v>64.736144778134886</v>
      </c>
      <c r="K10" s="56">
        <v>0.1449265279149502</v>
      </c>
    </row>
    <row r="11" spans="1:11" x14ac:dyDescent="0.25">
      <c r="G11">
        <v>4</v>
      </c>
      <c r="H11" s="55">
        <f t="shared" si="0"/>
        <v>79</v>
      </c>
      <c r="I11" s="50">
        <v>1494.4794329685121</v>
      </c>
      <c r="J11" s="50">
        <v>66.795576716402834</v>
      </c>
      <c r="K11" s="56">
        <v>0.20432900833120726</v>
      </c>
    </row>
    <row r="12" spans="1:11" x14ac:dyDescent="0.25">
      <c r="G12">
        <v>5</v>
      </c>
      <c r="H12" s="55">
        <f t="shared" si="0"/>
        <v>105</v>
      </c>
      <c r="I12" s="50">
        <v>1456.7391081524324</v>
      </c>
      <c r="J12" s="50">
        <v>68.214753539382158</v>
      </c>
      <c r="K12" s="56">
        <v>0.25732077153429417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1410.1064470451115</v>
      </c>
      <c r="J13" s="50">
        <v>69.07564082264831</v>
      </c>
      <c r="K13" s="56">
        <v>0.30502407251407149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1358.107448276161</v>
      </c>
      <c r="J14" s="50">
        <v>69.481624611135828</v>
      </c>
      <c r="K14" s="56">
        <v>0.34847419052311784</v>
      </c>
    </row>
    <row r="15" spans="1:11" x14ac:dyDescent="0.25">
      <c r="G15">
        <v>8</v>
      </c>
      <c r="H15" s="55">
        <f t="shared" si="0"/>
        <v>183</v>
      </c>
      <c r="I15" s="50">
        <v>1303.6761987999519</v>
      </c>
      <c r="J15" s="50">
        <v>69.548986520508109</v>
      </c>
      <c r="K15" s="56">
        <v>0.38853926867441102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1249.0910183009403</v>
      </c>
      <c r="J16" s="50">
        <v>69.398378838527066</v>
      </c>
      <c r="K16" s="56">
        <v>0.42584015353900773</v>
      </c>
    </row>
    <row r="17" spans="7:11" x14ac:dyDescent="0.25">
      <c r="G17">
        <v>10</v>
      </c>
      <c r="H17" s="55">
        <f t="shared" si="0"/>
        <v>235</v>
      </c>
      <c r="I17" s="50">
        <v>1195.9106035989912</v>
      </c>
      <c r="J17" s="50">
        <v>69.146299626422774</v>
      </c>
      <c r="K17" s="56">
        <v>0.46067023474372432</v>
      </c>
    </row>
    <row r="18" spans="7:11" x14ac:dyDescent="0.25">
      <c r="G18">
        <v>11</v>
      </c>
      <c r="H18" s="55">
        <f t="shared" si="0"/>
        <v>261</v>
      </c>
      <c r="I18" s="50">
        <v>1144.9101730547027</v>
      </c>
      <c r="J18" s="50">
        <v>68.8965678202633</v>
      </c>
      <c r="K18" s="56">
        <v>0.49291528456881661</v>
      </c>
    </row>
    <row r="19" spans="7:11" x14ac:dyDescent="0.25">
      <c r="G19">
        <v>12</v>
      </c>
      <c r="H19" s="55">
        <f t="shared" si="0"/>
        <v>287</v>
      </c>
      <c r="I19" s="50">
        <v>1096.0176109747313</v>
      </c>
      <c r="J19" s="50">
        <v>68.731798332324388</v>
      </c>
      <c r="K19" s="56">
        <v>0.52197329754566124</v>
      </c>
    </row>
    <row r="20" spans="7:11" x14ac:dyDescent="0.25">
      <c r="G20">
        <v>13</v>
      </c>
      <c r="H20" s="55">
        <f t="shared" si="0"/>
        <v>313</v>
      </c>
      <c r="I20" s="50">
        <v>1048.2496120171163</v>
      </c>
      <c r="J20" s="50">
        <v>68.704877152458991</v>
      </c>
      <c r="K20" s="56">
        <v>0.546674330054435</v>
      </c>
    </row>
    <row r="21" spans="7:11" x14ac:dyDescent="0.25">
      <c r="G21">
        <v>14</v>
      </c>
      <c r="H21" s="55">
        <f t="shared" si="0"/>
        <v>339</v>
      </c>
      <c r="I21" s="50">
        <v>999.647825596605</v>
      </c>
      <c r="J21" s="50">
        <v>68.830436449467328</v>
      </c>
      <c r="K21" s="56">
        <v>0.56520033992179486</v>
      </c>
    </row>
    <row r="22" spans="7:11" x14ac:dyDescent="0.25">
      <c r="G22">
        <v>15</v>
      </c>
      <c r="H22" s="55">
        <f t="shared" si="0"/>
        <v>365</v>
      </c>
      <c r="I22" s="50">
        <v>947.21500028997593</v>
      </c>
      <c r="J22" s="50">
        <v>69.076329672466258</v>
      </c>
      <c r="K22" s="56">
        <v>0.57500502601856018</v>
      </c>
    </row>
    <row r="23" spans="7:11" x14ac:dyDescent="0.25">
      <c r="G23">
        <v>16</v>
      </c>
      <c r="H23" s="55">
        <f t="shared" si="0"/>
        <v>391</v>
      </c>
      <c r="I23" s="50">
        <v>886.85112824136411</v>
      </c>
      <c r="J23" s="50">
        <v>69.355106652259195</v>
      </c>
      <c r="K23" s="56">
        <v>0.57273366785739144</v>
      </c>
    </row>
    <row r="24" spans="7:11" x14ac:dyDescent="0.25">
      <c r="G24">
        <v>17</v>
      </c>
      <c r="H24" s="55">
        <f t="shared" si="0"/>
        <v>417</v>
      </c>
      <c r="I24" s="50">
        <v>813.28958956758697</v>
      </c>
      <c r="J24" s="50">
        <v>69.515488702705753</v>
      </c>
      <c r="K24" s="56">
        <v>0.55414296519047013</v>
      </c>
    </row>
    <row r="25" spans="7:11" x14ac:dyDescent="0.25">
      <c r="G25">
        <v>18</v>
      </c>
      <c r="H25" s="55">
        <f t="shared" si="0"/>
        <v>443</v>
      </c>
      <c r="I25" s="50">
        <v>720.03329676346868</v>
      </c>
      <c r="J25" s="50">
        <v>69.333843722091473</v>
      </c>
      <c r="K25" s="56">
        <v>0.51402087760718174</v>
      </c>
    </row>
    <row r="26" spans="7:11" x14ac:dyDescent="0.25">
      <c r="G26">
        <v>19</v>
      </c>
      <c r="H26" s="55">
        <f t="shared" si="0"/>
        <v>469</v>
      </c>
      <c r="I26" s="50">
        <v>599.29083910716054</v>
      </c>
      <c r="J26" s="50">
        <v>68.505661294497457</v>
      </c>
      <c r="K26" s="56">
        <v>0.44610646413179267</v>
      </c>
    </row>
    <row r="27" spans="7:11" x14ac:dyDescent="0.25">
      <c r="G27">
        <v>20</v>
      </c>
      <c r="H27" s="55">
        <f t="shared" si="0"/>
        <v>495</v>
      </c>
      <c r="I27" s="50">
        <v>441.91262706547246</v>
      </c>
      <c r="J27" s="50">
        <v>66.637027791170155</v>
      </c>
      <c r="K27" s="56">
        <v>0.34300972282113351</v>
      </c>
    </row>
    <row r="28" spans="7:11" x14ac:dyDescent="0.25">
      <c r="G28">
        <v>21</v>
      </c>
      <c r="H28" s="55">
        <f t="shared" si="0"/>
        <v>521</v>
      </c>
      <c r="I28" s="50">
        <v>237.32703669919169</v>
      </c>
      <c r="J28" s="50">
        <v>63.23610147189104</v>
      </c>
      <c r="K28" s="56">
        <v>0.19613143036227587</v>
      </c>
    </row>
    <row r="29" spans="7:11" x14ac:dyDescent="0.25">
      <c r="G29">
        <v>22</v>
      </c>
      <c r="H29" s="55">
        <f t="shared" si="0"/>
        <v>547</v>
      </c>
      <c r="I29" s="50">
        <v>0</v>
      </c>
      <c r="J29" s="50">
        <v>57.964982049754923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7.11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AG27" sqref="AG27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7.11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8" x14ac:dyDescent="0.3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8" x14ac:dyDescent="0.3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B38" s="2"/>
      <c r="C38" s="18">
        <v>2625</v>
      </c>
      <c r="D38" s="18">
        <v>186.511102757185</v>
      </c>
      <c r="E38" s="18">
        <v>54</v>
      </c>
    </row>
    <row r="39" spans="2:19" x14ac:dyDescent="0.25">
      <c r="B39" s="2"/>
      <c r="C39" s="18">
        <v>2750</v>
      </c>
      <c r="D39" s="18">
        <v>196.298712131494</v>
      </c>
      <c r="E39" s="18">
        <v>55</v>
      </c>
    </row>
    <row r="40" spans="2:19" x14ac:dyDescent="0.25">
      <c r="B40" s="2"/>
      <c r="C40" s="18">
        <v>2875</v>
      </c>
      <c r="D40" s="18">
        <v>206.08632150580399</v>
      </c>
      <c r="E40" s="18">
        <v>56</v>
      </c>
    </row>
    <row r="41" spans="2:19" x14ac:dyDescent="0.25">
      <c r="B41" s="2"/>
      <c r="C41" s="18">
        <v>3000</v>
      </c>
      <c r="D41" s="18">
        <v>215.87393088011299</v>
      </c>
      <c r="E41" s="18">
        <v>57</v>
      </c>
    </row>
    <row r="42" spans="2:19" x14ac:dyDescent="0.25">
      <c r="B42" s="2"/>
      <c r="C42" s="18">
        <v>3125</v>
      </c>
      <c r="D42" s="18">
        <v>225.66154025442199</v>
      </c>
      <c r="E42" s="18">
        <v>58</v>
      </c>
    </row>
    <row r="43" spans="2:19" x14ac:dyDescent="0.25">
      <c r="B43" s="2"/>
      <c r="C43" s="18">
        <v>3250</v>
      </c>
      <c r="D43" s="18">
        <v>235.44914962873099</v>
      </c>
      <c r="E43" s="18">
        <v>59</v>
      </c>
    </row>
    <row r="44" spans="2:19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85" zoomScaleNormal="85" workbookViewId="0">
      <selection activeCell="AF27" sqref="AF2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7.11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50.009668382816152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40000</v>
      </c>
      <c r="P11" s="57" t="s">
        <v>46</v>
      </c>
      <c r="Q11" s="25">
        <v>50.009668382816152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192.0907934159944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50.009668382816152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0.41718109644909435</v>
      </c>
      <c r="W16">
        <v>0</v>
      </c>
      <c r="X16" s="50">
        <f>Pline_out_atma_</f>
        <v>50.009668382816152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59.24510895711451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0.44766917385789734</v>
      </c>
      <c r="W17">
        <v>0</v>
      </c>
      <c r="X17" s="50">
        <f>Pbuf_out_atma_</f>
        <v>50.009668382816152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68.993084575219171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0.47679239713070498</v>
      </c>
      <c r="W18">
        <v>3500</v>
      </c>
      <c r="X18" s="50">
        <f>Pwf_out_atma_</f>
        <v>192.0907934159944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71.857496233328988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0.48998284004918974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79.779652352563886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0.51837454672837857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91.17465816010538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0.54495111549063635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102.84534930739868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0.59057203889125409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114.46409883195142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0.61640236306462159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124.19894157832748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0.62883478003886906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125.7848648098866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0.63592820970421515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136.70830921167183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0.64073323307748153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147.18344741885576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0.64376558019520336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157.1767959930358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0.64543190650396587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157.73816745703635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0.91146951438093604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169.42870112033373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174.52979522286978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180.83829442482607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187.66698340500233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189.14180393756993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190.61640791117705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192.0907934159944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tabSelected="1" zoomScale="70" zoomScaleNormal="70" workbookViewId="0">
      <selection activeCell="AG25" sqref="AG2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7.11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45.041809114944598</v>
      </c>
      <c r="U10" s="5" t="s">
        <v>25</v>
      </c>
    </row>
    <row r="11" spans="1:34" ht="18" x14ac:dyDescent="0.35">
      <c r="P11" s="57" t="s">
        <v>46</v>
      </c>
      <c r="Q11" s="25">
        <v>41.058817324509512</v>
      </c>
      <c r="R11" s="5" t="s">
        <v>44</v>
      </c>
      <c r="S11" s="57" t="s">
        <v>56</v>
      </c>
      <c r="T11" s="25">
        <v>45.041809114944598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221.61159086457991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41.058817324509512</v>
      </c>
      <c r="P16">
        <v>0</v>
      </c>
      <c r="Q16">
        <v>45.041809114944598</v>
      </c>
      <c r="R16">
        <v>0</v>
      </c>
      <c r="S16">
        <v>0.39737876377081538</v>
      </c>
      <c r="U16">
        <v>0</v>
      </c>
      <c r="V16" s="50">
        <f>Pline_out_atma_</f>
        <v>0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48.810792655834476</v>
      </c>
      <c r="P17">
        <v>184.21052631578948</v>
      </c>
      <c r="Q17">
        <v>49.745199656049621</v>
      </c>
      <c r="R17">
        <v>175</v>
      </c>
      <c r="S17">
        <v>0.4598812899434877</v>
      </c>
      <c r="U17">
        <v>0</v>
      </c>
      <c r="V17" s="50">
        <f>Pbuf_out_atma_</f>
        <v>41.058817324509512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57.615065815069393</v>
      </c>
      <c r="P18">
        <v>368.42105263157896</v>
      </c>
      <c r="Q18">
        <v>54.332061775240511</v>
      </c>
      <c r="R18">
        <v>350</v>
      </c>
      <c r="S18">
        <v>0.52872452542064474</v>
      </c>
      <c r="U18">
        <v>3500</v>
      </c>
      <c r="V18" s="50">
        <f>Pwf_out_atma_</f>
        <v>221.61159086457991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67.629424674208181</v>
      </c>
      <c r="P19">
        <v>552.63157894736844</v>
      </c>
      <c r="Q19">
        <v>58.791967511448384</v>
      </c>
      <c r="R19">
        <v>525</v>
      </c>
      <c r="S19">
        <v>0.60138846394205348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79.003134643557914</v>
      </c>
      <c r="P20">
        <v>736.84210526315792</v>
      </c>
      <c r="Q20">
        <v>63.114391973118252</v>
      </c>
      <c r="R20">
        <v>700</v>
      </c>
      <c r="S20">
        <v>0.68577196222536185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91.635811375423401</v>
      </c>
      <c r="P21">
        <v>921.0526315789474</v>
      </c>
      <c r="Q21">
        <v>67.274815675013741</v>
      </c>
      <c r="R21">
        <v>875</v>
      </c>
      <c r="S21">
        <v>0.77744315349524584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105.16070135715371</v>
      </c>
      <c r="P22">
        <v>1105.2631578947369</v>
      </c>
      <c r="Q22">
        <v>71.259010598839851</v>
      </c>
      <c r="R22">
        <v>1050</v>
      </c>
      <c r="S22">
        <v>0.87360642093019292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119.40684810685711</v>
      </c>
      <c r="P23">
        <v>1289.4736842105262</v>
      </c>
      <c r="Q23">
        <v>75.065743674886988</v>
      </c>
      <c r="R23">
        <v>1225</v>
      </c>
      <c r="S23">
        <v>0.9679357443151746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133.56776031247483</v>
      </c>
      <c r="P24">
        <v>1473.6842105263158</v>
      </c>
      <c r="Q24">
        <v>78.616210038808035</v>
      </c>
      <c r="R24">
        <v>1400</v>
      </c>
      <c r="S24">
        <v>0.99902551841682774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147.18171452280947</v>
      </c>
      <c r="P25">
        <v>1657.8947368421054</v>
      </c>
      <c r="Q25">
        <v>81.845105184943989</v>
      </c>
      <c r="R25">
        <v>1575</v>
      </c>
      <c r="S25">
        <v>0.99902500819790507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160.23555415058107</v>
      </c>
      <c r="P26">
        <v>1842.1052631578948</v>
      </c>
      <c r="Q26">
        <v>84.723156516442018</v>
      </c>
      <c r="R26">
        <v>1750</v>
      </c>
      <c r="S26">
        <v>0.99902448501052143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172.72691897815648</v>
      </c>
      <c r="P27">
        <v>2026.3157894736842</v>
      </c>
      <c r="Q27">
        <v>87.215431332438826</v>
      </c>
      <c r="R27">
        <v>1925</v>
      </c>
      <c r="S27">
        <v>0.99902394627406665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184.65481972206643</v>
      </c>
      <c r="P28">
        <v>2210.5263157894738</v>
      </c>
      <c r="Q28">
        <v>89.278890740788043</v>
      </c>
      <c r="R28">
        <v>2100</v>
      </c>
      <c r="S28">
        <v>0.99902338850571004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196.00990379960871</v>
      </c>
      <c r="P29">
        <v>2394.7368421052633</v>
      </c>
      <c r="Q29">
        <v>90.851873400906697</v>
      </c>
      <c r="R29">
        <v>2275</v>
      </c>
      <c r="S29">
        <v>0.99902280467927107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202.24547317793807</v>
      </c>
      <c r="P30">
        <v>2500</v>
      </c>
      <c r="Q30">
        <v>91.508498999492431</v>
      </c>
      <c r="R30">
        <v>2450</v>
      </c>
      <c r="S30">
        <v>0.99904081321255234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206.6599620312667</v>
      </c>
      <c r="P31">
        <v>2578.9473684210525</v>
      </c>
      <c r="Q31">
        <v>91.846791864574215</v>
      </c>
      <c r="R31">
        <v>2625</v>
      </c>
      <c r="S31">
        <v>0.99905826210256321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215.24259244561983</v>
      </c>
      <c r="P32">
        <v>2763.1578947368421</v>
      </c>
      <c r="Q32">
        <v>92.182090008185284</v>
      </c>
      <c r="R32">
        <v>2800</v>
      </c>
      <c r="S32">
        <v>0.99905714586207595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217.49484275926088</v>
      </c>
      <c r="P33">
        <v>2947.3684210526317</v>
      </c>
      <c r="Q33">
        <v>91.969188001107057</v>
      </c>
      <c r="R33">
        <v>2975</v>
      </c>
      <c r="S33">
        <v>0.99905693295840459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218.86642342944083</v>
      </c>
      <c r="P34">
        <v>3131.5789473684213</v>
      </c>
      <c r="Q34">
        <v>91.544171574727329</v>
      </c>
      <c r="R34">
        <v>3150</v>
      </c>
      <c r="S34">
        <v>0.99905671713182664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220.23860882037442</v>
      </c>
      <c r="P35">
        <v>3315.7894736842109</v>
      </c>
      <c r="Q35">
        <v>90.904517195119467</v>
      </c>
      <c r="R35">
        <v>3325</v>
      </c>
      <c r="S35">
        <v>0.9990564984149749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221.61159086457991</v>
      </c>
      <c r="P36">
        <v>3500</v>
      </c>
      <c r="Q36">
        <v>90</v>
      </c>
      <c r="R36">
        <v>3500</v>
      </c>
      <c r="S36">
        <v>0.99905627685587417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2019-10-14T08:39:57Z</dcterms:modified>
</cp:coreProperties>
</file>