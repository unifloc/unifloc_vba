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15E480C7-5204-4B93-A186-BC4B9E411B20}" xr6:coauthVersionLast="43" xr6:coauthVersionMax="43" xr10:uidLastSave="{00000000-0000-0000-0000-000000000000}"/>
  <bookViews>
    <workbookView xWindow="-120" yWindow="-120" windowWidth="38640" windowHeight="21390" tabRatio="529" activeTab="5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C38" i="4"/>
  <c r="E36" i="4"/>
  <c r="T34" i="4"/>
  <c r="C50" i="4"/>
  <c r="M41" i="4"/>
  <c r="AF10" i="9"/>
  <c r="E33" i="4"/>
  <c r="G24" i="4"/>
  <c r="T35" i="4"/>
  <c r="C24" i="4"/>
  <c r="V36" i="4" s="1"/>
  <c r="C33" i="4"/>
  <c r="C35" i="4"/>
  <c r="E35" i="4"/>
  <c r="C34" i="4"/>
  <c r="V34" i="4"/>
  <c r="V35" i="4" s="1"/>
  <c r="I36" i="4"/>
  <c r="M34" i="4"/>
  <c r="T36" i="4"/>
  <c r="I37" i="4"/>
  <c r="B1" i="6"/>
  <c r="I33" i="4"/>
  <c r="I34" i="4"/>
  <c r="V37" i="4"/>
  <c r="M37" i="4"/>
  <c r="I38" i="4"/>
  <c r="C41" i="4"/>
  <c r="M33" i="4"/>
  <c r="C37" i="4"/>
  <c r="M36" i="4"/>
  <c r="M35" i="4"/>
  <c r="C36" i="4"/>
  <c r="C27" i="4"/>
  <c r="C7" i="7"/>
  <c r="C28" i="4"/>
  <c r="E37" i="4"/>
  <c r="C19" i="4"/>
  <c r="M38" i="4"/>
  <c r="C29" i="4"/>
  <c r="I35" i="4"/>
  <c r="C10" i="7"/>
  <c r="C9" i="7"/>
  <c r="C8" i="7"/>
  <c r="C44" i="4"/>
  <c r="C46" i="4"/>
  <c r="O2" i="9" l="1"/>
  <c r="J2" i="9"/>
  <c r="E2" i="9"/>
  <c r="E2" i="2"/>
  <c r="C10" i="2"/>
  <c r="C9" i="2"/>
  <c r="C6" i="2"/>
  <c r="H3" i="4"/>
  <c r="C45" i="4"/>
  <c r="T37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<sst xmlns="http://schemas.openxmlformats.org/spreadsheetml/2006/main" count="456" uniqueCount="218">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</sst>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1020.492994506602</c:v>
                </c:pt>
                <c:pt idx="1">
                  <c:v>998.50273409187491</c:v>
                </c:pt>
                <c:pt idx="2">
                  <c:v>996.33018982821886</c:v>
                </c:pt>
                <c:pt idx="3">
                  <c:v>1005.5368957775936</c:v>
                </c:pt>
                <c:pt idx="4">
                  <c:v>1019.2350902166975</c:v>
                </c:pt>
                <c:pt idx="5">
                  <c:v>1031.9506113714424</c:v>
                </c:pt>
                <c:pt idx="6">
                  <c:v>1039.4857931514293</c:v>
                </c:pt>
                <c:pt idx="7">
                  <c:v>1038.7823608844246</c:v>
                </c:pt>
                <c:pt idx="8">
                  <c:v>1027.7843270508342</c:v>
                </c:pt>
                <c:pt idx="9">
                  <c:v>1005.30088701818</c:v>
                </c:pt>
                <c:pt idx="10">
                  <c:v>970.86931477557528</c:v>
                </c:pt>
                <c:pt idx="11">
                  <c:v>924.61785866820105</c:v>
                </c:pt>
                <c:pt idx="12">
                  <c:v>867.12863713177921</c:v>
                </c:pt>
                <c:pt idx="13">
                  <c:v>799.30053442705116</c:v>
                </c:pt>
                <c:pt idx="14">
                  <c:v>722.21209637425056</c:v>
                </c:pt>
                <c:pt idx="15">
                  <c:v>636.98442608758069</c:v>
                </c:pt>
                <c:pt idx="16">
                  <c:v>544.64407970968909</c:v>
                </c:pt>
                <c:pt idx="17">
                  <c:v>445.9859621461423</c:v>
                </c:pt>
                <c:pt idx="18">
                  <c:v>341.43622279990888</c:v>
                </c:pt>
                <c:pt idx="19">
                  <c:v>230.91515130581908</c:v>
                </c:pt>
                <c:pt idx="20">
                  <c:v>113.70007326505514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1.2118426969268953E-2</c:v>
                </c:pt>
                <c:pt idx="1">
                  <c:v>0.128063774405209</c:v>
                </c:pt>
                <c:pt idx="2">
                  <c:v>0.21867284436463946</c:v>
                </c:pt>
                <c:pt idx="3">
                  <c:v>0.29116648564167663</c:v>
                </c:pt>
                <c:pt idx="4">
                  <c:v>0.35108252336372453</c:v>
                </c:pt>
                <c:pt idx="5">
                  <c:v>0.40243937501579635</c:v>
                </c:pt>
                <c:pt idx="6">
                  <c:v>0.44789966646483514</c:v>
                </c:pt>
                <c:pt idx="7">
                  <c:v>0.48893384798403605</c:v>
                </c:pt>
                <c:pt idx="8">
                  <c:v>0.52598381027716712</c:v>
                </c:pt>
                <c:pt idx="9">
                  <c:v>0.55862650050289053</c:v>
                </c:pt>
                <c:pt idx="10">
                  <c:v>0.58573753829908504</c:v>
                </c:pt>
                <c:pt idx="11">
                  <c:v>0.60565483180716528</c:v>
                </c:pt>
                <c:pt idx="12">
                  <c:v>0.61634219369640608</c:v>
                </c:pt>
                <c:pt idx="13">
                  <c:v>0.6155529571882612</c:v>
                </c:pt>
                <c:pt idx="14">
                  <c:v>0.60099359208068459</c:v>
                </c:pt>
                <c:pt idx="15">
                  <c:v>0.57048732077245634</c:v>
                </c:pt>
                <c:pt idx="16">
                  <c:v>0.52213773428749444</c:v>
                </c:pt>
                <c:pt idx="17">
                  <c:v>0.45449240829919213</c:v>
                </c:pt>
                <c:pt idx="18">
                  <c:v>0.36670651915471719</c:v>
                </c:pt>
                <c:pt idx="19">
                  <c:v>0.25870645989935559</c:v>
                </c:pt>
                <c:pt idx="20">
                  <c:v>0.13135345630081563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12.403777231310915</c:v>
                </c:pt>
                <c:pt idx="1">
                  <c:v>11.2146006720822</c:v>
                </c:pt>
                <c:pt idx="2">
                  <c:v>11.403913012573343</c:v>
                </c:pt>
                <c:pt idx="3">
                  <c:v>12.460321630628856</c:v>
                </c:pt>
                <c:pt idx="4">
                  <c:v>13.978597219534477</c:v>
                </c:pt>
                <c:pt idx="5">
                  <c:v>15.649427714079199</c:v>
                </c:pt>
                <c:pt idx="6">
                  <c:v>17.249172216617289</c:v>
                </c:pt>
                <c:pt idx="7">
                  <c:v>18.629614923130273</c:v>
                </c:pt>
                <c:pt idx="8">
                  <c:v>19.707719049289011</c:v>
                </c:pt>
                <c:pt idx="9">
                  <c:v>20.455380756515638</c:v>
                </c:pt>
                <c:pt idx="10">
                  <c:v>20.889183078045637</c:v>
                </c:pt>
                <c:pt idx="11">
                  <c:v>21.060149844989816</c:v>
                </c:pt>
                <c:pt idx="12">
                  <c:v>21.043499612396342</c:v>
                </c:pt>
                <c:pt idx="13">
                  <c:v>20.928399585312835</c:v>
                </c:pt>
                <c:pt idx="14">
                  <c:v>20.807719544848116</c:v>
                </c:pt>
                <c:pt idx="15">
                  <c:v>20.767785774234667</c:v>
                </c:pt>
                <c:pt idx="16">
                  <c:v>20.878134984890032</c:v>
                </c:pt>
                <c:pt idx="17">
                  <c:v>21.181268242479618</c:v>
                </c:pt>
                <c:pt idx="18">
                  <c:v>21.682404892977956</c:v>
                </c:pt>
                <c:pt idx="19">
                  <c:v>22.33923648873138</c:v>
                </c:pt>
                <c:pt idx="20">
                  <c:v>23.051680714519161</c:v>
                </c:pt>
                <c:pt idx="21">
                  <c:v>23.607616774168317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0.62956551445184117</c:v>
                </c:pt>
                <c:pt idx="1">
                  <c:v>0.68732752556885646</c:v>
                </c:pt>
                <c:pt idx="2">
                  <c:v>0.76119264562208511</c:v>
                </c:pt>
                <c:pt idx="3">
                  <c:v>0.93407962928302546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52.953445154006914</c:v>
                </c:pt>
                <c:pt idx="1">
                  <c:v>63.998955572635623</c:v>
                </c:pt>
                <c:pt idx="2">
                  <c:v>75.999989992359033</c:v>
                </c:pt>
                <c:pt idx="3">
                  <c:v>90.044864124382073</c:v>
                </c:pt>
                <c:pt idx="4">
                  <c:v>105.66231271562339</c:v>
                </c:pt>
                <c:pt idx="5">
                  <c:v>121.25911118830803</c:v>
                </c:pt>
                <c:pt idx="6">
                  <c:v>136.24324667726384</c:v>
                </c:pt>
                <c:pt idx="7">
                  <c:v>150.65279519124775</c:v>
                </c:pt>
                <c:pt idx="8">
                  <c:v>164.45062164351154</c:v>
                </c:pt>
                <c:pt idx="9">
                  <c:v>177.63159468489471</c:v>
                </c:pt>
                <c:pt idx="10">
                  <c:v>190.19947036683621</c:v>
                </c:pt>
                <c:pt idx="11">
                  <c:v>202.16022810014951</c:v>
                </c:pt>
                <c:pt idx="12">
                  <c:v>213.5197083512725</c:v>
                </c:pt>
                <c:pt idx="13">
                  <c:v>222.79809061372487</c:v>
                </c:pt>
                <c:pt idx="14">
                  <c:v>222.79809061372487</c:v>
                </c:pt>
                <c:pt idx="15">
                  <c:v>224.16683570301294</c:v>
                </c:pt>
                <c:pt idx="16">
                  <c:v>233.46291685188706</c:v>
                </c:pt>
                <c:pt idx="17">
                  <c:v>236.47698643143866</c:v>
                </c:pt>
                <c:pt idx="18">
                  <c:v>237.7991984490715</c:v>
                </c:pt>
                <c:pt idx="19">
                  <c:v>239.1213353833283</c:v>
                </c:pt>
                <c:pt idx="20">
                  <c:v>240.44350553060215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7CCC1204-7319-41C8-BE7C-7DF17EA5FF0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A484249-40E0-4320-81DC-2E9B2122B1A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BFF19C92-B77B-4626-89A6-FFE6801871E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0EAE1D4-E43A-40E3-AA49-270FDCB463E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135445-E1BE-4C3F-BEB1-03F997293D0C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74E6556-0279-4C33-99FB-2EDFD4B5E30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44.963887267000999</c:v>
                </c:pt>
                <c:pt idx="1">
                  <c:v>52.953445154006914</c:v>
                </c:pt>
                <c:pt idx="2">
                  <c:v>240.44350553060215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39.097192668549418</c:v>
                </c:pt>
                <c:pt idx="1">
                  <c:v>40.64620904797286</c:v>
                </c:pt>
                <c:pt idx="2">
                  <c:v>42.506807806759369</c:v>
                </c:pt>
                <c:pt idx="3">
                  <c:v>44.827398839876111</c:v>
                </c:pt>
                <c:pt idx="4">
                  <c:v>47.700461039089703</c:v>
                </c:pt>
                <c:pt idx="5">
                  <c:v>51.097124579299269</c:v>
                </c:pt>
                <c:pt idx="6">
                  <c:v>55.1218635980809</c:v>
                </c:pt>
                <c:pt idx="7">
                  <c:v>59.923230372057198</c:v>
                </c:pt>
                <c:pt idx="8">
                  <c:v>65.636782537018917</c:v>
                </c:pt>
                <c:pt idx="9">
                  <c:v>71.456740248358102</c:v>
                </c:pt>
                <c:pt idx="10">
                  <c:v>76.602179927121639</c:v>
                </c:pt>
                <c:pt idx="11">
                  <c:v>80.992147118141418</c:v>
                </c:pt>
                <c:pt idx="12">
                  <c:v>84.54940507313448</c:v>
                </c:pt>
                <c:pt idx="13">
                  <c:v>86.892337644857264</c:v>
                </c:pt>
                <c:pt idx="14">
                  <c:v>86.892337644857264</c:v>
                </c:pt>
                <c:pt idx="15">
                  <c:v>87.1618515171876</c:v>
                </c:pt>
                <c:pt idx="16">
                  <c:v>88.702780661876275</c:v>
                </c:pt>
                <c:pt idx="17">
                  <c:v>89.293668221460067</c:v>
                </c:pt>
                <c:pt idx="18">
                  <c:v>89.664820156597855</c:v>
                </c:pt>
                <c:pt idx="19">
                  <c:v>89.909802609257952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0.41733777762128682</c:v>
                </c:pt>
                <c:pt idx="1">
                  <c:v>0.44782481399758284</c:v>
                </c:pt>
                <c:pt idx="2">
                  <c:v>0.47694677341519043</c:v>
                </c:pt>
                <c:pt idx="3">
                  <c:v>0.49013307920700527</c:v>
                </c:pt>
                <c:pt idx="4">
                  <c:v>0.51852135544850519</c:v>
                </c:pt>
                <c:pt idx="5">
                  <c:v>0.54509471824563827</c:v>
                </c:pt>
                <c:pt idx="6">
                  <c:v>0.59070902339106779</c:v>
                </c:pt>
                <c:pt idx="7">
                  <c:v>0.6165153563591298</c:v>
                </c:pt>
                <c:pt idx="8">
                  <c:v>0.6288879375397709</c:v>
                </c:pt>
                <c:pt idx="9">
                  <c:v>0.63597550592708751</c:v>
                </c:pt>
                <c:pt idx="10">
                  <c:v>0.64077552321823372</c:v>
                </c:pt>
                <c:pt idx="11">
                  <c:v>0.64380359099739581</c:v>
                </c:pt>
                <c:pt idx="12">
                  <c:v>0.64546625127036394</c:v>
                </c:pt>
                <c:pt idx="13">
                  <c:v>0.91147763913272972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50.037960975369877</c:v>
                </c:pt>
                <c:pt idx="1">
                  <c:v>59.275707056620107</c:v>
                </c:pt>
                <c:pt idx="2">
                  <c:v>69.025984684039884</c:v>
                </c:pt>
                <c:pt idx="3">
                  <c:v>71.891047488850433</c:v>
                </c:pt>
                <c:pt idx="4">
                  <c:v>79.814431523830919</c:v>
                </c:pt>
                <c:pt idx="5">
                  <c:v>91.211149982810696</c:v>
                </c:pt>
                <c:pt idx="6">
                  <c:v>102.88342052458717</c:v>
                </c:pt>
                <c:pt idx="7">
                  <c:v>114.50336894601946</c:v>
                </c:pt>
                <c:pt idx="8">
                  <c:v>124.23887588004067</c:v>
                </c:pt>
                <c:pt idx="9">
                  <c:v>125.82489615584288</c:v>
                </c:pt>
                <c:pt idx="10">
                  <c:v>136.74896862890779</c:v>
                </c:pt>
                <c:pt idx="11">
                  <c:v>147.22462644874639</c:v>
                </c:pt>
                <c:pt idx="12">
                  <c:v>157.21840572865182</c:v>
                </c:pt>
                <c:pt idx="13">
                  <c:v>157.77980024019499</c:v>
                </c:pt>
                <c:pt idx="14">
                  <c:v>169.47042148869255</c:v>
                </c:pt>
                <c:pt idx="15">
                  <c:v>174.5715516794902</c:v>
                </c:pt>
                <c:pt idx="16">
                  <c:v>180.88009441234468</c:v>
                </c:pt>
                <c:pt idx="17">
                  <c:v>187.708828821221</c:v>
                </c:pt>
                <c:pt idx="18">
                  <c:v>189.1836590309928</c:v>
                </c:pt>
                <c:pt idx="19">
                  <c:v>190.65827259538753</c:v>
                </c:pt>
                <c:pt idx="20">
                  <c:v>192.13266760629676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A86D5AD-AD21-4D6F-8A0B-87425C8FEB5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4613D6-37E0-45F9-ADF8-0B17701D864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91E56DAF-8A9F-4502-B47C-BC7BEB0FC8F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F744485-6CEC-4A0F-BC4C-C6DDD3B34D9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8091FA-8339-496D-B066-57A30F03C85F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89EFC30-F3D6-4E09-9AF5-75E529B7D2E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50.037960975369877</c:v>
                </c:pt>
                <c:pt idx="1">
                  <c:v>50.037960975369877</c:v>
                </c:pt>
                <c:pt idx="2">
                  <c:v>192.13266760629676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0.58900840097565155</c:v>
                </c:pt>
                <c:pt idx="1">
                  <c:v>0.68522576576829852</c:v>
                </c:pt>
                <c:pt idx="2">
                  <c:v>0.78990689568779149</c:v>
                </c:pt>
                <c:pt idx="3">
                  <c:v>0.90190097850819828</c:v>
                </c:pt>
                <c:pt idx="4">
                  <c:v>0.99902659221296852</c:v>
                </c:pt>
                <c:pt idx="5">
                  <c:v>0.99902600089913207</c:v>
                </c:pt>
                <c:pt idx="6">
                  <c:v>0.99902539234953669</c:v>
                </c:pt>
                <c:pt idx="7">
                  <c:v>0.99902477235601206</c:v>
                </c:pt>
                <c:pt idx="8">
                  <c:v>0.99902413166709947</c:v>
                </c:pt>
                <c:pt idx="9">
                  <c:v>0.99902346036715606</c:v>
                </c:pt>
                <c:pt idx="10">
                  <c:v>0.99902274973916128</c:v>
                </c:pt>
                <c:pt idx="11">
                  <c:v>0.99902198623772476</c:v>
                </c:pt>
                <c:pt idx="12">
                  <c:v>0.99902115108736667</c:v>
                </c:pt>
                <c:pt idx="13">
                  <c:v>0.99902020391141322</c:v>
                </c:pt>
                <c:pt idx="14">
                  <c:v>0.99903581471840963</c:v>
                </c:pt>
                <c:pt idx="15">
                  <c:v>0.99905001984219699</c:v>
                </c:pt>
                <c:pt idx="16">
                  <c:v>0.99904716018576145</c:v>
                </c:pt>
                <c:pt idx="17">
                  <c:v>0.99904651771362585</c:v>
                </c:pt>
                <c:pt idx="18">
                  <c:v>0.99904582374338469</c:v>
                </c:pt>
                <c:pt idx="19">
                  <c:v>0.99904506864523157</c:v>
                </c:pt>
                <c:pt idx="20">
                  <c:v>0.99904423989968827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55.913831696858871</c:v>
                </c:pt>
                <c:pt idx="1">
                  <c:v>67.053706508727899</c:v>
                </c:pt>
                <c:pt idx="2">
                  <c:v>79.709278672315108</c:v>
                </c:pt>
                <c:pt idx="3">
                  <c:v>93.990136726731393</c:v>
                </c:pt>
                <c:pt idx="4">
                  <c:v>109.80551121195604</c:v>
                </c:pt>
                <c:pt idx="5">
                  <c:v>125.94717918390671</c:v>
                </c:pt>
                <c:pt idx="6">
                  <c:v>141.59641968711372</c:v>
                </c:pt>
                <c:pt idx="7">
                  <c:v>156.63256106225825</c:v>
                </c:pt>
                <c:pt idx="8">
                  <c:v>171.06174967563922</c:v>
                </c:pt>
                <c:pt idx="9">
                  <c:v>184.89440063981317</c:v>
                </c:pt>
                <c:pt idx="10">
                  <c:v>198.13112195440755</c:v>
                </c:pt>
                <c:pt idx="11">
                  <c:v>210.77359011148107</c:v>
                </c:pt>
                <c:pt idx="12">
                  <c:v>222.82430902043885</c:v>
                </c:pt>
                <c:pt idx="13">
                  <c:v>234.27596673885535</c:v>
                </c:pt>
                <c:pt idx="14">
                  <c:v>240.55589182197266</c:v>
                </c:pt>
                <c:pt idx="15">
                  <c:v>244.99723023572733</c:v>
                </c:pt>
                <c:pt idx="16">
                  <c:v>253.6210129738902</c:v>
                </c:pt>
                <c:pt idx="17">
                  <c:v>255.87976705713447</c:v>
                </c:pt>
                <c:pt idx="18">
                  <c:v>257.25345492686631</c:v>
                </c:pt>
                <c:pt idx="19">
                  <c:v>258.62686617665184</c:v>
                </c:pt>
                <c:pt idx="20">
                  <c:v>260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0168C6A8-DA08-46E3-B064-C149AA63229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B0CECCE-3130-4C49-8536-5B6DB5987D6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CDEE136-9464-46FB-BDEF-3A0A6F16032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2638CB0-3407-45C2-A7DF-CA47F69FCE4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6DEB90-A340-4F09-9146-89D281AF6A8A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1783DFC-FD89-4D75-A99F-F8BD722EB65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49.252222842350292</c:v>
                </c:pt>
                <c:pt idx="1">
                  <c:v>55.913831696858871</c:v>
                </c:pt>
                <c:pt idx="2">
                  <c:v>260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539751</xdr:colOff>
      <xdr:row>12</xdr:row>
      <xdr:rowOff>179918</xdr:rowOff>
    </xdr:from>
    <xdr:to>
      <xdr:col>20</xdr:col>
      <xdr:colOff>332895</xdr:colOff>
      <xdr:row>42</xdr:row>
      <xdr:rowOff>67348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bi/AppData/Roaming/Microsoft/AddIns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I9" sqref="I9"/>
    </sheetView>
  </sheetViews>
  <sheetFormatPr defaultRowHeight="15" x14ac:dyDescent="0.25"/>
  <sheetData>
    <row r="1" spans="1:5" x14ac:dyDescent="0.25">
      <c r="A1" t="str">
        <f>"вер "&amp;B1</f>
        <v>вер 7.9</v>
      </c>
      <c r="B1" s="16" t="str">
        <f>[1]!getUFVersion()</f>
        <v>7.9</v>
      </c>
    </row>
    <row r="2" spans="1:5" x14ac:dyDescent="0.25">
      <c r="A2" t="s">
        <v>161</v>
      </c>
    </row>
    <row r="4" spans="1:5" x14ac:dyDescent="0.25">
      <c r="A4" s="67" t="str">
        <f>"Унифлок "&amp;версия_номер_</f>
        <v>Унифлок 7.9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85" zoomScaleNormal="85" workbookViewId="0">
      <selection activeCell="K9" sqref="K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7.9 приложение версия 1.1</v>
      </c>
      <c r="J1" s="2" t="s">
        <v>23</v>
      </c>
      <c r="K1" s="2"/>
      <c r="L1" s="2"/>
    </row>
    <row r="2" spans="1:42" ht="18" x14ac:dyDescent="0.2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80</v>
      </c>
      <c r="H14" s="5" t="s">
        <v>75</v>
      </c>
    </row>
    <row r="15" spans="1:42" ht="18" x14ac:dyDescent="0.25">
      <c r="F15" s="5" t="s">
        <v>20</v>
      </c>
      <c r="G15" s="9">
        <v>120</v>
      </c>
      <c r="H15" s="5" t="s">
        <v>2</v>
      </c>
    </row>
    <row r="16" spans="1:42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217</v>
      </c>
      <c r="C19" s="63" t="str">
        <f>[1]!PVT_Encode_string(gamma_gas_,gamma_oil_,gamma_wat_,Rsb_m3m3_,Rp_m3m3_,Pb_atma_,Tres_C_,Bob_m3m3_,mu_cP_,H3)</f>
        <v>gamma_gas:0,700;gamma_oil:0,860;gamma_wat:1,070;rsb_m3m3:100,000;rp_m3m3:100,000;pb_atma:120,000;tres_C:80,000;bob_m3m3:1,200;muob_cP:1,000;PVTcorr:0;ksep_fr:0,000;pksep_atma:-1,000;tksep_C:-1,000;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[1]!PVT_Rhoo_kgm3(C24,Tres_C_,gamma_gas_,gamma_oil_,gamma_w_,Rsb_m3m3_,,Pb_atma_,Tres_C_,Bob_m3m3_,mu_cP_,PVT_correlation_,Ksep_,Psep_atma_,Tsep_C_)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[1]!PVT_Rhoo_kgm3(Psc_atma_,Tsc_C_,gamma_gas_,gamma_oil_,gamma_w_,Rsb_m3m3_,,Pb_atma_,Tres_C_,Bob_m3m3_,mu_cP_,PVT_correlation_,Ksep_,Psep_atma_,Tsep_C_)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[1]!PVT_Rhoo_kgm3(C24,Tres_C_,gamma_gas_new_,gamma_oil_new_,gamma_w_,Rsb_m3m3_,,,,,,PVT_correlation_,Ksep_,Psep_atma_,Tsep_C_)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[1]!PVT_Rhoo_kgm3(P_atma_,T_C_,gamma_gas_,gamma_oil_,gamma_w_,Rsb_m3m3_,,Pb_atma_,Tres_C_,Bob_m3m3_,mu_cP_,PVT_correlation_,Ksep_,Psep_atma_,Tsep_C_)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[1]!MF_rhomix_kgm3(Ql_scm3day_,fw_perc_,P_atma_,T_C_,PVTstr_)</f>
        <v>353.01519847133039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0.99034498843581986</v>
      </c>
      <c r="Q60">
        <v>0.99034498843581986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0.94369839452620818</v>
      </c>
      <c r="Q61">
        <v>0.94369839452620818</v>
      </c>
      <c r="R61">
        <v>0.94380480305796899</v>
      </c>
    </row>
    <row r="62" spans="1:29" outlineLevel="1" x14ac:dyDescent="0.2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0.89794415227863633</v>
      </c>
      <c r="Q62">
        <v>0.89794415227863633</v>
      </c>
      <c r="R62">
        <v>0.89838271320356688</v>
      </c>
    </row>
    <row r="63" spans="1:29" outlineLevel="1" x14ac:dyDescent="0.2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0.85289363234854199</v>
      </c>
      <c r="Q63">
        <v>0.85289363234854199</v>
      </c>
      <c r="R63">
        <v>0.85389787785148896</v>
      </c>
    </row>
    <row r="64" spans="1:29" outlineLevel="1" x14ac:dyDescent="0.2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0.80849849860866785</v>
      </c>
      <c r="Q64">
        <v>0.80849849860866785</v>
      </c>
      <c r="R64">
        <v>0.81029957875240433</v>
      </c>
    </row>
    <row r="65" spans="1:18" outlineLevel="1" x14ac:dyDescent="0.2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0.76476180691473405</v>
      </c>
      <c r="Q65">
        <v>0.76476180691473405</v>
      </c>
      <c r="R65">
        <v>0.76758282317998527</v>
      </c>
    </row>
    <row r="66" spans="1:18" outlineLevel="1" x14ac:dyDescent="0.2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0.7217089355791344</v>
      </c>
      <c r="Q66">
        <v>0.7217089355791344</v>
      </c>
      <c r="R66">
        <v>0.72576148688122155</v>
      </c>
    </row>
    <row r="67" spans="1:18" outlineLevel="1" x14ac:dyDescent="0.2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0.67937419143118949</v>
      </c>
      <c r="Q67">
        <v>0.67937419143118949</v>
      </c>
      <c r="R67">
        <v>0.68485613630527642</v>
      </c>
    </row>
    <row r="68" spans="1:18" outlineLevel="1" x14ac:dyDescent="0.2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0.63779371087488834</v>
      </c>
      <c r="Q68">
        <v>0.63779371087488834</v>
      </c>
      <c r="R68">
        <v>0.6448877558763968</v>
      </c>
    </row>
    <row r="69" spans="1:18" outlineLevel="1" x14ac:dyDescent="0.2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0.59700146990351233</v>
      </c>
      <c r="Q69">
        <v>0.59700146990351233</v>
      </c>
      <c r="R69">
        <v>0.60587437769733143</v>
      </c>
    </row>
    <row r="70" spans="1:18" outlineLevel="1" x14ac:dyDescent="0.2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0.55702704196054287</v>
      </c>
      <c r="Q70">
        <v>0.55702704196054287</v>
      </c>
      <c r="R70">
        <v>0.56782932158282373</v>
      </c>
    </row>
    <row r="71" spans="1:18" outlineLevel="1" x14ac:dyDescent="0.2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0.51789442761253124</v>
      </c>
      <c r="Q71">
        <v>0.51789442761253124</v>
      </c>
      <c r="R71">
        <v>0.5307604002111781</v>
      </c>
    </row>
    <row r="72" spans="1:18" outlineLevel="1" x14ac:dyDescent="0.2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0.47962158074016309</v>
      </c>
      <c r="Q72">
        <v>0.47962158074016309</v>
      </c>
      <c r="R72">
        <v>0.49466973078924525</v>
      </c>
    </row>
    <row r="73" spans="1:18" outlineLevel="1" x14ac:dyDescent="0.2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0.44222040416910596</v>
      </c>
      <c r="Q73">
        <v>0.44222040416910596</v>
      </c>
      <c r="R73">
        <v>0.45955393739525124</v>
      </c>
    </row>
    <row r="74" spans="1:18" outlineLevel="1" x14ac:dyDescent="0.2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0.40569706788286175</v>
      </c>
      <c r="Q74">
        <v>0.40569706788286175</v>
      </c>
      <c r="R74">
        <v>0.42540460627061427</v>
      </c>
    </row>
    <row r="75" spans="1:18" outlineLevel="1" x14ac:dyDescent="0.2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0.37005255000022846</v>
      </c>
      <c r="Q75">
        <v>0.37005255000022846</v>
      </c>
      <c r="R75">
        <v>0.39220890251892532</v>
      </c>
    </row>
    <row r="76" spans="1:18" outlineLevel="1" x14ac:dyDescent="0.2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0.33528333025605495</v>
      </c>
      <c r="Q76">
        <v>0.33528333025605495</v>
      </c>
      <c r="R76">
        <v>0.35995028579310601</v>
      </c>
    </row>
    <row r="77" spans="1:18" outlineLevel="1" x14ac:dyDescent="0.2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0.30138218537840816</v>
      </c>
      <c r="Q77">
        <v>0.30138218537840816</v>
      </c>
      <c r="R77">
        <v>0.32860928186250504</v>
      </c>
    </row>
    <row r="78" spans="1:18" outlineLevel="1" x14ac:dyDescent="0.2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0.26833904937090636</v>
      </c>
      <c r="Q78">
        <v>0.26833904937090636</v>
      </c>
      <c r="R78">
        <v>0.2981642802084542</v>
      </c>
    </row>
    <row r="79" spans="1:18" outlineLevel="1" x14ac:dyDescent="0.2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0.23614191133325801</v>
      </c>
      <c r="Q79">
        <v>0.23614191133325801</v>
      </c>
      <c r="R79">
        <v>0.26859233704544261</v>
      </c>
    </row>
    <row r="80" spans="1:18" outlineLevel="1" x14ac:dyDescent="0.2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0.20477773020004303</v>
      </c>
      <c r="Q80">
        <v>0.20477773020004303</v>
      </c>
      <c r="R80">
        <v>0.23986996956425102</v>
      </c>
    </row>
    <row r="81" spans="1:18" outlineLevel="1" x14ac:dyDescent="0.2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0.14323864148035362</v>
      </c>
      <c r="Q81">
        <v>0.14323864148035362</v>
      </c>
      <c r="R81">
        <v>0.18373743834635339</v>
      </c>
    </row>
    <row r="82" spans="1:18" outlineLevel="1" x14ac:dyDescent="0.2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8.5025749798818134E-2</v>
      </c>
      <c r="Q82">
        <v>8.5025749798818134E-2</v>
      </c>
      <c r="R82">
        <v>0.13087400987928097</v>
      </c>
    </row>
    <row r="83" spans="1:18" outlineLevel="1" x14ac:dyDescent="0.2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3.008668064695837E-2</v>
      </c>
      <c r="Q83">
        <v>3.008668064695837E-2</v>
      </c>
      <c r="R83">
        <v>8.1140523979548809E-2</v>
      </c>
    </row>
    <row r="84" spans="1:18" outlineLevel="1" x14ac:dyDescent="0.2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2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8" sqref="M28"/>
    </sheetView>
  </sheetViews>
  <sheetFormatPr defaultRowHeight="15" x14ac:dyDescent="0.25"/>
  <sheetData>
    <row r="1" spans="1:16" x14ac:dyDescent="0.25">
      <c r="A1" t="str">
        <f>версия_</f>
        <v>вер 7.9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Q33" sqref="Q33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7.9</v>
      </c>
    </row>
    <row r="4" spans="1:11" x14ac:dyDescent="0.25">
      <c r="B4" s="51" t="s">
        <v>176</v>
      </c>
      <c r="C4" s="52">
        <v>156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1010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ЭЦН5А-200</v>
      </c>
      <c r="D8" s="51"/>
      <c r="G8">
        <v>1</v>
      </c>
      <c r="H8" s="54">
        <v>1</v>
      </c>
      <c r="I8" s="50">
        <v>1020.492994506602</v>
      </c>
      <c r="J8" s="50">
        <v>12.403777231310915</v>
      </c>
      <c r="K8" s="56">
        <v>1.2118426969268953E-2</v>
      </c>
    </row>
    <row r="9" spans="1:11" x14ac:dyDescent="0.25">
      <c r="B9" s="51" t="s">
        <v>184</v>
      </c>
      <c r="C9" s="53">
        <f>[1]!ESP_max_rate_m3day(ESP_freq_,ESP_ID_)*1</f>
        <v>231</v>
      </c>
      <c r="D9" s="51"/>
      <c r="G9">
        <v>2</v>
      </c>
      <c r="H9" s="55">
        <f t="shared" ref="H9:H29" si="0">(ESP_qmax_)/(pts_-1)+H8</f>
        <v>12</v>
      </c>
      <c r="I9" s="50">
        <v>998.50273409187491</v>
      </c>
      <c r="J9" s="50">
        <v>11.2146006720822</v>
      </c>
      <c r="K9" s="56">
        <v>0.128063774405209</v>
      </c>
    </row>
    <row r="10" spans="1:11" x14ac:dyDescent="0.25">
      <c r="B10" s="51" t="s">
        <v>185</v>
      </c>
      <c r="C10" s="53">
        <f>INT(ESP_head_nom_/[1]!ESP_head_m(ESP_rate_nom_,1,,ESP_ID_))</f>
        <v>337</v>
      </c>
      <c r="D10" s="51" t="s">
        <v>186</v>
      </c>
      <c r="G10">
        <v>3</v>
      </c>
      <c r="H10" s="55">
        <f t="shared" si="0"/>
        <v>23</v>
      </c>
      <c r="I10" s="50">
        <v>996.33018982821886</v>
      </c>
      <c r="J10" s="50">
        <v>11.403913012573343</v>
      </c>
      <c r="K10" s="56">
        <v>0.21867284436463946</v>
      </c>
    </row>
    <row r="11" spans="1:11" x14ac:dyDescent="0.25">
      <c r="G11">
        <v>4</v>
      </c>
      <c r="H11" s="55">
        <f t="shared" si="0"/>
        <v>34</v>
      </c>
      <c r="I11" s="50">
        <v>1005.5368957775936</v>
      </c>
      <c r="J11" s="50">
        <v>12.460321630628856</v>
      </c>
      <c r="K11" s="56">
        <v>0.29116648564167663</v>
      </c>
    </row>
    <row r="12" spans="1:11" x14ac:dyDescent="0.25">
      <c r="G12">
        <v>5</v>
      </c>
      <c r="H12" s="55">
        <f t="shared" si="0"/>
        <v>45</v>
      </c>
      <c r="I12" s="50">
        <v>1019.2350902166975</v>
      </c>
      <c r="J12" s="50">
        <v>13.978597219534477</v>
      </c>
      <c r="K12" s="56">
        <v>0.35108252336372453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56</v>
      </c>
      <c r="I13" s="50">
        <v>1031.9506113714424</v>
      </c>
      <c r="J13" s="50">
        <v>15.649427714079199</v>
      </c>
      <c r="K13" s="56">
        <v>0.40243937501579635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67</v>
      </c>
      <c r="I14" s="50">
        <v>1039.4857931514293</v>
      </c>
      <c r="J14" s="50">
        <v>17.249172216617289</v>
      </c>
      <c r="K14" s="56">
        <v>0.44789966646483514</v>
      </c>
    </row>
    <row r="15" spans="1:11" x14ac:dyDescent="0.25">
      <c r="G15">
        <v>8</v>
      </c>
      <c r="H15" s="55">
        <f t="shared" si="0"/>
        <v>78</v>
      </c>
      <c r="I15" s="50">
        <v>1038.7823608844246</v>
      </c>
      <c r="J15" s="50">
        <v>18.629614923130273</v>
      </c>
      <c r="K15" s="56">
        <v>0.48893384798403605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89</v>
      </c>
      <c r="I16" s="50">
        <v>1027.7843270508342</v>
      </c>
      <c r="J16" s="50">
        <v>19.707719049289011</v>
      </c>
      <c r="K16" s="56">
        <v>0.52598381027716712</v>
      </c>
    </row>
    <row r="17" spans="7:11" x14ac:dyDescent="0.25">
      <c r="G17">
        <v>10</v>
      </c>
      <c r="H17" s="55">
        <f t="shared" si="0"/>
        <v>100</v>
      </c>
      <c r="I17" s="50">
        <v>1005.30088701818</v>
      </c>
      <c r="J17" s="50">
        <v>20.455380756515638</v>
      </c>
      <c r="K17" s="56">
        <v>0.55862650050289053</v>
      </c>
    </row>
    <row r="18" spans="7:11" x14ac:dyDescent="0.25">
      <c r="G18">
        <v>11</v>
      </c>
      <c r="H18" s="55">
        <f t="shared" si="0"/>
        <v>111</v>
      </c>
      <c r="I18" s="50">
        <v>970.86931477557528</v>
      </c>
      <c r="J18" s="50">
        <v>20.889183078045637</v>
      </c>
      <c r="K18" s="56">
        <v>0.58573753829908504</v>
      </c>
    </row>
    <row r="19" spans="7:11" x14ac:dyDescent="0.25">
      <c r="G19">
        <v>12</v>
      </c>
      <c r="H19" s="55">
        <f t="shared" si="0"/>
        <v>122</v>
      </c>
      <c r="I19" s="50">
        <v>924.61785866820105</v>
      </c>
      <c r="J19" s="50">
        <v>21.060149844989816</v>
      </c>
      <c r="K19" s="56">
        <v>0.60565483180716528</v>
      </c>
    </row>
    <row r="20" spans="7:11" x14ac:dyDescent="0.25">
      <c r="G20">
        <v>13</v>
      </c>
      <c r="H20" s="55">
        <f t="shared" si="0"/>
        <v>133</v>
      </c>
      <c r="I20" s="50">
        <v>867.12863713177921</v>
      </c>
      <c r="J20" s="50">
        <v>21.043499612396342</v>
      </c>
      <c r="K20" s="56">
        <v>0.61634219369640608</v>
      </c>
    </row>
    <row r="21" spans="7:11" x14ac:dyDescent="0.25">
      <c r="G21">
        <v>14</v>
      </c>
      <c r="H21" s="55">
        <f t="shared" si="0"/>
        <v>144</v>
      </c>
      <c r="I21" s="50">
        <v>799.30053442705116</v>
      </c>
      <c r="J21" s="50">
        <v>20.928399585312835</v>
      </c>
      <c r="K21" s="56">
        <v>0.6155529571882612</v>
      </c>
    </row>
    <row r="22" spans="7:11" x14ac:dyDescent="0.25">
      <c r="G22">
        <v>15</v>
      </c>
      <c r="H22" s="55">
        <f t="shared" si="0"/>
        <v>155</v>
      </c>
      <c r="I22" s="50">
        <v>722.21209637425056</v>
      </c>
      <c r="J22" s="50">
        <v>20.807719544848116</v>
      </c>
      <c r="K22" s="56">
        <v>0.60099359208068459</v>
      </c>
    </row>
    <row r="23" spans="7:11" x14ac:dyDescent="0.25">
      <c r="G23">
        <v>16</v>
      </c>
      <c r="H23" s="55">
        <f t="shared" si="0"/>
        <v>166</v>
      </c>
      <c r="I23" s="50">
        <v>636.98442608758069</v>
      </c>
      <c r="J23" s="50">
        <v>20.767785774234667</v>
      </c>
      <c r="K23" s="56">
        <v>0.57048732077245634</v>
      </c>
    </row>
    <row r="24" spans="7:11" x14ac:dyDescent="0.25">
      <c r="G24">
        <v>17</v>
      </c>
      <c r="H24" s="55">
        <f t="shared" si="0"/>
        <v>177</v>
      </c>
      <c r="I24" s="50">
        <v>544.64407970968909</v>
      </c>
      <c r="J24" s="50">
        <v>20.878134984890032</v>
      </c>
      <c r="K24" s="56">
        <v>0.52213773428749444</v>
      </c>
    </row>
    <row r="25" spans="7:11" x14ac:dyDescent="0.25">
      <c r="G25">
        <v>18</v>
      </c>
      <c r="H25" s="55">
        <f t="shared" si="0"/>
        <v>188</v>
      </c>
      <c r="I25" s="50">
        <v>445.9859621461423</v>
      </c>
      <c r="J25" s="50">
        <v>21.181268242479618</v>
      </c>
      <c r="K25" s="56">
        <v>0.45449240829919213</v>
      </c>
    </row>
    <row r="26" spans="7:11" x14ac:dyDescent="0.25">
      <c r="G26">
        <v>19</v>
      </c>
      <c r="H26" s="55">
        <f t="shared" si="0"/>
        <v>199</v>
      </c>
      <c r="I26" s="50">
        <v>341.43622279990888</v>
      </c>
      <c r="J26" s="50">
        <v>21.682404892977956</v>
      </c>
      <c r="K26" s="56">
        <v>0.36670651915471719</v>
      </c>
    </row>
    <row r="27" spans="7:11" x14ac:dyDescent="0.25">
      <c r="G27">
        <v>20</v>
      </c>
      <c r="H27" s="55">
        <f t="shared" si="0"/>
        <v>210</v>
      </c>
      <c r="I27" s="50">
        <v>230.91515130581908</v>
      </c>
      <c r="J27" s="50">
        <v>22.33923648873138</v>
      </c>
      <c r="K27" s="56">
        <v>0.25870645989935559</v>
      </c>
    </row>
    <row r="28" spans="7:11" x14ac:dyDescent="0.25">
      <c r="G28">
        <v>21</v>
      </c>
      <c r="H28" s="55">
        <f t="shared" si="0"/>
        <v>221</v>
      </c>
      <c r="I28" s="50">
        <v>113.70007326505514</v>
      </c>
      <c r="J28" s="50">
        <v>23.051680714519161</v>
      </c>
      <c r="K28" s="56">
        <v>0.13135345630081563</v>
      </c>
    </row>
    <row r="29" spans="7:11" x14ac:dyDescent="0.25">
      <c r="G29">
        <v>22</v>
      </c>
      <c r="H29" s="55">
        <f t="shared" si="0"/>
        <v>232</v>
      </c>
      <c r="I29" s="50">
        <v>0</v>
      </c>
      <c r="J29" s="50">
        <v>23.607616774168317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7.9</v>
      </c>
    </row>
    <row r="3" spans="1:4" x14ac:dyDescent="0.25">
      <c r="B3" t="s">
        <v>207</v>
      </c>
    </row>
    <row r="5" spans="1:4" x14ac:dyDescent="0.25">
      <c r="B5" t="s">
        <v>208</v>
      </c>
      <c r="C5" s="11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tabSelected="1" zoomScale="90" zoomScaleNormal="90" workbookViewId="0">
      <selection activeCell="AG19" sqref="AG19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7.9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205</v>
      </c>
      <c r="R11" s="25">
        <v>44.963887267000999</v>
      </c>
      <c r="S11" s="5" t="s">
        <v>204</v>
      </c>
      <c r="T11" s="14" t="s">
        <v>55</v>
      </c>
      <c r="U11" s="25">
        <v>39.097192668549418</v>
      </c>
      <c r="V11" s="5" t="s">
        <v>25</v>
      </c>
    </row>
    <row r="12" spans="1:37" ht="18" x14ac:dyDescent="0.35">
      <c r="Q12" s="14" t="s">
        <v>206</v>
      </c>
      <c r="R12" s="25">
        <v>52.953445154006914</v>
      </c>
      <c r="S12" s="5" t="s">
        <v>204</v>
      </c>
      <c r="T12" s="14" t="s">
        <v>56</v>
      </c>
      <c r="U12" s="25">
        <v>39.097192668549418</v>
      </c>
      <c r="V12" s="5" t="s">
        <v>25</v>
      </c>
    </row>
    <row r="13" spans="1:37" ht="18" x14ac:dyDescent="0.35">
      <c r="D13" s="1"/>
      <c r="Q13" s="14" t="s">
        <v>47</v>
      </c>
      <c r="R13" s="25">
        <v>240.44350553060215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52.953445154006914</v>
      </c>
      <c r="P16">
        <v>0</v>
      </c>
      <c r="Q16">
        <v>39.097192668549418</v>
      </c>
      <c r="R16">
        <v>0</v>
      </c>
      <c r="S16">
        <v>0.62956551445184117</v>
      </c>
      <c r="U16">
        <v>0</v>
      </c>
      <c r="V16" s="50">
        <f>Pline_out_atma_</f>
        <v>44.963887267000999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63.998955572635623</v>
      </c>
      <c r="P17">
        <v>194.44444444444446</v>
      </c>
      <c r="Q17">
        <v>40.64620904797286</v>
      </c>
      <c r="R17">
        <v>175</v>
      </c>
      <c r="S17">
        <v>0.68732752556885646</v>
      </c>
      <c r="U17">
        <v>0</v>
      </c>
      <c r="V17" s="50">
        <f>Pbuf_out_atma_</f>
        <v>52.953445154006914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75.999989992359033</v>
      </c>
      <c r="P18">
        <v>388.88888888888891</v>
      </c>
      <c r="Q18">
        <v>42.506807806759369</v>
      </c>
      <c r="R18">
        <v>350</v>
      </c>
      <c r="S18">
        <v>0.76119264562208511</v>
      </c>
      <c r="U18">
        <f>Hperf_m_</f>
        <v>3500</v>
      </c>
      <c r="V18" s="50">
        <f>Pwf_out_atma_</f>
        <v>240.44350553060215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90.044864124382073</v>
      </c>
      <c r="P19">
        <v>583.33333333333337</v>
      </c>
      <c r="Q19">
        <v>44.827398839876111</v>
      </c>
      <c r="R19">
        <v>525</v>
      </c>
      <c r="S19">
        <v>0.93407962928302546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105.66231271562339</v>
      </c>
      <c r="P20">
        <v>777.77777777777783</v>
      </c>
      <c r="Q20">
        <v>47.700461039089703</v>
      </c>
      <c r="R20">
        <v>700</v>
      </c>
      <c r="S20">
        <v>1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121.25911118830803</v>
      </c>
      <c r="P21">
        <v>972.22222222222229</v>
      </c>
      <c r="Q21">
        <v>51.097124579299269</v>
      </c>
      <c r="R21">
        <v>875</v>
      </c>
      <c r="S21">
        <v>1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136.24324667726384</v>
      </c>
      <c r="P22">
        <v>1166.6666666666667</v>
      </c>
      <c r="Q22">
        <v>55.1218635980809</v>
      </c>
      <c r="R22">
        <v>1050</v>
      </c>
      <c r="S22">
        <v>1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150.65279519124775</v>
      </c>
      <c r="P23">
        <v>1361.1111111111113</v>
      </c>
      <c r="Q23">
        <v>59.923230372057198</v>
      </c>
      <c r="R23">
        <v>1225</v>
      </c>
      <c r="S23">
        <v>1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164.45062164351154</v>
      </c>
      <c r="P24">
        <v>1555.5555555555557</v>
      </c>
      <c r="Q24">
        <v>65.636782537018917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177.63159468489471</v>
      </c>
      <c r="P25">
        <v>1750</v>
      </c>
      <c r="Q25">
        <v>71.456740248358102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190.19947036683621</v>
      </c>
      <c r="P26">
        <v>1944.4444444444446</v>
      </c>
      <c r="Q26">
        <v>76.602179927121639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202.16022810014951</v>
      </c>
      <c r="P27">
        <v>2138.8888888888891</v>
      </c>
      <c r="Q27">
        <v>80.992147118141418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213.5197083512725</v>
      </c>
      <c r="P28">
        <v>2333.3333333333335</v>
      </c>
      <c r="Q28">
        <v>84.54940507313448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222.79809061372487</v>
      </c>
      <c r="P29">
        <v>2500</v>
      </c>
      <c r="Q29">
        <v>86.892337644857264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222.79809061372487</v>
      </c>
      <c r="P30">
        <v>2501</v>
      </c>
      <c r="Q30">
        <v>86.892337644857264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224.16683570301294</v>
      </c>
      <c r="P31">
        <v>2527.7777777777778</v>
      </c>
      <c r="Q31">
        <v>87.1618515171876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233.46291685188706</v>
      </c>
      <c r="P32">
        <v>2722.2222222222226</v>
      </c>
      <c r="Q32">
        <v>88.702780661876275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236.47698643143866</v>
      </c>
      <c r="P33">
        <v>2916.666666666667</v>
      </c>
      <c r="Q33">
        <v>89.293668221460067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237.7991984490715</v>
      </c>
      <c r="P34">
        <v>3111.1111111111113</v>
      </c>
      <c r="Q34">
        <v>89.664820156597855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239.1213353833283</v>
      </c>
      <c r="P35">
        <v>3305.5555555555557</v>
      </c>
      <c r="Q35">
        <v>89.909802609257952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240.44350553060215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B38" s="2"/>
      <c r="C38" s="18">
        <v>2625</v>
      </c>
      <c r="D38" s="18">
        <v>186.511102757185</v>
      </c>
      <c r="E38" s="18">
        <v>54</v>
      </c>
    </row>
    <row r="39" spans="2:19" x14ac:dyDescent="0.25">
      <c r="B39" s="2"/>
      <c r="C39" s="18">
        <v>2750</v>
      </c>
      <c r="D39" s="18">
        <v>196.298712131494</v>
      </c>
      <c r="E39" s="18">
        <v>55</v>
      </c>
    </row>
    <row r="40" spans="2:19" x14ac:dyDescent="0.25">
      <c r="B40" s="2"/>
      <c r="C40" s="18">
        <v>2875</v>
      </c>
      <c r="D40" s="18">
        <v>206.08632150580399</v>
      </c>
      <c r="E40" s="18">
        <v>56</v>
      </c>
    </row>
    <row r="41" spans="2:19" x14ac:dyDescent="0.25">
      <c r="B41" s="2"/>
      <c r="C41" s="18">
        <v>3000</v>
      </c>
      <c r="D41" s="18">
        <v>215.87393088011299</v>
      </c>
      <c r="E41" s="18">
        <v>57</v>
      </c>
    </row>
    <row r="42" spans="2:19" x14ac:dyDescent="0.25">
      <c r="B42" s="2"/>
      <c r="C42" s="18">
        <v>3125</v>
      </c>
      <c r="D42" s="18">
        <v>225.66154025442199</v>
      </c>
      <c r="E42" s="18">
        <v>58</v>
      </c>
    </row>
    <row r="43" spans="2:19" x14ac:dyDescent="0.25">
      <c r="B43" s="2"/>
      <c r="C43" s="18">
        <v>3250</v>
      </c>
      <c r="D43" s="18">
        <v>235.44914962873099</v>
      </c>
      <c r="E43" s="18">
        <v>59</v>
      </c>
    </row>
    <row r="44" spans="2:19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90" zoomScaleNormal="90" workbookViewId="0">
      <selection activeCell="AF20" sqref="AF20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7.9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50.037960975369877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5000</v>
      </c>
      <c r="P11" s="57" t="s">
        <v>46</v>
      </c>
      <c r="Q11" s="25">
        <v>50.037960975369877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192.13266760629676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50.037960975369877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0.41733777762128682</v>
      </c>
      <c r="W16">
        <v>0</v>
      </c>
      <c r="X16" s="50">
        <f>Pline_out_atma_</f>
        <v>50.037960975369877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59.275707056620107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0.44782481399758284</v>
      </c>
      <c r="W17">
        <v>0</v>
      </c>
      <c r="X17" s="50">
        <f>Pbuf_out_atma_</f>
        <v>50.037960975369877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69.025984684039884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0.47694677341519043</v>
      </c>
      <c r="W18">
        <v>3500</v>
      </c>
      <c r="X18" s="50">
        <f>Pwf_out_atma_</f>
        <v>192.13266760629676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71.891047488850433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0.49013307920700527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79.814431523830919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0.51852135544850519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91.211149982810696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0.54509471824563827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102.88342052458717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0.59070902339106779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114.50336894601946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0.6165153563591298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124.23887588004067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0.6288879375397709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125.82489615584288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0.63597550592708751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136.74896862890779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0.64077552321823372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147.22462644874639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0.64380359099739581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157.21840572865182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0.64546625127036394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157.77980024019499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0.91147763913272972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169.47042148869255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174.5715516794902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180.88009441234468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187.708828821221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189.1836590309928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190.65827259538753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192.13266760629676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70" zoomScaleNormal="70" workbookViewId="0">
      <selection activeCell="AH24" sqref="AH24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7.9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2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49.252222842350292</v>
      </c>
      <c r="R10" s="5" t="s">
        <v>44</v>
      </c>
      <c r="S10" s="57" t="s">
        <v>55</v>
      </c>
      <c r="T10" s="25">
        <v>20.000000000000004</v>
      </c>
      <c r="U10" s="5" t="s">
        <v>25</v>
      </c>
    </row>
    <row r="11" spans="1:34" ht="18" x14ac:dyDescent="0.35">
      <c r="P11" s="57" t="s">
        <v>46</v>
      </c>
      <c r="Q11" s="25">
        <v>55.913831696858871</v>
      </c>
      <c r="R11" s="5" t="s">
        <v>44</v>
      </c>
      <c r="S11" s="57" t="s">
        <v>56</v>
      </c>
      <c r="T11" s="25">
        <v>20.000000000000004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260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55.913831696858871</v>
      </c>
      <c r="P16">
        <v>0</v>
      </c>
      <c r="Q16">
        <v>20.000000000000004</v>
      </c>
      <c r="R16">
        <v>0</v>
      </c>
      <c r="S16">
        <v>0.58900840097565155</v>
      </c>
      <c r="U16">
        <v>0</v>
      </c>
      <c r="V16" s="50">
        <f>Pline_out_atma_</f>
        <v>49.252222842350292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67.053706508727899</v>
      </c>
      <c r="P17">
        <v>184.21052631578948</v>
      </c>
      <c r="Q17">
        <v>25.526315789473689</v>
      </c>
      <c r="R17">
        <v>175</v>
      </c>
      <c r="S17">
        <v>0.68522576576829852</v>
      </c>
      <c r="U17">
        <v>0</v>
      </c>
      <c r="V17" s="50">
        <f>Pbuf_out_atma_</f>
        <v>55.913831696858871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79.709278672315108</v>
      </c>
      <c r="P18">
        <v>368.42105263157896</v>
      </c>
      <c r="Q18">
        <v>31.05263157894737</v>
      </c>
      <c r="R18">
        <v>350</v>
      </c>
      <c r="S18">
        <v>0.78990689568779149</v>
      </c>
      <c r="U18">
        <v>3500</v>
      </c>
      <c r="V18" s="50">
        <f>Pwf_out_atma_</f>
        <v>260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93.990136726731393</v>
      </c>
      <c r="P19">
        <v>552.63157894736844</v>
      </c>
      <c r="Q19">
        <v>36.578947368421055</v>
      </c>
      <c r="R19">
        <v>525</v>
      </c>
      <c r="S19">
        <v>0.90190097850819828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109.80551121195604</v>
      </c>
      <c r="P20">
        <v>736.84210526315792</v>
      </c>
      <c r="Q20">
        <v>42.10526315789474</v>
      </c>
      <c r="R20">
        <v>700</v>
      </c>
      <c r="S20">
        <v>0.99902659221296852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125.94717918390671</v>
      </c>
      <c r="P21">
        <v>921.0526315789474</v>
      </c>
      <c r="Q21">
        <v>47.631578947368425</v>
      </c>
      <c r="R21">
        <v>875</v>
      </c>
      <c r="S21">
        <v>0.99902600089913207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141.59641968711372</v>
      </c>
      <c r="P22">
        <v>1105.2631578947369</v>
      </c>
      <c r="Q22">
        <v>53.03</v>
      </c>
      <c r="R22">
        <v>1050</v>
      </c>
      <c r="S22">
        <v>0.99902539234953669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156.63256106225825</v>
      </c>
      <c r="P23">
        <v>1289.4736842105262</v>
      </c>
      <c r="Q23">
        <v>58.226315789473688</v>
      </c>
      <c r="R23">
        <v>1225</v>
      </c>
      <c r="S23">
        <v>0.99902477235601206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171.06174967563922</v>
      </c>
      <c r="P24">
        <v>1473.6842105263158</v>
      </c>
      <c r="Q24">
        <v>63.217368421052633</v>
      </c>
      <c r="R24">
        <v>1400</v>
      </c>
      <c r="S24">
        <v>0.99902413166709947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184.89440063981317</v>
      </c>
      <c r="P25">
        <v>1657.8947368421054</v>
      </c>
      <c r="Q25">
        <v>68.006315789473689</v>
      </c>
      <c r="R25">
        <v>1575</v>
      </c>
      <c r="S25">
        <v>0.99902346036715606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198.13112195440755</v>
      </c>
      <c r="P26">
        <v>1842.1052631578948</v>
      </c>
      <c r="Q26">
        <v>72.593157894736848</v>
      </c>
      <c r="R26">
        <v>1750</v>
      </c>
      <c r="S26">
        <v>0.99902274973916128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210.77359011148107</v>
      </c>
      <c r="P27">
        <v>2026.3157894736842</v>
      </c>
      <c r="Q27">
        <v>76.977894736842103</v>
      </c>
      <c r="R27">
        <v>1925</v>
      </c>
      <c r="S27">
        <v>0.99902198623772476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222.82430902043885</v>
      </c>
      <c r="P28">
        <v>2210.5263157894738</v>
      </c>
      <c r="Q28">
        <v>81.160526315789483</v>
      </c>
      <c r="R28">
        <v>2100</v>
      </c>
      <c r="S28">
        <v>0.99902115108736667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234.27596673885535</v>
      </c>
      <c r="P29">
        <v>2394.7368421052633</v>
      </c>
      <c r="Q29">
        <v>85.137894736842114</v>
      </c>
      <c r="R29">
        <v>2275</v>
      </c>
      <c r="S29">
        <v>0.99902020391141322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240.55589182197266</v>
      </c>
      <c r="P30">
        <v>2500</v>
      </c>
      <c r="Q30">
        <v>87.32</v>
      </c>
      <c r="R30">
        <v>2450</v>
      </c>
      <c r="S30">
        <v>0.99903581471840963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244.99723023572733</v>
      </c>
      <c r="P31">
        <v>2578.9473684210525</v>
      </c>
      <c r="Q31">
        <v>88.906842105263152</v>
      </c>
      <c r="R31">
        <v>2625</v>
      </c>
      <c r="S31">
        <v>0.99905001984219699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253.6210129738902</v>
      </c>
      <c r="P32">
        <v>2763.1578947368421</v>
      </c>
      <c r="Q32">
        <v>92.473684210526315</v>
      </c>
      <c r="R32">
        <v>2800</v>
      </c>
      <c r="S32">
        <v>0.99904716018576145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255.87976705713447</v>
      </c>
      <c r="P33">
        <v>2947.3684210526317</v>
      </c>
      <c r="Q33">
        <v>93.555263157894743</v>
      </c>
      <c r="R33">
        <v>2975</v>
      </c>
      <c r="S33">
        <v>0.99904651771362585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257.25345492686631</v>
      </c>
      <c r="P34">
        <v>3131.5789473684213</v>
      </c>
      <c r="Q34">
        <v>94.036842105263162</v>
      </c>
      <c r="R34">
        <v>3150</v>
      </c>
      <c r="S34">
        <v>0.99904582374338469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258.62686617665184</v>
      </c>
      <c r="P35">
        <v>3315.7894736842109</v>
      </c>
      <c r="Q35">
        <v>94.518421052631581</v>
      </c>
      <c r="R35">
        <v>3325</v>
      </c>
      <c r="S35">
        <v>0.99904506864523157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260</v>
      </c>
      <c r="P36">
        <v>3500</v>
      </c>
      <c r="Q36">
        <v>95</v>
      </c>
      <c r="R36">
        <v>3500</v>
      </c>
      <c r="S36">
        <v>0.99904423989968827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2019-07-29T13:26:30Z</dcterms:modified>
</cp:coreProperties>
</file>