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C:\Users\Rinat Habibullin\Desktop\"/>
    </mc:Choice>
  </mc:AlternateContent>
  <xr:revisionPtr revIDLastSave="0" documentId="13_ncr:1_{B2E351FD-0A1A-4175-8E58-D96D5230B343}" xr6:coauthVersionLast="43" xr6:coauthVersionMax="43" xr10:uidLastSave="{00000000-0000-0000-0000-000000000000}"/>
  <bookViews>
    <workbookView xWindow="-120" yWindow="-120" windowWidth="38640" windowHeight="21240" tabRatio="529" activeTab="7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correlation_MF_fontan_" localSheetId="5">'Calc ESP'!$J$2</definedName>
    <definedName name="correlation_MF_fontan_" localSheetId="6">'Calc GasLift'!$J$2</definedName>
    <definedName name="correlation_MF_fontan_" localSheetId="7">'Calc Self Flow'!$J$2</definedName>
    <definedName name="correlation_PVT_fontan_" localSheetId="5">'Calc ESP'!$E$2</definedName>
    <definedName name="correlation_PVT_fontan_" localSheetId="6">'Calc GasLift'!$E$2</definedName>
    <definedName name="correlation_PVT_fontan_" localSheetId="7">'Calc Self Flow'!$E$2</definedName>
    <definedName name="correlation_T_fontan_" localSheetId="5">'Calc ESP'!$O$2</definedName>
    <definedName name="correlation_T_fontan_" localSheetId="6">'Calc GasLift'!$O$2</definedName>
    <definedName name="correlation_T_fontan_" localSheetId="7">'Calc Self Flow'!$O$2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0" l="1"/>
  <c r="A1" i="9"/>
  <c r="O2" i="9"/>
  <c r="J2" i="9"/>
  <c r="E2" i="9"/>
  <c r="E2" i="2"/>
  <c r="C10" i="2"/>
  <c r="C9" i="2"/>
  <c r="C6" i="2"/>
  <c r="H3" i="4"/>
  <c r="M38" i="4"/>
  <c r="M34" i="4"/>
  <c r="I38" i="4"/>
  <c r="I34" i="4"/>
  <c r="C38" i="4"/>
  <c r="C34" i="4"/>
  <c r="C19" i="4"/>
  <c r="C7" i="7"/>
  <c r="C9" i="7" s="1"/>
  <c r="M33" i="4"/>
  <c r="B1" i="6"/>
  <c r="AF10" i="9"/>
  <c r="C50" i="4"/>
  <c r="M41" i="4"/>
  <c r="V34" i="4"/>
  <c r="V37" i="4" s="1"/>
  <c r="G24" i="4"/>
  <c r="E36" i="4"/>
  <c r="M37" i="4"/>
  <c r="C37" i="4"/>
  <c r="C8" i="7"/>
  <c r="M36" i="4"/>
  <c r="I35" i="4"/>
  <c r="T34" i="4"/>
  <c r="T37" i="4" s="1"/>
  <c r="E38" i="4"/>
  <c r="M35" i="4"/>
  <c r="C35" i="4"/>
  <c r="C36" i="4"/>
  <c r="C41" i="4"/>
  <c r="I37" i="4"/>
  <c r="E35" i="4"/>
  <c r="E34" i="4"/>
  <c r="I33" i="4"/>
  <c r="E33" i="4"/>
  <c r="I36" i="4"/>
  <c r="C24" i="4"/>
  <c r="C29" i="4" s="1"/>
  <c r="C33" i="4"/>
  <c r="C45" i="4"/>
  <c r="E37" i="4"/>
  <c r="C10" i="7"/>
  <c r="C28" i="4"/>
  <c r="C27" i="4"/>
  <c r="T36" i="4"/>
  <c r="V36" i="4"/>
  <c r="C44" i="4"/>
  <c r="C46" i="4"/>
  <c r="K10" i="4" l="1"/>
  <c r="C8" i="2" s="1"/>
  <c r="V35" i="4"/>
  <c r="T35" i="4"/>
  <c r="V18" i="10" l="1"/>
  <c r="V17" i="10"/>
  <c r="V16" i="10"/>
  <c r="O2" i="10"/>
  <c r="J2" i="10"/>
  <c r="E2" i="10"/>
  <c r="X18" i="9"/>
  <c r="X17" i="9"/>
  <c r="X16" i="9"/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W35" i="4" l="1"/>
  <c r="AB34" i="4" s="1"/>
  <c r="W37" i="4"/>
  <c r="AB35" i="4" s="1"/>
  <c r="W36" i="4"/>
  <c r="AB39" i="4" s="1"/>
  <c r="U35" i="4"/>
  <c r="AA34" i="4" s="1"/>
  <c r="U37" i="4"/>
  <c r="AA35" i="4" s="1"/>
  <c r="U36" i="4"/>
  <c r="AA39" i="4" s="1"/>
  <c r="W34" i="4"/>
  <c r="B80" i="4"/>
  <c r="F38" i="4"/>
  <c r="F34" i="4"/>
  <c r="F35" i="4"/>
  <c r="F37" i="4"/>
  <c r="F36" i="4"/>
  <c r="U34" i="4"/>
  <c r="AA33" i="4" s="1"/>
  <c r="F33" i="4"/>
  <c r="H5" i="7"/>
  <c r="C16" i="7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4" l="1"/>
  <c r="A1" i="8"/>
  <c r="A1" i="2"/>
  <c r="A1" i="7"/>
  <c r="A1" i="3"/>
  <c r="O2" i="2" l="1"/>
  <c r="J2" i="2"/>
  <c r="C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<sst xmlns="http://schemas.openxmlformats.org/spreadsheetml/2006/main" count="456" uniqueCount="218">
  <si>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</si>
  <si>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</si>
  <si>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</si>
  <si>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</si>
  <si>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</si>
  <si>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</si>
  <si>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</si>
  <si>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</si>
  <si>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</si>
  <si>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</si>
  <si>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</si>
  <si>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</si>
  <si>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</si>
  <si>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</si>
  <si>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</si>
  <si>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</si>
  <si>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</si>
  <si>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</si>
  <si>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</si>
  <si>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</si>
  <si>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</si>
  <si>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</si>
  <si>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</si>
  <si>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</si>
  <si>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</si>
  <si>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</si>
  <si>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</si>
  <si>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</si>
  <si>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</si>
  <si>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</si>
  <si>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</si>
  <si>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</si>
  <si>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</si>
  <si>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</si>
  <si>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</si>
  <si>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</si>
  <si>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</si>
  <si>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</si>
  <si>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</si>
  <si>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</si>
  <si>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</si>
  <si>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</si>
  <si>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</si>
  <si>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</si>
  <si>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</si>
  <si>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</si>
  <si>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</si>
  <si>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</si>
  <si>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</si>
  <si>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</si>
  <si>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</si>
  <si>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</si>
  <si>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</si>
  <si>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</si>
  <si>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</si>
  <si>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</si>
  <si>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</si>
  <si>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</si>
  <si>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</si>
  <si>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</si>
  <si>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</si>
  <si>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</si>
  <si>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</si>
  <si>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</si>
  <si>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</si>
  <si>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</si>
  <si>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</si>
  <si>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</si>
  <si>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</si>
  <si>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</si>
  <si>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</si>
  <si>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</si>
  <si>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</si>
  <si>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</si>
  <si>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</si>
  <si>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</si>
  <si>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</si>
  <si>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</si>
  <si>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</si>
  <si>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</si>
  <si>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</si>
  <si>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</si>
  <si>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</si>
  <si>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</si>
  <si>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</si>
  <si>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</si>
  <si>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</si>
  <si>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</si>
  <si>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</si>
  <si>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</si>
  <si>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</si>
  <si>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</si>
  <si>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</si>
  <si>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</si>
  <si>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</si>
  <si>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</si>
  <si>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</si>
  <si>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</si>
  <si>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</si>
  <si>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</si>
  <si>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</si>
  <si>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</si>
  <si>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</si>
  <si>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</si>
  <si>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</si>
  <si>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</si>
  <si>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</si>
  <si>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</si>
  <si>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</si>
  <si>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</si>
  <si>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</si>
  <si>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</si>
  <si>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</si>
  <si>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</si>
  <si>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</si>
  <si>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</si>
  <si>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</si>
  <si>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</si>
  <si>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</si>
  <si>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</si>
  <si>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</si>
  <si>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</si>
  <si>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</si>
  <si>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</si>
  <si>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</si>
  <si>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</si>
  <si>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</si>
  <si>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</si>
  <si>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</si>
  <si>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</si>
  <si>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</si>
  <si>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</si>
  <si>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</si>
  <si>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</si>
  <si>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</si>
  <si>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</si>
  <si>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</si>
  <si>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</si>
  <si>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</si>
  <si>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</si>
  <si>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</si>
  <si>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</si>
  <si>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</si>
  <si>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</si>
  <si>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</si>
  <si>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</si>
  <si>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</si>
  <si>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</si>
  <si>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</si>
  <si>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</si>
  <si>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</si>
  <si>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</si>
  <si>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</si>
  <si>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</si>
  <si>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</si>
  <si>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</si>
  <si>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</si>
  <si>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</si>
  <si>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</si>
  <si>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</si>
  <si>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</si>
  <si>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</si>
  <si>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</si>
  <si>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</si>
  <si>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</si>
  <si>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</si>
  <si>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</si>
  <si>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</si>
  <si>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</si>
  <si>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</si>
  <si>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</si>
  <si>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</si>
  <si>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</si>
  <si>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</si>
  <si>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</si>
  <si>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</si>
  <si>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</si>
  <si>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</si>
  <si>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</si>
  <si>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</si>
  <si>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</si>
  <si>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</si>
  <si>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</si>
  <si>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</si>
  <si>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</si>
  <si>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</si>
  <si>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</si>
  <si>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</si>
  <si>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</si>
  <si>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</si>
  <si>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</si>
  <si>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</si>
  <si>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</si>
  <si>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</si>
  <si>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</si>
  <si>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</si>
  <si>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</si>
  <si>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</si>
  <si>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</si>
  <si>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</si>
  <si>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</si>
  <si>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</si>
  <si>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</si>
  <si>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</si>
  <si>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</si>
  <si>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</si>
  <si>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</si>
  <si>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</si>
  <si>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</si>
  <si>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</si>
  <si>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</si>
  <si>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</si>
  <si>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</si>
  <si>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hmes Tamb</t>
  </si>
  <si>
    <t>hmes Ttub</t>
  </si>
  <si>
    <t>Tcas</t>
  </si>
  <si>
    <t>pcas</t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</si>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</sst>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  <xf numFmtId="0" fontId="16" fillId="0" borderId="0" xfId="0" applyFont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0.24522533964564697</c:v>
                </c:pt>
                <c:pt idx="1">
                  <c:v>2.0836706762914035</c:v>
                </c:pt>
                <c:pt idx="2">
                  <c:v>4.3159116333061673</c:v>
                </c:pt>
                <c:pt idx="3">
                  <c:v>6.7722621384921586</c:v>
                </c:pt>
                <c:pt idx="4">
                  <c:v>9.3926427807302151</c:v>
                </c:pt>
                <c:pt idx="5">
                  <c:v>12.144483135609654</c:v>
                </c:pt>
                <c:pt idx="6">
                  <c:v>15.006978263108998</c:v>
                </c:pt>
                <c:pt idx="7">
                  <c:v>17.965551803760047</c:v>
                </c:pt>
                <c:pt idx="8">
                  <c:v>21.009358439673843</c:v>
                </c:pt>
                <c:pt idx="9">
                  <c:v>24.129978870084365</c:v>
                </c:pt>
                <c:pt idx="10">
                  <c:v>27.32066684513488</c:v>
                </c:pt>
                <c:pt idx="11">
                  <c:v>30.575882302441194</c:v>
                </c:pt>
                <c:pt idx="12">
                  <c:v>33.890985567825872</c:v>
                </c:pt>
                <c:pt idx="13">
                  <c:v>37.262028183735517</c:v>
                </c:pt>
                <c:pt idx="14">
                  <c:v>40.685604715110827</c:v>
                </c:pt>
                <c:pt idx="15">
                  <c:v>44.158744656156443</c:v>
                </c:pt>
                <c:pt idx="16">
                  <c:v>47.678831630143243</c:v>
                </c:pt>
                <c:pt idx="17">
                  <c:v>51.243541712663692</c:v>
                </c:pt>
                <c:pt idx="18">
                  <c:v>54.850795492172466</c:v>
                </c:pt>
                <c:pt idx="19">
                  <c:v>58.498720214262562</c:v>
                </c:pt>
                <c:pt idx="20">
                  <c:v>62.185619469288788</c:v>
                </c:pt>
                <c:pt idx="21">
                  <c:v>69.832391150560952</c:v>
                </c:pt>
                <c:pt idx="22">
                  <c:v>77.623947773431695</c:v>
                </c:pt>
                <c:pt idx="23">
                  <c:v>85.550488074551552</c:v>
                </c:pt>
                <c:pt idx="24">
                  <c:v>93.603592056427246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853.36501910466143</c:v>
                </c:pt>
                <c:pt idx="1">
                  <c:v>851.81754557754698</c:v>
                </c:pt>
                <c:pt idx="2">
                  <c:v>849.89602297964996</c:v>
                </c:pt>
                <c:pt idx="3">
                  <c:v>847.73394434232841</c:v>
                </c:pt>
                <c:pt idx="4">
                  <c:v>845.37945794485836</c:v>
                </c:pt>
                <c:pt idx="5">
                  <c:v>842.8605958899708</c:v>
                </c:pt>
                <c:pt idx="6">
                  <c:v>840.19713819442973</c:v>
                </c:pt>
                <c:pt idx="7">
                  <c:v>837.4045702766756</c:v>
                </c:pt>
                <c:pt idx="8">
                  <c:v>834.49578079704759</c:v>
                </c:pt>
                <c:pt idx="9">
                  <c:v>831.48191152527806</c:v>
                </c:pt>
                <c:pt idx="10">
                  <c:v>828.37283206381744</c:v>
                </c:pt>
                <c:pt idx="11">
                  <c:v>825.17742845397902</c:v>
                </c:pt>
                <c:pt idx="12">
                  <c:v>821.90379108716832</c:v>
                </c:pt>
                <c:pt idx="13">
                  <c:v>818.55934423731026</c:v>
                </c:pt>
                <c:pt idx="14">
                  <c:v>815.15093975456739</c:v>
                </c:pt>
                <c:pt idx="15">
                  <c:v>811.68492766303518</c:v>
                </c:pt>
                <c:pt idx="16">
                  <c:v>808.16721123705156</c:v>
                </c:pt>
                <c:pt idx="17">
                  <c:v>804.60329125721387</c:v>
                </c:pt>
                <c:pt idx="18">
                  <c:v>800.99830247561226</c:v>
                </c:pt>
                <c:pt idx="19">
                  <c:v>797.35704430831811</c:v>
                </c:pt>
                <c:pt idx="20">
                  <c:v>793.68400713947676</c:v>
                </c:pt>
                <c:pt idx="21">
                  <c:v>786.09891267606145</c:v>
                </c:pt>
                <c:pt idx="22">
                  <c:v>778.4309577060435</c:v>
                </c:pt>
                <c:pt idx="23">
                  <c:v>770.70861699364718</c:v>
                </c:pt>
                <c:pt idx="24">
                  <c:v>762.95682604567833</c:v>
                </c:pt>
                <c:pt idx="25">
                  <c:v>757.22963411265869</c:v>
                </c:pt>
                <c:pt idx="26">
                  <c:v>758.36145954663607</c:v>
                </c:pt>
                <c:pt idx="27">
                  <c:v>759.36066205184477</c:v>
                </c:pt>
                <c:pt idx="28">
                  <c:v>760.24926113498736</c:v>
                </c:pt>
                <c:pt idx="29">
                  <c:v>761.04465751199837</c:v>
                </c:pt>
                <c:pt idx="30">
                  <c:v>761.76078377546401</c:v>
                </c:pt>
                <c:pt idx="31">
                  <c:v>762.40892740119614</c:v>
                </c:pt>
                <c:pt idx="32">
                  <c:v>762.99833001386889</c:v>
                </c:pt>
                <c:pt idx="33">
                  <c:v>763.5366307977298</c:v>
                </c:pt>
                <c:pt idx="34">
                  <c:v>764.03019937674458</c:v>
                </c:pt>
                <c:pt idx="35">
                  <c:v>764.48438902584849</c:v>
                </c:pt>
                <c:pt idx="36">
                  <c:v>764.9037316048649</c:v>
                </c:pt>
                <c:pt idx="37">
                  <c:v>765.29208928494904</c:v>
                </c:pt>
                <c:pt idx="38">
                  <c:v>765.65277384253875</c:v>
                </c:pt>
                <c:pt idx="39">
                  <c:v>765.98864133057157</c:v>
                </c:pt>
                <c:pt idx="40">
                  <c:v>766.30216785897346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1.0080208293055315</c:v>
                </c:pt>
                <c:pt idx="1">
                  <c:v>1.0116977970221952</c:v>
                </c:pt>
                <c:pt idx="2">
                  <c:v>1.0162312813768366</c:v>
                </c:pt>
                <c:pt idx="3">
                  <c:v>1.0213010539879912</c:v>
                </c:pt>
                <c:pt idx="4">
                  <c:v>1.0267962936902495</c:v>
                </c:pt>
                <c:pt idx="5">
                  <c:v>1.0326569361256086</c:v>
                </c:pt>
                <c:pt idx="6">
                  <c:v>1.0388440736855331</c:v>
                </c:pt>
                <c:pt idx="7">
                  <c:v>1.0453298098884751</c:v>
                </c:pt>
                <c:pt idx="8">
                  <c:v>1.0520927887801381</c:v>
                </c:pt>
                <c:pt idx="9">
                  <c:v>1.0591159042948526</c:v>
                </c:pt>
                <c:pt idx="10">
                  <c:v>1.0663849982603448</c:v>
                </c:pt>
                <c:pt idx="11">
                  <c:v>1.073888061197309</c:v>
                </c:pt>
                <c:pt idx="12">
                  <c:v>1.0816147115854664</c:v>
                </c:pt>
                <c:pt idx="13">
                  <c:v>1.0895558399781531</c:v>
                </c:pt>
                <c:pt idx="14">
                  <c:v>1.0977033560995806</c:v>
                </c:pt>
                <c:pt idx="15">
                  <c:v>1.1060500032041969</c:v>
                </c:pt>
                <c:pt idx="16">
                  <c:v>1.1145892180443424</c:v>
                </c:pt>
                <c:pt idx="17">
                  <c:v>1.1233150227673139</c:v>
                </c:pt>
                <c:pt idx="18">
                  <c:v>1.1322219397893958</c:v>
                </c:pt>
                <c:pt idx="19">
                  <c:v>1.1413049236047763</c:v>
                </c:pt>
                <c:pt idx="20">
                  <c:v>1.1505593053400971</c:v>
                </c:pt>
                <c:pt idx="21">
                  <c:v>1.169979944962791</c:v>
                </c:pt>
                <c:pt idx="22">
                  <c:v>1.1900647253628218</c:v>
                </c:pt>
                <c:pt idx="23">
                  <c:v>1.2107843370644027</c:v>
                </c:pt>
                <c:pt idx="24">
                  <c:v>1.2321127799103735</c:v>
                </c:pt>
                <c:pt idx="25">
                  <c:v>1.2486555694666963</c:v>
                </c:pt>
                <c:pt idx="26">
                  <c:v>1.2467919988513796</c:v>
                </c:pt>
                <c:pt idx="27">
                  <c:v>1.2451514112479076</c:v>
                </c:pt>
                <c:pt idx="28">
                  <c:v>1.2436960459368558</c:v>
                </c:pt>
                <c:pt idx="29">
                  <c:v>1.2423962124523464</c:v>
                </c:pt>
                <c:pt idx="30">
                  <c:v>1.2412282440082927</c:v>
                </c:pt>
                <c:pt idx="31">
                  <c:v>1.2401730436485923</c:v>
                </c:pt>
                <c:pt idx="32">
                  <c:v>1.2392150320732858</c:v>
                </c:pt>
                <c:pt idx="33">
                  <c:v>1.2383413733695241</c:v>
                </c:pt>
                <c:pt idx="34">
                  <c:v>1.2375413966245108</c:v>
                </c:pt>
                <c:pt idx="35">
                  <c:v>1.2368061579450125</c:v>
                </c:pt>
                <c:pt idx="36">
                  <c:v>1.2361281046651209</c:v>
                </c:pt>
                <c:pt idx="37">
                  <c:v>1.2355008149678459</c:v>
                </c:pt>
                <c:pt idx="38">
                  <c:v>1.2349187938741168</c:v>
                </c:pt>
                <c:pt idx="39">
                  <c:v>1.2343773118587928</c:v>
                </c:pt>
                <c:pt idx="40">
                  <c:v>1.2338722760523479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19.222141283362781</c:v>
                </c:pt>
                <c:pt idx="1">
                  <c:v>17.129203978069782</c:v>
                </c:pt>
                <c:pt idx="2">
                  <c:v>15.086593761208942</c:v>
                </c:pt>
                <c:pt idx="3">
                  <c:v>13.299926796259093</c:v>
                </c:pt>
                <c:pt idx="4">
                  <c:v>11.77941826821861</c:v>
                </c:pt>
                <c:pt idx="5">
                  <c:v>10.495013084946841</c:v>
                </c:pt>
                <c:pt idx="6">
                  <c:v>9.4096417226881677</c:v>
                </c:pt>
                <c:pt idx="7">
                  <c:v>8.4888966356150277</c:v>
                </c:pt>
                <c:pt idx="8">
                  <c:v>7.7035142147442617</c:v>
                </c:pt>
                <c:pt idx="9">
                  <c:v>7.0294616291957235</c:v>
                </c:pt>
                <c:pt idx="10">
                  <c:v>6.4472830901680007</c:v>
                </c:pt>
                <c:pt idx="11">
                  <c:v>5.9413011235292226</c:v>
                </c:pt>
                <c:pt idx="12">
                  <c:v>5.4988781080973439</c:v>
                </c:pt>
                <c:pt idx="13">
                  <c:v>5.109795332848301</c:v>
                </c:pt>
                <c:pt idx="14">
                  <c:v>4.7657521134140053</c:v>
                </c:pt>
                <c:pt idx="15">
                  <c:v>4.4599695141416973</c:v>
                </c:pt>
                <c:pt idx="16">
                  <c:v>4.186879479895997</c:v>
                </c:pt>
                <c:pt idx="17">
                  <c:v>3.941881596185512</c:v>
                </c:pt>
                <c:pt idx="18">
                  <c:v>3.721152608527647</c:v>
                </c:pt>
                <c:pt idx="19">
                  <c:v>3.5214968338972046</c:v>
                </c:pt>
                <c:pt idx="20">
                  <c:v>3.3402282103479428</c:v>
                </c:pt>
                <c:pt idx="21">
                  <c:v>3.0179300771231135</c:v>
                </c:pt>
                <c:pt idx="22">
                  <c:v>2.7479651483479524</c:v>
                </c:pt>
                <c:pt idx="23">
                  <c:v>2.5191569351789669</c:v>
                </c:pt>
                <c:pt idx="24">
                  <c:v>2.3231931564587418</c:v>
                </c:pt>
                <c:pt idx="25">
                  <c:v>2.1969105778534734</c:v>
                </c:pt>
                <c:pt idx="26">
                  <c:v>2.2277934807390247</c:v>
                </c:pt>
                <c:pt idx="27">
                  <c:v>2.260873652360408</c:v>
                </c:pt>
                <c:pt idx="28">
                  <c:v>2.2960464389042663</c:v>
                </c:pt>
                <c:pt idx="29">
                  <c:v>2.3332188042345927</c:v>
                </c:pt>
                <c:pt idx="30">
                  <c:v>2.3723072099186853</c:v>
                </c:pt>
                <c:pt idx="31">
                  <c:v>2.4132358958560109</c:v>
                </c:pt>
                <c:pt idx="32">
                  <c:v>2.4559354731722225</c:v>
                </c:pt>
                <c:pt idx="33">
                  <c:v>2.5003417635681928</c:v>
                </c:pt>
                <c:pt idx="34">
                  <c:v>2.5463948354167449</c:v>
                </c:pt>
                <c:pt idx="35">
                  <c:v>2.594038198593605</c:v>
                </c:pt>
                <c:pt idx="36">
                  <c:v>2.6432181286425935</c:v>
                </c:pt>
                <c:pt idx="37">
                  <c:v>2.6938830973012582</c:v>
                </c:pt>
                <c:pt idx="38">
                  <c:v>2.7459832912631539</c:v>
                </c:pt>
                <c:pt idx="39">
                  <c:v>2.799470204751993</c:v>
                </c:pt>
                <c:pt idx="40">
                  <c:v>2.8542962943309615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0.94380480305796899</c:v>
                </c:pt>
                <c:pt idx="2">
                  <c:v>0.89838271320356688</c:v>
                </c:pt>
                <c:pt idx="3">
                  <c:v>0.85389787785148896</c:v>
                </c:pt>
                <c:pt idx="4">
                  <c:v>0.81029957875240433</c:v>
                </c:pt>
                <c:pt idx="5">
                  <c:v>0.76758282317998527</c:v>
                </c:pt>
                <c:pt idx="6">
                  <c:v>0.72576148688122155</c:v>
                </c:pt>
                <c:pt idx="7">
                  <c:v>0.68485613630527642</c:v>
                </c:pt>
                <c:pt idx="8">
                  <c:v>0.6448877558763968</c:v>
                </c:pt>
                <c:pt idx="9">
                  <c:v>0.60587437769733143</c:v>
                </c:pt>
                <c:pt idx="10">
                  <c:v>0.56782932158282373</c:v>
                </c:pt>
                <c:pt idx="11">
                  <c:v>0.5307604002111781</c:v>
                </c:pt>
                <c:pt idx="12">
                  <c:v>0.49466973078924525</c:v>
                </c:pt>
                <c:pt idx="13">
                  <c:v>0.45955393739525124</c:v>
                </c:pt>
                <c:pt idx="14">
                  <c:v>0.42540460627061427</c:v>
                </c:pt>
                <c:pt idx="15">
                  <c:v>0.39220890251892532</c:v>
                </c:pt>
                <c:pt idx="16">
                  <c:v>0.35995028579310601</c:v>
                </c:pt>
                <c:pt idx="17">
                  <c:v>0.32860928186250504</c:v>
                </c:pt>
                <c:pt idx="18">
                  <c:v>0.2981642802084542</c:v>
                </c:pt>
                <c:pt idx="19">
                  <c:v>0.26859233704544261</c:v>
                </c:pt>
                <c:pt idx="20">
                  <c:v>0.23986996956425102</c:v>
                </c:pt>
                <c:pt idx="21">
                  <c:v>0.18373743834635339</c:v>
                </c:pt>
                <c:pt idx="22">
                  <c:v>0.13087400987928097</c:v>
                </c:pt>
                <c:pt idx="23">
                  <c:v>8.1140523979548809E-2</c:v>
                </c:pt>
                <c:pt idx="24">
                  <c:v>3.4460110113717669E-2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12</c:v>
                </c:pt>
                <c:pt idx="2">
                  <c:v>23</c:v>
                </c:pt>
                <c:pt idx="3">
                  <c:v>34</c:v>
                </c:pt>
                <c:pt idx="4">
                  <c:v>45</c:v>
                </c:pt>
                <c:pt idx="5">
                  <c:v>56</c:v>
                </c:pt>
                <c:pt idx="6">
                  <c:v>67</c:v>
                </c:pt>
                <c:pt idx="7">
                  <c:v>78</c:v>
                </c:pt>
                <c:pt idx="8">
                  <c:v>89</c:v>
                </c:pt>
                <c:pt idx="9">
                  <c:v>100</c:v>
                </c:pt>
                <c:pt idx="10">
                  <c:v>111</c:v>
                </c:pt>
                <c:pt idx="11">
                  <c:v>122</c:v>
                </c:pt>
                <c:pt idx="12">
                  <c:v>133</c:v>
                </c:pt>
                <c:pt idx="13">
                  <c:v>144</c:v>
                </c:pt>
                <c:pt idx="14">
                  <c:v>155</c:v>
                </c:pt>
                <c:pt idx="15">
                  <c:v>166</c:v>
                </c:pt>
                <c:pt idx="16">
                  <c:v>177</c:v>
                </c:pt>
                <c:pt idx="17">
                  <c:v>188</c:v>
                </c:pt>
                <c:pt idx="18">
                  <c:v>199</c:v>
                </c:pt>
                <c:pt idx="19">
                  <c:v>210</c:v>
                </c:pt>
                <c:pt idx="20">
                  <c:v>221</c:v>
                </c:pt>
                <c:pt idx="21">
                  <c:v>232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1020.492994506602</c:v>
                </c:pt>
                <c:pt idx="1">
                  <c:v>998.50273409187491</c:v>
                </c:pt>
                <c:pt idx="2">
                  <c:v>996.33018982821886</c:v>
                </c:pt>
                <c:pt idx="3">
                  <c:v>1005.5368957775936</c:v>
                </c:pt>
                <c:pt idx="4">
                  <c:v>1019.2350902166975</c:v>
                </c:pt>
                <c:pt idx="5">
                  <c:v>1031.9506113714424</c:v>
                </c:pt>
                <c:pt idx="6">
                  <c:v>1039.4857931514293</c:v>
                </c:pt>
                <c:pt idx="7">
                  <c:v>1038.7823608844246</c:v>
                </c:pt>
                <c:pt idx="8">
                  <c:v>1027.7843270508342</c:v>
                </c:pt>
                <c:pt idx="9">
                  <c:v>1005.30088701818</c:v>
                </c:pt>
                <c:pt idx="10">
                  <c:v>970.86931477557528</c:v>
                </c:pt>
                <c:pt idx="11">
                  <c:v>924.61785866820105</c:v>
                </c:pt>
                <c:pt idx="12">
                  <c:v>867.12863713177921</c:v>
                </c:pt>
                <c:pt idx="13">
                  <c:v>799.30053442705116</c:v>
                </c:pt>
                <c:pt idx="14">
                  <c:v>722.21209637425056</c:v>
                </c:pt>
                <c:pt idx="15">
                  <c:v>636.98442608758069</c:v>
                </c:pt>
                <c:pt idx="16">
                  <c:v>544.64407970968909</c:v>
                </c:pt>
                <c:pt idx="17">
                  <c:v>445.9859621461423</c:v>
                </c:pt>
                <c:pt idx="18">
                  <c:v>341.43622279990888</c:v>
                </c:pt>
                <c:pt idx="19">
                  <c:v>230.91515130581908</c:v>
                </c:pt>
                <c:pt idx="20">
                  <c:v>113.70007326505514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12</c:v>
                </c:pt>
                <c:pt idx="2">
                  <c:v>23</c:v>
                </c:pt>
                <c:pt idx="3">
                  <c:v>34</c:v>
                </c:pt>
                <c:pt idx="4">
                  <c:v>45</c:v>
                </c:pt>
                <c:pt idx="5">
                  <c:v>56</c:v>
                </c:pt>
                <c:pt idx="6">
                  <c:v>67</c:v>
                </c:pt>
                <c:pt idx="7">
                  <c:v>78</c:v>
                </c:pt>
                <c:pt idx="8">
                  <c:v>89</c:v>
                </c:pt>
                <c:pt idx="9">
                  <c:v>100</c:v>
                </c:pt>
                <c:pt idx="10">
                  <c:v>111</c:v>
                </c:pt>
                <c:pt idx="11">
                  <c:v>122</c:v>
                </c:pt>
                <c:pt idx="12">
                  <c:v>133</c:v>
                </c:pt>
                <c:pt idx="13">
                  <c:v>144</c:v>
                </c:pt>
                <c:pt idx="14">
                  <c:v>155</c:v>
                </c:pt>
                <c:pt idx="15">
                  <c:v>166</c:v>
                </c:pt>
                <c:pt idx="16">
                  <c:v>177</c:v>
                </c:pt>
                <c:pt idx="17">
                  <c:v>188</c:v>
                </c:pt>
                <c:pt idx="18">
                  <c:v>199</c:v>
                </c:pt>
                <c:pt idx="19">
                  <c:v>210</c:v>
                </c:pt>
                <c:pt idx="20">
                  <c:v>221</c:v>
                </c:pt>
                <c:pt idx="21">
                  <c:v>232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1.2118426969268953E-2</c:v>
                </c:pt>
                <c:pt idx="1">
                  <c:v>0.128063774405209</c:v>
                </c:pt>
                <c:pt idx="2">
                  <c:v>0.21867284436463946</c:v>
                </c:pt>
                <c:pt idx="3">
                  <c:v>0.29116648564167663</c:v>
                </c:pt>
                <c:pt idx="4">
                  <c:v>0.35108252336372453</c:v>
                </c:pt>
                <c:pt idx="5">
                  <c:v>0.40243937501579635</c:v>
                </c:pt>
                <c:pt idx="6">
                  <c:v>0.44789966646483514</c:v>
                </c:pt>
                <c:pt idx="7">
                  <c:v>0.48893384798403605</c:v>
                </c:pt>
                <c:pt idx="8">
                  <c:v>0.52598381027716712</c:v>
                </c:pt>
                <c:pt idx="9">
                  <c:v>0.55862650050289053</c:v>
                </c:pt>
                <c:pt idx="10">
                  <c:v>0.58573753829908504</c:v>
                </c:pt>
                <c:pt idx="11">
                  <c:v>0.60565483180716528</c:v>
                </c:pt>
                <c:pt idx="12">
                  <c:v>0.61634219369640608</c:v>
                </c:pt>
                <c:pt idx="13">
                  <c:v>0.6155529571882612</c:v>
                </c:pt>
                <c:pt idx="14">
                  <c:v>0.60099359208068459</c:v>
                </c:pt>
                <c:pt idx="15">
                  <c:v>0.57048732077245634</c:v>
                </c:pt>
                <c:pt idx="16">
                  <c:v>0.52213773428749444</c:v>
                </c:pt>
                <c:pt idx="17">
                  <c:v>0.45449240829919213</c:v>
                </c:pt>
                <c:pt idx="18">
                  <c:v>0.36670651915471719</c:v>
                </c:pt>
                <c:pt idx="19">
                  <c:v>0.25870645989935559</c:v>
                </c:pt>
                <c:pt idx="20">
                  <c:v>0.13135345630081563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12</c:v>
                </c:pt>
                <c:pt idx="2">
                  <c:v>23</c:v>
                </c:pt>
                <c:pt idx="3">
                  <c:v>34</c:v>
                </c:pt>
                <c:pt idx="4">
                  <c:v>45</c:v>
                </c:pt>
                <c:pt idx="5">
                  <c:v>56</c:v>
                </c:pt>
                <c:pt idx="6">
                  <c:v>67</c:v>
                </c:pt>
                <c:pt idx="7">
                  <c:v>78</c:v>
                </c:pt>
                <c:pt idx="8">
                  <c:v>89</c:v>
                </c:pt>
                <c:pt idx="9">
                  <c:v>100</c:v>
                </c:pt>
                <c:pt idx="10">
                  <c:v>111</c:v>
                </c:pt>
                <c:pt idx="11">
                  <c:v>122</c:v>
                </c:pt>
                <c:pt idx="12">
                  <c:v>133</c:v>
                </c:pt>
                <c:pt idx="13">
                  <c:v>144</c:v>
                </c:pt>
                <c:pt idx="14">
                  <c:v>155</c:v>
                </c:pt>
                <c:pt idx="15">
                  <c:v>166</c:v>
                </c:pt>
                <c:pt idx="16">
                  <c:v>177</c:v>
                </c:pt>
                <c:pt idx="17">
                  <c:v>188</c:v>
                </c:pt>
                <c:pt idx="18">
                  <c:v>199</c:v>
                </c:pt>
                <c:pt idx="19">
                  <c:v>210</c:v>
                </c:pt>
                <c:pt idx="20">
                  <c:v>221</c:v>
                </c:pt>
                <c:pt idx="21">
                  <c:v>232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12.403777231310915</c:v>
                </c:pt>
                <c:pt idx="1">
                  <c:v>11.2146006720822</c:v>
                </c:pt>
                <c:pt idx="2">
                  <c:v>11.403913012573343</c:v>
                </c:pt>
                <c:pt idx="3">
                  <c:v>12.460321630628856</c:v>
                </c:pt>
                <c:pt idx="4">
                  <c:v>13.978597219534477</c:v>
                </c:pt>
                <c:pt idx="5">
                  <c:v>15.649427714079199</c:v>
                </c:pt>
                <c:pt idx="6">
                  <c:v>17.249172216617289</c:v>
                </c:pt>
                <c:pt idx="7">
                  <c:v>18.629614923130273</c:v>
                </c:pt>
                <c:pt idx="8">
                  <c:v>19.707719049289011</c:v>
                </c:pt>
                <c:pt idx="9">
                  <c:v>20.455380756515638</c:v>
                </c:pt>
                <c:pt idx="10">
                  <c:v>20.889183078045637</c:v>
                </c:pt>
                <c:pt idx="11">
                  <c:v>21.060149844989816</c:v>
                </c:pt>
                <c:pt idx="12">
                  <c:v>21.043499612396342</c:v>
                </c:pt>
                <c:pt idx="13">
                  <c:v>20.928399585312835</c:v>
                </c:pt>
                <c:pt idx="14">
                  <c:v>20.807719544848116</c:v>
                </c:pt>
                <c:pt idx="15">
                  <c:v>20.767785774234667</c:v>
                </c:pt>
                <c:pt idx="16">
                  <c:v>20.878134984890032</c:v>
                </c:pt>
                <c:pt idx="17">
                  <c:v>21.181268242479618</c:v>
                </c:pt>
                <c:pt idx="18">
                  <c:v>21.682404892977956</c:v>
                </c:pt>
                <c:pt idx="19">
                  <c:v>22.33923648873138</c:v>
                </c:pt>
                <c:pt idx="20">
                  <c:v>23.051680714519161</c:v>
                </c:pt>
                <c:pt idx="21">
                  <c:v>23.607616774168317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</c:v>
                </c:pt>
                <c:pt idx="1">
                  <c:v>0.26413403069480013</c:v>
                </c:pt>
                <c:pt idx="2">
                  <c:v>0.45109530967177419</c:v>
                </c:pt>
                <c:pt idx="3">
                  <c:v>0.52359747823117997</c:v>
                </c:pt>
                <c:pt idx="4">
                  <c:v>0.67901862636685939</c:v>
                </c:pt>
                <c:pt idx="5">
                  <c:v>0.8325176616030745</c:v>
                </c:pt>
                <c:pt idx="6">
                  <c:v>0.9598082997125057</c:v>
                </c:pt>
                <c:pt idx="7">
                  <c:v>0.98107914423659881</c:v>
                </c:pt>
                <c:pt idx="8">
                  <c:v>0.98901971239248487</c:v>
                </c:pt>
                <c:pt idx="9">
                  <c:v>0.98804482062195298</c:v>
                </c:pt>
                <c:pt idx="10">
                  <c:v>0.99414299947876938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0.86836824164633108</c:v>
                </c:pt>
                <c:pt idx="1">
                  <c:v>3.5711063084111738</c:v>
                </c:pt>
                <c:pt idx="2">
                  <c:v>9.8971655837660713</c:v>
                </c:pt>
                <c:pt idx="3">
                  <c:v>18.764436436251131</c:v>
                </c:pt>
                <c:pt idx="4">
                  <c:v>29.502102670249773</c:v>
                </c:pt>
                <c:pt idx="5">
                  <c:v>42.932284385208831</c:v>
                </c:pt>
                <c:pt idx="6">
                  <c:v>57.42804510469113</c:v>
                </c:pt>
                <c:pt idx="7">
                  <c:v>71.55850548132176</c:v>
                </c:pt>
                <c:pt idx="8">
                  <c:v>85.027310130208136</c:v>
                </c:pt>
                <c:pt idx="9">
                  <c:v>97.757924177333891</c:v>
                </c:pt>
                <c:pt idx="10">
                  <c:v>109.89398991817768</c:v>
                </c:pt>
                <c:pt idx="11">
                  <c:v>121.42987166975419</c:v>
                </c:pt>
                <c:pt idx="12">
                  <c:v>132.34833480637047</c:v>
                </c:pt>
                <c:pt idx="13">
                  <c:v>141.20491990931566</c:v>
                </c:pt>
                <c:pt idx="14">
                  <c:v>72.31415066216303</c:v>
                </c:pt>
                <c:pt idx="15">
                  <c:v>73.695921592680989</c:v>
                </c:pt>
                <c:pt idx="16">
                  <c:v>83.054534398327988</c:v>
                </c:pt>
                <c:pt idx="17">
                  <c:v>86.066349111092023</c:v>
                </c:pt>
                <c:pt idx="18">
                  <c:v>87.379004654034688</c:v>
                </c:pt>
                <c:pt idx="19">
                  <c:v>88.690192510784627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FA1478FA-9D33-4ADC-9358-7FB3A6C4DAB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0295627-2D91-416E-A051-508A0356ED2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838BF565-52A9-49B3-9CD0-0B263F50AB96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2D974D3C-FCF2-462A-827A-E3509107FA78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87BCD6-AAE1-49FF-BDE1-9AF382B78321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B885373-E9B0-4FB6-A477-6F548355615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0</c:v>
                </c:pt>
                <c:pt idx="1">
                  <c:v>0.86836824164633108</c:v>
                </c:pt>
                <c:pt idx="2">
                  <c:v>90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31.676087695423359</c:v>
                </c:pt>
                <c:pt idx="1">
                  <c:v>32.107482534869519</c:v>
                </c:pt>
                <c:pt idx="2">
                  <c:v>32.670561148842502</c:v>
                </c:pt>
                <c:pt idx="3">
                  <c:v>33.248705444056874</c:v>
                </c:pt>
                <c:pt idx="4">
                  <c:v>33.866689969374576</c:v>
                </c:pt>
                <c:pt idx="5">
                  <c:v>34.69638780221338</c:v>
                </c:pt>
                <c:pt idx="6">
                  <c:v>36.097960201757822</c:v>
                </c:pt>
                <c:pt idx="7">
                  <c:v>38.885305918473819</c:v>
                </c:pt>
                <c:pt idx="8">
                  <c:v>44.958485844670449</c:v>
                </c:pt>
                <c:pt idx="9">
                  <c:v>53.036932319246702</c:v>
                </c:pt>
                <c:pt idx="10">
                  <c:v>60.098613964327804</c:v>
                </c:pt>
                <c:pt idx="11">
                  <c:v>65.960949165888138</c:v>
                </c:pt>
                <c:pt idx="12">
                  <c:v>75.37123306263527</c:v>
                </c:pt>
                <c:pt idx="13">
                  <c:v>90.721903886262041</c:v>
                </c:pt>
                <c:pt idx="14">
                  <c:v>79.052878582704253</c:v>
                </c:pt>
                <c:pt idx="15">
                  <c:v>79.966961863230821</c:v>
                </c:pt>
                <c:pt idx="16">
                  <c:v>85.753713587168079</c:v>
                </c:pt>
                <c:pt idx="17">
                  <c:v>87.620684746303141</c:v>
                </c:pt>
                <c:pt idx="18">
                  <c:v>88.548061429961393</c:v>
                </c:pt>
                <c:pt idx="19">
                  <c:v>89.439438362543441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0.33123422976230615</c:v>
                </c:pt>
                <c:pt idx="1">
                  <c:v>0.34952389137864415</c:v>
                </c:pt>
                <c:pt idx="2">
                  <c:v>0.36773633701788233</c:v>
                </c:pt>
                <c:pt idx="3">
                  <c:v>0.24793968948854639</c:v>
                </c:pt>
                <c:pt idx="4">
                  <c:v>0.25670801578652502</c:v>
                </c:pt>
                <c:pt idx="5">
                  <c:v>0.26517126882226605</c:v>
                </c:pt>
                <c:pt idx="6">
                  <c:v>0.39065778309790855</c:v>
                </c:pt>
                <c:pt idx="7">
                  <c:v>0.44152300977214026</c:v>
                </c:pt>
                <c:pt idx="8">
                  <c:v>0.4895289204796251</c:v>
                </c:pt>
                <c:pt idx="9">
                  <c:v>0.51611872814320825</c:v>
                </c:pt>
                <c:pt idx="10">
                  <c:v>0.53048216756686695</c:v>
                </c:pt>
                <c:pt idx="11">
                  <c:v>0.54111360053509339</c:v>
                </c:pt>
                <c:pt idx="12">
                  <c:v>0.54835522188523333</c:v>
                </c:pt>
                <c:pt idx="13">
                  <c:v>0.88834280998870463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50.000033529097045</c:v>
                </c:pt>
                <c:pt idx="1">
                  <c:v>56.875672766495214</c:v>
                </c:pt>
                <c:pt idx="2">
                  <c:v>64.139919536166119</c:v>
                </c:pt>
                <c:pt idx="3">
                  <c:v>66.270929096091223</c:v>
                </c:pt>
                <c:pt idx="4">
                  <c:v>70.182432563307216</c:v>
                </c:pt>
                <c:pt idx="5">
                  <c:v>75.827695454172641</c:v>
                </c:pt>
                <c:pt idx="6">
                  <c:v>82.665815607180548</c:v>
                </c:pt>
                <c:pt idx="7">
                  <c:v>90.523544536329297</c:v>
                </c:pt>
                <c:pt idx="8">
                  <c:v>97.616339165198511</c:v>
                </c:pt>
                <c:pt idx="9">
                  <c:v>98.804560754426305</c:v>
                </c:pt>
                <c:pt idx="10">
                  <c:v>107.03932467059272</c:v>
                </c:pt>
                <c:pt idx="11">
                  <c:v>115.01944938671282</c:v>
                </c:pt>
                <c:pt idx="12">
                  <c:v>122.66980290469306</c:v>
                </c:pt>
                <c:pt idx="13">
                  <c:v>123.10028219626146</c:v>
                </c:pt>
                <c:pt idx="14">
                  <c:v>134.26913478201249</c:v>
                </c:pt>
                <c:pt idx="15">
                  <c:v>139.136765448316</c:v>
                </c:pt>
                <c:pt idx="16">
                  <c:v>145.39252390115979</c:v>
                </c:pt>
                <c:pt idx="17">
                  <c:v>152.1616540505951</c:v>
                </c:pt>
                <c:pt idx="18">
                  <c:v>153.61439392276148</c:v>
                </c:pt>
                <c:pt idx="19">
                  <c:v>155.06701219857086</c:v>
                </c:pt>
                <c:pt idx="20">
                  <c:v>156.51950463419033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A81C0EB8-2952-4544-8290-C78FC4BF965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784C9AD-4A20-43A0-8A2F-5A21F2E46F5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A915240C-795B-4BA7-9F29-470B292A9BD8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5D00E0B-AC55-49A3-8ECE-59C258D3049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12E388-0F65-4ADA-8C91-0C69B71B158C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CF41141-EC3D-4DA9-9414-6291E51EEB28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50.000033529097045</c:v>
                </c:pt>
                <c:pt idx="1">
                  <c:v>50.000033529097045</c:v>
                </c:pt>
                <c:pt idx="2">
                  <c:v>156.51950463419033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  <c:pt idx="0">
                  <c:v>200</c:v>
                </c:pt>
                <c:pt idx="1">
                  <c:v>202.49597241993845</c:v>
                </c:pt>
                <c:pt idx="2">
                  <c:v>204.88319611310359</c:v>
                </c:pt>
                <c:pt idx="3">
                  <c:v>207.17287532766855</c:v>
                </c:pt>
                <c:pt idx="4">
                  <c:v>209.37751949356351</c:v>
                </c:pt>
                <c:pt idx="5">
                  <c:v>209.57624632011914</c:v>
                </c:pt>
                <c:pt idx="6">
                  <c:v>211.50464371719048</c:v>
                </c:pt>
                <c:pt idx="7">
                  <c:v>213.56711102381416</c:v>
                </c:pt>
                <c:pt idx="8">
                  <c:v>215.57915487286351</c:v>
                </c:pt>
                <c:pt idx="9">
                  <c:v>217.54798897835713</c:v>
                </c:pt>
                <c:pt idx="10">
                  <c:v>219.48004907049904</c:v>
                </c:pt>
                <c:pt idx="11">
                  <c:v>221.37682637303485</c:v>
                </c:pt>
                <c:pt idx="12">
                  <c:v>223.24740723231372</c:v>
                </c:pt>
                <c:pt idx="13">
                  <c:v>225.09486371131879</c:v>
                </c:pt>
                <c:pt idx="14">
                  <c:v>225.59642225294877</c:v>
                </c:pt>
                <c:pt idx="15">
                  <c:v>226.92164832195087</c:v>
                </c:pt>
                <c:pt idx="16">
                  <c:v>228.72844497405364</c:v>
                </c:pt>
                <c:pt idx="17">
                  <c:v>230.51716195194143</c:v>
                </c:pt>
                <c:pt idx="18">
                  <c:v>232.2905066554913</c:v>
                </c:pt>
                <c:pt idx="19">
                  <c:v>234.04959668623326</c:v>
                </c:pt>
                <c:pt idx="20">
                  <c:v>235.79540974647344</c:v>
                </c:pt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23.666666666666671</c:v>
                </c:pt>
                <c:pt idx="2">
                  <c:v>27.333333333333336</c:v>
                </c:pt>
                <c:pt idx="3">
                  <c:v>31</c:v>
                </c:pt>
                <c:pt idx="4">
                  <c:v>34.666666666666664</c:v>
                </c:pt>
                <c:pt idx="5">
                  <c:v>35</c:v>
                </c:pt>
                <c:pt idx="6">
                  <c:v>38.333333333333336</c:v>
                </c:pt>
                <c:pt idx="7">
                  <c:v>42</c:v>
                </c:pt>
                <c:pt idx="8">
                  <c:v>45.666666666666671</c:v>
                </c:pt>
                <c:pt idx="9">
                  <c:v>49.333333333333336</c:v>
                </c:pt>
                <c:pt idx="10">
                  <c:v>52.88</c:v>
                </c:pt>
                <c:pt idx="11">
                  <c:v>56.35</c:v>
                </c:pt>
                <c:pt idx="12">
                  <c:v>59.733333333333341</c:v>
                </c:pt>
                <c:pt idx="13">
                  <c:v>63.03</c:v>
                </c:pt>
                <c:pt idx="14">
                  <c:v>63.92</c:v>
                </c:pt>
                <c:pt idx="15">
                  <c:v>66.240000000000009</c:v>
                </c:pt>
                <c:pt idx="16">
                  <c:v>69.356666666666669</c:v>
                </c:pt>
                <c:pt idx="17">
                  <c:v>72.38000000000001</c:v>
                </c:pt>
                <c:pt idx="18">
                  <c:v>75.316666666666677</c:v>
                </c:pt>
                <c:pt idx="19">
                  <c:v>78.166666666666671</c:v>
                </c:pt>
                <c:pt idx="20">
                  <c:v>80.930000000000007</c:v>
                </c:pt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0.17179321606433814</c:v>
                </c:pt>
                <c:pt idx="1">
                  <c:v>0.20397838505838051</c:v>
                </c:pt>
                <c:pt idx="2">
                  <c:v>0.23932395748138774</c:v>
                </c:pt>
                <c:pt idx="3">
                  <c:v>0.26259783638978962</c:v>
                </c:pt>
                <c:pt idx="4">
                  <c:v>0.30359643250410612</c:v>
                </c:pt>
                <c:pt idx="5">
                  <c:v>0.34895441641856995</c:v>
                </c:pt>
                <c:pt idx="6">
                  <c:v>0.39744161731737787</c:v>
                </c:pt>
                <c:pt idx="7">
                  <c:v>0.44785291958478951</c:v>
                </c:pt>
                <c:pt idx="8">
                  <c:v>0.50003390767536415</c:v>
                </c:pt>
                <c:pt idx="9">
                  <c:v>0.55349247311593075</c:v>
                </c:pt>
                <c:pt idx="10">
                  <c:v>0.60759751161074682</c:v>
                </c:pt>
                <c:pt idx="11">
                  <c:v>0.66187502078157257</c:v>
                </c:pt>
                <c:pt idx="12">
                  <c:v>0.71588057867743515</c:v>
                </c:pt>
                <c:pt idx="13">
                  <c:v>0.76912480595546606</c:v>
                </c:pt>
                <c:pt idx="14">
                  <c:v>0.8291871572363394</c:v>
                </c:pt>
                <c:pt idx="15">
                  <c:v>0.88532224711122409</c:v>
                </c:pt>
                <c:pt idx="16">
                  <c:v>0.92109465889763975</c:v>
                </c:pt>
                <c:pt idx="17">
                  <c:v>0.92742373478587647</c:v>
                </c:pt>
                <c:pt idx="18">
                  <c:v>0.93398999011661799</c:v>
                </c:pt>
                <c:pt idx="19">
                  <c:v>0.94224966849982261</c:v>
                </c:pt>
                <c:pt idx="20">
                  <c:v>0.96135601057038489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10.374492034077658</c:v>
                </c:pt>
                <c:pt idx="1">
                  <c:v>13.74238858278625</c:v>
                </c:pt>
                <c:pt idx="2">
                  <c:v>17.723509695861214</c:v>
                </c:pt>
                <c:pt idx="3">
                  <c:v>22.294012547832157</c:v>
                </c:pt>
                <c:pt idx="4">
                  <c:v>27.42019657233898</c:v>
                </c:pt>
                <c:pt idx="5">
                  <c:v>33.299649749763134</c:v>
                </c:pt>
                <c:pt idx="6">
                  <c:v>39.785940843991746</c:v>
                </c:pt>
                <c:pt idx="7">
                  <c:v>46.824201667328559</c:v>
                </c:pt>
                <c:pt idx="8">
                  <c:v>54.350342603310082</c:v>
                </c:pt>
                <c:pt idx="9">
                  <c:v>62.29399613953904</c:v>
                </c:pt>
                <c:pt idx="10">
                  <c:v>70.584576231134577</c:v>
                </c:pt>
                <c:pt idx="11">
                  <c:v>79.14537591351457</c:v>
                </c:pt>
                <c:pt idx="12">
                  <c:v>87.896067931127774</c:v>
                </c:pt>
                <c:pt idx="13">
                  <c:v>96.755482650217729</c:v>
                </c:pt>
                <c:pt idx="14">
                  <c:v>101.83426535966255</c:v>
                </c:pt>
                <c:pt idx="15">
                  <c:v>105.69273524005391</c:v>
                </c:pt>
                <c:pt idx="16">
                  <c:v>113.38280803466837</c:v>
                </c:pt>
                <c:pt idx="17">
                  <c:v>115.43997909138994</c:v>
                </c:pt>
                <c:pt idx="18">
                  <c:v>116.70137308246788</c:v>
                </c:pt>
                <c:pt idx="19">
                  <c:v>117.97063538542014</c:v>
                </c:pt>
                <c:pt idx="20">
                  <c:v>119.25410027770116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9012320E-96E6-4D35-B600-B734509D1EC6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6E1E709-4C49-4E7F-9EFE-B04CDEE3FF99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C5BEF464-F598-4D15-B879-2DBACECCC6A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617918A-5AB1-4C51-A7A7-E174E574E65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4AC71B-A443-49C2-B4F3-FE911C1DEB06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3FCE402-1E89-4B9F-BD0D-B160A245E7A4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10.002165293596843</c:v>
                </c:pt>
                <c:pt idx="1">
                  <c:v>10.374492034077658</c:v>
                </c:pt>
                <c:pt idx="2">
                  <c:v>119.25410027770116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22.954558098352376</c:v>
                </c:pt>
                <c:pt idx="1">
                  <c:v>28.469691172312487</c:v>
                </c:pt>
                <c:pt idx="2">
                  <c:v>33.982968135261032</c:v>
                </c:pt>
                <c:pt idx="3">
                  <c:v>39.494657728749857</c:v>
                </c:pt>
                <c:pt idx="4">
                  <c:v>44.995419990604574</c:v>
                </c:pt>
                <c:pt idx="5">
                  <c:v>50.445161701407876</c:v>
                </c:pt>
                <c:pt idx="6">
                  <c:v>55.708233455949546</c:v>
                </c:pt>
                <c:pt idx="7">
                  <c:v>60.775500719009131</c:v>
                </c:pt>
                <c:pt idx="8">
                  <c:v>65.637797909240803</c:v>
                </c:pt>
                <c:pt idx="9">
                  <c:v>70.298832491122894</c:v>
                </c:pt>
                <c:pt idx="10">
                  <c:v>74.759106722274765</c:v>
                </c:pt>
                <c:pt idx="11">
                  <c:v>79.018935717066626</c:v>
                </c:pt>
                <c:pt idx="12">
                  <c:v>83.077594567215016</c:v>
                </c:pt>
                <c:pt idx="13">
                  <c:v>86.923444642787459</c:v>
                </c:pt>
                <c:pt idx="14">
                  <c:v>89.007677730919568</c:v>
                </c:pt>
                <c:pt idx="15">
                  <c:v>90.474940633480117</c:v>
                </c:pt>
                <c:pt idx="16">
                  <c:v>93.053438787687654</c:v>
                </c:pt>
                <c:pt idx="17">
                  <c:v>93.770140389335907</c:v>
                </c:pt>
                <c:pt idx="18">
                  <c:v>94.176971512191116</c:v>
                </c:pt>
                <c:pt idx="19">
                  <c:v>94.055876558165025</c:v>
                </c:pt>
                <c:pt idx="20">
                  <c:v>90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6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0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endParaRPr lang="ru-RU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219075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104775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16</xdr:row>
          <xdr:rowOff>9525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104775</xdr:rowOff>
        </xdr:from>
        <xdr:to>
          <xdr:col>21</xdr:col>
          <xdr:colOff>276225</xdr:colOff>
          <xdr:row>59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806263</xdr:colOff>
          <xdr:row>2</xdr:row>
          <xdr:rowOff>11208</xdr:rowOff>
        </xdr:from>
        <xdr:to>
          <xdr:col>8</xdr:col>
          <xdr:colOff>305360</xdr:colOff>
          <xdr:row>2</xdr:row>
          <xdr:rowOff>220758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C7F6B418-F52A-4061-9DF3-12BE052B2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30.1%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357187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543381</xdr:colOff>
      <xdr:row>12</xdr:row>
      <xdr:rowOff>190501</xdr:rowOff>
    </xdr:from>
    <xdr:to>
      <xdr:col>28</xdr:col>
      <xdr:colOff>166311</xdr:colOff>
      <xdr:row>43</xdr:row>
      <xdr:rowOff>25703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271085</xdr:colOff>
      <xdr:row>13</xdr:row>
      <xdr:rowOff>5445</xdr:rowOff>
    </xdr:from>
    <xdr:to>
      <xdr:col>20</xdr:col>
      <xdr:colOff>461358</xdr:colOff>
      <xdr:row>43</xdr:row>
      <xdr:rowOff>81644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365125</xdr:colOff>
          <xdr:row>3</xdr:row>
          <xdr:rowOff>142875</xdr:rowOff>
        </xdr:from>
        <xdr:to>
          <xdr:col>27</xdr:col>
          <xdr:colOff>384175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539751</xdr:colOff>
      <xdr:row>12</xdr:row>
      <xdr:rowOff>179918</xdr:rowOff>
    </xdr:from>
    <xdr:to>
      <xdr:col>20</xdr:col>
      <xdr:colOff>332895</xdr:colOff>
      <xdr:row>42</xdr:row>
      <xdr:rowOff>67348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28575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rnt\unifloc_vba\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name"/>
      <definedName name="getUFVersion"/>
      <definedName name="MF_Rhomix_kgm3"/>
      <definedName name="PVT_Bg_m3m3"/>
      <definedName name="PVT_Bo_m3m3"/>
      <definedName name="PVT_Bw_m3m3"/>
      <definedName name="PVT_Muo_cP"/>
      <definedName name="PVT_pb_atma"/>
      <definedName name="PVT_Rhog_kgm3"/>
      <definedName name="PVT_Rhoo_kgm3"/>
      <definedName name="PVT_Rhow_kgm3"/>
      <definedName name="PVT_Rs_m3m3"/>
      <definedName name="PVT_salinity_ppm"/>
      <definedName name="PVT_STliqgas_Nm"/>
      <definedName name="PVT_SToilgas_Nm"/>
      <definedName name="PVT_STwatgas_Nm"/>
      <definedName name="PVT_Z"/>
      <definedName name="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I9" sqref="I9"/>
    </sheetView>
  </sheetViews>
  <sheetFormatPr defaultRowHeight="15" x14ac:dyDescent="0.25"/>
  <sheetData>
    <row r="1" spans="1:5" x14ac:dyDescent="0.25">
      <c r="A1" t="str">
        <f>"вер "&amp;B1</f>
        <v>вер 7.8</v>
      </c>
      <c r="B1" s="16" t="str">
        <f>[1]!getUFVersion()</f>
        <v>7.8</v>
      </c>
    </row>
    <row r="2" spans="1:5" x14ac:dyDescent="0.25">
      <c r="A2" t="s">
        <v>161</v>
      </c>
    </row>
    <row r="4" spans="1:5" x14ac:dyDescent="0.25">
      <c r="A4" s="66" t="str">
        <f>"Унифлок "&amp;версия_номер_</f>
        <v>Унифлок 7.8</v>
      </c>
      <c r="B4" s="66"/>
      <c r="C4" s="66"/>
      <c r="D4" s="66"/>
      <c r="E4" s="66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zoomScale="85" zoomScaleNormal="85" workbookViewId="0">
      <selection activeCell="H3" sqref="H3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42" x14ac:dyDescent="0.25">
      <c r="A1" s="59" t="str">
        <f>"Унифлок "&amp;версия_&amp;" приложение версия 1.1"</f>
        <v>Унифлок вер 7.8 приложение версия 1.1</v>
      </c>
      <c r="J1" s="2" t="s">
        <v>23</v>
      </c>
      <c r="K1" s="2"/>
      <c r="L1" s="2"/>
    </row>
    <row r="2" spans="1:42" ht="18" x14ac:dyDescent="0.25">
      <c r="A2" s="67" t="s">
        <v>0</v>
      </c>
      <c r="B2" s="67"/>
      <c r="C2" s="67"/>
      <c r="D2" s="67"/>
      <c r="E2" s="67"/>
      <c r="J2" s="6" t="s">
        <v>26</v>
      </c>
      <c r="K2" s="9">
        <v>1</v>
      </c>
      <c r="L2" s="5" t="s">
        <v>6</v>
      </c>
      <c r="AO2" s="70"/>
      <c r="AP2" s="70" t="s">
        <v>151</v>
      </c>
    </row>
    <row r="3" spans="1:42" ht="18" customHeight="1" x14ac:dyDescent="0.25">
      <c r="F3" s="68" t="s">
        <v>74</v>
      </c>
      <c r="G3" s="68"/>
      <c r="H3" s="9">
        <f>AO3-1</f>
        <v>0</v>
      </c>
      <c r="J3" s="5" t="s">
        <v>27</v>
      </c>
      <c r="K3" s="9">
        <v>15</v>
      </c>
      <c r="L3" s="5" t="s">
        <v>24</v>
      </c>
      <c r="AO3" s="70">
        <v>1</v>
      </c>
      <c r="AP3" s="70" t="s">
        <v>143</v>
      </c>
    </row>
    <row r="4" spans="1:42" x14ac:dyDescent="0.25">
      <c r="AO4" s="70"/>
      <c r="AP4" s="70" t="s">
        <v>144</v>
      </c>
    </row>
    <row r="6" spans="1:42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9" t="s">
        <v>28</v>
      </c>
      <c r="O7" s="69"/>
      <c r="P7" s="69"/>
      <c r="Q7" s="69"/>
    </row>
    <row r="8" spans="1:42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42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42" x14ac:dyDescent="0.25">
      <c r="F13" s="2" t="s">
        <v>5</v>
      </c>
      <c r="G13" s="2"/>
      <c r="H13" s="2"/>
    </row>
    <row r="14" spans="1:42" ht="18" x14ac:dyDescent="0.25">
      <c r="F14" s="5" t="s">
        <v>16</v>
      </c>
      <c r="G14" s="9">
        <v>80</v>
      </c>
      <c r="H14" s="5" t="s">
        <v>75</v>
      </c>
    </row>
    <row r="15" spans="1:42" ht="18" x14ac:dyDescent="0.25">
      <c r="F15" s="5" t="s">
        <v>20</v>
      </c>
      <c r="G15" s="9">
        <v>120</v>
      </c>
      <c r="H15" s="5" t="s">
        <v>2</v>
      </c>
    </row>
    <row r="16" spans="1:42" ht="18" x14ac:dyDescent="0.25">
      <c r="F16" s="7" t="s">
        <v>21</v>
      </c>
      <c r="G16" s="9">
        <v>1.2</v>
      </c>
      <c r="H16" s="5" t="s">
        <v>17</v>
      </c>
    </row>
    <row r="17" spans="1:28" ht="18" x14ac:dyDescent="0.25">
      <c r="F17" s="8" t="s">
        <v>22</v>
      </c>
      <c r="G17" s="9">
        <v>1</v>
      </c>
      <c r="H17" s="5" t="s">
        <v>7</v>
      </c>
    </row>
    <row r="19" spans="1:28" x14ac:dyDescent="0.25">
      <c r="B19" s="10" t="s">
        <v>217</v>
      </c>
      <c r="C19" s="63" t="str">
        <f>PVT_Encode_string(gamma_gas_,gamma_oil_,gamma_wat_,Rsb_m3m3_,Rp_m3m3_,Pb_atma_,Tres_C_,Bob_m3m3_,mu_cP_,H3)</f>
        <v>gamma_gas:0.700;gamma_oil:0.860;gamma_wat:1.070;rsb_m3m3:100.000;rp_m3m3:100.000;pb_atma:120.000;tres_C:80.000;bob_m3m3:1.200;muob_cP:1.000;PVTcorr:0;ksep_fr:0.000;pksep_atma:-1.000;tksep_C:-1.000;</v>
      </c>
      <c r="D19" s="63"/>
      <c r="E19" s="63"/>
      <c r="F19" s="63"/>
      <c r="G19" s="64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1:28" s="61" customFormat="1" ht="15.75" x14ac:dyDescent="0.25">
      <c r="A20" s="60"/>
      <c r="G20" s="62"/>
    </row>
    <row r="21" spans="1:28" x14ac:dyDescent="0.2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25"/>
    <row r="23" spans="1:28" outlineLevel="1" x14ac:dyDescent="0.2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8" outlineLevel="1" x14ac:dyDescent="0.25">
      <c r="B24" s="5" t="s">
        <v>79</v>
      </c>
      <c r="C24" s="22">
        <f>[1]!PVT_pb_atma(Tres_C_,gamma_gas_,gamma_oil_,gamma_w_,Rsb_m3m3_,,Pb_atma_,Tres_C_,Bob_m3m3_,mu_cP_,PVT_correlation_,Ksep_,Psep_atma_,Tsep_C_)</f>
        <v>119.99999999999999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99.261594223696079</v>
      </c>
      <c r="H24" s="2"/>
    </row>
    <row r="25" spans="1:28" ht="18" outlineLevel="1" x14ac:dyDescent="0.25">
      <c r="B25" s="5" t="s">
        <v>16</v>
      </c>
      <c r="C25" s="24">
        <f>Tres_C_</f>
        <v>80</v>
      </c>
      <c r="D25" s="5" t="s">
        <v>25</v>
      </c>
      <c r="E25" s="2"/>
      <c r="F25" s="2"/>
      <c r="G25" s="25">
        <f>T_C_</f>
        <v>30</v>
      </c>
      <c r="H25" s="2"/>
    </row>
    <row r="26" spans="1:28" ht="18" outlineLevel="1" x14ac:dyDescent="0.25">
      <c r="B26" s="7" t="s">
        <v>15</v>
      </c>
      <c r="C26" s="24">
        <f>Rsb_m3m3_</f>
        <v>100</v>
      </c>
      <c r="D26" s="5" t="s">
        <v>17</v>
      </c>
      <c r="E26" s="2"/>
      <c r="F26" s="2"/>
      <c r="G26" s="10"/>
      <c r="H26" s="2"/>
    </row>
    <row r="27" spans="1:28" ht="18" outlineLevel="1" x14ac:dyDescent="0.25">
      <c r="B27" s="7" t="s">
        <v>80</v>
      </c>
      <c r="C27" s="26">
        <f>[1]!PVT_Bo_m3m3(C24,Tres_C_,gamma_gas_,gamma_oil_,gamma_w_,Rsb_m3m3_,,Pb_atma_,Tres_C_,Bob_m3m3_,mu_cP_,PVT_correlation_,Ksep_,Psep_atma_,Tsep_C_)</f>
        <v>1.1989311734498249</v>
      </c>
      <c r="D27" s="5" t="s">
        <v>17</v>
      </c>
      <c r="E27" s="2"/>
      <c r="F27" s="2"/>
      <c r="G27" s="10"/>
      <c r="H27" s="2"/>
    </row>
    <row r="28" spans="1:28" ht="18" outlineLevel="1" x14ac:dyDescent="0.25">
      <c r="B28" s="8" t="s">
        <v>81</v>
      </c>
      <c r="C28" s="22">
        <f>[1]!PVT_Rhoo_kgm3(C24,Tres_C_,gamma_gas_,gamma_oil_,gamma_w_,Rsb_m3m3_,,Pb_atma_,Tres_C_,Bob_m3m3_,mu_cP_,PVT_correlation_,Ksep_,Psep_atma_,Tsep_C_)</f>
        <v>788.20845940934635</v>
      </c>
      <c r="D28" s="5" t="s">
        <v>82</v>
      </c>
      <c r="E28" s="2"/>
      <c r="F28" s="2"/>
      <c r="G28" s="10"/>
      <c r="H28" s="2"/>
    </row>
    <row r="29" spans="1:28" ht="18" outlineLevel="1" x14ac:dyDescent="0.25">
      <c r="B29" s="8" t="s">
        <v>83</v>
      </c>
      <c r="C29" s="27">
        <f>PVT_mu_oil_cP(C24,Tres_C_,gamma_gas_,gamma_oil_,gamma_w_,Rsb_m3m3_,,Pb_atma_,Tres_C_,Bob_m3m3_,mu_cP_,PVT_correlation_,Ksep_,Psep_atma_,Tsep_C_)</f>
        <v>1.0035657702445147</v>
      </c>
      <c r="D29" s="5" t="s">
        <v>7</v>
      </c>
      <c r="E29" s="2"/>
      <c r="F29" s="2"/>
      <c r="G29" s="10"/>
      <c r="H29" s="2"/>
    </row>
    <row r="30" spans="1:28" outlineLevel="1" x14ac:dyDescent="0.25"/>
    <row r="31" spans="1:28" outlineLevel="1" x14ac:dyDescent="0.25"/>
    <row r="32" spans="1:28" outlineLevel="1" x14ac:dyDescent="0.2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8" outlineLevel="1" x14ac:dyDescent="0.35">
      <c r="B33" s="5" t="s">
        <v>89</v>
      </c>
      <c r="C33" s="22">
        <f>[1]!PVT_Rhoo_kgm3(Psc_atma_,Tsc_C_,gamma_gas_,gamma_oil_,gamma_w_,Rsb_m3m3_,,Pb_atma_,Tres_C_,Bob_m3m3_,mu_cP_,PVT_correlation_,Ksep_,Psep_atma_,Tsep_C_)</f>
        <v>862.85554822523807</v>
      </c>
      <c r="D33" s="5" t="s">
        <v>82</v>
      </c>
      <c r="E33" s="29">
        <f>[1]!PVT_Rhoo_kgm3(Psc_atma_,Tsc_C_,gamma_gas_,gamma_oil_,gamma_w_,Rsb_m3m3_,,,,,,PVT_correlation_,Ksep_,Psep_atma_,Tsep_C_)</f>
        <v>864.35270080027806</v>
      </c>
      <c r="F33" s="30">
        <f t="shared" ref="F33:F38" si="0">(E33-C33)/E33</f>
        <v>1.7321084016441693E-3</v>
      </c>
      <c r="G33" s="31"/>
      <c r="H33" s="5" t="s">
        <v>90</v>
      </c>
      <c r="I33" s="27">
        <f>[1]!PVT_Rhog_kgm3(Psc_atma_,Tsc_C_,gamma_gas_,gamma_oil_,gamma_w_,Rsb_m3m3_,,Pb_atma_,Tres_C_,Bob_m3m3_,mu_cP_,PVT_correlation_,Ksep_,Psep_atma_,Tsep_C_)</f>
        <v>0.86851485761170277</v>
      </c>
      <c r="J33" s="5" t="s">
        <v>82</v>
      </c>
      <c r="L33" s="5" t="s">
        <v>91</v>
      </c>
      <c r="M33" s="22">
        <f>[1]!PVT_Rhow_kgm3(Psc_atma_,Tsc_C_,gamma_gas_,gamma_oil_,gamma_w_,Rsb_m3m3_,,Pb_atma_,Tres_C_,Bob_m3m3_,mu_cP_,PVT_correlation_,Ksep_,Psep_atma_,Tsep_C_)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0.86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0.32265604536245934</v>
      </c>
      <c r="AB33" s="34">
        <f>ABS(Pb_diff_)</f>
        <v>0.32265604536245934</v>
      </c>
      <c r="AD33" s="2" t="str">
        <f>Q35&amp; " = "&amp;IFERROR(TEXT(gamma_gas_diff_total_*100,"0.0") &amp; "%",TEXT(gamma_gas_diff_total_*100,"0,0") &amp; "%")</f>
        <v>Сумм откл = 30.1%</v>
      </c>
      <c r="AE33" s="2"/>
      <c r="AF33" s="2"/>
      <c r="AG33" s="2"/>
    </row>
    <row r="34" spans="2:33" ht="18" outlineLevel="1" x14ac:dyDescent="0.25">
      <c r="B34" s="5" t="s">
        <v>96</v>
      </c>
      <c r="C34" s="27">
        <f>PVT_mu_oil_cP(Psc_atma_,Tsc_C_,gamma_gas_,gamma_oil_,gamma_w_,Rsb_m3m3_,,Pb_atma_,Tres_C_,Bob_m3m3_,mu_cP_,PVT_correlation_,Ksep_,Psep_atma_,Tsep_C_)</f>
        <v>17.398202043728901</v>
      </c>
      <c r="D34" s="5" t="s">
        <v>7</v>
      </c>
      <c r="E34" s="29" t="e">
        <f ca="1">[1]!PVT_Muo_cP(Psc_atma_,Tsc_C_,gamma_gas_,gamma_oil_,gamma_w_,Rsb_m3m3_,,,,,,PVT_correlation_,Ksep_,Psep_atma_,Tsep_C_)</f>
        <v>#NAME?</v>
      </c>
      <c r="F34" s="30" t="e">
        <f t="shared" ca="1" si="0"/>
        <v>#NAME?</v>
      </c>
      <c r="G34" s="31"/>
      <c r="H34" s="5" t="s">
        <v>97</v>
      </c>
      <c r="I34" s="39">
        <f>PVT_mu_gas_cP(Psc_atma_,Tsc_C_,gamma_gas_,gamma_oil_,gamma_w_,Rsb_m3m3_,,Pb_atma_,Tres_C_,Bob_m3m3_,mu_cP_,PVT_correlation_,Ksep_,Psep_atma_,Tsep_C_)</f>
        <v>1.0255672046621608E-2</v>
      </c>
      <c r="J34" s="5" t="s">
        <v>7</v>
      </c>
      <c r="L34" s="5" t="s">
        <v>98</v>
      </c>
      <c r="M34" s="26">
        <f>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177.16257623383413</v>
      </c>
      <c r="U34" s="30">
        <f>(T34-C24)/T34</f>
        <v>0.32265604536245934</v>
      </c>
      <c r="V34" s="29">
        <f>[1]!PVT_pb_atma(Tres_C_,gamma_gas_new_,gamma_oil_new_,gamma_w_,Rsb_m3m3_,,,Tres_C_,,,PVT_correlation_,Ksep_,Psep_atma_,Tsep_C_)</f>
        <v>177.16257623383413</v>
      </c>
      <c r="W34" s="30">
        <f>(V34-C24)/V34</f>
        <v>0.32265604536245934</v>
      </c>
      <c r="X34" s="2">
        <v>2</v>
      </c>
      <c r="Z34" s="7" t="s">
        <v>80</v>
      </c>
      <c r="AA34" s="33">
        <f>ABS(U35)</f>
        <v>0.35464901339588434</v>
      </c>
      <c r="AB34" s="33">
        <f>ABS(W35)</f>
        <v>0.35464901339588434</v>
      </c>
      <c r="AD34" s="2" t="str">
        <f>F9 &amp;" = "&amp;IFERROR(  TEXT(gamma_gas_,"0.00"),TEXT(gamma_gas_,"0,00")) &amp;",  "&amp; F8 &amp;" = "&amp;  IFERROR(TEXT(gamma_oil_,"0.00"),TEXT(gamma_oil_,"0,00"))</f>
        <v>γg = 0.70,  γo = 0.86</v>
      </c>
      <c r="AE34" s="2"/>
      <c r="AF34" s="2"/>
      <c r="AG34" s="2"/>
    </row>
    <row r="35" spans="2:33" ht="18" outlineLevel="1" x14ac:dyDescent="0.25">
      <c r="B35" s="5" t="s">
        <v>100</v>
      </c>
      <c r="C35" s="27">
        <f>[1]!PVT_Rs_m3m3(P_atma_,T_C_,gamma_gas_,gamma_oil_,gamma_w_,Rsb_m3m3_,,Pb_atma_,Tres_C_,Bob_m3m3_,mu_cP_,PVT_correlation_,Ksep_,Psep_atma_,Tsep_C_)</f>
        <v>33.277540939630583</v>
      </c>
      <c r="D35" s="5" t="s">
        <v>17</v>
      </c>
      <c r="E35" s="29">
        <f>[1]!PVT_Rs_m3m3(P_atma_,T_C_,gamma_gas_,gamma_oil_,gamma_w_,Rsb_m3m3_,,,,,,PVT_correlation_,Ksep_,Psep_atma_,Tsep_C_)</f>
        <v>20.818314940499885</v>
      </c>
      <c r="F35" s="30">
        <f t="shared" si="0"/>
        <v>-0.59847427780490337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0.93919425965821102</v>
      </c>
      <c r="J35" s="5"/>
      <c r="L35" s="5" t="s">
        <v>102</v>
      </c>
      <c r="M35" s="22">
        <f>[1]!PVT_salinity_ppm(Psc_atma_,Tsc_C_,gamma_gas_,gamma_oil_,gamma_w_,Rsb_m3m3_,,Pb_atma_,Tres_C_,Bob_m3m3_,mu_cP_,PVT_correlation_,Ksep_,Psep_atma_,Tsep_C_)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0.3006111499847906</v>
      </c>
      <c r="S35" s="7" t="s">
        <v>80</v>
      </c>
      <c r="T35" s="37">
        <f>[1]!PVT_Bo_m3m3(T34,Tres_C_,gamma_gas_,gamma_oil_,gamma_w_,Rsb_m3m3_,,,,,,PVT_correlation_,Ksep_,Psep_atma_,Tsep_C_)</f>
        <v>1.3082526835460737</v>
      </c>
      <c r="U35" s="30">
        <f>(T35-C27)/(T35-1)</f>
        <v>0.35464901339588434</v>
      </c>
      <c r="V35" s="37">
        <f>[1]!PVT_Bo_m3m3(V34,Tres_C_,gamma_gas_new_,gamma_oil_new_,gamma_w_,Rsb_m3m3_,,,,,,PVT_correlation_,Ksep_,Psep_atma_,Tsep_C_)</f>
        <v>1.3082526835460737</v>
      </c>
      <c r="W35" s="30">
        <f>(V35-C27)/(V35-1)</f>
        <v>0.35464901339588434</v>
      </c>
      <c r="X35" s="2">
        <v>2</v>
      </c>
      <c r="Z35" s="8" t="s">
        <v>83</v>
      </c>
      <c r="AA35" s="33">
        <f>ABS(U37)</f>
        <v>0.47111831970777346</v>
      </c>
      <c r="AB35" s="33">
        <f>ABS(W37)</f>
        <v>0.47111831970777346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0.86</v>
      </c>
      <c r="AE35" s="2"/>
      <c r="AF35" s="2"/>
      <c r="AG35" s="2"/>
    </row>
    <row r="36" spans="2:33" ht="18" outlineLevel="1" x14ac:dyDescent="0.25">
      <c r="B36" s="5" t="s">
        <v>104</v>
      </c>
      <c r="C36" s="26">
        <f>[1]!PVT_Bo_m3m3(P_atma_,T_C_,gamma_gas_,gamma_oil_,gamma_w_,Rsb_m3m3_,,Pb_atma_,Tres_C_,Bob_m3m3_,mu_cP_,PVT_correlation_,Ksep_,Psep_atma_,Tsep_C_)</f>
        <v>1.0517433532998948</v>
      </c>
      <c r="D36" s="5" t="s">
        <v>17</v>
      </c>
      <c r="E36" s="29">
        <f>[1]!PVT_Bo_m3m3(P_atma_,T_C_,gamma_gas_,gamma_oil_,gamma_w_,Rsb_m3m3_,,,,,,PVT_correlation_,Ksep_,Psep_atma_,Tsep_C_)</f>
        <v>1.0516657230383539</v>
      </c>
      <c r="F36" s="30">
        <f t="shared" si="0"/>
        <v>-7.3816479742782852E-5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2.4379578175196839E-2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[1]!PVT_Rhoo_kgm3(C24,Tres_C_,gamma_gas_,gamma_oil_,gamma_w_,Rsb_m3m3_,,,,,,PVT_correlation_,Ksep_,Psep_atma_,Tsep_C_)</f>
        <v>756.10553589019935</v>
      </c>
      <c r="U36" s="30">
        <f>(T36-C28)/T36</f>
        <v>-4.245825747241843E-2</v>
      </c>
      <c r="V36" s="29">
        <f>[1]!PVT_Rhoo_kgm3(C24,Tres_C_,gamma_gas_new_,gamma_oil_new_,gamma_w_,Rsb_m3m3_,,,,,,PVT_correlation_,Ksep_,Psep_atma_,Tsep_C_)</f>
        <v>756.10553589019935</v>
      </c>
      <c r="W36" s="30">
        <f>(V36-C28)/V36</f>
        <v>-4.245825747241843E-2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8" outlineLevel="1" x14ac:dyDescent="0.25">
      <c r="B37" s="5" t="s">
        <v>107</v>
      </c>
      <c r="C37" s="22">
        <f>[1]!PVT_Rhoo_kgm3(P_atma_,T_C_,gamma_gas_,gamma_oil_,gamma_w_,Rsb_m3m3_,,Pb_atma_,Tres_C_,Bob_m3m3_,mu_cP_,PVT_correlation_,Ksep_,Psep_atma_,Tsep_C_)</f>
        <v>844.74850014367246</v>
      </c>
      <c r="D37" s="5" t="s">
        <v>82</v>
      </c>
      <c r="E37" s="29">
        <f>[1]!PVT_Rhoo_kgm3(P_atma_,T_C_,gamma_gas_,gamma_oil_,gamma_w_,Rsb_m3m3_,,,,,,PVT_correlation_,Ksep_,Psep_atma_,Tsep_C_)</f>
        <v>834.67930495815244</v>
      </c>
      <c r="F37" s="30">
        <f t="shared" si="0"/>
        <v>-1.206354958809581E-2</v>
      </c>
      <c r="G37" s="31"/>
      <c r="H37" s="5" t="s">
        <v>108</v>
      </c>
      <c r="I37" s="22">
        <f>[1]!PVT_Rhog_kgm3(P_atma_,T_C_,gamma_gas_,gamma_oil_,gamma_w_,Rsb_m3m3_,,Pb_atma_,Tres_C_,Bob_m3m3_,mu_cP_,PVT_correlation_,Ksep_,Psep_atma_,Tsep_C_)</f>
        <v>35.078129484211033</v>
      </c>
      <c r="J37" s="5" t="s">
        <v>82</v>
      </c>
      <c r="L37" s="5" t="s">
        <v>109</v>
      </c>
      <c r="M37" s="22">
        <f>[1]!PVT_Rhow_kgm3(P_atma_,T_C_,gamma_gas_,gamma_oil_,gamma_w_,Rsb_m3m3_,,Pb_atma_,Tres_C_,Bob_m3m3_,mu_cP_,PVT_correlation_,Ksep_,Psep_atma_,Tsep_C_)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38">
        <f>PVT_mu_oil_cP(T34,Tres_C_,gamma_gas_,gamma_oil_,gamma_w_,Rsb_m3m3_,,,,,,PVT_correlation_,Ksep_,Psep_atma_,Tsep_C_)</f>
        <v>0.68217882735894786</v>
      </c>
      <c r="U37" s="30">
        <f>(T37-C29)/T37</f>
        <v>-0.47111831970777346</v>
      </c>
      <c r="V37" s="38">
        <f>PVT_mu_oil_cP(V34,Tres_C_,gamma_gas_new_,gamma_oil_new_,gamma_w_,Rsb_m3m3_,,,,,,PVT_correlation_,Ksep_,Psep_atma_,Tsep_C_)</f>
        <v>0.68217882735894786</v>
      </c>
      <c r="W37" s="30">
        <f>(V37-C29)/V37</f>
        <v>-0.47111831970777346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8" outlineLevel="1" x14ac:dyDescent="0.25">
      <c r="B38" s="5" t="s">
        <v>111</v>
      </c>
      <c r="C38" s="27">
        <f>PVT_mu_oil_cP(P_atma_,T_C_,gamma_gas_,gamma_oil_,gamma_w_,Rsb_m3m3_,,Pb_atma_,Tres_C_,Bob_m3m3_,mu_cP_,PVT_correlation_,Ksep_,Psep_atma_,Tsep_C_)</f>
        <v>2.5479213028060124</v>
      </c>
      <c r="D38" s="5" t="s">
        <v>7</v>
      </c>
      <c r="E38" s="29" t="e">
        <f ca="1">[1]!PVT_Muo_cP(P_atma_,T_C_,gamma_gas_,gamma_oil_,gamma_w_,Rsb_m3m3_,,,,,,PVT_correlation_,Ksep_,Psep_atma_,Tsep_C_)</f>
        <v>#NAME?</v>
      </c>
      <c r="F38" s="30" t="e">
        <f t="shared" ca="1" si="0"/>
        <v>#NAME?</v>
      </c>
      <c r="G38" s="31"/>
      <c r="H38" s="5" t="s">
        <v>112</v>
      </c>
      <c r="I38" s="39">
        <f>PVT_mu_gas_cP(P_atma_,T_C_,gamma_gas_,gamma_oil_,gamma_w_,Rsb_m3m3_,,Pb_atma_,Tres_C_,Bob_m3m3_,mu_cP_,PVT_correlation_,Ksep_,Psep_atma_,Tsep_C_)</f>
        <v>1.1774941966222424E-2</v>
      </c>
      <c r="J38" s="5" t="s">
        <v>7</v>
      </c>
      <c r="L38" s="5" t="s">
        <v>113</v>
      </c>
      <c r="M38" s="26">
        <f>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8" outlineLevel="1" x14ac:dyDescent="0.2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4.245825747241843E-2</v>
      </c>
      <c r="AB39" s="33">
        <f>ABS(W36)</f>
        <v>4.245825747241843E-2</v>
      </c>
    </row>
    <row r="40" spans="2:33" ht="18" outlineLevel="1" x14ac:dyDescent="0.2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8" outlineLevel="1" x14ac:dyDescent="0.25">
      <c r="B41" s="5" t="s">
        <v>174</v>
      </c>
      <c r="C41" s="65">
        <f>[1]!PVT_SToilgas_Nm(P_atma_,T_C_,gamma_gas_,gamma_oil_,gamma_w_,Rsb_m3m3_,,Pb_atma_,Tres_C_,Bob_m3m3_,mu_cP_,PVT_correlation_,Ksep_,Psep_atma_,Tsep_C_)</f>
        <v>3.8746755606618333E-2</v>
      </c>
      <c r="D41" s="5" t="s">
        <v>173</v>
      </c>
      <c r="L41" s="5" t="s">
        <v>175</v>
      </c>
      <c r="M41" s="65">
        <f>[1]!PVT_STwatgas_Nm(P_atma_,T_C_,gamma_gas_,gamma_oil_,gamma_w_,Rsb_m3m3_,,Pb_atma_,Tres_C_,Bob_m3m3_,mu_cP_,PVT_correlation_,Ksep_,Psep_atma_,Tsep_C_)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25">
      <c r="L42" s="31"/>
    </row>
    <row r="43" spans="2:33" outlineLevel="1" x14ac:dyDescent="0.25">
      <c r="B43" s="2" t="s">
        <v>120</v>
      </c>
      <c r="C43" s="2"/>
      <c r="D43" s="2"/>
      <c r="E43" s="28"/>
      <c r="F43" s="31"/>
      <c r="L43" s="31"/>
    </row>
    <row r="44" spans="2:33" ht="18" outlineLevel="1" x14ac:dyDescent="0.25">
      <c r="B44" s="7" t="s">
        <v>121</v>
      </c>
      <c r="C44" s="40">
        <f>MF_q_mix_rc_m3day(Ql_scm3day_,fw_perc_,P_atma_,T_C_,PVTstr_)</f>
        <v>67.347626185885019</v>
      </c>
      <c r="D44" s="5" t="s">
        <v>33</v>
      </c>
      <c r="E44" s="28"/>
      <c r="F44" s="31"/>
      <c r="L44" s="31"/>
    </row>
    <row r="45" spans="2:33" ht="18" outlineLevel="1" x14ac:dyDescent="0.25">
      <c r="B45" s="5" t="s">
        <v>122</v>
      </c>
      <c r="C45" s="40">
        <f>[1]!MF_Rhomix_kgm3(Ql_scm3day_,fw_perc_,P_atma_,T_C_,PVTstr_)</f>
        <v>322.90576864545528</v>
      </c>
      <c r="D45" s="5" t="s">
        <v>82</v>
      </c>
      <c r="E45" s="28"/>
      <c r="F45" s="31"/>
    </row>
    <row r="46" spans="2:33" ht="18" outlineLevel="1" x14ac:dyDescent="0.25">
      <c r="B46" s="5" t="s">
        <v>123</v>
      </c>
      <c r="C46" s="40">
        <f>MF_mu_mix_cP(Ql_scm3day_,fw_perc_,P_atma_,T_C_,PVTstr_)</f>
        <v>1.1943120404672165</v>
      </c>
      <c r="D46" s="5" t="s">
        <v>7</v>
      </c>
      <c r="E46" s="28"/>
      <c r="F46" s="31"/>
    </row>
    <row r="47" spans="2:33" ht="18" outlineLevel="1" x14ac:dyDescent="0.25">
      <c r="B47" s="5" t="s">
        <v>124</v>
      </c>
      <c r="E47" s="31"/>
      <c r="F47" s="31"/>
    </row>
    <row r="48" spans="2:33" ht="18" outlineLevel="1" x14ac:dyDescent="0.25">
      <c r="B48" s="5" t="s">
        <v>125</v>
      </c>
      <c r="E48" s="31"/>
      <c r="F48" s="31"/>
    </row>
    <row r="49" spans="1:29" ht="18" outlineLevel="1" x14ac:dyDescent="0.25">
      <c r="B49" s="5" t="s">
        <v>126</v>
      </c>
      <c r="E49" s="31"/>
      <c r="F49" s="31"/>
    </row>
    <row r="50" spans="1:29" outlineLevel="1" x14ac:dyDescent="0.25">
      <c r="C50">
        <f>[1]!PVT_STliqgas_Nm(P_atma_,T_C_,gamma_gas_,gamma_oil_,gamma_w_,Rsb_m3m3_,,Pb_atma_,Tres_C_,Bob_m3m3_,mu_cP_,PVT_correlation_,Ksep_,Psep_atma_,Tsep_C_)</f>
        <v>3.8746755606618333E-2</v>
      </c>
      <c r="D50" s="5" t="s">
        <v>173</v>
      </c>
      <c r="E50" s="31"/>
      <c r="F50" s="31"/>
    </row>
    <row r="51" spans="1:29" outlineLevel="1" x14ac:dyDescent="0.25">
      <c r="E51" s="31"/>
      <c r="F51" s="31"/>
    </row>
    <row r="52" spans="1:29" outlineLevel="1" x14ac:dyDescent="0.25">
      <c r="E52" s="31"/>
      <c r="F52" s="31"/>
    </row>
    <row r="53" spans="1:29" outlineLevel="1" x14ac:dyDescent="0.25"/>
    <row r="54" spans="1:29" outlineLevel="1" x14ac:dyDescent="0.25"/>
    <row r="55" spans="1:29" x14ac:dyDescent="0.25">
      <c r="L55" s="31"/>
    </row>
    <row r="56" spans="1:29" x14ac:dyDescent="0.2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2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25">
      <c r="L58" s="31"/>
      <c r="M58" s="31"/>
    </row>
    <row r="59" spans="1:29" ht="18" outlineLevel="1" x14ac:dyDescent="0.2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25">
      <c r="A60" s="44">
        <v>1</v>
      </c>
      <c r="B60" s="45">
        <v>1</v>
      </c>
      <c r="C60" s="2">
        <v>1</v>
      </c>
      <c r="D60" s="2">
        <v>0.39198639768953764</v>
      </c>
      <c r="E60" s="2">
        <v>0.39198639768953764</v>
      </c>
      <c r="F60">
        <v>0.24522533964564697</v>
      </c>
      <c r="G60" s="2">
        <v>1.0053644053489181</v>
      </c>
      <c r="H60" s="10">
        <v>1.0053644053489181</v>
      </c>
      <c r="I60">
        <v>1.0080208293055315</v>
      </c>
      <c r="J60" s="2">
        <v>855.74466160740519</v>
      </c>
      <c r="K60" s="2">
        <v>855.74466160740519</v>
      </c>
      <c r="L60">
        <v>853.36501910466143</v>
      </c>
      <c r="M60" s="2">
        <v>8.699673907270034</v>
      </c>
      <c r="N60" s="2">
        <v>8.699673907270034</v>
      </c>
      <c r="O60">
        <v>19.222141283362781</v>
      </c>
      <c r="P60">
        <v>0.99034498843581986</v>
      </c>
      <c r="Q60">
        <v>0.99034498843581986</v>
      </c>
      <c r="R60">
        <v>0.99034313020516418</v>
      </c>
    </row>
    <row r="61" spans="1:29" outlineLevel="1" x14ac:dyDescent="0.25">
      <c r="A61" s="44">
        <v>2</v>
      </c>
      <c r="B61" s="46">
        <f t="shared" ref="B61:B79" si="1">($B$80-$B$60)/($A$80-$A$60)+B60</f>
        <v>5.9130797111848041</v>
      </c>
      <c r="C61" s="2">
        <v>5.9130797111848041</v>
      </c>
      <c r="D61" s="2">
        <v>3.330693979468156</v>
      </c>
      <c r="E61" s="2">
        <v>3.330693979468156</v>
      </c>
      <c r="F61">
        <v>2.0836706762914035</v>
      </c>
      <c r="G61" s="2">
        <v>1.0091777989855981</v>
      </c>
      <c r="H61" s="10">
        <v>1.0091777989855981</v>
      </c>
      <c r="I61">
        <v>1.0116977970221952</v>
      </c>
      <c r="J61" s="2">
        <v>855.00134570104126</v>
      </c>
      <c r="K61" s="2">
        <v>855.00134570104126</v>
      </c>
      <c r="L61">
        <v>851.81754557754698</v>
      </c>
      <c r="M61" s="2">
        <v>7.2795800752869804</v>
      </c>
      <c r="N61" s="2">
        <v>7.2795800752869804</v>
      </c>
      <c r="O61">
        <v>17.129203978069782</v>
      </c>
      <c r="P61">
        <v>0.94369839452620818</v>
      </c>
      <c r="Q61">
        <v>0.94369839452620818</v>
      </c>
      <c r="R61">
        <v>0.94380480305796899</v>
      </c>
    </row>
    <row r="62" spans="1:29" outlineLevel="1" x14ac:dyDescent="0.25">
      <c r="A62" s="44">
        <v>3</v>
      </c>
      <c r="B62" s="46">
        <f t="shared" si="1"/>
        <v>10.826159422369608</v>
      </c>
      <c r="C62" s="2">
        <v>10.826159422369608</v>
      </c>
      <c r="D62" s="2">
        <v>6.8988737311188588</v>
      </c>
      <c r="E62" s="2">
        <v>6.8988737311188588</v>
      </c>
      <c r="F62">
        <v>4.3159116333061673</v>
      </c>
      <c r="G62" s="2">
        <v>1.013916711766224</v>
      </c>
      <c r="H62" s="10">
        <v>1.013916711766224</v>
      </c>
      <c r="I62">
        <v>1.0162312813768366</v>
      </c>
      <c r="J62" s="2">
        <v>854.01477042205386</v>
      </c>
      <c r="K62" s="2">
        <v>854.01477042205386</v>
      </c>
      <c r="L62">
        <v>849.89602297964996</v>
      </c>
      <c r="M62" s="2">
        <v>6.0401381812669444</v>
      </c>
      <c r="N62" s="2">
        <v>6.0401381812669444</v>
      </c>
      <c r="O62">
        <v>15.086593761208942</v>
      </c>
      <c r="P62">
        <v>0.89794415227863633</v>
      </c>
      <c r="Q62">
        <v>0.89794415227863633</v>
      </c>
      <c r="R62">
        <v>0.89838271320356688</v>
      </c>
    </row>
    <row r="63" spans="1:29" outlineLevel="1" x14ac:dyDescent="0.25">
      <c r="A63" s="44">
        <v>4</v>
      </c>
      <c r="B63" s="46">
        <f t="shared" si="1"/>
        <v>15.739239133554413</v>
      </c>
      <c r="C63" s="2">
        <v>15.739239133554413</v>
      </c>
      <c r="D63" s="2">
        <v>10.825286830931745</v>
      </c>
      <c r="E63" s="2">
        <v>10.825286830931745</v>
      </c>
      <c r="F63">
        <v>6.7722621384921586</v>
      </c>
      <c r="G63" s="2">
        <v>1.0192549257832111</v>
      </c>
      <c r="H63" s="10">
        <v>1.0192549257832111</v>
      </c>
      <c r="I63">
        <v>1.0213010539879912</v>
      </c>
      <c r="J63" s="2">
        <v>852.83637592135608</v>
      </c>
      <c r="K63" s="2">
        <v>852.83637592135608</v>
      </c>
      <c r="L63">
        <v>847.73394434232841</v>
      </c>
      <c r="M63" s="2">
        <v>5.0615348045428519</v>
      </c>
      <c r="N63" s="2">
        <v>5.0615348045428519</v>
      </c>
      <c r="O63">
        <v>13.299926796259093</v>
      </c>
      <c r="P63">
        <v>0.85289363234854199</v>
      </c>
      <c r="Q63">
        <v>0.85289363234854199</v>
      </c>
      <c r="R63">
        <v>0.85389787785148896</v>
      </c>
    </row>
    <row r="64" spans="1:29" outlineLevel="1" x14ac:dyDescent="0.25">
      <c r="A64" s="44">
        <v>5</v>
      </c>
      <c r="B64" s="46">
        <f t="shared" si="1"/>
        <v>20.652318844739217</v>
      </c>
      <c r="C64" s="2">
        <v>20.652318844739217</v>
      </c>
      <c r="D64" s="2">
        <v>15.01389788560717</v>
      </c>
      <c r="E64" s="2">
        <v>15.01389788560717</v>
      </c>
      <c r="F64">
        <v>9.3926427807302151</v>
      </c>
      <c r="G64" s="2">
        <v>1.0250777825884545</v>
      </c>
      <c r="H64" s="10">
        <v>1.0250777825884545</v>
      </c>
      <c r="I64">
        <v>1.0267962936902495</v>
      </c>
      <c r="J64" s="2">
        <v>851.48634587392849</v>
      </c>
      <c r="K64" s="2">
        <v>851.48634587392849</v>
      </c>
      <c r="L64">
        <v>845.37945794485836</v>
      </c>
      <c r="M64" s="2">
        <v>4.2986777188826739</v>
      </c>
      <c r="N64" s="28">
        <v>4.2986777188826739</v>
      </c>
      <c r="O64">
        <v>11.77941826821861</v>
      </c>
      <c r="P64">
        <v>0.80849849860866785</v>
      </c>
      <c r="Q64">
        <v>0.80849849860866785</v>
      </c>
      <c r="R64">
        <v>0.81029957875240433</v>
      </c>
    </row>
    <row r="65" spans="1:18" outlineLevel="1" x14ac:dyDescent="0.25">
      <c r="A65" s="44">
        <v>6</v>
      </c>
      <c r="B65" s="46">
        <f t="shared" si="1"/>
        <v>25.56539855592402</v>
      </c>
      <c r="C65" s="2">
        <v>25.56539855592402</v>
      </c>
      <c r="D65" s="2">
        <v>19.412643909507473</v>
      </c>
      <c r="E65" s="2">
        <v>19.412643909507473</v>
      </c>
      <c r="F65">
        <v>12.144483135609654</v>
      </c>
      <c r="G65" s="2">
        <v>1.0313214611959987</v>
      </c>
      <c r="H65" s="10">
        <v>1.0313214611959987</v>
      </c>
      <c r="I65">
        <v>1.0326569361256086</v>
      </c>
      <c r="J65" s="2">
        <v>849.97891727027388</v>
      </c>
      <c r="K65" s="2">
        <v>849.97891727027388</v>
      </c>
      <c r="L65">
        <v>842.8605958899708</v>
      </c>
      <c r="M65" s="2">
        <v>3.7002264522084776</v>
      </c>
      <c r="N65" s="2">
        <v>3.7002264522084776</v>
      </c>
      <c r="O65">
        <v>10.495013084946841</v>
      </c>
      <c r="P65">
        <v>0.76476180691473405</v>
      </c>
      <c r="Q65">
        <v>0.76476180691473405</v>
      </c>
      <c r="R65">
        <v>0.76758282317998527</v>
      </c>
    </row>
    <row r="66" spans="1:18" outlineLevel="1" x14ac:dyDescent="0.25">
      <c r="A66" s="44">
        <v>7</v>
      </c>
      <c r="B66" s="46">
        <f t="shared" si="1"/>
        <v>30.478478267108823</v>
      </c>
      <c r="C66" s="2">
        <v>30.478478267108823</v>
      </c>
      <c r="D66" s="2">
        <v>23.988268741157043</v>
      </c>
      <c r="E66" s="2">
        <v>23.988268741157043</v>
      </c>
      <c r="F66">
        <v>15.006978263108998</v>
      </c>
      <c r="G66" s="2">
        <v>1.0379434693687348</v>
      </c>
      <c r="H66" s="10">
        <v>1.0379434693687348</v>
      </c>
      <c r="I66">
        <v>1.0388440736855331</v>
      </c>
      <c r="J66" s="2">
        <v>848.32609244149762</v>
      </c>
      <c r="K66" s="2">
        <v>848.32609244149762</v>
      </c>
      <c r="L66">
        <v>840.19713819442973</v>
      </c>
      <c r="M66" s="2">
        <v>3.2250051908612867</v>
      </c>
      <c r="N66" s="2">
        <v>3.2250051908612867</v>
      </c>
      <c r="O66">
        <v>9.4096417226881677</v>
      </c>
      <c r="P66">
        <v>0.7217089355791344</v>
      </c>
      <c r="Q66">
        <v>0.7217089355791344</v>
      </c>
      <c r="R66">
        <v>0.72576148688122155</v>
      </c>
    </row>
    <row r="67" spans="1:18" outlineLevel="1" x14ac:dyDescent="0.25">
      <c r="A67" s="44">
        <v>8</v>
      </c>
      <c r="B67" s="46">
        <f t="shared" si="1"/>
        <v>35.391557978293626</v>
      </c>
      <c r="C67" s="2">
        <v>35.391557978293626</v>
      </c>
      <c r="D67" s="2">
        <v>28.717472444881921</v>
      </c>
      <c r="E67" s="2">
        <v>28.717472444881921</v>
      </c>
      <c r="F67">
        <v>17.965551803760047</v>
      </c>
      <c r="G67" s="2">
        <v>1.0449125980916869</v>
      </c>
      <c r="H67" s="10">
        <v>1.0449125980916869</v>
      </c>
      <c r="I67">
        <v>1.0453298098884751</v>
      </c>
      <c r="J67" s="2">
        <v>846.5386453140668</v>
      </c>
      <c r="K67" s="2">
        <v>846.5386453140668</v>
      </c>
      <c r="L67">
        <v>837.4045702766756</v>
      </c>
      <c r="M67" s="2">
        <v>2.8424457876306803</v>
      </c>
      <c r="N67" s="2">
        <v>2.8424457876306803</v>
      </c>
      <c r="O67">
        <v>8.4888966356150277</v>
      </c>
      <c r="P67">
        <v>0.67937419143118949</v>
      </c>
      <c r="Q67">
        <v>0.67937419143118949</v>
      </c>
      <c r="R67">
        <v>0.68485613630527642</v>
      </c>
    </row>
    <row r="68" spans="1:18" outlineLevel="1" x14ac:dyDescent="0.25">
      <c r="A68" s="44">
        <v>9</v>
      </c>
      <c r="B68" s="46">
        <f t="shared" si="1"/>
        <v>40.304637689478433</v>
      </c>
      <c r="C68" s="2">
        <v>40.304637689478433</v>
      </c>
      <c r="D68" s="2">
        <v>33.582919059001995</v>
      </c>
      <c r="E68" s="2">
        <v>33.582919059001995</v>
      </c>
      <c r="F68">
        <v>21.009358439673843</v>
      </c>
      <c r="G68" s="2">
        <v>1.052204485648484</v>
      </c>
      <c r="H68" s="10">
        <v>1.052204485648484</v>
      </c>
      <c r="I68">
        <v>1.0520927887801381</v>
      </c>
      <c r="J68" s="2">
        <v>844.6264853189075</v>
      </c>
      <c r="K68" s="2">
        <v>844.6264853189075</v>
      </c>
      <c r="L68">
        <v>834.49578079704759</v>
      </c>
      <c r="M68" s="2">
        <v>2.530283382084316</v>
      </c>
      <c r="N68" s="2">
        <v>2.530283382084316</v>
      </c>
      <c r="O68">
        <v>7.7035142147442617</v>
      </c>
      <c r="P68">
        <v>0.63779371087488834</v>
      </c>
      <c r="Q68">
        <v>0.63779371087488834</v>
      </c>
      <c r="R68">
        <v>0.6448877558763968</v>
      </c>
    </row>
    <row r="69" spans="1:18" outlineLevel="1" x14ac:dyDescent="0.25">
      <c r="A69" s="44">
        <v>10</v>
      </c>
      <c r="B69" s="46">
        <f t="shared" si="1"/>
        <v>45.21771740066324</v>
      </c>
      <c r="C69" s="2">
        <v>45.21771740066324</v>
      </c>
      <c r="D69" s="2">
        <v>38.571150547805694</v>
      </c>
      <c r="E69" s="2">
        <v>38.571150547805694</v>
      </c>
      <c r="F69">
        <v>24.129978870084365</v>
      </c>
      <c r="G69" s="2">
        <v>1.0597993227135396</v>
      </c>
      <c r="H69" s="10">
        <v>1.0597993227135396</v>
      </c>
      <c r="I69">
        <v>1.0591159042948526</v>
      </c>
      <c r="J69" s="2">
        <v>842.59882328529204</v>
      </c>
      <c r="K69" s="2">
        <v>842.59882328529204</v>
      </c>
      <c r="L69">
        <v>831.48191152527806</v>
      </c>
      <c r="M69" s="2">
        <v>2.2722899572312136</v>
      </c>
      <c r="N69" s="2">
        <v>2.2722899572312136</v>
      </c>
      <c r="O69">
        <v>7.0294616291957235</v>
      </c>
      <c r="P69">
        <v>0.59700146990351233</v>
      </c>
      <c r="Q69">
        <v>0.59700146990351233</v>
      </c>
      <c r="R69">
        <v>0.60587437769733143</v>
      </c>
    </row>
    <row r="70" spans="1:18" outlineLevel="1" x14ac:dyDescent="0.25">
      <c r="A70" s="44">
        <v>11</v>
      </c>
      <c r="B70" s="46">
        <f t="shared" si="1"/>
        <v>50.130797111848047</v>
      </c>
      <c r="C70" s="2">
        <v>50.130797111848047</v>
      </c>
      <c r="D70" s="2">
        <v>43.671383204425346</v>
      </c>
      <c r="E70" s="2">
        <v>43.671383204425346</v>
      </c>
      <c r="F70">
        <v>27.32066684513488</v>
      </c>
      <c r="G70" s="2">
        <v>1.0676805282277884</v>
      </c>
      <c r="H70" s="10">
        <v>1.0676805282277884</v>
      </c>
      <c r="I70">
        <v>1.0663849982603448</v>
      </c>
      <c r="J70" s="2">
        <v>840.46426480407308</v>
      </c>
      <c r="K70" s="2">
        <v>840.46426480407308</v>
      </c>
      <c r="L70">
        <v>828.37283206381744</v>
      </c>
      <c r="M70" s="2">
        <v>2.0565368095672496</v>
      </c>
      <c r="N70" s="2">
        <v>2.0565368095672496</v>
      </c>
      <c r="O70">
        <v>6.4472830901680007</v>
      </c>
      <c r="P70">
        <v>0.55702704196054287</v>
      </c>
      <c r="Q70">
        <v>0.55702704196054287</v>
      </c>
      <c r="R70">
        <v>0.56782932158282373</v>
      </c>
    </row>
    <row r="71" spans="1:18" outlineLevel="1" x14ac:dyDescent="0.25">
      <c r="A71" s="44">
        <v>12</v>
      </c>
      <c r="B71" s="46">
        <f t="shared" si="1"/>
        <v>55.043876823032853</v>
      </c>
      <c r="C71" s="2">
        <v>55.043876823032853</v>
      </c>
      <c r="D71" s="2">
        <v>48.874761381642415</v>
      </c>
      <c r="E71" s="2">
        <v>48.874761381642415</v>
      </c>
      <c r="F71">
        <v>30.575882302441194</v>
      </c>
      <c r="G71" s="2">
        <v>1.0758339217328878</v>
      </c>
      <c r="H71" s="10">
        <v>1.0758339217328878</v>
      </c>
      <c r="I71">
        <v>1.073888061197309</v>
      </c>
      <c r="J71" s="2">
        <v>838.23087278509183</v>
      </c>
      <c r="K71" s="2">
        <v>838.23087278509183</v>
      </c>
      <c r="L71">
        <v>825.17742845397902</v>
      </c>
      <c r="M71" s="2">
        <v>1.874153207376293</v>
      </c>
      <c r="N71" s="2">
        <v>1.874153207376293</v>
      </c>
      <c r="O71">
        <v>5.9413011235292226</v>
      </c>
      <c r="P71">
        <v>0.51789442761253124</v>
      </c>
      <c r="Q71">
        <v>0.51789442761253124</v>
      </c>
      <c r="R71">
        <v>0.5307604002111781</v>
      </c>
    </row>
    <row r="72" spans="1:18" outlineLevel="1" x14ac:dyDescent="0.25">
      <c r="A72" s="44">
        <v>13</v>
      </c>
      <c r="B72" s="46">
        <f t="shared" si="1"/>
        <v>59.95695653421766</v>
      </c>
      <c r="C72" s="2">
        <v>59.95695653421766</v>
      </c>
      <c r="D72" s="2">
        <v>54.173868679626857</v>
      </c>
      <c r="E72" s="2">
        <v>54.173868679626857</v>
      </c>
      <c r="F72">
        <v>33.890985567825872</v>
      </c>
      <c r="G72" s="2">
        <v>1.0842471734876096</v>
      </c>
      <c r="H72" s="10">
        <v>1.0842471734876096</v>
      </c>
      <c r="I72">
        <v>1.0816147115854664</v>
      </c>
      <c r="J72" s="2">
        <v>835.90621485395764</v>
      </c>
      <c r="K72" s="2">
        <v>835.90621485395764</v>
      </c>
      <c r="L72">
        <v>821.90379108716832</v>
      </c>
      <c r="M72" s="2">
        <v>1.7184584723758236</v>
      </c>
      <c r="N72" s="2">
        <v>1.7184584723758236</v>
      </c>
      <c r="O72">
        <v>5.4988781080973439</v>
      </c>
      <c r="P72">
        <v>0.47962158074016309</v>
      </c>
      <c r="Q72">
        <v>0.47962158074016309</v>
      </c>
      <c r="R72">
        <v>0.49466973078924525</v>
      </c>
    </row>
    <row r="73" spans="1:18" outlineLevel="1" x14ac:dyDescent="0.25">
      <c r="A73" s="44">
        <v>14</v>
      </c>
      <c r="B73" s="46">
        <f t="shared" si="1"/>
        <v>64.87003624540246</v>
      </c>
      <c r="C73" s="2">
        <v>64.87003624540246</v>
      </c>
      <c r="D73" s="2">
        <v>59.562393590542591</v>
      </c>
      <c r="E73" s="2">
        <v>59.562393590542591</v>
      </c>
      <c r="F73">
        <v>37.262028183735517</v>
      </c>
      <c r="G73" s="2">
        <v>1.0929094212817836</v>
      </c>
      <c r="H73" s="10">
        <v>1.0929094212817836</v>
      </c>
      <c r="I73">
        <v>1.0895558399781531</v>
      </c>
      <c r="J73" s="2">
        <v>833.49740210522918</v>
      </c>
      <c r="K73" s="2">
        <v>833.49740210522918</v>
      </c>
      <c r="L73">
        <v>818.55934423731026</v>
      </c>
      <c r="M73" s="2">
        <v>1.5843568380798965</v>
      </c>
      <c r="N73" s="2">
        <v>1.5843568380798965</v>
      </c>
      <c r="O73">
        <v>5.109795332848301</v>
      </c>
      <c r="P73">
        <v>0.44222040416910596</v>
      </c>
      <c r="Q73">
        <v>0.44222040416910596</v>
      </c>
      <c r="R73">
        <v>0.45955393739525124</v>
      </c>
    </row>
    <row r="74" spans="1:18" outlineLevel="1" x14ac:dyDescent="0.25">
      <c r="A74" s="44">
        <v>15</v>
      </c>
      <c r="B74" s="46">
        <f t="shared" si="1"/>
        <v>69.783115956587267</v>
      </c>
      <c r="C74" s="2">
        <v>69.783115956587267</v>
      </c>
      <c r="D74" s="2">
        <v>65.034892614042533</v>
      </c>
      <c r="E74" s="2">
        <v>65.034892614042533</v>
      </c>
      <c r="F74">
        <v>40.685604715110827</v>
      </c>
      <c r="G74" s="2">
        <v>1.1018109930431956</v>
      </c>
      <c r="H74" s="10">
        <v>1.1018109930431956</v>
      </c>
      <c r="I74">
        <v>1.0977033560995806</v>
      </c>
      <c r="J74" s="2">
        <v>831.01112223038695</v>
      </c>
      <c r="K74" s="2">
        <v>831.01112223038695</v>
      </c>
      <c r="L74">
        <v>815.15093975456739</v>
      </c>
      <c r="M74" s="2">
        <v>1.4679131960280634</v>
      </c>
      <c r="N74" s="2">
        <v>1.4679131960280634</v>
      </c>
      <c r="O74">
        <v>4.7657521134140053</v>
      </c>
      <c r="P74">
        <v>0.40569706788286175</v>
      </c>
      <c r="Q74">
        <v>0.40569706788286175</v>
      </c>
      <c r="R74">
        <v>0.42540460627061427</v>
      </c>
    </row>
    <row r="75" spans="1:18" outlineLevel="1" x14ac:dyDescent="0.25">
      <c r="A75" s="44">
        <v>16</v>
      </c>
      <c r="B75" s="46">
        <f t="shared" si="1"/>
        <v>74.696195667772074</v>
      </c>
      <c r="C75" s="2">
        <v>74.696195667772074</v>
      </c>
      <c r="D75" s="2">
        <v>70.586617473020823</v>
      </c>
      <c r="E75" s="2">
        <v>70.586617473020823</v>
      </c>
      <c r="F75">
        <v>44.158744656156443</v>
      </c>
      <c r="G75" s="2">
        <v>1.1109431997168528</v>
      </c>
      <c r="H75" s="10">
        <v>1.1109431997168528</v>
      </c>
      <c r="I75">
        <v>1.1060500032041969</v>
      </c>
      <c r="J75" s="2">
        <v>828.45366858659111</v>
      </c>
      <c r="K75" s="2">
        <v>828.45366858659111</v>
      </c>
      <c r="L75">
        <v>811.68492766303518</v>
      </c>
      <c r="M75" s="2">
        <v>1.3660528706447512</v>
      </c>
      <c r="N75" s="2">
        <v>1.3660528706447512</v>
      </c>
      <c r="O75">
        <v>4.4599695141416973</v>
      </c>
      <c r="P75">
        <v>0.37005255000022846</v>
      </c>
      <c r="Q75">
        <v>0.37005255000022846</v>
      </c>
      <c r="R75">
        <v>0.39220890251892532</v>
      </c>
    </row>
    <row r="76" spans="1:18" outlineLevel="1" x14ac:dyDescent="0.25">
      <c r="A76" s="44">
        <v>17</v>
      </c>
      <c r="B76" s="46">
        <f t="shared" si="1"/>
        <v>79.60927537895688</v>
      </c>
      <c r="C76" s="2">
        <v>79.60927537895688</v>
      </c>
      <c r="D76" s="2">
        <v>76.213385956574797</v>
      </c>
      <c r="E76" s="2">
        <v>76.213385956574797</v>
      </c>
      <c r="F76">
        <v>47.678831630143243</v>
      </c>
      <c r="G76" s="2">
        <v>1.120298176615711</v>
      </c>
      <c r="H76" s="10">
        <v>1.120298176615711</v>
      </c>
      <c r="I76">
        <v>1.1145892180443424</v>
      </c>
      <c r="J76" s="2">
        <v>825.83096611926464</v>
      </c>
      <c r="K76" s="2">
        <v>825.83096611926464</v>
      </c>
      <c r="L76">
        <v>808.16721123705156</v>
      </c>
      <c r="M76" s="2">
        <v>1.2763468063126029</v>
      </c>
      <c r="N76" s="2">
        <v>1.2763468063126029</v>
      </c>
      <c r="O76">
        <v>4.186879479895997</v>
      </c>
      <c r="P76">
        <v>0.33528333025605495</v>
      </c>
      <c r="Q76">
        <v>0.33528333025605495</v>
      </c>
      <c r="R76">
        <v>0.35995028579310601</v>
      </c>
    </row>
    <row r="77" spans="1:18" outlineLevel="1" x14ac:dyDescent="0.25">
      <c r="A77" s="44">
        <v>18</v>
      </c>
      <c r="B77" s="46">
        <f t="shared" si="1"/>
        <v>84.522355090141687</v>
      </c>
      <c r="C77" s="2">
        <v>84.522355090141687</v>
      </c>
      <c r="D77" s="2">
        <v>81.911483331315523</v>
      </c>
      <c r="E77" s="2">
        <v>81.911483331315523</v>
      </c>
      <c r="F77">
        <v>51.243541712663692</v>
      </c>
      <c r="G77" s="2">
        <v>1.1298687592775458</v>
      </c>
      <c r="H77" s="10">
        <v>1.1298687592775458</v>
      </c>
      <c r="I77">
        <v>1.1233150227673139</v>
      </c>
      <c r="J77" s="2">
        <v>823.14859473129854</v>
      </c>
      <c r="K77" s="2">
        <v>823.14859473129854</v>
      </c>
      <c r="L77">
        <v>804.60329125721387</v>
      </c>
      <c r="M77" s="2">
        <v>1.1968560659102583</v>
      </c>
      <c r="N77" s="2">
        <v>1.1968560659102583</v>
      </c>
      <c r="O77">
        <v>3.941881596185512</v>
      </c>
      <c r="P77">
        <v>0.30138218537840816</v>
      </c>
      <c r="Q77">
        <v>0.30138218537840816</v>
      </c>
      <c r="R77">
        <v>0.32860928186250504</v>
      </c>
    </row>
    <row r="78" spans="1:18" outlineLevel="1" x14ac:dyDescent="0.25">
      <c r="A78" s="44">
        <v>19</v>
      </c>
      <c r="B78" s="46">
        <f t="shared" si="1"/>
        <v>89.435434801326494</v>
      </c>
      <c r="C78" s="2">
        <v>89.435434801326494</v>
      </c>
      <c r="D78" s="2">
        <v>87.677585711374817</v>
      </c>
      <c r="E78" s="2">
        <v>87.677585711374817</v>
      </c>
      <c r="F78">
        <v>54.850795492172466</v>
      </c>
      <c r="G78" s="2">
        <v>1.1396483845514132</v>
      </c>
      <c r="H78" s="10">
        <v>1.1396483845514132</v>
      </c>
      <c r="I78">
        <v>1.1322219397893958</v>
      </c>
      <c r="J78" s="2">
        <v>820.41181051867727</v>
      </c>
      <c r="K78" s="2">
        <v>820.41181051867727</v>
      </c>
      <c r="L78">
        <v>800.99830247561226</v>
      </c>
      <c r="M78" s="2">
        <v>1.1260179399617538</v>
      </c>
      <c r="N78" s="2">
        <v>1.1260179399617538</v>
      </c>
      <c r="O78">
        <v>3.721152608527647</v>
      </c>
      <c r="P78">
        <v>0.26833904937090636</v>
      </c>
      <c r="Q78">
        <v>0.26833904937090636</v>
      </c>
      <c r="R78">
        <v>0.2981642802084542</v>
      </c>
    </row>
    <row r="79" spans="1:18" outlineLevel="1" x14ac:dyDescent="0.25">
      <c r="A79" s="44">
        <v>20</v>
      </c>
      <c r="B79" s="46">
        <f t="shared" si="1"/>
        <v>94.348514512511301</v>
      </c>
      <c r="C79" s="2">
        <v>94.348514512511301</v>
      </c>
      <c r="D79" s="2">
        <v>93.508699547004454</v>
      </c>
      <c r="E79" s="2">
        <v>93.508699547004454</v>
      </c>
      <c r="F79">
        <v>58.498720214262562</v>
      </c>
      <c r="G79" s="2">
        <v>1.1496310105571559</v>
      </c>
      <c r="H79" s="10">
        <v>1.1496310105571559</v>
      </c>
      <c r="I79">
        <v>1.1413049236047763</v>
      </c>
      <c r="J79" s="2">
        <v>817.62556518900601</v>
      </c>
      <c r="K79" s="2">
        <v>817.62556518900601</v>
      </c>
      <c r="L79">
        <v>797.35704430831811</v>
      </c>
      <c r="M79" s="2">
        <v>1.0625615723945179</v>
      </c>
      <c r="N79" s="2">
        <v>1.0625615723945179</v>
      </c>
      <c r="O79">
        <v>3.5214968338972046</v>
      </c>
      <c r="P79">
        <v>0.23614191133325801</v>
      </c>
      <c r="Q79">
        <v>0.23614191133325801</v>
      </c>
      <c r="R79">
        <v>0.26859233704544261</v>
      </c>
    </row>
    <row r="80" spans="1:18" outlineLevel="1" x14ac:dyDescent="0.25">
      <c r="A80" s="44">
        <v>21</v>
      </c>
      <c r="B80" s="47">
        <f>G24</f>
        <v>99.261594223696079</v>
      </c>
      <c r="C80" s="2">
        <v>99.261594223696079</v>
      </c>
      <c r="D80" s="2">
        <v>99.402113171021938</v>
      </c>
      <c r="E80" s="2">
        <v>99.402113171021938</v>
      </c>
      <c r="F80">
        <v>62.185619469288788</v>
      </c>
      <c r="G80" s="2">
        <v>1.1598110510438144</v>
      </c>
      <c r="H80" s="10">
        <v>1.1598110510438144</v>
      </c>
      <c r="I80">
        <v>1.1505593053400971</v>
      </c>
      <c r="J80" s="2">
        <v>814.79452391165955</v>
      </c>
      <c r="K80" s="2">
        <v>814.79452391165955</v>
      </c>
      <c r="L80">
        <v>793.68400713947676</v>
      </c>
      <c r="M80" s="2">
        <v>1.0054447609364912</v>
      </c>
      <c r="N80" s="2">
        <v>1.0054447609364912</v>
      </c>
      <c r="O80">
        <v>3.3402282103479428</v>
      </c>
      <c r="P80">
        <v>0.20477773020004303</v>
      </c>
      <c r="Q80">
        <v>0.20477773020004303</v>
      </c>
      <c r="R80">
        <v>0.23986996956425102</v>
      </c>
    </row>
    <row r="81" spans="1:18" outlineLevel="1" x14ac:dyDescent="0.25">
      <c r="A81" s="44">
        <v>22</v>
      </c>
      <c r="B81" s="46">
        <f t="shared" ref="B81:B99" si="2">($B$100-$B$80)/($A$100-$A$80)+B80</f>
        <v>109.29851451251128</v>
      </c>
      <c r="C81" s="2">
        <v>109.29851451251128</v>
      </c>
      <c r="D81" s="2">
        <v>100</v>
      </c>
      <c r="E81" s="2">
        <v>100</v>
      </c>
      <c r="F81">
        <v>69.832391150560952</v>
      </c>
      <c r="G81" s="2">
        <v>1.1582716511347877</v>
      </c>
      <c r="H81" s="10">
        <v>1.1582716511347877</v>
      </c>
      <c r="I81">
        <v>1.169979944962791</v>
      </c>
      <c r="J81" s="2">
        <v>816.31886533150612</v>
      </c>
      <c r="K81" s="2">
        <v>816.31886533150612</v>
      </c>
      <c r="L81">
        <v>786.09891267606145</v>
      </c>
      <c r="M81" s="2">
        <v>1.0207529765567527</v>
      </c>
      <c r="N81" s="2">
        <v>1.0207529765567527</v>
      </c>
      <c r="O81">
        <v>3.0179300771231135</v>
      </c>
      <c r="P81">
        <v>0.14323864148035362</v>
      </c>
      <c r="Q81">
        <v>0.14323864148035362</v>
      </c>
      <c r="R81">
        <v>0.18373743834635339</v>
      </c>
    </row>
    <row r="82" spans="1:18" outlineLevel="1" x14ac:dyDescent="0.25">
      <c r="A82" s="44">
        <v>23</v>
      </c>
      <c r="B82" s="46">
        <f t="shared" si="2"/>
        <v>119.33543480132647</v>
      </c>
      <c r="C82" s="2">
        <v>119.33543480132647</v>
      </c>
      <c r="D82" s="2">
        <v>100</v>
      </c>
      <c r="E82" s="2">
        <v>100</v>
      </c>
      <c r="F82">
        <v>77.623947773431695</v>
      </c>
      <c r="G82" s="2">
        <v>1.1561324003571178</v>
      </c>
      <c r="H82" s="10">
        <v>1.1561324003571178</v>
      </c>
      <c r="I82">
        <v>1.1900647253628218</v>
      </c>
      <c r="J82" s="2">
        <v>817.82934178467667</v>
      </c>
      <c r="K82" s="2">
        <v>817.82934178467667</v>
      </c>
      <c r="L82">
        <v>778.4309577060435</v>
      </c>
      <c r="M82" s="2">
        <v>1.0436752181585873</v>
      </c>
      <c r="N82" s="2">
        <v>1.0436752181585873</v>
      </c>
      <c r="O82">
        <v>2.7479651483479524</v>
      </c>
      <c r="P82">
        <v>8.5025749798818134E-2</v>
      </c>
      <c r="Q82">
        <v>8.5025749798818134E-2</v>
      </c>
      <c r="R82">
        <v>0.13087400987928097</v>
      </c>
    </row>
    <row r="83" spans="1:18" outlineLevel="1" x14ac:dyDescent="0.25">
      <c r="A83" s="44">
        <v>24</v>
      </c>
      <c r="B83" s="46">
        <f t="shared" si="2"/>
        <v>129.37235509014167</v>
      </c>
      <c r="C83" s="2">
        <v>129.37235509014167</v>
      </c>
      <c r="D83" s="2">
        <v>100</v>
      </c>
      <c r="E83" s="2">
        <v>100</v>
      </c>
      <c r="F83">
        <v>85.550488074551552</v>
      </c>
      <c r="G83" s="2">
        <v>1.1543281620962356</v>
      </c>
      <c r="H83" s="10">
        <v>1.1543281620962356</v>
      </c>
      <c r="I83">
        <v>1.2107843370644027</v>
      </c>
      <c r="J83" s="2">
        <v>819.10762558452825</v>
      </c>
      <c r="K83" s="2">
        <v>819.10762558452825</v>
      </c>
      <c r="L83">
        <v>770.70861699364718</v>
      </c>
      <c r="M83" s="2">
        <v>1.0686200137921675</v>
      </c>
      <c r="N83" s="2">
        <v>1.0686200137921675</v>
      </c>
      <c r="O83">
        <v>2.5191569351789669</v>
      </c>
      <c r="P83">
        <v>3.008668064695837E-2</v>
      </c>
      <c r="Q83">
        <v>3.008668064695837E-2</v>
      </c>
      <c r="R83">
        <v>8.1140523979548809E-2</v>
      </c>
    </row>
    <row r="84" spans="1:18" outlineLevel="1" x14ac:dyDescent="0.25">
      <c r="A84" s="44">
        <v>25</v>
      </c>
      <c r="B84" s="46">
        <f t="shared" si="2"/>
        <v>139.40927537895686</v>
      </c>
      <c r="C84" s="2">
        <v>139.40927537895686</v>
      </c>
      <c r="D84" s="2">
        <v>100</v>
      </c>
      <c r="E84" s="2">
        <v>100</v>
      </c>
      <c r="F84">
        <v>93.603592056427246</v>
      </c>
      <c r="G84" s="2">
        <v>1.1527859568401784</v>
      </c>
      <c r="H84" s="10">
        <v>1.1527859568401784</v>
      </c>
      <c r="I84">
        <v>1.2321127799103735</v>
      </c>
      <c r="J84" s="2">
        <v>820.20343359464277</v>
      </c>
      <c r="K84" s="2">
        <v>820.20343359464277</v>
      </c>
      <c r="L84">
        <v>762.95682604567833</v>
      </c>
      <c r="M84" s="2">
        <v>1.0954628964424935</v>
      </c>
      <c r="N84" s="2">
        <v>1.0954628964424935</v>
      </c>
      <c r="O84">
        <v>2.3231931564587418</v>
      </c>
      <c r="P84">
        <v>0</v>
      </c>
      <c r="Q84">
        <v>0</v>
      </c>
      <c r="R84">
        <v>3.4460110113717669E-2</v>
      </c>
    </row>
    <row r="85" spans="1:18" outlineLevel="1" x14ac:dyDescent="0.25">
      <c r="A85" s="44">
        <v>26</v>
      </c>
      <c r="B85" s="46">
        <f t="shared" si="2"/>
        <v>149.44619566777206</v>
      </c>
      <c r="C85" s="2">
        <v>149.44619566777206</v>
      </c>
      <c r="D85" s="2">
        <v>100</v>
      </c>
      <c r="E85" s="2">
        <v>100</v>
      </c>
      <c r="F85">
        <v>100</v>
      </c>
      <c r="G85" s="2">
        <v>1.1514525669086972</v>
      </c>
      <c r="H85" s="10">
        <v>1.1514525669086972</v>
      </c>
      <c r="I85">
        <v>1.2486555694666963</v>
      </c>
      <c r="J85" s="2">
        <v>821.15323476887397</v>
      </c>
      <c r="K85" s="2">
        <v>821.15323476887397</v>
      </c>
      <c r="L85">
        <v>757.22963411265869</v>
      </c>
      <c r="M85" s="2">
        <v>1.1240959486950539</v>
      </c>
      <c r="N85" s="2">
        <v>1.1240959486950539</v>
      </c>
      <c r="O85">
        <v>2.1969105778534734</v>
      </c>
      <c r="P85">
        <v>0</v>
      </c>
      <c r="Q85">
        <v>0</v>
      </c>
      <c r="R85">
        <v>0</v>
      </c>
    </row>
    <row r="86" spans="1:18" outlineLevel="1" x14ac:dyDescent="0.25">
      <c r="A86" s="44">
        <v>27</v>
      </c>
      <c r="B86" s="46">
        <f t="shared" si="2"/>
        <v>159.48311595658726</v>
      </c>
      <c r="C86" s="2">
        <v>159.48311595658726</v>
      </c>
      <c r="D86" s="2">
        <v>100</v>
      </c>
      <c r="E86" s="2">
        <v>100</v>
      </c>
      <c r="F86">
        <v>100</v>
      </c>
      <c r="G86" s="2">
        <v>1.1502882716457308</v>
      </c>
      <c r="H86" s="10">
        <v>1.1502882716457308</v>
      </c>
      <c r="I86">
        <v>1.2467919988513796</v>
      </c>
      <c r="J86" s="2">
        <v>821.98438713735209</v>
      </c>
      <c r="K86" s="2">
        <v>821.98438713735209</v>
      </c>
      <c r="L86">
        <v>758.36145954663607</v>
      </c>
      <c r="M86" s="2">
        <v>1.154423566787018</v>
      </c>
      <c r="N86" s="2">
        <v>1.154423566787018</v>
      </c>
      <c r="O86">
        <v>2.2277934807390247</v>
      </c>
      <c r="P86">
        <v>0</v>
      </c>
      <c r="Q86">
        <v>0</v>
      </c>
      <c r="R86">
        <v>0</v>
      </c>
    </row>
    <row r="87" spans="1:18" outlineLevel="1" x14ac:dyDescent="0.25">
      <c r="A87" s="44">
        <v>28</v>
      </c>
      <c r="B87" s="46">
        <f t="shared" si="2"/>
        <v>169.52003624540245</v>
      </c>
      <c r="C87" s="2">
        <v>169.52003624540245</v>
      </c>
      <c r="D87" s="2">
        <v>100</v>
      </c>
      <c r="E87" s="2">
        <v>100</v>
      </c>
      <c r="F87">
        <v>100</v>
      </c>
      <c r="G87" s="2">
        <v>1.1492628237295195</v>
      </c>
      <c r="H87" s="10">
        <v>1.1492628237295195</v>
      </c>
      <c r="I87">
        <v>1.2451514112479076</v>
      </c>
      <c r="J87" s="2">
        <v>822.71781569655047</v>
      </c>
      <c r="K87" s="2">
        <v>822.71781569655047</v>
      </c>
      <c r="L87">
        <v>759.36066205184477</v>
      </c>
      <c r="M87" s="2">
        <v>1.186359256812282</v>
      </c>
      <c r="N87" s="2">
        <v>1.186359256812282</v>
      </c>
      <c r="O87">
        <v>2.260873652360408</v>
      </c>
      <c r="P87">
        <v>0</v>
      </c>
      <c r="Q87">
        <v>0</v>
      </c>
      <c r="R87">
        <v>0</v>
      </c>
    </row>
    <row r="88" spans="1:18" outlineLevel="1" x14ac:dyDescent="0.25">
      <c r="A88" s="44">
        <v>29</v>
      </c>
      <c r="B88" s="46">
        <f t="shared" si="2"/>
        <v>179.55695653421765</v>
      </c>
      <c r="C88" s="2">
        <v>179.55695653421765</v>
      </c>
      <c r="D88" s="2">
        <v>100</v>
      </c>
      <c r="E88" s="2">
        <v>100</v>
      </c>
      <c r="F88">
        <v>100</v>
      </c>
      <c r="G88" s="2">
        <v>1.1483527839040586</v>
      </c>
      <c r="H88" s="10">
        <v>1.1483527839040586</v>
      </c>
      <c r="I88">
        <v>1.2436960459368558</v>
      </c>
      <c r="J88" s="2">
        <v>823.36979824746538</v>
      </c>
      <c r="K88" s="2">
        <v>823.36979824746538</v>
      </c>
      <c r="L88">
        <v>760.24926113498736</v>
      </c>
      <c r="M88" s="2">
        <v>1.2198231793090057</v>
      </c>
      <c r="N88" s="2">
        <v>1.2198231793090057</v>
      </c>
      <c r="O88">
        <v>2.2960464389042663</v>
      </c>
      <c r="P88">
        <v>0</v>
      </c>
      <c r="Q88">
        <v>0</v>
      </c>
      <c r="R88">
        <v>0</v>
      </c>
    </row>
    <row r="89" spans="1:18" outlineLevel="1" x14ac:dyDescent="0.25">
      <c r="A89" s="44">
        <v>30</v>
      </c>
      <c r="B89" s="46">
        <f t="shared" si="2"/>
        <v>189.59387682303284</v>
      </c>
      <c r="C89" s="2">
        <v>189.59387682303284</v>
      </c>
      <c r="D89" s="2">
        <v>100</v>
      </c>
      <c r="E89" s="2">
        <v>100</v>
      </c>
      <c r="F89">
        <v>100</v>
      </c>
      <c r="G89" s="2">
        <v>1.1475397075941829</v>
      </c>
      <c r="H89" s="10">
        <v>1.1475397075941829</v>
      </c>
      <c r="I89">
        <v>1.2423962124523464</v>
      </c>
      <c r="J89" s="2">
        <v>823.95318762631814</v>
      </c>
      <c r="K89" s="2">
        <v>823.95318762631814</v>
      </c>
      <c r="L89">
        <v>761.04465751199837</v>
      </c>
      <c r="M89" s="2">
        <v>1.2547402484110013</v>
      </c>
      <c r="N89" s="2">
        <v>1.2547402484110013</v>
      </c>
      <c r="O89">
        <v>2.3332188042345927</v>
      </c>
      <c r="P89">
        <v>0</v>
      </c>
      <c r="Q89">
        <v>0</v>
      </c>
      <c r="R89">
        <v>0</v>
      </c>
    </row>
    <row r="90" spans="1:18" outlineLevel="1" x14ac:dyDescent="0.25">
      <c r="A90" s="44">
        <v>31</v>
      </c>
      <c r="B90" s="46">
        <f t="shared" si="2"/>
        <v>199.63079711184804</v>
      </c>
      <c r="C90" s="2">
        <v>199.63079711184804</v>
      </c>
      <c r="D90" s="2">
        <v>100</v>
      </c>
      <c r="E90" s="2">
        <v>100</v>
      </c>
      <c r="F90">
        <v>100</v>
      </c>
      <c r="G90" s="2">
        <v>1.146808881811203</v>
      </c>
      <c r="H90" s="10">
        <v>1.146808881811203</v>
      </c>
      <c r="I90">
        <v>1.2412282440082927</v>
      </c>
      <c r="J90" s="2">
        <v>824.47826747443958</v>
      </c>
      <c r="K90" s="2">
        <v>824.47826747443958</v>
      </c>
      <c r="L90">
        <v>761.76078377546401</v>
      </c>
      <c r="M90" s="2">
        <v>1.2910386501741087</v>
      </c>
      <c r="N90" s="2">
        <v>1.2910386501741087</v>
      </c>
      <c r="O90">
        <v>2.3723072099186853</v>
      </c>
      <c r="P90">
        <v>0</v>
      </c>
      <c r="Q90">
        <v>0</v>
      </c>
      <c r="R90">
        <v>0</v>
      </c>
    </row>
    <row r="91" spans="1:18" outlineLevel="1" x14ac:dyDescent="0.25">
      <c r="A91" s="44">
        <v>32</v>
      </c>
      <c r="B91" s="46">
        <f t="shared" si="2"/>
        <v>209.66771740066324</v>
      </c>
      <c r="C91" s="2">
        <v>209.66771740066324</v>
      </c>
      <c r="D91" s="2">
        <v>100</v>
      </c>
      <c r="E91" s="2">
        <v>100</v>
      </c>
      <c r="F91">
        <v>100</v>
      </c>
      <c r="G91" s="2">
        <v>1.1461484269068909</v>
      </c>
      <c r="H91" s="10">
        <v>1.1461484269068909</v>
      </c>
      <c r="I91">
        <v>1.2401730436485923</v>
      </c>
      <c r="J91" s="2">
        <v>824.95336363342642</v>
      </c>
      <c r="K91" s="2">
        <v>824.95336363342642</v>
      </c>
      <c r="L91">
        <v>762.40892740119614</v>
      </c>
      <c r="M91" s="2">
        <v>1.3286486835913016</v>
      </c>
      <c r="N91" s="2">
        <v>1.3286486835913016</v>
      </c>
      <c r="O91">
        <v>2.4132358958560109</v>
      </c>
      <c r="P91">
        <v>0</v>
      </c>
      <c r="Q91">
        <v>0</v>
      </c>
      <c r="R91">
        <v>0</v>
      </c>
    </row>
    <row r="92" spans="1:18" outlineLevel="1" x14ac:dyDescent="0.25">
      <c r="A92" s="44">
        <v>33</v>
      </c>
      <c r="B92" s="46">
        <f t="shared" si="2"/>
        <v>219.70463768947843</v>
      </c>
      <c r="C92" s="2">
        <v>219.70463768947843</v>
      </c>
      <c r="D92" s="2">
        <v>100</v>
      </c>
      <c r="E92" s="2">
        <v>100</v>
      </c>
      <c r="F92">
        <v>100</v>
      </c>
      <c r="G92" s="2">
        <v>1.1455486458721875</v>
      </c>
      <c r="H92" s="10">
        <v>1.1455486458721875</v>
      </c>
      <c r="I92">
        <v>1.2392150320732858</v>
      </c>
      <c r="J92" s="2">
        <v>825.38528888060375</v>
      </c>
      <c r="K92" s="2">
        <v>825.38528888060375</v>
      </c>
      <c r="L92">
        <v>762.99833001386889</v>
      </c>
      <c r="M92" s="2">
        <v>1.3675018542704318</v>
      </c>
      <c r="N92" s="2">
        <v>1.3675018542704318</v>
      </c>
      <c r="O92">
        <v>2.4559354731722225</v>
      </c>
      <c r="P92">
        <v>0</v>
      </c>
      <c r="Q92">
        <v>0</v>
      </c>
      <c r="R92">
        <v>0</v>
      </c>
    </row>
    <row r="93" spans="1:18" outlineLevel="1" x14ac:dyDescent="0.25">
      <c r="A93" s="44">
        <v>34</v>
      </c>
      <c r="B93" s="46">
        <f t="shared" si="2"/>
        <v>229.74155797829363</v>
      </c>
      <c r="C93" s="2">
        <v>229.74155797829363</v>
      </c>
      <c r="D93" s="2">
        <v>100</v>
      </c>
      <c r="E93" s="2">
        <v>100</v>
      </c>
      <c r="F93">
        <v>100</v>
      </c>
      <c r="G93" s="2">
        <v>1.145001545086368</v>
      </c>
      <c r="H93" s="10">
        <v>1.145001545086368</v>
      </c>
      <c r="I93">
        <v>1.2383413733695241</v>
      </c>
      <c r="J93" s="2">
        <v>825.77967170225872</v>
      </c>
      <c r="K93" s="2">
        <v>825.77967170225872</v>
      </c>
      <c r="L93">
        <v>763.5366307977298</v>
      </c>
      <c r="M93" s="2">
        <v>1.4075301690824011</v>
      </c>
      <c r="N93" s="2">
        <v>1.4075301690824011</v>
      </c>
      <c r="O93">
        <v>2.5003417635681928</v>
      </c>
      <c r="P93">
        <v>0</v>
      </c>
      <c r="Q93">
        <v>0</v>
      </c>
      <c r="R93">
        <v>0</v>
      </c>
    </row>
    <row r="94" spans="1:18" outlineLevel="1" x14ac:dyDescent="0.25">
      <c r="A94" s="44">
        <v>35</v>
      </c>
      <c r="B94" s="46">
        <f t="shared" si="2"/>
        <v>239.77847826710882</v>
      </c>
      <c r="C94" s="2">
        <v>239.77847826710882</v>
      </c>
      <c r="D94" s="2">
        <v>100</v>
      </c>
      <c r="E94" s="2">
        <v>100</v>
      </c>
      <c r="F94">
        <v>100</v>
      </c>
      <c r="G94" s="2">
        <v>1.1445004760303001</v>
      </c>
      <c r="H94" s="10">
        <v>1.1445004760303001</v>
      </c>
      <c r="I94">
        <v>1.2375413966245108</v>
      </c>
      <c r="J94" s="2">
        <v>826.14120291110112</v>
      </c>
      <c r="K94" s="2">
        <v>826.14120291110112</v>
      </c>
      <c r="L94">
        <v>764.03019937674458</v>
      </c>
      <c r="M94" s="2">
        <v>1.4486655929978147</v>
      </c>
      <c r="N94" s="2">
        <v>1.4486655929978147</v>
      </c>
      <c r="O94">
        <v>2.5463948354167449</v>
      </c>
      <c r="P94">
        <v>0</v>
      </c>
      <c r="Q94">
        <v>0</v>
      </c>
      <c r="R94">
        <v>0</v>
      </c>
    </row>
    <row r="95" spans="1:18" outlineLevel="1" x14ac:dyDescent="0.25">
      <c r="A95" s="44">
        <v>36</v>
      </c>
      <c r="B95" s="46">
        <f t="shared" si="2"/>
        <v>249.81539855592402</v>
      </c>
      <c r="C95" s="2">
        <v>249.81539855592402</v>
      </c>
      <c r="D95" s="2">
        <v>100</v>
      </c>
      <c r="E95" s="2">
        <v>100</v>
      </c>
      <c r="F95">
        <v>100</v>
      </c>
      <c r="G95" s="2">
        <v>1.144039863781759</v>
      </c>
      <c r="H95" s="10">
        <v>1.144039863781759</v>
      </c>
      <c r="I95">
        <v>1.2368061579450125</v>
      </c>
      <c r="J95" s="2">
        <v>826.47382310129922</v>
      </c>
      <c r="K95" s="2">
        <v>826.47382310129922</v>
      </c>
      <c r="L95">
        <v>764.48438902584849</v>
      </c>
      <c r="M95" s="2">
        <v>1.4908396385506315</v>
      </c>
      <c r="N95" s="2">
        <v>1.4908396385506315</v>
      </c>
      <c r="O95">
        <v>2.594038198593605</v>
      </c>
      <c r="P95">
        <v>0</v>
      </c>
      <c r="Q95">
        <v>0</v>
      </c>
      <c r="R95">
        <v>0</v>
      </c>
    </row>
    <row r="96" spans="1:18" outlineLevel="1" x14ac:dyDescent="0.25">
      <c r="A96" s="44">
        <v>37</v>
      </c>
      <c r="B96" s="46">
        <f t="shared" si="2"/>
        <v>259.85231884473922</v>
      </c>
      <c r="C96" s="2">
        <v>259.85231884473922</v>
      </c>
      <c r="D96" s="2">
        <v>100</v>
      </c>
      <c r="E96" s="2">
        <v>100</v>
      </c>
      <c r="F96">
        <v>100</v>
      </c>
      <c r="G96" s="2">
        <v>1.1436149987213886</v>
      </c>
      <c r="H96" s="10">
        <v>1.1436149987213886</v>
      </c>
      <c r="I96">
        <v>1.2361281046651209</v>
      </c>
      <c r="J96" s="2">
        <v>826.78086686265169</v>
      </c>
      <c r="K96" s="2">
        <v>826.78086686265169</v>
      </c>
      <c r="L96">
        <v>764.9037316048649</v>
      </c>
      <c r="M96" s="2">
        <v>1.5339830650350841</v>
      </c>
      <c r="N96" s="2">
        <v>1.5339830650350841</v>
      </c>
      <c r="O96">
        <v>2.6432181286425935</v>
      </c>
      <c r="P96">
        <v>0</v>
      </c>
      <c r="Q96">
        <v>0</v>
      </c>
      <c r="R96">
        <v>0</v>
      </c>
    </row>
    <row r="97" spans="1:18" outlineLevel="1" x14ac:dyDescent="0.25">
      <c r="A97" s="44">
        <v>38</v>
      </c>
      <c r="B97" s="46">
        <f t="shared" si="2"/>
        <v>269.88923913355438</v>
      </c>
      <c r="C97" s="2">
        <v>269.88923913355438</v>
      </c>
      <c r="D97" s="2">
        <v>100</v>
      </c>
      <c r="E97" s="2">
        <v>100</v>
      </c>
      <c r="F97">
        <v>100</v>
      </c>
      <c r="G97" s="2">
        <v>1.1432218749215484</v>
      </c>
      <c r="H97" s="10">
        <v>1.1432218749215484</v>
      </c>
      <c r="I97">
        <v>1.2355008149678459</v>
      </c>
      <c r="J97" s="2">
        <v>827.06517495992159</v>
      </c>
      <c r="K97" s="2">
        <v>827.06517495992159</v>
      </c>
      <c r="L97">
        <v>765.29208928494904</v>
      </c>
      <c r="M97" s="2">
        <v>1.5780256694173169</v>
      </c>
      <c r="N97" s="2">
        <v>1.5780256694173169</v>
      </c>
      <c r="O97">
        <v>2.6938830973012582</v>
      </c>
      <c r="P97">
        <v>0</v>
      </c>
      <c r="Q97">
        <v>0</v>
      </c>
      <c r="R97">
        <v>0</v>
      </c>
    </row>
    <row r="98" spans="1:18" outlineLevel="1" x14ac:dyDescent="0.25">
      <c r="A98" s="44">
        <v>39</v>
      </c>
      <c r="B98" s="46">
        <f t="shared" si="2"/>
        <v>279.92615942236955</v>
      </c>
      <c r="C98" s="2">
        <v>279.92615942236955</v>
      </c>
      <c r="D98" s="2">
        <v>100</v>
      </c>
      <c r="E98" s="2">
        <v>100</v>
      </c>
      <c r="F98">
        <v>100</v>
      </c>
      <c r="G98" s="2">
        <v>1.1428570634513056</v>
      </c>
      <c r="H98" s="10">
        <v>1.1428570634513056</v>
      </c>
      <c r="I98">
        <v>1.2349187938741168</v>
      </c>
      <c r="J98" s="2">
        <v>827.3291824829206</v>
      </c>
      <c r="K98" s="2">
        <v>827.3291824829206</v>
      </c>
      <c r="L98">
        <v>765.65277384253875</v>
      </c>
      <c r="M98" s="2">
        <v>1.622896154543507</v>
      </c>
      <c r="N98" s="2">
        <v>1.622896154543507</v>
      </c>
      <c r="O98">
        <v>2.7459832912631539</v>
      </c>
      <c r="P98">
        <v>0</v>
      </c>
      <c r="Q98">
        <v>0</v>
      </c>
      <c r="R98">
        <v>0</v>
      </c>
    </row>
    <row r="99" spans="1:18" outlineLevel="1" x14ac:dyDescent="0.25">
      <c r="A99" s="44">
        <v>40</v>
      </c>
      <c r="B99" s="46">
        <f t="shared" si="2"/>
        <v>289.96307971118472</v>
      </c>
      <c r="C99" s="2">
        <v>289.96307971118472</v>
      </c>
      <c r="D99" s="2">
        <v>100</v>
      </c>
      <c r="E99" s="2">
        <v>100</v>
      </c>
      <c r="F99">
        <v>100</v>
      </c>
      <c r="G99" s="2">
        <v>1.1425176121025957</v>
      </c>
      <c r="H99" s="10">
        <v>1.1425176121025957</v>
      </c>
      <c r="I99">
        <v>1.2343773118587928</v>
      </c>
      <c r="J99" s="2">
        <v>827.57498876533236</v>
      </c>
      <c r="K99" s="2">
        <v>827.57498876533236</v>
      </c>
      <c r="L99">
        <v>765.98864133057157</v>
      </c>
      <c r="M99" s="2">
        <v>1.6685220629096622</v>
      </c>
      <c r="N99" s="2">
        <v>1.6685220629096622</v>
      </c>
      <c r="O99">
        <v>2.799470204751993</v>
      </c>
      <c r="P99">
        <v>0</v>
      </c>
      <c r="Q99">
        <v>0</v>
      </c>
      <c r="R99">
        <v>0</v>
      </c>
    </row>
    <row r="100" spans="1:18" outlineLevel="1" x14ac:dyDescent="0.2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1.1422009653252743</v>
      </c>
      <c r="H100" s="10">
        <v>1.1422009653252743</v>
      </c>
      <c r="I100">
        <v>1.2338722760523479</v>
      </c>
      <c r="J100" s="2">
        <v>827.80441332470468</v>
      </c>
      <c r="K100" s="2">
        <v>827.80441332470468</v>
      </c>
      <c r="L100">
        <v>766.30216785897346</v>
      </c>
      <c r="M100" s="2">
        <v>1.7148297662762775</v>
      </c>
      <c r="N100" s="2">
        <v>1.7148297662762775</v>
      </c>
      <c r="O100">
        <v>2.8542962943309615</v>
      </c>
      <c r="P100">
        <v>0</v>
      </c>
      <c r="Q100">
        <v>0</v>
      </c>
    </row>
    <row r="101" spans="1:18" outlineLevel="1" x14ac:dyDescent="0.25"/>
    <row r="102" spans="1:18" outlineLevel="1" x14ac:dyDescent="0.25"/>
  </sheetData>
  <mergeCells count="3">
    <mergeCell ref="A2:E2"/>
    <mergeCell ref="F3:G3"/>
    <mergeCell ref="N7:Q7"/>
  </mergeCells>
  <dataValidations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219075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104775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219075</xdr:colOff>
                    <xdr:row>16</xdr:row>
                    <xdr:rowOff>9525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104775</xdr:rowOff>
                  </from>
                  <to>
                    <xdr:col>21</xdr:col>
                    <xdr:colOff>276225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809625</xdr:colOff>
                    <xdr:row>2</xdr:row>
                    <xdr:rowOff>9525</xdr:rowOff>
                  </from>
                  <to>
                    <xdr:col>8</xdr:col>
                    <xdr:colOff>304800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M28" sqref="M28"/>
    </sheetView>
  </sheetViews>
  <sheetFormatPr defaultRowHeight="15" x14ac:dyDescent="0.25"/>
  <sheetData>
    <row r="1" spans="1:16" x14ac:dyDescent="0.25">
      <c r="A1" t="str">
        <f>версия_</f>
        <v>вер 7.8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Q33" sqref="Q33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7.8</v>
      </c>
    </row>
    <row r="4" spans="1:11" x14ac:dyDescent="0.25">
      <c r="B4" s="51" t="s">
        <v>176</v>
      </c>
      <c r="C4" s="52">
        <v>156</v>
      </c>
      <c r="D4" s="51" t="s">
        <v>177</v>
      </c>
    </row>
    <row r="5" spans="1:11" x14ac:dyDescent="0.2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25">
      <c r="B6" s="51" t="s">
        <v>180</v>
      </c>
      <c r="C6" s="52">
        <v>35</v>
      </c>
      <c r="D6" s="51" t="s">
        <v>181</v>
      </c>
    </row>
    <row r="7" spans="1:11" x14ac:dyDescent="0.25">
      <c r="B7" s="51" t="s">
        <v>182</v>
      </c>
      <c r="C7" s="53">
        <f>ESP_id_by_rate(ESP_rate_nom_)</f>
        <v>1010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1" t="s">
        <v>183</v>
      </c>
      <c r="C8" s="53" t="str">
        <f>[1]!ESP_name(ESP_ID_)</f>
        <v>ЭЦН5А-200</v>
      </c>
      <c r="D8" s="51"/>
      <c r="G8">
        <v>1</v>
      </c>
      <c r="H8" s="54">
        <v>1</v>
      </c>
      <c r="I8" s="50">
        <v>1020.492994506602</v>
      </c>
      <c r="J8" s="50">
        <v>12.403777231310915</v>
      </c>
      <c r="K8" s="56">
        <v>1.2118426969268953E-2</v>
      </c>
    </row>
    <row r="9" spans="1:11" x14ac:dyDescent="0.25">
      <c r="B9" s="51" t="s">
        <v>184</v>
      </c>
      <c r="C9" s="53">
        <f>ESP_max_rate_m3day(ESP_freq_,ESP_ID_)*1</f>
        <v>231</v>
      </c>
      <c r="D9" s="51"/>
      <c r="G9">
        <v>2</v>
      </c>
      <c r="H9" s="55">
        <f t="shared" ref="H9:H29" si="0">(ESP_qmax_)/(pts_-1)+H8</f>
        <v>12</v>
      </c>
      <c r="I9" s="50">
        <v>998.50273409187491</v>
      </c>
      <c r="J9" s="50">
        <v>11.2146006720822</v>
      </c>
      <c r="K9" s="56">
        <v>0.128063774405209</v>
      </c>
    </row>
    <row r="10" spans="1:11" x14ac:dyDescent="0.25">
      <c r="B10" s="51" t="s">
        <v>185</v>
      </c>
      <c r="C10" s="53">
        <f>INT(ESP_head_nom_/[1]!ESP_head_m(ESP_rate_nom_,1,,ESP_ID_))</f>
        <v>337</v>
      </c>
      <c r="D10" s="51" t="s">
        <v>186</v>
      </c>
      <c r="G10">
        <v>3</v>
      </c>
      <c r="H10" s="55">
        <f t="shared" si="0"/>
        <v>23</v>
      </c>
      <c r="I10" s="50">
        <v>996.33018982821886</v>
      </c>
      <c r="J10" s="50">
        <v>11.403913012573343</v>
      </c>
      <c r="K10" s="56">
        <v>0.21867284436463946</v>
      </c>
    </row>
    <row r="11" spans="1:11" x14ac:dyDescent="0.25">
      <c r="G11">
        <v>4</v>
      </c>
      <c r="H11" s="55">
        <f t="shared" si="0"/>
        <v>34</v>
      </c>
      <c r="I11" s="50">
        <v>1005.5368957775936</v>
      </c>
      <c r="J11" s="50">
        <v>12.460321630628856</v>
      </c>
      <c r="K11" s="56">
        <v>0.29116648564167663</v>
      </c>
    </row>
    <row r="12" spans="1:11" x14ac:dyDescent="0.25">
      <c r="G12">
        <v>5</v>
      </c>
      <c r="H12" s="55">
        <f t="shared" si="0"/>
        <v>45</v>
      </c>
      <c r="I12" s="50">
        <v>1019.2350902166975</v>
      </c>
      <c r="J12" s="50">
        <v>13.978597219534477</v>
      </c>
      <c r="K12" s="56">
        <v>0.35108252336372453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5">
        <f t="shared" si="0"/>
        <v>56</v>
      </c>
      <c r="I13" s="50">
        <v>1031.9506113714424</v>
      </c>
      <c r="J13" s="50">
        <v>15.649427714079199</v>
      </c>
      <c r="K13" s="56">
        <v>0.40243937501579635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5">
        <f t="shared" si="0"/>
        <v>67</v>
      </c>
      <c r="I14" s="50">
        <v>1039.4857931514293</v>
      </c>
      <c r="J14" s="50">
        <v>17.249172216617289</v>
      </c>
      <c r="K14" s="56">
        <v>0.44789966646483514</v>
      </c>
    </row>
    <row r="15" spans="1:11" x14ac:dyDescent="0.25">
      <c r="G15">
        <v>8</v>
      </c>
      <c r="H15" s="55">
        <f t="shared" si="0"/>
        <v>78</v>
      </c>
      <c r="I15" s="50">
        <v>1038.7823608844246</v>
      </c>
      <c r="J15" s="50">
        <v>18.629614923130273</v>
      </c>
      <c r="K15" s="56">
        <v>0.48893384798403605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5">
        <f t="shared" si="0"/>
        <v>89</v>
      </c>
      <c r="I16" s="50">
        <v>1027.7843270508342</v>
      </c>
      <c r="J16" s="50">
        <v>19.707719049289011</v>
      </c>
      <c r="K16" s="56">
        <v>0.52598381027716712</v>
      </c>
    </row>
    <row r="17" spans="7:11" x14ac:dyDescent="0.25">
      <c r="G17">
        <v>10</v>
      </c>
      <c r="H17" s="55">
        <f t="shared" si="0"/>
        <v>100</v>
      </c>
      <c r="I17" s="50">
        <v>1005.30088701818</v>
      </c>
      <c r="J17" s="50">
        <v>20.455380756515638</v>
      </c>
      <c r="K17" s="56">
        <v>0.55862650050289053</v>
      </c>
    </row>
    <row r="18" spans="7:11" x14ac:dyDescent="0.25">
      <c r="G18">
        <v>11</v>
      </c>
      <c r="H18" s="55">
        <f t="shared" si="0"/>
        <v>111</v>
      </c>
      <c r="I18" s="50">
        <v>970.86931477557528</v>
      </c>
      <c r="J18" s="50">
        <v>20.889183078045637</v>
      </c>
      <c r="K18" s="56">
        <v>0.58573753829908504</v>
      </c>
    </row>
    <row r="19" spans="7:11" x14ac:dyDescent="0.25">
      <c r="G19">
        <v>12</v>
      </c>
      <c r="H19" s="55">
        <f t="shared" si="0"/>
        <v>122</v>
      </c>
      <c r="I19" s="50">
        <v>924.61785866820105</v>
      </c>
      <c r="J19" s="50">
        <v>21.060149844989816</v>
      </c>
      <c r="K19" s="56">
        <v>0.60565483180716528</v>
      </c>
    </row>
    <row r="20" spans="7:11" x14ac:dyDescent="0.25">
      <c r="G20">
        <v>13</v>
      </c>
      <c r="H20" s="55">
        <f t="shared" si="0"/>
        <v>133</v>
      </c>
      <c r="I20" s="50">
        <v>867.12863713177921</v>
      </c>
      <c r="J20" s="50">
        <v>21.043499612396342</v>
      </c>
      <c r="K20" s="56">
        <v>0.61634219369640608</v>
      </c>
    </row>
    <row r="21" spans="7:11" x14ac:dyDescent="0.25">
      <c r="G21">
        <v>14</v>
      </c>
      <c r="H21" s="55">
        <f t="shared" si="0"/>
        <v>144</v>
      </c>
      <c r="I21" s="50">
        <v>799.30053442705116</v>
      </c>
      <c r="J21" s="50">
        <v>20.928399585312835</v>
      </c>
      <c r="K21" s="56">
        <v>0.6155529571882612</v>
      </c>
    </row>
    <row r="22" spans="7:11" x14ac:dyDescent="0.25">
      <c r="G22">
        <v>15</v>
      </c>
      <c r="H22" s="55">
        <f t="shared" si="0"/>
        <v>155</v>
      </c>
      <c r="I22" s="50">
        <v>722.21209637425056</v>
      </c>
      <c r="J22" s="50">
        <v>20.807719544848116</v>
      </c>
      <c r="K22" s="56">
        <v>0.60099359208068459</v>
      </c>
    </row>
    <row r="23" spans="7:11" x14ac:dyDescent="0.25">
      <c r="G23">
        <v>16</v>
      </c>
      <c r="H23" s="55">
        <f t="shared" si="0"/>
        <v>166</v>
      </c>
      <c r="I23" s="50">
        <v>636.98442608758069</v>
      </c>
      <c r="J23" s="50">
        <v>20.767785774234667</v>
      </c>
      <c r="K23" s="56">
        <v>0.57048732077245634</v>
      </c>
    </row>
    <row r="24" spans="7:11" x14ac:dyDescent="0.25">
      <c r="G24">
        <v>17</v>
      </c>
      <c r="H24" s="55">
        <f t="shared" si="0"/>
        <v>177</v>
      </c>
      <c r="I24" s="50">
        <v>544.64407970968909</v>
      </c>
      <c r="J24" s="50">
        <v>20.878134984890032</v>
      </c>
      <c r="K24" s="56">
        <v>0.52213773428749444</v>
      </c>
    </row>
    <row r="25" spans="7:11" x14ac:dyDescent="0.25">
      <c r="G25">
        <v>18</v>
      </c>
      <c r="H25" s="55">
        <f t="shared" si="0"/>
        <v>188</v>
      </c>
      <c r="I25" s="50">
        <v>445.9859621461423</v>
      </c>
      <c r="J25" s="50">
        <v>21.181268242479618</v>
      </c>
      <c r="K25" s="56">
        <v>0.45449240829919213</v>
      </c>
    </row>
    <row r="26" spans="7:11" x14ac:dyDescent="0.25">
      <c r="G26">
        <v>19</v>
      </c>
      <c r="H26" s="55">
        <f t="shared" si="0"/>
        <v>199</v>
      </c>
      <c r="I26" s="50">
        <v>341.43622279990888</v>
      </c>
      <c r="J26" s="50">
        <v>21.682404892977956</v>
      </c>
      <c r="K26" s="56">
        <v>0.36670651915471719</v>
      </c>
    </row>
    <row r="27" spans="7:11" x14ac:dyDescent="0.25">
      <c r="G27">
        <v>20</v>
      </c>
      <c r="H27" s="55">
        <f t="shared" si="0"/>
        <v>210</v>
      </c>
      <c r="I27" s="50">
        <v>230.91515130581908</v>
      </c>
      <c r="J27" s="50">
        <v>22.33923648873138</v>
      </c>
      <c r="K27" s="56">
        <v>0.25870645989935559</v>
      </c>
    </row>
    <row r="28" spans="7:11" x14ac:dyDescent="0.25">
      <c r="G28">
        <v>21</v>
      </c>
      <c r="H28" s="55">
        <f t="shared" si="0"/>
        <v>221</v>
      </c>
      <c r="I28" s="50">
        <v>113.70007326505514</v>
      </c>
      <c r="J28" s="50">
        <v>23.051680714519161</v>
      </c>
      <c r="K28" s="56">
        <v>0.13135345630081563</v>
      </c>
    </row>
    <row r="29" spans="7:11" x14ac:dyDescent="0.25">
      <c r="G29">
        <v>22</v>
      </c>
      <c r="H29" s="55">
        <f t="shared" si="0"/>
        <v>232</v>
      </c>
      <c r="I29" s="50">
        <v>0</v>
      </c>
      <c r="J29" s="50">
        <v>23.607616774168317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A2" sqref="A2"/>
    </sheetView>
  </sheetViews>
  <sheetFormatPr defaultRowHeight="15" x14ac:dyDescent="0.25"/>
  <cols>
    <col min="2" max="2" width="13.28515625" customWidth="1"/>
    <col min="3" max="3" width="10.5703125" customWidth="1"/>
    <col min="4" max="4" width="15.7109375" customWidth="1"/>
  </cols>
  <sheetData>
    <row r="1" spans="1:4" x14ac:dyDescent="0.25">
      <c r="A1" t="str">
        <f>версия_</f>
        <v>вер 7.8</v>
      </c>
    </row>
    <row r="3" spans="1:4" x14ac:dyDescent="0.25">
      <c r="B3" t="s">
        <v>207</v>
      </c>
    </row>
    <row r="5" spans="1:4" x14ac:dyDescent="0.25">
      <c r="B5" t="s">
        <v>208</v>
      </c>
      <c r="C5" s="11">
        <v>3</v>
      </c>
    </row>
    <row r="7" spans="1:4" x14ac:dyDescent="0.25">
      <c r="B7" t="s">
        <v>209</v>
      </c>
    </row>
    <row r="9" spans="1:4" x14ac:dyDescent="0.25">
      <c r="B9" s="5" t="s">
        <v>170</v>
      </c>
      <c r="C9" s="5" t="s">
        <v>210</v>
      </c>
      <c r="D9" s="5" t="s">
        <v>211</v>
      </c>
    </row>
    <row r="10" spans="1:4" x14ac:dyDescent="0.25">
      <c r="B10" s="5" t="s">
        <v>38</v>
      </c>
      <c r="C10" s="5" t="s">
        <v>41</v>
      </c>
      <c r="D10" s="5" t="s">
        <v>2</v>
      </c>
    </row>
    <row r="11" spans="1:4" x14ac:dyDescent="0.25">
      <c r="B11" s="9">
        <v>500</v>
      </c>
      <c r="C11" s="9">
        <v>0</v>
      </c>
      <c r="D11" s="9">
        <v>50</v>
      </c>
    </row>
    <row r="12" spans="1:4" x14ac:dyDescent="0.25">
      <c r="B12" s="9">
        <v>1500</v>
      </c>
      <c r="C12" s="9">
        <v>0</v>
      </c>
      <c r="D12" s="9">
        <v>60</v>
      </c>
    </row>
    <row r="13" spans="1:4" x14ac:dyDescent="0.25">
      <c r="B13" s="9">
        <v>2200</v>
      </c>
      <c r="C13" s="9">
        <v>3</v>
      </c>
      <c r="D13" s="9">
        <v>80</v>
      </c>
    </row>
    <row r="14" spans="1:4" x14ac:dyDescent="0.25">
      <c r="B14" s="9"/>
      <c r="C14" s="9"/>
      <c r="D14" s="9"/>
    </row>
    <row r="15" spans="1:4" x14ac:dyDescent="0.25">
      <c r="B15" s="9"/>
      <c r="C15" s="9"/>
      <c r="D15" s="9"/>
    </row>
    <row r="16" spans="1:4" x14ac:dyDescent="0.25">
      <c r="B16" s="9"/>
      <c r="C16" s="9"/>
      <c r="D16" s="9"/>
    </row>
    <row r="17" spans="2:4" x14ac:dyDescent="0.25">
      <c r="B17" s="9"/>
      <c r="C17" s="9"/>
      <c r="D17" s="9"/>
    </row>
    <row r="18" spans="2:4" x14ac:dyDescent="0.25">
      <c r="B18" s="9"/>
      <c r="C18" s="9"/>
      <c r="D18" s="9"/>
    </row>
    <row r="19" spans="2:4" x14ac:dyDescent="0.25">
      <c r="B19" s="9"/>
      <c r="C19" s="9"/>
      <c r="D19" s="9"/>
    </row>
    <row r="20" spans="2:4" x14ac:dyDescent="0.2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zoomScale="90" zoomScaleNormal="90" workbookViewId="0"/>
  </sheetViews>
  <sheetFormatPr defaultRowHeight="15" x14ac:dyDescent="0.25"/>
  <cols>
    <col min="15" max="15" width="10.140625" customWidth="1"/>
    <col min="22" max="22" width="10.7109375" customWidth="1"/>
    <col min="31" max="35" width="6.28515625" customWidth="1"/>
  </cols>
  <sheetData>
    <row r="1" spans="1:37" x14ac:dyDescent="0.25">
      <c r="A1" t="str">
        <f>версия_</f>
        <v>вер 7.8</v>
      </c>
      <c r="W1" s="70"/>
      <c r="X1" s="70"/>
      <c r="Y1" s="70"/>
      <c r="Z1" s="70"/>
      <c r="AA1" s="70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W2" s="70"/>
      <c r="X2" s="70"/>
      <c r="Y2" s="70"/>
      <c r="Z2" s="70"/>
      <c r="AA2" s="70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25">
      <c r="W3" s="70"/>
      <c r="X3" s="70"/>
      <c r="Y3" s="70"/>
      <c r="Z3" s="70"/>
      <c r="AA3" s="70"/>
      <c r="AB3" s="58">
        <v>1</v>
      </c>
      <c r="AC3" s="58" t="s">
        <v>145</v>
      </c>
      <c r="AD3" s="58"/>
      <c r="AE3" s="58"/>
      <c r="AF3" s="58"/>
      <c r="AG3" s="58">
        <v>3</v>
      </c>
      <c r="AH3" s="58" t="s">
        <v>160</v>
      </c>
      <c r="AI3" s="58"/>
      <c r="AJ3" s="58"/>
      <c r="AK3" s="58"/>
    </row>
    <row r="4" spans="1:37" x14ac:dyDescent="0.25">
      <c r="W4" s="70"/>
      <c r="X4" s="70"/>
      <c r="Y4" s="70"/>
      <c r="Z4" s="70"/>
      <c r="AA4" s="70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2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W5" s="70"/>
      <c r="X5" s="70"/>
      <c r="Y5" s="70"/>
      <c r="Z5" s="70"/>
      <c r="AA5" s="70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8" x14ac:dyDescent="0.35">
      <c r="B6" s="7" t="s">
        <v>32</v>
      </c>
      <c r="C6" s="12">
        <f>Ql_scm3day_</f>
        <v>23</v>
      </c>
      <c r="D6" s="5" t="s">
        <v>33</v>
      </c>
      <c r="G6" s="14" t="s">
        <v>157</v>
      </c>
      <c r="H6" s="9">
        <v>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204</v>
      </c>
      <c r="W6" s="70"/>
      <c r="X6" s="70"/>
      <c r="Y6" s="70"/>
      <c r="Z6" s="70"/>
      <c r="AA6" s="70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8" x14ac:dyDescent="0.35">
      <c r="B7" s="5" t="s">
        <v>19</v>
      </c>
      <c r="C7" s="12">
        <f>fw_perc_</f>
        <v>0</v>
      </c>
      <c r="D7" s="5" t="s">
        <v>9</v>
      </c>
      <c r="G7" s="14" t="s">
        <v>158</v>
      </c>
      <c r="H7" s="9">
        <v>1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204</v>
      </c>
      <c r="W7" s="70"/>
      <c r="X7" s="70"/>
      <c r="Y7" s="70"/>
      <c r="Z7" s="70"/>
      <c r="AA7" s="70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8" x14ac:dyDescent="0.35">
      <c r="B8" s="7" t="s">
        <v>34</v>
      </c>
      <c r="C8" s="12">
        <f>Qo_sctday_</f>
        <v>19.78</v>
      </c>
      <c r="D8" s="5" t="s">
        <v>35</v>
      </c>
      <c r="Q8" s="14" t="s">
        <v>47</v>
      </c>
      <c r="R8" s="9">
        <v>90</v>
      </c>
      <c r="S8" s="5" t="s">
        <v>204</v>
      </c>
      <c r="W8" s="70"/>
      <c r="X8" s="70"/>
      <c r="Y8" s="70"/>
      <c r="Z8" s="70"/>
      <c r="AA8" s="70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8" x14ac:dyDescent="0.35">
      <c r="B9" s="7" t="s">
        <v>18</v>
      </c>
      <c r="C9" s="12">
        <f>Rp_m3m3_</f>
        <v>100</v>
      </c>
      <c r="D9" s="5" t="s">
        <v>17</v>
      </c>
      <c r="Q9" s="14" t="s">
        <v>197</v>
      </c>
      <c r="R9" s="9">
        <v>45</v>
      </c>
      <c r="S9" s="5" t="s">
        <v>204</v>
      </c>
      <c r="AB9" s="58"/>
      <c r="AC9" s="58"/>
      <c r="AD9" s="58"/>
      <c r="AE9" s="58"/>
      <c r="AF9" s="58"/>
      <c r="AG9" s="58"/>
      <c r="AH9" s="58"/>
    </row>
    <row r="10" spans="1:37" ht="18" x14ac:dyDescent="0.25">
      <c r="B10" s="7" t="s">
        <v>18</v>
      </c>
      <c r="C10" s="13">
        <f>Rp_m3m3_/PVT!gamma_oil_</f>
        <v>116.27906976744187</v>
      </c>
      <c r="D10" s="5" t="s">
        <v>36</v>
      </c>
      <c r="Q10" s="17"/>
      <c r="R10" s="2"/>
      <c r="S10" s="2"/>
      <c r="T10" s="17"/>
      <c r="U10" s="2"/>
      <c r="V10" s="2"/>
      <c r="AB10" s="58"/>
      <c r="AC10" s="58"/>
      <c r="AD10" s="58"/>
      <c r="AE10" s="58"/>
      <c r="AF10" s="58"/>
      <c r="AG10" s="58"/>
      <c r="AH10" s="58"/>
    </row>
    <row r="11" spans="1:37" ht="18" x14ac:dyDescent="0.35">
      <c r="Q11" s="14" t="s">
        <v>205</v>
      </c>
      <c r="R11" s="25">
        <v>0</v>
      </c>
      <c r="S11" s="5" t="s">
        <v>204</v>
      </c>
      <c r="T11" s="14" t="s">
        <v>55</v>
      </c>
      <c r="U11" s="25">
        <v>31.676087695423359</v>
      </c>
      <c r="V11" s="5" t="s">
        <v>25</v>
      </c>
    </row>
    <row r="12" spans="1:37" ht="18" x14ac:dyDescent="0.35">
      <c r="Q12" s="14" t="s">
        <v>206</v>
      </c>
      <c r="R12" s="25">
        <v>0.86836824164633108</v>
      </c>
      <c r="S12" s="5" t="s">
        <v>204</v>
      </c>
      <c r="T12" s="14" t="s">
        <v>56</v>
      </c>
      <c r="U12" s="25">
        <v>31.676087695423359</v>
      </c>
      <c r="V12" s="5" t="s">
        <v>25</v>
      </c>
    </row>
    <row r="13" spans="1:37" ht="18" x14ac:dyDescent="0.35">
      <c r="D13" s="1"/>
      <c r="Q13" s="14" t="s">
        <v>47</v>
      </c>
      <c r="R13" s="25">
        <v>90</v>
      </c>
      <c r="S13" s="5" t="s">
        <v>204</v>
      </c>
      <c r="T13" s="14" t="s">
        <v>57</v>
      </c>
      <c r="U13" s="25">
        <v>90</v>
      </c>
      <c r="V13" s="5" t="s">
        <v>25</v>
      </c>
    </row>
    <row r="14" spans="1:37" x14ac:dyDescent="0.25">
      <c r="B14" s="17" t="s">
        <v>58</v>
      </c>
      <c r="C14" s="2"/>
      <c r="D14" s="10"/>
      <c r="E14" s="2"/>
    </row>
    <row r="15" spans="1:37" ht="30" x14ac:dyDescent="0.2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7" x14ac:dyDescent="0.2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0.86836824164633108</v>
      </c>
      <c r="P16">
        <v>0</v>
      </c>
      <c r="Q16">
        <v>31.676087695423359</v>
      </c>
      <c r="R16">
        <v>0</v>
      </c>
      <c r="S16">
        <v>0</v>
      </c>
      <c r="U16">
        <v>0</v>
      </c>
      <c r="V16" s="50">
        <f>Pline_out_atma_</f>
        <v>0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3.5711063084111738</v>
      </c>
      <c r="P17">
        <v>194.44444444444446</v>
      </c>
      <c r="Q17">
        <v>32.107482534869519</v>
      </c>
      <c r="R17">
        <v>175</v>
      </c>
      <c r="S17">
        <v>0.26413403069480013</v>
      </c>
      <c r="U17">
        <v>0</v>
      </c>
      <c r="V17" s="50">
        <f>Pbuf_out_atma_</f>
        <v>0.86836824164633108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9.8971655837660713</v>
      </c>
      <c r="P18">
        <v>388.88888888888891</v>
      </c>
      <c r="Q18">
        <v>32.670561148842502</v>
      </c>
      <c r="R18">
        <v>350</v>
      </c>
      <c r="S18">
        <v>0.45109530967177419</v>
      </c>
      <c r="U18">
        <f>Hperf_m_</f>
        <v>3500</v>
      </c>
      <c r="V18" s="50">
        <f>Pwf_out_atma_</f>
        <v>90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18.764436436251131</v>
      </c>
      <c r="P19">
        <v>583.33333333333337</v>
      </c>
      <c r="Q19">
        <v>33.248705444056874</v>
      </c>
      <c r="R19">
        <v>525</v>
      </c>
      <c r="S19">
        <v>0.52359747823117997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29.502102670249773</v>
      </c>
      <c r="P20">
        <v>777.77777777777783</v>
      </c>
      <c r="Q20">
        <v>33.866689969374576</v>
      </c>
      <c r="R20">
        <v>700</v>
      </c>
      <c r="S20">
        <v>0.67901862636685939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42.932284385208831</v>
      </c>
      <c r="P21">
        <v>972.22222222222229</v>
      </c>
      <c r="Q21">
        <v>34.69638780221338</v>
      </c>
      <c r="R21">
        <v>875</v>
      </c>
      <c r="S21">
        <v>0.8325176616030745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57.42804510469113</v>
      </c>
      <c r="P22">
        <v>1166.6666666666667</v>
      </c>
      <c r="Q22">
        <v>36.097960201757822</v>
      </c>
      <c r="R22">
        <v>1050</v>
      </c>
      <c r="S22">
        <v>0.9598082997125057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71.55850548132176</v>
      </c>
      <c r="P23">
        <v>1361.1111111111113</v>
      </c>
      <c r="Q23">
        <v>38.885305918473819</v>
      </c>
      <c r="R23">
        <v>1225</v>
      </c>
      <c r="S23">
        <v>0.98107914423659881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85.027310130208136</v>
      </c>
      <c r="P24">
        <v>1555.5555555555557</v>
      </c>
      <c r="Q24">
        <v>44.958485844670449</v>
      </c>
      <c r="R24">
        <v>1400</v>
      </c>
      <c r="S24">
        <v>0.98901971239248487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97.757924177333891</v>
      </c>
      <c r="P25">
        <v>1750</v>
      </c>
      <c r="Q25">
        <v>53.036932319246702</v>
      </c>
      <c r="R25">
        <v>1575</v>
      </c>
      <c r="S25">
        <v>0.98804482062195298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109.89398991817768</v>
      </c>
      <c r="P26">
        <v>1944.4444444444446</v>
      </c>
      <c r="Q26">
        <v>60.098613964327804</v>
      </c>
      <c r="R26">
        <v>1750</v>
      </c>
      <c r="S26">
        <v>0.99414299947876938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121.42987166975419</v>
      </c>
      <c r="P27">
        <v>2138.8888888888891</v>
      </c>
      <c r="Q27">
        <v>65.960949165888138</v>
      </c>
      <c r="R27">
        <v>1925</v>
      </c>
      <c r="S27">
        <v>1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132.34833480637047</v>
      </c>
      <c r="P28">
        <v>2333.3333333333335</v>
      </c>
      <c r="Q28">
        <v>75.37123306263527</v>
      </c>
      <c r="R28">
        <v>2100</v>
      </c>
      <c r="S28">
        <v>1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141.20491990931566</v>
      </c>
      <c r="P29">
        <v>2500</v>
      </c>
      <c r="Q29">
        <v>90.721903886262041</v>
      </c>
      <c r="R29">
        <v>2275</v>
      </c>
      <c r="S29">
        <v>1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72.31415066216303</v>
      </c>
      <c r="P30">
        <v>2501</v>
      </c>
      <c r="Q30">
        <v>79.052878582704253</v>
      </c>
      <c r="R30">
        <v>2450</v>
      </c>
      <c r="S30">
        <v>1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73.695921592680989</v>
      </c>
      <c r="P31">
        <v>2527.7777777777778</v>
      </c>
      <c r="Q31">
        <v>79.966961863230821</v>
      </c>
      <c r="R31">
        <v>2625</v>
      </c>
      <c r="S31">
        <v>1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83.054534398327988</v>
      </c>
      <c r="P32">
        <v>2722.2222222222226</v>
      </c>
      <c r="Q32">
        <v>85.753713587168079</v>
      </c>
      <c r="R32">
        <v>2800</v>
      </c>
      <c r="S32">
        <v>1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86.066349111092023</v>
      </c>
      <c r="P33">
        <v>2916.666666666667</v>
      </c>
      <c r="Q33">
        <v>87.620684746303141</v>
      </c>
      <c r="R33">
        <v>2975</v>
      </c>
      <c r="S33">
        <v>1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87.379004654034688</v>
      </c>
      <c r="P34">
        <v>3111.1111111111113</v>
      </c>
      <c r="Q34">
        <v>88.548061429961393</v>
      </c>
      <c r="R34">
        <v>3150</v>
      </c>
      <c r="S34">
        <v>1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88.690192510784627</v>
      </c>
      <c r="P35">
        <v>3305.5555555555557</v>
      </c>
      <c r="Q35">
        <v>89.439438362543441</v>
      </c>
      <c r="R35">
        <v>3325</v>
      </c>
      <c r="S35">
        <v>1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90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B38" s="2"/>
      <c r="C38" s="18">
        <v>2625</v>
      </c>
      <c r="D38" s="18">
        <v>186.511102757185</v>
      </c>
      <c r="E38" s="18">
        <v>54</v>
      </c>
    </row>
    <row r="39" spans="2:19" x14ac:dyDescent="0.25">
      <c r="B39" s="2"/>
      <c r="C39" s="18">
        <v>2750</v>
      </c>
      <c r="D39" s="18">
        <v>196.298712131494</v>
      </c>
      <c r="E39" s="18">
        <v>55</v>
      </c>
    </row>
    <row r="40" spans="2:19" x14ac:dyDescent="0.25">
      <c r="B40" s="2"/>
      <c r="C40" s="18">
        <v>2875</v>
      </c>
      <c r="D40" s="18">
        <v>206.08632150580399</v>
      </c>
      <c r="E40" s="18">
        <v>56</v>
      </c>
    </row>
    <row r="41" spans="2:19" x14ac:dyDescent="0.25">
      <c r="B41" s="2"/>
      <c r="C41" s="18">
        <v>3000</v>
      </c>
      <c r="D41" s="18">
        <v>215.87393088011299</v>
      </c>
      <c r="E41" s="18">
        <v>57</v>
      </c>
    </row>
    <row r="42" spans="2:19" x14ac:dyDescent="0.25">
      <c r="B42" s="2"/>
      <c r="C42" s="18">
        <v>3125</v>
      </c>
      <c r="D42" s="18">
        <v>225.66154025442199</v>
      </c>
      <c r="E42" s="18">
        <v>58</v>
      </c>
    </row>
    <row r="43" spans="2:19" x14ac:dyDescent="0.25">
      <c r="B43" s="2"/>
      <c r="C43" s="18">
        <v>3250</v>
      </c>
      <c r="D43" s="18">
        <v>235.44914962873099</v>
      </c>
      <c r="E43" s="18">
        <v>59</v>
      </c>
    </row>
    <row r="44" spans="2:19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361950</xdr:colOff>
                    <xdr:row>3</xdr:row>
                    <xdr:rowOff>142875</xdr:rowOff>
                  </from>
                  <to>
                    <xdr:col>27</xdr:col>
                    <xdr:colOff>381000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zoomScale="90" zoomScaleNormal="90" workbookViewId="0">
      <selection activeCell="Q9" sqref="Q9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40" x14ac:dyDescent="0.25">
      <c r="A1" t="str">
        <f>версия_</f>
        <v>вер 7.8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W2" s="70"/>
      <c r="X2" s="70"/>
      <c r="Y2" s="70"/>
      <c r="Z2" s="70"/>
      <c r="AA2" s="70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40" x14ac:dyDescent="0.2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2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8" x14ac:dyDescent="0.35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150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8" x14ac:dyDescent="0.35">
      <c r="B8" s="7" t="s">
        <v>34</v>
      </c>
      <c r="C8" s="12" t="s">
        <v>63</v>
      </c>
      <c r="D8" s="5" t="s">
        <v>35</v>
      </c>
      <c r="P8" s="57" t="s">
        <v>197</v>
      </c>
      <c r="Q8" s="9">
        <v>200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8" x14ac:dyDescent="0.35">
      <c r="B10" s="7" t="s">
        <v>18</v>
      </c>
      <c r="C10" s="13">
        <v>125</v>
      </c>
      <c r="D10" s="5" t="s">
        <v>36</v>
      </c>
      <c r="P10" s="57" t="s">
        <v>45</v>
      </c>
      <c r="Q10" s="25">
        <v>50.000033529097045</v>
      </c>
      <c r="R10" s="5" t="s">
        <v>44</v>
      </c>
      <c r="S10" s="57" t="s">
        <v>55</v>
      </c>
      <c r="T10" s="25">
        <v>20.000000000000004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000.26</v>
      </c>
      <c r="AG10" s="58"/>
      <c r="AH10" s="58"/>
      <c r="AI10" s="58"/>
      <c r="AJ10" s="58"/>
      <c r="AK10" s="58"/>
      <c r="AL10" s="58"/>
      <c r="AM10" s="58"/>
      <c r="AN10" s="58"/>
    </row>
    <row r="11" spans="1:40" ht="18" x14ac:dyDescent="0.35">
      <c r="B11" s="7" t="s">
        <v>212</v>
      </c>
      <c r="C11" s="9">
        <v>5000</v>
      </c>
      <c r="P11" s="57" t="s">
        <v>46</v>
      </c>
      <c r="Q11" s="25">
        <v>50.000033529097045</v>
      </c>
      <c r="R11" s="5" t="s">
        <v>44</v>
      </c>
      <c r="S11" s="57" t="s">
        <v>56</v>
      </c>
      <c r="T11" s="25">
        <v>20.000000000000004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8" x14ac:dyDescent="0.35">
      <c r="M12" t="s">
        <v>63</v>
      </c>
      <c r="P12" s="57" t="s">
        <v>47</v>
      </c>
      <c r="Q12" s="25">
        <v>156.51950463419033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40" x14ac:dyDescent="0.25">
      <c r="D13" s="1"/>
    </row>
    <row r="14" spans="1:40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5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213</v>
      </c>
      <c r="M15" t="s">
        <v>203</v>
      </c>
      <c r="N15" s="1" t="s">
        <v>199</v>
      </c>
      <c r="O15" s="1" t="s">
        <v>200</v>
      </c>
      <c r="P15" s="1" t="s">
        <v>214</v>
      </c>
      <c r="Q15" s="1" t="s">
        <v>201</v>
      </c>
      <c r="R15" s="5" t="s">
        <v>198</v>
      </c>
      <c r="S15" s="57" t="s">
        <v>215</v>
      </c>
      <c r="T15" s="1"/>
      <c r="U15" s="1" t="s">
        <v>202</v>
      </c>
      <c r="W15" s="5" t="s">
        <v>170</v>
      </c>
      <c r="X15" s="1" t="s">
        <v>171</v>
      </c>
      <c r="Y15" t="s">
        <v>198</v>
      </c>
      <c r="Z15" t="s">
        <v>216</v>
      </c>
    </row>
    <row r="16" spans="1:40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50.000033529097045</v>
      </c>
      <c r="P16">
        <v>0</v>
      </c>
      <c r="Q16">
        <v>20.000000000000004</v>
      </c>
      <c r="R16">
        <v>0</v>
      </c>
      <c r="S16">
        <v>20.000000000000004</v>
      </c>
      <c r="T16">
        <v>0</v>
      </c>
      <c r="U16">
        <v>0.33123422976230615</v>
      </c>
      <c r="W16">
        <v>0</v>
      </c>
      <c r="X16" s="50">
        <f>Pline_out_atma_</f>
        <v>50.000033529097045</v>
      </c>
      <c r="Y16">
        <v>0</v>
      </c>
      <c r="Z16">
        <v>200</v>
      </c>
    </row>
    <row r="17" spans="2:26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26.562500000000004</v>
      </c>
      <c r="N17">
        <v>218.75</v>
      </c>
      <c r="O17">
        <v>56.875672766495214</v>
      </c>
      <c r="P17">
        <v>218.75</v>
      </c>
      <c r="Q17">
        <v>26.562500000000004</v>
      </c>
      <c r="R17">
        <v>122.22222222222223</v>
      </c>
      <c r="S17">
        <v>23.666666666666671</v>
      </c>
      <c r="T17">
        <v>175</v>
      </c>
      <c r="U17">
        <v>0.34952389137864415</v>
      </c>
      <c r="W17">
        <v>0</v>
      </c>
      <c r="X17" s="50">
        <f>Pbuf_out_atma_</f>
        <v>50.000033529097045</v>
      </c>
      <c r="Y17">
        <v>122.22222222222223</v>
      </c>
      <c r="Z17">
        <v>202.49597241993845</v>
      </c>
    </row>
    <row r="18" spans="2:26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33.125</v>
      </c>
      <c r="N18">
        <v>437.5</v>
      </c>
      <c r="O18">
        <v>64.139919536166119</v>
      </c>
      <c r="P18">
        <v>437.5</v>
      </c>
      <c r="Q18">
        <v>33.125</v>
      </c>
      <c r="R18">
        <v>244.44444444444446</v>
      </c>
      <c r="S18">
        <v>27.333333333333336</v>
      </c>
      <c r="T18">
        <v>350</v>
      </c>
      <c r="U18">
        <v>0.36773633701788233</v>
      </c>
      <c r="W18">
        <v>3500</v>
      </c>
      <c r="X18" s="50">
        <f>Pwf_out_atma_</f>
        <v>156.51950463419033</v>
      </c>
      <c r="Y18">
        <v>244.44444444444446</v>
      </c>
      <c r="Z18">
        <v>204.88319611310359</v>
      </c>
    </row>
    <row r="19" spans="2:26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35</v>
      </c>
      <c r="N19">
        <v>500</v>
      </c>
      <c r="O19">
        <v>66.270929096091223</v>
      </c>
      <c r="P19">
        <v>500</v>
      </c>
      <c r="Q19">
        <v>35</v>
      </c>
      <c r="R19">
        <v>366.66666666666669</v>
      </c>
      <c r="S19">
        <v>31</v>
      </c>
      <c r="T19">
        <v>525</v>
      </c>
      <c r="U19">
        <v>0.24793968948854639</v>
      </c>
      <c r="Y19">
        <v>366.66666666666669</v>
      </c>
      <c r="Z19">
        <v>207.17287532766855</v>
      </c>
    </row>
    <row r="20" spans="2:26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39.6875</v>
      </c>
      <c r="N20">
        <v>656.25</v>
      </c>
      <c r="O20">
        <v>70.182432563307216</v>
      </c>
      <c r="P20">
        <v>656.25</v>
      </c>
      <c r="Q20">
        <v>39.6875</v>
      </c>
      <c r="R20">
        <v>488.88888888888891</v>
      </c>
      <c r="S20">
        <v>34.666666666666664</v>
      </c>
      <c r="T20">
        <v>700</v>
      </c>
      <c r="U20">
        <v>0.25670801578652502</v>
      </c>
      <c r="Y20">
        <v>488.88888888888891</v>
      </c>
      <c r="Z20">
        <v>209.37751949356351</v>
      </c>
    </row>
    <row r="21" spans="2:26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46.25</v>
      </c>
      <c r="N21">
        <v>875</v>
      </c>
      <c r="O21">
        <v>75.827695454172641</v>
      </c>
      <c r="P21">
        <v>875</v>
      </c>
      <c r="Q21">
        <v>46.25</v>
      </c>
      <c r="R21">
        <v>500</v>
      </c>
      <c r="S21">
        <v>35</v>
      </c>
      <c r="T21">
        <v>875</v>
      </c>
      <c r="U21">
        <v>0.26517126882226605</v>
      </c>
      <c r="Y21">
        <v>500</v>
      </c>
      <c r="Z21">
        <v>209.57624632011914</v>
      </c>
    </row>
    <row r="22" spans="2:26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52.7</v>
      </c>
      <c r="N22">
        <v>1093.75</v>
      </c>
      <c r="O22">
        <v>82.665815607180548</v>
      </c>
      <c r="P22">
        <v>1093.75</v>
      </c>
      <c r="Q22">
        <v>52.7</v>
      </c>
      <c r="R22">
        <v>611.11111111111109</v>
      </c>
      <c r="S22">
        <v>38.333333333333336</v>
      </c>
      <c r="T22">
        <v>1050</v>
      </c>
      <c r="U22">
        <v>0.39065778309790855</v>
      </c>
      <c r="Y22">
        <v>611.11111111111109</v>
      </c>
      <c r="Z22">
        <v>211.50464371719048</v>
      </c>
    </row>
    <row r="23" spans="2:26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58.861250000000005</v>
      </c>
      <c r="N23">
        <v>1312.5</v>
      </c>
      <c r="O23">
        <v>90.523544536329297</v>
      </c>
      <c r="P23">
        <v>1312.5</v>
      </c>
      <c r="Q23">
        <v>58.861250000000005</v>
      </c>
      <c r="R23">
        <v>733.33333333333337</v>
      </c>
      <c r="S23">
        <v>42</v>
      </c>
      <c r="T23">
        <v>1225</v>
      </c>
      <c r="U23">
        <v>0.44152300977214026</v>
      </c>
      <c r="Y23">
        <v>733.33333333333337</v>
      </c>
      <c r="Z23">
        <v>213.56711102381416</v>
      </c>
    </row>
    <row r="24" spans="2:26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63.92</v>
      </c>
      <c r="N24">
        <v>1500</v>
      </c>
      <c r="O24">
        <v>97.616339165198511</v>
      </c>
      <c r="P24">
        <v>1500</v>
      </c>
      <c r="Q24">
        <v>63.92</v>
      </c>
      <c r="R24">
        <v>855.55555555555566</v>
      </c>
      <c r="S24">
        <v>45.666666666666671</v>
      </c>
      <c r="T24">
        <v>1400</v>
      </c>
      <c r="U24">
        <v>0.4895289204796251</v>
      </c>
      <c r="Y24">
        <v>855.55555555555566</v>
      </c>
      <c r="Z24">
        <v>215.57915487286351</v>
      </c>
    </row>
    <row r="25" spans="2:26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64.735624999999999</v>
      </c>
      <c r="N25">
        <v>1531.25</v>
      </c>
      <c r="O25">
        <v>98.804560754426305</v>
      </c>
      <c r="P25">
        <v>1531.25</v>
      </c>
      <c r="Q25">
        <v>64.735624999999999</v>
      </c>
      <c r="R25">
        <v>977.77777777777783</v>
      </c>
      <c r="S25">
        <v>49.333333333333336</v>
      </c>
      <c r="T25">
        <v>1575</v>
      </c>
      <c r="U25">
        <v>0.51611872814320825</v>
      </c>
      <c r="Y25">
        <v>977.77777777777783</v>
      </c>
      <c r="Z25">
        <v>217.54798897835713</v>
      </c>
    </row>
    <row r="26" spans="2:26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70.325000000000003</v>
      </c>
      <c r="N26">
        <v>1750</v>
      </c>
      <c r="O26">
        <v>107.03932467059272</v>
      </c>
      <c r="P26">
        <v>1750</v>
      </c>
      <c r="Q26">
        <v>70.325000000000003</v>
      </c>
      <c r="R26">
        <v>1100</v>
      </c>
      <c r="S26">
        <v>52.88</v>
      </c>
      <c r="T26">
        <v>1750</v>
      </c>
      <c r="U26">
        <v>0.53048216756686695</v>
      </c>
      <c r="Y26">
        <v>1100</v>
      </c>
      <c r="Z26">
        <v>219.48004907049904</v>
      </c>
    </row>
    <row r="27" spans="2:26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75.62937500000001</v>
      </c>
      <c r="N27">
        <v>1968.75</v>
      </c>
      <c r="O27">
        <v>115.01944938671282</v>
      </c>
      <c r="P27">
        <v>1968.75</v>
      </c>
      <c r="Q27">
        <v>75.62937500000001</v>
      </c>
      <c r="R27">
        <v>1222.2222222222222</v>
      </c>
      <c r="S27">
        <v>56.35</v>
      </c>
      <c r="T27">
        <v>1925</v>
      </c>
      <c r="U27">
        <v>0.54111360053509339</v>
      </c>
      <c r="Y27">
        <v>1222.2222222222222</v>
      </c>
      <c r="Z27">
        <v>221.37682637303485</v>
      </c>
    </row>
    <row r="28" spans="2:26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80.648750000000007</v>
      </c>
      <c r="N28">
        <v>2187.5</v>
      </c>
      <c r="O28">
        <v>122.66980290469306</v>
      </c>
      <c r="P28">
        <v>2187.5</v>
      </c>
      <c r="Q28">
        <v>80.648750000000007</v>
      </c>
      <c r="R28">
        <v>1344.4444444444446</v>
      </c>
      <c r="S28">
        <v>59.733333333333341</v>
      </c>
      <c r="T28">
        <v>2100</v>
      </c>
      <c r="U28">
        <v>0.54835522188523333</v>
      </c>
      <c r="Y28">
        <v>1344.4444444444446</v>
      </c>
      <c r="Z28">
        <v>223.24740723231372</v>
      </c>
    </row>
    <row r="29" spans="2:26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80.930000000000007</v>
      </c>
      <c r="N29">
        <v>2200</v>
      </c>
      <c r="O29">
        <v>123.10028219626146</v>
      </c>
      <c r="P29">
        <v>2200</v>
      </c>
      <c r="Q29">
        <v>80.930000000000007</v>
      </c>
      <c r="R29">
        <v>1466.6666666666667</v>
      </c>
      <c r="S29">
        <v>63.03</v>
      </c>
      <c r="T29">
        <v>2275</v>
      </c>
      <c r="U29">
        <v>0.88834280998870463</v>
      </c>
      <c r="Y29">
        <v>1466.6666666666667</v>
      </c>
      <c r="Z29">
        <v>225.09486371131879</v>
      </c>
    </row>
    <row r="30" spans="2:26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85.379374999999996</v>
      </c>
      <c r="N30">
        <v>2406.25</v>
      </c>
      <c r="O30">
        <v>134.26913478201249</v>
      </c>
      <c r="P30">
        <v>2406.25</v>
      </c>
      <c r="Q30">
        <v>85.379374999999996</v>
      </c>
      <c r="R30">
        <v>1500</v>
      </c>
      <c r="S30">
        <v>63.92</v>
      </c>
      <c r="T30">
        <v>2450</v>
      </c>
      <c r="U30">
        <v>1</v>
      </c>
      <c r="Y30">
        <v>1500</v>
      </c>
      <c r="Z30">
        <v>225.59642225294877</v>
      </c>
    </row>
    <row r="31" spans="2:26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87.32</v>
      </c>
      <c r="N31">
        <v>2500</v>
      </c>
      <c r="O31">
        <v>139.136765448316</v>
      </c>
      <c r="P31">
        <v>2500</v>
      </c>
      <c r="Q31">
        <v>87.32</v>
      </c>
      <c r="R31">
        <v>1588.8888888888889</v>
      </c>
      <c r="S31">
        <v>66.240000000000009</v>
      </c>
      <c r="T31">
        <v>2625</v>
      </c>
      <c r="U31">
        <v>1</v>
      </c>
      <c r="Y31">
        <v>1588.8888888888889</v>
      </c>
      <c r="Z31">
        <v>226.92164832195087</v>
      </c>
    </row>
    <row r="32" spans="2:26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89.817499999999995</v>
      </c>
      <c r="N32">
        <v>2625</v>
      </c>
      <c r="O32">
        <v>145.39252390115979</v>
      </c>
      <c r="P32">
        <v>2625</v>
      </c>
      <c r="Q32">
        <v>89.817499999999995</v>
      </c>
      <c r="R32">
        <v>1711.1111111111113</v>
      </c>
      <c r="S32">
        <v>69.356666666666669</v>
      </c>
      <c r="T32">
        <v>2800</v>
      </c>
      <c r="U32">
        <v>1</v>
      </c>
      <c r="Y32">
        <v>1711.1111111111113</v>
      </c>
      <c r="Z32">
        <v>228.72844497405364</v>
      </c>
    </row>
    <row r="33" spans="2:26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93.284374999999997</v>
      </c>
      <c r="N33">
        <v>2843.75</v>
      </c>
      <c r="O33">
        <v>152.1616540505951</v>
      </c>
      <c r="P33">
        <v>2843.75</v>
      </c>
      <c r="Q33">
        <v>93.284374999999997</v>
      </c>
      <c r="R33">
        <v>1833.3333333333335</v>
      </c>
      <c r="S33">
        <v>72.38000000000001</v>
      </c>
      <c r="T33">
        <v>2975</v>
      </c>
      <c r="U33">
        <v>1</v>
      </c>
      <c r="Y33">
        <v>1833.3333333333335</v>
      </c>
      <c r="Z33">
        <v>230.51716195194143</v>
      </c>
    </row>
    <row r="34" spans="2:26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93.856250000000003</v>
      </c>
      <c r="N34">
        <v>3062.5</v>
      </c>
      <c r="O34">
        <v>153.61439392276148</v>
      </c>
      <c r="P34">
        <v>3062.5</v>
      </c>
      <c r="Q34">
        <v>93.856250000000003</v>
      </c>
      <c r="R34">
        <v>1955.5555555555557</v>
      </c>
      <c r="S34">
        <v>75.316666666666677</v>
      </c>
      <c r="T34">
        <v>3150</v>
      </c>
      <c r="U34">
        <v>1</v>
      </c>
      <c r="Y34">
        <v>1955.5555555555557</v>
      </c>
      <c r="Z34">
        <v>232.2905066554913</v>
      </c>
    </row>
    <row r="35" spans="2:26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94.428124999999994</v>
      </c>
      <c r="N35">
        <v>3281.25</v>
      </c>
      <c r="O35">
        <v>155.06701219857086</v>
      </c>
      <c r="P35">
        <v>3281.25</v>
      </c>
      <c r="Q35">
        <v>94.428124999999994</v>
      </c>
      <c r="R35">
        <v>2077.7777777777778</v>
      </c>
      <c r="S35">
        <v>78.166666666666671</v>
      </c>
      <c r="T35">
        <v>3325</v>
      </c>
      <c r="U35">
        <v>1</v>
      </c>
      <c r="Y35">
        <v>2077.7777777777778</v>
      </c>
      <c r="Z35">
        <v>234.04959668623326</v>
      </c>
    </row>
    <row r="36" spans="2:26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156.51950463419033</v>
      </c>
      <c r="P36">
        <v>3500</v>
      </c>
      <c r="Q36">
        <v>95</v>
      </c>
      <c r="R36">
        <v>2200</v>
      </c>
      <c r="S36">
        <v>80.930000000000007</v>
      </c>
      <c r="T36">
        <v>3500</v>
      </c>
      <c r="U36">
        <v>1</v>
      </c>
      <c r="Y36">
        <v>2200</v>
      </c>
      <c r="Z36">
        <v>235.79540974647344</v>
      </c>
    </row>
    <row r="37" spans="2:26" x14ac:dyDescent="0.25">
      <c r="B37" s="2"/>
      <c r="C37" s="18">
        <v>2500</v>
      </c>
      <c r="D37" s="18">
        <v>176.72349338287597</v>
      </c>
      <c r="E37" s="18">
        <v>53</v>
      </c>
    </row>
    <row r="38" spans="2:26" x14ac:dyDescent="0.25">
      <c r="B38" s="2"/>
      <c r="C38" s="18">
        <v>2625</v>
      </c>
      <c r="D38" s="18">
        <v>186.511102757185</v>
      </c>
      <c r="E38" s="18">
        <v>54</v>
      </c>
    </row>
    <row r="39" spans="2:26" x14ac:dyDescent="0.25">
      <c r="B39" s="2"/>
      <c r="C39" s="18">
        <v>2750</v>
      </c>
      <c r="D39" s="18">
        <v>196.298712131494</v>
      </c>
      <c r="E39" s="18">
        <v>55</v>
      </c>
    </row>
    <row r="40" spans="2:26" x14ac:dyDescent="0.25">
      <c r="B40" s="2"/>
      <c r="C40" s="18">
        <v>2875</v>
      </c>
      <c r="D40" s="18">
        <v>206.08632150580399</v>
      </c>
      <c r="E40" s="18">
        <v>56</v>
      </c>
    </row>
    <row r="41" spans="2:26" x14ac:dyDescent="0.25">
      <c r="B41" s="2"/>
      <c r="C41" s="18">
        <v>3000</v>
      </c>
      <c r="D41" s="18">
        <v>215.87393088011299</v>
      </c>
      <c r="E41" s="18">
        <v>57</v>
      </c>
    </row>
    <row r="42" spans="2:26" x14ac:dyDescent="0.25">
      <c r="B42" s="2"/>
      <c r="C42" s="18">
        <v>3125</v>
      </c>
      <c r="D42" s="18">
        <v>225.66154025442199</v>
      </c>
      <c r="E42" s="18">
        <v>58</v>
      </c>
    </row>
    <row r="43" spans="2:26" x14ac:dyDescent="0.25">
      <c r="B43" s="2"/>
      <c r="C43" s="18">
        <v>3250</v>
      </c>
      <c r="D43" s="18">
        <v>235.44914962873099</v>
      </c>
      <c r="E43" s="18">
        <v>59</v>
      </c>
    </row>
    <row r="44" spans="2:26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calcGL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calcGL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tabSelected="1" topLeftCell="B8" zoomScale="115" zoomScaleNormal="115" workbookViewId="0">
      <selection activeCell="N53" sqref="N53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7.8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4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v>116.27906976744187</v>
      </c>
      <c r="D10" s="5" t="s">
        <v>36</v>
      </c>
      <c r="P10" s="57" t="s">
        <v>45</v>
      </c>
      <c r="Q10" s="25">
        <v>10.002165293596843</v>
      </c>
      <c r="R10" s="5" t="s">
        <v>44</v>
      </c>
      <c r="S10" s="57" t="s">
        <v>55</v>
      </c>
      <c r="T10" s="25">
        <v>22.954558098352376</v>
      </c>
      <c r="U10" s="5" t="s">
        <v>25</v>
      </c>
    </row>
    <row r="11" spans="1:34" ht="18" x14ac:dyDescent="0.35">
      <c r="P11" s="57" t="s">
        <v>46</v>
      </c>
      <c r="Q11" s="25">
        <v>10.374492034077658</v>
      </c>
      <c r="R11" s="5" t="s">
        <v>44</v>
      </c>
      <c r="S11" s="57" t="s">
        <v>56</v>
      </c>
      <c r="T11" s="25">
        <v>22.954558098352376</v>
      </c>
      <c r="U11" s="5" t="s">
        <v>25</v>
      </c>
    </row>
    <row r="12" spans="1:34" ht="18" x14ac:dyDescent="0.35">
      <c r="M12" t="s">
        <v>63</v>
      </c>
      <c r="P12" s="57" t="s">
        <v>47</v>
      </c>
      <c r="Q12" s="25">
        <v>119.25410027770116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10.374492034077658</v>
      </c>
      <c r="P16">
        <v>0</v>
      </c>
      <c r="Q16">
        <v>22.954558098352376</v>
      </c>
      <c r="R16">
        <v>0</v>
      </c>
      <c r="S16">
        <v>0.17179321606433814</v>
      </c>
      <c r="U16">
        <v>0</v>
      </c>
      <c r="V16" s="50">
        <f>Pline_out_atma_</f>
        <v>10.002165293596843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13.74238858278625</v>
      </c>
      <c r="P17">
        <v>184.21052631578948</v>
      </c>
      <c r="Q17">
        <v>28.469691172312487</v>
      </c>
      <c r="R17">
        <v>175</v>
      </c>
      <c r="S17">
        <v>0.20397838505838051</v>
      </c>
      <c r="U17">
        <v>0</v>
      </c>
      <c r="V17" s="50">
        <f>Pbuf_out_atma_</f>
        <v>10.374492034077658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17.723509695861214</v>
      </c>
      <c r="P18">
        <v>368.42105263157896</v>
      </c>
      <c r="Q18">
        <v>33.982968135261032</v>
      </c>
      <c r="R18">
        <v>350</v>
      </c>
      <c r="S18">
        <v>0.23932395748138774</v>
      </c>
      <c r="U18">
        <v>3500</v>
      </c>
      <c r="V18" s="50">
        <f>Pwf_out_atma_</f>
        <v>119.25410027770116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22.294012547832157</v>
      </c>
      <c r="P19">
        <v>552.63157894736844</v>
      </c>
      <c r="Q19">
        <v>39.494657728749857</v>
      </c>
      <c r="R19">
        <v>525</v>
      </c>
      <c r="S19">
        <v>0.26259783638978962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27.42019657233898</v>
      </c>
      <c r="P20">
        <v>736.84210526315792</v>
      </c>
      <c r="Q20">
        <v>44.995419990604574</v>
      </c>
      <c r="R20">
        <v>700</v>
      </c>
      <c r="S20">
        <v>0.30359643250410612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33.299649749763134</v>
      </c>
      <c r="P21">
        <v>921.0526315789474</v>
      </c>
      <c r="Q21">
        <v>50.445161701407876</v>
      </c>
      <c r="R21">
        <v>875</v>
      </c>
      <c r="S21">
        <v>0.34895441641856995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39.785940843991746</v>
      </c>
      <c r="P22">
        <v>1105.2631578947369</v>
      </c>
      <c r="Q22">
        <v>55.708233455949546</v>
      </c>
      <c r="R22">
        <v>1050</v>
      </c>
      <c r="S22">
        <v>0.39744161731737787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46.824201667328559</v>
      </c>
      <c r="P23">
        <v>1289.4736842105262</v>
      </c>
      <c r="Q23">
        <v>60.775500719009131</v>
      </c>
      <c r="R23">
        <v>1225</v>
      </c>
      <c r="S23">
        <v>0.44785291958478951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54.350342603310082</v>
      </c>
      <c r="P24">
        <v>1473.6842105263158</v>
      </c>
      <c r="Q24">
        <v>65.637797909240803</v>
      </c>
      <c r="R24">
        <v>1400</v>
      </c>
      <c r="S24">
        <v>0.50003390767536415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62.29399613953904</v>
      </c>
      <c r="P25">
        <v>1657.8947368421054</v>
      </c>
      <c r="Q25">
        <v>70.298832491122894</v>
      </c>
      <c r="R25">
        <v>1575</v>
      </c>
      <c r="S25">
        <v>0.55349247311593075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70.584576231134577</v>
      </c>
      <c r="P26">
        <v>1842.1052631578948</v>
      </c>
      <c r="Q26">
        <v>74.759106722274765</v>
      </c>
      <c r="R26">
        <v>1750</v>
      </c>
      <c r="S26">
        <v>0.60759751161074682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79.14537591351457</v>
      </c>
      <c r="P27">
        <v>2026.3157894736842</v>
      </c>
      <c r="Q27">
        <v>79.018935717066626</v>
      </c>
      <c r="R27">
        <v>1925</v>
      </c>
      <c r="S27">
        <v>0.66187502078157257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87.896067931127774</v>
      </c>
      <c r="P28">
        <v>2210.5263157894738</v>
      </c>
      <c r="Q28">
        <v>83.077594567215016</v>
      </c>
      <c r="R28">
        <v>2100</v>
      </c>
      <c r="S28">
        <v>0.71588057867743515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96.755482650217729</v>
      </c>
      <c r="P29">
        <v>2394.7368421052633</v>
      </c>
      <c r="Q29">
        <v>86.923444642787459</v>
      </c>
      <c r="R29">
        <v>2275</v>
      </c>
      <c r="S29">
        <v>0.76912480595546606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101.83426535966255</v>
      </c>
      <c r="P30">
        <v>2500</v>
      </c>
      <c r="Q30">
        <v>89.007677730919568</v>
      </c>
      <c r="R30">
        <v>2450</v>
      </c>
      <c r="S30">
        <v>0.8291871572363394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105.69273524005391</v>
      </c>
      <c r="P31">
        <v>2578.9473684210525</v>
      </c>
      <c r="Q31">
        <v>90.474940633480117</v>
      </c>
      <c r="R31">
        <v>2625</v>
      </c>
      <c r="S31">
        <v>0.88532224711122409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113.38280803466837</v>
      </c>
      <c r="P32">
        <v>2763.1578947368421</v>
      </c>
      <c r="Q32">
        <v>93.053438787687654</v>
      </c>
      <c r="R32">
        <v>2800</v>
      </c>
      <c r="S32">
        <v>0.92109465889763975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115.43997909138994</v>
      </c>
      <c r="P33">
        <v>2947.3684210526317</v>
      </c>
      <c r="Q33">
        <v>93.770140389335907</v>
      </c>
      <c r="R33">
        <v>2975</v>
      </c>
      <c r="S33">
        <v>0.92742373478587647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116.70137308246788</v>
      </c>
      <c r="P34">
        <v>3131.5789473684213</v>
      </c>
      <c r="Q34">
        <v>94.176971512191116</v>
      </c>
      <c r="R34">
        <v>3150</v>
      </c>
      <c r="S34">
        <v>0.93398999011661799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117.97063538542014</v>
      </c>
      <c r="P35">
        <v>3315.7894736842109</v>
      </c>
      <c r="Q35">
        <v>94.055876558165025</v>
      </c>
      <c r="R35">
        <v>3325</v>
      </c>
      <c r="S35">
        <v>0.94224966849982261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119.25410027770116</v>
      </c>
      <c r="P36">
        <v>3500</v>
      </c>
      <c r="Q36">
        <v>90</v>
      </c>
      <c r="R36">
        <v>3500</v>
      </c>
      <c r="S36">
        <v>0.96135601057038489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217</vt:i4>
      </vt:variant>
    </vt:vector>
  </HeadingPairs>
  <TitlesOfParts>
    <vt:vector size="225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PVT!Bob_m3m3_</vt:lpstr>
      <vt:lpstr>'Calc ESP'!correlation_MF_fontan_</vt:lpstr>
      <vt:lpstr>'Calc GasLift'!correlation_MF_fontan_</vt:lpstr>
      <vt:lpstr>'Calc Self Flow'!correlation_MF_fontan_</vt:lpstr>
      <vt:lpstr>'Calc ESP'!correlation_PVT_fontan_</vt:lpstr>
      <vt:lpstr>'Calc GasLift'!correlation_PVT_fontan_</vt:lpstr>
      <vt:lpstr>'Calc Self Flow'!correlation_PVT_fontan_</vt:lpstr>
      <vt:lpstr>'Calc ESP'!correlation_T_fontan_</vt:lpstr>
      <vt:lpstr>'Calc GasLift'!correlation_T_fontan_</vt:lpstr>
      <vt:lpstr>'Calc Self Flow'!correlation_T_fontan_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2019-07-10T16:06:48Z</dcterms:modified>
</cp:coreProperties>
</file>