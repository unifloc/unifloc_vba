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7A9DC27F-2E53-48E0-A939-B815BE02CD12}" xr6:coauthVersionLast="43" xr6:coauthVersionMax="43" xr10:uidLastSave="{00000000-0000-0000-0000-000000000000}"/>
  <bookViews>
    <workbookView xWindow="-37650" yWindow="825" windowWidth="30480" windowHeight="19095" tabRatio="529" activeTab="7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  <externalReference r:id="rId10"/>
    <externalReference r:id="rId11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 localSheetId="6">'Calc GasLift'!$J$2</definedName>
    <definedName name="correlation_MF_fontan_" localSheetId="7">'Calc Self Flow'!$J$2</definedName>
    <definedName name="correlation_MF_fontan_">'Calc ESP'!$J$2</definedName>
    <definedName name="correlation_PVT_fontan_" localSheetId="6">'Calc GasLift'!$E$2</definedName>
    <definedName name="correlation_PVT_fontan_" localSheetId="7">'Calc Self Flow'!$E$2</definedName>
    <definedName name="correlation_PVT_fontan_">'Calc ESP'!$E$2</definedName>
    <definedName name="correlation_T_fontan_" localSheetId="6">'Calc GasLift'!$O$2</definedName>
    <definedName name="correlation_T_fontan_" localSheetId="7">'Calc Self Flow'!$O$2</definedName>
    <definedName name="correlation_T_fontan_">'Calc ESP'!$O$2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gamma_gas_" localSheetId="1">PVT!$G$9</definedName>
    <definedName name="gamma_gas_diff_total_" localSheetId="6">[2]PVT!$R$35</definedName>
    <definedName name="gamma_gas_diff_total_" localSheetId="7">[3]PVT!$R$34</definedName>
    <definedName name="gamma_gas_diff_total_" localSheetId="4">[2]PVT!$R$35</definedName>
    <definedName name="gamma_gas_diff_total_">PVT!$R$34</definedName>
    <definedName name="gamma_gas_new_" localSheetId="6">[2]PVT!$R$34</definedName>
    <definedName name="gamma_gas_new_" localSheetId="7">[3]PVT!$R$33</definedName>
    <definedName name="gamma_gas_new_" localSheetId="4">[2]PVT!$R$34</definedName>
    <definedName name="gamma_gas_new_">PVT!$R$33</definedName>
    <definedName name="gamma_oil_" localSheetId="1">PVT!$G$8</definedName>
    <definedName name="gamma_oil_new_" localSheetId="6">[2]PVT!$R$33</definedName>
    <definedName name="gamma_oil_new_" localSheetId="7">[3]PVT!$R$32</definedName>
    <definedName name="gamma_oil_new_" localSheetId="4">[2]PVT!$R$33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 localSheetId="6">[2]Construction!$C$9</definedName>
    <definedName name="Hperf_m_" localSheetId="7">[3]Construction!$C$9</definedName>
    <definedName name="Hperf_m_" localSheetId="4">[2]Construction!$C$9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 localSheetId="6">[2]PVT!$W$34</definedName>
    <definedName name="Pb_diff_" localSheetId="7">[3]PVT!$W$33</definedName>
    <definedName name="Pb_diff_" localSheetId="4">[2]PVT!$W$34</definedName>
    <definedName name="Pb_diff_">PVT!$W$33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'[2]Calc GasLift'!$Q$11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'[2]Calc GasLift'!$Q$10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[2]PVT!$C$19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'[2]Calc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 localSheetId="5">'Calc ESP'!$C$6</definedName>
    <definedName name="Ql_scm3day_" localSheetId="6">'Calc GasLift'!$C$6</definedName>
    <definedName name="Ql_scm3day_" localSheetId="7">'Calc Self Flow'!$C$6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5">'Calc ESP'!$C$9</definedName>
    <definedName name="Rp_m3m3_" localSheetId="6">'Calc GasLift'!$C$9</definedName>
    <definedName name="Rp_m3m3_" localSheetId="7">'Calc Self Flow'!$C$9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 localSheetId="6">[2]PVT!$B$57</definedName>
    <definedName name="T_label_" localSheetId="7">[3]PVT!$B$56</definedName>
    <definedName name="T_label_" localSheetId="4">[2]PVT!$B$57</definedName>
    <definedName name="T_label_">PVT!$B$56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 localSheetId="7">'Calc Self Flow'!$M$7</definedName>
    <definedName name="Twh_C_">'Calc ESP'!$M$7</definedName>
    <definedName name="U_V_">ESP!$C$13</definedName>
    <definedName name="udl_out_m_">Construction!$R$18:$R$38</definedName>
    <definedName name="wc_perc_" localSheetId="5">'Calc ESP'!$C$7</definedName>
    <definedName name="wc_perc_" localSheetId="6">'Calc GasLift'!$C$7</definedName>
    <definedName name="wc_perc_" localSheetId="7">'Calc Self Flow'!$C$7</definedName>
    <definedName name="wc_perc_" localSheetId="1">PVT!$K$9</definedName>
    <definedName name="версия_" localSheetId="6">[2]Unifloc!$A$1</definedName>
    <definedName name="версия_" localSheetId="7">[3]Unifloc!$A$1</definedName>
    <definedName name="версия_" localSheetId="4">[2]Unifloc!$A$1</definedName>
    <definedName name="версия_">Unifloc!$A$1</definedName>
    <definedName name="версия_номер_" localSheetId="6">[2]Unifloc!$B$1</definedName>
    <definedName name="версия_номер_" localSheetId="7">[3]Unifloc!$B$1</definedName>
    <definedName name="версия_номер_" localSheetId="4">[2]Unifloc!$B$1</definedName>
    <definedName name="версия_номер_">Unifloc!$B$1</definedName>
  </definedNames>
  <calcPr calcId="191029" iterate="1" iterateDelta="0.0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8" i="10" l="1"/>
  <c r="U18" i="10"/>
  <c r="V17" i="10"/>
  <c r="V16" i="10"/>
  <c r="C10" i="10"/>
  <c r="O2" i="10"/>
  <c r="J2" i="10"/>
  <c r="E2" i="10"/>
  <c r="X18" i="9"/>
  <c r="W18" i="9"/>
  <c r="X17" i="9"/>
  <c r="X16" i="9"/>
  <c r="C10" i="9"/>
  <c r="O2" i="9"/>
  <c r="J2" i="9"/>
  <c r="E2" i="9"/>
  <c r="A1" i="9"/>
  <c r="A1" i="8"/>
  <c r="AF10" i="9"/>
  <c r="A1" i="10" l="1"/>
  <c r="B56" i="4" l="1"/>
  <c r="X44" i="4"/>
  <c r="W38" i="4"/>
  <c r="W37" i="4"/>
  <c r="AB36" i="4"/>
  <c r="AA36" i="4"/>
  <c r="AB35" i="4"/>
  <c r="AA35" i="4"/>
  <c r="AD34" i="4"/>
  <c r="AD33" i="4"/>
  <c r="C25" i="4"/>
  <c r="G24" i="4"/>
  <c r="C24" i="4"/>
  <c r="K11" i="4"/>
  <c r="K12" i="4" s="1"/>
  <c r="K9" i="4"/>
  <c r="K8" i="4"/>
  <c r="B1" i="6"/>
  <c r="C7" i="7"/>
  <c r="C10" i="7" s="1"/>
  <c r="C49" i="4"/>
  <c r="T33" i="4"/>
  <c r="V33" i="4"/>
  <c r="C40" i="4"/>
  <c r="M35" i="4"/>
  <c r="C37" i="4"/>
  <c r="E36" i="4"/>
  <c r="I32" i="4"/>
  <c r="M37" i="4"/>
  <c r="C33" i="4"/>
  <c r="I33" i="4"/>
  <c r="G23" i="4"/>
  <c r="T34" i="4"/>
  <c r="E32" i="4"/>
  <c r="V34" i="4"/>
  <c r="E37" i="4"/>
  <c r="E34" i="4"/>
  <c r="C32" i="4"/>
  <c r="T36" i="4"/>
  <c r="E33" i="4"/>
  <c r="M40" i="4"/>
  <c r="M34" i="4"/>
  <c r="I37" i="4"/>
  <c r="C35" i="4"/>
  <c r="C36" i="4"/>
  <c r="C34" i="4"/>
  <c r="E35" i="4"/>
  <c r="M32" i="4"/>
  <c r="M36" i="4"/>
  <c r="C23" i="4"/>
  <c r="I36" i="4"/>
  <c r="C43" i="4"/>
  <c r="I34" i="4"/>
  <c r="M33" i="4"/>
  <c r="V36" i="4"/>
  <c r="C44" i="4"/>
  <c r="C45" i="4"/>
  <c r="I35" i="4"/>
  <c r="T35" i="4"/>
  <c r="C28" i="4"/>
  <c r="C27" i="4"/>
  <c r="C26" i="4"/>
  <c r="V35" i="4"/>
  <c r="C9" i="7"/>
  <c r="K10" i="4" l="1"/>
  <c r="W34" i="4"/>
  <c r="AB33" i="4" s="1"/>
  <c r="W36" i="4"/>
  <c r="AB34" i="4" s="1"/>
  <c r="W35" i="4"/>
  <c r="AB38" i="4" s="1"/>
  <c r="U34" i="4"/>
  <c r="AA33" i="4" s="1"/>
  <c r="U36" i="4"/>
  <c r="AA34" i="4" s="1"/>
  <c r="U35" i="4"/>
  <c r="AA38" i="4" s="1"/>
  <c r="W33" i="4"/>
  <c r="B79" i="4"/>
  <c r="F37" i="4"/>
  <c r="F33" i="4"/>
  <c r="F34" i="4"/>
  <c r="F36" i="4"/>
  <c r="F35" i="4"/>
  <c r="U33" i="4"/>
  <c r="AA32" i="4" s="1"/>
  <c r="F32" i="4"/>
  <c r="H5" i="7"/>
  <c r="C16" i="7"/>
  <c r="C8" i="7"/>
  <c r="R34" i="4" l="1"/>
  <c r="AD32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4" s="1"/>
  <c r="A1" i="2" l="1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<sst xmlns="http://schemas.openxmlformats.org/spreadsheetml/2006/main" count="459" uniqueCount="217">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</sst>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14" fillId="0" borderId="0" xfId="0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0.89,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0.29439351063526253</c:v>
                </c:pt>
                <c:pt idx="1">
                  <c:v>9.9351744972893938E-2</c:v>
                </c:pt>
                <c:pt idx="2">
                  <c:v>6.3275635828131865E-2</c:v>
                </c:pt>
                <c:pt idx="3">
                  <c:v>4.8072341761869232E-3</c:v>
                </c:pt>
                <c:pt idx="4">
                  <c:v>0.27009316042445386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0.98997541064733996</c:v>
                </c:pt>
                <c:pt idx="1">
                  <c:v>0.94614339991979213</c:v>
                </c:pt>
                <c:pt idx="2">
                  <c:v>0.89826216338241693</c:v>
                </c:pt>
                <c:pt idx="3">
                  <c:v>0.84775635578540187</c:v>
                </c:pt>
                <c:pt idx="4">
                  <c:v>0.79547822217869313</c:v>
                </c:pt>
                <c:pt idx="5">
                  <c:v>0.74206792515658504</c:v>
                </c:pt>
                <c:pt idx="6">
                  <c:v>0.68804068471210011</c:v>
                </c:pt>
                <c:pt idx="7">
                  <c:v>0.63382089873430336</c:v>
                </c:pt>
                <c:pt idx="8">
                  <c:v>0.57975949108250746</c:v>
                </c:pt>
                <c:pt idx="9">
                  <c:v>0.52614477718001729</c:v>
                </c:pt>
                <c:pt idx="10">
                  <c:v>0.47321052383313328</c:v>
                </c:pt>
                <c:pt idx="11">
                  <c:v>0.42114267029873143</c:v>
                </c:pt>
                <c:pt idx="12">
                  <c:v>0.37008531596833544</c:v>
                </c:pt>
                <c:pt idx="13">
                  <c:v>0.32014621642941443</c:v>
                </c:pt>
                <c:pt idx="14">
                  <c:v>0.27140187231687235</c:v>
                </c:pt>
                <c:pt idx="15">
                  <c:v>0.22390223120616223</c:v>
                </c:pt>
                <c:pt idx="16">
                  <c:v>0.17767500149055396</c:v>
                </c:pt>
                <c:pt idx="17">
                  <c:v>0.13272957532053672</c:v>
                </c:pt>
                <c:pt idx="18">
                  <c:v>8.9060563706194376E-2</c:v>
                </c:pt>
                <c:pt idx="19">
                  <c:v>4.6650954987410995E-2</c:v>
                </c:pt>
                <c:pt idx="20">
                  <c:v>5.469167248226995E-3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0.99031266598457834</c:v>
                </c:pt>
                <c:pt idx="1">
                  <c:v>0.94939251991768747</c:v>
                </c:pt>
                <c:pt idx="2">
                  <c:v>0.90709419384474355</c:v>
                </c:pt>
                <c:pt idx="3">
                  <c:v>0.86439081059241085</c:v>
                </c:pt>
                <c:pt idx="4">
                  <c:v>0.82185872245860181</c:v>
                </c:pt>
                <c:pt idx="5">
                  <c:v>0.77988975562164153</c:v>
                </c:pt>
                <c:pt idx="6">
                  <c:v>0.73876463925463765</c:v>
                </c:pt>
                <c:pt idx="7">
                  <c:v>0.69868595340489781</c:v>
                </c:pt>
                <c:pt idx="8">
                  <c:v>0.65979718898112383</c:v>
                </c:pt>
                <c:pt idx="9">
                  <c:v>0.62219562660691996</c:v>
                </c:pt>
                <c:pt idx="10">
                  <c:v>0.585941900127671</c:v>
                </c:pt>
                <c:pt idx="11">
                  <c:v>0.55106749731895333</c:v>
                </c:pt>
                <c:pt idx="12">
                  <c:v>0.51758082055737475</c:v>
                </c:pt>
                <c:pt idx="13">
                  <c:v>0.48547215667074578</c:v>
                </c:pt>
                <c:pt idx="14">
                  <c:v>0.45471777617189474</c:v>
                </c:pt>
                <c:pt idx="15">
                  <c:v>0.42528331634449712</c:v>
                </c:pt>
                <c:pt idx="16">
                  <c:v>0.39712656612085145</c:v>
                </c:pt>
                <c:pt idx="17">
                  <c:v>0.37019974808508055</c:v>
                </c:pt>
                <c:pt idx="18">
                  <c:v>0.34445137766853778</c:v>
                </c:pt>
                <c:pt idx="19">
                  <c:v>0.31982776739901991</c:v>
                </c:pt>
                <c:pt idx="20">
                  <c:v>0.29627423477651588</c:v>
                </c:pt>
                <c:pt idx="21">
                  <c:v>0.23512272839443882</c:v>
                </c:pt>
                <c:pt idx="22">
                  <c:v>0.18087914913620051</c:v>
                </c:pt>
                <c:pt idx="23">
                  <c:v>0.13249064481869405</c:v>
                </c:pt>
                <c:pt idx="24">
                  <c:v>8.9068615178731603E-2</c:v>
                </c:pt>
                <c:pt idx="25">
                  <c:v>4.9902676948977834E-2</c:v>
                </c:pt>
                <c:pt idx="26">
                  <c:v>1.4460330224812166E-2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6.833333333333333</c:v>
                </c:pt>
                <c:pt idx="2">
                  <c:v>12.666666666666666</c:v>
                </c:pt>
                <c:pt idx="3">
                  <c:v>18.5</c:v>
                </c:pt>
                <c:pt idx="4">
                  <c:v>24.333333333333332</c:v>
                </c:pt>
                <c:pt idx="5">
                  <c:v>30.166666666666664</c:v>
                </c:pt>
                <c:pt idx="6">
                  <c:v>36</c:v>
                </c:pt>
                <c:pt idx="7">
                  <c:v>41.833333333333336</c:v>
                </c:pt>
                <c:pt idx="8">
                  <c:v>47.666666666666671</c:v>
                </c:pt>
                <c:pt idx="9">
                  <c:v>53.500000000000007</c:v>
                </c:pt>
                <c:pt idx="10">
                  <c:v>59.333333333333343</c:v>
                </c:pt>
                <c:pt idx="11">
                  <c:v>65.166666666666671</c:v>
                </c:pt>
                <c:pt idx="12">
                  <c:v>71</c:v>
                </c:pt>
                <c:pt idx="13">
                  <c:v>76.833333333333329</c:v>
                </c:pt>
                <c:pt idx="14">
                  <c:v>82.666666666666657</c:v>
                </c:pt>
                <c:pt idx="15">
                  <c:v>88.499999999999986</c:v>
                </c:pt>
                <c:pt idx="16">
                  <c:v>94.333333333333314</c:v>
                </c:pt>
                <c:pt idx="17">
                  <c:v>100.16666666666664</c:v>
                </c:pt>
                <c:pt idx="18">
                  <c:v>105.99999999999997</c:v>
                </c:pt>
                <c:pt idx="19">
                  <c:v>111.8333333333333</c:v>
                </c:pt>
                <c:pt idx="20">
                  <c:v>117.66666666666663</c:v>
                </c:pt>
                <c:pt idx="21">
                  <c:v>123.49999999999996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1079.0831725325882</c:v>
                </c:pt>
                <c:pt idx="1">
                  <c:v>1078.7767566335126</c:v>
                </c:pt>
                <c:pt idx="2">
                  <c:v>1085.220757873099</c:v>
                </c:pt>
                <c:pt idx="3">
                  <c:v>1092.9964512878312</c:v>
                </c:pt>
                <c:pt idx="4">
                  <c:v>1097.8608906627917</c:v>
                </c:pt>
                <c:pt idx="5">
                  <c:v>1096.6319138567881</c:v>
                </c:pt>
                <c:pt idx="6">
                  <c:v>1087.073148127475</c:v>
                </c:pt>
                <c:pt idx="7">
                  <c:v>1067.7790154564816</c:v>
                </c:pt>
                <c:pt idx="8">
                  <c:v>1038.059737874534</c:v>
                </c:pt>
                <c:pt idx="9">
                  <c:v>997.82634278658088</c:v>
                </c:pt>
                <c:pt idx="10">
                  <c:v>947.47566829691891</c:v>
                </c:pt>
                <c:pt idx="11">
                  <c:v>887.77536853431502</c:v>
                </c:pt>
                <c:pt idx="12">
                  <c:v>819.74891897713496</c:v>
                </c:pt>
                <c:pt idx="13">
                  <c:v>744.5606217784632</c:v>
                </c:pt>
                <c:pt idx="14">
                  <c:v>663.40061109123053</c:v>
                </c:pt>
                <c:pt idx="15">
                  <c:v>577.36985839334136</c:v>
                </c:pt>
                <c:pt idx="16">
                  <c:v>487.36517781279076</c:v>
                </c:pt>
                <c:pt idx="17">
                  <c:v>393.96423145279613</c:v>
                </c:pt>
                <c:pt idx="18">
                  <c:v>297.31053471691985</c:v>
                </c:pt>
                <c:pt idx="19">
                  <c:v>196.99846163419016</c:v>
                </c:pt>
                <c:pt idx="20">
                  <c:v>91.958250184236846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6.833333333333333</c:v>
                </c:pt>
                <c:pt idx="2">
                  <c:v>12.666666666666666</c:v>
                </c:pt>
                <c:pt idx="3">
                  <c:v>18.5</c:v>
                </c:pt>
                <c:pt idx="4">
                  <c:v>24.333333333333332</c:v>
                </c:pt>
                <c:pt idx="5">
                  <c:v>30.166666666666664</c:v>
                </c:pt>
                <c:pt idx="6">
                  <c:v>36</c:v>
                </c:pt>
                <c:pt idx="7">
                  <c:v>41.833333333333336</c:v>
                </c:pt>
                <c:pt idx="8">
                  <c:v>47.666666666666671</c:v>
                </c:pt>
                <c:pt idx="9">
                  <c:v>53.500000000000007</c:v>
                </c:pt>
                <c:pt idx="10">
                  <c:v>59.333333333333343</c:v>
                </c:pt>
                <c:pt idx="11">
                  <c:v>65.166666666666671</c:v>
                </c:pt>
                <c:pt idx="12">
                  <c:v>71</c:v>
                </c:pt>
                <c:pt idx="13">
                  <c:v>76.833333333333329</c:v>
                </c:pt>
                <c:pt idx="14">
                  <c:v>82.666666666666657</c:v>
                </c:pt>
                <c:pt idx="15">
                  <c:v>88.499999999999986</c:v>
                </c:pt>
                <c:pt idx="16">
                  <c:v>94.333333333333314</c:v>
                </c:pt>
                <c:pt idx="17">
                  <c:v>100.16666666666664</c:v>
                </c:pt>
                <c:pt idx="18">
                  <c:v>105.99999999999997</c:v>
                </c:pt>
                <c:pt idx="19">
                  <c:v>111.8333333333333</c:v>
                </c:pt>
                <c:pt idx="20">
                  <c:v>117.66666666666663</c:v>
                </c:pt>
                <c:pt idx="21">
                  <c:v>123.49999999999996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7.6419950830696609E-3</c:v>
                </c:pt>
                <c:pt idx="1">
                  <c:v>6.3039410357469239E-2</c:v>
                </c:pt>
                <c:pt idx="2">
                  <c:v>0.13179385535511876</c:v>
                </c:pt>
                <c:pt idx="3">
                  <c:v>0.20684404492575748</c:v>
                </c:pt>
                <c:pt idx="4">
                  <c:v>0.28238958758387067</c:v>
                </c:pt>
                <c:pt idx="5">
                  <c:v>0.3537854579483623</c:v>
                </c:pt>
                <c:pt idx="6">
                  <c:v>0.4174364691822256</c:v>
                </c:pt>
                <c:pt idx="7">
                  <c:v>0.47069174543221609</c:v>
                </c:pt>
                <c:pt idx="8">
                  <c:v>0.5117391942685231</c:v>
                </c:pt>
                <c:pt idx="9">
                  <c:v>0.53949997912444025</c:v>
                </c:pt>
                <c:pt idx="10">
                  <c:v>0.55352299173604014</c:v>
                </c:pt>
                <c:pt idx="11">
                  <c:v>0.55387932458184386</c:v>
                </c:pt>
                <c:pt idx="12">
                  <c:v>0.54105674332249287</c:v>
                </c:pt>
                <c:pt idx="13">
                  <c:v>0.51585415924042133</c:v>
                </c:pt>
                <c:pt idx="14">
                  <c:v>0.47927610167952894</c:v>
                </c:pt>
                <c:pt idx="15">
                  <c:v>0.43242719048485301</c:v>
                </c:pt>
                <c:pt idx="16">
                  <c:v>0.3764066084422365</c:v>
                </c:pt>
                <c:pt idx="17">
                  <c:v>0.3122025737180032</c:v>
                </c:pt>
                <c:pt idx="18">
                  <c:v>0.24058681229863366</c:v>
                </c:pt>
                <c:pt idx="19">
                  <c:v>0.16200903043041937</c:v>
                </c:pt>
                <c:pt idx="20">
                  <c:v>7.6491387059163696E-2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6.833333333333333</c:v>
                </c:pt>
                <c:pt idx="2">
                  <c:v>12.666666666666666</c:v>
                </c:pt>
                <c:pt idx="3">
                  <c:v>18.5</c:v>
                </c:pt>
                <c:pt idx="4">
                  <c:v>24.333333333333332</c:v>
                </c:pt>
                <c:pt idx="5">
                  <c:v>30.166666666666664</c:v>
                </c:pt>
                <c:pt idx="6">
                  <c:v>36</c:v>
                </c:pt>
                <c:pt idx="7">
                  <c:v>41.833333333333336</c:v>
                </c:pt>
                <c:pt idx="8">
                  <c:v>47.666666666666671</c:v>
                </c:pt>
                <c:pt idx="9">
                  <c:v>53.500000000000007</c:v>
                </c:pt>
                <c:pt idx="10">
                  <c:v>59.333333333333343</c:v>
                </c:pt>
                <c:pt idx="11">
                  <c:v>65.166666666666671</c:v>
                </c:pt>
                <c:pt idx="12">
                  <c:v>71</c:v>
                </c:pt>
                <c:pt idx="13">
                  <c:v>76.833333333333329</c:v>
                </c:pt>
                <c:pt idx="14">
                  <c:v>82.666666666666657</c:v>
                </c:pt>
                <c:pt idx="15">
                  <c:v>88.499999999999986</c:v>
                </c:pt>
                <c:pt idx="16">
                  <c:v>94.333333333333314</c:v>
                </c:pt>
                <c:pt idx="17">
                  <c:v>100.16666666666664</c:v>
                </c:pt>
                <c:pt idx="18">
                  <c:v>105.99999999999997</c:v>
                </c:pt>
                <c:pt idx="19">
                  <c:v>111.8333333333333</c:v>
                </c:pt>
                <c:pt idx="20">
                  <c:v>117.66666666666663</c:v>
                </c:pt>
                <c:pt idx="21">
                  <c:v>123.49999999999996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10.029614120376623</c:v>
                </c:pt>
                <c:pt idx="1">
                  <c:v>10.320639703745014</c:v>
                </c:pt>
                <c:pt idx="2">
                  <c:v>10.505732346743628</c:v>
                </c:pt>
                <c:pt idx="3">
                  <c:v>10.62359411345555</c:v>
                </c:pt>
                <c:pt idx="4">
                  <c:v>10.705995645589445</c:v>
                </c:pt>
                <c:pt idx="5">
                  <c:v>10.778378098696951</c:v>
                </c:pt>
                <c:pt idx="6">
                  <c:v>10.860455078390027</c:v>
                </c:pt>
                <c:pt idx="7">
                  <c:v>10.966814576558331</c:v>
                </c:pt>
                <c:pt idx="8">
                  <c:v>11.107520907586588</c:v>
                </c:pt>
                <c:pt idx="9">
                  <c:v>11.288716644571958</c:v>
                </c:pt>
                <c:pt idx="10">
                  <c:v>11.513224555541404</c:v>
                </c:pt>
                <c:pt idx="11">
                  <c:v>11.78114953966907</c:v>
                </c:pt>
                <c:pt idx="12">
                  <c:v>12.090480563493632</c:v>
                </c:pt>
                <c:pt idx="13">
                  <c:v>12.437692597135685</c:v>
                </c:pt>
                <c:pt idx="14">
                  <c:v>12.818348550515113</c:v>
                </c:pt>
                <c:pt idx="15">
                  <c:v>13.227701209568421</c:v>
                </c:pt>
                <c:pt idx="16">
                  <c:v>13.661295172466161</c:v>
                </c:pt>
                <c:pt idx="17">
                  <c:v>14.11556878583027</c:v>
                </c:pt>
                <c:pt idx="18">
                  <c:v>14.588456080951415</c:v>
                </c:pt>
                <c:pt idx="19">
                  <c:v>15.079988710006425</c:v>
                </c:pt>
                <c:pt idx="20">
                  <c:v>15.592897882275597</c:v>
                </c:pt>
                <c:pt idx="21">
                  <c:v>16.038267350690319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0.80316057558179288</c:v>
                </c:pt>
                <c:pt idx="1">
                  <c:v>0.88196132364168367</c:v>
                </c:pt>
                <c:pt idx="2">
                  <c:v>0.94504731122751795</c:v>
                </c:pt>
                <c:pt idx="3">
                  <c:v>0.9903900672591337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59.246860329131835</c:v>
                </c:pt>
                <c:pt idx="2">
                  <c:v>74.232210767456252</c:v>
                </c:pt>
                <c:pt idx="3">
                  <c:v>89.67044938262157</c:v>
                </c:pt>
                <c:pt idx="4">
                  <c:v>105.22295283261492</c:v>
                </c:pt>
                <c:pt idx="5">
                  <c:v>120.70237937904704</c:v>
                </c:pt>
                <c:pt idx="6">
                  <c:v>135.54498787690332</c:v>
                </c:pt>
                <c:pt idx="7">
                  <c:v>149.79673972299454</c:v>
                </c:pt>
                <c:pt idx="8">
                  <c:v>163.42722466713471</c:v>
                </c:pt>
                <c:pt idx="9">
                  <c:v>176.43552651162508</c:v>
                </c:pt>
                <c:pt idx="10">
                  <c:v>188.82153300329225</c:v>
                </c:pt>
                <c:pt idx="11">
                  <c:v>200.58579326561684</c:v>
                </c:pt>
                <c:pt idx="12">
                  <c:v>211.72935059069442</c:v>
                </c:pt>
                <c:pt idx="13">
                  <c:v>220.80468955826063</c:v>
                </c:pt>
                <c:pt idx="14">
                  <c:v>142.28655369204679</c:v>
                </c:pt>
                <c:pt idx="15">
                  <c:v>143.66972871542228</c:v>
                </c:pt>
                <c:pt idx="16">
                  <c:v>153.0610248711493</c:v>
                </c:pt>
                <c:pt idx="17">
                  <c:v>156.08958563658408</c:v>
                </c:pt>
                <c:pt idx="18">
                  <c:v>157.40907246880903</c:v>
                </c:pt>
                <c:pt idx="19">
                  <c:v>158.72477248409859</c:v>
                </c:pt>
                <c:pt idx="20">
                  <c:v>160.03668578620261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701B55C-7B48-497C-A1DF-99A6111646D4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4B6417F-4BD4-4D11-B8CF-AC82BAF9D51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3E349DF2-3188-44B1-AD68-2BF1AEBECAB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67653D3-1B26-4EAF-B2FA-FD894FF9D76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471DC5-A901-43C7-9308-F5E2CC401133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2DEE2FF-BE90-4E42-A439-13331064572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160.03668578620261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0.9833573968458168</c:v>
                </c:pt>
                <c:pt idx="1">
                  <c:v>0.98878683672859569</c:v>
                </c:pt>
                <c:pt idx="2">
                  <c:v>0.99679948131597573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50.010292088439833</c:v>
                </c:pt>
                <c:pt idx="1">
                  <c:v>63.94791187821167</c:v>
                </c:pt>
                <c:pt idx="2">
                  <c:v>77.747148126448423</c:v>
                </c:pt>
                <c:pt idx="3">
                  <c:v>91.47569268959181</c:v>
                </c:pt>
                <c:pt idx="4">
                  <c:v>105.16840268766761</c:v>
                </c:pt>
                <c:pt idx="5">
                  <c:v>118.80022909242395</c:v>
                </c:pt>
                <c:pt idx="6">
                  <c:v>131.97714850378225</c:v>
                </c:pt>
                <c:pt idx="7">
                  <c:v>144.59961193221298</c:v>
                </c:pt>
                <c:pt idx="8">
                  <c:v>156.67776450025457</c:v>
                </c:pt>
                <c:pt idx="9">
                  <c:v>168.22449196454858</c:v>
                </c:pt>
                <c:pt idx="10">
                  <c:v>179.24401569234212</c:v>
                </c:pt>
                <c:pt idx="11">
                  <c:v>189.7404802389386</c:v>
                </c:pt>
                <c:pt idx="12">
                  <c:v>199.71794898009148</c:v>
                </c:pt>
                <c:pt idx="13">
                  <c:v>209.17239872226051</c:v>
                </c:pt>
                <c:pt idx="14">
                  <c:v>214.34541483674664</c:v>
                </c:pt>
                <c:pt idx="15">
                  <c:v>218.09746985028221</c:v>
                </c:pt>
                <c:pt idx="16">
                  <c:v>225.37620376055699</c:v>
                </c:pt>
                <c:pt idx="17">
                  <c:v>227.27525777068126</c:v>
                </c:pt>
                <c:pt idx="18">
                  <c:v>228.42663162041362</c:v>
                </c:pt>
                <c:pt idx="19">
                  <c:v>229.57761661460526</c:v>
                </c:pt>
                <c:pt idx="20">
                  <c:v>230.72821252816129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EBF76592-AD0A-4A04-8686-C7D757A4FCB4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4536FCD-DC47-4A0E-A65C-E7973E3D54A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9B6ED42-C898-4957-8FED-67836B9FB09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43F5EFF-3217-4065-8FD3-E858A27D2A9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B7520A-D3D1-49D1-A056-D52B0AF9699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F1CCF50-9A01-46B7-AACE-A18025997E1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50.010292088439833</c:v>
                </c:pt>
                <c:pt idx="1">
                  <c:v>50.010292088439833</c:v>
                </c:pt>
                <c:pt idx="2">
                  <c:v>230.72821252816129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0.17403064076706484</c:v>
                </c:pt>
                <c:pt idx="1">
                  <c:v>0.2083129036658482</c:v>
                </c:pt>
                <c:pt idx="2">
                  <c:v>0.24682054065100995</c:v>
                </c:pt>
                <c:pt idx="3">
                  <c:v>0.27482928381080884</c:v>
                </c:pt>
                <c:pt idx="4">
                  <c:v>0.32206457402940963</c:v>
                </c:pt>
                <c:pt idx="5">
                  <c:v>0.37600657258778497</c:v>
                </c:pt>
                <c:pt idx="6">
                  <c:v>0.43545583220692841</c:v>
                </c:pt>
                <c:pt idx="7">
                  <c:v>0.49914015415189178</c:v>
                </c:pt>
                <c:pt idx="8">
                  <c:v>0.56692436629084675</c:v>
                </c:pt>
                <c:pt idx="9">
                  <c:v>0.6382521187315251</c:v>
                </c:pt>
                <c:pt idx="10">
                  <c:v>0.71192457606532189</c:v>
                </c:pt>
                <c:pt idx="11">
                  <c:v>0.78699220961971617</c:v>
                </c:pt>
                <c:pt idx="12">
                  <c:v>0.86247350204822038</c:v>
                </c:pt>
                <c:pt idx="13">
                  <c:v>0.937278125268451</c:v>
                </c:pt>
                <c:pt idx="14">
                  <c:v>0.99453771784586542</c:v>
                </c:pt>
                <c:pt idx="15">
                  <c:v>0.99918264911496246</c:v>
                </c:pt>
                <c:pt idx="16">
                  <c:v>0.99918172936188776</c:v>
                </c:pt>
                <c:pt idx="17">
                  <c:v>0.99918155847006418</c:v>
                </c:pt>
                <c:pt idx="18">
                  <c:v>0.99918139040342047</c:v>
                </c:pt>
                <c:pt idx="19">
                  <c:v>0.99918124786254015</c:v>
                </c:pt>
                <c:pt idx="20">
                  <c:v>0.99918126838063415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10.349377861269023</c:v>
                </c:pt>
                <c:pt idx="1">
                  <c:v>13.741344410687804</c:v>
                </c:pt>
                <c:pt idx="2">
                  <c:v>17.771282354219174</c:v>
                </c:pt>
                <c:pt idx="3">
                  <c:v>22.427998386371215</c:v>
                </c:pt>
                <c:pt idx="4">
                  <c:v>27.697497460727806</c:v>
                </c:pt>
                <c:pt idx="5">
                  <c:v>33.790554674442554</c:v>
                </c:pt>
                <c:pt idx="6">
                  <c:v>40.571098261925016</c:v>
                </c:pt>
                <c:pt idx="7">
                  <c:v>47.995271781745878</c:v>
                </c:pt>
                <c:pt idx="8">
                  <c:v>56.000893863488322</c:v>
                </c:pt>
                <c:pt idx="9">
                  <c:v>64.512336152903885</c:v>
                </c:pt>
                <c:pt idx="10">
                  <c:v>73.448355689093802</c:v>
                </c:pt>
                <c:pt idx="11">
                  <c:v>82.715600340070239</c:v>
                </c:pt>
                <c:pt idx="12">
                  <c:v>92.212705554344296</c:v>
                </c:pt>
                <c:pt idx="13">
                  <c:v>101.83496216008898</c:v>
                </c:pt>
                <c:pt idx="14">
                  <c:v>107.30225789229945</c:v>
                </c:pt>
                <c:pt idx="15">
                  <c:v>111.27968001123517</c:v>
                </c:pt>
                <c:pt idx="16">
                  <c:v>119.00656146614175</c:v>
                </c:pt>
                <c:pt idx="17">
                  <c:v>121.02775510526814</c:v>
                </c:pt>
                <c:pt idx="18">
                  <c:v>122.2551137557146</c:v>
                </c:pt>
                <c:pt idx="19">
                  <c:v>123.4825957789155</c:v>
                </c:pt>
                <c:pt idx="20">
                  <c:v>124.71219897034381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737091CC-7E04-4DA5-AC02-7F7F05D5444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3A8BC54-EE7C-458B-9FF3-218E3CB4CAE7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948A70A6-CEA6-4FE0-A3D8-1651FDBC7A4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C086C0D-30EA-4959-8FFB-D3C3B23D58C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51C692-13D4-4C99-99B9-EBD86DD1A1CF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3BF9537-A4A8-435D-8BB8-E9A61BDB0C4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9.9830058422543733</c:v>
                </c:pt>
                <c:pt idx="1">
                  <c:v>10.349377861269023</c:v>
                </c:pt>
                <c:pt idx="2">
                  <c:v>124.71219897034381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22.952221759788021</c:v>
                </c:pt>
                <c:pt idx="1">
                  <c:v>28.465682773611565</c:v>
                </c:pt>
                <c:pt idx="2">
                  <c:v>33.976620862457843</c:v>
                </c:pt>
                <c:pt idx="3">
                  <c:v>39.485099606880745</c:v>
                </c:pt>
                <c:pt idx="4">
                  <c:v>44.981372128821143</c:v>
                </c:pt>
                <c:pt idx="5">
                  <c:v>50.425576958380844</c:v>
                </c:pt>
                <c:pt idx="6">
                  <c:v>55.682239319132059</c:v>
                </c:pt>
                <c:pt idx="7">
                  <c:v>60.742113926725722</c:v>
                </c:pt>
                <c:pt idx="8">
                  <c:v>65.596356446810319</c:v>
                </c:pt>
                <c:pt idx="9">
                  <c:v>70.249042695695806</c:v>
                </c:pt>
                <c:pt idx="10">
                  <c:v>74.70109360950714</c:v>
                </c:pt>
                <c:pt idx="11">
                  <c:v>78.953355175869959</c:v>
                </c:pt>
                <c:pt idx="12">
                  <c:v>83.006436483629727</c:v>
                </c:pt>
                <c:pt idx="13">
                  <c:v>86.856811319572145</c:v>
                </c:pt>
                <c:pt idx="14">
                  <c:v>88.957283174406001</c:v>
                </c:pt>
                <c:pt idx="15">
                  <c:v>90.435947919819242</c:v>
                </c:pt>
                <c:pt idx="16">
                  <c:v>93.044460899835343</c:v>
                </c:pt>
                <c:pt idx="17">
                  <c:v>93.766308521294192</c:v>
                </c:pt>
                <c:pt idx="18">
                  <c:v>94.173682334516769</c:v>
                </c:pt>
                <c:pt idx="19">
                  <c:v>94.053719754781142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6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7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21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17.1%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553964</xdr:colOff>
      <xdr:row>13</xdr:row>
      <xdr:rowOff>0</xdr:rowOff>
    </xdr:from>
    <xdr:to>
      <xdr:col>28</xdr:col>
      <xdr:colOff>176894</xdr:colOff>
      <xdr:row>43</xdr:row>
      <xdr:rowOff>68036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313418</xdr:colOff>
      <xdr:row>12</xdr:row>
      <xdr:rowOff>195946</xdr:rowOff>
    </xdr:from>
    <xdr:to>
      <xdr:col>20</xdr:col>
      <xdr:colOff>503691</xdr:colOff>
      <xdr:row>43</xdr:row>
      <xdr:rowOff>39311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6134E8B-74C6-4A71-A896-144C16A7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86DE65F-B934-429B-8117-4E0F90A10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13</xdr:row>
      <xdr:rowOff>1</xdr:rowOff>
    </xdr:from>
    <xdr:to>
      <xdr:col>20</xdr:col>
      <xdr:colOff>406978</xdr:colOff>
      <xdr:row>42</xdr:row>
      <xdr:rowOff>77931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E9FBCC9-1D61-46F6-BDFC-8904847A0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8EB9EC65-7C5F-4C20-B5AC-316599536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A9B53A3-ACBC-45E1-B8FB-CE1DA563C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C3765B61-D850-49AC-AB4E-AC3454093267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A9293BBB-214E-4017-A78C-154ED4E55C94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66675</xdr:rowOff>
        </xdr:to>
        <xdr:sp macro="" textlink="">
          <xdr:nvSpPr>
            <xdr:cNvPr id="16387" name="Drop Dow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7478671B-4403-4290-9A80-1F90E287F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CA798FE7-A15F-4053-A0E7-AB0578E12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6319B37C-CF80-4ADC-91CB-2D6E714BE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39E345A-1A62-42C7-B7EA-A3E5C60CD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516153B-0134-46D3-AF66-E4D9BDD76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CBE0417-9AE3-4ED7-A54E-950EC5956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8F87C4FB-5503-461D-BD82-E86E20BA5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92FD8DAD-47E9-4135-895A-DF5B4390E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8023DFA1-282A-45DD-BA46-D63829B9CF17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BAD46226-8693-4487-A15E-3DA740D0CA0C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D374DE55-770A-495E-B236-00CDEEF44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ECA77D8-65B6-41F0-9DC7-AA9AD684F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7A1A5E4-1FFE-4B28-B931-49A2C45E0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F7_calc_G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F7_calc_self_fl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floc"/>
      <sheetName val="PVT"/>
      <sheetName val="Construction"/>
      <sheetName val="GasLift"/>
      <sheetName val="Calc GasLift"/>
      <sheetName val="Лист1"/>
      <sheetName val="Test"/>
    </sheetNames>
    <definedNames>
      <definedName name="Button_calc_from_bottom"/>
      <definedName name="Button_calc_from_top"/>
      <definedName name="gamma_oil_" refersTo="='PVT'!$G$8"/>
    </definedNames>
    <sheetDataSet>
      <sheetData sheetId="0">
        <row r="1">
          <cell r="A1" t="str">
            <v>вер 7.7</v>
          </cell>
          <cell r="B1" t="str">
            <v>7.7</v>
          </cell>
        </row>
      </sheetData>
      <sheetData sheetId="1">
        <row r="8">
          <cell r="G8">
            <v>0.8</v>
          </cell>
        </row>
        <row r="19">
          <cell r="C19" t="str">
            <v>gamma_gas:0.700;gamma_oil:0.800;gamma_wat:1.070;rsb_m3m3:100.000;Rp_m3m3:100.000;Pb_atma:100.000;Tres_C:80.000;Bob_m3m3:;Muob_cP:;PVTcorr:0;Ksep_fr:0.000;PKsep_atma:20.000;TKsep_C:30.000;</v>
          </cell>
        </row>
        <row r="33">
          <cell r="R33">
            <v>0.79278157103204605</v>
          </cell>
        </row>
        <row r="34">
          <cell r="R34">
            <v>0.75089080778499728</v>
          </cell>
          <cell r="W34">
            <v>0.10601035827898292</v>
          </cell>
        </row>
        <row r="35">
          <cell r="R35">
            <v>6.5191940992981603E-2</v>
          </cell>
        </row>
        <row r="57">
          <cell r="B57" t="str">
            <v>Температура = 30 °С</v>
          </cell>
        </row>
      </sheetData>
      <sheetData sheetId="2">
        <row r="9">
          <cell r="C9">
            <v>3500</v>
          </cell>
        </row>
      </sheetData>
      <sheetData sheetId="3"/>
      <sheetData sheetId="4">
        <row r="10">
          <cell r="P10" t="str">
            <v>Рlin</v>
          </cell>
          <cell r="Q10">
            <v>26.182822587912007</v>
          </cell>
        </row>
        <row r="11">
          <cell r="P11" t="str">
            <v>Pwh</v>
          </cell>
          <cell r="Q11">
            <v>26.751020533820796</v>
          </cell>
        </row>
        <row r="12">
          <cell r="P12" t="str">
            <v>Pwf</v>
          </cell>
          <cell r="Q12">
            <v>180</v>
          </cell>
        </row>
        <row r="14">
          <cell r="H14" t="str">
            <v>Измерения</v>
          </cell>
          <cell r="N14" t="str">
            <v>Расчеты</v>
          </cell>
        </row>
        <row r="16">
          <cell r="H16">
            <v>0</v>
          </cell>
          <cell r="I16">
            <v>12</v>
          </cell>
          <cell r="J16">
            <v>33</v>
          </cell>
          <cell r="K16">
            <v>0</v>
          </cell>
          <cell r="M16">
            <v>20.000000000000004</v>
          </cell>
          <cell r="N16">
            <v>0</v>
          </cell>
          <cell r="O16">
            <v>26.751020533820796</v>
          </cell>
          <cell r="Q16">
            <v>20.000000000000004</v>
          </cell>
          <cell r="T16">
            <v>0</v>
          </cell>
          <cell r="U16">
            <v>0.61670927917664931</v>
          </cell>
          <cell r="W16">
            <v>0</v>
          </cell>
          <cell r="X16">
            <v>26.182822587912007</v>
          </cell>
        </row>
        <row r="17">
          <cell r="H17">
            <v>168.75</v>
          </cell>
          <cell r="I17">
            <v>16.978153001228488</v>
          </cell>
          <cell r="J17">
            <v>34.35</v>
          </cell>
          <cell r="K17">
            <v>184.21052631578948</v>
          </cell>
          <cell r="M17">
            <v>25.526315789473689</v>
          </cell>
          <cell r="N17">
            <v>184.21052631578948</v>
          </cell>
          <cell r="O17">
            <v>36.341614088665899</v>
          </cell>
          <cell r="Q17">
            <v>25.526315789473689</v>
          </cell>
          <cell r="T17">
            <v>175</v>
          </cell>
          <cell r="U17">
            <v>0.73806011599027299</v>
          </cell>
          <cell r="W17">
            <v>0</v>
          </cell>
          <cell r="X17">
            <v>26.751020533820796</v>
          </cell>
        </row>
        <row r="18">
          <cell r="H18">
            <v>337.5</v>
          </cell>
          <cell r="I18">
            <v>22.808159517353957</v>
          </cell>
          <cell r="J18">
            <v>35.700000000000003</v>
          </cell>
          <cell r="K18">
            <v>368.42105263157896</v>
          </cell>
          <cell r="M18">
            <v>31.05263157894737</v>
          </cell>
          <cell r="N18">
            <v>368.42105263157896</v>
          </cell>
          <cell r="O18">
            <v>47.259819426818609</v>
          </cell>
          <cell r="Q18">
            <v>31.05263157894737</v>
          </cell>
          <cell r="T18">
            <v>350</v>
          </cell>
          <cell r="U18">
            <v>0.83188239236101513</v>
          </cell>
          <cell r="W18">
            <v>3500</v>
          </cell>
          <cell r="X18">
            <v>180</v>
          </cell>
        </row>
        <row r="19">
          <cell r="H19">
            <v>506.25</v>
          </cell>
          <cell r="I19">
            <v>29.78946407595685</v>
          </cell>
          <cell r="J19">
            <v>37.049999999999997</v>
          </cell>
          <cell r="K19">
            <v>552.63157894736844</v>
          </cell>
          <cell r="M19">
            <v>36.578947368421055</v>
          </cell>
          <cell r="N19">
            <v>552.63157894736844</v>
          </cell>
          <cell r="O19">
            <v>58.143150173120958</v>
          </cell>
          <cell r="Q19">
            <v>36.578947368421055</v>
          </cell>
          <cell r="T19">
            <v>525</v>
          </cell>
          <cell r="U19">
            <v>0.72471807724683923</v>
          </cell>
        </row>
        <row r="20">
          <cell r="H20">
            <v>675</v>
          </cell>
          <cell r="I20">
            <v>38.734369437593315</v>
          </cell>
          <cell r="J20">
            <v>38.4</v>
          </cell>
          <cell r="K20">
            <v>736.84210526315792</v>
          </cell>
          <cell r="M20">
            <v>42.10526315789474</v>
          </cell>
          <cell r="N20">
            <v>736.84210526315792</v>
          </cell>
          <cell r="O20">
            <v>68.246010004234094</v>
          </cell>
          <cell r="Q20">
            <v>42.10526315789474</v>
          </cell>
          <cell r="T20">
            <v>700</v>
          </cell>
          <cell r="U20">
            <v>0.7765719286410232</v>
          </cell>
        </row>
        <row r="21">
          <cell r="H21">
            <v>843.75</v>
          </cell>
          <cell r="I21">
            <v>49.937391904010141</v>
          </cell>
          <cell r="J21">
            <v>39.75</v>
          </cell>
          <cell r="K21">
            <v>921.0526315789474</v>
          </cell>
          <cell r="M21">
            <v>47.631578947368425</v>
          </cell>
          <cell r="N21">
            <v>921.0526315789474</v>
          </cell>
          <cell r="O21">
            <v>78.908874487015296</v>
          </cell>
          <cell r="Q21">
            <v>47.631578947368425</v>
          </cell>
          <cell r="T21">
            <v>875</v>
          </cell>
          <cell r="U21">
            <v>0.84837629492578182</v>
          </cell>
        </row>
        <row r="22">
          <cell r="H22">
            <v>1012.5</v>
          </cell>
          <cell r="I22">
            <v>62.075251209721038</v>
          </cell>
          <cell r="J22">
            <v>41.1</v>
          </cell>
          <cell r="K22">
            <v>1105.2631578947369</v>
          </cell>
          <cell r="M22">
            <v>53.03</v>
          </cell>
          <cell r="N22">
            <v>1105.2631578947369</v>
          </cell>
          <cell r="O22">
            <v>90.221208193171393</v>
          </cell>
          <cell r="Q22">
            <v>53.03</v>
          </cell>
          <cell r="T22">
            <v>1050</v>
          </cell>
          <cell r="U22">
            <v>0.95886913077797131</v>
          </cell>
        </row>
        <row r="23">
          <cell r="H23">
            <v>1181.25</v>
          </cell>
          <cell r="I23">
            <v>74.478662565209234</v>
          </cell>
          <cell r="J23">
            <v>42.45</v>
          </cell>
          <cell r="K23">
            <v>1289.4736842105262</v>
          </cell>
          <cell r="M23">
            <v>58.226315789473688</v>
          </cell>
          <cell r="N23">
            <v>1289.4736842105262</v>
          </cell>
          <cell r="O23">
            <v>101.65416534523548</v>
          </cell>
          <cell r="Q23">
            <v>58.226315789473688</v>
          </cell>
          <cell r="T23">
            <v>1225</v>
          </cell>
          <cell r="U23">
            <v>1</v>
          </cell>
        </row>
        <row r="24">
          <cell r="H24">
            <v>1350</v>
          </cell>
          <cell r="I24">
            <v>87.106336418809121</v>
          </cell>
          <cell r="J24">
            <v>43.8</v>
          </cell>
          <cell r="K24">
            <v>1473.6842105263158</v>
          </cell>
          <cell r="M24">
            <v>63.217368421052633</v>
          </cell>
          <cell r="N24">
            <v>1473.6842105263158</v>
          </cell>
          <cell r="O24">
            <v>112.61025139046089</v>
          </cell>
          <cell r="Q24">
            <v>63.217368421052633</v>
          </cell>
          <cell r="T24">
            <v>1400</v>
          </cell>
          <cell r="U24">
            <v>1</v>
          </cell>
        </row>
        <row r="25">
          <cell r="H25">
            <v>1518.75</v>
          </cell>
          <cell r="I25">
            <v>99.974449993853753</v>
          </cell>
          <cell r="J25">
            <v>45.15</v>
          </cell>
          <cell r="K25">
            <v>1657.8947368421054</v>
          </cell>
          <cell r="M25">
            <v>68.006315789473689</v>
          </cell>
          <cell r="N25">
            <v>1657.8947368421054</v>
          </cell>
          <cell r="O25">
            <v>123.09665520103532</v>
          </cell>
          <cell r="Q25">
            <v>68.006315789473689</v>
          </cell>
          <cell r="T25">
            <v>1575</v>
          </cell>
          <cell r="U25">
            <v>1</v>
          </cell>
        </row>
        <row r="26">
          <cell r="H26">
            <v>1687.5</v>
          </cell>
          <cell r="I26">
            <v>113.08814204317881</v>
          </cell>
          <cell r="J26">
            <v>46.5</v>
          </cell>
          <cell r="K26">
            <v>1842.1052631578948</v>
          </cell>
          <cell r="M26">
            <v>72.593157894736848</v>
          </cell>
          <cell r="N26">
            <v>1842.1052631578948</v>
          </cell>
          <cell r="O26">
            <v>133.11424640777486</v>
          </cell>
          <cell r="Q26">
            <v>72.593157894736848</v>
          </cell>
          <cell r="T26">
            <v>1750</v>
          </cell>
          <cell r="U26">
            <v>1</v>
          </cell>
        </row>
        <row r="27">
          <cell r="H27">
            <v>1856.25</v>
          </cell>
          <cell r="I27">
            <v>126.29628597527667</v>
          </cell>
          <cell r="J27">
            <v>47.85</v>
          </cell>
          <cell r="K27">
            <v>2026.3157894736842</v>
          </cell>
          <cell r="M27">
            <v>76.977894736842103</v>
          </cell>
          <cell r="N27">
            <v>2026.3157894736842</v>
          </cell>
          <cell r="O27">
            <v>142.66458842810579</v>
          </cell>
          <cell r="Q27">
            <v>76.977894736842103</v>
          </cell>
          <cell r="T27">
            <v>1925</v>
          </cell>
          <cell r="U27">
            <v>1</v>
          </cell>
        </row>
        <row r="28">
          <cell r="H28">
            <v>2025</v>
          </cell>
          <cell r="I28">
            <v>139.51713685419199</v>
          </cell>
          <cell r="J28">
            <v>49.2</v>
          </cell>
          <cell r="K28">
            <v>2210.5263157894738</v>
          </cell>
          <cell r="M28">
            <v>81.160526315789483</v>
          </cell>
          <cell r="N28">
            <v>2210.5263157894738</v>
          </cell>
          <cell r="O28">
            <v>151.74968322757465</v>
          </cell>
          <cell r="Q28">
            <v>81.160526315789483</v>
          </cell>
          <cell r="T28">
            <v>2100</v>
          </cell>
          <cell r="U28">
            <v>1</v>
          </cell>
        </row>
        <row r="29">
          <cell r="H29">
            <v>2193.75</v>
          </cell>
          <cell r="I29">
            <v>152.73830775043135</v>
          </cell>
          <cell r="J29">
            <v>50.55</v>
          </cell>
          <cell r="K29">
            <v>2394.7368421052633</v>
          </cell>
          <cell r="M29">
            <v>85.137894736842114</v>
          </cell>
          <cell r="N29">
            <v>2394.7368421052633</v>
          </cell>
          <cell r="O29">
            <v>160.36459967683723</v>
          </cell>
          <cell r="Q29">
            <v>85.137894736842114</v>
          </cell>
          <cell r="T29">
            <v>2275</v>
          </cell>
          <cell r="U29">
            <v>1</v>
          </cell>
        </row>
        <row r="30">
          <cell r="H30">
            <v>2362.5</v>
          </cell>
          <cell r="I30">
            <v>165.95680463762446</v>
          </cell>
          <cell r="J30">
            <v>51.9</v>
          </cell>
          <cell r="K30">
            <v>2500</v>
          </cell>
          <cell r="M30">
            <v>87.32</v>
          </cell>
          <cell r="N30">
            <v>2500</v>
          </cell>
          <cell r="O30">
            <v>165.08065286439</v>
          </cell>
          <cell r="Q30">
            <v>87.32</v>
          </cell>
          <cell r="T30">
            <v>2450</v>
          </cell>
          <cell r="U30">
            <v>1</v>
          </cell>
        </row>
        <row r="31">
          <cell r="H31">
            <v>2531.25</v>
          </cell>
          <cell r="I31">
            <v>179.17039572645322</v>
          </cell>
          <cell r="J31">
            <v>53.25</v>
          </cell>
          <cell r="K31">
            <v>2578.9473684210525</v>
          </cell>
          <cell r="M31">
            <v>88.906842105263152</v>
          </cell>
          <cell r="N31">
            <v>2578.9473684210525</v>
          </cell>
          <cell r="O31">
            <v>168.49611968486462</v>
          </cell>
          <cell r="Q31">
            <v>88.906842105263152</v>
          </cell>
          <cell r="T31">
            <v>2625</v>
          </cell>
          <cell r="U31">
            <v>1</v>
          </cell>
        </row>
        <row r="32">
          <cell r="H32">
            <v>2700</v>
          </cell>
          <cell r="I32">
            <v>192.38366838177041</v>
          </cell>
          <cell r="J32">
            <v>54.6</v>
          </cell>
          <cell r="K32">
            <v>2763.1578947368421</v>
          </cell>
          <cell r="M32">
            <v>92.473684210526315</v>
          </cell>
          <cell r="N32">
            <v>2763.1578947368421</v>
          </cell>
          <cell r="O32">
            <v>175.12373648941417</v>
          </cell>
          <cell r="Q32">
            <v>92.473684210526315</v>
          </cell>
          <cell r="T32">
            <v>2800</v>
          </cell>
          <cell r="U32">
            <v>1</v>
          </cell>
        </row>
        <row r="33">
          <cell r="H33">
            <v>2868.75</v>
          </cell>
          <cell r="I33">
            <v>205.5969410370885</v>
          </cell>
          <cell r="J33">
            <v>55.95</v>
          </cell>
          <cell r="K33">
            <v>2947.3684210526317</v>
          </cell>
          <cell r="M33">
            <v>93.555263157894743</v>
          </cell>
          <cell r="N33">
            <v>2947.3684210526317</v>
          </cell>
          <cell r="O33">
            <v>176.85362443597239</v>
          </cell>
          <cell r="Q33">
            <v>93.555263157894743</v>
          </cell>
          <cell r="T33">
            <v>2975</v>
          </cell>
          <cell r="U33">
            <v>1</v>
          </cell>
        </row>
        <row r="34">
          <cell r="H34">
            <v>3037.5</v>
          </cell>
          <cell r="I34">
            <v>218.81021369240568</v>
          </cell>
          <cell r="J34">
            <v>57.3</v>
          </cell>
          <cell r="K34">
            <v>3131.5789473684213</v>
          </cell>
          <cell r="M34">
            <v>94.036842105263162</v>
          </cell>
          <cell r="N34">
            <v>3131.5789473684213</v>
          </cell>
          <cell r="O34">
            <v>177.9027068707874</v>
          </cell>
          <cell r="Q34">
            <v>94.036842105263162</v>
          </cell>
          <cell r="T34">
            <v>3150</v>
          </cell>
          <cell r="U34">
            <v>1</v>
          </cell>
        </row>
        <row r="35">
          <cell r="H35">
            <v>3206.25</v>
          </cell>
          <cell r="I35">
            <v>232.02348634772284</v>
          </cell>
          <cell r="J35">
            <v>58.65</v>
          </cell>
          <cell r="K35">
            <v>3315.7894736842109</v>
          </cell>
          <cell r="M35">
            <v>94.518421052631581</v>
          </cell>
          <cell r="N35">
            <v>3315.7894736842109</v>
          </cell>
          <cell r="O35">
            <v>178.9514989081151</v>
          </cell>
          <cell r="Q35">
            <v>94.518421052631581</v>
          </cell>
          <cell r="T35">
            <v>3325</v>
          </cell>
          <cell r="U35">
            <v>1</v>
          </cell>
        </row>
        <row r="36">
          <cell r="H36">
            <v>3375</v>
          </cell>
          <cell r="I36">
            <v>245.23675900304099</v>
          </cell>
          <cell r="J36">
            <v>60</v>
          </cell>
          <cell r="K36">
            <v>3500</v>
          </cell>
          <cell r="M36">
            <v>95</v>
          </cell>
          <cell r="N36">
            <v>3500</v>
          </cell>
          <cell r="O36">
            <v>180</v>
          </cell>
          <cell r="Q36">
            <v>95</v>
          </cell>
          <cell r="T36">
            <v>3500</v>
          </cell>
          <cell r="U36">
            <v>1</v>
          </cell>
        </row>
      </sheetData>
      <sheetData sheetId="5"/>
      <sheetData sheetId="6">
        <row r="8">
          <cell r="G8" t="e">
            <v>#VALUE!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floc"/>
      <sheetName val="PVT"/>
      <sheetName val="Construction"/>
      <sheetName val="Calculation"/>
    </sheetNames>
    <definedNames>
      <definedName name="gamma_oil_" refersTo="='PVT'!$G$8"/>
    </definedNames>
    <sheetDataSet>
      <sheetData sheetId="0">
        <row r="1">
          <cell r="A1" t="str">
            <v>вер 7.7</v>
          </cell>
          <cell r="B1" t="str">
            <v>7.7</v>
          </cell>
        </row>
      </sheetData>
      <sheetData sheetId="1">
        <row r="8">
          <cell r="G8">
            <v>0.86</v>
          </cell>
        </row>
        <row r="32">
          <cell r="R32">
            <v>0.85586577860847923</v>
          </cell>
        </row>
        <row r="33">
          <cell r="R33">
            <v>0.88906521229711766</v>
          </cell>
          <cell r="W33">
            <v>0.29439351063526253</v>
          </cell>
        </row>
        <row r="34">
          <cell r="R34">
            <v>0.1707560241061073</v>
          </cell>
        </row>
        <row r="56">
          <cell r="B56" t="str">
            <v>Температура = 30 °С</v>
          </cell>
        </row>
      </sheetData>
      <sheetData sheetId="2">
        <row r="9">
          <cell r="C9">
            <v>3500</v>
          </cell>
        </row>
      </sheetData>
      <sheetData sheetId="3">
        <row r="10">
          <cell r="P10" t="str">
            <v>Рlin</v>
          </cell>
        </row>
        <row r="11">
          <cell r="P11" t="str">
            <v>Pwh</v>
          </cell>
        </row>
        <row r="12">
          <cell r="P12" t="str">
            <v>Pwf</v>
          </cell>
        </row>
        <row r="14">
          <cell r="H14" t="str">
            <v>Измерения</v>
          </cell>
          <cell r="N14" t="str">
            <v>Расчеты</v>
          </cell>
        </row>
        <row r="16">
          <cell r="H16">
            <v>0</v>
          </cell>
          <cell r="I16">
            <v>12</v>
          </cell>
          <cell r="J16">
            <v>33</v>
          </cell>
          <cell r="K16">
            <v>0</v>
          </cell>
          <cell r="M16">
            <v>30</v>
          </cell>
          <cell r="N16">
            <v>0</v>
          </cell>
          <cell r="O16">
            <v>64.552439463664712</v>
          </cell>
          <cell r="Q16">
            <v>31.488473054068752</v>
          </cell>
          <cell r="R16">
            <v>0</v>
          </cell>
          <cell r="S16">
            <v>0.76778117998235706</v>
          </cell>
          <cell r="U16">
            <v>0</v>
          </cell>
          <cell r="V16">
            <v>63.606847088708683</v>
          </cell>
        </row>
        <row r="17">
          <cell r="H17">
            <v>168.75</v>
          </cell>
          <cell r="I17">
            <v>16.978153001228488</v>
          </cell>
          <cell r="J17">
            <v>34.35</v>
          </cell>
          <cell r="K17">
            <v>184.21052631578948</v>
          </cell>
          <cell r="M17">
            <v>30.614035087719298</v>
          </cell>
          <cell r="N17">
            <v>184.21052631578948</v>
          </cell>
          <cell r="O17">
            <v>77.471897451550859</v>
          </cell>
          <cell r="Q17">
            <v>32.089368256448623</v>
          </cell>
          <cell r="R17">
            <v>175</v>
          </cell>
          <cell r="S17">
            <v>0.90749805190896737</v>
          </cell>
          <cell r="U17">
            <v>0</v>
          </cell>
          <cell r="V17">
            <v>64.552439463664712</v>
          </cell>
        </row>
        <row r="18">
          <cell r="H18">
            <v>337.5</v>
          </cell>
          <cell r="I18">
            <v>22.808159517353957</v>
          </cell>
          <cell r="J18">
            <v>35.700000000000003</v>
          </cell>
          <cell r="K18">
            <v>368.42105263157896</v>
          </cell>
          <cell r="M18">
            <v>31.228070175438596</v>
          </cell>
          <cell r="N18">
            <v>368.42105263157896</v>
          </cell>
          <cell r="O18">
            <v>92.08286956317383</v>
          </cell>
          <cell r="Q18">
            <v>32.924694447793073</v>
          </cell>
          <cell r="R18">
            <v>350</v>
          </cell>
          <cell r="S18">
            <v>1</v>
          </cell>
          <cell r="U18">
            <v>3500</v>
          </cell>
          <cell r="V18">
            <v>260</v>
          </cell>
        </row>
        <row r="19">
          <cell r="H19">
            <v>506.25</v>
          </cell>
          <cell r="I19">
            <v>29.78946407595685</v>
          </cell>
          <cell r="J19">
            <v>37.049999999999997</v>
          </cell>
          <cell r="K19">
            <v>552.63157894736844</v>
          </cell>
          <cell r="M19">
            <v>31.842105263157894</v>
          </cell>
          <cell r="N19">
            <v>552.63157894736844</v>
          </cell>
          <cell r="O19">
            <v>106.99818017504073</v>
          </cell>
          <cell r="Q19">
            <v>33.944336654380074</v>
          </cell>
          <cell r="R19">
            <v>525</v>
          </cell>
          <cell r="S19">
            <v>1</v>
          </cell>
        </row>
        <row r="20">
          <cell r="H20">
            <v>675</v>
          </cell>
          <cell r="I20">
            <v>38.734369437593315</v>
          </cell>
          <cell r="J20">
            <v>38.4</v>
          </cell>
          <cell r="K20">
            <v>736.84210526315792</v>
          </cell>
          <cell r="M20">
            <v>32.456140350877192</v>
          </cell>
          <cell r="N20">
            <v>736.84210526315792</v>
          </cell>
          <cell r="O20">
            <v>121.97251744219199</v>
          </cell>
          <cell r="Q20">
            <v>35.223577919322778</v>
          </cell>
          <cell r="R20">
            <v>700</v>
          </cell>
          <cell r="S20">
            <v>1</v>
          </cell>
        </row>
        <row r="21">
          <cell r="H21">
            <v>843.75</v>
          </cell>
          <cell r="I21">
            <v>49.937391904010141</v>
          </cell>
          <cell r="J21">
            <v>39.75</v>
          </cell>
          <cell r="K21">
            <v>921.0526315789474</v>
          </cell>
          <cell r="M21">
            <v>33.070175438596493</v>
          </cell>
          <cell r="N21">
            <v>921.0526315789474</v>
          </cell>
          <cell r="O21">
            <v>136.93650624350875</v>
          </cell>
          <cell r="Q21">
            <v>36.921270926565334</v>
          </cell>
          <cell r="R21">
            <v>875</v>
          </cell>
          <cell r="S21">
            <v>1</v>
          </cell>
        </row>
        <row r="22">
          <cell r="H22">
            <v>1012.5</v>
          </cell>
          <cell r="I22">
            <v>62.075251209721038</v>
          </cell>
          <cell r="J22">
            <v>41.1</v>
          </cell>
          <cell r="K22">
            <v>1105.2631578947369</v>
          </cell>
          <cell r="M22">
            <v>33.67</v>
          </cell>
          <cell r="N22">
            <v>1105.2631578947369</v>
          </cell>
          <cell r="O22">
            <v>151.44870239511428</v>
          </cell>
          <cell r="Q22">
            <v>39.29590613214863</v>
          </cell>
          <cell r="R22">
            <v>1050</v>
          </cell>
          <cell r="S22">
            <v>1</v>
          </cell>
        </row>
        <row r="23">
          <cell r="H23">
            <v>1181.25</v>
          </cell>
          <cell r="I23">
            <v>74.478662565209234</v>
          </cell>
          <cell r="J23">
            <v>42.45</v>
          </cell>
          <cell r="K23">
            <v>1289.4736842105262</v>
          </cell>
          <cell r="M23">
            <v>34.247368421052634</v>
          </cell>
          <cell r="N23">
            <v>1289.4736842105262</v>
          </cell>
          <cell r="O23">
            <v>165.38342336083309</v>
          </cell>
          <cell r="Q23">
            <v>42.834728631283575</v>
          </cell>
          <cell r="R23">
            <v>1225</v>
          </cell>
          <cell r="S23">
            <v>1</v>
          </cell>
        </row>
        <row r="24">
          <cell r="H24">
            <v>1350</v>
          </cell>
          <cell r="I24">
            <v>87.106336418809121</v>
          </cell>
          <cell r="J24">
            <v>43.8</v>
          </cell>
          <cell r="K24">
            <v>1473.6842105263158</v>
          </cell>
          <cell r="M24">
            <v>34.801929824561405</v>
          </cell>
          <cell r="N24">
            <v>1473.6842105263158</v>
          </cell>
          <cell r="O24">
            <v>178.72799766584168</v>
          </cell>
          <cell r="Q24">
            <v>48.299763112435286</v>
          </cell>
          <cell r="R24">
            <v>1400</v>
          </cell>
          <cell r="S24">
            <v>1</v>
          </cell>
        </row>
        <row r="25">
          <cell r="H25">
            <v>1518.75</v>
          </cell>
          <cell r="I25">
            <v>99.974449993853753</v>
          </cell>
          <cell r="J25">
            <v>45.15</v>
          </cell>
          <cell r="K25">
            <v>1657.8947368421054</v>
          </cell>
          <cell r="M25">
            <v>40.511578947368434</v>
          </cell>
          <cell r="N25">
            <v>1657.8947368421054</v>
          </cell>
          <cell r="O25">
            <v>191.46997162759922</v>
          </cell>
          <cell r="Q25">
            <v>55.794347369568627</v>
          </cell>
          <cell r="R25">
            <v>1575</v>
          </cell>
          <cell r="S25">
            <v>1</v>
          </cell>
        </row>
        <row r="26">
          <cell r="H26">
            <v>1687.5</v>
          </cell>
          <cell r="I26">
            <v>113.08814204317881</v>
          </cell>
          <cell r="J26">
            <v>46.5</v>
          </cell>
          <cell r="K26">
            <v>1842.1052631578948</v>
          </cell>
          <cell r="M26">
            <v>48.920789473684216</v>
          </cell>
          <cell r="N26">
            <v>1842.1052631578948</v>
          </cell>
          <cell r="O26">
            <v>203.60522343269295</v>
          </cell>
          <cell r="Q26">
            <v>63.164743202232955</v>
          </cell>
          <cell r="R26">
            <v>1750</v>
          </cell>
          <cell r="S26">
            <v>1</v>
          </cell>
        </row>
        <row r="27">
          <cell r="H27">
            <v>1856.25</v>
          </cell>
          <cell r="I27">
            <v>126.29628597527667</v>
          </cell>
          <cell r="J27">
            <v>47.85</v>
          </cell>
          <cell r="K27">
            <v>2026.3157894736842</v>
          </cell>
          <cell r="M27">
            <v>56.959473684210522</v>
          </cell>
          <cell r="N27">
            <v>2026.3157894736842</v>
          </cell>
          <cell r="O27">
            <v>215.14408150663354</v>
          </cell>
          <cell r="Q27">
            <v>69.982516351397095</v>
          </cell>
          <cell r="R27">
            <v>1925</v>
          </cell>
          <cell r="S27">
            <v>1</v>
          </cell>
        </row>
        <row r="28">
          <cell r="H28">
            <v>2025</v>
          </cell>
          <cell r="I28">
            <v>139.51713685419199</v>
          </cell>
          <cell r="J28">
            <v>49.2</v>
          </cell>
          <cell r="K28">
            <v>2210.5263157894738</v>
          </cell>
          <cell r="M28">
            <v>64.627631578947373</v>
          </cell>
          <cell r="N28">
            <v>2210.5263157894738</v>
          </cell>
          <cell r="O28">
            <v>226.09757457758585</v>
          </cell>
          <cell r="Q28">
            <v>76.134637705854487</v>
          </cell>
          <cell r="R28">
            <v>2100</v>
          </cell>
          <cell r="S28">
            <v>1</v>
          </cell>
        </row>
        <row r="29">
          <cell r="H29">
            <v>2193.75</v>
          </cell>
          <cell r="I29">
            <v>152.73830775043135</v>
          </cell>
          <cell r="J29">
            <v>50.55</v>
          </cell>
          <cell r="K29">
            <v>2394.7368421052633</v>
          </cell>
          <cell r="M29">
            <v>71.91947368421053</v>
          </cell>
          <cell r="N29">
            <v>2394.7368421052633</v>
          </cell>
          <cell r="O29">
            <v>236.46816931117752</v>
          </cell>
          <cell r="Q29">
            <v>81.421074676422336</v>
          </cell>
          <cell r="R29">
            <v>2275</v>
          </cell>
          <cell r="S29">
            <v>1</v>
          </cell>
        </row>
        <row r="30">
          <cell r="H30">
            <v>2362.5</v>
          </cell>
          <cell r="I30">
            <v>165.95680463762446</v>
          </cell>
          <cell r="J30">
            <v>51.9</v>
          </cell>
          <cell r="K30">
            <v>2500</v>
          </cell>
          <cell r="M30">
            <v>75.92</v>
          </cell>
          <cell r="N30">
            <v>2500</v>
          </cell>
          <cell r="O30">
            <v>242.14142956535517</v>
          </cell>
          <cell r="Q30">
            <v>83.946969341453013</v>
          </cell>
          <cell r="R30">
            <v>2450</v>
          </cell>
          <cell r="S30">
            <v>1</v>
          </cell>
        </row>
        <row r="31">
          <cell r="H31">
            <v>2531.25</v>
          </cell>
          <cell r="I31">
            <v>179.17039572645322</v>
          </cell>
          <cell r="J31">
            <v>53.25</v>
          </cell>
          <cell r="K31">
            <v>2578.9473684210525</v>
          </cell>
          <cell r="M31">
            <v>78.829210526315777</v>
          </cell>
          <cell r="N31">
            <v>2578.9473684210525</v>
          </cell>
          <cell r="O31">
            <v>246.22710538573418</v>
          </cell>
          <cell r="Q31">
            <v>85.494588537247097</v>
          </cell>
          <cell r="R31">
            <v>2625</v>
          </cell>
          <cell r="S31">
            <v>1</v>
          </cell>
        </row>
        <row r="32">
          <cell r="H32">
            <v>2700</v>
          </cell>
          <cell r="I32">
            <v>192.38366838177041</v>
          </cell>
          <cell r="J32">
            <v>54.6</v>
          </cell>
          <cell r="K32">
            <v>2763.1578947368421</v>
          </cell>
          <cell r="M32">
            <v>85.368421052631589</v>
          </cell>
          <cell r="N32">
            <v>2763.1578947368421</v>
          </cell>
          <cell r="O32">
            <v>254.15686397372917</v>
          </cell>
          <cell r="Q32">
            <v>87.854345118723529</v>
          </cell>
          <cell r="R32">
            <v>2800</v>
          </cell>
          <cell r="S32">
            <v>1</v>
          </cell>
        </row>
        <row r="33">
          <cell r="H33">
            <v>2868.75</v>
          </cell>
          <cell r="I33">
            <v>205.5969410370885</v>
          </cell>
          <cell r="J33">
            <v>55.95</v>
          </cell>
          <cell r="K33">
            <v>2947.3684210526317</v>
          </cell>
          <cell r="M33">
            <v>87.351315789473688</v>
          </cell>
          <cell r="N33">
            <v>2947.3684210526317</v>
          </cell>
          <cell r="O33">
            <v>256.22901190473345</v>
          </cell>
          <cell r="Q33">
            <v>88.717844126703284</v>
          </cell>
          <cell r="R33">
            <v>2975</v>
          </cell>
          <cell r="S33">
            <v>1</v>
          </cell>
        </row>
        <row r="34">
          <cell r="H34">
            <v>3037.5</v>
          </cell>
          <cell r="I34">
            <v>218.81021369240568</v>
          </cell>
          <cell r="J34">
            <v>57.3</v>
          </cell>
          <cell r="K34">
            <v>3131.5789473684213</v>
          </cell>
          <cell r="M34">
            <v>88.234210526315792</v>
          </cell>
          <cell r="N34">
            <v>3131.5789473684213</v>
          </cell>
          <cell r="O34">
            <v>257.48639610296124</v>
          </cell>
          <cell r="Q34">
            <v>89.341541731780183</v>
          </cell>
          <cell r="R34">
            <v>3150</v>
          </cell>
          <cell r="S34">
            <v>1</v>
          </cell>
        </row>
        <row r="35">
          <cell r="H35">
            <v>3206.25</v>
          </cell>
          <cell r="I35">
            <v>232.02348634772284</v>
          </cell>
          <cell r="J35">
            <v>58.65</v>
          </cell>
          <cell r="K35">
            <v>3315.7894736842109</v>
          </cell>
          <cell r="M35">
            <v>89.117105263157882</v>
          </cell>
          <cell r="N35">
            <v>3315.7894736842109</v>
          </cell>
          <cell r="O35">
            <v>258.74332215405167</v>
          </cell>
          <cell r="Q35">
            <v>89.802447396535698</v>
          </cell>
          <cell r="R35">
            <v>3325</v>
          </cell>
          <cell r="S35">
            <v>1</v>
          </cell>
        </row>
        <row r="36">
          <cell r="H36">
            <v>3375</v>
          </cell>
          <cell r="I36">
            <v>245.23675900304099</v>
          </cell>
          <cell r="J36">
            <v>60</v>
          </cell>
          <cell r="K36">
            <v>3500</v>
          </cell>
          <cell r="M36">
            <v>90</v>
          </cell>
          <cell r="N36">
            <v>3500</v>
          </cell>
          <cell r="O36">
            <v>260</v>
          </cell>
          <cell r="Q36">
            <v>90</v>
          </cell>
          <cell r="R36">
            <v>3500</v>
          </cell>
          <cell r="S36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H15" sqref="H15"/>
    </sheetView>
  </sheetViews>
  <sheetFormatPr defaultRowHeight="15" x14ac:dyDescent="0.25"/>
  <sheetData>
    <row r="1" spans="1:5" x14ac:dyDescent="0.25">
      <c r="A1" t="str">
        <f>"вер "&amp;B1</f>
        <v>вер 7.7</v>
      </c>
      <c r="B1" s="16" t="str">
        <f>getUFVersion()</f>
        <v>7.7</v>
      </c>
    </row>
    <row r="2" spans="1:5" x14ac:dyDescent="0.25">
      <c r="A2" t="s">
        <v>161</v>
      </c>
    </row>
    <row r="4" spans="1:5" x14ac:dyDescent="0.25">
      <c r="A4" s="60" t="str">
        <f>"Унифлок "&amp;версия_номер_</f>
        <v>Унифлок 7.7</v>
      </c>
      <c r="B4" s="60"/>
      <c r="C4" s="60"/>
      <c r="D4" s="60"/>
      <c r="E4" s="60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G101"/>
  <sheetViews>
    <sheetView topLeftCell="A37" zoomScale="70" zoomScaleNormal="70" workbookViewId="0">
      <selection activeCell="R45" sqref="R45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7.7</v>
      </c>
      <c r="J1" s="2" t="s">
        <v>23</v>
      </c>
      <c r="K1" s="2"/>
      <c r="L1" s="2"/>
    </row>
    <row r="2" spans="1:17" ht="18" x14ac:dyDescent="0.25">
      <c r="A2" s="60" t="s">
        <v>0</v>
      </c>
      <c r="B2" s="60"/>
      <c r="C2" s="60"/>
      <c r="D2" s="60"/>
      <c r="E2" s="60"/>
      <c r="J2" s="6" t="s">
        <v>26</v>
      </c>
      <c r="K2" s="9">
        <v>1</v>
      </c>
      <c r="L2" s="5" t="s">
        <v>6</v>
      </c>
    </row>
    <row r="3" spans="1:17" ht="18" customHeight="1" x14ac:dyDescent="0.25">
      <c r="F3" s="61" t="s">
        <v>74</v>
      </c>
      <c r="G3" s="61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2" t="s">
        <v>28</v>
      </c>
      <c r="O7" s="62"/>
      <c r="P7" s="62"/>
      <c r="Q7" s="62"/>
    </row>
    <row r="8" spans="1:17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'Calc ESP'!Ql_scm3day_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'Calc ESP'!wc_perc_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'Calc ESP'!Rp_m3m3_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0.85586577860847923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0.29439351063526253</v>
      </c>
      <c r="AD32" s="2" t="str">
        <f>Q34&amp; " = "&amp;IFERROR(TEXT(gamma_gas_diff_total_*100,"0.0") &amp; "%",TEXT(gamma_gas_diff_total_*100,"0,0") &amp; "%")</f>
        <v>Сумм откл = 17.1%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0.88906521229711766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141.72205259907787</v>
      </c>
      <c r="W33" s="30">
        <f>(V33-C23)/V33</f>
        <v>0.29439351063526253</v>
      </c>
      <c r="X33" s="2">
        <v>2</v>
      </c>
      <c r="Z33" s="7" t="s">
        <v>80</v>
      </c>
      <c r="AA33" s="33">
        <f>ABS(U34)</f>
        <v>0</v>
      </c>
      <c r="AB33" s="33">
        <f>ABS(W34)</f>
        <v>9.9351744972893938E-2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57.84590777991464</v>
      </c>
      <c r="D34" s="5" t="s">
        <v>17</v>
      </c>
      <c r="E34" s="29">
        <f>[1]!PVT_Rs_m3m3(P_atma_,T_C_,gamma_gas_,gamma_oil_,gamma_w_,Rsb_m3m3_,,,,,,PVT_correlation_,Ksep_,Psep_atma_,Tsep_C_)</f>
        <v>36.382686688964391</v>
      </c>
      <c r="F34" s="30">
        <f t="shared" si="0"/>
        <v>-0.58992952539319976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0.93919425965821102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0.1707560241061073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1.3195843608736479</v>
      </c>
      <c r="W34" s="30">
        <f>(V34-C26)/(V34-1)</f>
        <v>9.9351744972893938E-2</v>
      </c>
      <c r="X34" s="2">
        <v>2</v>
      </c>
      <c r="Z34" s="8" t="s">
        <v>83</v>
      </c>
      <c r="AA34" s="33">
        <f>ABS(U36)</f>
        <v>0</v>
      </c>
      <c r="AB34" s="33">
        <f>ABS(W36)</f>
        <v>6.3275635828131865E-2</v>
      </c>
      <c r="AD34" s="2" t="str">
        <f>Q33&amp;" = "&amp;IFERROR(TEXT(gamma_gas_new_,"0.00"),TEXT(gamma_gas_new_,"0,00"))&amp;",  "&amp;Q32&amp;" = "&amp;IFERROR(TEXT(gamma_oil_new_,"0.00"),TEXT(gamma_oil_new_,"0,00"))</f>
        <v>γg new  = 0.89,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1.1364374868066838</v>
      </c>
      <c r="D35" s="5" t="s">
        <v>17</v>
      </c>
      <c r="E35" s="29">
        <f>[1]!PVT_Bo_m3m3(P_atma_,T_C_,gamma_gas_,gamma_oil_,gamma_w_,Rsb_m3m3_,,,,,,PVT_correlation_,Ksep_,Psep_atma_,Tsep_C_)</f>
        <v>1.0909042856563635</v>
      </c>
      <c r="F35" s="30">
        <f t="shared" si="0"/>
        <v>-4.1738951573486852E-2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2.4379578175196839E-2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1.0050124728223304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744.70988360635852</v>
      </c>
      <c r="W35" s="30">
        <f>(V35-C27)/V35</f>
        <v>1.4582354068997334E-2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4.8072341761869232E-3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800.28092388069251</v>
      </c>
      <c r="D36" s="5" t="s">
        <v>82</v>
      </c>
      <c r="E36" s="29">
        <f>[1]!PVT_Rhoo_kgm3(P_atma_,T_C_,gamma_gas_,gamma_oil_,gamma_w_,Rsb_m3m3_,,,,,,PVT_correlation_,Ksep_,Psep_atma_,Tsep_C_)</f>
        <v>816.85819878632105</v>
      </c>
      <c r="F36" s="30">
        <f t="shared" si="0"/>
        <v>2.0293944445019804E-2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35.078129484211033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1064.6634036244029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0.7205342157049397</v>
      </c>
      <c r="W36" s="30">
        <f>(V36-C28)/V36</f>
        <v>-6.3275635828131865E-2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0.27009316042445386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2.9495948500853633</v>
      </c>
      <c r="D37" s="5" t="s">
        <v>7</v>
      </c>
      <c r="E37" s="29">
        <f>[1]!PVT_Muo_cP(P_atma_,T_C_,gamma_gas_,gamma_oil_,gamma_w_,Rsb_m3m3_,,,,,,PVT_correlation_,Ksep_,Psep_atma_,Tsep_C_)</f>
        <v>3.9919050315962448</v>
      </c>
      <c r="F37" s="30">
        <f t="shared" si="0"/>
        <v>0.26110595649468454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1.1774941966222424E-2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0.91543932313862619</v>
      </c>
      <c r="N37" s="5" t="s">
        <v>7</v>
      </c>
      <c r="S37" s="6" t="s">
        <v>12</v>
      </c>
      <c r="W37" s="30">
        <f>(R32-G8)/R32</f>
        <v>-4.8304553060205683E-3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0.2126561805389072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1.4582354068997334E-2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3.8746755606618333E-2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5.8884365535558904E-2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3.8746755606618333E-2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0.98997541064733996</v>
      </c>
      <c r="Q59">
        <v>0.98997541064733996</v>
      </c>
      <c r="R59">
        <v>0.99031266598457834</v>
      </c>
    </row>
    <row r="60" spans="1:29" outlineLevel="1" x14ac:dyDescent="0.25">
      <c r="A60" s="44">
        <v>2</v>
      </c>
      <c r="B60" s="46">
        <f t="shared" ref="B60:B78" si="1"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0.94614339991979213</v>
      </c>
      <c r="Q60">
        <v>0.94614339991979213</v>
      </c>
      <c r="R60">
        <v>0.94939251991768747</v>
      </c>
    </row>
    <row r="61" spans="1:29" outlineLevel="1" x14ac:dyDescent="0.25">
      <c r="A61" s="44">
        <v>3</v>
      </c>
      <c r="B61" s="46">
        <f t="shared" si="1"/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0.89826216338241693</v>
      </c>
      <c r="Q61">
        <v>0.89826216338241693</v>
      </c>
      <c r="R61">
        <v>0.90709419384474355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0.84775635578540187</v>
      </c>
      <c r="Q62">
        <v>0.84775635578540187</v>
      </c>
      <c r="R62">
        <v>0.86439081059241085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0.79547822217869313</v>
      </c>
      <c r="Q63">
        <v>0.79547822217869313</v>
      </c>
      <c r="R63">
        <v>0.82185872245860181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0.74206792515658504</v>
      </c>
      <c r="Q64">
        <v>0.74206792515658504</v>
      </c>
      <c r="R64">
        <v>0.77988975562164153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0.68804068471210011</v>
      </c>
      <c r="Q65">
        <v>0.68804068471210011</v>
      </c>
      <c r="R65">
        <v>0.73876463925463765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0.63382089873430336</v>
      </c>
      <c r="Q66">
        <v>0.63382089873430336</v>
      </c>
      <c r="R66">
        <v>0.69868595340489781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0.57975949108250746</v>
      </c>
      <c r="Q67">
        <v>0.57975949108250746</v>
      </c>
      <c r="R67">
        <v>0.65979718898112383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0.52614477718001729</v>
      </c>
      <c r="Q68">
        <v>0.52614477718001729</v>
      </c>
      <c r="R68">
        <v>0.62219562660691996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0.47321052383313328</v>
      </c>
      <c r="Q69">
        <v>0.47321052383313328</v>
      </c>
      <c r="R69">
        <v>0.585941900127671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0.42114267029873143</v>
      </c>
      <c r="Q70">
        <v>0.42114267029873143</v>
      </c>
      <c r="R70">
        <v>0.55106749731895333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0.37008531596833544</v>
      </c>
      <c r="Q71">
        <v>0.37008531596833544</v>
      </c>
      <c r="R71">
        <v>0.51758082055737475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0.32014621642941443</v>
      </c>
      <c r="Q72">
        <v>0.32014621642941443</v>
      </c>
      <c r="R72">
        <v>0.48547215667074578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0.27140187231687235</v>
      </c>
      <c r="Q73">
        <v>0.27140187231687235</v>
      </c>
      <c r="R73">
        <v>0.45471777617189474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0.22390223120616223</v>
      </c>
      <c r="Q74">
        <v>0.22390223120616223</v>
      </c>
      <c r="R74">
        <v>0.42528331634449712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0.17767500149055396</v>
      </c>
      <c r="Q75">
        <v>0.17767500149055396</v>
      </c>
      <c r="R75">
        <v>0.39712656612085145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0.13272957532053672</v>
      </c>
      <c r="Q76">
        <v>0.13272957532053672</v>
      </c>
      <c r="R76">
        <v>0.37019974808508055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8.9060563706194376E-2</v>
      </c>
      <c r="Q77">
        <v>8.9060563706194376E-2</v>
      </c>
      <c r="R77">
        <v>0.34445137766853778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4.6650954987410995E-2</v>
      </c>
      <c r="Q78">
        <v>4.6650954987410995E-2</v>
      </c>
      <c r="R78">
        <v>0.31982776739901991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5.469167248226995E-3</v>
      </c>
      <c r="Q79">
        <v>5.469167248226995E-3</v>
      </c>
      <c r="R79">
        <v>0.29627423477651588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</v>
      </c>
      <c r="Q80">
        <v>0</v>
      </c>
      <c r="R80">
        <v>0.23512272839443882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</v>
      </c>
      <c r="Q81">
        <v>0</v>
      </c>
      <c r="R81">
        <v>0.18087914913620051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</v>
      </c>
      <c r="Q82">
        <v>0</v>
      </c>
      <c r="R82">
        <v>0.13249064481869405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</v>
      </c>
      <c r="Q83">
        <v>0</v>
      </c>
      <c r="R83">
        <v>8.9068615178731603E-2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</v>
      </c>
      <c r="Q84">
        <v>0</v>
      </c>
      <c r="R84">
        <v>4.9902676948977834E-2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</v>
      </c>
      <c r="Q85">
        <v>0</v>
      </c>
      <c r="R85">
        <v>1.4460330224812166E-2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7.7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L3" sqref="L3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7.7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35</v>
      </c>
      <c r="D6" s="53" t="s">
        <v>181</v>
      </c>
    </row>
    <row r="7" spans="1:11" x14ac:dyDescent="0.25">
      <c r="B7" s="53" t="s">
        <v>182</v>
      </c>
      <c r="C7" s="55">
        <f>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1079.0831725325882</v>
      </c>
      <c r="J8" s="50">
        <v>10.029614120376623</v>
      </c>
      <c r="K8" s="58">
        <v>7.6419950830696609E-3</v>
      </c>
    </row>
    <row r="9" spans="1:11" x14ac:dyDescent="0.25">
      <c r="B9" s="53" t="s">
        <v>184</v>
      </c>
      <c r="C9" s="55">
        <f>ESP_maxRate_m3day(ESP_freq_,ESP_ID_)*1</f>
        <v>122.5</v>
      </c>
      <c r="D9" s="53"/>
      <c r="G9">
        <v>2</v>
      </c>
      <c r="H9" s="57">
        <f t="shared" ref="H9:H29" si="0">(ESP_qmax_)/(pts_-1)+H8</f>
        <v>6.833333333333333</v>
      </c>
      <c r="I9" s="50">
        <v>1078.7767566335126</v>
      </c>
      <c r="J9" s="50">
        <v>10.320639703745014</v>
      </c>
      <c r="K9" s="58">
        <v>6.3039410357469239E-2</v>
      </c>
    </row>
    <row r="10" spans="1:11" x14ac:dyDescent="0.25">
      <c r="B10" s="53" t="s">
        <v>185</v>
      </c>
      <c r="C10" s="55">
        <f>INT(ESP_head_nom_/ESP_head_m(ESP_rate_nom_,1,,ESP_ID_))</f>
        <v>334</v>
      </c>
      <c r="D10" s="53" t="s">
        <v>186</v>
      </c>
      <c r="G10">
        <v>3</v>
      </c>
      <c r="H10" s="57">
        <f t="shared" si="0"/>
        <v>12.666666666666666</v>
      </c>
      <c r="I10" s="50">
        <v>1085.220757873099</v>
      </c>
      <c r="J10" s="50">
        <v>10.505732346743628</v>
      </c>
      <c r="K10" s="58">
        <v>0.13179385535511876</v>
      </c>
    </row>
    <row r="11" spans="1:11" x14ac:dyDescent="0.25">
      <c r="G11">
        <v>4</v>
      </c>
      <c r="H11" s="57">
        <f t="shared" si="0"/>
        <v>18.5</v>
      </c>
      <c r="I11" s="50">
        <v>1092.9964512878312</v>
      </c>
      <c r="J11" s="50">
        <v>10.62359411345555</v>
      </c>
      <c r="K11" s="58">
        <v>0.20684404492575748</v>
      </c>
    </row>
    <row r="12" spans="1:11" x14ac:dyDescent="0.25">
      <c r="G12">
        <v>5</v>
      </c>
      <c r="H12" s="57">
        <f t="shared" si="0"/>
        <v>24.333333333333332</v>
      </c>
      <c r="I12" s="50">
        <v>1097.8608906627917</v>
      </c>
      <c r="J12" s="50">
        <v>10.705995645589445</v>
      </c>
      <c r="K12" s="58">
        <v>0.28238958758387067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30.166666666666664</v>
      </c>
      <c r="I13" s="50">
        <v>1096.6319138567881</v>
      </c>
      <c r="J13" s="50">
        <v>10.778378098696951</v>
      </c>
      <c r="K13" s="58">
        <v>0.3537854579483623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36</v>
      </c>
      <c r="I14" s="50">
        <v>1087.073148127475</v>
      </c>
      <c r="J14" s="50">
        <v>10.860455078390027</v>
      </c>
      <c r="K14" s="58">
        <v>0.4174364691822256</v>
      </c>
    </row>
    <row r="15" spans="1:11" x14ac:dyDescent="0.25">
      <c r="G15">
        <v>8</v>
      </c>
      <c r="H15" s="57">
        <f t="shared" si="0"/>
        <v>41.833333333333336</v>
      </c>
      <c r="I15" s="50">
        <v>1067.7790154564816</v>
      </c>
      <c r="J15" s="50">
        <v>10.966814576558331</v>
      </c>
      <c r="K15" s="58">
        <v>0.47069174543221609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47.666666666666671</v>
      </c>
      <c r="I16" s="50">
        <v>1038.059737874534</v>
      </c>
      <c r="J16" s="50">
        <v>11.107520907586588</v>
      </c>
      <c r="K16" s="58">
        <v>0.5117391942685231</v>
      </c>
    </row>
    <row r="17" spans="7:11" x14ac:dyDescent="0.25">
      <c r="G17">
        <v>10</v>
      </c>
      <c r="H17" s="57">
        <f t="shared" si="0"/>
        <v>53.500000000000007</v>
      </c>
      <c r="I17" s="50">
        <v>997.82634278658088</v>
      </c>
      <c r="J17" s="50">
        <v>11.288716644571958</v>
      </c>
      <c r="K17" s="58">
        <v>0.53949997912444025</v>
      </c>
    </row>
    <row r="18" spans="7:11" x14ac:dyDescent="0.25">
      <c r="G18">
        <v>11</v>
      </c>
      <c r="H18" s="57">
        <f t="shared" si="0"/>
        <v>59.333333333333343</v>
      </c>
      <c r="I18" s="50">
        <v>947.47566829691891</v>
      </c>
      <c r="J18" s="50">
        <v>11.513224555541404</v>
      </c>
      <c r="K18" s="58">
        <v>0.55352299173604014</v>
      </c>
    </row>
    <row r="19" spans="7:11" x14ac:dyDescent="0.25">
      <c r="G19">
        <v>12</v>
      </c>
      <c r="H19" s="57">
        <f t="shared" si="0"/>
        <v>65.166666666666671</v>
      </c>
      <c r="I19" s="50">
        <v>887.77536853431502</v>
      </c>
      <c r="J19" s="50">
        <v>11.78114953966907</v>
      </c>
      <c r="K19" s="58">
        <v>0.55387932458184386</v>
      </c>
    </row>
    <row r="20" spans="7:11" x14ac:dyDescent="0.25">
      <c r="G20">
        <v>13</v>
      </c>
      <c r="H20" s="57">
        <f t="shared" si="0"/>
        <v>71</v>
      </c>
      <c r="I20" s="50">
        <v>819.74891897713496</v>
      </c>
      <c r="J20" s="50">
        <v>12.090480563493632</v>
      </c>
      <c r="K20" s="58">
        <v>0.54105674332249287</v>
      </c>
    </row>
    <row r="21" spans="7:11" x14ac:dyDescent="0.25">
      <c r="G21">
        <v>14</v>
      </c>
      <c r="H21" s="57">
        <f t="shared" si="0"/>
        <v>76.833333333333329</v>
      </c>
      <c r="I21" s="50">
        <v>744.5606217784632</v>
      </c>
      <c r="J21" s="50">
        <v>12.437692597135685</v>
      </c>
      <c r="K21" s="58">
        <v>0.51585415924042133</v>
      </c>
    </row>
    <row r="22" spans="7:11" x14ac:dyDescent="0.25">
      <c r="G22">
        <v>15</v>
      </c>
      <c r="H22" s="57">
        <f t="shared" si="0"/>
        <v>82.666666666666657</v>
      </c>
      <c r="I22" s="50">
        <v>663.40061109123053</v>
      </c>
      <c r="J22" s="50">
        <v>12.818348550515113</v>
      </c>
      <c r="K22" s="58">
        <v>0.47927610167952894</v>
      </c>
    </row>
    <row r="23" spans="7:11" x14ac:dyDescent="0.25">
      <c r="G23">
        <v>16</v>
      </c>
      <c r="H23" s="57">
        <f t="shared" si="0"/>
        <v>88.499999999999986</v>
      </c>
      <c r="I23" s="50">
        <v>577.36985839334136</v>
      </c>
      <c r="J23" s="50">
        <v>13.227701209568421</v>
      </c>
      <c r="K23" s="58">
        <v>0.43242719048485301</v>
      </c>
    </row>
    <row r="24" spans="7:11" x14ac:dyDescent="0.25">
      <c r="G24">
        <v>17</v>
      </c>
      <c r="H24" s="57">
        <f t="shared" si="0"/>
        <v>94.333333333333314</v>
      </c>
      <c r="I24" s="50">
        <v>487.36517781279076</v>
      </c>
      <c r="J24" s="50">
        <v>13.661295172466161</v>
      </c>
      <c r="K24" s="58">
        <v>0.3764066084422365</v>
      </c>
    </row>
    <row r="25" spans="7:11" x14ac:dyDescent="0.25">
      <c r="G25">
        <v>18</v>
      </c>
      <c r="H25" s="57">
        <f t="shared" si="0"/>
        <v>100.16666666666664</v>
      </c>
      <c r="I25" s="50">
        <v>393.96423145279613</v>
      </c>
      <c r="J25" s="50">
        <v>14.11556878583027</v>
      </c>
      <c r="K25" s="58">
        <v>0.3122025737180032</v>
      </c>
    </row>
    <row r="26" spans="7:11" x14ac:dyDescent="0.25">
      <c r="G26">
        <v>19</v>
      </c>
      <c r="H26" s="57">
        <f t="shared" si="0"/>
        <v>105.99999999999997</v>
      </c>
      <c r="I26" s="50">
        <v>297.31053471691985</v>
      </c>
      <c r="J26" s="50">
        <v>14.588456080951415</v>
      </c>
      <c r="K26" s="58">
        <v>0.24058681229863366</v>
      </c>
    </row>
    <row r="27" spans="7:11" x14ac:dyDescent="0.25">
      <c r="G27">
        <v>20</v>
      </c>
      <c r="H27" s="57">
        <f t="shared" si="0"/>
        <v>111.8333333333333</v>
      </c>
      <c r="I27" s="50">
        <v>196.99846163419016</v>
      </c>
      <c r="J27" s="50">
        <v>15.079988710006425</v>
      </c>
      <c r="K27" s="58">
        <v>0.16200903043041937</v>
      </c>
    </row>
    <row r="28" spans="7:11" x14ac:dyDescent="0.25">
      <c r="G28">
        <v>21</v>
      </c>
      <c r="H28" s="57">
        <f t="shared" si="0"/>
        <v>117.66666666666663</v>
      </c>
      <c r="I28" s="50">
        <v>91.958250184236846</v>
      </c>
      <c r="J28" s="50">
        <v>15.592897882275597</v>
      </c>
      <c r="K28" s="58">
        <v>7.6491387059163696E-2</v>
      </c>
    </row>
    <row r="29" spans="7:11" x14ac:dyDescent="0.25">
      <c r="G29">
        <v>22</v>
      </c>
      <c r="H29" s="57">
        <f t="shared" si="0"/>
        <v>123.49999999999996</v>
      </c>
      <c r="I29" s="50">
        <v>0</v>
      </c>
      <c r="J29" s="50">
        <v>16.038267350690319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E43" sqref="E43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7.7</v>
      </c>
    </row>
    <row r="3" spans="1:4" x14ac:dyDescent="0.25">
      <c r="B3" t="s">
        <v>207</v>
      </c>
    </row>
    <row r="5" spans="1:4" x14ac:dyDescent="0.25">
      <c r="B5" t="s">
        <v>208</v>
      </c>
      <c r="C5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>
      <selection activeCell="AE23" sqref="AE23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7" x14ac:dyDescent="0.25">
      <c r="A1" t="str">
        <f>версия_</f>
        <v>вер 7.7</v>
      </c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</row>
    <row r="2" spans="1:37" x14ac:dyDescent="0.2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X2" s="63"/>
      <c r="Y2" s="63" t="s">
        <v>151</v>
      </c>
      <c r="Z2" s="63"/>
      <c r="AA2" s="63"/>
      <c r="AB2" s="63"/>
      <c r="AC2" s="63" t="s">
        <v>152</v>
      </c>
      <c r="AD2" s="63"/>
      <c r="AE2" s="63"/>
      <c r="AF2" s="63"/>
      <c r="AG2" s="63" t="s">
        <v>153</v>
      </c>
      <c r="AH2" s="63"/>
      <c r="AI2" s="63"/>
      <c r="AJ2" s="63"/>
      <c r="AK2" s="63"/>
    </row>
    <row r="3" spans="1:37" x14ac:dyDescent="0.25">
      <c r="X3" s="63">
        <v>1</v>
      </c>
      <c r="Y3" s="63" t="s">
        <v>143</v>
      </c>
      <c r="Z3" s="63"/>
      <c r="AA3" s="63"/>
      <c r="AB3" s="63">
        <v>2</v>
      </c>
      <c r="AC3" s="63" t="s">
        <v>145</v>
      </c>
      <c r="AD3" s="63"/>
      <c r="AE3" s="63"/>
      <c r="AF3" s="63"/>
      <c r="AG3" s="63">
        <v>1</v>
      </c>
      <c r="AH3" s="63" t="s">
        <v>160</v>
      </c>
      <c r="AI3" s="63"/>
      <c r="AJ3" s="63"/>
      <c r="AK3" s="63"/>
    </row>
    <row r="4" spans="1:37" x14ac:dyDescent="0.25">
      <c r="X4" s="63"/>
      <c r="Y4" s="63" t="s">
        <v>144</v>
      </c>
      <c r="Z4" s="63"/>
      <c r="AA4" s="63"/>
      <c r="AB4" s="63"/>
      <c r="AC4" s="63" t="s">
        <v>146</v>
      </c>
      <c r="AD4" s="63"/>
      <c r="AE4" s="63"/>
      <c r="AF4" s="63"/>
      <c r="AG4" s="63"/>
      <c r="AH4" s="63" t="s">
        <v>169</v>
      </c>
      <c r="AI4" s="63"/>
      <c r="AJ4" s="63"/>
      <c r="AK4" s="63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X5" s="63"/>
      <c r="Y5" s="63"/>
      <c r="Z5" s="63"/>
      <c r="AA5" s="63"/>
      <c r="AB5" s="63"/>
      <c r="AC5" s="63" t="s">
        <v>147</v>
      </c>
      <c r="AD5" s="63"/>
      <c r="AE5" s="63"/>
      <c r="AF5" s="63"/>
      <c r="AG5" s="63"/>
      <c r="AH5" s="63" t="s">
        <v>154</v>
      </c>
      <c r="AI5" s="63"/>
      <c r="AJ5" s="63"/>
      <c r="AK5" s="63"/>
    </row>
    <row r="6" spans="1:37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X6" s="63"/>
      <c r="Y6" s="63"/>
      <c r="Z6" s="63"/>
      <c r="AA6" s="63"/>
      <c r="AB6" s="63"/>
      <c r="AC6" s="63" t="s">
        <v>148</v>
      </c>
      <c r="AD6" s="63"/>
      <c r="AE6" s="63"/>
      <c r="AF6" s="63"/>
      <c r="AG6" s="63"/>
      <c r="AH6" s="63"/>
      <c r="AI6" s="63"/>
      <c r="AJ6" s="63"/>
      <c r="AK6" s="63"/>
    </row>
    <row r="7" spans="1:37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X7" s="63"/>
      <c r="Y7" s="63"/>
      <c r="Z7" s="63"/>
      <c r="AA7" s="63"/>
      <c r="AB7" s="63"/>
      <c r="AC7" s="63" t="s">
        <v>149</v>
      </c>
      <c r="AD7" s="63"/>
      <c r="AE7" s="63"/>
      <c r="AF7" s="63"/>
      <c r="AG7" s="63"/>
      <c r="AH7" s="63"/>
      <c r="AI7" s="63"/>
      <c r="AJ7" s="63"/>
      <c r="AK7" s="63"/>
    </row>
    <row r="8" spans="1:37" ht="18" x14ac:dyDescent="0.35">
      <c r="B8" s="7" t="s">
        <v>34</v>
      </c>
      <c r="C8" s="12" t="s">
        <v>63</v>
      </c>
      <c r="D8" s="5" t="s">
        <v>35</v>
      </c>
      <c r="Q8" s="14" t="s">
        <v>47</v>
      </c>
      <c r="R8" s="9">
        <v>90</v>
      </c>
      <c r="S8" s="5" t="s">
        <v>204</v>
      </c>
      <c r="X8" s="63"/>
      <c r="Y8" s="63"/>
      <c r="Z8" s="63"/>
      <c r="AA8" s="63"/>
      <c r="AB8" s="63"/>
      <c r="AC8" s="63" t="s">
        <v>150</v>
      </c>
      <c r="AD8" s="63"/>
      <c r="AE8" s="63"/>
      <c r="AF8" s="63"/>
      <c r="AG8" s="63"/>
      <c r="AH8" s="63"/>
      <c r="AI8" s="63"/>
      <c r="AJ8" s="63"/>
      <c r="AK8" s="63"/>
    </row>
    <row r="9" spans="1:37" ht="18" x14ac:dyDescent="0.35">
      <c r="B9" s="7" t="s">
        <v>18</v>
      </c>
      <c r="C9" s="9">
        <v>100</v>
      </c>
      <c r="D9" s="5" t="s">
        <v>17</v>
      </c>
      <c r="Q9" s="14" t="s">
        <v>197</v>
      </c>
      <c r="R9" s="9">
        <v>45</v>
      </c>
      <c r="S9" s="5" t="s">
        <v>204</v>
      </c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</row>
    <row r="11" spans="1:37" ht="18" x14ac:dyDescent="0.35">
      <c r="Q11" s="14" t="s">
        <v>205</v>
      </c>
      <c r="R11" s="25">
        <v>45</v>
      </c>
      <c r="S11" s="5" t="s">
        <v>204</v>
      </c>
      <c r="T11" s="14" t="s">
        <v>55</v>
      </c>
      <c r="U11" s="25">
        <v>30</v>
      </c>
      <c r="V11" s="5" t="s">
        <v>25</v>
      </c>
    </row>
    <row r="12" spans="1:37" ht="18" x14ac:dyDescent="0.35">
      <c r="Q12" s="14" t="s">
        <v>206</v>
      </c>
      <c r="R12" s="25">
        <v>45.073299407958984</v>
      </c>
      <c r="S12" s="5" t="s">
        <v>204</v>
      </c>
      <c r="T12" s="14" t="s">
        <v>56</v>
      </c>
      <c r="U12" s="25">
        <v>30</v>
      </c>
      <c r="V12" s="5" t="s">
        <v>25</v>
      </c>
    </row>
    <row r="13" spans="1:37" ht="18" x14ac:dyDescent="0.35">
      <c r="D13" s="1"/>
      <c r="Q13" s="14" t="s">
        <v>47</v>
      </c>
      <c r="R13" s="25">
        <v>160.03668578620261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R16">
        <v>0</v>
      </c>
      <c r="S16">
        <v>0.80316057558179288</v>
      </c>
      <c r="U16">
        <v>0</v>
      </c>
      <c r="V16" s="50">
        <f>Pline_out_atma_</f>
        <v>45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33.333333333333336</v>
      </c>
      <c r="N17">
        <v>194.44444444444446</v>
      </c>
      <c r="O17">
        <v>59.246860329131835</v>
      </c>
      <c r="P17">
        <v>194.44444444444446</v>
      </c>
      <c r="Q17">
        <v>33.333333333333336</v>
      </c>
      <c r="R17">
        <v>175</v>
      </c>
      <c r="S17">
        <v>0.88196132364168367</v>
      </c>
      <c r="U17">
        <v>0</v>
      </c>
      <c r="V17" s="50">
        <f>Pbuf_out_atma_</f>
        <v>45.073299407958984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36.666666666666671</v>
      </c>
      <c r="N18">
        <v>388.88888888888891</v>
      </c>
      <c r="O18">
        <v>74.232210767456252</v>
      </c>
      <c r="P18">
        <v>388.88888888888891</v>
      </c>
      <c r="Q18">
        <v>36.666666666666671</v>
      </c>
      <c r="R18">
        <v>350</v>
      </c>
      <c r="S18">
        <v>0.94504731122751795</v>
      </c>
      <c r="U18">
        <f>Hperf_m_</f>
        <v>3500</v>
      </c>
      <c r="V18" s="50">
        <f>Pwf_out_atma_</f>
        <v>160.03668578620261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40</v>
      </c>
      <c r="N19">
        <v>583.33333333333337</v>
      </c>
      <c r="O19">
        <v>89.67044938262157</v>
      </c>
      <c r="P19">
        <v>583.33333333333337</v>
      </c>
      <c r="Q19">
        <v>40</v>
      </c>
      <c r="R19">
        <v>525</v>
      </c>
      <c r="S19">
        <v>0.9903900672591337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43.333333333333336</v>
      </c>
      <c r="N20">
        <v>777.77777777777783</v>
      </c>
      <c r="O20">
        <v>105.22295283261492</v>
      </c>
      <c r="P20">
        <v>777.77777777777783</v>
      </c>
      <c r="Q20">
        <v>43.333333333333336</v>
      </c>
      <c r="R20">
        <v>700</v>
      </c>
      <c r="S20">
        <v>1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46.666666666666664</v>
      </c>
      <c r="N21">
        <v>972.22222222222229</v>
      </c>
      <c r="O21">
        <v>120.70237937904704</v>
      </c>
      <c r="P21">
        <v>972.22222222222229</v>
      </c>
      <c r="Q21">
        <v>46.666666666666664</v>
      </c>
      <c r="R21">
        <v>875</v>
      </c>
      <c r="S21">
        <v>1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50</v>
      </c>
      <c r="N22">
        <v>1166.6666666666667</v>
      </c>
      <c r="O22">
        <v>135.54498787690332</v>
      </c>
      <c r="P22">
        <v>1166.6666666666667</v>
      </c>
      <c r="Q22">
        <v>50</v>
      </c>
      <c r="R22">
        <v>1050</v>
      </c>
      <c r="S22">
        <v>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53.333333333333336</v>
      </c>
      <c r="N23">
        <v>1361.1111111111113</v>
      </c>
      <c r="O23">
        <v>149.79673972299454</v>
      </c>
      <c r="P23">
        <v>1361.1111111111113</v>
      </c>
      <c r="Q23">
        <v>53.333333333333336</v>
      </c>
      <c r="R23">
        <v>1225</v>
      </c>
      <c r="S23">
        <v>1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56.666666666666671</v>
      </c>
      <c r="N24">
        <v>1555.5555555555557</v>
      </c>
      <c r="O24">
        <v>163.42722466713471</v>
      </c>
      <c r="P24">
        <v>1555.5555555555557</v>
      </c>
      <c r="Q24">
        <v>56.666666666666671</v>
      </c>
      <c r="R24">
        <v>1400</v>
      </c>
      <c r="S24">
        <v>1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60</v>
      </c>
      <c r="N25">
        <v>1750</v>
      </c>
      <c r="O25">
        <v>176.43552651162508</v>
      </c>
      <c r="P25">
        <v>1750</v>
      </c>
      <c r="Q25">
        <v>60</v>
      </c>
      <c r="R25">
        <v>1575</v>
      </c>
      <c r="S25">
        <v>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63.333333333333336</v>
      </c>
      <c r="N26">
        <v>1944.4444444444446</v>
      </c>
      <c r="O26">
        <v>188.82153300329225</v>
      </c>
      <c r="P26">
        <v>1944.4444444444446</v>
      </c>
      <c r="Q26">
        <v>63.333333333333336</v>
      </c>
      <c r="R26">
        <v>1750</v>
      </c>
      <c r="S26">
        <v>1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66.666666666666671</v>
      </c>
      <c r="N27">
        <v>2138.8888888888891</v>
      </c>
      <c r="O27">
        <v>200.58579326561684</v>
      </c>
      <c r="P27">
        <v>2138.8888888888891</v>
      </c>
      <c r="Q27">
        <v>66.666666666666671</v>
      </c>
      <c r="R27">
        <v>1925</v>
      </c>
      <c r="S27">
        <v>1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70</v>
      </c>
      <c r="N28">
        <v>2333.3333333333335</v>
      </c>
      <c r="O28">
        <v>211.72935059069442</v>
      </c>
      <c r="P28">
        <v>2333.3333333333335</v>
      </c>
      <c r="Q28">
        <v>70</v>
      </c>
      <c r="R28">
        <v>2100</v>
      </c>
      <c r="S28">
        <v>1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72.857142857142861</v>
      </c>
      <c r="N29">
        <v>2500</v>
      </c>
      <c r="O29">
        <v>220.80468955826063</v>
      </c>
      <c r="P29">
        <v>2500</v>
      </c>
      <c r="Q29">
        <v>72.857142857142861</v>
      </c>
      <c r="R29">
        <v>2275</v>
      </c>
      <c r="S29">
        <v>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72.874285714285719</v>
      </c>
      <c r="N30">
        <v>2501</v>
      </c>
      <c r="O30">
        <v>142.28655369204679</v>
      </c>
      <c r="P30">
        <v>2501</v>
      </c>
      <c r="Q30">
        <v>72.874285714285719</v>
      </c>
      <c r="R30">
        <v>2450</v>
      </c>
      <c r="S30">
        <v>1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73.333333333333343</v>
      </c>
      <c r="N31">
        <v>2527.7777777777778</v>
      </c>
      <c r="O31">
        <v>143.66972871542228</v>
      </c>
      <c r="P31">
        <v>2527.7777777777778</v>
      </c>
      <c r="Q31">
        <v>73.333333333333343</v>
      </c>
      <c r="R31">
        <v>2625</v>
      </c>
      <c r="S31">
        <v>1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76.666666666666686</v>
      </c>
      <c r="N32">
        <v>2722.2222222222226</v>
      </c>
      <c r="O32">
        <v>153.0610248711493</v>
      </c>
      <c r="P32">
        <v>2722.2222222222226</v>
      </c>
      <c r="Q32">
        <v>76.666666666666686</v>
      </c>
      <c r="R32">
        <v>2800</v>
      </c>
      <c r="S32">
        <v>1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80.000000000000014</v>
      </c>
      <c r="N33">
        <v>2916.666666666667</v>
      </c>
      <c r="O33">
        <v>156.08958563658408</v>
      </c>
      <c r="P33">
        <v>2916.666666666667</v>
      </c>
      <c r="Q33">
        <v>80.000000000000014</v>
      </c>
      <c r="R33">
        <v>2975</v>
      </c>
      <c r="S33">
        <v>1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83.333333333333329</v>
      </c>
      <c r="N34">
        <v>3111.1111111111113</v>
      </c>
      <c r="O34">
        <v>157.40907246880903</v>
      </c>
      <c r="P34">
        <v>3111.1111111111113</v>
      </c>
      <c r="Q34">
        <v>83.333333333333329</v>
      </c>
      <c r="R34">
        <v>3150</v>
      </c>
      <c r="S34">
        <v>1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86.666666666666671</v>
      </c>
      <c r="N35">
        <v>3305.5555555555557</v>
      </c>
      <c r="O35">
        <v>158.72477248409859</v>
      </c>
      <c r="P35">
        <v>3305.5555555555557</v>
      </c>
      <c r="Q35">
        <v>86.666666666666671</v>
      </c>
      <c r="R35">
        <v>3325</v>
      </c>
      <c r="S35">
        <v>1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160.03668578620261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B38" s="2"/>
      <c r="C38" s="18">
        <v>2625</v>
      </c>
      <c r="D38" s="18">
        <v>186.511102757185</v>
      </c>
      <c r="E38" s="18">
        <v>54</v>
      </c>
    </row>
    <row r="39" spans="2:19" x14ac:dyDescent="0.25">
      <c r="B39" s="2"/>
      <c r="C39" s="18">
        <v>2750</v>
      </c>
      <c r="D39" s="18">
        <v>196.298712131494</v>
      </c>
      <c r="E39" s="18">
        <v>55</v>
      </c>
    </row>
    <row r="40" spans="2:19" x14ac:dyDescent="0.25">
      <c r="B40" s="2"/>
      <c r="C40" s="18">
        <v>2875</v>
      </c>
      <c r="D40" s="18">
        <v>206.08632150580399</v>
      </c>
      <c r="E40" s="18">
        <v>56</v>
      </c>
    </row>
    <row r="41" spans="2:19" x14ac:dyDescent="0.25">
      <c r="B41" s="2"/>
      <c r="C41" s="18">
        <v>3000</v>
      </c>
      <c r="D41" s="18">
        <v>215.87393088011299</v>
      </c>
      <c r="E41" s="18">
        <v>57</v>
      </c>
    </row>
    <row r="42" spans="2:19" x14ac:dyDescent="0.25">
      <c r="B42" s="2"/>
      <c r="C42" s="18">
        <v>3125</v>
      </c>
      <c r="D42" s="18">
        <v>225.66154025442199</v>
      </c>
      <c r="E42" s="18">
        <v>58</v>
      </c>
    </row>
    <row r="43" spans="2:19" x14ac:dyDescent="0.25">
      <c r="B43" s="2"/>
      <c r="C43" s="18">
        <v>3250</v>
      </c>
      <c r="D43" s="18">
        <v>235.44914962873099</v>
      </c>
      <c r="E43" s="18">
        <v>59</v>
      </c>
    </row>
    <row r="44" spans="2:19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AE9" sqref="AE9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7.7</v>
      </c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</row>
    <row r="2" spans="1:40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X2" s="63"/>
      <c r="Y2" s="63" t="s">
        <v>151</v>
      </c>
      <c r="Z2" s="63"/>
      <c r="AA2" s="63"/>
      <c r="AB2" s="63"/>
      <c r="AC2" s="63" t="s">
        <v>152</v>
      </c>
      <c r="AD2" s="63"/>
      <c r="AE2" s="63"/>
      <c r="AF2" s="63"/>
      <c r="AG2" s="63" t="s">
        <v>153</v>
      </c>
      <c r="AH2" s="63"/>
      <c r="AI2" s="63"/>
      <c r="AJ2" s="63"/>
      <c r="AK2" s="63"/>
      <c r="AL2" s="63"/>
      <c r="AM2" s="63"/>
      <c r="AN2" s="63"/>
    </row>
    <row r="3" spans="1:40" x14ac:dyDescent="0.25">
      <c r="X3" s="63">
        <v>1</v>
      </c>
      <c r="Y3" s="63" t="s">
        <v>143</v>
      </c>
      <c r="Z3" s="63"/>
      <c r="AA3" s="63"/>
      <c r="AB3" s="63">
        <v>1</v>
      </c>
      <c r="AC3" s="63" t="s">
        <v>145</v>
      </c>
      <c r="AD3" s="63"/>
      <c r="AE3" s="63"/>
      <c r="AF3" s="63"/>
      <c r="AG3" s="63">
        <v>2</v>
      </c>
      <c r="AH3" s="63" t="s">
        <v>160</v>
      </c>
      <c r="AI3" s="63"/>
      <c r="AJ3" s="63"/>
      <c r="AK3" s="63"/>
      <c r="AL3" s="63"/>
      <c r="AM3" s="63"/>
      <c r="AN3" s="63"/>
    </row>
    <row r="4" spans="1:40" x14ac:dyDescent="0.25">
      <c r="P4" s="17" t="s">
        <v>53</v>
      </c>
      <c r="Q4" s="2"/>
      <c r="R4" s="2"/>
      <c r="X4" s="63"/>
      <c r="Y4" s="63" t="s">
        <v>144</v>
      </c>
      <c r="Z4" s="63"/>
      <c r="AA4" s="63"/>
      <c r="AB4" s="63"/>
      <c r="AC4" s="63" t="s">
        <v>146</v>
      </c>
      <c r="AD4" s="63"/>
      <c r="AE4" s="63"/>
      <c r="AF4" s="63"/>
      <c r="AG4" s="63"/>
      <c r="AH4" s="63" t="s">
        <v>169</v>
      </c>
      <c r="AI4" s="63"/>
      <c r="AJ4" s="63"/>
      <c r="AK4" s="63"/>
      <c r="AL4" s="63"/>
      <c r="AM4" s="63"/>
      <c r="AN4" s="63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9" t="s">
        <v>45</v>
      </c>
      <c r="Q5" s="9">
        <v>50</v>
      </c>
      <c r="R5" s="5" t="s">
        <v>44</v>
      </c>
      <c r="X5" s="63"/>
      <c r="Y5" s="63"/>
      <c r="Z5" s="63"/>
      <c r="AA5" s="63"/>
      <c r="AB5" s="63"/>
      <c r="AC5" s="63" t="s">
        <v>147</v>
      </c>
      <c r="AD5" s="63"/>
      <c r="AE5" s="63"/>
      <c r="AF5" s="63"/>
      <c r="AG5" s="63"/>
      <c r="AH5" s="63" t="s">
        <v>154</v>
      </c>
      <c r="AI5" s="63"/>
      <c r="AJ5" s="63"/>
      <c r="AK5" s="63"/>
      <c r="AL5" s="63"/>
      <c r="AM5" s="63"/>
      <c r="AN5" s="63"/>
    </row>
    <row r="6" spans="1:40" ht="18" x14ac:dyDescent="0.35">
      <c r="B6" s="7" t="s">
        <v>32</v>
      </c>
      <c r="C6" s="9">
        <v>50</v>
      </c>
      <c r="D6" s="5" t="s">
        <v>33</v>
      </c>
      <c r="G6" s="59" t="s">
        <v>157</v>
      </c>
      <c r="H6" s="9">
        <v>1.1000000000000001</v>
      </c>
      <c r="I6" s="5"/>
      <c r="L6" s="59" t="s">
        <v>156</v>
      </c>
      <c r="M6" s="9">
        <v>90</v>
      </c>
      <c r="N6" s="5" t="s">
        <v>25</v>
      </c>
      <c r="P6" s="59" t="s">
        <v>46</v>
      </c>
      <c r="Q6" s="9">
        <v>50</v>
      </c>
      <c r="R6" s="5" t="s">
        <v>44</v>
      </c>
      <c r="X6" s="63"/>
      <c r="Y6" s="63"/>
      <c r="Z6" s="63"/>
      <c r="AA6" s="63"/>
      <c r="AB6" s="63"/>
      <c r="AC6" s="63" t="s">
        <v>148</v>
      </c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</row>
    <row r="7" spans="1:40" ht="18" x14ac:dyDescent="0.35">
      <c r="B7" s="5" t="s">
        <v>19</v>
      </c>
      <c r="C7" s="9">
        <v>0</v>
      </c>
      <c r="D7" s="5" t="s">
        <v>9</v>
      </c>
      <c r="G7" s="59" t="s">
        <v>158</v>
      </c>
      <c r="H7" s="9">
        <v>0.9</v>
      </c>
      <c r="I7" s="5"/>
      <c r="L7" s="59" t="s">
        <v>56</v>
      </c>
      <c r="M7" s="9">
        <v>60</v>
      </c>
      <c r="N7" s="5" t="s">
        <v>25</v>
      </c>
      <c r="P7" s="59" t="s">
        <v>47</v>
      </c>
      <c r="Q7" s="9">
        <v>180</v>
      </c>
      <c r="R7" s="5" t="s">
        <v>44</v>
      </c>
      <c r="X7" s="63"/>
      <c r="Y7" s="63"/>
      <c r="Z7" s="63"/>
      <c r="AA7" s="63"/>
      <c r="AB7" s="63"/>
      <c r="AC7" s="63" t="s">
        <v>149</v>
      </c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</row>
    <row r="8" spans="1:40" ht="18" x14ac:dyDescent="0.35">
      <c r="B8" s="7" t="s">
        <v>34</v>
      </c>
      <c r="C8" s="12" t="s">
        <v>63</v>
      </c>
      <c r="D8" s="5" t="s">
        <v>35</v>
      </c>
      <c r="P8" s="59" t="s">
        <v>197</v>
      </c>
      <c r="Q8" s="9">
        <v>150</v>
      </c>
      <c r="R8" s="5" t="s">
        <v>44</v>
      </c>
      <c r="X8" s="63"/>
      <c r="Y8" s="63"/>
      <c r="Z8" s="63"/>
      <c r="AA8" s="63"/>
      <c r="AB8" s="63"/>
      <c r="AC8" s="63" t="s">
        <v>150</v>
      </c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</row>
    <row r="10" spans="1:40" ht="18" x14ac:dyDescent="0.35">
      <c r="B10" s="7" t="s">
        <v>18</v>
      </c>
      <c r="C10" s="13">
        <f>Rp_m3m3_/[2]PVT!gamma_oil_</f>
        <v>125</v>
      </c>
      <c r="D10" s="5" t="s">
        <v>36</v>
      </c>
      <c r="P10" s="59" t="s">
        <v>45</v>
      </c>
      <c r="Q10" s="25">
        <v>50.010292088439833</v>
      </c>
      <c r="R10" s="5" t="s">
        <v>44</v>
      </c>
      <c r="S10" s="59" t="s">
        <v>55</v>
      </c>
      <c r="T10" s="25">
        <v>20.000000000000004</v>
      </c>
      <c r="U10" s="5" t="s">
        <v>25</v>
      </c>
      <c r="X10" s="63"/>
      <c r="Y10" s="63"/>
      <c r="Z10" s="63"/>
      <c r="AA10" s="63"/>
      <c r="AB10" s="63"/>
      <c r="AC10" s="63"/>
      <c r="AD10" s="63"/>
      <c r="AE10" s="63"/>
      <c r="AF10" s="63" t="str">
        <f>[1]!s(0.2563)</f>
        <v>000.26</v>
      </c>
      <c r="AG10" s="63"/>
      <c r="AH10" s="63"/>
      <c r="AI10" s="63"/>
      <c r="AJ10" s="63"/>
      <c r="AK10" s="63"/>
      <c r="AL10" s="63"/>
      <c r="AM10" s="63"/>
      <c r="AN10" s="63"/>
    </row>
    <row r="11" spans="1:40" ht="18" x14ac:dyDescent="0.35">
      <c r="B11" s="7" t="s">
        <v>212</v>
      </c>
      <c r="C11" s="9">
        <v>0</v>
      </c>
      <c r="P11" s="59" t="s">
        <v>46</v>
      </c>
      <c r="Q11" s="25">
        <v>50.010292088439833</v>
      </c>
      <c r="R11" s="5" t="s">
        <v>44</v>
      </c>
      <c r="S11" s="59" t="s">
        <v>56</v>
      </c>
      <c r="T11" s="25">
        <v>20.000000000000004</v>
      </c>
      <c r="U11" s="5" t="s">
        <v>25</v>
      </c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</row>
    <row r="12" spans="1:40" ht="18" x14ac:dyDescent="0.35">
      <c r="M12" t="s">
        <v>63</v>
      </c>
      <c r="P12" s="59" t="s">
        <v>47</v>
      </c>
      <c r="Q12" s="25">
        <v>230.72821252816129</v>
      </c>
      <c r="R12" s="5" t="s">
        <v>44</v>
      </c>
      <c r="S12" s="59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9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50.010292088439833</v>
      </c>
      <c r="P16">
        <v>0</v>
      </c>
      <c r="Q16">
        <v>20.000000000000004</v>
      </c>
      <c r="T16">
        <v>0</v>
      </c>
      <c r="U16">
        <v>0.9833573968458168</v>
      </c>
      <c r="W16">
        <v>0</v>
      </c>
      <c r="X16" s="50">
        <f>Pline_out_atma_</f>
        <v>50.010292088439833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63.94791187821167</v>
      </c>
      <c r="P17">
        <v>184.21052631578948</v>
      </c>
      <c r="Q17">
        <v>25.526315789473689</v>
      </c>
      <c r="T17">
        <v>175</v>
      </c>
      <c r="U17">
        <v>0.98878683672859569</v>
      </c>
      <c r="W17">
        <v>0</v>
      </c>
      <c r="X17" s="50">
        <f>Pbuf_out_atma_</f>
        <v>50.010292088439833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77.747148126448423</v>
      </c>
      <c r="P18">
        <v>368.42105263157896</v>
      </c>
      <c r="Q18">
        <v>31.05263157894737</v>
      </c>
      <c r="T18">
        <v>350</v>
      </c>
      <c r="U18">
        <v>0.99679948131597573</v>
      </c>
      <c r="W18">
        <f>Hperf_m_</f>
        <v>3500</v>
      </c>
      <c r="X18" s="50">
        <f>Pwf_out_atma_</f>
        <v>230.72821252816129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91.47569268959181</v>
      </c>
      <c r="P19">
        <v>552.63157894736844</v>
      </c>
      <c r="Q19">
        <v>36.578947368421055</v>
      </c>
      <c r="T19">
        <v>525</v>
      </c>
      <c r="U19">
        <v>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105.16840268766761</v>
      </c>
      <c r="P20">
        <v>736.84210526315792</v>
      </c>
      <c r="Q20">
        <v>42.10526315789474</v>
      </c>
      <c r="T20">
        <v>700</v>
      </c>
      <c r="U20">
        <v>1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118.80022909242395</v>
      </c>
      <c r="P21">
        <v>921.0526315789474</v>
      </c>
      <c r="Q21">
        <v>47.631578947368425</v>
      </c>
      <c r="T21">
        <v>875</v>
      </c>
      <c r="U21">
        <v>1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131.97714850378225</v>
      </c>
      <c r="P22">
        <v>1105.2631578947369</v>
      </c>
      <c r="Q22">
        <v>53.03</v>
      </c>
      <c r="T22">
        <v>1050</v>
      </c>
      <c r="U22">
        <v>1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144.59961193221298</v>
      </c>
      <c r="P23">
        <v>1289.4736842105262</v>
      </c>
      <c r="Q23">
        <v>58.226315789473688</v>
      </c>
      <c r="T23">
        <v>1225</v>
      </c>
      <c r="U23">
        <v>1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156.67776450025457</v>
      </c>
      <c r="P24">
        <v>1473.6842105263158</v>
      </c>
      <c r="Q24">
        <v>63.217368421052633</v>
      </c>
      <c r="T24">
        <v>1400</v>
      </c>
      <c r="U24">
        <v>1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168.22449196454858</v>
      </c>
      <c r="P25">
        <v>1657.8947368421054</v>
      </c>
      <c r="Q25">
        <v>68.006315789473689</v>
      </c>
      <c r="T25">
        <v>1575</v>
      </c>
      <c r="U25">
        <v>1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179.24401569234212</v>
      </c>
      <c r="P26">
        <v>1842.1052631578948</v>
      </c>
      <c r="Q26">
        <v>72.593157894736848</v>
      </c>
      <c r="T26">
        <v>1750</v>
      </c>
      <c r="U26">
        <v>1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189.7404802389386</v>
      </c>
      <c r="P27">
        <v>2026.3157894736842</v>
      </c>
      <c r="Q27">
        <v>76.977894736842103</v>
      </c>
      <c r="T27">
        <v>1925</v>
      </c>
      <c r="U27">
        <v>1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199.71794898009148</v>
      </c>
      <c r="P28">
        <v>2210.5263157894738</v>
      </c>
      <c r="Q28">
        <v>81.160526315789483</v>
      </c>
      <c r="T28">
        <v>2100</v>
      </c>
      <c r="U28">
        <v>1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209.17239872226051</v>
      </c>
      <c r="P29">
        <v>2394.7368421052633</v>
      </c>
      <c r="Q29">
        <v>85.137894736842114</v>
      </c>
      <c r="T29">
        <v>2275</v>
      </c>
      <c r="U29">
        <v>1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214.34541483674664</v>
      </c>
      <c r="P30">
        <v>2500</v>
      </c>
      <c r="Q30">
        <v>87.32</v>
      </c>
      <c r="T30">
        <v>2450</v>
      </c>
      <c r="U30">
        <v>1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218.09746985028221</v>
      </c>
      <c r="P31">
        <v>2578.9473684210525</v>
      </c>
      <c r="Q31">
        <v>88.906842105263152</v>
      </c>
      <c r="T31">
        <v>2625</v>
      </c>
      <c r="U31">
        <v>1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225.37620376055699</v>
      </c>
      <c r="P32">
        <v>2763.1578947368421</v>
      </c>
      <c r="Q32">
        <v>92.473684210526315</v>
      </c>
      <c r="T32">
        <v>2800</v>
      </c>
      <c r="U32">
        <v>1</v>
      </c>
    </row>
    <row r="33" spans="2:21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227.27525777068126</v>
      </c>
      <c r="P33">
        <v>2947.3684210526317</v>
      </c>
      <c r="Q33">
        <v>93.555263157894743</v>
      </c>
      <c r="T33">
        <v>2975</v>
      </c>
      <c r="U33">
        <v>1</v>
      </c>
    </row>
    <row r="34" spans="2:21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228.42663162041362</v>
      </c>
      <c r="P34">
        <v>3131.5789473684213</v>
      </c>
      <c r="Q34">
        <v>94.036842105263162</v>
      </c>
      <c r="T34">
        <v>3150</v>
      </c>
      <c r="U34">
        <v>1</v>
      </c>
    </row>
    <row r="35" spans="2:21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229.57761661460526</v>
      </c>
      <c r="P35">
        <v>3315.7894736842109</v>
      </c>
      <c r="Q35">
        <v>94.518421052631581</v>
      </c>
      <c r="T35">
        <v>3325</v>
      </c>
      <c r="U35">
        <v>1</v>
      </c>
    </row>
    <row r="36" spans="2:21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230.72821252816129</v>
      </c>
      <c r="P36">
        <v>3500</v>
      </c>
      <c r="Q36">
        <v>95</v>
      </c>
      <c r="T36">
        <v>3500</v>
      </c>
      <c r="U36">
        <v>1</v>
      </c>
    </row>
    <row r="37" spans="2:21" x14ac:dyDescent="0.25">
      <c r="B37" s="2"/>
      <c r="C37" s="18">
        <v>2500</v>
      </c>
      <c r="D37" s="18">
        <v>176.72349338287597</v>
      </c>
      <c r="E37" s="18">
        <v>53</v>
      </c>
    </row>
    <row r="38" spans="2:21" x14ac:dyDescent="0.25">
      <c r="B38" s="2"/>
      <c r="C38" s="18">
        <v>2625</v>
      </c>
      <c r="D38" s="18">
        <v>186.511102757185</v>
      </c>
      <c r="E38" s="18">
        <v>54</v>
      </c>
    </row>
    <row r="39" spans="2:21" x14ac:dyDescent="0.25">
      <c r="B39" s="2"/>
      <c r="C39" s="18">
        <v>2750</v>
      </c>
      <c r="D39" s="18">
        <v>196.298712131494</v>
      </c>
      <c r="E39" s="18">
        <v>55</v>
      </c>
    </row>
    <row r="40" spans="2:21" x14ac:dyDescent="0.25">
      <c r="B40" s="2"/>
      <c r="C40" s="18">
        <v>2875</v>
      </c>
      <c r="D40" s="18">
        <v>206.08632150580399</v>
      </c>
      <c r="E40" s="18">
        <v>56</v>
      </c>
    </row>
    <row r="41" spans="2:21" x14ac:dyDescent="0.25">
      <c r="B41" s="2"/>
      <c r="C41" s="18">
        <v>3000</v>
      </c>
      <c r="D41" s="18">
        <v>215.87393088011299</v>
      </c>
      <c r="E41" s="18">
        <v>57</v>
      </c>
    </row>
    <row r="42" spans="2:21" x14ac:dyDescent="0.25">
      <c r="B42" s="2"/>
      <c r="C42" s="18">
        <v>3125</v>
      </c>
      <c r="D42" s="18">
        <v>225.66154025442199</v>
      </c>
      <c r="E42" s="18">
        <v>58</v>
      </c>
    </row>
    <row r="43" spans="2:21" x14ac:dyDescent="0.25">
      <c r="B43" s="2"/>
      <c r="C43" s="18">
        <v>3250</v>
      </c>
      <c r="D43" s="18">
        <v>235.44914962873099</v>
      </c>
      <c r="E43" s="18">
        <v>59</v>
      </c>
    </row>
    <row r="44" spans="2:21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2]!Button_calc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2]!Button_calc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tabSelected="1" zoomScale="60" zoomScaleNormal="60" workbookViewId="0">
      <selection activeCell="AL38" sqref="AL38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7.7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9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9" t="s">
        <v>157</v>
      </c>
      <c r="H6" s="9">
        <v>1.1000000000000001</v>
      </c>
      <c r="I6" s="5"/>
      <c r="L6" s="59" t="s">
        <v>156</v>
      </c>
      <c r="M6" s="9">
        <v>90</v>
      </c>
      <c r="N6" s="5" t="s">
        <v>25</v>
      </c>
      <c r="P6" s="59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9" t="s">
        <v>158</v>
      </c>
      <c r="H7" s="9">
        <v>0.9</v>
      </c>
      <c r="I7" s="5"/>
      <c r="L7" s="59" t="s">
        <v>56</v>
      </c>
      <c r="M7" s="9">
        <v>60</v>
      </c>
      <c r="N7" s="5" t="s">
        <v>25</v>
      </c>
      <c r="P7" s="59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Rp_m3m3_/[3]PVT!gamma_oil_</f>
        <v>116.27906976744187</v>
      </c>
      <c r="D10" s="5" t="s">
        <v>36</v>
      </c>
      <c r="P10" s="59" t="s">
        <v>45</v>
      </c>
      <c r="Q10" s="25">
        <v>9.9830058422543733</v>
      </c>
      <c r="R10" s="5" t="s">
        <v>44</v>
      </c>
      <c r="S10" s="59" t="s">
        <v>55</v>
      </c>
      <c r="T10" s="25">
        <v>22.952221759788021</v>
      </c>
      <c r="U10" s="5" t="s">
        <v>25</v>
      </c>
    </row>
    <row r="11" spans="1:34" ht="18" x14ac:dyDescent="0.35">
      <c r="P11" s="59" t="s">
        <v>46</v>
      </c>
      <c r="Q11" s="25">
        <v>10.349377861269023</v>
      </c>
      <c r="R11" s="5" t="s">
        <v>44</v>
      </c>
      <c r="S11" s="59" t="s">
        <v>56</v>
      </c>
      <c r="T11" s="25">
        <v>22.952221759788021</v>
      </c>
      <c r="U11" s="5" t="s">
        <v>25</v>
      </c>
    </row>
    <row r="12" spans="1:34" ht="18" x14ac:dyDescent="0.35">
      <c r="M12" t="s">
        <v>63</v>
      </c>
      <c r="P12" s="59" t="s">
        <v>47</v>
      </c>
      <c r="Q12" s="25">
        <v>124.71219897034381</v>
      </c>
      <c r="R12" s="5" t="s">
        <v>44</v>
      </c>
      <c r="S12" s="59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10.349377861269023</v>
      </c>
      <c r="P16">
        <v>0</v>
      </c>
      <c r="Q16">
        <v>22.952221759788021</v>
      </c>
      <c r="R16">
        <v>0</v>
      </c>
      <c r="S16">
        <v>0.17403064076706484</v>
      </c>
      <c r="U16">
        <v>0</v>
      </c>
      <c r="V16" s="50">
        <f>Pline_out_atma_</f>
        <v>9.9830058422543733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13.741344410687804</v>
      </c>
      <c r="P17">
        <v>184.21052631578948</v>
      </c>
      <c r="Q17">
        <v>28.465682773611565</v>
      </c>
      <c r="R17">
        <v>175</v>
      </c>
      <c r="S17">
        <v>0.2083129036658482</v>
      </c>
      <c r="U17">
        <v>0</v>
      </c>
      <c r="V17" s="50">
        <f>Pbuf_out_atma_</f>
        <v>10.349377861269023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17.771282354219174</v>
      </c>
      <c r="P18">
        <v>368.42105263157896</v>
      </c>
      <c r="Q18">
        <v>33.976620862457843</v>
      </c>
      <c r="R18">
        <v>350</v>
      </c>
      <c r="S18">
        <v>0.24682054065100995</v>
      </c>
      <c r="U18">
        <f>Hperf_m_</f>
        <v>3500</v>
      </c>
      <c r="V18" s="50">
        <f>Pwf_out_atma_</f>
        <v>124.71219897034381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22.427998386371215</v>
      </c>
      <c r="P19">
        <v>552.63157894736844</v>
      </c>
      <c r="Q19">
        <v>39.485099606880745</v>
      </c>
      <c r="R19">
        <v>525</v>
      </c>
      <c r="S19">
        <v>0.27482928381080884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27.697497460727806</v>
      </c>
      <c r="P20">
        <v>736.84210526315792</v>
      </c>
      <c r="Q20">
        <v>44.981372128821143</v>
      </c>
      <c r="R20">
        <v>700</v>
      </c>
      <c r="S20">
        <v>0.32206457402940963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33.790554674442554</v>
      </c>
      <c r="P21">
        <v>921.0526315789474</v>
      </c>
      <c r="Q21">
        <v>50.425576958380844</v>
      </c>
      <c r="R21">
        <v>875</v>
      </c>
      <c r="S21">
        <v>0.37600657258778497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40.571098261925016</v>
      </c>
      <c r="P22">
        <v>1105.2631578947369</v>
      </c>
      <c r="Q22">
        <v>55.682239319132059</v>
      </c>
      <c r="R22">
        <v>1050</v>
      </c>
      <c r="S22">
        <v>0.43545583220692841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47.995271781745878</v>
      </c>
      <c r="P23">
        <v>1289.4736842105262</v>
      </c>
      <c r="Q23">
        <v>60.742113926725722</v>
      </c>
      <c r="R23">
        <v>1225</v>
      </c>
      <c r="S23">
        <v>0.49914015415189178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56.000893863488322</v>
      </c>
      <c r="P24">
        <v>1473.6842105263158</v>
      </c>
      <c r="Q24">
        <v>65.596356446810319</v>
      </c>
      <c r="R24">
        <v>1400</v>
      </c>
      <c r="S24">
        <v>0.56692436629084675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64.512336152903885</v>
      </c>
      <c r="P25">
        <v>1657.8947368421054</v>
      </c>
      <c r="Q25">
        <v>70.249042695695806</v>
      </c>
      <c r="R25">
        <v>1575</v>
      </c>
      <c r="S25">
        <v>0.6382521187315251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73.448355689093802</v>
      </c>
      <c r="P26">
        <v>1842.1052631578948</v>
      </c>
      <c r="Q26">
        <v>74.70109360950714</v>
      </c>
      <c r="R26">
        <v>1750</v>
      </c>
      <c r="S26">
        <v>0.71192457606532189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82.715600340070239</v>
      </c>
      <c r="P27">
        <v>2026.3157894736842</v>
      </c>
      <c r="Q27">
        <v>78.953355175869959</v>
      </c>
      <c r="R27">
        <v>1925</v>
      </c>
      <c r="S27">
        <v>0.78699220961971617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92.212705554344296</v>
      </c>
      <c r="P28">
        <v>2210.5263157894738</v>
      </c>
      <c r="Q28">
        <v>83.006436483629727</v>
      </c>
      <c r="R28">
        <v>2100</v>
      </c>
      <c r="S28">
        <v>0.86247350204822038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101.83496216008898</v>
      </c>
      <c r="P29">
        <v>2394.7368421052633</v>
      </c>
      <c r="Q29">
        <v>86.856811319572145</v>
      </c>
      <c r="R29">
        <v>2275</v>
      </c>
      <c r="S29">
        <v>0.937278125268451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107.30225789229945</v>
      </c>
      <c r="P30">
        <v>2500</v>
      </c>
      <c r="Q30">
        <v>88.957283174406001</v>
      </c>
      <c r="R30">
        <v>2450</v>
      </c>
      <c r="S30">
        <v>0.99453771784586542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111.27968001123517</v>
      </c>
      <c r="P31">
        <v>2578.9473684210525</v>
      </c>
      <c r="Q31">
        <v>90.435947919819242</v>
      </c>
      <c r="R31">
        <v>2625</v>
      </c>
      <c r="S31">
        <v>0.99918264911496246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119.00656146614175</v>
      </c>
      <c r="P32">
        <v>2763.1578947368421</v>
      </c>
      <c r="Q32">
        <v>93.044460899835343</v>
      </c>
      <c r="R32">
        <v>2800</v>
      </c>
      <c r="S32">
        <v>0.99918172936188776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121.02775510526814</v>
      </c>
      <c r="P33">
        <v>2947.3684210526317</v>
      </c>
      <c r="Q33">
        <v>93.766308521294192</v>
      </c>
      <c r="R33">
        <v>2975</v>
      </c>
      <c r="S33">
        <v>0.99918155847006418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122.2551137557146</v>
      </c>
      <c r="P34">
        <v>3131.5789473684213</v>
      </c>
      <c r="Q34">
        <v>94.173682334516769</v>
      </c>
      <c r="R34">
        <v>3150</v>
      </c>
      <c r="S34">
        <v>0.99918139040342047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123.4825957789155</v>
      </c>
      <c r="P35">
        <v>3315.7894736842109</v>
      </c>
      <c r="Q35">
        <v>94.053719754781142</v>
      </c>
      <c r="R35">
        <v>3325</v>
      </c>
      <c r="S35">
        <v>0.99918124786254015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124.71219897034381</v>
      </c>
      <c r="P36">
        <v>3500</v>
      </c>
      <c r="Q36">
        <v>90</v>
      </c>
      <c r="R36">
        <v>3500</v>
      </c>
      <c r="S36">
        <v>0.99918126838063415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223</vt:i4>
      </vt:variant>
    </vt:vector>
  </HeadingPairs>
  <TitlesOfParts>
    <vt:vector size="231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GasLift'!correlation_MF_fontan_</vt:lpstr>
      <vt:lpstr>'Calc Self Flow'!correlation_MF_fontan_</vt:lpstr>
      <vt:lpstr>correlation_MF_fontan_</vt:lpstr>
      <vt:lpstr>'Calc GasLift'!correlation_PVT_fontan_</vt:lpstr>
      <vt:lpstr>'Calc Self Flow'!correlation_PVT_fontan_</vt:lpstr>
      <vt:lpstr>correlation_PVT_fontan_</vt:lpstr>
      <vt:lpstr>'Calc GasLift'!correlation_T_fontan_</vt:lpstr>
      <vt:lpstr>'Calc Self Flow'!correlation_T_fontan_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Pwf_out_atma_</vt:lpstr>
      <vt:lpstr>ESP!Q_ESP_</vt:lpstr>
      <vt:lpstr>Qg_scm3day_</vt:lpstr>
      <vt:lpstr>'Calc ESP'!Ql_scm3day_</vt:lpstr>
      <vt:lpstr>'Calc GasLift'!Ql_scm3day_</vt:lpstr>
      <vt:lpstr>'Calc Self Flow'!Ql_scm3day_</vt:lpstr>
      <vt:lpstr>PVT!Ql_scm3day_</vt:lpstr>
      <vt:lpstr>PVT!Qo_sctday_</vt:lpstr>
      <vt:lpstr>rhoo_list1_</vt:lpstr>
      <vt:lpstr>rhoo_list2_</vt:lpstr>
      <vt:lpstr>rhoo_list3_</vt:lpstr>
      <vt:lpstr>'Calc ESP'!Rp_m3m3_</vt:lpstr>
      <vt:lpstr>'Calc GasLift'!Rp_m3m3_</vt:lpstr>
      <vt:lpstr>'Calc Self Flow'!Rp_m3m3_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'Calc Self Flow'!Twh_C_</vt:lpstr>
      <vt:lpstr>Twh_C_</vt:lpstr>
      <vt:lpstr>U_V_</vt:lpstr>
      <vt:lpstr>udl_out_m_</vt:lpstr>
      <vt:lpstr>'Calc ESP'!wc_perc_</vt:lpstr>
      <vt:lpstr>'Calc GasLift'!wc_perc_</vt:lpstr>
      <vt:lpstr>'Calc Self Flow'!wc_perc_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2019-05-28T07:51:51Z</dcterms:modified>
</cp:coreProperties>
</file>