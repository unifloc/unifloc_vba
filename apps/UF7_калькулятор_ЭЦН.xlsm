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AFEAC934-E73B-48A2-B9DC-4647BBF29C3F}" xr6:coauthVersionLast="41" xr6:coauthVersionMax="41" xr10:uidLastSave="{00000000-0000-0000-0000-000000000000}"/>
  <bookViews>
    <workbookView xWindow="-21495" yWindow="4215" windowWidth="21420" windowHeight="19530" tabRatio="529" activeTab="4" xr2:uid="{00000000-000D-0000-FFFF-FFFF00000000}"/>
  </bookViews>
  <sheets>
    <sheet name="Унифлок" sheetId="6" r:id="rId1"/>
    <sheet name="PVT" sheetId="4" r:id="rId2"/>
    <sheet name="Конструкция" sheetId="3" r:id="rId3"/>
    <sheet name="УЭЦН" sheetId="7" r:id="rId4"/>
    <sheet name="Расчет" sheetId="2" r:id="rId5"/>
  </sheets>
  <externalReferences>
    <externalReference r:id="rId6"/>
  </externalReferences>
  <definedNames>
    <definedName name="betta_fric_">Расчет!$H$7</definedName>
    <definedName name="betta_grav_">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Расчет!$J$2</definedName>
    <definedName name="correlation_PVT_fontan_">Расчет!$E$2</definedName>
    <definedName name="correlation_T_fontan_">Расчет!$O$2</definedName>
    <definedName name="dcas_arr_mm_">Конструкция!$I$19:$I$38</definedName>
    <definedName name="dcas_mm_">Конструкция!$C$11</definedName>
    <definedName name="dcas_out_mm_">Конструкция!$V$18:$V$38</definedName>
    <definedName name="dchoke_mm_">Конструкция!$C$13</definedName>
    <definedName name="dtub_arr_mm_">Конструкция!$K$19:$K$38</definedName>
    <definedName name="dtub_mm_">Конструкция!$C$12</definedName>
    <definedName name="dtub_out_mm_">Конструкция!$X$18:$X$38</definedName>
    <definedName name="ESP_eff_list_">УЭЦН!$K$8:$K$29</definedName>
    <definedName name="ESP_freq_">УЭЦН!$C$6</definedName>
    <definedName name="ESP_head_list_">УЭЦН!$I$8:$I$29</definedName>
    <definedName name="ESP_head_nom_">УЭЦН!$C$5</definedName>
    <definedName name="ESP_ID_">УЭЦН!$C$7</definedName>
    <definedName name="ESP_name_">УЭЦН!$C$8</definedName>
    <definedName name="ESP_power_list_">УЭЦН!$J$8:$J$29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Расчет!$S$16:$S$36</definedName>
    <definedName name="Hlout_hmes_m_">Расчет!$R$16:$R$36</definedName>
    <definedName name="hmes_dcas_m_">Конструкция!$H$19:$H$38</definedName>
    <definedName name="hmes_dcas_out_m_">Конструкция!$U$18:$U$38</definedName>
    <definedName name="hmes_dtub_m_">Конструкция!$J$19:$J$38</definedName>
    <definedName name="hmes_dtub_out_m_">Конструкция!$W$18:$W$38</definedName>
    <definedName name="hmes_incl_m_">Конструкция!$B$19:$B$176</definedName>
    <definedName name="hmes_incl_out_m_">Конструкция!$P$18:$P$38</definedName>
    <definedName name="Hmes_mes_m_">Расчет!$C$17:$C$352</definedName>
    <definedName name="hmes_out_">Расчет!$H$16:$H$36</definedName>
    <definedName name="hmes_tamb_m_">Конструкция!$E$19:$E$38</definedName>
    <definedName name="hmes_tamb_out_m_" localSheetId="4">Расчет!$K$16:$K$36</definedName>
    <definedName name="hmes_tamb_out_m_">Конструкция!$S$18:$S$38</definedName>
    <definedName name="Hout_">Расчет!$N$17:$N$36</definedName>
    <definedName name="Hperf_m_">Конструкция!$C$9</definedName>
    <definedName name="Hpump_">УЭЦН!$C$16</definedName>
    <definedName name="Htub_m_">Конструкция!$C$10</definedName>
    <definedName name="hvert_incl_m_">Конструкция!$C$19:$C$176</definedName>
    <definedName name="hvert_incl_out_m_">Конструкция!$Q$18:$Q$38</definedName>
    <definedName name="hvert_tamb_out_m_" localSheetId="4">Расчет!$L$16:$L$36</definedName>
    <definedName name="HydrCorr_">Расчет!$AA$6</definedName>
    <definedName name="HydrCorr_selector_">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Расчет!$D$17:$D$352</definedName>
    <definedName name="Pb_atma_" localSheetId="1">PVT!$G$15</definedName>
    <definedName name="Pb_diff_">PVT!$W$33</definedName>
    <definedName name="Pbuf_atma_">Расчет!$Q$6</definedName>
    <definedName name="Pbuf_out_atma_">Расчет!$Q$11</definedName>
    <definedName name="Pcas_atma_">Расчет!$Q$8</definedName>
    <definedName name="Pcas_hmes_">Расчет!$W$16:$W$36</definedName>
    <definedName name="Pcas_out_atma_">Расчет!$X$16:$X$36</definedName>
    <definedName name="Plin_mes_atma_">Расчет!$D$16</definedName>
    <definedName name="Pline_atma_">Расчет!$Q$5</definedName>
    <definedName name="Pline_out_atma_">Расчет!$Q$10</definedName>
    <definedName name="pmes_out_">Расчет!$I$16:$I$36</definedName>
    <definedName name="Pout_">Расчет!$O$17:$O$36</definedName>
    <definedName name="Pout_atma_">Расчет!$O$16:$O$36</definedName>
    <definedName name="Pout_hmes_m_">Расчет!$N$16:$N$36</definedName>
    <definedName name="Power_Motor_nom_">УЭЦН!$C$14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Расчет!$X$3</definedName>
    <definedName name="Pwf_atma_">Расчет!$Q$7</definedName>
    <definedName name="Pwf_out_atma_">Расчет!$Q$12</definedName>
    <definedName name="Q_ESP_" localSheetId="3">УЭЦН!$C$32</definedName>
    <definedName name="Ql_scm3day_" localSheetId="1">PVT!$K$8</definedName>
    <definedName name="Ql_scm3day_" localSheetId="4">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Расчет!$E$17:$E$352</definedName>
    <definedName name="tamb_C_">Конструкция!$F$19:$F$38</definedName>
    <definedName name="tamb_out_C_" localSheetId="4">Расчет!$M$16:$M$36</definedName>
    <definedName name="tamb_out_C_">Конструкция!$T$18:$T$38</definedName>
    <definedName name="Tbh_c_">Расчет!$M$6</definedName>
    <definedName name="Tbuf_out_C_">Расчет!$T$11</definedName>
    <definedName name="Tlin_mes_C_">Расчет!$E$16</definedName>
    <definedName name="Tline_out_C_">Расчет!$T$10</definedName>
    <definedName name="tmes_out_">Расчет!$J$16:$J$36</definedName>
    <definedName name="Tout_C_">Расчет!$Q$16:$Q$36</definedName>
    <definedName name="Tout_hmes_m_">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Расчет!$T$12</definedName>
    <definedName name="Twh_C_">Расчет!$M$7</definedName>
    <definedName name="U_V_">УЭЦН!$C$13</definedName>
    <definedName name="udl_out_m_">Конструкция!$R$18:$R$38</definedName>
    <definedName name="wc_perc_" localSheetId="1">PVT!$K$9</definedName>
    <definedName name="wc_perc_" localSheetId="4">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7" l="1"/>
  <c r="C16" i="7"/>
  <c r="A1" i="7"/>
  <c r="C7" i="7"/>
  <c r="C8" i="7"/>
  <c r="C10" i="7"/>
  <c r="K11" i="4" l="1"/>
  <c r="K9" i="4"/>
  <c r="K8" i="4"/>
  <c r="C37" i="4"/>
  <c r="E35" i="4"/>
  <c r="T33" i="4"/>
  <c r="C33" i="4"/>
  <c r="I33" i="4"/>
  <c r="C45" i="4"/>
  <c r="E33" i="4"/>
  <c r="C49" i="4"/>
  <c r="C43" i="4"/>
  <c r="M37" i="4"/>
  <c r="C32" i="4"/>
  <c r="C9" i="7"/>
  <c r="G23" i="4"/>
  <c r="E32" i="4"/>
  <c r="M32" i="4"/>
  <c r="I32" i="4"/>
  <c r="E36" i="4"/>
  <c r="I34" i="4"/>
  <c r="M36" i="4"/>
  <c r="I37" i="4"/>
  <c r="C36" i="4"/>
  <c r="M40" i="4"/>
  <c r="C23" i="4"/>
  <c r="M34" i="4"/>
  <c r="I35" i="4"/>
  <c r="T35" i="4"/>
  <c r="C35" i="4"/>
  <c r="C44" i="4"/>
  <c r="E37" i="4"/>
  <c r="I36" i="4"/>
  <c r="V33" i="4"/>
  <c r="E34" i="4"/>
  <c r="C34" i="4"/>
  <c r="M33" i="4"/>
  <c r="C40" i="4"/>
  <c r="M35" i="4"/>
  <c r="C28" i="4"/>
  <c r="V35" i="4"/>
  <c r="C26" i="4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2" s="1"/>
  <c r="AA36" i="4"/>
  <c r="AA35" i="4"/>
  <c r="AB36" i="4"/>
  <c r="AB35" i="4"/>
  <c r="W38" i="4"/>
  <c r="W37" i="4"/>
  <c r="T36" i="4"/>
  <c r="T34" i="4"/>
  <c r="C27" i="4"/>
  <c r="V36" i="4"/>
  <c r="V34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<sst xmlns="http://schemas.openxmlformats.org/spreadsheetml/2006/main" count="298" uniqueCount="204">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</sst>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Конструкция!$R$18:$R$38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Конструкция!$Q$18:$Q$38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Конструкция!$T$18:$T$38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Конструкция!$S$18:$S$38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Конструкция!$V$18:$V$38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Конструкция!$U$18:$U$38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Конструкция!$X$18:$X$38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Конструкция!$W$18:$W$38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Расчет!$S$16:$S$36</c:f>
              <c:numCache>
                <c:formatCode>General</c:formatCode>
                <c:ptCount val="21"/>
                <c:pt idx="0">
                  <c:v>0.89978114976169821</c:v>
                </c:pt>
                <c:pt idx="1">
                  <c:v>0.96823015979105886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0.87214846644894273</c:v>
                </c:pt>
                <c:pt idx="16">
                  <c:v>0.92042361825719499</c:v>
                </c:pt>
                <c:pt idx="17">
                  <c:v>0.9288324471034527</c:v>
                </c:pt>
                <c:pt idx="18">
                  <c:v>0.93709871064495354</c:v>
                </c:pt>
                <c:pt idx="19">
                  <c:v>0.94553820145127798</c:v>
                </c:pt>
                <c:pt idx="20">
                  <c:v>0.95511992443142324</c:v>
                </c:pt>
              </c:numCache>
            </c:numRef>
          </c:xVal>
          <c:yVal>
            <c:numRef>
              <c:f>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Расчет!$O$16:$O$36</c:f>
              <c:numCache>
                <c:formatCode>General</c:formatCode>
                <c:ptCount val="21"/>
                <c:pt idx="0">
                  <c:v>62.271317300734346</c:v>
                </c:pt>
                <c:pt idx="1">
                  <c:v>77.422558587235727</c:v>
                </c:pt>
                <c:pt idx="2">
                  <c:v>93.048580688567199</c:v>
                </c:pt>
                <c:pt idx="3">
                  <c:v>108.75638745180339</c:v>
                </c:pt>
                <c:pt idx="4">
                  <c:v>124.50022178749627</c:v>
                </c:pt>
                <c:pt idx="5">
                  <c:v>140.18956749545811</c:v>
                </c:pt>
                <c:pt idx="6">
                  <c:v>155.25501061759542</c:v>
                </c:pt>
                <c:pt idx="7">
                  <c:v>169.74021801967157</c:v>
                </c:pt>
                <c:pt idx="8">
                  <c:v>183.60149075420367</c:v>
                </c:pt>
                <c:pt idx="9">
                  <c:v>196.78684168714489</c:v>
                </c:pt>
                <c:pt idx="10">
                  <c:v>209.28247119250918</c:v>
                </c:pt>
                <c:pt idx="11">
                  <c:v>221.10027009142826</c:v>
                </c:pt>
                <c:pt idx="12">
                  <c:v>232.25185765543878</c:v>
                </c:pt>
                <c:pt idx="13">
                  <c:v>241.30657781053941</c:v>
                </c:pt>
                <c:pt idx="14">
                  <c:v>84.107919596115778</c:v>
                </c:pt>
                <c:pt idx="15">
                  <c:v>85.297764904301062</c:v>
                </c:pt>
                <c:pt idx="16">
                  <c:v>93.539642831771829</c:v>
                </c:pt>
                <c:pt idx="17">
                  <c:v>96.304933976333984</c:v>
                </c:pt>
                <c:pt idx="18">
                  <c:v>97.528055310153917</c:v>
                </c:pt>
                <c:pt idx="19">
                  <c:v>98.75954746748333</c:v>
                </c:pt>
                <c:pt idx="20">
                  <c:v>100</c:v>
                </c:pt>
              </c:numCache>
            </c:numRef>
          </c:xVal>
          <c:yVal>
            <c:numRef>
              <c:f>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47B17FB0-22F4-42E5-9EDF-5D1A2740257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8FC8664-5E83-4F7F-8461-19A9DF9310B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AF276B7E-9AE6-4D1A-810E-55426EB2778A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C601D66-BDD5-4A51-8218-5555DB30F93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BF98809-3971-4A9B-B00A-9CD0E864CE29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0342A760-5761-42C3-AEFB-1EAFC6C42F9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Расчет!$V$16:$V$18</c:f>
              <c:numCache>
                <c:formatCode>0</c:formatCode>
                <c:ptCount val="3"/>
                <c:pt idx="0">
                  <c:v>62.220244862610045</c:v>
                </c:pt>
                <c:pt idx="1">
                  <c:v>62.271317300734346</c:v>
                </c:pt>
                <c:pt idx="2">
                  <c:v>100</c:v>
                </c:pt>
              </c:numCache>
            </c:numRef>
          </c:xVal>
          <c:yVal>
            <c:numRef>
              <c:f>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Расчет!$X$16:$X$36</c:f>
              <c:numCache>
                <c:formatCode>General</c:formatCode>
                <c:ptCount val="21"/>
                <c:pt idx="0">
                  <c:v>15.000000000000007</c:v>
                </c:pt>
                <c:pt idx="1">
                  <c:v>15.000000000000007</c:v>
                </c:pt>
                <c:pt idx="2">
                  <c:v>15.000000000000007</c:v>
                </c:pt>
                <c:pt idx="3">
                  <c:v>15.000000000000007</c:v>
                </c:pt>
                <c:pt idx="4">
                  <c:v>15.000000000000007</c:v>
                </c:pt>
                <c:pt idx="5">
                  <c:v>15.000000000000007</c:v>
                </c:pt>
                <c:pt idx="6">
                  <c:v>15.000000000000007</c:v>
                </c:pt>
                <c:pt idx="7">
                  <c:v>15.000000000000007</c:v>
                </c:pt>
                <c:pt idx="8">
                  <c:v>15.000000000000007</c:v>
                </c:pt>
                <c:pt idx="9">
                  <c:v>15.000000000000007</c:v>
                </c:pt>
                <c:pt idx="10">
                  <c:v>15.000000000000007</c:v>
                </c:pt>
                <c:pt idx="11">
                  <c:v>15.000000000000007</c:v>
                </c:pt>
                <c:pt idx="12">
                  <c:v>19.198234225511271</c:v>
                </c:pt>
                <c:pt idx="13">
                  <c:v>28.543078561716403</c:v>
                </c:pt>
                <c:pt idx="14">
                  <c:v>37.507981750595732</c:v>
                </c:pt>
                <c:pt idx="15">
                  <c:v>46.14343304977281</c:v>
                </c:pt>
                <c:pt idx="16">
                  <c:v>54.437037182929963</c:v>
                </c:pt>
                <c:pt idx="17">
                  <c:v>62.332257709329568</c:v>
                </c:pt>
                <c:pt idx="18">
                  <c:v>69.887299745018666</c:v>
                </c:pt>
                <c:pt idx="19">
                  <c:v>77.12366282919136</c:v>
                </c:pt>
                <c:pt idx="20">
                  <c:v>84.107919596115792</c:v>
                </c:pt>
              </c:numCache>
            </c:numRef>
          </c:xVal>
          <c:yVal>
            <c:numRef>
              <c:f>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125.05</c:v>
                </c:pt>
                <c:pt idx="2">
                  <c:v>250.1</c:v>
                </c:pt>
                <c:pt idx="3">
                  <c:v>375.15</c:v>
                </c:pt>
                <c:pt idx="4">
                  <c:v>500.2</c:v>
                </c:pt>
                <c:pt idx="5">
                  <c:v>625.25</c:v>
                </c:pt>
                <c:pt idx="6">
                  <c:v>750.3</c:v>
                </c:pt>
                <c:pt idx="7">
                  <c:v>875.35</c:v>
                </c:pt>
                <c:pt idx="8">
                  <c:v>1000.4</c:v>
                </c:pt>
                <c:pt idx="9">
                  <c:v>1125.45</c:v>
                </c:pt>
                <c:pt idx="10">
                  <c:v>1250.5</c:v>
                </c:pt>
                <c:pt idx="11">
                  <c:v>1375.55</c:v>
                </c:pt>
                <c:pt idx="12">
                  <c:v>1500.6</c:v>
                </c:pt>
                <c:pt idx="13">
                  <c:v>1625.6499999999999</c:v>
                </c:pt>
                <c:pt idx="14">
                  <c:v>1750.7</c:v>
                </c:pt>
                <c:pt idx="15">
                  <c:v>1875.75</c:v>
                </c:pt>
                <c:pt idx="16">
                  <c:v>2000.8</c:v>
                </c:pt>
                <c:pt idx="17">
                  <c:v>2125.85</c:v>
                </c:pt>
                <c:pt idx="18">
                  <c:v>2250.9</c:v>
                </c:pt>
                <c:pt idx="19">
                  <c:v>2375.9499999999998</c:v>
                </c:pt>
                <c:pt idx="20">
                  <c:v>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Расчет!$Q$16:$Q$36</c:f>
              <c:numCache>
                <c:formatCode>General</c:formatCode>
                <c:ptCount val="21"/>
                <c:pt idx="0">
                  <c:v>30.693952524936776</c:v>
                </c:pt>
                <c:pt idx="1">
                  <c:v>31.438887617521928</c:v>
                </c:pt>
                <c:pt idx="2">
                  <c:v>32.103311836485489</c:v>
                </c:pt>
                <c:pt idx="3">
                  <c:v>32.764339831096066</c:v>
                </c:pt>
                <c:pt idx="4">
                  <c:v>33.444850051147341</c:v>
                </c:pt>
                <c:pt idx="5">
                  <c:v>34.175417471365741</c:v>
                </c:pt>
                <c:pt idx="6">
                  <c:v>35.05172841332076</c:v>
                </c:pt>
                <c:pt idx="7">
                  <c:v>36.334189242814986</c:v>
                </c:pt>
                <c:pt idx="8">
                  <c:v>40.337475774768357</c:v>
                </c:pt>
                <c:pt idx="9">
                  <c:v>49.053621889921786</c:v>
                </c:pt>
                <c:pt idx="10">
                  <c:v>57.514671313309243</c:v>
                </c:pt>
                <c:pt idx="11">
                  <c:v>65.55151514836534</c:v>
                </c:pt>
                <c:pt idx="12">
                  <c:v>73.107010459645338</c:v>
                </c:pt>
                <c:pt idx="13">
                  <c:v>78.978536143260754</c:v>
                </c:pt>
                <c:pt idx="14">
                  <c:v>78.978536143260754</c:v>
                </c:pt>
                <c:pt idx="15">
                  <c:v>79.898801519859433</c:v>
                </c:pt>
                <c:pt idx="16">
                  <c:v>85.734014738158947</c:v>
                </c:pt>
                <c:pt idx="17">
                  <c:v>87.615416561017085</c:v>
                </c:pt>
                <c:pt idx="18">
                  <c:v>88.543457383283126</c:v>
                </c:pt>
                <c:pt idx="19">
                  <c:v>89.435877652111458</c:v>
                </c:pt>
                <c:pt idx="20">
                  <c:v>90</c:v>
                </c:pt>
              </c:numCache>
            </c:numRef>
          </c:xVal>
          <c:yVal>
            <c:numRef>
              <c:f>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30.648148148148149</c:v>
                </c:pt>
                <c:pt idx="2">
                  <c:v>31.296296296296294</c:v>
                </c:pt>
                <c:pt idx="3">
                  <c:v>31.944444444444446</c:v>
                </c:pt>
                <c:pt idx="4">
                  <c:v>32.592592592592588</c:v>
                </c:pt>
                <c:pt idx="5">
                  <c:v>33.24074074074074</c:v>
                </c:pt>
                <c:pt idx="6">
                  <c:v>33.864444444444445</c:v>
                </c:pt>
                <c:pt idx="7">
                  <c:v>34.465370370370373</c:v>
                </c:pt>
                <c:pt idx="8">
                  <c:v>36.505000000000003</c:v>
                </c:pt>
                <c:pt idx="9">
                  <c:v>44.762500000000003</c:v>
                </c:pt>
                <c:pt idx="10">
                  <c:v>53.431111111111115</c:v>
                </c:pt>
                <c:pt idx="11">
                  <c:v>61.684166666666677</c:v>
                </c:pt>
                <c:pt idx="12">
                  <c:v>69.521666666666675</c:v>
                </c:pt>
                <c:pt idx="13">
                  <c:v>75.92</c:v>
                </c:pt>
                <c:pt idx="14">
                  <c:v>75.956850000000003</c:v>
                </c:pt>
                <c:pt idx="15">
                  <c:v>76.943316555555555</c:v>
                </c:pt>
                <c:pt idx="16">
                  <c:v>83.943663650793667</c:v>
                </c:pt>
                <c:pt idx="17">
                  <c:v>87.204166666666666</c:v>
                </c:pt>
                <c:pt idx="18">
                  <c:v>88.136111111111106</c:v>
                </c:pt>
                <c:pt idx="19">
                  <c:v>89.068055555555546</c:v>
                </c:pt>
                <c:pt idx="20">
                  <c:v>90</c:v>
                </c:pt>
              </c:numCache>
            </c:numRef>
          </c:xVal>
          <c:yVal>
            <c:numRef>
              <c:f>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3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525236</xdr:colOff>
      <xdr:row>40</xdr:row>
      <xdr:rowOff>68036</xdr:rowOff>
    </xdr:from>
    <xdr:to>
      <xdr:col>18</xdr:col>
      <xdr:colOff>83004</xdr:colOff>
      <xdr:row>64</xdr:row>
      <xdr:rowOff>182336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561848</xdr:colOff>
      <xdr:row>14</xdr:row>
      <xdr:rowOff>341863</xdr:rowOff>
    </xdr:from>
    <xdr:to>
      <xdr:col>29</xdr:col>
      <xdr:colOff>134130</xdr:colOff>
      <xdr:row>46</xdr:row>
      <xdr:rowOff>33369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161</v>
      </c>
    </row>
    <row r="4" spans="1:5" x14ac:dyDescent="0.25">
      <c r="A4" s="59" t="str">
        <f>"Унифлок "&amp;версия_номер_</f>
        <v>Унифлок 7.5</v>
      </c>
      <c r="B4" s="59"/>
      <c r="C4" s="59"/>
      <c r="D4" s="59"/>
      <c r="E4" s="5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59" t="s">
        <v>0</v>
      </c>
      <c r="B2" s="59"/>
      <c r="C2" s="59"/>
      <c r="D2" s="59"/>
      <c r="E2" s="59"/>
      <c r="J2" s="6" t="s">
        <v>26</v>
      </c>
      <c r="K2" s="9">
        <v>1</v>
      </c>
      <c r="L2" s="5" t="s">
        <v>6</v>
      </c>
    </row>
    <row r="3" spans="1:17" ht="18" customHeight="1" x14ac:dyDescent="0.25">
      <c r="F3" s="60" t="s">
        <v>74</v>
      </c>
      <c r="G3" s="6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1" t="s">
        <v>28</v>
      </c>
      <c r="O7" s="61"/>
      <c r="P7" s="61"/>
      <c r="Q7" s="61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Расчет!Ql_scm3day_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65.883601523230766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330.08118101029982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B1" sqref="B1"/>
    </sheetView>
  </sheetViews>
  <sheetFormatPr defaultRowHeight="15" x14ac:dyDescent="0.25"/>
  <sheetData>
    <row r="1" spans="1:16" x14ac:dyDescent="0.25">
      <c r="A1" t="str">
        <f>версия_</f>
        <v>вер 7.5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K29"/>
  <sheetViews>
    <sheetView zoomScale="80" zoomScaleNormal="80" workbookViewId="0">
      <selection activeCell="C16" sqref="C16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7.5</v>
      </c>
    </row>
    <row r="4" spans="1:11" x14ac:dyDescent="0.25">
      <c r="B4" s="53" t="s">
        <v>176</v>
      </c>
      <c r="C4" s="54">
        <v>80</v>
      </c>
      <c r="D4" s="53" t="s">
        <v>177</v>
      </c>
    </row>
    <row r="5" spans="1:11" x14ac:dyDescent="0.25">
      <c r="B5" s="53" t="s">
        <v>178</v>
      </c>
      <c r="C5" s="54">
        <v>2000</v>
      </c>
      <c r="D5" s="53" t="s">
        <v>179</v>
      </c>
      <c r="G5" t="s">
        <v>193</v>
      </c>
      <c r="H5">
        <f>G29</f>
        <v>22</v>
      </c>
    </row>
    <row r="6" spans="1:11" x14ac:dyDescent="0.25">
      <c r="B6" s="53" t="s">
        <v>180</v>
      </c>
      <c r="C6" s="54">
        <v>50</v>
      </c>
      <c r="D6" s="53" t="s">
        <v>181</v>
      </c>
    </row>
    <row r="7" spans="1:11" x14ac:dyDescent="0.25">
      <c r="B7" s="53" t="s">
        <v>182</v>
      </c>
      <c r="C7" s="55">
        <f>[1]!ESP_IDbyRate(ESP_rate_nom_)</f>
        <v>1006</v>
      </c>
      <c r="D7" s="53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3" t="s">
        <v>183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25">
      <c r="B9" s="53" t="s">
        <v>184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25">
      <c r="B10" s="53" t="s">
        <v>185</v>
      </c>
      <c r="C10" s="55">
        <f>INT(ESP_head_nom_/[1]!ESP_head_m(ESP_rate_nom_,1,,ESP_ID_))</f>
        <v>334</v>
      </c>
      <c r="D10" s="53" t="s">
        <v>186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25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25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25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25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25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25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25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25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25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25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25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25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25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25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25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25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topLeftCell="N1" zoomScaleNormal="100" workbookViewId="0">
      <selection activeCell="T38" sqref="T38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7.5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2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3</v>
      </c>
      <c r="AC3" t="s">
        <v>145</v>
      </c>
      <c r="AG3">
        <v>3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100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197</v>
      </c>
      <c r="Q8" s="9">
        <v>15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62.220244862610045</v>
      </c>
      <c r="R10" s="5" t="s">
        <v>44</v>
      </c>
      <c r="S10" s="14" t="s">
        <v>55</v>
      </c>
      <c r="T10" s="25">
        <v>30.693952524936776</v>
      </c>
      <c r="U10" s="5" t="s">
        <v>25</v>
      </c>
    </row>
    <row r="11" spans="1:34" ht="18" x14ac:dyDescent="0.35">
      <c r="P11" s="14" t="s">
        <v>46</v>
      </c>
      <c r="Q11" s="25">
        <v>62.271317300734346</v>
      </c>
      <c r="R11" s="5" t="s">
        <v>44</v>
      </c>
      <c r="S11" s="14" t="s">
        <v>56</v>
      </c>
      <c r="T11" s="25">
        <v>30.693952524936776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100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62.271317300734346</v>
      </c>
      <c r="P16">
        <v>0</v>
      </c>
      <c r="Q16">
        <v>30.693952524936776</v>
      </c>
      <c r="R16">
        <v>0</v>
      </c>
      <c r="S16">
        <v>0.89978114976169821</v>
      </c>
      <c r="U16">
        <v>0</v>
      </c>
      <c r="V16" s="50">
        <f>Pline_out_atma_</f>
        <v>62.220244862610045</v>
      </c>
      <c r="W16">
        <v>0</v>
      </c>
      <c r="X16">
        <v>15.000000000000007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194.44444444444446</v>
      </c>
      <c r="M17">
        <v>30.648148148148149</v>
      </c>
      <c r="N17">
        <v>194.44444444444446</v>
      </c>
      <c r="O17">
        <v>77.422558587235727</v>
      </c>
      <c r="P17">
        <v>194.44444444444446</v>
      </c>
      <c r="Q17">
        <v>31.438887617521928</v>
      </c>
      <c r="R17">
        <v>175</v>
      </c>
      <c r="S17">
        <v>0.96823015979105886</v>
      </c>
      <c r="U17">
        <v>0</v>
      </c>
      <c r="V17" s="50">
        <f>Pbuf_out_atma_</f>
        <v>62.271317300734346</v>
      </c>
      <c r="W17">
        <v>125.05</v>
      </c>
      <c r="X17">
        <v>15.000000000000007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388.88888888888891</v>
      </c>
      <c r="M18">
        <v>31.296296296296294</v>
      </c>
      <c r="N18">
        <v>388.88888888888891</v>
      </c>
      <c r="O18">
        <v>93.048580688567199</v>
      </c>
      <c r="P18">
        <v>388.88888888888891</v>
      </c>
      <c r="Q18">
        <v>32.103311836485489</v>
      </c>
      <c r="R18">
        <v>350</v>
      </c>
      <c r="S18">
        <v>1</v>
      </c>
      <c r="U18">
        <f>Hperf_m_</f>
        <v>3500</v>
      </c>
      <c r="V18" s="50">
        <f>Pwf_out_atma_</f>
        <v>100</v>
      </c>
      <c r="W18">
        <v>250.1</v>
      </c>
      <c r="X18">
        <v>15.000000000000007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583.33333333333337</v>
      </c>
      <c r="M19">
        <v>31.944444444444446</v>
      </c>
      <c r="N19">
        <v>583.33333333333337</v>
      </c>
      <c r="O19">
        <v>108.75638745180339</v>
      </c>
      <c r="P19">
        <v>583.33333333333337</v>
      </c>
      <c r="Q19">
        <v>32.764339831096066</v>
      </c>
      <c r="R19">
        <v>525</v>
      </c>
      <c r="S19">
        <v>1</v>
      </c>
      <c r="W19">
        <v>375.15</v>
      </c>
      <c r="X19">
        <v>15.000000000000007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777.77777777777783</v>
      </c>
      <c r="M20">
        <v>32.592592592592588</v>
      </c>
      <c r="N20">
        <v>777.77777777777783</v>
      </c>
      <c r="O20">
        <v>124.50022178749627</v>
      </c>
      <c r="P20">
        <v>777.77777777777783</v>
      </c>
      <c r="Q20">
        <v>33.444850051147341</v>
      </c>
      <c r="R20">
        <v>700</v>
      </c>
      <c r="S20">
        <v>1</v>
      </c>
      <c r="W20">
        <v>500.2</v>
      </c>
      <c r="X20">
        <v>15.000000000000007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972.22222222222229</v>
      </c>
      <c r="M21">
        <v>33.24074074074074</v>
      </c>
      <c r="N21">
        <v>972.22222222222229</v>
      </c>
      <c r="O21">
        <v>140.18956749545811</v>
      </c>
      <c r="P21">
        <v>972.22222222222229</v>
      </c>
      <c r="Q21">
        <v>34.175417471365741</v>
      </c>
      <c r="R21">
        <v>875</v>
      </c>
      <c r="S21">
        <v>1</v>
      </c>
      <c r="W21">
        <v>625.25</v>
      </c>
      <c r="X21">
        <v>15.000000000000007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33.864444444444445</v>
      </c>
      <c r="N22">
        <v>1166.6666666666667</v>
      </c>
      <c r="O22">
        <v>155.25501061759542</v>
      </c>
      <c r="P22">
        <v>1166.6666666666667</v>
      </c>
      <c r="Q22">
        <v>35.05172841332076</v>
      </c>
      <c r="R22">
        <v>1050</v>
      </c>
      <c r="S22">
        <v>1</v>
      </c>
      <c r="W22">
        <v>750.3</v>
      </c>
      <c r="X22">
        <v>15.000000000000007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34.465370370370373</v>
      </c>
      <c r="N23">
        <v>1361.1111111111113</v>
      </c>
      <c r="O23">
        <v>169.74021801967157</v>
      </c>
      <c r="P23">
        <v>1361.1111111111113</v>
      </c>
      <c r="Q23">
        <v>36.334189242814986</v>
      </c>
      <c r="R23">
        <v>1225</v>
      </c>
      <c r="S23">
        <v>1</v>
      </c>
      <c r="W23">
        <v>875.35</v>
      </c>
      <c r="X23">
        <v>15.000000000000007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36.505000000000003</v>
      </c>
      <c r="N24">
        <v>1555.5555555555557</v>
      </c>
      <c r="O24">
        <v>183.60149075420367</v>
      </c>
      <c r="P24">
        <v>1555.5555555555557</v>
      </c>
      <c r="Q24">
        <v>40.337475774768357</v>
      </c>
      <c r="R24">
        <v>1400</v>
      </c>
      <c r="S24">
        <v>1</v>
      </c>
      <c r="W24">
        <v>1000.4</v>
      </c>
      <c r="X24">
        <v>15.000000000000007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44.762500000000003</v>
      </c>
      <c r="N25">
        <v>1750</v>
      </c>
      <c r="O25">
        <v>196.78684168714489</v>
      </c>
      <c r="P25">
        <v>1750</v>
      </c>
      <c r="Q25">
        <v>49.053621889921786</v>
      </c>
      <c r="R25">
        <v>1575</v>
      </c>
      <c r="S25">
        <v>1</v>
      </c>
      <c r="W25">
        <v>1125.45</v>
      </c>
      <c r="X25">
        <v>15.000000000000007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53.431111111111115</v>
      </c>
      <c r="N26">
        <v>1944.4444444444446</v>
      </c>
      <c r="O26">
        <v>209.28247119250918</v>
      </c>
      <c r="P26">
        <v>1944.4444444444446</v>
      </c>
      <c r="Q26">
        <v>57.514671313309243</v>
      </c>
      <c r="R26">
        <v>1750</v>
      </c>
      <c r="S26">
        <v>1</v>
      </c>
      <c r="W26">
        <v>1250.5</v>
      </c>
      <c r="X26">
        <v>15.000000000000007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61.684166666666677</v>
      </c>
      <c r="N27">
        <v>2138.8888888888891</v>
      </c>
      <c r="O27">
        <v>221.10027009142826</v>
      </c>
      <c r="P27">
        <v>2138.8888888888891</v>
      </c>
      <c r="Q27">
        <v>65.55151514836534</v>
      </c>
      <c r="R27">
        <v>1925</v>
      </c>
      <c r="S27">
        <v>1</v>
      </c>
      <c r="W27">
        <v>1375.55</v>
      </c>
      <c r="X27">
        <v>15.000000000000007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69.521666666666675</v>
      </c>
      <c r="N28">
        <v>2333.3333333333335</v>
      </c>
      <c r="O28">
        <v>232.25185765543878</v>
      </c>
      <c r="P28">
        <v>2333.3333333333335</v>
      </c>
      <c r="Q28">
        <v>73.107010459645338</v>
      </c>
      <c r="R28">
        <v>2100</v>
      </c>
      <c r="S28">
        <v>1</v>
      </c>
      <c r="W28">
        <v>1500.6</v>
      </c>
      <c r="X28">
        <v>19.198234225511271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75.92</v>
      </c>
      <c r="N29">
        <v>2500</v>
      </c>
      <c r="O29">
        <v>241.30657781053941</v>
      </c>
      <c r="P29">
        <v>2500</v>
      </c>
      <c r="Q29">
        <v>78.978536143260754</v>
      </c>
      <c r="R29">
        <v>2275</v>
      </c>
      <c r="S29">
        <v>1</v>
      </c>
      <c r="W29">
        <v>1625.6499999999999</v>
      </c>
      <c r="X29">
        <v>28.543078561716403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75.956850000000003</v>
      </c>
      <c r="N30">
        <v>2501</v>
      </c>
      <c r="O30">
        <v>84.107919596115778</v>
      </c>
      <c r="P30">
        <v>2501</v>
      </c>
      <c r="Q30">
        <v>78.978536143260754</v>
      </c>
      <c r="R30">
        <v>2450</v>
      </c>
      <c r="S30">
        <v>1</v>
      </c>
      <c r="W30">
        <v>1750.7</v>
      </c>
      <c r="X30">
        <v>37.507981750595732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76.943316555555555</v>
      </c>
      <c r="N31">
        <v>2527.7777777777778</v>
      </c>
      <c r="O31">
        <v>85.297764904301062</v>
      </c>
      <c r="P31">
        <v>2527.7777777777778</v>
      </c>
      <c r="Q31">
        <v>79.898801519859433</v>
      </c>
      <c r="R31">
        <v>2625</v>
      </c>
      <c r="S31">
        <v>0.87214846644894273</v>
      </c>
      <c r="W31">
        <v>1875.75</v>
      </c>
      <c r="X31">
        <v>46.14343304977281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83.943663650793667</v>
      </c>
      <c r="N32">
        <v>2722.2222222222226</v>
      </c>
      <c r="O32">
        <v>93.539642831771829</v>
      </c>
      <c r="P32">
        <v>2722.2222222222226</v>
      </c>
      <c r="Q32">
        <v>85.734014738158947</v>
      </c>
      <c r="R32">
        <v>2800</v>
      </c>
      <c r="S32">
        <v>0.92042361825719499</v>
      </c>
      <c r="W32">
        <v>2000.8</v>
      </c>
      <c r="X32">
        <v>54.437037182929963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87.204166666666666</v>
      </c>
      <c r="N33">
        <v>2916.666666666667</v>
      </c>
      <c r="O33">
        <v>96.304933976333984</v>
      </c>
      <c r="P33">
        <v>2916.666666666667</v>
      </c>
      <c r="Q33">
        <v>87.615416561017085</v>
      </c>
      <c r="R33">
        <v>2975</v>
      </c>
      <c r="S33">
        <v>0.9288324471034527</v>
      </c>
      <c r="W33">
        <v>2125.85</v>
      </c>
      <c r="X33">
        <v>62.332257709329568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88.136111111111106</v>
      </c>
      <c r="N34">
        <v>3111.1111111111113</v>
      </c>
      <c r="O34">
        <v>97.528055310153917</v>
      </c>
      <c r="P34">
        <v>3111.1111111111113</v>
      </c>
      <c r="Q34">
        <v>88.543457383283126</v>
      </c>
      <c r="R34">
        <v>3150</v>
      </c>
      <c r="S34">
        <v>0.93709871064495354</v>
      </c>
      <c r="W34">
        <v>2250.9</v>
      </c>
      <c r="X34">
        <v>69.887299745018666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89.068055555555546</v>
      </c>
      <c r="N35">
        <v>3305.5555555555557</v>
      </c>
      <c r="O35">
        <v>98.75954746748333</v>
      </c>
      <c r="P35">
        <v>3305.5555555555557</v>
      </c>
      <c r="Q35">
        <v>89.435877652111458</v>
      </c>
      <c r="R35">
        <v>3325</v>
      </c>
      <c r="S35">
        <v>0.94553820145127798</v>
      </c>
      <c r="W35">
        <v>2375.9499999999998</v>
      </c>
      <c r="X35">
        <v>77.12366282919136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100</v>
      </c>
      <c r="P36">
        <v>3500</v>
      </c>
      <c r="Q36">
        <v>90</v>
      </c>
      <c r="R36">
        <v>3500</v>
      </c>
      <c r="S36">
        <v>0.95511992443142324</v>
      </c>
      <c r="W36">
        <v>2501</v>
      </c>
      <c r="X36">
        <v>84.107919596115792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6" baseType="lpstr">
      <vt:lpstr>Унифлок</vt:lpstr>
      <vt:lpstr>PVT</vt:lpstr>
      <vt:lpstr>Конструкция</vt:lpstr>
      <vt:lpstr>УЭЦН</vt:lpstr>
      <vt:lpstr>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Расчет!Ql_scm3day_</vt:lpstr>
      <vt:lpstr>PVT!Qo_sctday_</vt:lpstr>
      <vt:lpstr>rhoo_list1_</vt:lpstr>
      <vt:lpstr>rhoo_list2_</vt:lpstr>
      <vt:lpstr>rhoo_list3_</vt:lpstr>
      <vt:lpstr>PVT!Rp_m3m3_</vt:lpstr>
      <vt:lpstr>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PVT!wc_perc_</vt:lpstr>
      <vt:lpstr>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2019-03-27T05:32:35Z</dcterms:modified>
</cp:coreProperties>
</file>