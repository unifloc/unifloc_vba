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F0C4228D-C2BE-435A-AF55-808B6366D4AA}" xr6:coauthVersionLast="41" xr6:coauthVersionMax="41" xr10:uidLastSave="{00000000-0000-0000-0000-000000000000}"/>
  <bookViews>
    <workbookView xWindow="-120" yWindow="-120" windowWidth="38640" windowHeight="21390" tabRatio="402" activeTab="1" xr2:uid="{00000000-000D-0000-FFFF-FFFF00000000}"/>
  </bookViews>
  <sheets>
    <sheet name="Унифлок" sheetId="6" r:id="rId1"/>
    <sheet name="PVT" sheetId="4" r:id="rId2"/>
    <sheet name="Конструкция" sheetId="3" r:id="rId3"/>
    <sheet name="Расчет" sheetId="2" r:id="rId4"/>
  </sheets>
  <externalReferences>
    <externalReference r:id="rId5"/>
  </externalReferences>
  <definedNames>
    <definedName name="betta_fric_">Расчет!$H$7</definedName>
    <definedName name="betta_grav_">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Расчет!$J$2</definedName>
    <definedName name="correlation_PVT_fontan_">Расчет!$E$2</definedName>
    <definedName name="correlation_T_fontan_">Расчет!$O$2</definedName>
    <definedName name="dcas_arr_mm_">Конструкция!$I$19:$I$38</definedName>
    <definedName name="dcas_mm_">Конструкция!$C$11</definedName>
    <definedName name="dcas_out_mm_">Конструкция!$V$18:$V$38</definedName>
    <definedName name="dchoke_mm_">Конструкция!$C$13</definedName>
    <definedName name="dtub_arr_mm_">Конструкция!$K$19:$K$38</definedName>
    <definedName name="dtub_mm_">Конструкция!$C$12</definedName>
    <definedName name="dtub_out_mm_">Конструкция!$X$18:$X$38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Расчет!$S$16:$S$36</definedName>
    <definedName name="Hlout_hmes_m_">Расчет!$R$16:$R$36</definedName>
    <definedName name="hmes_dcas_m_">Конструкция!$H$19:$H$38</definedName>
    <definedName name="hmes_dcas_out_m_">Конструкция!$U$18:$U$38</definedName>
    <definedName name="hmes_dtub_m_">Конструкция!$J$19:$J$38</definedName>
    <definedName name="hmes_dtub_out_m_">Конструкция!$W$18:$W$38</definedName>
    <definedName name="hmes_incl_m_">Конструкция!$B$19:$B$176</definedName>
    <definedName name="hmes_incl_out_m_">Конструкция!$P$18:$P$38</definedName>
    <definedName name="Hmes_mes_m_">Расчет!$C$17:$C$352</definedName>
    <definedName name="hmes_out_">Расчет!$H$16:$H$36</definedName>
    <definedName name="hmes_tamb_m_">Конструкция!$E$19:$E$38</definedName>
    <definedName name="hmes_tamb_out_m_" localSheetId="3">Расчет!$K$16:$K$36</definedName>
    <definedName name="hmes_tamb_out_m_">Конструкция!$S$18:$S$38</definedName>
    <definedName name="Hout_">Расчет!$N$17:$N$36</definedName>
    <definedName name="Hperf_m_">Конструкция!$C$9</definedName>
    <definedName name="Htub_m_">Конструкция!$C$10</definedName>
    <definedName name="hvert_incl_m_">Конструкция!$C$19:$C$176</definedName>
    <definedName name="hvert_incl_out_m_">Конструкция!$Q$18:$Q$38</definedName>
    <definedName name="hvert_tamb_out_m_" localSheetId="3">Расчет!$L$16:$L$36</definedName>
    <definedName name="HydrCorr_">Расчет!$AA$6</definedName>
    <definedName name="HydrCorr_selector_">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Расчет!$D$17:$D$352</definedName>
    <definedName name="Pb_atma_" localSheetId="1">PVT!$G$15</definedName>
    <definedName name="Pb_diff_">PVT!$W$33</definedName>
    <definedName name="Pbuf_atma_">Расчет!$Q$6</definedName>
    <definedName name="Pbuf_out_atma_">Расчет!$Q$11</definedName>
    <definedName name="Plin_mes_atma_">Расчет!$D$16</definedName>
    <definedName name="Pline_atma_">Расчет!$Q$5</definedName>
    <definedName name="Pline_out_atma_">Расчет!$Q$10</definedName>
    <definedName name="pmes_out_">Расчет!$I$16:$I$36</definedName>
    <definedName name="Pout_">Расчет!$O$17:$O$36</definedName>
    <definedName name="Pout_atma_">Расчет!$O$16:$O$36</definedName>
    <definedName name="Pout_hmes_m_">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Расчет!$X$3</definedName>
    <definedName name="Pwf_atma_">Расчет!$Q$7</definedName>
    <definedName name="Pwf_out_atma_">Расчет!$Q$12</definedName>
    <definedName name="Ql_scm3day_" localSheetId="1">PVT!$K$8</definedName>
    <definedName name="Ql_scm3day_" localSheetId="3">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PVT!$R$32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Расчет!$E$17:$E$352</definedName>
    <definedName name="tamb_C_">Конструкция!$F$19:$F$38</definedName>
    <definedName name="tamb_out_C_" localSheetId="3">Расчет!$M$16:$M$36</definedName>
    <definedName name="tamb_out_C_">Конструкция!$T$18:$T$38</definedName>
    <definedName name="Tbh_c_">Расчет!$M$6</definedName>
    <definedName name="Tbuf_out_C_">Расчет!$T$11</definedName>
    <definedName name="Tlin_mes_C_">Расчет!$E$16</definedName>
    <definedName name="Tline_out_C_">Расчет!$T$10</definedName>
    <definedName name="tmes_out_">Расчет!$J$16:$J$36</definedName>
    <definedName name="Tout_C_">Расчет!$Q$16:$Q$36</definedName>
    <definedName name="Tout_hmes_m_">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Расчет!$T$12</definedName>
    <definedName name="Twh_C_">Расчет!$M$7</definedName>
    <definedName name="udl_out_m_">Конструкция!$R$18:$R$38</definedName>
    <definedName name="wc_perc_" localSheetId="1">PVT!$K$9</definedName>
    <definedName name="wc_perc_" localSheetId="3">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4" l="1"/>
  <c r="K9" i="4"/>
  <c r="K8" i="4"/>
  <c r="C45" i="4"/>
  <c r="C44" i="4"/>
  <c r="C43" i="4"/>
  <c r="I32" i="4"/>
  <c r="I33" i="4"/>
  <c r="M32" i="4"/>
  <c r="E35" i="4"/>
  <c r="C37" i="4"/>
  <c r="C33" i="4"/>
  <c r="E36" i="4"/>
  <c r="I35" i="4"/>
  <c r="M36" i="4"/>
  <c r="V33" i="4"/>
  <c r="M37" i="4"/>
  <c r="C34" i="4"/>
  <c r="M33" i="4"/>
  <c r="I37" i="4"/>
  <c r="C32" i="4"/>
  <c r="E37" i="4"/>
  <c r="I36" i="4"/>
  <c r="E32" i="4"/>
  <c r="M40" i="4"/>
  <c r="C36" i="4"/>
  <c r="C40" i="4"/>
  <c r="C35" i="4"/>
  <c r="C23" i="4"/>
  <c r="C26" i="4" s="1"/>
  <c r="C28" i="4"/>
  <c r="T35" i="4"/>
  <c r="M35" i="4"/>
  <c r="E34" i="4"/>
  <c r="T33" i="4"/>
  <c r="E33" i="4"/>
  <c r="I34" i="4"/>
  <c r="C49" i="4"/>
  <c r="T34" i="4"/>
  <c r="G23" i="4"/>
  <c r="M34" i="4"/>
  <c r="V35" i="4"/>
  <c r="V36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T36" i="4"/>
  <c r="C27" i="4"/>
  <c r="V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<sst xmlns="http://schemas.openxmlformats.org/spreadsheetml/2006/main" count="273" uniqueCount="181">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</sst>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0.29439351063526253</c:v>
                </c:pt>
                <c:pt idx="1">
                  <c:v>9.9351744972893938E-2</c:v>
                </c:pt>
                <c:pt idx="2">
                  <c:v>6.3275635828131865E-2</c:v>
                </c:pt>
                <c:pt idx="3">
                  <c:v>4.8072341761869232E-3</c:v>
                </c:pt>
                <c:pt idx="4">
                  <c:v>0.27009316042445386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0.99031266598457834</c:v>
                </c:pt>
                <c:pt idx="1">
                  <c:v>0.94939251991768747</c:v>
                </c:pt>
                <c:pt idx="2">
                  <c:v>0.90709419384474355</c:v>
                </c:pt>
                <c:pt idx="3">
                  <c:v>0.86439081059241085</c:v>
                </c:pt>
                <c:pt idx="4">
                  <c:v>0.82185872245860181</c:v>
                </c:pt>
                <c:pt idx="5">
                  <c:v>0.77988975562164153</c:v>
                </c:pt>
                <c:pt idx="6">
                  <c:v>0.73876463925463765</c:v>
                </c:pt>
                <c:pt idx="7">
                  <c:v>0.69868595340489781</c:v>
                </c:pt>
                <c:pt idx="8">
                  <c:v>0.65979718898112383</c:v>
                </c:pt>
                <c:pt idx="9">
                  <c:v>0.62219562660691996</c:v>
                </c:pt>
                <c:pt idx="10">
                  <c:v>0.585941900127671</c:v>
                </c:pt>
                <c:pt idx="11">
                  <c:v>0.55106749731895333</c:v>
                </c:pt>
                <c:pt idx="12">
                  <c:v>0.51758082055737475</c:v>
                </c:pt>
                <c:pt idx="13">
                  <c:v>0.48547215667074578</c:v>
                </c:pt>
                <c:pt idx="14">
                  <c:v>0.45471777617189474</c:v>
                </c:pt>
                <c:pt idx="15">
                  <c:v>0.42528331634449712</c:v>
                </c:pt>
                <c:pt idx="16">
                  <c:v>0.39712656612085145</c:v>
                </c:pt>
                <c:pt idx="17">
                  <c:v>0.37019974808508055</c:v>
                </c:pt>
                <c:pt idx="18">
                  <c:v>0.34445137766853778</c:v>
                </c:pt>
                <c:pt idx="19">
                  <c:v>0.31982776739901991</c:v>
                </c:pt>
                <c:pt idx="20">
                  <c:v>0.29627423477651588</c:v>
                </c:pt>
                <c:pt idx="21">
                  <c:v>0.23512272839443882</c:v>
                </c:pt>
                <c:pt idx="22">
                  <c:v>0.18087914913620051</c:v>
                </c:pt>
                <c:pt idx="23">
                  <c:v>0.13249064481869405</c:v>
                </c:pt>
                <c:pt idx="24">
                  <c:v>8.9068615178731603E-2</c:v>
                </c:pt>
                <c:pt idx="25">
                  <c:v>4.9902676948977834E-2</c:v>
                </c:pt>
                <c:pt idx="26">
                  <c:v>1.4460330224812166E-2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Конструкция!$Q$18:$Q$38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Конструкция!$S$18:$S$38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Конструкция!$U$18:$U$38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Конструкция!$W$18:$W$38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Расчет!$S$16:$S$36</c:f>
              <c:numCache>
                <c:formatCode>General</c:formatCode>
                <c:ptCount val="21"/>
                <c:pt idx="0">
                  <c:v>0.37248767726861487</c:v>
                </c:pt>
                <c:pt idx="1">
                  <c:v>0.44829913540071153</c:v>
                </c:pt>
                <c:pt idx="2">
                  <c:v>0.52585696398349357</c:v>
                </c:pt>
                <c:pt idx="3">
                  <c:v>0.58692163440342104</c:v>
                </c:pt>
                <c:pt idx="4">
                  <c:v>0.66136953924824293</c:v>
                </c:pt>
                <c:pt idx="5">
                  <c:v>0.73167545979787307</c:v>
                </c:pt>
                <c:pt idx="6">
                  <c:v>0.85084532001756574</c:v>
                </c:pt>
                <c:pt idx="7">
                  <c:v>0.98102692446753748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Расчет!$O$16:$O$36</c:f>
              <c:numCache>
                <c:formatCode>General</c:formatCode>
                <c:ptCount val="21"/>
                <c:pt idx="0">
                  <c:v>18.559660427544415</c:v>
                </c:pt>
                <c:pt idx="1">
                  <c:v>25.737953487080869</c:v>
                </c:pt>
                <c:pt idx="2">
                  <c:v>34.130348249943594</c:v>
                </c:pt>
                <c:pt idx="3">
                  <c:v>43.662680786974931</c:v>
                </c:pt>
                <c:pt idx="4">
                  <c:v>54.185458597730275</c:v>
                </c:pt>
                <c:pt idx="5">
                  <c:v>65.64260382769173</c:v>
                </c:pt>
                <c:pt idx="6">
                  <c:v>77.977404023116833</c:v>
                </c:pt>
                <c:pt idx="7">
                  <c:v>91.346729391052818</c:v>
                </c:pt>
                <c:pt idx="8">
                  <c:v>104.53512773581954</c:v>
                </c:pt>
                <c:pt idx="9">
                  <c:v>117.14409798103999</c:v>
                </c:pt>
                <c:pt idx="10">
                  <c:v>129.16091041260427</c:v>
                </c:pt>
                <c:pt idx="11">
                  <c:v>140.59340024087402</c:v>
                </c:pt>
                <c:pt idx="12">
                  <c:v>151.45100011161634</c:v>
                </c:pt>
                <c:pt idx="13">
                  <c:v>161.73526448154664</c:v>
                </c:pt>
                <c:pt idx="14">
                  <c:v>167.36316664864341</c:v>
                </c:pt>
                <c:pt idx="15">
                  <c:v>171.4178019257005</c:v>
                </c:pt>
                <c:pt idx="16">
                  <c:v>179.28944386005128</c:v>
                </c:pt>
                <c:pt idx="17">
                  <c:v>181.34684955191446</c:v>
                </c:pt>
                <c:pt idx="18">
                  <c:v>182.5953472178692</c:v>
                </c:pt>
                <c:pt idx="19">
                  <c:v>183.8434444592547</c:v>
                </c:pt>
                <c:pt idx="20">
                  <c:v>185.09137210958076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72782B4B-B87C-428A-BD74-F9BAA9484E0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3597C3F-4193-4AA8-A3A9-9DDFD566984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5FB728B4-7D37-4156-812F-6E08036AFDD4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77324BD-2914-4EE7-B88C-6FF2CF00A7C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17B2E1-B434-4333-ADBF-9F1381AC41E1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CD735DA-1201-484E-97B6-731FA394360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Расчет!$V$16:$V$18</c:f>
              <c:numCache>
                <c:formatCode>0</c:formatCode>
                <c:ptCount val="3"/>
                <c:pt idx="0">
                  <c:v>1</c:v>
                </c:pt>
                <c:pt idx="1">
                  <c:v>18.559660427544415</c:v>
                </c:pt>
                <c:pt idx="2">
                  <c:v>185.09137210958076</c:v>
                </c:pt>
              </c:numCache>
            </c:numRef>
          </c:xVal>
          <c:yVal>
            <c:numRef>
              <c:f>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Расчет!$Q$16:$Q$36</c:f>
              <c:numCache>
                <c:formatCode>General</c:formatCode>
                <c:ptCount val="21"/>
                <c:pt idx="0">
                  <c:v>30.438441090043479</c:v>
                </c:pt>
                <c:pt idx="1">
                  <c:v>31.383445458884776</c:v>
                </c:pt>
                <c:pt idx="2">
                  <c:v>32.443382298933081</c:v>
                </c:pt>
                <c:pt idx="3">
                  <c:v>33.671872704166717</c:v>
                </c:pt>
                <c:pt idx="4">
                  <c:v>35.161998978297184</c:v>
                </c:pt>
                <c:pt idx="5">
                  <c:v>37.060633831313829</c:v>
                </c:pt>
                <c:pt idx="6">
                  <c:v>39.58159321651052</c:v>
                </c:pt>
                <c:pt idx="7">
                  <c:v>43.144525880094498</c:v>
                </c:pt>
                <c:pt idx="8">
                  <c:v>48.594103174909392</c:v>
                </c:pt>
                <c:pt idx="9">
                  <c:v>56.071361104326002</c:v>
                </c:pt>
                <c:pt idx="10">
                  <c:v>63.421779437179524</c:v>
                </c:pt>
                <c:pt idx="11">
                  <c:v>70.215194142259335</c:v>
                </c:pt>
                <c:pt idx="12">
                  <c:v>76.335809354014216</c:v>
                </c:pt>
                <c:pt idx="13">
                  <c:v>81.578857098400078</c:v>
                </c:pt>
                <c:pt idx="14">
                  <c:v>84.071969311134978</c:v>
                </c:pt>
                <c:pt idx="15">
                  <c:v>85.593742661908038</c:v>
                </c:pt>
                <c:pt idx="16">
                  <c:v>87.889967671145342</c:v>
                </c:pt>
                <c:pt idx="17">
                  <c:v>88.741767683314436</c:v>
                </c:pt>
                <c:pt idx="18">
                  <c:v>89.360927582489239</c:v>
                </c:pt>
                <c:pt idx="19">
                  <c:v>89.814445588423212</c:v>
                </c:pt>
                <c:pt idx="20">
                  <c:v>90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17.1%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5" x14ac:dyDescent="0.25"/>
  <sheetData>
    <row r="1" spans="1:5" x14ac:dyDescent="0.25">
      <c r="A1" t="str">
        <f>"вер "&amp;B1</f>
        <v>вер 7.3</v>
      </c>
      <c r="B1" s="16">
        <v>7.3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7.3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zoomScaleNormal="100" workbookViewId="0">
      <selection activeCell="G42" sqref="G42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7.3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Расчет!Ql_scm3day_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0.85586577860847923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0.29439351063526253</v>
      </c>
      <c r="AD32" s="2" t="str">
        <f>Q34&amp; " = "&amp;IFERROR(TEXT(gamma_gas_diff_total_*100,"0.0") &amp; "%",TEXT(gamma_gas_diff_total_*100,"0,0") &amp; "%")</f>
        <v>Сумм откл = 17.1%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0.88906521229711766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141.72205259907787</v>
      </c>
      <c r="W33" s="30">
        <f>(V33-C23)/V33</f>
        <v>0.29439351063526253</v>
      </c>
      <c r="X33" s="2">
        <v>2</v>
      </c>
      <c r="Z33" s="7" t="s">
        <v>80</v>
      </c>
      <c r="AA33" s="33">
        <f>ABS(U34)</f>
        <v>0</v>
      </c>
      <c r="AB33" s="33">
        <f>ABS(W34)</f>
        <v>9.9351744972893938E-2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0.1707560241061073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1.3195843608736479</v>
      </c>
      <c r="W34" s="30">
        <f>(V34-C26)/(V34-1)</f>
        <v>9.9351744972893938E-2</v>
      </c>
      <c r="X34" s="2">
        <v>2</v>
      </c>
      <c r="Z34" s="8" t="s">
        <v>83</v>
      </c>
      <c r="AA34" s="33">
        <f>ABS(U36)</f>
        <v>0</v>
      </c>
      <c r="AB34" s="33">
        <f>ABS(W36)</f>
        <v>6.3275635828131865E-2</v>
      </c>
      <c r="AD34" s="2" t="str">
        <f>Q33&amp;" = "&amp;IFERROR(TEXT(gamma_gas_new_,"0.00"),TEXT(gamma_gas_new_,"0,00"))&amp;",  "&amp;Q32&amp;" = "&amp;IFERROR(TEXT(gamma_oil_new_,"0.00"),TEXT(gamma_oil_new_,"0,00"))</f>
        <v>γg new  = 0.89,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744.70988360635852</v>
      </c>
      <c r="W35" s="30">
        <f>(V35-C27)/V35</f>
        <v>1.4582354068997334E-2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4.8072341761869232E-3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0.7205342157049397</v>
      </c>
      <c r="W36" s="30">
        <f>(V36-C28)/V36</f>
        <v>-6.3275635828131865E-2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0.27009316042445386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-4.8304553060205683E-3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0.2126561805389072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1.4582354068997334E-2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MF_Qmix_m3day(Ql_scm3day_,wc_perc_,P_atma_,T_C_,PVT_Encode_string(gamma_gas_,gamma_oil_,gamma_w_,Rsb_m3m3_,Rp_m3m3_,Pb_atma_,Tres_C_,Bob_m3m3_,mu_cP_,PVT_correlation_,Ksep_,Psep_atma_,Tsep_C_))</f>
        <v>286.45044140535117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MF_Rhomix_kgm3(Ql_scm3day_,wc_perc_,P_atma_,T_C_,PVT_Encode_string(gamma_gas_,gamma_oil_,gamma_w_,Rsb_m3m3_,Rp_m3m3_,Pb_atma_,Tres_C_,Bob_m3m3_,mu_cP_,PVT_correlation_,Ksep_,Psep_atma_,Tsep_C_))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MF_Mumix_cP(Ql_scm3day_,wc_perc_,P_atma_,T_C_,PVT_Encode_string(gamma_gas_,gamma_oil_,gamma_w_,Rsb_m3m3_,Rp_m3m3_,Pb_atma_,Tres_C_,Bob_m3m3_,mu_cP_,PVT_correlation_,Ksep_,Psep_atma_,Tsep_C_))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0.98997541064733996</v>
      </c>
      <c r="Q59">
        <v>0.98997541064733996</v>
      </c>
      <c r="R59">
        <v>0.99031266598457834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0.94614339991979213</v>
      </c>
      <c r="Q60">
        <v>0.94614339991979213</v>
      </c>
      <c r="R60">
        <v>0.94939251991768747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0.89826216338241693</v>
      </c>
      <c r="Q61">
        <v>0.89826216338241693</v>
      </c>
      <c r="R61">
        <v>0.90709419384474355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0.84775635578540187</v>
      </c>
      <c r="Q62">
        <v>0.84775635578540187</v>
      </c>
      <c r="R62">
        <v>0.86439081059241085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0.79547822217869313</v>
      </c>
      <c r="Q63">
        <v>0.79547822217869313</v>
      </c>
      <c r="R63">
        <v>0.82185872245860181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0.74206792515658504</v>
      </c>
      <c r="Q64">
        <v>0.74206792515658504</v>
      </c>
      <c r="R64">
        <v>0.77988975562164153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0.68804068471210011</v>
      </c>
      <c r="Q65">
        <v>0.68804068471210011</v>
      </c>
      <c r="R65">
        <v>0.73876463925463765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0.63382089873430336</v>
      </c>
      <c r="Q66">
        <v>0.63382089873430336</v>
      </c>
      <c r="R66">
        <v>0.69868595340489781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0.57975949108250746</v>
      </c>
      <c r="Q67">
        <v>0.57975949108250746</v>
      </c>
      <c r="R67">
        <v>0.65979718898112383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0.52614477718001729</v>
      </c>
      <c r="Q68">
        <v>0.52614477718001729</v>
      </c>
      <c r="R68">
        <v>0.62219562660691996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0.47321052383313328</v>
      </c>
      <c r="Q69">
        <v>0.47321052383313328</v>
      </c>
      <c r="R69">
        <v>0.585941900127671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0.42114267029873143</v>
      </c>
      <c r="Q70">
        <v>0.42114267029873143</v>
      </c>
      <c r="R70">
        <v>0.55106749731895333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0.37008531596833544</v>
      </c>
      <c r="Q71">
        <v>0.37008531596833544</v>
      </c>
      <c r="R71">
        <v>0.51758082055737475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0.32014621642941443</v>
      </c>
      <c r="Q72">
        <v>0.32014621642941443</v>
      </c>
      <c r="R72">
        <v>0.48547215667074578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0.27140187231687235</v>
      </c>
      <c r="Q73">
        <v>0.27140187231687235</v>
      </c>
      <c r="R73">
        <v>0.45471777617189474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0.22390223120616223</v>
      </c>
      <c r="Q74">
        <v>0.22390223120616223</v>
      </c>
      <c r="R74">
        <v>0.42528331634449712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0.17767500149055396</v>
      </c>
      <c r="Q75">
        <v>0.17767500149055396</v>
      </c>
      <c r="R75">
        <v>0.39712656612085145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0.13272957532053672</v>
      </c>
      <c r="Q76">
        <v>0.13272957532053672</v>
      </c>
      <c r="R76">
        <v>0.37019974808508055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8.9060563706194376E-2</v>
      </c>
      <c r="Q77">
        <v>8.9060563706194376E-2</v>
      </c>
      <c r="R77">
        <v>0.34445137766853778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4.6650954987410995E-2</v>
      </c>
      <c r="Q78">
        <v>4.6650954987410995E-2</v>
      </c>
      <c r="R78">
        <v>0.31982776739901991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5.469167248226995E-3</v>
      </c>
      <c r="Q79">
        <v>5.469167248226995E-3</v>
      </c>
      <c r="R79">
        <v>0.29627423477651588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</v>
      </c>
      <c r="Q80">
        <v>0</v>
      </c>
      <c r="R80">
        <v>0.23512272839443882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</v>
      </c>
      <c r="Q81">
        <v>0</v>
      </c>
      <c r="R81">
        <v>0.18087914913620051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</v>
      </c>
      <c r="Q82">
        <v>0</v>
      </c>
      <c r="R82">
        <v>0.13249064481869405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</v>
      </c>
      <c r="Q83">
        <v>0</v>
      </c>
      <c r="R83">
        <v>8.9068615178731603E-2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</v>
      </c>
      <c r="Q84">
        <v>0</v>
      </c>
      <c r="R84">
        <v>4.9902676948977834E-2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</v>
      </c>
      <c r="Q85">
        <v>0</v>
      </c>
      <c r="R85">
        <v>1.4460330224812166E-2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H71" sqref="H71"/>
    </sheetView>
  </sheetViews>
  <sheetFormatPr defaultRowHeight="15" x14ac:dyDescent="0.25"/>
  <sheetData>
    <row r="1" spans="1:16" x14ac:dyDescent="0.25">
      <c r="A1" t="str">
        <f>версия_</f>
        <v>вер 7.3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zoomScale="60" zoomScaleNormal="60" workbookViewId="0">
      <selection activeCell="S54" sqref="S54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7.3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1</v>
      </c>
      <c r="R10" s="5" t="s">
        <v>44</v>
      </c>
      <c r="S10" s="14" t="s">
        <v>55</v>
      </c>
      <c r="T10" s="25">
        <v>30.438441090043479</v>
      </c>
      <c r="U10" s="5" t="s">
        <v>25</v>
      </c>
    </row>
    <row r="11" spans="1:34" ht="18" x14ac:dyDescent="0.35">
      <c r="P11" s="14" t="s">
        <v>46</v>
      </c>
      <c r="Q11" s="25">
        <v>18.559660427544415</v>
      </c>
      <c r="R11" s="5" t="s">
        <v>44</v>
      </c>
      <c r="S11" s="14" t="s">
        <v>56</v>
      </c>
      <c r="T11" s="25">
        <v>30.438441090043479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185.09137210958076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18.559660427544415</v>
      </c>
      <c r="P16">
        <v>0</v>
      </c>
      <c r="Q16">
        <v>30.438441090043479</v>
      </c>
      <c r="R16">
        <v>0</v>
      </c>
      <c r="S16">
        <v>0.37248767726861487</v>
      </c>
      <c r="U16">
        <v>0</v>
      </c>
      <c r="V16" s="50">
        <f>Pline_out_atma_</f>
        <v>1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25.737953487080869</v>
      </c>
      <c r="P17">
        <v>184.21052631578948</v>
      </c>
      <c r="Q17">
        <v>31.383445458884776</v>
      </c>
      <c r="R17">
        <v>175</v>
      </c>
      <c r="S17">
        <v>0.44829913540071153</v>
      </c>
      <c r="U17">
        <v>0</v>
      </c>
      <c r="V17" s="50">
        <f>Pbuf_out_atma_</f>
        <v>18.559660427544415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34.130348249943594</v>
      </c>
      <c r="P18">
        <v>368.42105263157896</v>
      </c>
      <c r="Q18">
        <v>32.443382298933081</v>
      </c>
      <c r="R18">
        <v>350</v>
      </c>
      <c r="S18">
        <v>0.52585696398349357</v>
      </c>
      <c r="U18">
        <f>Hperf_m_</f>
        <v>3500</v>
      </c>
      <c r="V18" s="50">
        <f>Pwf_out_atma_</f>
        <v>185.09137210958076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43.662680786974931</v>
      </c>
      <c r="P19">
        <v>552.63157894736844</v>
      </c>
      <c r="Q19">
        <v>33.671872704166717</v>
      </c>
      <c r="R19">
        <v>525</v>
      </c>
      <c r="S19">
        <v>0.58692163440342104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54.185458597730275</v>
      </c>
      <c r="P20">
        <v>736.84210526315792</v>
      </c>
      <c r="Q20">
        <v>35.161998978297184</v>
      </c>
      <c r="R20">
        <v>700</v>
      </c>
      <c r="S20">
        <v>0.66136953924824293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65.64260382769173</v>
      </c>
      <c r="P21">
        <v>921.0526315789474</v>
      </c>
      <c r="Q21">
        <v>37.060633831313829</v>
      </c>
      <c r="R21">
        <v>875</v>
      </c>
      <c r="S21">
        <v>0.73167545979787307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77.977404023116833</v>
      </c>
      <c r="P22">
        <v>1105.2631578947369</v>
      </c>
      <c r="Q22">
        <v>39.58159321651052</v>
      </c>
      <c r="R22">
        <v>1050</v>
      </c>
      <c r="S22">
        <v>0.85084532001756574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91.346729391052818</v>
      </c>
      <c r="P23">
        <v>1289.4736842105262</v>
      </c>
      <c r="Q23">
        <v>43.144525880094498</v>
      </c>
      <c r="R23">
        <v>1225</v>
      </c>
      <c r="S23">
        <v>0.98102692446753748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104.53512773581954</v>
      </c>
      <c r="P24">
        <v>1473.6842105263158</v>
      </c>
      <c r="Q24">
        <v>48.594103174909392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117.14409798103999</v>
      </c>
      <c r="P25">
        <v>1657.8947368421054</v>
      </c>
      <c r="Q25">
        <v>56.071361104326002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129.16091041260427</v>
      </c>
      <c r="P26">
        <v>1842.1052631578948</v>
      </c>
      <c r="Q26">
        <v>63.421779437179524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140.59340024087402</v>
      </c>
      <c r="P27">
        <v>2026.3157894736842</v>
      </c>
      <c r="Q27">
        <v>70.215194142259335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151.45100011161634</v>
      </c>
      <c r="P28">
        <v>2210.5263157894738</v>
      </c>
      <c r="Q28">
        <v>76.335809354014216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161.73526448154664</v>
      </c>
      <c r="P29">
        <v>2394.7368421052633</v>
      </c>
      <c r="Q29">
        <v>81.578857098400078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167.36316664864341</v>
      </c>
      <c r="P30">
        <v>2500</v>
      </c>
      <c r="Q30">
        <v>84.071969311134978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171.4178019257005</v>
      </c>
      <c r="P31">
        <v>2578.9473684210525</v>
      </c>
      <c r="Q31">
        <v>85.593742661908038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179.28944386005128</v>
      </c>
      <c r="P32">
        <v>2763.1578947368421</v>
      </c>
      <c r="Q32">
        <v>87.889967671145342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181.34684955191446</v>
      </c>
      <c r="P33">
        <v>2947.3684210526317</v>
      </c>
      <c r="Q33">
        <v>88.741767683314436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182.5953472178692</v>
      </c>
      <c r="P34">
        <v>3131.5789473684213</v>
      </c>
      <c r="Q34">
        <v>89.360927582489239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183.8434444592547</v>
      </c>
      <c r="P35">
        <v>3315.7894736842109</v>
      </c>
      <c r="Q35">
        <v>89.814445588423212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185.09137210958076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</vt:lpstr>
      <vt:lpstr>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Расчет!Ql_scm3day_</vt:lpstr>
      <vt:lpstr>PVT!Qo_sctday_</vt:lpstr>
      <vt:lpstr>rhoo_list1_</vt:lpstr>
      <vt:lpstr>rhoo_list2_</vt:lpstr>
      <vt:lpstr>rhoo_list3_</vt:lpstr>
      <vt:lpstr>PVT!Rp_m3m3_</vt:lpstr>
      <vt:lpstr>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2019-03-30T19:15:15Z</dcterms:modified>
</cp:coreProperties>
</file>