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rnt\unifloc_vba\"/>
    </mc:Choice>
  </mc:AlternateContent>
  <xr:revisionPtr revIDLastSave="0" documentId="13_ncr:1_{4630937D-1AF5-4D77-9B2D-956372ED7843}" xr6:coauthVersionLast="32" xr6:coauthVersionMax="32" xr10:uidLastSave="{00000000-0000-0000-0000-000000000000}"/>
  <bookViews>
    <workbookView xWindow="0" yWindow="0" windowWidth="8325" windowHeight="8340" tabRatio="483" xr2:uid="{DAA99CB0-1D7F-455D-BC9F-9F3A3C7D4085}"/>
  </bookViews>
  <sheets>
    <sheet name="PVT" sheetId="1" r:id="rId1"/>
  </sheets>
  <externalReferences>
    <externalReference r:id="rId2"/>
  </externalReferences>
  <definedNames>
    <definedName name="bo_list1_">PVT!$F$59:$F$99</definedName>
    <definedName name="bo_list2_">PVT!$G$59:$G$99</definedName>
    <definedName name="Bob_m3m3_">PVT!$G$16</definedName>
    <definedName name="gamma_gas_">PVT!$G$9</definedName>
    <definedName name="gamma_oil_">PVT!$G$8</definedName>
    <definedName name="gamma_w_">PVT!$G$10</definedName>
    <definedName name="Ksep_">PVT!$O$8</definedName>
    <definedName name="mu_cP_">PVT!$G$17</definedName>
    <definedName name="muo_list1_">PVT!$J$59:$J$99</definedName>
    <definedName name="muo_list2_">PVT!$K$59:$K$99</definedName>
    <definedName name="P_atma_">PVT!$C$8</definedName>
    <definedName name="Pb_atma_">PVT!$G$15</definedName>
    <definedName name="press_list0_">PVT!$B$59:$B$99</definedName>
    <definedName name="press_list1_">PVT!$C$59:$C$99</definedName>
    <definedName name="Psc_atma_">PVT!$K$2</definedName>
    <definedName name="Psep_atma_">PVT!$O$9</definedName>
    <definedName name="PVT_correlation_">PVT!$H$3</definedName>
    <definedName name="Ql_scm3day_">PVT!$K$8</definedName>
    <definedName name="Qo_sctday_">PVT!$K$10</definedName>
    <definedName name="rhoo_list1_">PVT!$H$59:$H$99</definedName>
    <definedName name="rhoo_list2_">PVT!$I$59:$I$99</definedName>
    <definedName name="Rp_m3m3_">PVT!$K$11</definedName>
    <definedName name="Rp_tm3_">PVT!$K$12</definedName>
    <definedName name="rs_list1_">PVT!$D$59:$D$99</definedName>
    <definedName name="rs_list2_">PVT!$E$59:$E$99</definedName>
    <definedName name="Rsb_m3m3_">PVT!$G$11</definedName>
    <definedName name="T_C_">PVT!$C$9</definedName>
    <definedName name="T_label_">PVT!$B$56</definedName>
    <definedName name="Tres_C_">PVT!$G$12</definedName>
    <definedName name="Tsc_C_">PVT!$K$3</definedName>
    <definedName name="Tsep_C_">PVT!$O$10</definedName>
    <definedName name="wc_perc_">PVT!$K$9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4" i="1" l="1"/>
  <c r="K12" i="1"/>
  <c r="K10" i="1"/>
  <c r="I35" i="1"/>
  <c r="I32" i="1"/>
  <c r="C34" i="1"/>
  <c r="O35" i="1"/>
  <c r="O33" i="1"/>
  <c r="I33" i="1"/>
  <c r="C45" i="1"/>
  <c r="O32" i="1"/>
  <c r="I37" i="1"/>
  <c r="C44" i="1"/>
  <c r="C43" i="1"/>
  <c r="C32" i="1"/>
  <c r="O37" i="1"/>
  <c r="O36" i="1"/>
  <c r="I36" i="1"/>
  <c r="B56" i="1" l="1"/>
  <c r="E35" i="1"/>
  <c r="E37" i="1"/>
  <c r="C36" i="1"/>
  <c r="C35" i="1"/>
  <c r="E34" i="1"/>
  <c r="C37" i="1"/>
  <c r="E33" i="1"/>
  <c r="I34" i="1"/>
  <c r="E32" i="1"/>
  <c r="E36" i="1"/>
  <c r="E23" i="1"/>
  <c r="E26" i="1"/>
  <c r="C33" i="1"/>
  <c r="C23" i="1"/>
  <c r="G23" i="1"/>
  <c r="C27" i="1"/>
  <c r="C28" i="1"/>
  <c r="C26" i="1"/>
  <c r="E27" i="1"/>
  <c r="B79" i="1" l="1"/>
  <c r="C25" i="1"/>
  <c r="C24" i="1"/>
  <c r="E28" i="1"/>
  <c r="B80" i="1" l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60" i="1"/>
  <c r="B61" i="1" s="1"/>
  <c r="B62" i="1" s="1"/>
  <c r="F23" i="1"/>
  <c r="F28" i="1"/>
  <c r="F27" i="1"/>
  <c r="F26" i="1"/>
  <c r="F32" i="1"/>
  <c r="F34" i="1"/>
  <c r="F35" i="1"/>
  <c r="F36" i="1"/>
  <c r="F37" i="1"/>
  <c r="F33" i="1"/>
  <c r="B63" i="1" l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1" authorId="0" shapeId="0" xr:uid="{FA49A20C-8C38-4F5C-9D7E-CEDC630BFB08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21.05.2018</t>
        </r>
      </text>
    </comment>
    <comment ref="A3" authorId="0" shapeId="0" xr:uid="{D0FC749E-6ED2-4C9F-A9C6-7D4BB8340DC8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
Замечания, предложения, дополнения можно оправлять Хабибуллину Ринату
khabibullin.ra@gubkin.ru</t>
        </r>
      </text>
    </comment>
    <comment ref="H3" authorId="0" shapeId="0" xr:uid="{41AD170C-0CEB-4B38-A476-B7D91A07AE68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Набор корреляций для расчета
0 - на основе корреляции Стендинга
1 - на основе корреляции Валко МакКейна</t>
        </r>
      </text>
    </comment>
    <comment ref="N7" authorId="0" shapeId="0" xr:uid="{3097EA89-79AB-4564-8265-E2E6B8C639CB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Моделируется сепарация газа на приеме насоса в скважине. 
Из потока отделяется часть свободного газа при определенном давлении и температуре - при этом свойства флюида также меняются
Ксееп = 0  отсутствие сепарации
Ксеп = 1 весь свободный газ отделяется из потока
Применяется для моделирования свойств флюидов в НКТ выше насоса</t>
        </r>
      </text>
    </comment>
    <comment ref="C8" authorId="0" shapeId="0" xr:uid="{FC9AD591-5113-44EB-AE94-B56C53B5A0E8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при котором проводится расчет</t>
        </r>
      </text>
    </comment>
    <comment ref="G8" authorId="0" shapeId="0" xr:uid="{82EEC001-4172-420D-8C64-C637DDA0ACA1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нефти</t>
        </r>
      </text>
    </comment>
    <comment ref="K8" authorId="0" shapeId="0" xr:uid="{BAF55DF7-998E-4587-A4FC-E23447CD9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C9" authorId="0" shapeId="0" xr:uid="{4F5D02AD-93F8-445B-BE6F-5CE7CC8FB0EA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Температура, при которой проводится расчет</t>
        </r>
      </text>
    </comment>
    <comment ref="G9" authorId="0" shapeId="0" xr:uid="{BB212886-EBC4-4D6C-8E98-7C4FB5CC0EB6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газа</t>
        </r>
      </text>
    </comment>
    <comment ref="K9" authorId="0" shapeId="0" xr:uid="{443B7ED5-ABB1-41EE-8701-169A51AAEB5C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G10" authorId="0" shapeId="0" xr:uid="{D286E573-CB0F-489D-9500-10A69E29D946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воды</t>
        </r>
      </text>
    </comment>
    <comment ref="G11" authorId="0" shapeId="0" xr:uid="{C6C937FD-71EB-45D0-90A7-B46A6047754D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в нефти 
при давлении насыщения</t>
        </r>
      </text>
    </comment>
    <comment ref="K11" authorId="0" shapeId="0" xr:uid="{5EB00D3E-8697-488A-9F90-BF467F1C507F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G12" authorId="0" shapeId="0" xr:uid="{839CB0E6-9270-425A-A217-6ED531EBC9D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Пластовая температура</t>
        </r>
      </text>
    </comment>
    <comment ref="K12" authorId="0" shapeId="0" xr:uid="{1A7EB864-213C-4701-891B-61E66C71487F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  <comment ref="G15" authorId="0" shapeId="0" xr:uid="{8C4AAFA8-748A-4384-B3B4-9DAAB5133D8E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(при пластовой температуре)
калибровочный параметр. Если не задан - не учитывается.</t>
        </r>
      </text>
    </comment>
    <comment ref="G16" authorId="0" shapeId="0" xr:uid="{1B934B93-E365-412B-B480-2C9D4547445D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
при давлении насыщения
калибровочный параметр. Если не задан - не учитывается.</t>
        </r>
      </text>
    </comment>
    <comment ref="G17" authorId="0" shapeId="0" xr:uid="{C14BB45E-6CDF-4E8A-937D-8C2A8FD732A4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давлении насыщения 
калибровочный параметр. Если не задан - не учитывается.</t>
        </r>
      </text>
    </comment>
    <comment ref="C23" authorId="0" shapeId="0" xr:uid="{46D5E229-501F-4529-9FC4-5843C95F4DCC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пластовой температуре с учетом калибровок</t>
        </r>
      </text>
    </comment>
    <comment ref="G23" authorId="0" shapeId="0" xr:uid="{14CCEB95-635B-47D0-A19E-89AFCE371AF6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заданной температуре с учетом калибровок</t>
        </r>
      </text>
    </comment>
    <comment ref="C32" authorId="0" shapeId="0" xr:uid="{6D5441CF-DFB5-4796-AEA5-0B80DCD45B27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с учетом калибровок</t>
        </r>
      </text>
    </comment>
    <comment ref="E32" authorId="0" shapeId="0" xr:uid="{57C6F657-E057-4A93-8208-790A0F64E5BA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без учета калибровок</t>
        </r>
      </text>
    </comment>
    <comment ref="C33" authorId="0" shapeId="0" xr:uid="{CEF5E3A9-9CBA-4181-827C-C85DCD165C28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с учетом калибровок</t>
        </r>
      </text>
    </comment>
    <comment ref="E33" authorId="0" shapeId="0" xr:uid="{CE614680-2B40-432F-AC49-756CDF9C1F25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без учета калибровок</t>
        </r>
      </text>
    </comment>
    <comment ref="I33" authorId="0" shapeId="0" xr:uid="{F36106B9-35E4-42C4-843C-6777D269B8B1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C34" authorId="0" shapeId="0" xr:uid="{4E7F4237-EAC8-4E31-8C21-2B242DD0ED14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с учетом калибровок</t>
        </r>
      </text>
    </comment>
    <comment ref="E34" authorId="0" shapeId="0" xr:uid="{04188B97-9632-41EC-8D13-49870E9EB23A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без учета калибровок</t>
        </r>
      </text>
    </comment>
    <comment ref="I34" authorId="0" shapeId="0" xr:uid="{878D0FA7-43C9-429D-99BB-72250EF4261F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z фактор газа при заданных условиях</t>
        </r>
      </text>
    </comment>
    <comment ref="O34" authorId="0" shapeId="0" xr:uid="{145E6C8A-2420-4242-9DAE-4CF3E634DFE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соленость воды при заданных условиях</t>
        </r>
      </text>
    </comment>
    <comment ref="C35" authorId="0" shapeId="0" xr:uid="{DB99D84B-72D9-462D-9AD9-767C05FD0843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с учетом калибровок</t>
        </r>
      </text>
    </comment>
    <comment ref="E35" authorId="0" shapeId="0" xr:uid="{CBD34DF7-30D7-4FA9-B3B8-F405A4D29139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без учета калибровок</t>
        </r>
      </text>
    </comment>
    <comment ref="C36" authorId="0" shapeId="0" xr:uid="{342A1E04-74B6-4212-A011-5724F9AFD022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с учетом калибровок</t>
        </r>
      </text>
    </comment>
    <comment ref="E36" authorId="0" shapeId="0" xr:uid="{869C7965-2957-4DF7-A89E-4BFB7FE057F6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без учета калибровок</t>
        </r>
      </text>
    </comment>
    <comment ref="C37" authorId="0" shapeId="0" xr:uid="{A8A6F627-2702-4B7D-85AF-0A3D079FC0C4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с учетом калибровок</t>
        </r>
      </text>
    </comment>
    <comment ref="E37" authorId="0" shapeId="0" xr:uid="{E77F9E78-1D49-40C9-B0D3-4730F87FD9EC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без учета калибровок</t>
        </r>
      </text>
    </comment>
    <comment ref="I37" authorId="0" shapeId="0" xr:uid="{7737451B-6B24-494D-AC4A-45B102C37691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O37" authorId="0" shapeId="0" xr:uid="{13323A35-400E-4252-B5E6-0C741D5E1998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воды при заданных условиях</t>
        </r>
      </text>
    </comment>
    <comment ref="C38" authorId="0" shapeId="0" xr:uid="{B31859F6-0E3A-4E2E-B37E-E5BE5488AA3E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нефти</t>
        </r>
      </text>
    </comment>
    <comment ref="I38" authorId="0" shapeId="0" xr:uid="{108113AD-0178-47EF-9E61-F4E8A27B459B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газа</t>
        </r>
      </text>
    </comment>
    <comment ref="O38" authorId="0" shapeId="0" xr:uid="{1E8BD37F-9EDB-4C20-9E5E-7C106244C43D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воды</t>
        </r>
      </text>
    </comment>
    <comment ref="C39" authorId="0" shapeId="0" xr:uid="{952E943D-270E-4A2B-94DC-18112C45D544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нефти
</t>
        </r>
      </text>
    </comment>
    <comment ref="I39" authorId="0" shapeId="0" xr:uid="{EA6FDB2F-D81D-4D78-B4D3-ABA28EAC17E8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газа
</t>
        </r>
      </text>
    </comment>
    <comment ref="O39" authorId="0" shapeId="0" xr:uid="{93A9DB99-437E-49F0-AEFE-7F6FB6DCC10D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воды
</t>
        </r>
      </text>
    </comment>
    <comment ref="B58" authorId="0" shapeId="0" xr:uid="{B856DB13-5880-42DD-9A1A-C340BB697C54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Этот солбец с давлениями можно менять - он определяет для каких значений давления будут построены графики</t>
        </r>
      </text>
    </comment>
  </commentList>
</comments>
</file>

<file path=xl/sharedStrings.xml><?xml version="1.0" encoding="utf-8"?>
<sst xmlns="http://schemas.openxmlformats.org/spreadsheetml/2006/main" count="126" uniqueCount="89">
  <si>
    <t>Калькулятор PVT свойств пластовых флюидов</t>
  </si>
  <si>
    <t>основан на Унифлок 7</t>
  </si>
  <si>
    <t>Исходные данные</t>
  </si>
  <si>
    <t>атма</t>
  </si>
  <si>
    <t>С</t>
  </si>
  <si>
    <t>Исходные термобарические условия</t>
  </si>
  <si>
    <t>Базовые свойства нефти</t>
  </si>
  <si>
    <t>Калибровочные параметры</t>
  </si>
  <si>
    <t>atma</t>
  </si>
  <si>
    <t>Набор корреляций</t>
  </si>
  <si>
    <t>сП</t>
  </si>
  <si>
    <t>Свойства смеси</t>
  </si>
  <si>
    <t>%</t>
  </si>
  <si>
    <t>Р</t>
  </si>
  <si>
    <t>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</si>
  <si>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</si>
  <si>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</si>
  <si>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</si>
  <si>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</si>
  <si>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</si>
  <si>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</si>
  <si>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μ</t>
    </r>
    <r>
      <rPr>
        <vertAlign val="subscript"/>
        <sz val="11"/>
        <color theme="1"/>
        <rFont val="Calibri"/>
        <family val="2"/>
        <charset val="204"/>
      </rPr>
      <t>ob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</si>
  <si>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</si>
  <si>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</si>
  <si>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</si>
  <si>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</si>
  <si>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</si>
  <si>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</si>
  <si>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</si>
  <si>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ρ</t>
    </r>
    <r>
      <rPr>
        <vertAlign val="subscript"/>
        <sz val="11"/>
        <color theme="1"/>
        <rFont val="Calibri"/>
        <family val="2"/>
        <charset val="204"/>
      </rPr>
      <t>ob</t>
    </r>
  </si>
  <si>
    <t>Стандартные условия</t>
  </si>
  <si>
    <t>C</t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</si>
  <si>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charset val="204"/>
        <scheme val="minor"/>
      </rPr>
      <t>С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</si>
  <si>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</si>
  <si>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</si>
  <si>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</si>
  <si>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r>
      <t>ρ</t>
    </r>
    <r>
      <rPr>
        <vertAlign val="subscript"/>
        <sz val="11"/>
        <color theme="1"/>
        <rFont val="Calibri"/>
        <family val="2"/>
        <charset val="204"/>
      </rPr>
      <t>o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</si>
  <si>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o sc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</si>
  <si>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</si>
  <si>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</si>
  <si>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ρ</t>
    </r>
    <r>
      <rPr>
        <vertAlign val="subscript"/>
        <sz val="11"/>
        <color theme="1"/>
        <rFont val="Calibri"/>
        <family val="2"/>
        <charset val="204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</si>
  <si>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</si>
  <si>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g</t>
    </r>
  </si>
  <si>
    <t>Z</t>
  </si>
  <si>
    <r>
      <t>ρ</t>
    </r>
    <r>
      <rPr>
        <vertAlign val="subscript"/>
        <sz val="11"/>
        <color theme="1"/>
        <rFont val="Calibri"/>
        <family val="2"/>
        <charset val="204"/>
      </rPr>
      <t>g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</si>
  <si>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</si>
  <si>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t>Модификация флюида при сепарации</t>
  </si>
  <si>
    <t>Ksep</t>
  </si>
  <si>
    <t>Psep</t>
  </si>
  <si>
    <t>Tsep</t>
  </si>
  <si>
    <r>
      <t>ρ</t>
    </r>
    <r>
      <rPr>
        <vertAlign val="subscript"/>
        <sz val="11"/>
        <color theme="1"/>
        <rFont val="Calibri"/>
        <family val="2"/>
        <charset val="204"/>
      </rPr>
      <t>g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</si>
  <si>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g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</si>
  <si>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</si>
  <si>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w sc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</si>
  <si>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</si>
  <si>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ρ</t>
    </r>
    <r>
      <rPr>
        <vertAlign val="subscript"/>
        <sz val="11"/>
        <color theme="1"/>
        <rFont val="Calibri"/>
        <family val="2"/>
        <charset val="204"/>
      </rPr>
      <t>w</t>
    </r>
  </si>
  <si>
    <r>
      <t>μ</t>
    </r>
    <r>
      <rPr>
        <vertAlign val="subscript"/>
        <sz val="11"/>
        <color theme="1"/>
        <rFont val="Calibri"/>
        <family val="2"/>
        <charset val="204"/>
      </rPr>
      <t>w</t>
    </r>
  </si>
  <si>
    <t>S</t>
  </si>
  <si>
    <t>Расчетные свойства пластовых флюидов</t>
  </si>
  <si>
    <t>Свойства нефти при давлении насыщения</t>
  </si>
  <si>
    <t>Свойства нефти при заданных условиях</t>
  </si>
  <si>
    <t>Свойства газа при заданных условиях</t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</si>
  <si>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</si>
  <si>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</si>
  <si>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t>Свойства воды при заданных условиях</t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</si>
  <si>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</si>
  <si>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</si>
  <si>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</si>
  <si>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</si>
  <si>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t>Свойства смеси при заданных условиях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</si>
  <si>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 sc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</si>
  <si>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/сут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</si>
  <si>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</si>
  <si>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ρ</t>
    </r>
    <r>
      <rPr>
        <vertAlign val="subscript"/>
        <sz val="11"/>
        <color theme="1"/>
        <rFont val="Calibri"/>
        <family val="2"/>
        <charset val="204"/>
      </rPr>
      <t>mix</t>
    </r>
  </si>
  <si>
    <r>
      <t>μ</t>
    </r>
    <r>
      <rPr>
        <vertAlign val="subscript"/>
        <sz val="11"/>
        <color theme="1"/>
        <rFont val="Calibri"/>
        <family val="2"/>
        <charset val="204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</si>
  <si>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</si>
  <si>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</si>
  <si>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t>Графики PVT свойств пластовых флюидов (от давления и температуры)</t>
  </si>
  <si>
    <t>Давление</t>
  </si>
  <si>
    <t>При текущей температуре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</si>
  <si>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sep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</si>
  <si>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o sc</t>
    </r>
  </si>
  <si>
    <t>т/сут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</si>
  <si>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/т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</si>
  <si>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</si>
  <si>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sep</t>
    </r>
  </si>
  <si>
    <r>
      <t>ρ</t>
    </r>
    <r>
      <rPr>
        <vertAlign val="subscript"/>
        <sz val="11"/>
        <color theme="1"/>
        <rFont val="Calibri"/>
        <family val="2"/>
        <charset val="204"/>
      </rPr>
      <t>o sep</t>
    </r>
  </si>
  <si>
    <r>
      <t>μ</t>
    </r>
    <r>
      <rPr>
        <vertAlign val="subscript"/>
        <sz val="11"/>
        <color theme="1"/>
        <rFont val="Calibri"/>
        <family val="2"/>
        <charset val="204"/>
      </rPr>
      <t>o sep</t>
    </r>
  </si>
  <si>
    <t>вер 0.1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</si>
</sst>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2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0" tint="-0.499984740745262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color theme="0" tint="-0.249977111117893"/>
      <name val="Calibri"/>
      <family val="2"/>
      <charset val="20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2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/>
    <xf numFmtId="0" fontId="0" fillId="3" borderId="0" xfId="0" applyFill="1"/>
    <xf numFmtId="0" fontId="2" fillId="0" borderId="0" xfId="0" applyFont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2" fillId="3" borderId="0" xfId="0" applyFont="1" applyFill="1" applyAlignment="1">
      <alignment horizontal="left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5" fillId="3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9" fillId="0" borderId="0" xfId="0" applyFont="1"/>
    <xf numFmtId="0" fontId="0" fillId="3" borderId="0" xfId="0" applyFill="1" applyAlignment="1"/>
    <xf numFmtId="1" fontId="9" fillId="3" borderId="0" xfId="0" applyNumberFormat="1" applyFont="1" applyFill="1" applyAlignment="1">
      <alignment horizontal="center" vertical="center"/>
    </xf>
    <xf numFmtId="9" fontId="9" fillId="3" borderId="0" xfId="1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2" fontId="9" fillId="3" borderId="0" xfId="0" applyNumberFormat="1" applyFont="1" applyFill="1" applyAlignment="1">
      <alignment horizontal="center" vertical="center"/>
    </xf>
    <xf numFmtId="164" fontId="9" fillId="3" borderId="0" xfId="0" applyNumberFormat="1" applyFon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2" fontId="0" fillId="4" borderId="0" xfId="0" applyNumberFormat="1" applyFill="1" applyAlignment="1">
      <alignment horizontal="center" vertical="center"/>
    </xf>
    <xf numFmtId="1" fontId="0" fillId="4" borderId="0" xfId="0" applyNumberFormat="1" applyFill="1" applyAlignment="1">
      <alignment horizontal="center" vertical="center"/>
    </xf>
    <xf numFmtId="164" fontId="0" fillId="4" borderId="0" xfId="0" applyNumberFormat="1" applyFill="1" applyAlignment="1">
      <alignment horizontal="center" vertical="center"/>
    </xf>
    <xf numFmtId="0" fontId="0" fillId="3" borderId="0" xfId="0" applyFill="1" applyAlignment="1">
      <alignment wrapText="1"/>
    </xf>
    <xf numFmtId="0" fontId="9" fillId="3" borderId="0" xfId="0" applyFont="1" applyFill="1"/>
    <xf numFmtId="0" fontId="2" fillId="0" borderId="0" xfId="0" applyFont="1"/>
    <xf numFmtId="0" fontId="0" fillId="0" borderId="0" xfId="0" applyAlignment="1">
      <alignment horizontal="center"/>
    </xf>
    <xf numFmtId="0" fontId="11" fillId="0" borderId="0" xfId="0" applyFont="1" applyAlignment="1">
      <alignment horizontal="center"/>
    </xf>
    <xf numFmtId="0" fontId="11" fillId="5" borderId="0" xfId="0" applyFont="1" applyFill="1" applyAlignment="1">
      <alignment horizontal="center"/>
    </xf>
    <xf numFmtId="1" fontId="0" fillId="0" borderId="0" xfId="0" applyNumberFormat="1" applyAlignment="1">
      <alignment horizontal="center" vertical="center" wrapText="1"/>
    </xf>
    <xf numFmtId="2" fontId="0" fillId="0" borderId="0" xfId="0" applyNumberFormat="1" applyAlignment="1">
      <alignment horizontal="center"/>
    </xf>
    <xf numFmtId="164" fontId="0" fillId="3" borderId="0" xfId="0" applyNumberFormat="1" applyFill="1" applyAlignment="1">
      <alignment horizontal="center" vertical="center" wrapText="1"/>
    </xf>
    <xf numFmtId="1" fontId="0" fillId="3" borderId="0" xfId="0" applyNumberFormat="1" applyFill="1" applyAlignment="1">
      <alignment horizontal="center" vertical="center" wrapText="1"/>
    </xf>
    <xf numFmtId="165" fontId="0" fillId="4" borderId="0" xfId="0" applyNumberFormat="1" applyFill="1" applyAlignment="1">
      <alignment horizontal="center" vertical="center"/>
    </xf>
    <xf numFmtId="1" fontId="0" fillId="0" borderId="0" xfId="0" applyNumberFormat="1" applyAlignment="1">
      <alignment horizontal="center" wrapText="1"/>
    </xf>
    <xf numFmtId="0" fontId="0" fillId="6" borderId="0" xfId="0" applyFill="1" applyAlignment="1">
      <alignment horizontal="center"/>
    </xf>
    <xf numFmtId="1" fontId="0" fillId="6" borderId="0" xfId="0" applyNumberFormat="1" applyFill="1" applyAlignment="1">
      <alignment horizontal="center"/>
    </xf>
    <xf numFmtId="164" fontId="2" fillId="6" borderId="0" xfId="0" applyNumberFormat="1" applyFont="1" applyFill="1" applyAlignment="1">
      <alignment horizontal="center"/>
    </xf>
    <xf numFmtId="0" fontId="0" fillId="3" borderId="0" xfId="0" applyFill="1" applyAlignment="1">
      <alignment horizontal="center" wrapText="1"/>
    </xf>
    <xf numFmtId="0" fontId="2" fillId="0" borderId="0" xfId="0" applyFont="1" applyAlignment="1">
      <alignment horizontal="center"/>
    </xf>
    <xf numFmtId="0" fontId="0" fillId="3" borderId="0" xfId="0" applyFill="1" applyAlignment="1">
      <alignment horizontal="center"/>
    </xf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Газосодержание в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PVT!$D$58</c:f>
              <c:strCache>
                <c:ptCount val="1"/>
                <c:pt idx="0">
                  <c:v>Rs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6.0184968088410882</c:v>
                </c:pt>
                <c:pt idx="2">
                  <c:v>11.036993617682176</c:v>
                </c:pt>
                <c:pt idx="3">
                  <c:v>16.055490426523264</c:v>
                </c:pt>
                <c:pt idx="4">
                  <c:v>21.073987235364353</c:v>
                </c:pt>
                <c:pt idx="5">
                  <c:v>26.092484044205442</c:v>
                </c:pt>
                <c:pt idx="6">
                  <c:v>31.110980853046531</c:v>
                </c:pt>
                <c:pt idx="7">
                  <c:v>36.12947766188762</c:v>
                </c:pt>
                <c:pt idx="8">
                  <c:v>41.147974470728705</c:v>
                </c:pt>
                <c:pt idx="9">
                  <c:v>46.166471279569791</c:v>
                </c:pt>
                <c:pt idx="10">
                  <c:v>51.184968088410876</c:v>
                </c:pt>
                <c:pt idx="11">
                  <c:v>56.203464897251962</c:v>
                </c:pt>
                <c:pt idx="12">
                  <c:v>61.221961706093047</c:v>
                </c:pt>
                <c:pt idx="13">
                  <c:v>66.240458514934133</c:v>
                </c:pt>
                <c:pt idx="14">
                  <c:v>71.258955323775226</c:v>
                </c:pt>
                <c:pt idx="15">
                  <c:v>76.277452132616318</c:v>
                </c:pt>
                <c:pt idx="16">
                  <c:v>81.295948941457411</c:v>
                </c:pt>
                <c:pt idx="17">
                  <c:v>86.314445750298503</c:v>
                </c:pt>
                <c:pt idx="18">
                  <c:v>91.332942559139596</c:v>
                </c:pt>
                <c:pt idx="19">
                  <c:v>96.351439367980689</c:v>
                </c:pt>
                <c:pt idx="20">
                  <c:v>101.36993617682177</c:v>
                </c:pt>
                <c:pt idx="21">
                  <c:v>111.30143936798068</c:v>
                </c:pt>
                <c:pt idx="22">
                  <c:v>121.23294255913959</c:v>
                </c:pt>
                <c:pt idx="23">
                  <c:v>131.16444575029851</c:v>
                </c:pt>
                <c:pt idx="24">
                  <c:v>141.09594894145744</c:v>
                </c:pt>
                <c:pt idx="25">
                  <c:v>151.02745213261636</c:v>
                </c:pt>
                <c:pt idx="26">
                  <c:v>160.95895532377529</c:v>
                </c:pt>
                <c:pt idx="27">
                  <c:v>170.89045851493421</c:v>
                </c:pt>
                <c:pt idx="28">
                  <c:v>180.82196170609313</c:v>
                </c:pt>
                <c:pt idx="29">
                  <c:v>190.75346489725206</c:v>
                </c:pt>
                <c:pt idx="30">
                  <c:v>200.68496808841098</c:v>
                </c:pt>
                <c:pt idx="31">
                  <c:v>210.61647127956991</c:v>
                </c:pt>
                <c:pt idx="32">
                  <c:v>220.54797447072883</c:v>
                </c:pt>
                <c:pt idx="33">
                  <c:v>230.47947766188776</c:v>
                </c:pt>
                <c:pt idx="34">
                  <c:v>240.41098085304668</c:v>
                </c:pt>
                <c:pt idx="35">
                  <c:v>250.34248404420561</c:v>
                </c:pt>
                <c:pt idx="36">
                  <c:v>260.27398723536453</c:v>
                </c:pt>
                <c:pt idx="37">
                  <c:v>270.20549042652345</c:v>
                </c:pt>
                <c:pt idx="38">
                  <c:v>280.13699361768238</c:v>
                </c:pt>
                <c:pt idx="39">
                  <c:v>290.0684968088413</c:v>
                </c:pt>
                <c:pt idx="40">
                  <c:v>300</c:v>
                </c:pt>
              </c:numCache>
            </c:numRef>
          </c:xVal>
          <c:yVal>
            <c:numRef>
              <c:f>PVT!$D$59:$D$99</c:f>
              <c:numCache>
                <c:formatCode>General</c:formatCode>
                <c:ptCount val="41"/>
                <c:pt idx="0">
                  <c:v>0.31755036839249345</c:v>
                </c:pt>
                <c:pt idx="1">
                  <c:v>2.7562348175454416</c:v>
                </c:pt>
                <c:pt idx="2">
                  <c:v>5.7201178135314574</c:v>
                </c:pt>
                <c:pt idx="3">
                  <c:v>8.9822141754547538</c:v>
                </c:pt>
                <c:pt idx="4">
                  <c:v>12.462456715853911</c:v>
                </c:pt>
                <c:pt idx="5">
                  <c:v>16.117482023140681</c:v>
                </c:pt>
                <c:pt idx="6">
                  <c:v>19.919604897165716</c:v>
                </c:pt>
                <c:pt idx="7">
                  <c:v>23.849434566976239</c:v>
                </c:pt>
                <c:pt idx="8">
                  <c:v>27.892546695224752</c:v>
                </c:pt>
                <c:pt idx="9">
                  <c:v>32.03774529894681</c:v>
                </c:pt>
                <c:pt idx="10">
                  <c:v>36.276060279006217</c:v>
                </c:pt>
                <c:pt idx="11">
                  <c:v>40.60012602134681</c:v>
                </c:pt>
                <c:pt idx="12">
                  <c:v>45.003774460143433</c:v>
                </c:pt>
                <c:pt idx="13">
                  <c:v>49.481756772690701</c:v>
                </c:pt>
                <c:pt idx="14">
                  <c:v>54.029546232314217</c:v>
                </c:pt>
                <c:pt idx="15">
                  <c:v>58.643194425074618</c:v>
                </c:pt>
                <c:pt idx="16">
                  <c:v>63.319223781459385</c:v>
                </c:pt>
                <c:pt idx="17">
                  <c:v>68.054545550037702</c:v>
                </c:pt>
                <c:pt idx="18">
                  <c:v>72.846396045477206</c:v>
                </c:pt>
                <c:pt idx="19">
                  <c:v>77.692286309540378</c:v>
                </c:pt>
                <c:pt idx="20">
                  <c:v>82.589961805176642</c:v>
                </c:pt>
                <c:pt idx="21">
                  <c:v>92.427149825317088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87-4F22-A2B7-DD44466F8A7F}"/>
            </c:ext>
          </c:extLst>
        </c:ser>
        <c:ser>
          <c:idx val="1"/>
          <c:order val="1"/>
          <c:tx>
            <c:strRef>
              <c:f>PVT!$E$58</c:f>
              <c:strCache>
                <c:ptCount val="1"/>
                <c:pt idx="0">
                  <c:v>Rs sep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6.0184968088410882</c:v>
                </c:pt>
                <c:pt idx="2">
                  <c:v>11.036993617682176</c:v>
                </c:pt>
                <c:pt idx="3">
                  <c:v>16.055490426523264</c:v>
                </c:pt>
                <c:pt idx="4">
                  <c:v>21.073987235364353</c:v>
                </c:pt>
                <c:pt idx="5">
                  <c:v>26.092484044205442</c:v>
                </c:pt>
                <c:pt idx="6">
                  <c:v>31.110980853046531</c:v>
                </c:pt>
                <c:pt idx="7">
                  <c:v>36.12947766188762</c:v>
                </c:pt>
                <c:pt idx="8">
                  <c:v>41.147974470728705</c:v>
                </c:pt>
                <c:pt idx="9">
                  <c:v>46.166471279569791</c:v>
                </c:pt>
                <c:pt idx="10">
                  <c:v>51.184968088410876</c:v>
                </c:pt>
                <c:pt idx="11">
                  <c:v>56.203464897251962</c:v>
                </c:pt>
                <c:pt idx="12">
                  <c:v>61.221961706093047</c:v>
                </c:pt>
                <c:pt idx="13">
                  <c:v>66.240458514934133</c:v>
                </c:pt>
                <c:pt idx="14">
                  <c:v>71.258955323775226</c:v>
                </c:pt>
                <c:pt idx="15">
                  <c:v>76.277452132616318</c:v>
                </c:pt>
                <c:pt idx="16">
                  <c:v>81.295948941457411</c:v>
                </c:pt>
                <c:pt idx="17">
                  <c:v>86.314445750298503</c:v>
                </c:pt>
                <c:pt idx="18">
                  <c:v>91.332942559139596</c:v>
                </c:pt>
                <c:pt idx="19">
                  <c:v>96.351439367980689</c:v>
                </c:pt>
                <c:pt idx="20">
                  <c:v>101.36993617682177</c:v>
                </c:pt>
                <c:pt idx="21">
                  <c:v>111.30143936798068</c:v>
                </c:pt>
                <c:pt idx="22">
                  <c:v>121.23294255913959</c:v>
                </c:pt>
                <c:pt idx="23">
                  <c:v>131.16444575029851</c:v>
                </c:pt>
                <c:pt idx="24">
                  <c:v>141.09594894145744</c:v>
                </c:pt>
                <c:pt idx="25">
                  <c:v>151.02745213261636</c:v>
                </c:pt>
                <c:pt idx="26">
                  <c:v>160.95895532377529</c:v>
                </c:pt>
                <c:pt idx="27">
                  <c:v>170.89045851493421</c:v>
                </c:pt>
                <c:pt idx="28">
                  <c:v>180.82196170609313</c:v>
                </c:pt>
                <c:pt idx="29">
                  <c:v>190.75346489725206</c:v>
                </c:pt>
                <c:pt idx="30">
                  <c:v>200.68496808841098</c:v>
                </c:pt>
                <c:pt idx="31">
                  <c:v>210.61647127956991</c:v>
                </c:pt>
                <c:pt idx="32">
                  <c:v>220.54797447072883</c:v>
                </c:pt>
                <c:pt idx="33">
                  <c:v>230.47947766188776</c:v>
                </c:pt>
                <c:pt idx="34">
                  <c:v>240.41098085304668</c:v>
                </c:pt>
                <c:pt idx="35">
                  <c:v>250.34248404420561</c:v>
                </c:pt>
                <c:pt idx="36">
                  <c:v>260.27398723536453</c:v>
                </c:pt>
                <c:pt idx="37">
                  <c:v>270.20549042652345</c:v>
                </c:pt>
                <c:pt idx="38">
                  <c:v>280.13699361768238</c:v>
                </c:pt>
                <c:pt idx="39">
                  <c:v>290.0684968088413</c:v>
                </c:pt>
                <c:pt idx="40">
                  <c:v>300</c:v>
                </c:pt>
              </c:numCache>
            </c:numRef>
          </c:xVal>
          <c:yVal>
            <c:numRef>
              <c:f>PVT!$E$59:$E$99</c:f>
              <c:numCache>
                <c:formatCode>General</c:formatCode>
                <c:ptCount val="41"/>
                <c:pt idx="0">
                  <c:v>0.31582109535205705</c:v>
                </c:pt>
                <c:pt idx="1">
                  <c:v>2.7412252850822245</c:v>
                </c:pt>
                <c:pt idx="2">
                  <c:v>5.6889679661131272</c:v>
                </c:pt>
                <c:pt idx="3">
                  <c:v>8.933300042885266</c:v>
                </c:pt>
                <c:pt idx="4">
                  <c:v>12.39459034704625</c:v>
                </c:pt>
                <c:pt idx="5">
                  <c:v>16.029711609636113</c:v>
                </c:pt>
                <c:pt idx="6">
                  <c:v>19.811129394840872</c:v>
                </c:pt>
                <c:pt idx="7">
                  <c:v>23.719558527357382</c:v>
                </c:pt>
                <c:pt idx="8">
                  <c:v>27.740653219952357</c:v>
                </c:pt>
                <c:pt idx="9">
                  <c:v>31.863278459237893</c:v>
                </c:pt>
                <c:pt idx="10">
                  <c:v>36.078512994235957</c:v>
                </c:pt>
                <c:pt idx="11">
                  <c:v>40.379031321559658</c:v>
                </c:pt>
                <c:pt idx="12">
                  <c:v>44.758698964606225</c:v>
                </c:pt>
                <c:pt idx="13">
                  <c:v>49.212295684002271</c:v>
                </c:pt>
                <c:pt idx="14">
                  <c:v>53.735319404112047</c:v>
                </c:pt>
                <c:pt idx="15">
                  <c:v>58.323843212737124</c:v>
                </c:pt>
                <c:pt idx="16">
                  <c:v>62.974408478044886</c:v>
                </c:pt>
                <c:pt idx="17">
                  <c:v>67.683943268911165</c:v>
                </c:pt>
                <c:pt idx="18">
                  <c:v>72.44969895010901</c:v>
                </c:pt>
                <c:pt idx="19">
                  <c:v>77.269200117434622</c:v>
                </c:pt>
                <c:pt idx="20">
                  <c:v>82.623539041055793</c:v>
                </c:pt>
                <c:pt idx="21">
                  <c:v>82.623539041055793</c:v>
                </c:pt>
                <c:pt idx="22">
                  <c:v>82.623539041055793</c:v>
                </c:pt>
                <c:pt idx="23">
                  <c:v>82.623539041055793</c:v>
                </c:pt>
                <c:pt idx="24">
                  <c:v>82.623539041055793</c:v>
                </c:pt>
                <c:pt idx="25">
                  <c:v>82.623539041055793</c:v>
                </c:pt>
                <c:pt idx="26">
                  <c:v>82.623539041055793</c:v>
                </c:pt>
                <c:pt idx="27">
                  <c:v>82.623539041055793</c:v>
                </c:pt>
                <c:pt idx="28">
                  <c:v>82.623539041055793</c:v>
                </c:pt>
                <c:pt idx="29">
                  <c:v>82.623539041055793</c:v>
                </c:pt>
                <c:pt idx="30">
                  <c:v>82.623539041055793</c:v>
                </c:pt>
                <c:pt idx="31">
                  <c:v>82.623539041055793</c:v>
                </c:pt>
                <c:pt idx="32">
                  <c:v>82.623539041055793</c:v>
                </c:pt>
                <c:pt idx="33">
                  <c:v>82.623539041055793</c:v>
                </c:pt>
                <c:pt idx="34">
                  <c:v>82.623539041055793</c:v>
                </c:pt>
                <c:pt idx="35">
                  <c:v>82.623539041055793</c:v>
                </c:pt>
                <c:pt idx="36">
                  <c:v>82.623539041055793</c:v>
                </c:pt>
                <c:pt idx="37">
                  <c:v>82.623539041055793</c:v>
                </c:pt>
                <c:pt idx="38">
                  <c:v>82.623539041055793</c:v>
                </c:pt>
                <c:pt idx="39">
                  <c:v>82.623539041055793</c:v>
                </c:pt>
                <c:pt idx="40">
                  <c:v>82.623539041055793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F3-40AE-A8ED-2959D4AB44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22128"/>
        <c:axId val="442636720"/>
      </c:scatterChart>
      <c:valAx>
        <c:axId val="453022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42636720"/>
        <c:crosses val="autoZero"/>
        <c:crossBetween val="midCat"/>
      </c:valAx>
      <c:valAx>
        <c:axId val="442636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Газосодержание,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30221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Плотность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PVT!$H$58</c:f>
              <c:strCache>
                <c:ptCount val="1"/>
                <c:pt idx="0">
                  <c:v>ρo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6.0184968088410882</c:v>
                </c:pt>
                <c:pt idx="2">
                  <c:v>11.036993617682176</c:v>
                </c:pt>
                <c:pt idx="3">
                  <c:v>16.055490426523264</c:v>
                </c:pt>
                <c:pt idx="4">
                  <c:v>21.073987235364353</c:v>
                </c:pt>
                <c:pt idx="5">
                  <c:v>26.092484044205442</c:v>
                </c:pt>
                <c:pt idx="6">
                  <c:v>31.110980853046531</c:v>
                </c:pt>
                <c:pt idx="7">
                  <c:v>36.12947766188762</c:v>
                </c:pt>
                <c:pt idx="8">
                  <c:v>41.147974470728705</c:v>
                </c:pt>
                <c:pt idx="9">
                  <c:v>46.166471279569791</c:v>
                </c:pt>
                <c:pt idx="10">
                  <c:v>51.184968088410876</c:v>
                </c:pt>
                <c:pt idx="11">
                  <c:v>56.203464897251962</c:v>
                </c:pt>
                <c:pt idx="12">
                  <c:v>61.221961706093047</c:v>
                </c:pt>
                <c:pt idx="13">
                  <c:v>66.240458514934133</c:v>
                </c:pt>
                <c:pt idx="14">
                  <c:v>71.258955323775226</c:v>
                </c:pt>
                <c:pt idx="15">
                  <c:v>76.277452132616318</c:v>
                </c:pt>
                <c:pt idx="16">
                  <c:v>81.295948941457411</c:v>
                </c:pt>
                <c:pt idx="17">
                  <c:v>86.314445750298503</c:v>
                </c:pt>
                <c:pt idx="18">
                  <c:v>91.332942559139596</c:v>
                </c:pt>
                <c:pt idx="19">
                  <c:v>96.351439367980689</c:v>
                </c:pt>
                <c:pt idx="20">
                  <c:v>101.36993617682177</c:v>
                </c:pt>
                <c:pt idx="21">
                  <c:v>111.30143936798068</c:v>
                </c:pt>
                <c:pt idx="22">
                  <c:v>121.23294255913959</c:v>
                </c:pt>
                <c:pt idx="23">
                  <c:v>131.16444575029851</c:v>
                </c:pt>
                <c:pt idx="24">
                  <c:v>141.09594894145744</c:v>
                </c:pt>
                <c:pt idx="25">
                  <c:v>151.02745213261636</c:v>
                </c:pt>
                <c:pt idx="26">
                  <c:v>160.95895532377529</c:v>
                </c:pt>
                <c:pt idx="27">
                  <c:v>170.89045851493421</c:v>
                </c:pt>
                <c:pt idx="28">
                  <c:v>180.82196170609313</c:v>
                </c:pt>
                <c:pt idx="29">
                  <c:v>190.75346489725206</c:v>
                </c:pt>
                <c:pt idx="30">
                  <c:v>200.68496808841098</c:v>
                </c:pt>
                <c:pt idx="31">
                  <c:v>210.61647127956991</c:v>
                </c:pt>
                <c:pt idx="32">
                  <c:v>220.54797447072883</c:v>
                </c:pt>
                <c:pt idx="33">
                  <c:v>230.47947766188776</c:v>
                </c:pt>
                <c:pt idx="34">
                  <c:v>240.41098085304668</c:v>
                </c:pt>
                <c:pt idx="35">
                  <c:v>250.34248404420561</c:v>
                </c:pt>
                <c:pt idx="36">
                  <c:v>260.27398723536453</c:v>
                </c:pt>
                <c:pt idx="37">
                  <c:v>270.20549042652345</c:v>
                </c:pt>
                <c:pt idx="38">
                  <c:v>280.13699361768238</c:v>
                </c:pt>
                <c:pt idx="39">
                  <c:v>290.0684968088413</c:v>
                </c:pt>
                <c:pt idx="40">
                  <c:v>300</c:v>
                </c:pt>
              </c:numCache>
            </c:numRef>
          </c:xVal>
          <c:yVal>
            <c:numRef>
              <c:f>PVT!$H$59:$H$99</c:f>
              <c:numCache>
                <c:formatCode>General</c:formatCode>
                <c:ptCount val="41"/>
                <c:pt idx="0">
                  <c:v>835.1228795357232</c:v>
                </c:pt>
                <c:pt idx="1">
                  <c:v>833.0407413703806</c:v>
                </c:pt>
                <c:pt idx="2">
                  <c:v>830.47073130238982</c:v>
                </c:pt>
                <c:pt idx="3">
                  <c:v>827.59901200524371</c:v>
                </c:pt>
                <c:pt idx="4">
                  <c:v>824.49319343422292</c:v>
                </c:pt>
                <c:pt idx="5">
                  <c:v>821.19262951926964</c:v>
                </c:pt>
                <c:pt idx="6">
                  <c:v>817.72496242765317</c:v>
                </c:pt>
                <c:pt idx="7">
                  <c:v>814.11169155813582</c:v>
                </c:pt>
                <c:pt idx="8">
                  <c:v>810.37058058566561</c:v>
                </c:pt>
                <c:pt idx="9">
                  <c:v>806.51686852874525</c:v>
                </c:pt>
                <c:pt idx="10">
                  <c:v>802.56394828500481</c:v>
                </c:pt>
                <c:pt idx="11">
                  <c:v>798.52377982719474</c:v>
                </c:pt>
                <c:pt idx="12">
                  <c:v>794.40715957840212</c:v>
                </c:pt>
                <c:pt idx="13">
                  <c:v>790.22390645204075</c:v>
                </c:pt>
                <c:pt idx="14">
                  <c:v>785.98299686307462</c:v>
                </c:pt>
                <c:pt idx="15">
                  <c:v>781.69266698269996</c:v>
                </c:pt>
                <c:pt idx="16">
                  <c:v>777.36049307749295</c:v>
                </c:pt>
                <c:pt idx="17">
                  <c:v>772.99345663357064</c:v>
                </c:pt>
                <c:pt idx="18">
                  <c:v>768.59799855739175</c:v>
                </c:pt>
                <c:pt idx="19">
                  <c:v>764.18006528997273</c:v>
                </c:pt>
                <c:pt idx="20">
                  <c:v>759.74514876344119</c:v>
                </c:pt>
                <c:pt idx="21">
                  <c:v>750.93793818131905</c:v>
                </c:pt>
                <c:pt idx="22">
                  <c:v>744.84332135999603</c:v>
                </c:pt>
                <c:pt idx="23">
                  <c:v>746.59734965026996</c:v>
                </c:pt>
                <c:pt idx="24">
                  <c:v>748.1077507123465</c:v>
                </c:pt>
                <c:pt idx="25">
                  <c:v>749.42198407935734</c:v>
                </c:pt>
                <c:pt idx="26">
                  <c:v>750.57593441313588</c:v>
                </c:pt>
                <c:pt idx="27">
                  <c:v>751.59723730496887</c:v>
                </c:pt>
                <c:pt idx="28">
                  <c:v>752.5075207142205</c:v>
                </c:pt>
                <c:pt idx="29">
                  <c:v>753.3239532484755</c:v>
                </c:pt>
                <c:pt idx="30">
                  <c:v>754.06033710334782</c:v>
                </c:pt>
                <c:pt idx="31">
                  <c:v>754.72789458951763</c:v>
                </c:pt>
                <c:pt idx="32">
                  <c:v>755.33584399284166</c:v>
                </c:pt>
                <c:pt idx="33">
                  <c:v>755.89182778321594</c:v>
                </c:pt>
                <c:pt idx="34">
                  <c:v>756.40223552880559</c:v>
                </c:pt>
                <c:pt idx="35">
                  <c:v>756.87245053257436</c:v>
                </c:pt>
                <c:pt idx="36">
                  <c:v>757.30704041556987</c:v>
                </c:pt>
                <c:pt idx="37">
                  <c:v>757.70990596676438</c:v>
                </c:pt>
                <c:pt idx="38">
                  <c:v>758.0843985456753</c:v>
                </c:pt>
                <c:pt idx="39">
                  <c:v>758.4334135251014</c:v>
                </c:pt>
                <c:pt idx="40">
                  <c:v>758.7594652910168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05-40FE-BF07-5B54B086A636}"/>
            </c:ext>
          </c:extLst>
        </c:ser>
        <c:ser>
          <c:idx val="1"/>
          <c:order val="1"/>
          <c:tx>
            <c:strRef>
              <c:f>PVT!$I$58</c:f>
              <c:strCache>
                <c:ptCount val="1"/>
                <c:pt idx="0">
                  <c:v>ρo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6.0184968088410882</c:v>
                </c:pt>
                <c:pt idx="2">
                  <c:v>11.036993617682176</c:v>
                </c:pt>
                <c:pt idx="3">
                  <c:v>16.055490426523264</c:v>
                </c:pt>
                <c:pt idx="4">
                  <c:v>21.073987235364353</c:v>
                </c:pt>
                <c:pt idx="5">
                  <c:v>26.092484044205442</c:v>
                </c:pt>
                <c:pt idx="6">
                  <c:v>31.110980853046531</c:v>
                </c:pt>
                <c:pt idx="7">
                  <c:v>36.12947766188762</c:v>
                </c:pt>
                <c:pt idx="8">
                  <c:v>41.147974470728705</c:v>
                </c:pt>
                <c:pt idx="9">
                  <c:v>46.166471279569791</c:v>
                </c:pt>
                <c:pt idx="10">
                  <c:v>51.184968088410876</c:v>
                </c:pt>
                <c:pt idx="11">
                  <c:v>56.203464897251962</c:v>
                </c:pt>
                <c:pt idx="12">
                  <c:v>61.221961706093047</c:v>
                </c:pt>
                <c:pt idx="13">
                  <c:v>66.240458514934133</c:v>
                </c:pt>
                <c:pt idx="14">
                  <c:v>71.258955323775226</c:v>
                </c:pt>
                <c:pt idx="15">
                  <c:v>76.277452132616318</c:v>
                </c:pt>
                <c:pt idx="16">
                  <c:v>81.295948941457411</c:v>
                </c:pt>
                <c:pt idx="17">
                  <c:v>86.314445750298503</c:v>
                </c:pt>
                <c:pt idx="18">
                  <c:v>91.332942559139596</c:v>
                </c:pt>
                <c:pt idx="19">
                  <c:v>96.351439367980689</c:v>
                </c:pt>
                <c:pt idx="20">
                  <c:v>101.36993617682177</c:v>
                </c:pt>
                <c:pt idx="21">
                  <c:v>111.30143936798068</c:v>
                </c:pt>
                <c:pt idx="22">
                  <c:v>121.23294255913959</c:v>
                </c:pt>
                <c:pt idx="23">
                  <c:v>131.16444575029851</c:v>
                </c:pt>
                <c:pt idx="24">
                  <c:v>141.09594894145744</c:v>
                </c:pt>
                <c:pt idx="25">
                  <c:v>151.02745213261636</c:v>
                </c:pt>
                <c:pt idx="26">
                  <c:v>160.95895532377529</c:v>
                </c:pt>
                <c:pt idx="27">
                  <c:v>170.89045851493421</c:v>
                </c:pt>
                <c:pt idx="28">
                  <c:v>180.82196170609313</c:v>
                </c:pt>
                <c:pt idx="29">
                  <c:v>190.75346489725206</c:v>
                </c:pt>
                <c:pt idx="30">
                  <c:v>200.68496808841098</c:v>
                </c:pt>
                <c:pt idx="31">
                  <c:v>210.61647127956991</c:v>
                </c:pt>
                <c:pt idx="32">
                  <c:v>220.54797447072883</c:v>
                </c:pt>
                <c:pt idx="33">
                  <c:v>230.47947766188776</c:v>
                </c:pt>
                <c:pt idx="34">
                  <c:v>240.41098085304668</c:v>
                </c:pt>
                <c:pt idx="35">
                  <c:v>250.34248404420561</c:v>
                </c:pt>
                <c:pt idx="36">
                  <c:v>260.27398723536453</c:v>
                </c:pt>
                <c:pt idx="37">
                  <c:v>270.20549042652345</c:v>
                </c:pt>
                <c:pt idx="38">
                  <c:v>280.13699361768238</c:v>
                </c:pt>
                <c:pt idx="39">
                  <c:v>290.0684968088413</c:v>
                </c:pt>
                <c:pt idx="40">
                  <c:v>300</c:v>
                </c:pt>
              </c:numCache>
            </c:numRef>
          </c:xVal>
          <c:yVal>
            <c:numRef>
              <c:f>PVT!$I$59:$I$99</c:f>
              <c:numCache>
                <c:formatCode>General</c:formatCode>
                <c:ptCount val="41"/>
                <c:pt idx="0">
                  <c:v>835.11863164778708</c:v>
                </c:pt>
                <c:pt idx="1">
                  <c:v>833.04702853940933</c:v>
                </c:pt>
                <c:pt idx="2">
                  <c:v>830.49022321601251</c:v>
                </c:pt>
                <c:pt idx="3">
                  <c:v>827.63344270778123</c:v>
                </c:pt>
                <c:pt idx="4">
                  <c:v>824.54391997578807</c:v>
                </c:pt>
                <c:pt idx="5">
                  <c:v>821.26076000904936</c:v>
                </c:pt>
                <c:pt idx="6">
                  <c:v>817.81141026046203</c:v>
                </c:pt>
                <c:pt idx="7">
                  <c:v>814.21720626211413</c:v>
                </c:pt>
                <c:pt idx="8">
                  <c:v>810.49576897508928</c:v>
                </c:pt>
                <c:pt idx="9">
                  <c:v>806.66221101218321</c:v>
                </c:pt>
                <c:pt idx="10">
                  <c:v>802.72981235895736</c:v>
                </c:pt>
                <c:pt idx="11">
                  <c:v>798.71043171716713</c:v>
                </c:pt>
                <c:pt idx="12">
                  <c:v>794.61477453313069</c:v>
                </c:pt>
                <c:pt idx="13">
                  <c:v>790.45257798261196</c:v>
                </c:pt>
                <c:pt idx="14">
                  <c:v>786.23274511019474</c:v>
                </c:pt>
                <c:pt idx="15">
                  <c:v>781.9634463364398</c:v>
                </c:pt>
                <c:pt idx="16">
                  <c:v>777.65219913975875</c:v>
                </c:pt>
                <c:pt idx="17">
                  <c:v>773.30593259267584</c:v>
                </c:pt>
                <c:pt idx="18">
                  <c:v>768.93104103060546</c:v>
                </c:pt>
                <c:pt idx="19">
                  <c:v>764.53342968073991</c:v>
                </c:pt>
                <c:pt idx="20">
                  <c:v>759.68219725807171</c:v>
                </c:pt>
                <c:pt idx="21">
                  <c:v>761.51257243325699</c:v>
                </c:pt>
                <c:pt idx="22">
                  <c:v>763.04644091298701</c:v>
                </c:pt>
                <c:pt idx="23">
                  <c:v>764.35044958187086</c:v>
                </c:pt>
                <c:pt idx="24">
                  <c:v>765.47266420638573</c:v>
                </c:pt>
                <c:pt idx="25">
                  <c:v>766.44862283599014</c:v>
                </c:pt>
                <c:pt idx="26">
                  <c:v>767.30516751238679</c:v>
                </c:pt>
                <c:pt idx="27">
                  <c:v>768.06295072525597</c:v>
                </c:pt>
                <c:pt idx="28">
                  <c:v>768.73812221066112</c:v>
                </c:pt>
                <c:pt idx="29">
                  <c:v>769.34349264058585</c:v>
                </c:pt>
                <c:pt idx="30">
                  <c:v>769.88935416292793</c:v>
                </c:pt>
                <c:pt idx="31">
                  <c:v>770.38407031301563</c:v>
                </c:pt>
                <c:pt idx="32">
                  <c:v>770.83450753781494</c:v>
                </c:pt>
                <c:pt idx="33">
                  <c:v>771.24635582077451</c:v>
                </c:pt>
                <c:pt idx="34">
                  <c:v>771.6243702918631</c:v>
                </c:pt>
                <c:pt idx="35">
                  <c:v>771.97255564410466</c:v>
                </c:pt>
                <c:pt idx="36">
                  <c:v>772.29430855215423</c:v>
                </c:pt>
                <c:pt idx="37">
                  <c:v>772.59252884321415</c:v>
                </c:pt>
                <c:pt idx="38">
                  <c:v>772.86970713667699</c:v>
                </c:pt>
                <c:pt idx="39">
                  <c:v>773.12799456537698</c:v>
                </c:pt>
                <c:pt idx="40">
                  <c:v>773.36925871167671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05-40FE-BF07-5B54B086A6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22128"/>
        <c:axId val="442636720"/>
      </c:scatterChart>
      <c:valAx>
        <c:axId val="453022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42636720"/>
        <c:crosses val="autoZero"/>
        <c:crossBetween val="midCat"/>
      </c:valAx>
      <c:valAx>
        <c:axId val="442636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30221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</a:t>
            </a:r>
            <a:r>
              <a:rPr lang="ru-RU" baseline="0"/>
              <a:t> коэффициент</a:t>
            </a:r>
            <a:r>
              <a:rPr lang="ru-RU"/>
              <a:t>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PVT!$F$58</c:f>
              <c:strCache>
                <c:ptCount val="1"/>
                <c:pt idx="0">
                  <c:v>Bo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6.0184968088410882</c:v>
                </c:pt>
                <c:pt idx="2">
                  <c:v>11.036993617682176</c:v>
                </c:pt>
                <c:pt idx="3">
                  <c:v>16.055490426523264</c:v>
                </c:pt>
                <c:pt idx="4">
                  <c:v>21.073987235364353</c:v>
                </c:pt>
                <c:pt idx="5">
                  <c:v>26.092484044205442</c:v>
                </c:pt>
                <c:pt idx="6">
                  <c:v>31.110980853046531</c:v>
                </c:pt>
                <c:pt idx="7">
                  <c:v>36.12947766188762</c:v>
                </c:pt>
                <c:pt idx="8">
                  <c:v>41.147974470728705</c:v>
                </c:pt>
                <c:pt idx="9">
                  <c:v>46.166471279569791</c:v>
                </c:pt>
                <c:pt idx="10">
                  <c:v>51.184968088410876</c:v>
                </c:pt>
                <c:pt idx="11">
                  <c:v>56.203464897251962</c:v>
                </c:pt>
                <c:pt idx="12">
                  <c:v>61.221961706093047</c:v>
                </c:pt>
                <c:pt idx="13">
                  <c:v>66.240458514934133</c:v>
                </c:pt>
                <c:pt idx="14">
                  <c:v>71.258955323775226</c:v>
                </c:pt>
                <c:pt idx="15">
                  <c:v>76.277452132616318</c:v>
                </c:pt>
                <c:pt idx="16">
                  <c:v>81.295948941457411</c:v>
                </c:pt>
                <c:pt idx="17">
                  <c:v>86.314445750298503</c:v>
                </c:pt>
                <c:pt idx="18">
                  <c:v>91.332942559139596</c:v>
                </c:pt>
                <c:pt idx="19">
                  <c:v>96.351439367980689</c:v>
                </c:pt>
                <c:pt idx="20">
                  <c:v>101.36993617682177</c:v>
                </c:pt>
                <c:pt idx="21">
                  <c:v>111.30143936798068</c:v>
                </c:pt>
                <c:pt idx="22">
                  <c:v>121.23294255913959</c:v>
                </c:pt>
                <c:pt idx="23">
                  <c:v>131.16444575029851</c:v>
                </c:pt>
                <c:pt idx="24">
                  <c:v>141.09594894145744</c:v>
                </c:pt>
                <c:pt idx="25">
                  <c:v>151.02745213261636</c:v>
                </c:pt>
                <c:pt idx="26">
                  <c:v>160.95895532377529</c:v>
                </c:pt>
                <c:pt idx="27">
                  <c:v>170.89045851493421</c:v>
                </c:pt>
                <c:pt idx="28">
                  <c:v>180.82196170609313</c:v>
                </c:pt>
                <c:pt idx="29">
                  <c:v>190.75346489725206</c:v>
                </c:pt>
                <c:pt idx="30">
                  <c:v>200.68496808841098</c:v>
                </c:pt>
                <c:pt idx="31">
                  <c:v>210.61647127956991</c:v>
                </c:pt>
                <c:pt idx="32">
                  <c:v>220.54797447072883</c:v>
                </c:pt>
                <c:pt idx="33">
                  <c:v>230.47947766188776</c:v>
                </c:pt>
                <c:pt idx="34">
                  <c:v>240.41098085304668</c:v>
                </c:pt>
                <c:pt idx="35">
                  <c:v>250.34248404420561</c:v>
                </c:pt>
                <c:pt idx="36">
                  <c:v>260.27398723536453</c:v>
                </c:pt>
                <c:pt idx="37">
                  <c:v>270.20549042652345</c:v>
                </c:pt>
                <c:pt idx="38">
                  <c:v>280.13699361768238</c:v>
                </c:pt>
                <c:pt idx="39">
                  <c:v>290.0684968088413</c:v>
                </c:pt>
                <c:pt idx="40">
                  <c:v>300</c:v>
                </c:pt>
              </c:numCache>
            </c:numRef>
          </c:xVal>
          <c:yVal>
            <c:numRef>
              <c:f>PVT!$F$59:$F$99</c:f>
              <c:numCache>
                <c:formatCode>General</c:formatCode>
                <c:ptCount val="41"/>
                <c:pt idx="0">
                  <c:v>1.0301137556880293</c:v>
                </c:pt>
                <c:pt idx="1">
                  <c:v>1.0351919919726971</c:v>
                </c:pt>
                <c:pt idx="2">
                  <c:v>1.0414476452367962</c:v>
                </c:pt>
                <c:pt idx="3">
                  <c:v>1.0484322566291433</c:v>
                </c:pt>
                <c:pt idx="4">
                  <c:v>1.0559914566817963</c:v>
                </c:pt>
                <c:pt idx="5">
                  <c:v>1.0640420749549189</c:v>
                </c:pt>
                <c:pt idx="6">
                  <c:v>1.0725306028426413</c:v>
                </c:pt>
                <c:pt idx="7">
                  <c:v>1.081418934375374</c:v>
                </c:pt>
                <c:pt idx="8">
                  <c:v>1.0906780776388953</c:v>
                </c:pt>
                <c:pt idx="9">
                  <c:v>1.1002849339295355</c:v>
                </c:pt>
                <c:pt idx="10">
                  <c:v>1.1102204701494829</c:v>
                </c:pt>
                <c:pt idx="11">
                  <c:v>1.1204686001534212</c:v>
                </c:pt>
                <c:pt idx="12">
                  <c:v>1.1310154585683792</c:v>
                </c:pt>
                <c:pt idx="13">
                  <c:v>1.141848906629098</c:v>
                </c:pt>
                <c:pt idx="14">
                  <c:v>1.1529581826313757</c:v>
                </c:pt>
                <c:pt idx="15">
                  <c:v>1.1643336465640948</c:v>
                </c:pt>
                <c:pt idx="16">
                  <c:v>1.1759665883799129</c:v>
                </c:pt>
                <c:pt idx="17">
                  <c:v>1.1878490806477804</c:v>
                </c:pt>
                <c:pt idx="18">
                  <c:v>1.1999738630145067</c:v>
                </c:pt>
                <c:pt idx="19">
                  <c:v>1.2123342500141141</c:v>
                </c:pt>
                <c:pt idx="20">
                  <c:v>1.2249240563771413</c:v>
                </c:pt>
                <c:pt idx="21">
                  <c:v>1.2504931852735541</c:v>
                </c:pt>
                <c:pt idx="22">
                  <c:v>1.2694199879158397</c:v>
                </c:pt>
                <c:pt idx="23">
                  <c:v>1.2664376593928592</c:v>
                </c:pt>
                <c:pt idx="24">
                  <c:v>1.2638807699822372</c:v>
                </c:pt>
                <c:pt idx="25">
                  <c:v>1.2616643494406452</c:v>
                </c:pt>
                <c:pt idx="26">
                  <c:v>1.2597246416370746</c:v>
                </c:pt>
                <c:pt idx="27">
                  <c:v>1.2580128732117002</c:v>
                </c:pt>
                <c:pt idx="28">
                  <c:v>1.2564910967302869</c:v>
                </c:pt>
                <c:pt idx="29">
                  <c:v>1.2551293449819869</c:v>
                </c:pt>
                <c:pt idx="30">
                  <c:v>1.2539036380458926</c:v>
                </c:pt>
                <c:pt idx="31">
                  <c:v>1.2527945591758605</c:v>
                </c:pt>
                <c:pt idx="32">
                  <c:v>1.251786218699507</c:v>
                </c:pt>
                <c:pt idx="33">
                  <c:v>1.2508654879533474</c:v>
                </c:pt>
                <c:pt idx="34">
                  <c:v>1.2500214245651742</c:v>
                </c:pt>
                <c:pt idx="35">
                  <c:v>1.2492448355527859</c:v>
                </c:pt>
                <c:pt idx="36">
                  <c:v>1.2485279411652497</c:v>
                </c:pt>
                <c:pt idx="37">
                  <c:v>1.2478641133688353</c:v>
                </c:pt>
                <c:pt idx="38">
                  <c:v>1.2472476703305109</c:v>
                </c:pt>
                <c:pt idx="39">
                  <c:v>1.2466737133921206</c:v>
                </c:pt>
                <c:pt idx="40">
                  <c:v>1.2461379966276307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63-4B85-8E02-7A6E14E9B81C}"/>
            </c:ext>
          </c:extLst>
        </c:ser>
        <c:ser>
          <c:idx val="1"/>
          <c:order val="1"/>
          <c:tx>
            <c:strRef>
              <c:f>PVT!$G$58</c:f>
              <c:strCache>
                <c:ptCount val="1"/>
                <c:pt idx="0">
                  <c:v>Bo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6.0184968088410882</c:v>
                </c:pt>
                <c:pt idx="2">
                  <c:v>11.036993617682176</c:v>
                </c:pt>
                <c:pt idx="3">
                  <c:v>16.055490426523264</c:v>
                </c:pt>
                <c:pt idx="4">
                  <c:v>21.073987235364353</c:v>
                </c:pt>
                <c:pt idx="5">
                  <c:v>26.092484044205442</c:v>
                </c:pt>
                <c:pt idx="6">
                  <c:v>31.110980853046531</c:v>
                </c:pt>
                <c:pt idx="7">
                  <c:v>36.12947766188762</c:v>
                </c:pt>
                <c:pt idx="8">
                  <c:v>41.147974470728705</c:v>
                </c:pt>
                <c:pt idx="9">
                  <c:v>46.166471279569791</c:v>
                </c:pt>
                <c:pt idx="10">
                  <c:v>51.184968088410876</c:v>
                </c:pt>
                <c:pt idx="11">
                  <c:v>56.203464897251962</c:v>
                </c:pt>
                <c:pt idx="12">
                  <c:v>61.221961706093047</c:v>
                </c:pt>
                <c:pt idx="13">
                  <c:v>66.240458514934133</c:v>
                </c:pt>
                <c:pt idx="14">
                  <c:v>71.258955323775226</c:v>
                </c:pt>
                <c:pt idx="15">
                  <c:v>76.277452132616318</c:v>
                </c:pt>
                <c:pt idx="16">
                  <c:v>81.295948941457411</c:v>
                </c:pt>
                <c:pt idx="17">
                  <c:v>86.314445750298503</c:v>
                </c:pt>
                <c:pt idx="18">
                  <c:v>91.332942559139596</c:v>
                </c:pt>
                <c:pt idx="19">
                  <c:v>96.351439367980689</c:v>
                </c:pt>
                <c:pt idx="20">
                  <c:v>101.36993617682177</c:v>
                </c:pt>
                <c:pt idx="21">
                  <c:v>111.30143936798068</c:v>
                </c:pt>
                <c:pt idx="22">
                  <c:v>121.23294255913959</c:v>
                </c:pt>
                <c:pt idx="23">
                  <c:v>131.16444575029851</c:v>
                </c:pt>
                <c:pt idx="24">
                  <c:v>141.09594894145744</c:v>
                </c:pt>
                <c:pt idx="25">
                  <c:v>151.02745213261636</c:v>
                </c:pt>
                <c:pt idx="26">
                  <c:v>160.95895532377529</c:v>
                </c:pt>
                <c:pt idx="27">
                  <c:v>170.89045851493421</c:v>
                </c:pt>
                <c:pt idx="28">
                  <c:v>180.82196170609313</c:v>
                </c:pt>
                <c:pt idx="29">
                  <c:v>190.75346489725206</c:v>
                </c:pt>
                <c:pt idx="30">
                  <c:v>200.68496808841098</c:v>
                </c:pt>
                <c:pt idx="31">
                  <c:v>210.61647127956991</c:v>
                </c:pt>
                <c:pt idx="32">
                  <c:v>220.54797447072883</c:v>
                </c:pt>
                <c:pt idx="33">
                  <c:v>230.47947766188776</c:v>
                </c:pt>
                <c:pt idx="34">
                  <c:v>240.41098085304668</c:v>
                </c:pt>
                <c:pt idx="35">
                  <c:v>250.34248404420561</c:v>
                </c:pt>
                <c:pt idx="36">
                  <c:v>260.27398723536453</c:v>
                </c:pt>
                <c:pt idx="37">
                  <c:v>270.20549042652345</c:v>
                </c:pt>
                <c:pt idx="38">
                  <c:v>280.13699361768238</c:v>
                </c:pt>
                <c:pt idx="39">
                  <c:v>290.0684968088413</c:v>
                </c:pt>
                <c:pt idx="40">
                  <c:v>300</c:v>
                </c:pt>
              </c:numCache>
            </c:numRef>
          </c:xVal>
          <c:yVal>
            <c:numRef>
              <c:f>PVT!$G$59:$G$99</c:f>
              <c:numCache>
                <c:formatCode>General</c:formatCode>
                <c:ptCount val="41"/>
                <c:pt idx="0">
                  <c:v>1.0301172245973249</c:v>
                </c:pt>
                <c:pt idx="1">
                  <c:v>1.0351687706797386</c:v>
                </c:pt>
                <c:pt idx="2">
                  <c:v>1.0413911257929243</c:v>
                </c:pt>
                <c:pt idx="3">
                  <c:v>1.0483380976305221</c:v>
                </c:pt>
                <c:pt idx="4">
                  <c:v>1.055856102540244</c:v>
                </c:pt>
                <c:pt idx="5">
                  <c:v>1.0638624071869907</c:v>
                </c:pt>
                <c:pt idx="6">
                  <c:v>1.072303796137889</c:v>
                </c:pt>
                <c:pt idx="7">
                  <c:v>1.0811423812795575</c:v>
                </c:pt>
                <c:pt idx="8">
                  <c:v>1.09034934302579</c:v>
                </c:pt>
                <c:pt idx="9">
                  <c:v>1.0999017246540577</c:v>
                </c:pt>
                <c:pt idx="10">
                  <c:v>1.1097806133668009</c:v>
                </c:pt>
                <c:pt idx="11">
                  <c:v>1.1199700270255752</c:v>
                </c:pt>
                <c:pt idx="12">
                  <c:v>1.1304561915493163</c:v>
                </c:pt>
                <c:pt idx="13">
                  <c:v>1.1412270492536056</c:v>
                </c:pt>
                <c:pt idx="14">
                  <c:v>1.1522719111301174</c:v>
                </c:pt>
                <c:pt idx="15">
                  <c:v>1.1635812028553898</c:v>
                </c:pt>
                <c:pt idx="16">
                  <c:v>1.1751462741277507</c:v>
                </c:pt>
                <c:pt idx="17">
                  <c:v>1.1869592521639392</c:v>
                </c:pt>
                <c:pt idx="18">
                  <c:v>1.1990129268411827</c:v>
                </c:pt>
                <c:pt idx="19">
                  <c:v>1.2113006590635924</c:v>
                </c:pt>
                <c:pt idx="20">
                  <c:v>1.2250633590092757</c:v>
                </c:pt>
                <c:pt idx="21">
                  <c:v>1.2221187909988032</c:v>
                </c:pt>
                <c:pt idx="22">
                  <c:v>1.2196620997785992</c:v>
                </c:pt>
                <c:pt idx="23">
                  <c:v>1.2175813134690072</c:v>
                </c:pt>
                <c:pt idx="24">
                  <c:v>1.2157962888425202</c:v>
                </c:pt>
                <c:pt idx="25">
                  <c:v>1.2142481526144893</c:v>
                </c:pt>
                <c:pt idx="26">
                  <c:v>1.2128926843666756</c:v>
                </c:pt>
                <c:pt idx="27">
                  <c:v>1.2116960250116617</c:v>
                </c:pt>
                <c:pt idx="28">
                  <c:v>1.2106318100580518</c:v>
                </c:pt>
                <c:pt idx="29">
                  <c:v>1.2096792047441107</c:v>
                </c:pt>
                <c:pt idx="30">
                  <c:v>1.208821526522329</c:v>
                </c:pt>
                <c:pt idx="31">
                  <c:v>1.208045259781116</c:v>
                </c:pt>
                <c:pt idx="32">
                  <c:v>1.2073393384076867</c:v>
                </c:pt>
                <c:pt idx="33">
                  <c:v>1.2066946149289695</c:v>
                </c:pt>
                <c:pt idx="34">
                  <c:v>1.2061034619739956</c:v>
                </c:pt>
                <c:pt idx="35">
                  <c:v>1.2055594691135283</c:v>
                </c:pt>
                <c:pt idx="36">
                  <c:v>1.2050572094688325</c:v>
                </c:pt>
                <c:pt idx="37">
                  <c:v>1.2045920580489893</c:v>
                </c:pt>
                <c:pt idx="38">
                  <c:v>1.2041600489174555</c:v>
                </c:pt>
                <c:pt idx="39">
                  <c:v>1.2037577618382598</c:v>
                </c:pt>
                <c:pt idx="40">
                  <c:v>1.2033822315395182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63-4B85-8E02-7A6E14E9B8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22128"/>
        <c:axId val="442636720"/>
      </c:scatterChart>
      <c:valAx>
        <c:axId val="453022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42636720"/>
        <c:crosses val="autoZero"/>
        <c:crossBetween val="midCat"/>
      </c:valAx>
      <c:valAx>
        <c:axId val="442636720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Объемный коэффициент,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30221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PVT!$J$58</c:f>
              <c:strCache>
                <c:ptCount val="1"/>
                <c:pt idx="0">
                  <c:v>μo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6.0184968088410882</c:v>
                </c:pt>
                <c:pt idx="2">
                  <c:v>11.036993617682176</c:v>
                </c:pt>
                <c:pt idx="3">
                  <c:v>16.055490426523264</c:v>
                </c:pt>
                <c:pt idx="4">
                  <c:v>21.073987235364353</c:v>
                </c:pt>
                <c:pt idx="5">
                  <c:v>26.092484044205442</c:v>
                </c:pt>
                <c:pt idx="6">
                  <c:v>31.110980853046531</c:v>
                </c:pt>
                <c:pt idx="7">
                  <c:v>36.12947766188762</c:v>
                </c:pt>
                <c:pt idx="8">
                  <c:v>41.147974470728705</c:v>
                </c:pt>
                <c:pt idx="9">
                  <c:v>46.166471279569791</c:v>
                </c:pt>
                <c:pt idx="10">
                  <c:v>51.184968088410876</c:v>
                </c:pt>
                <c:pt idx="11">
                  <c:v>56.203464897251962</c:v>
                </c:pt>
                <c:pt idx="12">
                  <c:v>61.221961706093047</c:v>
                </c:pt>
                <c:pt idx="13">
                  <c:v>66.240458514934133</c:v>
                </c:pt>
                <c:pt idx="14">
                  <c:v>71.258955323775226</c:v>
                </c:pt>
                <c:pt idx="15">
                  <c:v>76.277452132616318</c:v>
                </c:pt>
                <c:pt idx="16">
                  <c:v>81.295948941457411</c:v>
                </c:pt>
                <c:pt idx="17">
                  <c:v>86.314445750298503</c:v>
                </c:pt>
                <c:pt idx="18">
                  <c:v>91.332942559139596</c:v>
                </c:pt>
                <c:pt idx="19">
                  <c:v>96.351439367980689</c:v>
                </c:pt>
                <c:pt idx="20">
                  <c:v>101.36993617682177</c:v>
                </c:pt>
                <c:pt idx="21">
                  <c:v>111.30143936798068</c:v>
                </c:pt>
                <c:pt idx="22">
                  <c:v>121.23294255913959</c:v>
                </c:pt>
                <c:pt idx="23">
                  <c:v>131.16444575029851</c:v>
                </c:pt>
                <c:pt idx="24">
                  <c:v>141.09594894145744</c:v>
                </c:pt>
                <c:pt idx="25">
                  <c:v>151.02745213261636</c:v>
                </c:pt>
                <c:pt idx="26">
                  <c:v>160.95895532377529</c:v>
                </c:pt>
                <c:pt idx="27">
                  <c:v>170.89045851493421</c:v>
                </c:pt>
                <c:pt idx="28">
                  <c:v>180.82196170609313</c:v>
                </c:pt>
                <c:pt idx="29">
                  <c:v>190.75346489725206</c:v>
                </c:pt>
                <c:pt idx="30">
                  <c:v>200.68496808841098</c:v>
                </c:pt>
                <c:pt idx="31">
                  <c:v>210.61647127956991</c:v>
                </c:pt>
                <c:pt idx="32">
                  <c:v>220.54797447072883</c:v>
                </c:pt>
                <c:pt idx="33">
                  <c:v>230.47947766188776</c:v>
                </c:pt>
                <c:pt idx="34">
                  <c:v>240.41098085304668</c:v>
                </c:pt>
                <c:pt idx="35">
                  <c:v>250.34248404420561</c:v>
                </c:pt>
                <c:pt idx="36">
                  <c:v>260.27398723536453</c:v>
                </c:pt>
                <c:pt idx="37">
                  <c:v>270.20549042652345</c:v>
                </c:pt>
                <c:pt idx="38">
                  <c:v>280.13699361768238</c:v>
                </c:pt>
                <c:pt idx="39">
                  <c:v>290.0684968088413</c:v>
                </c:pt>
                <c:pt idx="40">
                  <c:v>300</c:v>
                </c:pt>
              </c:numCache>
            </c:numRef>
          </c:xVal>
          <c:yVal>
            <c:numRef>
              <c:f>PVT!$J$59:$J$99</c:f>
              <c:numCache>
                <c:formatCode>General</c:formatCode>
                <c:ptCount val="41"/>
                <c:pt idx="0">
                  <c:v>2.5848597107009974</c:v>
                </c:pt>
                <c:pt idx="1">
                  <c:v>2.3086091576544305</c:v>
                </c:pt>
                <c:pt idx="2">
                  <c:v>2.0455071956060995</c:v>
                </c:pt>
                <c:pt idx="3">
                  <c:v>1.8198671389652841</c:v>
                </c:pt>
                <c:pt idx="4">
                  <c:v>1.630418437589932</c:v>
                </c:pt>
                <c:pt idx="5">
                  <c:v>1.4716848942503213</c:v>
                </c:pt>
                <c:pt idx="6">
                  <c:v>1.3380635661948974</c:v>
                </c:pt>
                <c:pt idx="7">
                  <c:v>1.2247670825810044</c:v>
                </c:pt>
                <c:pt idx="8">
                  <c:v>1.127929126073155</c:v>
                </c:pt>
                <c:pt idx="9">
                  <c:v>1.0444870838748681</c:v>
                </c:pt>
                <c:pt idx="10">
                  <c:v>0.97202598622339254</c:v>
                </c:pt>
                <c:pt idx="11">
                  <c:v>0.90863736289353747</c:v>
                </c:pt>
                <c:pt idx="12">
                  <c:v>0.85280480286350835</c:v>
                </c:pt>
                <c:pt idx="13">
                  <c:v>0.80331500172665471</c:v>
                </c:pt>
                <c:pt idx="14">
                  <c:v>0.75918976934228766</c:v>
                </c:pt>
                <c:pt idx="15">
                  <c:v>0.71963432060988997</c:v>
                </c:pt>
                <c:pt idx="16">
                  <c:v>0.68399791484655204</c:v>
                </c:pt>
                <c:pt idx="17">
                  <c:v>0.65174377319108867</c:v>
                </c:pt>
                <c:pt idx="18">
                  <c:v>0.62242595439746451</c:v>
                </c:pt>
                <c:pt idx="19">
                  <c:v>0.59567146111877012</c:v>
                </c:pt>
                <c:pt idx="20">
                  <c:v>0.57116629569441679</c:v>
                </c:pt>
                <c:pt idx="21">
                  <c:v>0.52829935739459066</c:v>
                </c:pt>
                <c:pt idx="22">
                  <c:v>0.50273983617246765</c:v>
                </c:pt>
                <c:pt idx="23">
                  <c:v>0.51236176536703537</c:v>
                </c:pt>
                <c:pt idx="24">
                  <c:v>0.52278421003496411</c:v>
                </c:pt>
                <c:pt idx="25">
                  <c:v>0.53395991166291157</c:v>
                </c:pt>
                <c:pt idx="26">
                  <c:v>0.54584741384590818</c:v>
                </c:pt>
                <c:pt idx="27">
                  <c:v>0.5584097350422037</c:v>
                </c:pt>
                <c:pt idx="28">
                  <c:v>0.57161333886116616</c:v>
                </c:pt>
                <c:pt idx="29">
                  <c:v>0.5854273262063513</c:v>
                </c:pt>
                <c:pt idx="30">
                  <c:v>0.59982279580916886</c:v>
                </c:pt>
                <c:pt idx="31">
                  <c:v>0.61477233466539261</c:v>
                </c:pt>
                <c:pt idx="32">
                  <c:v>0.63024961019782155</c:v>
                </c:pt>
                <c:pt idx="33">
                  <c:v>0.6462290431985408</c:v>
                </c:pt>
                <c:pt idx="34">
                  <c:v>0.66268554575650784</c:v>
                </c:pt>
                <c:pt idx="35">
                  <c:v>0.67959431210060395</c:v>
                </c:pt>
                <c:pt idx="36">
                  <c:v>0.69693065301486945</c:v>
                </c:pt>
                <c:pt idx="37">
                  <c:v>0.71466986650141739</c:v>
                </c:pt>
                <c:pt idx="38">
                  <c:v>0.73278713887646874</c:v>
                </c:pt>
                <c:pt idx="39">
                  <c:v>0.75125747162470191</c:v>
                </c:pt>
                <c:pt idx="40">
                  <c:v>0.77005563020467249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32-4B00-BB2A-FF08AF6A6A25}"/>
            </c:ext>
          </c:extLst>
        </c:ser>
        <c:ser>
          <c:idx val="1"/>
          <c:order val="1"/>
          <c:tx>
            <c:strRef>
              <c:f>PVT!$K$58</c:f>
              <c:strCache>
                <c:ptCount val="1"/>
                <c:pt idx="0">
                  <c:v>μo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6.0184968088410882</c:v>
                </c:pt>
                <c:pt idx="2">
                  <c:v>11.036993617682176</c:v>
                </c:pt>
                <c:pt idx="3">
                  <c:v>16.055490426523264</c:v>
                </c:pt>
                <c:pt idx="4">
                  <c:v>21.073987235364353</c:v>
                </c:pt>
                <c:pt idx="5">
                  <c:v>26.092484044205442</c:v>
                </c:pt>
                <c:pt idx="6">
                  <c:v>31.110980853046531</c:v>
                </c:pt>
                <c:pt idx="7">
                  <c:v>36.12947766188762</c:v>
                </c:pt>
                <c:pt idx="8">
                  <c:v>41.147974470728705</c:v>
                </c:pt>
                <c:pt idx="9">
                  <c:v>46.166471279569791</c:v>
                </c:pt>
                <c:pt idx="10">
                  <c:v>51.184968088410876</c:v>
                </c:pt>
                <c:pt idx="11">
                  <c:v>56.203464897251962</c:v>
                </c:pt>
                <c:pt idx="12">
                  <c:v>61.221961706093047</c:v>
                </c:pt>
                <c:pt idx="13">
                  <c:v>66.240458514934133</c:v>
                </c:pt>
                <c:pt idx="14">
                  <c:v>71.258955323775226</c:v>
                </c:pt>
                <c:pt idx="15">
                  <c:v>76.277452132616318</c:v>
                </c:pt>
                <c:pt idx="16">
                  <c:v>81.295948941457411</c:v>
                </c:pt>
                <c:pt idx="17">
                  <c:v>86.314445750298503</c:v>
                </c:pt>
                <c:pt idx="18">
                  <c:v>91.332942559139596</c:v>
                </c:pt>
                <c:pt idx="19">
                  <c:v>96.351439367980689</c:v>
                </c:pt>
                <c:pt idx="20">
                  <c:v>101.36993617682177</c:v>
                </c:pt>
                <c:pt idx="21">
                  <c:v>111.30143936798068</c:v>
                </c:pt>
                <c:pt idx="22">
                  <c:v>121.23294255913959</c:v>
                </c:pt>
                <c:pt idx="23">
                  <c:v>131.16444575029851</c:v>
                </c:pt>
                <c:pt idx="24">
                  <c:v>141.09594894145744</c:v>
                </c:pt>
                <c:pt idx="25">
                  <c:v>151.02745213261636</c:v>
                </c:pt>
                <c:pt idx="26">
                  <c:v>160.95895532377529</c:v>
                </c:pt>
                <c:pt idx="27">
                  <c:v>170.89045851493421</c:v>
                </c:pt>
                <c:pt idx="28">
                  <c:v>180.82196170609313</c:v>
                </c:pt>
                <c:pt idx="29">
                  <c:v>190.75346489725206</c:v>
                </c:pt>
                <c:pt idx="30">
                  <c:v>200.68496808841098</c:v>
                </c:pt>
                <c:pt idx="31">
                  <c:v>210.61647127956991</c:v>
                </c:pt>
                <c:pt idx="32">
                  <c:v>220.54797447072883</c:v>
                </c:pt>
                <c:pt idx="33">
                  <c:v>230.47947766188776</c:v>
                </c:pt>
                <c:pt idx="34">
                  <c:v>240.41098085304668</c:v>
                </c:pt>
                <c:pt idx="35">
                  <c:v>250.34248404420561</c:v>
                </c:pt>
                <c:pt idx="36">
                  <c:v>260.27398723536453</c:v>
                </c:pt>
                <c:pt idx="37">
                  <c:v>270.20549042652345</c:v>
                </c:pt>
                <c:pt idx="38">
                  <c:v>280.13699361768238</c:v>
                </c:pt>
                <c:pt idx="39">
                  <c:v>290.0684968088413</c:v>
                </c:pt>
                <c:pt idx="40">
                  <c:v>300</c:v>
                </c:pt>
              </c:numCache>
            </c:numRef>
          </c:xVal>
          <c:yVal>
            <c:numRef>
              <c:f>PVT!$K$59:$K$99</c:f>
              <c:numCache>
                <c:formatCode>General</c:formatCode>
                <c:ptCount val="41"/>
                <c:pt idx="0">
                  <c:v>2.263617968968207</c:v>
                </c:pt>
                <c:pt idx="1">
                  <c:v>2.0228518775610755</c:v>
                </c:pt>
                <c:pt idx="2">
                  <c:v>1.7932788669341451</c:v>
                </c:pt>
                <c:pt idx="3">
                  <c:v>1.5961857359346792</c:v>
                </c:pt>
                <c:pt idx="4">
                  <c:v>1.4305565405213838</c:v>
                </c:pt>
                <c:pt idx="5">
                  <c:v>1.2916761796182563</c:v>
                </c:pt>
                <c:pt idx="6">
                  <c:v>1.174693506631604</c:v>
                </c:pt>
                <c:pt idx="7">
                  <c:v>1.0754522870584551</c:v>
                </c:pt>
                <c:pt idx="8">
                  <c:v>0.99058984507383807</c:v>
                </c:pt>
                <c:pt idx="9">
                  <c:v>0.91743889369774967</c:v>
                </c:pt>
                <c:pt idx="10">
                  <c:v>0.8538939122622593</c:v>
                </c:pt>
                <c:pt idx="11">
                  <c:v>0.79828949416866868</c:v>
                </c:pt>
                <c:pt idx="12">
                  <c:v>0.74930136684618764</c:v>
                </c:pt>
                <c:pt idx="13">
                  <c:v>0.70586928038702268</c:v>
                </c:pt>
                <c:pt idx="14">
                  <c:v>0.66713796733782105</c:v>
                </c:pt>
                <c:pt idx="15">
                  <c:v>0.63241218273952271</c:v>
                </c:pt>
                <c:pt idx="16">
                  <c:v>0.60112244435047024</c:v>
                </c:pt>
                <c:pt idx="17">
                  <c:v>0.57279882505312929</c:v>
                </c:pt>
                <c:pt idx="18">
                  <c:v>0.54705079189623929</c:v>
                </c:pt>
                <c:pt idx="19">
                  <c:v>0.52355159501137138</c:v>
                </c:pt>
                <c:pt idx="20">
                  <c:v>0.5</c:v>
                </c:pt>
                <c:pt idx="21">
                  <c:v>0.50942459170134868</c:v>
                </c:pt>
                <c:pt idx="22">
                  <c:v>0.51981800862858341</c:v>
                </c:pt>
                <c:pt idx="23">
                  <c:v>0.53111795125439953</c:v>
                </c:pt>
                <c:pt idx="24">
                  <c:v>0.54327159311540085</c:v>
                </c:pt>
                <c:pt idx="25">
                  <c:v>0.55623328867148814</c:v>
                </c:pt>
                <c:pt idx="26">
                  <c:v>0.56996284980548484</c:v>
                </c:pt>
                <c:pt idx="27">
                  <c:v>0.58442422823985274</c:v>
                </c:pt>
                <c:pt idx="28">
                  <c:v>0.59958449437135708</c:v>
                </c:pt>
                <c:pt idx="29">
                  <c:v>0.61541303700605066</c:v>
                </c:pt>
                <c:pt idx="30">
                  <c:v>0.63188093078518415</c:v>
                </c:pt>
                <c:pt idx="31">
                  <c:v>0.64896043309394902</c:v>
                </c:pt>
                <c:pt idx="32">
                  <c:v>0.66662458254581558</c:v>
                </c:pt>
                <c:pt idx="33">
                  <c:v>0.68484687833893876</c:v>
                </c:pt>
                <c:pt idx="34">
                  <c:v>0.70360102490035681</c:v>
                </c:pt>
                <c:pt idx="35">
                  <c:v>0.72286072992332828</c:v>
                </c:pt>
                <c:pt idx="36">
                  <c:v>0.74259954659570016</c:v>
                </c:pt>
                <c:pt idx="37">
                  <c:v>0.76279075280384845</c:v>
                </c:pt>
                <c:pt idx="38">
                  <c:v>0.78340726157690654</c:v>
                </c:pt>
                <c:pt idx="39">
                  <c:v>0.80442155814855099</c:v>
                </c:pt>
                <c:pt idx="40">
                  <c:v>0.8258056598564758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A32-4B00-BB2A-FF08AF6A6A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22128"/>
        <c:axId val="442636720"/>
      </c:scatterChart>
      <c:valAx>
        <c:axId val="453022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42636720"/>
        <c:crosses val="autoZero"/>
        <c:crossBetween val="midCat"/>
      </c:valAx>
      <c:valAx>
        <c:axId val="442636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Вязкость, сП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30221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142875</xdr:colOff>
          <xdr:row>55</xdr:row>
          <xdr:rowOff>47625</xdr:rowOff>
        </xdr:from>
        <xdr:to>
          <xdr:col>13</xdr:col>
          <xdr:colOff>647700</xdr:colOff>
          <xdr:row>57</xdr:row>
          <xdr:rowOff>28575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Перестроить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61154</xdr:colOff>
      <xdr:row>58</xdr:row>
      <xdr:rowOff>121785</xdr:rowOff>
    </xdr:from>
    <xdr:to>
      <xdr:col>9</xdr:col>
      <xdr:colOff>305498</xdr:colOff>
      <xdr:row>78</xdr:row>
      <xdr:rowOff>29556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369095</xdr:colOff>
      <xdr:row>58</xdr:row>
      <xdr:rowOff>119063</xdr:rowOff>
    </xdr:from>
    <xdr:to>
      <xdr:col>17</xdr:col>
      <xdr:colOff>434846</xdr:colOff>
      <xdr:row>78</xdr:row>
      <xdr:rowOff>26834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47625</xdr:colOff>
      <xdr:row>78</xdr:row>
      <xdr:rowOff>71438</xdr:rowOff>
    </xdr:from>
    <xdr:to>
      <xdr:col>9</xdr:col>
      <xdr:colOff>291969</xdr:colOff>
      <xdr:row>97</xdr:row>
      <xdr:rowOff>169709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392906</xdr:colOff>
      <xdr:row>78</xdr:row>
      <xdr:rowOff>83344</xdr:rowOff>
    </xdr:from>
    <xdr:to>
      <xdr:col>17</xdr:col>
      <xdr:colOff>458657</xdr:colOff>
      <xdr:row>97</xdr:row>
      <xdr:rowOff>181615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55 °С</a:t>
          </a:fld>
          <a:endParaRPr lang="ru-RU" sz="9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55 °С</a:t>
          </a:fld>
          <a:endParaRPr lang="ru-RU" sz="9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55 °С</a:t>
          </a:fld>
          <a:endParaRPr lang="ru-RU" sz="9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55 °С</a:t>
          </a:fld>
          <a:endParaRPr lang="ru-RU" sz="900"/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UniflocVBA7.2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База насосов"/>
      <sheetName val="Лист1"/>
    </sheetNames>
    <definedNames>
      <definedName name="PVT_Bg_m3m3"/>
      <definedName name="PVT_Bo_m3m3"/>
      <definedName name="PVT_Bw_m3m3"/>
      <definedName name="PVT_Mug_cP"/>
      <definedName name="PVT_Mumix_cP"/>
      <definedName name="PVT_Muo_cP"/>
      <definedName name="PVT_Muw_cP"/>
      <definedName name="PVT_Pb_atma"/>
      <definedName name="PVT_Qmix_m3day"/>
      <definedName name="PVT_Rhog_kgm3"/>
      <definedName name="PVT_Rhomix_kgm3"/>
      <definedName name="PVT_Rhoo_kgm3"/>
      <definedName name="PVT_Rhow_kgm3"/>
      <definedName name="PVT_Rs_m3m3"/>
      <definedName name="PVT_z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DA4B7-F221-40A2-AFD2-84951095B9E1}">
  <sheetPr codeName="Лист1">
    <outlinePr summaryBelow="0"/>
  </sheetPr>
  <dimension ref="A1:Q101"/>
  <sheetViews>
    <sheetView tabSelected="1" zoomScale="80" zoomScaleNormal="80" workbookViewId="0">
      <selection activeCell="Q14" sqref="Q14"/>
    </sheetView>
  </sheetViews>
  <sheetFormatPr defaultRowHeight="15" outlineLevelRow="1" x14ac:dyDescent="0.25"/>
  <cols>
    <col min="1" max="1" width="7.28515625" style="27" customWidth="1"/>
    <col min="2" max="2" width="12.28515625" customWidth="1"/>
    <col min="4" max="4" width="10.140625" customWidth="1"/>
    <col min="7" max="7" width="12.28515625" style="1" customWidth="1"/>
    <col min="8" max="8" width="11.28515625" customWidth="1"/>
    <col min="9" max="9" width="11" customWidth="1"/>
    <col min="13" max="13" width="10" customWidth="1"/>
    <col min="14" max="14" width="10.140625" customWidth="1"/>
  </cols>
  <sheetData>
    <row r="1" spans="1:17" x14ac:dyDescent="0.25">
      <c r="A1" s="27" t="s">
        <v>88</v>
      </c>
      <c r="J1" s="3" t="s">
        <v>30</v>
      </c>
      <c r="K1" s="3"/>
      <c r="L1" s="3"/>
    </row>
    <row r="2" spans="1:17" ht="18" x14ac:dyDescent="0.25">
      <c r="A2" s="40" t="s">
        <v>0</v>
      </c>
      <c r="B2" s="40"/>
      <c r="C2" s="40"/>
      <c r="D2" s="40"/>
      <c r="E2" s="40"/>
      <c r="J2" s="9" t="s">
        <v>34</v>
      </c>
      <c r="K2" s="12">
        <v>1</v>
      </c>
      <c r="L2" s="8" t="s">
        <v>8</v>
      </c>
    </row>
    <row r="3" spans="1:17" ht="18" customHeight="1" x14ac:dyDescent="0.25">
      <c r="A3" s="40" t="s">
        <v>1</v>
      </c>
      <c r="B3" s="40"/>
      <c r="C3" s="40"/>
      <c r="D3" s="40"/>
      <c r="E3" s="40"/>
      <c r="F3" s="39" t="s">
        <v>9</v>
      </c>
      <c r="G3" s="39"/>
      <c r="H3" s="12">
        <v>0</v>
      </c>
      <c r="J3" s="8" t="s">
        <v>35</v>
      </c>
      <c r="K3" s="12">
        <v>15</v>
      </c>
      <c r="L3" s="8" t="s">
        <v>31</v>
      </c>
    </row>
    <row r="6" spans="1:17" x14ac:dyDescent="0.25">
      <c r="B6" s="5" t="s">
        <v>2</v>
      </c>
      <c r="C6" s="6"/>
      <c r="D6" s="6"/>
      <c r="E6" s="3"/>
      <c r="F6" s="3"/>
      <c r="G6" s="24"/>
      <c r="H6" s="3"/>
      <c r="I6" s="3"/>
      <c r="J6" s="3"/>
      <c r="K6" s="3"/>
      <c r="L6" s="3"/>
      <c r="M6" s="3"/>
      <c r="N6" s="3"/>
      <c r="O6" s="3"/>
      <c r="P6" s="3"/>
      <c r="Q6" s="3"/>
    </row>
    <row r="7" spans="1:17" x14ac:dyDescent="0.25">
      <c r="B7" s="3" t="s">
        <v>5</v>
      </c>
      <c r="C7" s="3"/>
      <c r="D7" s="3"/>
      <c r="F7" s="3" t="s">
        <v>6</v>
      </c>
      <c r="G7" s="3"/>
      <c r="H7" s="3"/>
      <c r="J7" s="3" t="s">
        <v>11</v>
      </c>
      <c r="K7" s="3"/>
      <c r="L7" s="3"/>
      <c r="N7" s="41" t="s">
        <v>46</v>
      </c>
      <c r="O7" s="41"/>
      <c r="P7" s="41"/>
      <c r="Q7" s="41"/>
    </row>
    <row r="8" spans="1:17" ht="18" x14ac:dyDescent="0.25">
      <c r="B8" s="7" t="s">
        <v>13</v>
      </c>
      <c r="C8" s="12">
        <v>80</v>
      </c>
      <c r="D8" s="8" t="s">
        <v>3</v>
      </c>
      <c r="F8" s="9" t="s">
        <v>15</v>
      </c>
      <c r="G8" s="12">
        <v>0.86</v>
      </c>
      <c r="H8" s="8"/>
      <c r="J8" s="10" t="s">
        <v>70</v>
      </c>
      <c r="K8" s="12">
        <v>10</v>
      </c>
      <c r="L8" s="8" t="s">
        <v>71</v>
      </c>
      <c r="N8" s="9" t="s">
        <v>47</v>
      </c>
      <c r="O8" s="12">
        <v>0.2</v>
      </c>
      <c r="P8" s="8"/>
      <c r="Q8" s="3"/>
    </row>
    <row r="9" spans="1:17" ht="18" x14ac:dyDescent="0.25">
      <c r="B9" s="7" t="s">
        <v>14</v>
      </c>
      <c r="C9" s="12">
        <v>55</v>
      </c>
      <c r="D9" s="8" t="s">
        <v>32</v>
      </c>
      <c r="F9" s="8" t="s">
        <v>16</v>
      </c>
      <c r="G9" s="12">
        <v>0.7</v>
      </c>
      <c r="H9" s="8"/>
      <c r="J9" s="8" t="s">
        <v>25</v>
      </c>
      <c r="K9" s="12">
        <v>12</v>
      </c>
      <c r="L9" s="8" t="s">
        <v>12</v>
      </c>
      <c r="N9" s="8" t="s">
        <v>48</v>
      </c>
      <c r="O9" s="12">
        <v>20</v>
      </c>
      <c r="P9" s="8" t="s">
        <v>3</v>
      </c>
      <c r="Q9" s="3"/>
    </row>
    <row r="10" spans="1:17" ht="18" x14ac:dyDescent="0.25">
      <c r="F10" s="8" t="s">
        <v>17</v>
      </c>
      <c r="G10" s="12">
        <v>1</v>
      </c>
      <c r="H10" s="8"/>
      <c r="J10" s="10" t="s">
        <v>81</v>
      </c>
      <c r="K10" s="32">
        <f>Ql_scm3day_*(1-wc_perc_/100)*gamma_oil_</f>
        <v>7.5680000000000005</v>
      </c>
      <c r="L10" s="8" t="s">
        <v>82</v>
      </c>
      <c r="N10" s="8" t="s">
        <v>49</v>
      </c>
      <c r="O10" s="12">
        <v>30</v>
      </c>
      <c r="P10" s="8" t="s">
        <v>32</v>
      </c>
      <c r="Q10" s="3"/>
    </row>
    <row r="11" spans="1:17" ht="18" x14ac:dyDescent="0.25">
      <c r="F11" s="10" t="s">
        <v>18</v>
      </c>
      <c r="G11" s="12">
        <v>100</v>
      </c>
      <c r="H11" s="8" t="s">
        <v>20</v>
      </c>
      <c r="J11" s="10" t="s">
        <v>24</v>
      </c>
      <c r="K11" s="12">
        <v>100</v>
      </c>
      <c r="L11" s="8" t="s">
        <v>20</v>
      </c>
    </row>
    <row r="12" spans="1:17" ht="18" x14ac:dyDescent="0.25">
      <c r="F12" s="8" t="s">
        <v>19</v>
      </c>
      <c r="G12" s="12">
        <v>80</v>
      </c>
      <c r="H12" s="8" t="s">
        <v>4</v>
      </c>
      <c r="J12" s="10" t="s">
        <v>24</v>
      </c>
      <c r="K12" s="33">
        <f>Rp_m3m3_/gamma_oil_</f>
        <v>116.27906976744187</v>
      </c>
      <c r="L12" s="8" t="s">
        <v>83</v>
      </c>
    </row>
    <row r="13" spans="1:17" x14ac:dyDescent="0.25">
      <c r="G13"/>
    </row>
    <row r="14" spans="1:17" x14ac:dyDescent="0.25">
      <c r="F14" s="3" t="s">
        <v>7</v>
      </c>
      <c r="G14" s="3"/>
      <c r="H14" s="3"/>
    </row>
    <row r="15" spans="1:17" ht="18" x14ac:dyDescent="0.25">
      <c r="F15" s="8" t="s">
        <v>26</v>
      </c>
      <c r="G15" s="12">
        <v>130</v>
      </c>
      <c r="H15" s="8" t="s">
        <v>3</v>
      </c>
    </row>
    <row r="16" spans="1:17" ht="18" x14ac:dyDescent="0.25">
      <c r="F16" s="10" t="s">
        <v>27</v>
      </c>
      <c r="G16" s="12">
        <v>1.3</v>
      </c>
      <c r="H16" s="8" t="s">
        <v>20</v>
      </c>
    </row>
    <row r="17" spans="2:16" ht="18" x14ac:dyDescent="0.25">
      <c r="F17" s="11" t="s">
        <v>28</v>
      </c>
      <c r="G17" s="12">
        <v>0.5</v>
      </c>
      <c r="H17" s="8" t="s">
        <v>10</v>
      </c>
    </row>
    <row r="20" spans="2:16" collapsed="1" x14ac:dyDescent="0.25">
      <c r="B20" s="4" t="s">
        <v>58</v>
      </c>
    </row>
    <row r="21" spans="2:16" hidden="1" outlineLevel="1" x14ac:dyDescent="0.25"/>
    <row r="22" spans="2:16" hidden="1" outlineLevel="1" x14ac:dyDescent="0.25">
      <c r="B22" s="14" t="s">
        <v>59</v>
      </c>
      <c r="C22" s="3"/>
      <c r="D22" s="3"/>
      <c r="E22" s="3"/>
      <c r="F22" s="3"/>
      <c r="G22" s="2" t="s">
        <v>79</v>
      </c>
    </row>
    <row r="23" spans="2:16" ht="18" hidden="1" outlineLevel="1" x14ac:dyDescent="0.25">
      <c r="B23" s="8" t="s">
        <v>23</v>
      </c>
      <c r="C23" s="22">
        <f>[1]!PVT_Pb_atma(Tres_C_,gamma_gas_,gamma_oil_,gamma_w_,Rsb_m3m3_,,Pb_atma_,Tres_C_,Bob_m3m3_,mu_cP_,PVT_correlation_,Ksep_,Psep_atma_,Tsep_C_)</f>
        <v>111.45746804520508</v>
      </c>
      <c r="D23" s="8" t="s">
        <v>3</v>
      </c>
      <c r="E23" s="15">
        <f>[1]!PVT_Pb_atma(Tres_C_,gamma_gas_,gamma_oil_,gamma_w_,Rsb_m3m3_,,,Tres_C_,,,PVT_correlation_,Ksep_,Psep_atma_,Tsep_C_)</f>
        <v>150.64403574942554</v>
      </c>
      <c r="F23" s="16">
        <f>(E23-C23)/E23</f>
        <v>0.2601269111603039</v>
      </c>
      <c r="G23" s="30">
        <f>[1]!PVT_Pb_atma(T_C_,gamma_gas_,gamma_oil_,gamma_w_,Rsb_m3m3_,,Pb_atma_,Tres_C_,Bob_m3m3_,mu_cP_,PVT_correlation_,Ksep_,Psep_atma_,Tsep_C_)</f>
        <v>101.36993617682177</v>
      </c>
    </row>
    <row r="24" spans="2:16" ht="18" hidden="1" outlineLevel="1" x14ac:dyDescent="0.25">
      <c r="B24" s="8" t="s">
        <v>19</v>
      </c>
      <c r="C24" s="20">
        <f>Tres_C_</f>
        <v>80</v>
      </c>
      <c r="D24" s="8" t="s">
        <v>32</v>
      </c>
      <c r="E24" s="17"/>
      <c r="F24" s="17"/>
      <c r="G24" s="35">
        <f>T_C_</f>
        <v>55</v>
      </c>
    </row>
    <row r="25" spans="2:16" ht="18" hidden="1" outlineLevel="1" x14ac:dyDescent="0.25">
      <c r="B25" s="10" t="s">
        <v>18</v>
      </c>
      <c r="C25" s="20">
        <f>Rsb_m3m3_</f>
        <v>100</v>
      </c>
      <c r="D25" s="8" t="s">
        <v>20</v>
      </c>
      <c r="E25" s="17"/>
      <c r="F25" s="17"/>
    </row>
    <row r="26" spans="2:16" ht="18" hidden="1" outlineLevel="1" x14ac:dyDescent="0.25">
      <c r="B26" s="10" t="s">
        <v>22</v>
      </c>
      <c r="C26" s="21">
        <f>[1]!PVT_Bo_m3m3(C23,Tres_C_,gamma_gas_,gamma_oil_,gamma_w_,Rsb_m3m3_,,Pb_atma_,Tres_C_,Bob_m3m3_,mu_cP_,PVT_correlation_,Ksep_,Psep_atma_,Tsep_C_)</f>
        <v>1.2539593292557984</v>
      </c>
      <c r="D26" s="8" t="s">
        <v>20</v>
      </c>
      <c r="E26" s="18">
        <f>[1]!PVT_Bo_m3m3(E23,Tres_C_,gamma_gas_,gamma_oil_,gamma_w_,Rsb_m3m3_,,,,,,PVT_correlation_,Ksep_,Psep_atma_,Tsep_C_)</f>
        <v>1.2601344222890039</v>
      </c>
      <c r="F26" s="16">
        <f>(E26-C26)/(E26-1)</f>
        <v>2.3738085021078083E-2</v>
      </c>
    </row>
    <row r="27" spans="2:16" ht="18" hidden="1" outlineLevel="1" x14ac:dyDescent="0.25">
      <c r="B27" s="11" t="s">
        <v>29</v>
      </c>
      <c r="C27" s="22">
        <f>[1]!PVT_Rhoo_kgm3(C23,Tres_C_,gamma_gas_,gamma_oil_,gamma_w_,Rsb_m3m3_,,Pb_atma_,Tres_C_,Bob_m3m3_,mu_cP_,PVT_correlation_,Ksep_,Psep_atma_,Tsep_C_)</f>
        <v>742.17624339128224</v>
      </c>
      <c r="D27" s="8" t="s">
        <v>33</v>
      </c>
      <c r="E27" s="15">
        <f>[1]!PVT_Rhoo_kgm3(C23,Tres_C_,gamma_gas_,gamma_oil_,gamma_w_,Rsb_m3m3_,,,,,,PVT_correlation_,Ksep_,Psep_atma_,Tsep_C_)</f>
        <v>761.3400779019255</v>
      </c>
      <c r="F27" s="16">
        <f>(E27-C27)/E27</f>
        <v>2.5171188364934476E-2</v>
      </c>
    </row>
    <row r="28" spans="2:16" ht="18" hidden="1" outlineLevel="1" x14ac:dyDescent="0.25">
      <c r="B28" s="11" t="s">
        <v>21</v>
      </c>
      <c r="C28" s="23">
        <f>[1]!PVT_Muo_cP(C23,Tres_C_,gamma_gas_,gamma_oil_,gamma_w_,Rsb_m3m3_,,Pb_atma_,Tres_C_,Bob_m3m3_,mu_cP_,PVT_correlation_,Ksep_,Psep_atma_,Tsep_C_)</f>
        <v>0.5</v>
      </c>
      <c r="D28" s="8" t="s">
        <v>10</v>
      </c>
      <c r="E28" s="19">
        <f>[1]!PVT_Muo_cP(E23,Tres_C_,gamma_gas_,gamma_oil_,gamma_w_,Rsb_m3m3_,,,,,,PVT_correlation_,Ksep_,Psep_atma_,Tsep_C_)</f>
        <v>0.76485596382176713</v>
      </c>
      <c r="F28" s="16">
        <f>(E28-C28)/E28</f>
        <v>0.34628214506997818</v>
      </c>
    </row>
    <row r="29" spans="2:16" hidden="1" outlineLevel="1" x14ac:dyDescent="0.25"/>
    <row r="30" spans="2:16" hidden="1" outlineLevel="1" x14ac:dyDescent="0.25"/>
    <row r="31" spans="2:16" hidden="1" outlineLevel="1" x14ac:dyDescent="0.25">
      <c r="B31" s="14" t="s">
        <v>60</v>
      </c>
      <c r="C31" s="3"/>
      <c r="D31" s="3"/>
      <c r="E31" s="3"/>
      <c r="F31" s="3"/>
      <c r="G31" s="25"/>
      <c r="H31" s="14" t="s">
        <v>61</v>
      </c>
      <c r="I31" s="3"/>
      <c r="J31" s="3"/>
      <c r="K31" s="3"/>
      <c r="L31" s="3"/>
      <c r="M31" s="3"/>
      <c r="N31" s="14" t="s">
        <v>64</v>
      </c>
      <c r="O31" s="3"/>
      <c r="P31" s="3"/>
    </row>
    <row r="32" spans="2:16" ht="18" hidden="1" outlineLevel="1" x14ac:dyDescent="0.25">
      <c r="B32" s="8" t="s">
        <v>36</v>
      </c>
      <c r="C32" s="22">
        <f>[1]!PVT_Rhoo_kgm3(Psc_atma_,Tsc_C_,gamma_gas_,gamma_oil_,gamma_w_,Rsb_m3m3_,,Pb_atma_,Tres_C_,Bob_m3m3_,mu_cP_,PVT_correlation_,Ksep_,Psep_atma_,Tsep_C_)</f>
        <v>864.13885831192033</v>
      </c>
      <c r="D32" s="8" t="s">
        <v>33</v>
      </c>
      <c r="E32" s="15">
        <f>[1]!PVT_Rhoo_kgm3(Psc_atma_,Tsc_C_,gamma_gas_,gamma_oil_,gamma_w_,Rsb_m3m3_,,,,,,PVT_correlation_,Ksep_,Psep_atma_,Tsep_C_)</f>
        <v>864.35470772038673</v>
      </c>
      <c r="F32" s="16">
        <f t="shared" ref="F32:F37" si="0">(E32-C32)/E32</f>
        <v>2.4972318255276168E-4</v>
      </c>
      <c r="G32" s="13"/>
      <c r="H32" s="8" t="s">
        <v>50</v>
      </c>
      <c r="I32" s="23">
        <f>[1]!PVT_Rhog_kgm3(Psc_atma_,Tsc_C_,gamma_gas_,gamma_oil_,gamma_w_,Rsb_m3m3_,,Pb_atma_,Tres_C_,Bob_m3m3_,mu_cP_,PVT_correlation_,Ksep_,Psep_atma_,Tsep_C_)</f>
        <v>0.86930628809566368</v>
      </c>
      <c r="J32" s="8" t="s">
        <v>33</v>
      </c>
      <c r="N32" s="8" t="s">
        <v>52</v>
      </c>
      <c r="O32" s="22">
        <f>[1]!PVT_Rhow_kgm3(Psc_atma_,Tsc_C_,gamma_gas_,gamma_oil_,gamma_w_,Rsb_m3m3_,,Pb_atma_,Tres_C_,Bob_m3m3_,mu_cP_,PVT_correlation_,Ksep_,Psep_atma_,Tsep_C_)</f>
        <v>1000.3400421663305</v>
      </c>
      <c r="P32" s="8" t="s">
        <v>33</v>
      </c>
    </row>
    <row r="33" spans="2:16" ht="18" hidden="1" outlineLevel="1" x14ac:dyDescent="0.25">
      <c r="B33" s="8" t="s">
        <v>37</v>
      </c>
      <c r="C33" s="23">
        <f>[1]!PVT_Muo_cP(Psc_atma_,Tsc_C_,gamma_gas_,gamma_oil_,gamma_w_,Rsb_m3m3_,,Pb_atma_,Tres_C_,Bob_m3m3_,mu_cP_,PVT_correlation_,Ksep_,Psep_atma_,Tsep_C_)</f>
        <v>6.9783918086398184</v>
      </c>
      <c r="D33" s="8" t="s">
        <v>10</v>
      </c>
      <c r="E33" s="15">
        <f>[1]!PVT_Muo_cP(Psc_atma_,Tsc_C_,gamma_gas_,gamma_oil_,gamma_w_,Rsb_m3m3_,,,,,,PVT_correlation_,Ksep_,Psep_atma_,Tsep_C_)</f>
        <v>106.68555383741334</v>
      </c>
      <c r="F33" s="16">
        <f t="shared" si="0"/>
        <v>0.93458915891016747</v>
      </c>
      <c r="G33" s="13"/>
      <c r="H33" s="8" t="s">
        <v>51</v>
      </c>
      <c r="I33" s="22">
        <f>[1]!PVT_Mug_cP(Psc_atma_,Tsc_C_,gamma_gas_,gamma_oil_,gamma_w_,Rsb_m3m3_,,Pb_atma_,Tres_C_,Bob_m3m3_,mu_cP_,PVT_correlation_,Ksep_,Psep_atma_,Tsep_C_)</f>
        <v>1.0255684211511349E-2</v>
      </c>
      <c r="J33" s="8" t="s">
        <v>10</v>
      </c>
      <c r="N33" s="8" t="s">
        <v>53</v>
      </c>
      <c r="O33" s="21">
        <f>[1]!PVT_Muw_cP(Psc_atma_,Tsc_C_,gamma_gas_,gamma_oil_,gamma_w_,Rsb_m3m3_,,Pb_atma_,Tres_C_,Bob_m3m3_,mu_cP_,PVT_correlation_,Ksep_,Psep_atma_,Tsep_C_)</f>
        <v>1.1439045251512716</v>
      </c>
      <c r="P33" s="8" t="s">
        <v>10</v>
      </c>
    </row>
    <row r="34" spans="2:16" ht="18" hidden="1" outlineLevel="1" x14ac:dyDescent="0.25">
      <c r="B34" s="8" t="s">
        <v>38</v>
      </c>
      <c r="C34" s="23">
        <f>[1]!PVT_Rs_m3m3(P_atma_,T_C_,gamma_gas_,gamma_oil_,gamma_w_,Rsb_m3m3_,,Pb_atma_,Tres_C_,Bob_m3m3_,mu_cP_,PVT_correlation_,Ksep_,Psep_atma_,Tsep_C_)</f>
        <v>61.767707064148802</v>
      </c>
      <c r="D34" s="8" t="s">
        <v>20</v>
      </c>
      <c r="E34" s="15">
        <f>[1]!PVT_Rs_m3m3(P_atma_,T_C_,gamma_gas_,gamma_oil_,gamma_w_,Rsb_m3m3_,,,,,,PVT_correlation_,Ksep_,Psep_atma_,Tsep_C_)</f>
        <v>42.551824106694461</v>
      </c>
      <c r="F34" s="16">
        <f t="shared" si="0"/>
        <v>-0.45158776059217642</v>
      </c>
      <c r="G34" s="13"/>
      <c r="H34" s="8" t="s">
        <v>43</v>
      </c>
      <c r="I34" s="22">
        <f>[1]!PVT_z(P_atma_,T_C_,gamma_gas_,gamma_oil_,gamma_w_,Rsb_m3m3_,,Pb_atma_,Tres_C_,Bob_m3m3_,mu_cP_,PVT_correlation_,Ksep_,Psep_atma_,Tsep_C_)</f>
        <v>0.84472323656082149</v>
      </c>
      <c r="J34" s="8"/>
      <c r="N34" s="8" t="s">
        <v>57</v>
      </c>
      <c r="O34" s="22"/>
      <c r="P34" s="8"/>
    </row>
    <row r="35" spans="2:16" ht="18" hidden="1" outlineLevel="1" x14ac:dyDescent="0.25">
      <c r="B35" s="8" t="s">
        <v>39</v>
      </c>
      <c r="C35" s="21">
        <f>[1]!PVT_Bo_m3m3(P_atma_,T_C_,gamma_gas_,gamma_oil_,gamma_w_,Rsb_m3m3_,,Pb_atma_,Tres_C_,Bob_m3m3_,mu_cP_,PVT_correlation_,Ksep_,Psep_atma_,Tsep_C_)</f>
        <v>1.1721357268580999</v>
      </c>
      <c r="D35" s="8" t="s">
        <v>20</v>
      </c>
      <c r="E35" s="15">
        <f>[1]!PVT_Bo_m3m3(P_atma_,T_C_,gamma_gas_,gamma_oil_,gamma_w_,Rsb_m3m3_,,,,,,PVT_correlation_,Ksep_,Psep_atma_,Tsep_C_)</f>
        <v>1.1292915213032195</v>
      </c>
      <c r="F35" s="16">
        <f t="shared" si="0"/>
        <v>-3.7939012864842435E-2</v>
      </c>
      <c r="G35" s="13"/>
      <c r="H35" s="8" t="s">
        <v>45</v>
      </c>
      <c r="I35" s="22">
        <f>[1]!PVT_Bg_m3m3(P_atma_,T_C_,gamma_gas_,gamma_oil_,gamma_w_,Rsb_m3m3_,,Pb_atma_,Tres_C_,Bob_m3m3_,mu_cP_,PVT_correlation_,Ksep_,Psep_atma_,Tsep_C_)</f>
        <v>1.186824267470475E-2</v>
      </c>
      <c r="J35" s="8" t="s">
        <v>20</v>
      </c>
      <c r="N35" s="8" t="s">
        <v>54</v>
      </c>
      <c r="O35" s="21">
        <f>[1]!PVT_Bw_m3m3(P_atma_,T_C_,gamma_gas_,gamma_oil_,gamma_w_,Rsb_m3m3_,,Pb_atma_,Tres_C_,Bob_m3m3_,mu_cP_,PVT_correlation_,Ksep_,Psep_atma_,Tsep_C_)</f>
        <v>1.0156747342011492</v>
      </c>
      <c r="P35" s="8" t="s">
        <v>20</v>
      </c>
    </row>
    <row r="36" spans="2:16" ht="18" hidden="1" outlineLevel="1" x14ac:dyDescent="0.25">
      <c r="B36" s="8" t="s">
        <v>40</v>
      </c>
      <c r="C36" s="22">
        <f>[1]!PVT_Rhoo_kgm3(P_atma_,T_C_,gamma_gas_,gamma_oil_,gamma_w_,Rsb_m3m3_,,Pb_atma_,Tres_C_,Bob_m3m3_,mu_cP_,PVT_correlation_,Ksep_,Psep_atma_,Tsep_C_)</f>
        <v>778.76913439965199</v>
      </c>
      <c r="D36" s="8" t="s">
        <v>33</v>
      </c>
      <c r="E36" s="15">
        <f>[1]!PVT_Rhoo_kgm3(P_atma_,T_C_,gamma_gas_,gamma_oil_,gamma_w_,Rsb_m3m3_,,,,,,PVT_correlation_,Ksep_,Psep_atma_,Tsep_C_)</f>
        <v>793.7630607758008</v>
      </c>
      <c r="F36" s="16">
        <f t="shared" si="0"/>
        <v>1.8889675165148376E-2</v>
      </c>
      <c r="G36" s="13"/>
      <c r="H36" s="8" t="s">
        <v>44</v>
      </c>
      <c r="I36" s="22">
        <f>[1]!PVT_Rhog_kgm3(P_atma_,T_C_,gamma_gas_,gamma_oil_,gamma_w_,Rsb_m3m3_,,Pb_atma_,Tres_C_,Bob_m3m3_,mu_cP_,PVT_correlation_,Ksep_,Psep_atma_,Tsep_C_)</f>
        <v>72.057003167174855</v>
      </c>
      <c r="J36" s="8" t="s">
        <v>33</v>
      </c>
      <c r="N36" s="8" t="s">
        <v>55</v>
      </c>
      <c r="O36" s="22">
        <f>[1]!PVT_Rhow_kgm3(P_atma_,T_C_,gamma_gas_,gamma_oil_,gamma_w_,Rsb_m3m3_,,Pb_atma_,Tres_C_,Bob_m3m3_,mu_cP_,PVT_correlation_,Ksep_,Psep_atma_,Tsep_C_)</f>
        <v>984.56717128690048</v>
      </c>
      <c r="P36" s="8" t="s">
        <v>33</v>
      </c>
    </row>
    <row r="37" spans="2:16" ht="18" hidden="1" outlineLevel="1" x14ac:dyDescent="0.25">
      <c r="B37" s="8" t="s">
        <v>41</v>
      </c>
      <c r="C37" s="23">
        <f>[1]!PVT_Muo_cP(P_atma_,T_C_,gamma_gas_,gamma_oil_,gamma_w_,Rsb_m3m3_,,Pb_atma_,Tres_C_,Bob_m3m3_,mu_cP_,PVT_correlation_,Ksep_,Psep_atma_,Tsep_C_)</f>
        <v>0.6089011074922982</v>
      </c>
      <c r="D37" s="8" t="s">
        <v>10</v>
      </c>
      <c r="E37" s="15">
        <f>[1]!PVT_Muo_cP(P_atma_,T_C_,gamma_gas_,gamma_oil_,gamma_w_,Rsb_m3m3_,,,,,,PVT_correlation_,Ksep_,Psep_atma_,Tsep_C_)</f>
        <v>1.7962218443702314</v>
      </c>
      <c r="F37" s="16">
        <f t="shared" si="0"/>
        <v>0.66101007545324475</v>
      </c>
      <c r="G37" s="13"/>
      <c r="H37" s="8" t="s">
        <v>42</v>
      </c>
      <c r="I37" s="34">
        <f>[1]!PVT_Mug_cP(P_atma_,T_C_,gamma_gas_,gamma_oil_,gamma_w_,Rsb_m3m3_,,Pb_atma_,Tres_C_,Bob_m3m3_,mu_cP_,PVT_correlation_,Ksep_,Psep_atma_,Tsep_C_)</f>
        <v>1.4142415287352893E-2</v>
      </c>
      <c r="J37" s="8" t="s">
        <v>10</v>
      </c>
      <c r="N37" s="8" t="s">
        <v>56</v>
      </c>
      <c r="O37" s="21">
        <f>[1]!PVT_Muw_cP(P_atma_,T_C_,gamma_gas_,gamma_oil_,gamma_w_,Rsb_m3m3_,,Pb_atma_,Tres_C_,Bob_m3m3_,mu_cP_,PVT_correlation_,Ksep_,Psep_atma_,Tsep_C_)</f>
        <v>0.48833306952353661</v>
      </c>
      <c r="P37" s="8" t="s">
        <v>10</v>
      </c>
    </row>
    <row r="38" spans="2:16" ht="18" hidden="1" outlineLevel="1" x14ac:dyDescent="0.25">
      <c r="B38" s="8" t="s">
        <v>62</v>
      </c>
      <c r="C38" s="23"/>
      <c r="D38" s="8"/>
      <c r="E38" s="15"/>
      <c r="F38" s="16"/>
      <c r="G38" s="13"/>
      <c r="H38" s="8" t="s">
        <v>65</v>
      </c>
      <c r="I38" s="22"/>
      <c r="J38" s="8"/>
      <c r="N38" s="8" t="s">
        <v>67</v>
      </c>
      <c r="O38" s="22"/>
      <c r="P38" s="8"/>
    </row>
    <row r="39" spans="2:16" ht="18" hidden="1" outlineLevel="1" x14ac:dyDescent="0.25">
      <c r="B39" s="8" t="s">
        <v>63</v>
      </c>
      <c r="C39" s="23"/>
      <c r="D39" s="8"/>
      <c r="E39" s="15"/>
      <c r="F39" s="16"/>
      <c r="G39" s="13"/>
      <c r="H39" s="8" t="s">
        <v>66</v>
      </c>
      <c r="I39" s="22"/>
      <c r="J39" s="8"/>
      <c r="N39" s="8" t="s">
        <v>68</v>
      </c>
      <c r="O39" s="22"/>
      <c r="P39" s="8"/>
    </row>
    <row r="40" spans="2:16" hidden="1" outlineLevel="1" x14ac:dyDescent="0.25">
      <c r="L40" s="13"/>
    </row>
    <row r="41" spans="2:16" hidden="1" outlineLevel="1" x14ac:dyDescent="0.25">
      <c r="L41" s="13"/>
    </row>
    <row r="42" spans="2:16" hidden="1" outlineLevel="1" x14ac:dyDescent="0.25">
      <c r="B42" s="2" t="s">
        <v>69</v>
      </c>
      <c r="E42" s="13"/>
      <c r="F42" s="13"/>
      <c r="L42" s="13"/>
    </row>
    <row r="43" spans="2:16" ht="18" hidden="1" outlineLevel="1" x14ac:dyDescent="0.25">
      <c r="B43" s="10" t="s">
        <v>84</v>
      </c>
      <c r="C43" s="31">
        <f>[1]!PVT_Qmix_m3day(Ql_scm3day_,wc_perc_,P_atma_,T_C_,gamma_gas_,gamma_oil_,gamma_w_,Rsb_m3m3_,Rp_m3m3_,Pb_atma_,Tres_C_,Bob_m3m3_,mu_cP_,PVT_correlation_,Ksep_,Psep_atma_,Tsep_C_)</f>
        <v>13.711798338138895</v>
      </c>
      <c r="D43" s="8" t="s">
        <v>71</v>
      </c>
      <c r="E43" s="13"/>
      <c r="F43" s="13"/>
      <c r="L43" s="13"/>
    </row>
    <row r="44" spans="2:16" ht="18" hidden="1" outlineLevel="1" x14ac:dyDescent="0.25">
      <c r="B44" s="8" t="s">
        <v>73</v>
      </c>
      <c r="C44" s="31">
        <f>[1]!PVT_Rhomix_kgm3(Ql_scm3day_,wc_perc_,P_atma_,T_C_,gamma_gas_,gamma_oil_,gamma_w_,Rsb_m3m3_,Rp_m3m3_,Pb_atma_,Tres_C_,Bob_m3m3_,mu_cP_,PVT_correlation_,Ksep_,Psep_atma_,Tsep_C_)</f>
        <v>687.27674893497942</v>
      </c>
      <c r="D44" s="8" t="s">
        <v>33</v>
      </c>
      <c r="E44" s="13"/>
      <c r="F44" s="13"/>
    </row>
    <row r="45" spans="2:16" ht="18" hidden="1" outlineLevel="1" x14ac:dyDescent="0.25">
      <c r="B45" s="8" t="s">
        <v>74</v>
      </c>
      <c r="C45" s="31">
        <f>[1]!PVT_Mumix_cP(Ql_scm3day_,wc_perc_,P_atma_,T_C_,gamma_gas_,gamma_oil_,gamma_w_,Rsb_m3m3_,Rp_m3m3_,Pb_atma_,Tres_C_,Bob_m3m3_,mu_cP_,PVT_correlation_,Ksep_,Psep_atma_,Tsep_C_)</f>
        <v>0.51335263611960202</v>
      </c>
      <c r="D45" s="8" t="s">
        <v>10</v>
      </c>
      <c r="E45" s="13"/>
      <c r="F45" s="13"/>
    </row>
    <row r="46" spans="2:16" ht="18" hidden="1" outlineLevel="1" x14ac:dyDescent="0.25">
      <c r="B46" s="8" t="s">
        <v>72</v>
      </c>
      <c r="E46" s="13"/>
      <c r="F46" s="13"/>
    </row>
    <row r="47" spans="2:16" ht="18" hidden="1" outlineLevel="1" x14ac:dyDescent="0.25">
      <c r="B47" s="8" t="s">
        <v>75</v>
      </c>
      <c r="E47" s="13"/>
      <c r="F47" s="13"/>
    </row>
    <row r="48" spans="2:16" ht="18" hidden="1" outlineLevel="1" x14ac:dyDescent="0.25">
      <c r="B48" s="8" t="s">
        <v>76</v>
      </c>
      <c r="E48" s="13"/>
      <c r="F48" s="13"/>
    </row>
    <row r="49" spans="1:13" hidden="1" outlineLevel="1" x14ac:dyDescent="0.25">
      <c r="E49" s="13"/>
      <c r="F49" s="13"/>
    </row>
    <row r="50" spans="1:13" hidden="1" outlineLevel="1" x14ac:dyDescent="0.25">
      <c r="E50" s="13"/>
      <c r="F50" s="13"/>
    </row>
    <row r="51" spans="1:13" hidden="1" outlineLevel="1" x14ac:dyDescent="0.25">
      <c r="E51" s="13"/>
      <c r="F51" s="13"/>
    </row>
    <row r="52" spans="1:13" hidden="1" outlineLevel="1" x14ac:dyDescent="0.25"/>
    <row r="53" spans="1:13" hidden="1" outlineLevel="1" x14ac:dyDescent="0.25"/>
    <row r="54" spans="1:13" x14ac:dyDescent="0.25">
      <c r="L54" s="13"/>
    </row>
    <row r="55" spans="1:13" x14ac:dyDescent="0.25">
      <c r="B55" s="26" t="s">
        <v>77</v>
      </c>
      <c r="L55" s="13"/>
      <c r="M55" s="13"/>
    </row>
    <row r="56" spans="1:13" outlineLevel="1" x14ac:dyDescent="0.25">
      <c r="B56" t="str">
        <f>"Температура = " &amp;T_C_&amp;" °С"</f>
        <v>Температура = 55 °С</v>
      </c>
      <c r="L56" s="13"/>
      <c r="M56" s="13"/>
    </row>
    <row r="57" spans="1:13" outlineLevel="1" x14ac:dyDescent="0.25">
      <c r="L57" s="13"/>
      <c r="M57" s="13"/>
    </row>
    <row r="58" spans="1:13" ht="18" outlineLevel="1" x14ac:dyDescent="0.25">
      <c r="A58" s="28"/>
      <c r="B58" s="8" t="s">
        <v>78</v>
      </c>
      <c r="C58" s="8" t="s">
        <v>78</v>
      </c>
      <c r="D58" s="8" t="s">
        <v>38</v>
      </c>
      <c r="E58" s="8" t="s">
        <v>80</v>
      </c>
      <c r="F58" s="8" t="s">
        <v>39</v>
      </c>
      <c r="G58" s="8" t="s">
        <v>85</v>
      </c>
      <c r="H58" s="8" t="s">
        <v>40</v>
      </c>
      <c r="I58" s="8" t="s">
        <v>86</v>
      </c>
      <c r="J58" s="8" t="s">
        <v>41</v>
      </c>
      <c r="K58" s="8" t="s">
        <v>87</v>
      </c>
      <c r="L58" s="13"/>
      <c r="M58" s="13"/>
    </row>
    <row r="59" spans="1:13" outlineLevel="1" x14ac:dyDescent="0.25">
      <c r="A59" s="29">
        <v>1</v>
      </c>
      <c r="B59" s="36">
        <v>1</v>
      </c>
      <c r="C59" s="3">
        <v>1</v>
      </c>
      <c r="D59" s="3">
        <v>0.31755036839249345</v>
      </c>
      <c r="E59" s="3">
        <v>0.31582109535205705</v>
      </c>
      <c r="F59" s="3">
        <v>1.0301137556880293</v>
      </c>
      <c r="G59" s="24">
        <v>1.0301172245973249</v>
      </c>
      <c r="H59" s="3">
        <v>835.1228795357232</v>
      </c>
      <c r="I59" s="3">
        <v>835.11863164778708</v>
      </c>
      <c r="J59" s="3">
        <v>2.5848597107009974</v>
      </c>
      <c r="K59" s="3">
        <v>2.263617968968207</v>
      </c>
      <c r="L59" s="13"/>
      <c r="M59" s="13"/>
    </row>
    <row r="60" spans="1:13" outlineLevel="1" x14ac:dyDescent="0.25">
      <c r="A60" s="29">
        <v>2</v>
      </c>
      <c r="B60" s="37">
        <f>($B$79-$B$59)/($A$79-$A$59)+B59</f>
        <v>6.0184968088410882</v>
      </c>
      <c r="C60" s="3">
        <v>6.0184968088410882</v>
      </c>
      <c r="D60" s="3">
        <v>2.7562348175454416</v>
      </c>
      <c r="E60" s="3">
        <v>2.7412252850822245</v>
      </c>
      <c r="F60" s="3">
        <v>1.0351919919726971</v>
      </c>
      <c r="G60" s="24">
        <v>1.0351687706797386</v>
      </c>
      <c r="H60" s="3">
        <v>833.0407413703806</v>
      </c>
      <c r="I60" s="3">
        <v>833.04702853940933</v>
      </c>
      <c r="J60" s="3">
        <v>2.3086091576544305</v>
      </c>
      <c r="K60" s="3">
        <v>2.0228518775610755</v>
      </c>
      <c r="L60" s="13"/>
      <c r="M60" s="13"/>
    </row>
    <row r="61" spans="1:13" outlineLevel="1" x14ac:dyDescent="0.25">
      <c r="A61" s="29">
        <v>3</v>
      </c>
      <c r="B61" s="37">
        <f t="shared" ref="B61:B78" si="1">($B$79-$B$59)/($A$79-$A$59)+B60</f>
        <v>11.036993617682176</v>
      </c>
      <c r="C61" s="3">
        <v>11.036993617682176</v>
      </c>
      <c r="D61" s="3">
        <v>5.7201178135314574</v>
      </c>
      <c r="E61" s="3">
        <v>5.6889679661131272</v>
      </c>
      <c r="F61" s="3">
        <v>1.0414476452367962</v>
      </c>
      <c r="G61" s="24">
        <v>1.0413911257929243</v>
      </c>
      <c r="H61" s="3">
        <v>830.47073130238982</v>
      </c>
      <c r="I61" s="3">
        <v>830.49022321601251</v>
      </c>
      <c r="J61" s="3">
        <v>2.0455071956060995</v>
      </c>
      <c r="K61" s="3">
        <v>1.7932788669341451</v>
      </c>
      <c r="L61" s="13"/>
      <c r="M61" s="13"/>
    </row>
    <row r="62" spans="1:13" outlineLevel="1" x14ac:dyDescent="0.25">
      <c r="A62" s="29">
        <v>4</v>
      </c>
      <c r="B62" s="37">
        <f t="shared" si="1"/>
        <v>16.055490426523264</v>
      </c>
      <c r="C62" s="3">
        <v>16.055490426523264</v>
      </c>
      <c r="D62" s="3">
        <v>8.9822141754547538</v>
      </c>
      <c r="E62" s="3">
        <v>8.933300042885266</v>
      </c>
      <c r="F62" s="3">
        <v>1.0484322566291433</v>
      </c>
      <c r="G62" s="24">
        <v>1.0483380976305221</v>
      </c>
      <c r="H62" s="3">
        <v>827.59901200524371</v>
      </c>
      <c r="I62" s="3">
        <v>827.63344270778123</v>
      </c>
      <c r="J62" s="3">
        <v>1.8198671389652841</v>
      </c>
      <c r="K62" s="3">
        <v>1.5961857359346792</v>
      </c>
      <c r="L62" s="13"/>
      <c r="M62" s="13"/>
    </row>
    <row r="63" spans="1:13" outlineLevel="1" x14ac:dyDescent="0.25">
      <c r="A63" s="29">
        <v>5</v>
      </c>
      <c r="B63" s="37">
        <f t="shared" si="1"/>
        <v>21.073987235364353</v>
      </c>
      <c r="C63" s="3">
        <v>21.073987235364353</v>
      </c>
      <c r="D63" s="3">
        <v>12.462456715853911</v>
      </c>
      <c r="E63" s="3">
        <v>12.39459034704625</v>
      </c>
      <c r="F63" s="3">
        <v>1.0559914566817963</v>
      </c>
      <c r="G63" s="24">
        <v>1.055856102540244</v>
      </c>
      <c r="H63" s="3">
        <v>824.49319343422292</v>
      </c>
      <c r="I63" s="3">
        <v>824.54391997578807</v>
      </c>
      <c r="J63" s="3">
        <v>1.630418437589932</v>
      </c>
      <c r="K63" s="25">
        <v>1.4305565405213838</v>
      </c>
      <c r="L63" s="13"/>
      <c r="M63" s="13"/>
    </row>
    <row r="64" spans="1:13" outlineLevel="1" x14ac:dyDescent="0.25">
      <c r="A64" s="29">
        <v>6</v>
      </c>
      <c r="B64" s="37">
        <f t="shared" si="1"/>
        <v>26.092484044205442</v>
      </c>
      <c r="C64" s="3">
        <v>26.092484044205442</v>
      </c>
      <c r="D64" s="3">
        <v>16.117482023140681</v>
      </c>
      <c r="E64" s="3">
        <v>16.029711609636113</v>
      </c>
      <c r="F64" s="3">
        <v>1.0640420749549189</v>
      </c>
      <c r="G64" s="24">
        <v>1.0638624071869907</v>
      </c>
      <c r="H64" s="3">
        <v>821.19262951926964</v>
      </c>
      <c r="I64" s="3">
        <v>821.26076000904936</v>
      </c>
      <c r="J64" s="3">
        <v>1.4716848942503213</v>
      </c>
      <c r="K64" s="3">
        <v>1.2916761796182563</v>
      </c>
    </row>
    <row r="65" spans="1:11" outlineLevel="1" x14ac:dyDescent="0.25">
      <c r="A65" s="29">
        <v>7</v>
      </c>
      <c r="B65" s="37">
        <f t="shared" si="1"/>
        <v>31.110980853046531</v>
      </c>
      <c r="C65" s="3">
        <v>31.110980853046531</v>
      </c>
      <c r="D65" s="3">
        <v>19.919604897165716</v>
      </c>
      <c r="E65" s="3">
        <v>19.811129394840872</v>
      </c>
      <c r="F65" s="3">
        <v>1.0725306028426413</v>
      </c>
      <c r="G65" s="24">
        <v>1.072303796137889</v>
      </c>
      <c r="H65" s="3">
        <v>817.72496242765317</v>
      </c>
      <c r="I65" s="3">
        <v>817.81141026046203</v>
      </c>
      <c r="J65" s="3">
        <v>1.3380635661948974</v>
      </c>
      <c r="K65" s="3">
        <v>1.174693506631604</v>
      </c>
    </row>
    <row r="66" spans="1:11" outlineLevel="1" x14ac:dyDescent="0.25">
      <c r="A66" s="29">
        <v>8</v>
      </c>
      <c r="B66" s="37">
        <f t="shared" si="1"/>
        <v>36.12947766188762</v>
      </c>
      <c r="C66" s="3">
        <v>36.12947766188762</v>
      </c>
      <c r="D66" s="3">
        <v>23.849434566976239</v>
      </c>
      <c r="E66" s="3">
        <v>23.719558527357382</v>
      </c>
      <c r="F66" s="3">
        <v>1.081418934375374</v>
      </c>
      <c r="G66" s="24">
        <v>1.0811423812795575</v>
      </c>
      <c r="H66" s="3">
        <v>814.11169155813582</v>
      </c>
      <c r="I66" s="3">
        <v>814.21720626211413</v>
      </c>
      <c r="J66" s="3">
        <v>1.2247670825810044</v>
      </c>
      <c r="K66" s="3">
        <v>1.0754522870584551</v>
      </c>
    </row>
    <row r="67" spans="1:11" outlineLevel="1" x14ac:dyDescent="0.25">
      <c r="A67" s="29">
        <v>9</v>
      </c>
      <c r="B67" s="37">
        <f t="shared" si="1"/>
        <v>41.147974470728705</v>
      </c>
      <c r="C67" s="3">
        <v>41.147974470728705</v>
      </c>
      <c r="D67" s="3">
        <v>27.892546695224752</v>
      </c>
      <c r="E67" s="3">
        <v>27.740653219952357</v>
      </c>
      <c r="F67" s="3">
        <v>1.0906780776388953</v>
      </c>
      <c r="G67" s="24">
        <v>1.09034934302579</v>
      </c>
      <c r="H67" s="3">
        <v>810.37058058566561</v>
      </c>
      <c r="I67" s="3">
        <v>810.49576897508928</v>
      </c>
      <c r="J67" s="3">
        <v>1.127929126073155</v>
      </c>
      <c r="K67" s="3">
        <v>0.99058984507383807</v>
      </c>
    </row>
    <row r="68" spans="1:11" outlineLevel="1" x14ac:dyDescent="0.25">
      <c r="A68" s="29">
        <v>10</v>
      </c>
      <c r="B68" s="37">
        <f t="shared" si="1"/>
        <v>46.166471279569791</v>
      </c>
      <c r="C68" s="3">
        <v>46.166471279569791</v>
      </c>
      <c r="D68" s="3">
        <v>32.03774529894681</v>
      </c>
      <c r="E68" s="3">
        <v>31.863278459237893</v>
      </c>
      <c r="F68" s="3">
        <v>1.1002849339295355</v>
      </c>
      <c r="G68" s="24">
        <v>1.0999017246540577</v>
      </c>
      <c r="H68" s="3">
        <v>806.51686852874525</v>
      </c>
      <c r="I68" s="3">
        <v>806.66221101218321</v>
      </c>
      <c r="J68" s="3">
        <v>1.0444870838748681</v>
      </c>
      <c r="K68" s="3">
        <v>0.91743889369774967</v>
      </c>
    </row>
    <row r="69" spans="1:11" outlineLevel="1" x14ac:dyDescent="0.25">
      <c r="A69" s="29">
        <v>11</v>
      </c>
      <c r="B69" s="37">
        <f t="shared" si="1"/>
        <v>51.184968088410876</v>
      </c>
      <c r="C69" s="3">
        <v>51.184968088410876</v>
      </c>
      <c r="D69" s="3">
        <v>36.276060279006217</v>
      </c>
      <c r="E69" s="3">
        <v>36.078512994235957</v>
      </c>
      <c r="F69" s="3">
        <v>1.1102204701494829</v>
      </c>
      <c r="G69" s="24">
        <v>1.1097806133668009</v>
      </c>
      <c r="H69" s="3">
        <v>802.56394828500481</v>
      </c>
      <c r="I69" s="3">
        <v>802.72981235895736</v>
      </c>
      <c r="J69" s="3">
        <v>0.97202598622339254</v>
      </c>
      <c r="K69" s="3">
        <v>0.8538939122622593</v>
      </c>
    </row>
    <row r="70" spans="1:11" outlineLevel="1" x14ac:dyDescent="0.25">
      <c r="A70" s="29">
        <v>12</v>
      </c>
      <c r="B70" s="37">
        <f t="shared" si="1"/>
        <v>56.203464897251962</v>
      </c>
      <c r="C70" s="3">
        <v>56.203464897251962</v>
      </c>
      <c r="D70" s="3">
        <v>40.60012602134681</v>
      </c>
      <c r="E70" s="3">
        <v>40.379031321559658</v>
      </c>
      <c r="F70" s="3">
        <v>1.1204686001534212</v>
      </c>
      <c r="G70" s="24">
        <v>1.1199700270255752</v>
      </c>
      <c r="H70" s="3">
        <v>798.52377982719474</v>
      </c>
      <c r="I70" s="3">
        <v>798.71043171716713</v>
      </c>
      <c r="J70" s="3">
        <v>0.90863736289353747</v>
      </c>
      <c r="K70" s="3">
        <v>0.79828949416866868</v>
      </c>
    </row>
    <row r="71" spans="1:11" outlineLevel="1" x14ac:dyDescent="0.25">
      <c r="A71" s="29">
        <v>13</v>
      </c>
      <c r="B71" s="37">
        <f t="shared" si="1"/>
        <v>61.221961706093047</v>
      </c>
      <c r="C71" s="3">
        <v>61.221961706093047</v>
      </c>
      <c r="D71" s="3">
        <v>45.003774460143433</v>
      </c>
      <c r="E71" s="3">
        <v>44.758698964606225</v>
      </c>
      <c r="F71" s="3">
        <v>1.1310154585683792</v>
      </c>
      <c r="G71" s="24">
        <v>1.1304561915493163</v>
      </c>
      <c r="H71" s="3">
        <v>794.40715957840212</v>
      </c>
      <c r="I71" s="3">
        <v>794.61477453313069</v>
      </c>
      <c r="J71" s="3">
        <v>0.85280480286350835</v>
      </c>
      <c r="K71" s="3">
        <v>0.74930136684618764</v>
      </c>
    </row>
    <row r="72" spans="1:11" outlineLevel="1" x14ac:dyDescent="0.25">
      <c r="A72" s="29">
        <v>14</v>
      </c>
      <c r="B72" s="37">
        <f t="shared" si="1"/>
        <v>66.240458514934133</v>
      </c>
      <c r="C72" s="3">
        <v>66.240458514934133</v>
      </c>
      <c r="D72" s="3">
        <v>49.481756772690701</v>
      </c>
      <c r="E72" s="3">
        <v>49.212295684002271</v>
      </c>
      <c r="F72" s="3">
        <v>1.141848906629098</v>
      </c>
      <c r="G72" s="24">
        <v>1.1412270492536056</v>
      </c>
      <c r="H72" s="3">
        <v>790.22390645204075</v>
      </c>
      <c r="I72" s="3">
        <v>790.45257798261196</v>
      </c>
      <c r="J72" s="3">
        <v>0.80331500172665471</v>
      </c>
      <c r="K72" s="3">
        <v>0.70586928038702268</v>
      </c>
    </row>
    <row r="73" spans="1:11" outlineLevel="1" x14ac:dyDescent="0.25">
      <c r="A73" s="29">
        <v>15</v>
      </c>
      <c r="B73" s="37">
        <f t="shared" si="1"/>
        <v>71.258955323775226</v>
      </c>
      <c r="C73" s="3">
        <v>71.258955323775226</v>
      </c>
      <c r="D73" s="3">
        <v>54.029546232314217</v>
      </c>
      <c r="E73" s="3">
        <v>53.735319404112047</v>
      </c>
      <c r="F73" s="3">
        <v>1.1529581826313757</v>
      </c>
      <c r="G73" s="24">
        <v>1.1522719111301174</v>
      </c>
      <c r="H73" s="3">
        <v>785.98299686307462</v>
      </c>
      <c r="I73" s="3">
        <v>786.23274511019474</v>
      </c>
      <c r="J73" s="3">
        <v>0.75918976934228766</v>
      </c>
      <c r="K73" s="3">
        <v>0.66713796733782105</v>
      </c>
    </row>
    <row r="74" spans="1:11" outlineLevel="1" x14ac:dyDescent="0.25">
      <c r="A74" s="29">
        <v>16</v>
      </c>
      <c r="B74" s="37">
        <f t="shared" si="1"/>
        <v>76.277452132616318</v>
      </c>
      <c r="C74" s="3">
        <v>76.277452132616318</v>
      </c>
      <c r="D74" s="3">
        <v>58.643194425074618</v>
      </c>
      <c r="E74" s="3">
        <v>58.323843212737124</v>
      </c>
      <c r="F74" s="3">
        <v>1.1643336465640948</v>
      </c>
      <c r="G74" s="24">
        <v>1.1635812028553898</v>
      </c>
      <c r="H74" s="3">
        <v>781.69266698269996</v>
      </c>
      <c r="I74" s="3">
        <v>781.9634463364398</v>
      </c>
      <c r="J74" s="3">
        <v>0.71963432060988997</v>
      </c>
      <c r="K74" s="3">
        <v>0.63241218273952271</v>
      </c>
    </row>
    <row r="75" spans="1:11" outlineLevel="1" x14ac:dyDescent="0.25">
      <c r="A75" s="29">
        <v>17</v>
      </c>
      <c r="B75" s="37">
        <f t="shared" si="1"/>
        <v>81.295948941457411</v>
      </c>
      <c r="C75" s="3">
        <v>81.295948941457411</v>
      </c>
      <c r="D75" s="3">
        <v>63.319223781459385</v>
      </c>
      <c r="E75" s="3">
        <v>62.974408478044886</v>
      </c>
      <c r="F75" s="3">
        <v>1.1759665883799129</v>
      </c>
      <c r="G75" s="24">
        <v>1.1751462741277507</v>
      </c>
      <c r="H75" s="3">
        <v>777.36049307749295</v>
      </c>
      <c r="I75" s="3">
        <v>777.65219913975875</v>
      </c>
      <c r="J75" s="3">
        <v>0.68399791484655204</v>
      </c>
      <c r="K75" s="3">
        <v>0.60112244435047024</v>
      </c>
    </row>
    <row r="76" spans="1:11" outlineLevel="1" x14ac:dyDescent="0.25">
      <c r="A76" s="29">
        <v>18</v>
      </c>
      <c r="B76" s="37">
        <f t="shared" si="1"/>
        <v>86.314445750298503</v>
      </c>
      <c r="C76" s="3">
        <v>86.314445750298503</v>
      </c>
      <c r="D76" s="3">
        <v>68.054545550037702</v>
      </c>
      <c r="E76" s="3">
        <v>67.683943268911165</v>
      </c>
      <c r="F76" s="3">
        <v>1.1878490806477804</v>
      </c>
      <c r="G76" s="24">
        <v>1.1869592521639392</v>
      </c>
      <c r="H76" s="3">
        <v>772.99345663357064</v>
      </c>
      <c r="I76" s="3">
        <v>773.30593259267584</v>
      </c>
      <c r="J76" s="3">
        <v>0.65174377319108867</v>
      </c>
      <c r="K76" s="3">
        <v>0.57279882505312929</v>
      </c>
    </row>
    <row r="77" spans="1:11" outlineLevel="1" x14ac:dyDescent="0.25">
      <c r="A77" s="29">
        <v>19</v>
      </c>
      <c r="B77" s="37">
        <f t="shared" si="1"/>
        <v>91.332942559139596</v>
      </c>
      <c r="C77" s="3">
        <v>91.332942559139596</v>
      </c>
      <c r="D77" s="3">
        <v>72.846396045477206</v>
      </c>
      <c r="E77" s="3">
        <v>72.44969895010901</v>
      </c>
      <c r="F77" s="3">
        <v>1.1999738630145067</v>
      </c>
      <c r="G77" s="24">
        <v>1.1990129268411827</v>
      </c>
      <c r="H77" s="3">
        <v>768.59799855739175</v>
      </c>
      <c r="I77" s="3">
        <v>768.93104103060546</v>
      </c>
      <c r="J77" s="3">
        <v>0.62242595439746451</v>
      </c>
      <c r="K77" s="3">
        <v>0.54705079189623929</v>
      </c>
    </row>
    <row r="78" spans="1:11" outlineLevel="1" x14ac:dyDescent="0.25">
      <c r="A78" s="29">
        <v>20</v>
      </c>
      <c r="B78" s="37">
        <f t="shared" si="1"/>
        <v>96.351439367980689</v>
      </c>
      <c r="C78" s="3">
        <v>96.351439367980689</v>
      </c>
      <c r="D78" s="3">
        <v>77.692286309540378</v>
      </c>
      <c r="E78" s="3">
        <v>77.269200117434622</v>
      </c>
      <c r="F78" s="3">
        <v>1.2123342500141141</v>
      </c>
      <c r="G78" s="24">
        <v>1.2113006590635924</v>
      </c>
      <c r="H78" s="3">
        <v>764.18006528997273</v>
      </c>
      <c r="I78" s="3">
        <v>764.53342968073991</v>
      </c>
      <c r="J78" s="3">
        <v>0.59567146111877012</v>
      </c>
      <c r="K78" s="3">
        <v>0.52355159501137138</v>
      </c>
    </row>
    <row r="79" spans="1:11" outlineLevel="1" x14ac:dyDescent="0.25">
      <c r="A79" s="29">
        <v>21</v>
      </c>
      <c r="B79" s="38">
        <f>G23</f>
        <v>101.36993617682177</v>
      </c>
      <c r="C79" s="3">
        <v>101.36993617682177</v>
      </c>
      <c r="D79" s="3">
        <v>82.589961805176642</v>
      </c>
      <c r="E79" s="3">
        <v>82.623539041055793</v>
      </c>
      <c r="F79" s="3">
        <v>1.2249240563771413</v>
      </c>
      <c r="G79" s="24">
        <v>1.2250633590092757</v>
      </c>
      <c r="H79" s="3">
        <v>759.74514876344119</v>
      </c>
      <c r="I79" s="3">
        <v>759.68219725807171</v>
      </c>
      <c r="J79" s="3">
        <v>0.57116629569441679</v>
      </c>
      <c r="K79" s="3">
        <v>0.5</v>
      </c>
    </row>
    <row r="80" spans="1:11" outlineLevel="1" x14ac:dyDescent="0.25">
      <c r="A80" s="29">
        <v>22</v>
      </c>
      <c r="B80" s="37">
        <f t="shared" ref="B80:B98" si="2">($B$99-$B$79)/($A$99-$A$79)+B79</f>
        <v>111.30143936798068</v>
      </c>
      <c r="C80" s="3">
        <v>111.30143936798068</v>
      </c>
      <c r="D80" s="3">
        <v>92.427149825317088</v>
      </c>
      <c r="E80" s="3">
        <v>82.623539041055793</v>
      </c>
      <c r="F80" s="3">
        <v>1.2504931852735541</v>
      </c>
      <c r="G80" s="24">
        <v>1.2221187909988032</v>
      </c>
      <c r="H80" s="3">
        <v>750.93793818131905</v>
      </c>
      <c r="I80" s="3">
        <v>761.51257243325699</v>
      </c>
      <c r="J80" s="3">
        <v>0.52829935739459066</v>
      </c>
      <c r="K80" s="3">
        <v>0.50942459170134868</v>
      </c>
    </row>
    <row r="81" spans="1:11" outlineLevel="1" x14ac:dyDescent="0.25">
      <c r="A81" s="29">
        <v>23</v>
      </c>
      <c r="B81" s="37">
        <f t="shared" si="2"/>
        <v>121.23294255913959</v>
      </c>
      <c r="C81" s="3">
        <v>121.23294255913959</v>
      </c>
      <c r="D81" s="3">
        <v>100</v>
      </c>
      <c r="E81" s="3">
        <v>82.623539041055793</v>
      </c>
      <c r="F81" s="3">
        <v>1.2694199879158397</v>
      </c>
      <c r="G81" s="24">
        <v>1.2196620997785992</v>
      </c>
      <c r="H81" s="3">
        <v>744.84332135999603</v>
      </c>
      <c r="I81" s="3">
        <v>763.04644091298701</v>
      </c>
      <c r="J81" s="3">
        <v>0.50273983617246765</v>
      </c>
      <c r="K81" s="3">
        <v>0.51981800862858341</v>
      </c>
    </row>
    <row r="82" spans="1:11" outlineLevel="1" x14ac:dyDescent="0.25">
      <c r="A82" s="29">
        <v>24</v>
      </c>
      <c r="B82" s="37">
        <f t="shared" si="2"/>
        <v>131.16444575029851</v>
      </c>
      <c r="C82" s="3">
        <v>131.16444575029851</v>
      </c>
      <c r="D82" s="3">
        <v>100</v>
      </c>
      <c r="E82" s="3">
        <v>82.623539041055793</v>
      </c>
      <c r="F82" s="3">
        <v>1.2664376593928592</v>
      </c>
      <c r="G82" s="24">
        <v>1.2175813134690072</v>
      </c>
      <c r="H82" s="3">
        <v>746.59734965026996</v>
      </c>
      <c r="I82" s="3">
        <v>764.35044958187086</v>
      </c>
      <c r="J82" s="3">
        <v>0.51236176536703537</v>
      </c>
      <c r="K82" s="3">
        <v>0.53111795125439953</v>
      </c>
    </row>
    <row r="83" spans="1:11" outlineLevel="1" x14ac:dyDescent="0.25">
      <c r="A83" s="29">
        <v>25</v>
      </c>
      <c r="B83" s="37">
        <f t="shared" si="2"/>
        <v>141.09594894145744</v>
      </c>
      <c r="C83" s="3">
        <v>141.09594894145744</v>
      </c>
      <c r="D83" s="3">
        <v>100</v>
      </c>
      <c r="E83" s="3">
        <v>82.623539041055793</v>
      </c>
      <c r="F83" s="3">
        <v>1.2638807699822372</v>
      </c>
      <c r="G83" s="24">
        <v>1.2157962888425202</v>
      </c>
      <c r="H83" s="3">
        <v>748.1077507123465</v>
      </c>
      <c r="I83" s="3">
        <v>765.47266420638573</v>
      </c>
      <c r="J83" s="3">
        <v>0.52278421003496411</v>
      </c>
      <c r="K83" s="3">
        <v>0.54327159311540085</v>
      </c>
    </row>
    <row r="84" spans="1:11" outlineLevel="1" x14ac:dyDescent="0.25">
      <c r="A84" s="29">
        <v>26</v>
      </c>
      <c r="B84" s="37">
        <f t="shared" si="2"/>
        <v>151.02745213261636</v>
      </c>
      <c r="C84" s="3">
        <v>151.02745213261636</v>
      </c>
      <c r="D84" s="3">
        <v>100</v>
      </c>
      <c r="E84" s="3">
        <v>82.623539041055793</v>
      </c>
      <c r="F84" s="3">
        <v>1.2616643494406452</v>
      </c>
      <c r="G84" s="24">
        <v>1.2142481526144893</v>
      </c>
      <c r="H84" s="3">
        <v>749.42198407935734</v>
      </c>
      <c r="I84" s="3">
        <v>766.44862283599014</v>
      </c>
      <c r="J84" s="3">
        <v>0.53395991166291157</v>
      </c>
      <c r="K84" s="3">
        <v>0.55623328867148814</v>
      </c>
    </row>
    <row r="85" spans="1:11" outlineLevel="1" x14ac:dyDescent="0.25">
      <c r="A85" s="29">
        <v>27</v>
      </c>
      <c r="B85" s="37">
        <f t="shared" si="2"/>
        <v>160.95895532377529</v>
      </c>
      <c r="C85" s="3">
        <v>160.95895532377529</v>
      </c>
      <c r="D85" s="3">
        <v>100</v>
      </c>
      <c r="E85" s="3">
        <v>82.623539041055793</v>
      </c>
      <c r="F85" s="3">
        <v>1.2597246416370746</v>
      </c>
      <c r="G85" s="24">
        <v>1.2128926843666756</v>
      </c>
      <c r="H85" s="3">
        <v>750.57593441313588</v>
      </c>
      <c r="I85" s="3">
        <v>767.30516751238679</v>
      </c>
      <c r="J85" s="3">
        <v>0.54584741384590818</v>
      </c>
      <c r="K85" s="3">
        <v>0.56996284980548484</v>
      </c>
    </row>
    <row r="86" spans="1:11" outlineLevel="1" x14ac:dyDescent="0.25">
      <c r="A86" s="29">
        <v>28</v>
      </c>
      <c r="B86" s="37">
        <f t="shared" si="2"/>
        <v>170.89045851493421</v>
      </c>
      <c r="C86" s="3">
        <v>170.89045851493421</v>
      </c>
      <c r="D86" s="3">
        <v>100</v>
      </c>
      <c r="E86" s="3">
        <v>82.623539041055793</v>
      </c>
      <c r="F86" s="3">
        <v>1.2580128732117002</v>
      </c>
      <c r="G86" s="24">
        <v>1.2116960250116617</v>
      </c>
      <c r="H86" s="3">
        <v>751.59723730496887</v>
      </c>
      <c r="I86" s="3">
        <v>768.06295072525597</v>
      </c>
      <c r="J86" s="3">
        <v>0.5584097350422037</v>
      </c>
      <c r="K86" s="3">
        <v>0.58442422823985274</v>
      </c>
    </row>
    <row r="87" spans="1:11" outlineLevel="1" x14ac:dyDescent="0.25">
      <c r="A87" s="29">
        <v>29</v>
      </c>
      <c r="B87" s="37">
        <f t="shared" si="2"/>
        <v>180.82196170609313</v>
      </c>
      <c r="C87" s="3">
        <v>180.82196170609313</v>
      </c>
      <c r="D87" s="3">
        <v>100</v>
      </c>
      <c r="E87" s="3">
        <v>82.623539041055793</v>
      </c>
      <c r="F87" s="3">
        <v>1.2564910967302869</v>
      </c>
      <c r="G87" s="24">
        <v>1.2106318100580518</v>
      </c>
      <c r="H87" s="3">
        <v>752.5075207142205</v>
      </c>
      <c r="I87" s="3">
        <v>768.73812221066112</v>
      </c>
      <c r="J87" s="3">
        <v>0.57161333886116616</v>
      </c>
      <c r="K87" s="3">
        <v>0.59958449437135708</v>
      </c>
    </row>
    <row r="88" spans="1:11" outlineLevel="1" x14ac:dyDescent="0.25">
      <c r="A88" s="29">
        <v>30</v>
      </c>
      <c r="B88" s="37">
        <f t="shared" si="2"/>
        <v>190.75346489725206</v>
      </c>
      <c r="C88" s="3">
        <v>190.75346489725206</v>
      </c>
      <c r="D88" s="3">
        <v>100</v>
      </c>
      <c r="E88" s="3">
        <v>82.623539041055793</v>
      </c>
      <c r="F88" s="3">
        <v>1.2551293449819869</v>
      </c>
      <c r="G88" s="24">
        <v>1.2096792047441107</v>
      </c>
      <c r="H88" s="3">
        <v>753.3239532484755</v>
      </c>
      <c r="I88" s="3">
        <v>769.34349264058585</v>
      </c>
      <c r="J88" s="3">
        <v>0.5854273262063513</v>
      </c>
      <c r="K88" s="3">
        <v>0.61541303700605066</v>
      </c>
    </row>
    <row r="89" spans="1:11" outlineLevel="1" x14ac:dyDescent="0.25">
      <c r="A89" s="29">
        <v>31</v>
      </c>
      <c r="B89" s="37">
        <f t="shared" si="2"/>
        <v>200.68496808841098</v>
      </c>
      <c r="C89" s="3">
        <v>200.68496808841098</v>
      </c>
      <c r="D89" s="3">
        <v>100</v>
      </c>
      <c r="E89" s="3">
        <v>82.623539041055793</v>
      </c>
      <c r="F89" s="3">
        <v>1.2539036380458926</v>
      </c>
      <c r="G89" s="24">
        <v>1.208821526522329</v>
      </c>
      <c r="H89" s="3">
        <v>754.06033710334782</v>
      </c>
      <c r="I89" s="3">
        <v>769.88935416292793</v>
      </c>
      <c r="J89" s="3">
        <v>0.59982279580916886</v>
      </c>
      <c r="K89" s="3">
        <v>0.63188093078518415</v>
      </c>
    </row>
    <row r="90" spans="1:11" outlineLevel="1" x14ac:dyDescent="0.25">
      <c r="A90" s="29">
        <v>32</v>
      </c>
      <c r="B90" s="37">
        <f t="shared" si="2"/>
        <v>210.61647127956991</v>
      </c>
      <c r="C90" s="3">
        <v>210.61647127956991</v>
      </c>
      <c r="D90" s="3">
        <v>100</v>
      </c>
      <c r="E90" s="3">
        <v>82.623539041055793</v>
      </c>
      <c r="F90" s="3">
        <v>1.2527945591758605</v>
      </c>
      <c r="G90" s="24">
        <v>1.208045259781116</v>
      </c>
      <c r="H90" s="3">
        <v>754.72789458951763</v>
      </c>
      <c r="I90" s="3">
        <v>770.38407031301563</v>
      </c>
      <c r="J90" s="3">
        <v>0.61477233466539261</v>
      </c>
      <c r="K90" s="3">
        <v>0.64896043309394902</v>
      </c>
    </row>
    <row r="91" spans="1:11" outlineLevel="1" x14ac:dyDescent="0.25">
      <c r="A91" s="29">
        <v>33</v>
      </c>
      <c r="B91" s="37">
        <f t="shared" si="2"/>
        <v>220.54797447072883</v>
      </c>
      <c r="C91" s="3">
        <v>220.54797447072883</v>
      </c>
      <c r="D91" s="3">
        <v>100</v>
      </c>
      <c r="E91" s="3">
        <v>82.623539041055793</v>
      </c>
      <c r="F91" s="3">
        <v>1.251786218699507</v>
      </c>
      <c r="G91" s="24">
        <v>1.2073393384076867</v>
      </c>
      <c r="H91" s="3">
        <v>755.33584399284166</v>
      </c>
      <c r="I91" s="3">
        <v>770.83450753781494</v>
      </c>
      <c r="J91" s="3">
        <v>0.63024961019782155</v>
      </c>
      <c r="K91" s="3">
        <v>0.66662458254581558</v>
      </c>
    </row>
    <row r="92" spans="1:11" outlineLevel="1" x14ac:dyDescent="0.25">
      <c r="A92" s="29">
        <v>34</v>
      </c>
      <c r="B92" s="37">
        <f t="shared" si="2"/>
        <v>230.47947766188776</v>
      </c>
      <c r="C92" s="3">
        <v>230.47947766188776</v>
      </c>
      <c r="D92" s="3">
        <v>100</v>
      </c>
      <c r="E92" s="3">
        <v>82.623539041055793</v>
      </c>
      <c r="F92" s="3">
        <v>1.2508654879533474</v>
      </c>
      <c r="G92" s="24">
        <v>1.2066946149289695</v>
      </c>
      <c r="H92" s="3">
        <v>755.89182778321594</v>
      </c>
      <c r="I92" s="3">
        <v>771.24635582077451</v>
      </c>
      <c r="J92" s="3">
        <v>0.6462290431985408</v>
      </c>
      <c r="K92" s="3">
        <v>0.68484687833893876</v>
      </c>
    </row>
    <row r="93" spans="1:11" outlineLevel="1" x14ac:dyDescent="0.25">
      <c r="A93" s="29">
        <v>35</v>
      </c>
      <c r="B93" s="37">
        <f t="shared" si="2"/>
        <v>240.41098085304668</v>
      </c>
      <c r="C93" s="3">
        <v>240.41098085304668</v>
      </c>
      <c r="D93" s="3">
        <v>100</v>
      </c>
      <c r="E93" s="3">
        <v>82.623539041055793</v>
      </c>
      <c r="F93" s="3">
        <v>1.2500214245651742</v>
      </c>
      <c r="G93" s="24">
        <v>1.2061034619739956</v>
      </c>
      <c r="H93" s="3">
        <v>756.40223552880559</v>
      </c>
      <c r="I93" s="3">
        <v>771.6243702918631</v>
      </c>
      <c r="J93" s="3">
        <v>0.66268554575650784</v>
      </c>
      <c r="K93" s="3">
        <v>0.70360102490035681</v>
      </c>
    </row>
    <row r="94" spans="1:11" outlineLevel="1" x14ac:dyDescent="0.25">
      <c r="A94" s="29">
        <v>36</v>
      </c>
      <c r="B94" s="37">
        <f t="shared" si="2"/>
        <v>250.34248404420561</v>
      </c>
      <c r="C94" s="3">
        <v>250.34248404420561</v>
      </c>
      <c r="D94" s="3">
        <v>100</v>
      </c>
      <c r="E94" s="3">
        <v>82.623539041055793</v>
      </c>
      <c r="F94" s="3">
        <v>1.2492448355527859</v>
      </c>
      <c r="G94" s="24">
        <v>1.2055594691135283</v>
      </c>
      <c r="H94" s="3">
        <v>756.87245053257436</v>
      </c>
      <c r="I94" s="3">
        <v>771.97255564410466</v>
      </c>
      <c r="J94" s="3">
        <v>0.67959431210060395</v>
      </c>
      <c r="K94" s="3">
        <v>0.72286072992332828</v>
      </c>
    </row>
    <row r="95" spans="1:11" outlineLevel="1" x14ac:dyDescent="0.25">
      <c r="A95" s="29">
        <v>37</v>
      </c>
      <c r="B95" s="37">
        <f t="shared" si="2"/>
        <v>260.27398723536453</v>
      </c>
      <c r="C95" s="3">
        <v>260.27398723536453</v>
      </c>
      <c r="D95" s="3">
        <v>100</v>
      </c>
      <c r="E95" s="3">
        <v>82.623539041055793</v>
      </c>
      <c r="F95" s="3">
        <v>1.2485279411652497</v>
      </c>
      <c r="G95" s="24">
        <v>1.2050572094688325</v>
      </c>
      <c r="H95" s="3">
        <v>757.30704041556987</v>
      </c>
      <c r="I95" s="3">
        <v>772.29430855215423</v>
      </c>
      <c r="J95" s="3">
        <v>0.69693065301486945</v>
      </c>
      <c r="K95" s="3">
        <v>0.74259954659570016</v>
      </c>
    </row>
    <row r="96" spans="1:11" outlineLevel="1" x14ac:dyDescent="0.25">
      <c r="A96" s="29">
        <v>38</v>
      </c>
      <c r="B96" s="37">
        <f t="shared" si="2"/>
        <v>270.20549042652345</v>
      </c>
      <c r="C96" s="3">
        <v>270.20549042652345</v>
      </c>
      <c r="D96" s="3">
        <v>100</v>
      </c>
      <c r="E96" s="3">
        <v>82.623539041055793</v>
      </c>
      <c r="F96" s="3">
        <v>1.2478641133688353</v>
      </c>
      <c r="G96" s="24">
        <v>1.2045920580489893</v>
      </c>
      <c r="H96" s="3">
        <v>757.70990596676438</v>
      </c>
      <c r="I96" s="3">
        <v>772.59252884321415</v>
      </c>
      <c r="J96" s="3">
        <v>0.71466986650141739</v>
      </c>
      <c r="K96" s="3">
        <v>0.76279075280384845</v>
      </c>
    </row>
    <row r="97" spans="1:11" outlineLevel="1" x14ac:dyDescent="0.25">
      <c r="A97" s="29">
        <v>39</v>
      </c>
      <c r="B97" s="37">
        <f t="shared" si="2"/>
        <v>280.13699361768238</v>
      </c>
      <c r="C97" s="3">
        <v>280.13699361768238</v>
      </c>
      <c r="D97" s="3">
        <v>100</v>
      </c>
      <c r="E97" s="3">
        <v>82.623539041055793</v>
      </c>
      <c r="F97" s="3">
        <v>1.2472476703305109</v>
      </c>
      <c r="G97" s="24">
        <v>1.2041600489174555</v>
      </c>
      <c r="H97" s="3">
        <v>758.0843985456753</v>
      </c>
      <c r="I97" s="3">
        <v>772.86970713667699</v>
      </c>
      <c r="J97" s="3">
        <v>0.73278713887646874</v>
      </c>
      <c r="K97" s="3">
        <v>0.78340726157690654</v>
      </c>
    </row>
    <row r="98" spans="1:11" outlineLevel="1" x14ac:dyDescent="0.25">
      <c r="A98" s="29">
        <v>40</v>
      </c>
      <c r="B98" s="37">
        <f t="shared" si="2"/>
        <v>290.0684968088413</v>
      </c>
      <c r="C98" s="3">
        <v>290.0684968088413</v>
      </c>
      <c r="D98" s="3">
        <v>100</v>
      </c>
      <c r="E98" s="3">
        <v>82.623539041055793</v>
      </c>
      <c r="F98" s="3">
        <v>1.2466737133921206</v>
      </c>
      <c r="G98" s="24">
        <v>1.2037577618382598</v>
      </c>
      <c r="H98" s="3">
        <v>758.4334135251014</v>
      </c>
      <c r="I98" s="3">
        <v>773.12799456537698</v>
      </c>
      <c r="J98" s="3">
        <v>0.75125747162470191</v>
      </c>
      <c r="K98" s="3">
        <v>0.80442155814855099</v>
      </c>
    </row>
    <row r="99" spans="1:11" outlineLevel="1" x14ac:dyDescent="0.25">
      <c r="A99" s="29">
        <v>41</v>
      </c>
      <c r="B99" s="36">
        <v>300</v>
      </c>
      <c r="C99" s="3">
        <v>300</v>
      </c>
      <c r="D99" s="3">
        <v>100</v>
      </c>
      <c r="E99" s="3">
        <v>82.623539041055793</v>
      </c>
      <c r="F99" s="3">
        <v>1.2461379966276307</v>
      </c>
      <c r="G99" s="24">
        <v>1.2033822315395182</v>
      </c>
      <c r="H99" s="3">
        <v>758.7594652910168</v>
      </c>
      <c r="I99" s="3">
        <v>773.36925871167671</v>
      </c>
      <c r="J99" s="3">
        <v>0.77005563020467249</v>
      </c>
      <c r="K99" s="3">
        <v>0.8258056598564758</v>
      </c>
    </row>
    <row r="100" spans="1:11" outlineLevel="1" x14ac:dyDescent="0.25"/>
    <row r="101" spans="1:11" outlineLevel="1" x14ac:dyDescent="0.25"/>
  </sheetData>
  <mergeCells count="4">
    <mergeCell ref="F3:G3"/>
    <mergeCell ref="A2:E2"/>
    <mergeCell ref="A3:E3"/>
    <mergeCell ref="N7:Q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3" r:id="rId4" name="Button 39">
              <controlPr defaultSize="0" print="0" autoFill="0" autoPict="0" macro="[0]!Кнопка_Обновить_графики">
                <anchor moveWithCells="1" sizeWithCells="1">
                  <from>
                    <xdr:col>11</xdr:col>
                    <xdr:colOff>142875</xdr:colOff>
                    <xdr:row>55</xdr:row>
                    <xdr:rowOff>47625</xdr:rowOff>
                  </from>
                  <to>
                    <xdr:col>13</xdr:col>
                    <xdr:colOff>647700</xdr:colOff>
                    <xdr:row>57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32</vt:i4>
      </vt:variant>
    </vt:vector>
  </HeadingPairs>
  <TitlesOfParts>
    <vt:vector size="33" baseType="lpstr">
      <vt:lpstr>PVT</vt:lpstr>
      <vt:lpstr>bo_list1_</vt:lpstr>
      <vt:lpstr>bo_list2_</vt:lpstr>
      <vt:lpstr>Bob_m3m3_</vt:lpstr>
      <vt:lpstr>gamma_gas_</vt:lpstr>
      <vt:lpstr>gamma_oil_</vt:lpstr>
      <vt:lpstr>gamma_w_</vt:lpstr>
      <vt:lpstr>Ksep_</vt:lpstr>
      <vt:lpstr>mu_cP_</vt:lpstr>
      <vt:lpstr>muo_list1_</vt:lpstr>
      <vt:lpstr>muo_list2_</vt:lpstr>
      <vt:lpstr>P_atma_</vt:lpstr>
      <vt:lpstr>Pb_atma_</vt:lpstr>
      <vt:lpstr>press_list0_</vt:lpstr>
      <vt:lpstr>press_list1_</vt:lpstr>
      <vt:lpstr>Psc_atma_</vt:lpstr>
      <vt:lpstr>Psep_atma_</vt:lpstr>
      <vt:lpstr>PVT_correlation_</vt:lpstr>
      <vt:lpstr>Ql_scm3day_</vt:lpstr>
      <vt:lpstr>Qo_sctday_</vt:lpstr>
      <vt:lpstr>rhoo_list1_</vt:lpstr>
      <vt:lpstr>rhoo_list2_</vt:lpstr>
      <vt:lpstr>Rp_m3m3_</vt:lpstr>
      <vt:lpstr>Rp_tm3_</vt:lpstr>
      <vt:lpstr>rs_list1_</vt:lpstr>
      <vt:lpstr>rs_list2_</vt:lpstr>
      <vt:lpstr>Rsb_m3m3_</vt:lpstr>
      <vt:lpstr>T_C_</vt:lpstr>
      <vt:lpstr>T_label_</vt:lpstr>
      <vt:lpstr>Tres_C_</vt:lpstr>
      <vt:lpstr>Tsc_C_</vt:lpstr>
      <vt:lpstr>Tsep_C_</vt:lpstr>
      <vt:lpstr>wc_perc_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2018-04-24T09:42:46Z</dcterms:created>
  <dcterms:modified xsi:type="dcterms:W3CDTF">2018-05-21T12:43:18Z</dcterms:modified>
</cp:coreProperties>
</file>