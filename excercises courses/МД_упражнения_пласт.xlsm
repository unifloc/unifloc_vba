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Ринат\YandexDisk\Teaching\2015 МД ЗН\"/>
    </mc:Choice>
  </mc:AlternateContent>
  <bookViews>
    <workbookView xWindow="0" yWindow="0" windowWidth="24000" windowHeight="14235" activeTab="2"/>
  </bookViews>
  <sheets>
    <sheet name="Упражнение 1" sheetId="1" r:id="rId1"/>
    <sheet name="Упражнение 2" sheetId="2" r:id="rId2"/>
    <sheet name="Упражнение 3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4" l="1"/>
  <c r="C40" i="4" s="1"/>
  <c r="C41" i="4" s="1"/>
  <c r="C42" i="4" s="1"/>
  <c r="C43" i="4" s="1"/>
  <c r="C44" i="4" s="1"/>
  <c r="C45" i="4" s="1"/>
  <c r="C46" i="4" s="1"/>
  <c r="C47" i="4" s="1"/>
  <c r="C48" i="4" s="1"/>
  <c r="C27" i="2" l="1"/>
  <c r="C28" i="2"/>
  <c r="C29" i="2" s="1"/>
  <c r="C30" i="2" s="1"/>
  <c r="C31" i="2" s="1"/>
  <c r="C32" i="2" s="1"/>
  <c r="C33" i="2" s="1"/>
  <c r="C34" i="2" s="1"/>
  <c r="C35" i="2" s="1"/>
  <c r="C26" i="2"/>
  <c r="C39" i="1"/>
  <c r="C40" i="1"/>
  <c r="C41" i="1" s="1"/>
  <c r="C42" i="1" s="1"/>
  <c r="C43" i="1" s="1"/>
  <c r="C44" i="1" s="1"/>
  <c r="C45" i="1" s="1"/>
  <c r="C46" i="1" s="1"/>
  <c r="C47" i="1" s="1"/>
  <c r="C38" i="1"/>
</calcChain>
</file>

<file path=xl/sharedStrings.xml><?xml version="1.0" encoding="utf-8"?>
<sst xmlns="http://schemas.openxmlformats.org/spreadsheetml/2006/main" count="96" uniqueCount="40">
  <si>
    <t>Упражнения к учебному курсу "Механизированная добыча нефти"</t>
  </si>
  <si>
    <t>Упражнение</t>
  </si>
  <si>
    <t>Описание</t>
  </si>
  <si>
    <t>Исходные данные</t>
  </si>
  <si>
    <t>Давление насыщения</t>
  </si>
  <si>
    <t>Обводненность</t>
  </si>
  <si>
    <t>атм</t>
  </si>
  <si>
    <t>м3/м3</t>
  </si>
  <si>
    <t>%</t>
  </si>
  <si>
    <t>м3/сут</t>
  </si>
  <si>
    <t>Индикаторная кривая</t>
  </si>
  <si>
    <t>Пластовое давление</t>
  </si>
  <si>
    <t>Кпр</t>
  </si>
  <si>
    <t>Вариант 1</t>
  </si>
  <si>
    <t>м3/сут/атм</t>
  </si>
  <si>
    <t>Вариант 2</t>
  </si>
  <si>
    <t>Дебит нефти</t>
  </si>
  <si>
    <t>Используя различные наборы данных, постройте индикаторные кривые для добывающей нефтяной скважины.</t>
  </si>
  <si>
    <t>Забойное давление</t>
  </si>
  <si>
    <t>Вариант 3</t>
  </si>
  <si>
    <t>Проницаемость</t>
  </si>
  <si>
    <t>мД</t>
  </si>
  <si>
    <t xml:space="preserve">Вязкость нефти </t>
  </si>
  <si>
    <t>сП</t>
  </si>
  <si>
    <t>Толщина пласта</t>
  </si>
  <si>
    <t xml:space="preserve">м </t>
  </si>
  <si>
    <t>Объемный коэффициент</t>
  </si>
  <si>
    <t>Радиус контура питания</t>
  </si>
  <si>
    <t>Радиус скважины</t>
  </si>
  <si>
    <t>м</t>
  </si>
  <si>
    <t>Скин- фактор</t>
  </si>
  <si>
    <t>Точек на графике</t>
  </si>
  <si>
    <t>Давление, атм</t>
  </si>
  <si>
    <t>Дебит, вариант 1</t>
  </si>
  <si>
    <t>Дебит, вариант 2</t>
  </si>
  <si>
    <t>Дебит, вариант 3</t>
  </si>
  <si>
    <t>Индикаторная кривая с учетом поправки Вогеля</t>
  </si>
  <si>
    <t>По исходным данным построить индикаторную диаграмму с поправкой Вогеля</t>
  </si>
  <si>
    <t>Используя различные наборы данных, постройте индикаторные кривые для добывающей нефтяной скважины с учетом поправки Вогеля и обводненности
Используйте функции VBA для расчетов</t>
  </si>
  <si>
    <t>Индикаторная кривая. Построение с использованием функций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</si>
</sst>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wrapText="1"/>
    </xf>
    <xf numFmtId="1" fontId="0" fillId="3" borderId="0" xfId="0" applyNumberFormat="1" applyFill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 диаграмма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'Упражнение 1'!$D$34</c:f>
              <c:strCache>
                <c:ptCount val="1"/>
                <c:pt idx="0">
                  <c:v>Вариант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'Упражнение 1'!$D$37:$D$47</c:f>
              <c:numCache>
                <c:formatCode>General</c:formatCode>
                <c:ptCount val="11"/>
              </c:numCache>
            </c:numRef>
          </c:xVal>
          <c:yVal>
            <c:numRef>
              <c:f>'Упражнение 1'!$C$37:$C$47</c:f>
              <c:numCache>
                <c:formatCode>0</c:formatCode>
                <c:ptCount val="11"/>
                <c:pt idx="0">
                  <c:v>1</c:v>
                </c:pt>
                <c:pt idx="1">
                  <c:v>25.9</c:v>
                </c:pt>
                <c:pt idx="2">
                  <c:v>50.8</c:v>
                </c:pt>
                <c:pt idx="3">
                  <c:v>75.699999999999989</c:v>
                </c:pt>
                <c:pt idx="4">
                  <c:v>100.6</c:v>
                </c:pt>
                <c:pt idx="5">
                  <c:v>125.5</c:v>
                </c:pt>
                <c:pt idx="6">
                  <c:v>150.4</c:v>
                </c:pt>
                <c:pt idx="7">
                  <c:v>175.3</c:v>
                </c:pt>
                <c:pt idx="8">
                  <c:v>200.20000000000002</c:v>
                </c:pt>
                <c:pt idx="9">
                  <c:v>225.10000000000002</c:v>
                </c:pt>
                <c:pt idx="10">
                  <c:v>250.00000000000003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'Упражнение 1'!$E$34</c:f>
              <c:strCache>
                <c:ptCount val="1"/>
                <c:pt idx="0">
                  <c:v>Вариант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'Упражнение 1'!$E$37:$E$47</c:f>
              <c:numCache>
                <c:formatCode>General</c:formatCode>
                <c:ptCount val="11"/>
              </c:numCache>
            </c:numRef>
          </c:xVal>
          <c:yVal>
            <c:numRef>
              <c:f>'Упражнение 1'!$C$37:$C$47</c:f>
              <c:numCache>
                <c:formatCode>0</c:formatCode>
                <c:ptCount val="11"/>
                <c:pt idx="0">
                  <c:v>1</c:v>
                </c:pt>
                <c:pt idx="1">
                  <c:v>25.9</c:v>
                </c:pt>
                <c:pt idx="2">
                  <c:v>50.8</c:v>
                </c:pt>
                <c:pt idx="3">
                  <c:v>75.699999999999989</c:v>
                </c:pt>
                <c:pt idx="4">
                  <c:v>100.6</c:v>
                </c:pt>
                <c:pt idx="5">
                  <c:v>125.5</c:v>
                </c:pt>
                <c:pt idx="6">
                  <c:v>150.4</c:v>
                </c:pt>
                <c:pt idx="7">
                  <c:v>175.3</c:v>
                </c:pt>
                <c:pt idx="8">
                  <c:v>200.20000000000002</c:v>
                </c:pt>
                <c:pt idx="9">
                  <c:v>225.10000000000002</c:v>
                </c:pt>
                <c:pt idx="10">
                  <c:v>250.00000000000003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'Упражнение 1'!$F$34</c:f>
              <c:strCache>
                <c:ptCount val="1"/>
                <c:pt idx="0">
                  <c:v>Вариант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'Упражнение 1'!$F$37:$F$47</c:f>
              <c:numCache>
                <c:formatCode>General</c:formatCode>
                <c:ptCount val="11"/>
              </c:numCache>
            </c:numRef>
          </c:xVal>
          <c:yVal>
            <c:numRef>
              <c:f>'Упражнение 1'!$C$37:$C$47</c:f>
              <c:numCache>
                <c:formatCode>0</c:formatCode>
                <c:ptCount val="11"/>
                <c:pt idx="0">
                  <c:v>1</c:v>
                </c:pt>
                <c:pt idx="1">
                  <c:v>25.9</c:v>
                </c:pt>
                <c:pt idx="2">
                  <c:v>50.8</c:v>
                </c:pt>
                <c:pt idx="3">
                  <c:v>75.699999999999989</c:v>
                </c:pt>
                <c:pt idx="4">
                  <c:v>100.6</c:v>
                </c:pt>
                <c:pt idx="5">
                  <c:v>125.5</c:v>
                </c:pt>
                <c:pt idx="6">
                  <c:v>150.4</c:v>
                </c:pt>
                <c:pt idx="7">
                  <c:v>175.3</c:v>
                </c:pt>
                <c:pt idx="8">
                  <c:v>200.20000000000002</c:v>
                </c:pt>
                <c:pt idx="9">
                  <c:v>225.10000000000002</c:v>
                </c:pt>
                <c:pt idx="10">
                  <c:v>250.00000000000003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868616"/>
        <c:axId val="425868224"/>
      </c:scatterChart>
      <c:valAx>
        <c:axId val="425868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layout>
            <c:manualLayout>
              <c:xMode val="edge"/>
              <c:yMode val="edge"/>
              <c:x val="0.47265543614277133"/>
              <c:y val="0.858201077940974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5868224"/>
        <c:crosses val="autoZero"/>
        <c:crossBetween val="midCat"/>
      </c:valAx>
      <c:valAx>
        <c:axId val="4258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5868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 диаграмма с поправкой Вогеля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'Упражнение 2'!$D$22</c:f>
              <c:strCache>
                <c:ptCount val="1"/>
                <c:pt idx="0">
                  <c:v>Вариант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'Упражнение 2'!$D$25:$D$35</c:f>
              <c:numCache>
                <c:formatCode>General</c:formatCode>
                <c:ptCount val="11"/>
              </c:numCache>
            </c:numRef>
          </c:xVal>
          <c:yVal>
            <c:numRef>
              <c:f>'Упражнение 2'!$C$25:$C$35</c:f>
              <c:numCache>
                <c:formatCode>0</c:formatCode>
                <c:ptCount val="11"/>
                <c:pt idx="0">
                  <c:v>1</c:v>
                </c:pt>
                <c:pt idx="1">
                  <c:v>25.9</c:v>
                </c:pt>
                <c:pt idx="2">
                  <c:v>50.8</c:v>
                </c:pt>
                <c:pt idx="3">
                  <c:v>75.699999999999989</c:v>
                </c:pt>
                <c:pt idx="4">
                  <c:v>100.6</c:v>
                </c:pt>
                <c:pt idx="5">
                  <c:v>125.5</c:v>
                </c:pt>
                <c:pt idx="6">
                  <c:v>150.4</c:v>
                </c:pt>
                <c:pt idx="7">
                  <c:v>175.3</c:v>
                </c:pt>
                <c:pt idx="8">
                  <c:v>200.20000000000002</c:v>
                </c:pt>
                <c:pt idx="9">
                  <c:v>225.10000000000002</c:v>
                </c:pt>
                <c:pt idx="10">
                  <c:v>250.00000000000003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441016"/>
        <c:axId val="433441408"/>
      </c:scatterChart>
      <c:valAx>
        <c:axId val="433441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layout>
            <c:manualLayout>
              <c:xMode val="edge"/>
              <c:yMode val="edge"/>
              <c:x val="0.47265543614277133"/>
              <c:y val="0.858201077940974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441408"/>
        <c:crosses val="autoZero"/>
        <c:crossBetween val="midCat"/>
      </c:valAx>
      <c:valAx>
        <c:axId val="433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441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 диаграмма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'Упражнение 3'!$D$35</c:f>
              <c:strCache>
                <c:ptCount val="1"/>
                <c:pt idx="0">
                  <c:v>Вариант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'Упражнение 3'!$D$38:$D$48</c:f>
              <c:numCache>
                <c:formatCode>General</c:formatCode>
                <c:ptCount val="11"/>
              </c:numCache>
            </c:numRef>
          </c:xVal>
          <c:yVal>
            <c:numRef>
              <c:f>'Упражнение 3'!$C$38:$C$48</c:f>
              <c:numCache>
                <c:formatCode>0</c:formatCode>
                <c:ptCount val="11"/>
                <c:pt idx="0">
                  <c:v>1</c:v>
                </c:pt>
                <c:pt idx="1">
                  <c:v>25.9</c:v>
                </c:pt>
                <c:pt idx="2">
                  <c:v>50.8</c:v>
                </c:pt>
                <c:pt idx="3">
                  <c:v>75.699999999999989</c:v>
                </c:pt>
                <c:pt idx="4">
                  <c:v>100.6</c:v>
                </c:pt>
                <c:pt idx="5">
                  <c:v>125.5</c:v>
                </c:pt>
                <c:pt idx="6">
                  <c:v>150.4</c:v>
                </c:pt>
                <c:pt idx="7">
                  <c:v>175.3</c:v>
                </c:pt>
                <c:pt idx="8">
                  <c:v>200.20000000000002</c:v>
                </c:pt>
                <c:pt idx="9">
                  <c:v>225.10000000000002</c:v>
                </c:pt>
                <c:pt idx="10">
                  <c:v>250.00000000000003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'Упражнение 3'!$E$35</c:f>
              <c:strCache>
                <c:ptCount val="1"/>
                <c:pt idx="0">
                  <c:v>Вариант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'Упражнение 3'!$E$38:$E$48</c:f>
              <c:numCache>
                <c:formatCode>General</c:formatCode>
                <c:ptCount val="11"/>
              </c:numCache>
            </c:numRef>
          </c:xVal>
          <c:yVal>
            <c:numRef>
              <c:f>'Упражнение 3'!$C$38:$C$48</c:f>
              <c:numCache>
                <c:formatCode>0</c:formatCode>
                <c:ptCount val="11"/>
                <c:pt idx="0">
                  <c:v>1</c:v>
                </c:pt>
                <c:pt idx="1">
                  <c:v>25.9</c:v>
                </c:pt>
                <c:pt idx="2">
                  <c:v>50.8</c:v>
                </c:pt>
                <c:pt idx="3">
                  <c:v>75.699999999999989</c:v>
                </c:pt>
                <c:pt idx="4">
                  <c:v>100.6</c:v>
                </c:pt>
                <c:pt idx="5">
                  <c:v>125.5</c:v>
                </c:pt>
                <c:pt idx="6">
                  <c:v>150.4</c:v>
                </c:pt>
                <c:pt idx="7">
                  <c:v>175.3</c:v>
                </c:pt>
                <c:pt idx="8">
                  <c:v>200.20000000000002</c:v>
                </c:pt>
                <c:pt idx="9">
                  <c:v>225.10000000000002</c:v>
                </c:pt>
                <c:pt idx="10">
                  <c:v>250.00000000000003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'Упражнение 3'!$F$35</c:f>
              <c:strCache>
                <c:ptCount val="1"/>
                <c:pt idx="0">
                  <c:v>Вариант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'Упражнение 3'!$F$38:$F$48</c:f>
              <c:numCache>
                <c:formatCode>General</c:formatCode>
                <c:ptCount val="11"/>
              </c:numCache>
            </c:numRef>
          </c:xVal>
          <c:yVal>
            <c:numRef>
              <c:f>'Упражнение 3'!$C$38:$C$48</c:f>
              <c:numCache>
                <c:formatCode>0</c:formatCode>
                <c:ptCount val="11"/>
                <c:pt idx="0">
                  <c:v>1</c:v>
                </c:pt>
                <c:pt idx="1">
                  <c:v>25.9</c:v>
                </c:pt>
                <c:pt idx="2">
                  <c:v>50.8</c:v>
                </c:pt>
                <c:pt idx="3">
                  <c:v>75.699999999999989</c:v>
                </c:pt>
                <c:pt idx="4">
                  <c:v>100.6</c:v>
                </c:pt>
                <c:pt idx="5">
                  <c:v>125.5</c:v>
                </c:pt>
                <c:pt idx="6">
                  <c:v>150.4</c:v>
                </c:pt>
                <c:pt idx="7">
                  <c:v>175.3</c:v>
                </c:pt>
                <c:pt idx="8">
                  <c:v>200.20000000000002</c:v>
                </c:pt>
                <c:pt idx="9">
                  <c:v>225.10000000000002</c:v>
                </c:pt>
                <c:pt idx="10">
                  <c:v>250.00000000000003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87888"/>
        <c:axId val="439889848"/>
      </c:scatterChart>
      <c:valAx>
        <c:axId val="439887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layout>
            <c:manualLayout>
              <c:xMode val="edge"/>
              <c:yMode val="edge"/>
              <c:x val="0.47265543614277133"/>
              <c:y val="0.858201077940974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9848"/>
        <c:crosses val="autoZero"/>
        <c:crossBetween val="midCat"/>
      </c:valAx>
      <c:valAx>
        <c:axId val="43988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7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56</xdr:row>
      <xdr:rowOff>38100</xdr:rowOff>
    </xdr:from>
    <xdr:to>
      <xdr:col>17</xdr:col>
      <xdr:colOff>266700</xdr:colOff>
      <xdr:row>67</xdr:row>
      <xdr:rowOff>66675</xdr:rowOff>
    </xdr:to>
    <xdr:sp macro="" textlink="">
      <xdr:nvSpPr>
        <xdr:cNvPr id="4" name="TextBox 3"/>
        <xdr:cNvSpPr txBox="1"/>
      </xdr:nvSpPr>
      <xdr:spPr>
        <a:xfrm>
          <a:off x="895350" y="10706100"/>
          <a:ext cx="11096625" cy="2124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Вопросы для размышления</a:t>
          </a:r>
        </a:p>
        <a:p>
          <a:endParaRPr lang="ru-RU" sz="1100"/>
        </a:p>
        <a:p>
          <a:r>
            <a:rPr lang="ru-RU" sz="1100"/>
            <a:t>1.</a:t>
          </a:r>
          <a:r>
            <a:rPr lang="ru-RU" sz="1100" baseline="0"/>
            <a:t>  Можно ли для каждого приведенного в заданиях набора параметра восстановить все параметры из других вариантов (опредлить Кпр, дебиты, забойное давление, проницаемость, скин фактор и т.п.) Почему?</a:t>
          </a:r>
        </a:p>
        <a:p>
          <a:endParaRPr lang="ru-RU" sz="1100" baseline="0"/>
        </a:p>
        <a:p>
          <a:r>
            <a:rPr lang="ru-RU" sz="1100" baseline="0"/>
            <a:t>2. Если задан коэффициент продуктивности скважины, имеет ли смысл задавать скин фактор?</a:t>
          </a:r>
        </a:p>
        <a:p>
          <a:endParaRPr lang="ru-RU" sz="1100" baseline="0"/>
        </a:p>
        <a:p>
          <a:r>
            <a:rPr lang="ru-RU" sz="1100" baseline="0"/>
            <a:t>3. Почему пластовое давление вынесено в отдельный набор данных?</a:t>
          </a:r>
          <a:endParaRPr lang="ru-RU" sz="1100"/>
        </a:p>
      </xdr:txBody>
    </xdr:sp>
    <xdr:clientData/>
  </xdr:twoCellAnchor>
  <xdr:twoCellAnchor>
    <xdr:from>
      <xdr:col>9</xdr:col>
      <xdr:colOff>38099</xdr:colOff>
      <xdr:row>24</xdr:row>
      <xdr:rowOff>176212</xdr:rowOff>
    </xdr:from>
    <xdr:to>
      <xdr:col>18</xdr:col>
      <xdr:colOff>85724</xdr:colOff>
      <xdr:row>47</xdr:row>
      <xdr:rowOff>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762002</xdr:colOff>
      <xdr:row>39</xdr:row>
      <xdr:rowOff>82826</xdr:rowOff>
    </xdr:from>
    <xdr:to>
      <xdr:col>9</xdr:col>
      <xdr:colOff>636520</xdr:colOff>
      <xdr:row>50</xdr:row>
      <xdr:rowOff>111401</xdr:rowOff>
    </xdr:to>
    <xdr:sp macro="" textlink="">
      <xdr:nvSpPr>
        <xdr:cNvPr id="2" name="TextBox 1"/>
        <xdr:cNvSpPr txBox="1"/>
      </xdr:nvSpPr>
      <xdr:spPr>
        <a:xfrm>
          <a:off x="762002" y="7512326"/>
          <a:ext cx="7718148" cy="2124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Вопросы для размышления</a:t>
          </a:r>
        </a:p>
        <a:p>
          <a:endParaRPr lang="ru-RU" sz="1100"/>
        </a:p>
        <a:p>
          <a:r>
            <a:rPr lang="ru-RU" sz="1100"/>
            <a:t>1.</a:t>
          </a:r>
          <a:r>
            <a:rPr lang="ru-RU" sz="1100" baseline="0"/>
            <a:t> Поправка Вогеля - это корреляция, полученная на основе экспериментальных данных. На основе каких экспериментов и для каких условий она была получена?</a:t>
          </a:r>
        </a:p>
        <a:p>
          <a:endParaRPr lang="ru-RU" sz="1100" baseline="0"/>
        </a:p>
        <a:p>
          <a:r>
            <a:rPr lang="ru-RU" sz="1100" baseline="0"/>
            <a:t>2. Какие данные необходимы для построения индикаторной кривой с учетом поправки Вогеля?</a:t>
          </a:r>
          <a:endParaRPr lang="ru-RU" sz="1100"/>
        </a:p>
      </xdr:txBody>
    </xdr:sp>
    <xdr:clientData/>
  </xdr:twoCellAnchor>
  <xdr:twoCellAnchor>
    <xdr:from>
      <xdr:col>5</xdr:col>
      <xdr:colOff>24849</xdr:colOff>
      <xdr:row>15</xdr:row>
      <xdr:rowOff>140804</xdr:rowOff>
    </xdr:from>
    <xdr:to>
      <xdr:col>13</xdr:col>
      <xdr:colOff>315983</xdr:colOff>
      <xdr:row>37</xdr:row>
      <xdr:rowOff>155092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8283</xdr:colOff>
      <xdr:row>0</xdr:row>
      <xdr:rowOff>182217</xdr:rowOff>
    </xdr:from>
    <xdr:to>
      <xdr:col>22</xdr:col>
      <xdr:colOff>290529</xdr:colOff>
      <xdr:row>18</xdr:row>
      <xdr:rowOff>182696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86761" y="182217"/>
          <a:ext cx="4572638" cy="34294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57</xdr:row>
      <xdr:rowOff>38100</xdr:rowOff>
    </xdr:from>
    <xdr:to>
      <xdr:col>17</xdr:col>
      <xdr:colOff>266700</xdr:colOff>
      <xdr:row>68</xdr:row>
      <xdr:rowOff>66675</xdr:rowOff>
    </xdr:to>
    <xdr:sp macro="" textlink="">
      <xdr:nvSpPr>
        <xdr:cNvPr id="2" name="TextBox 1"/>
        <xdr:cNvSpPr txBox="1"/>
      </xdr:nvSpPr>
      <xdr:spPr>
        <a:xfrm>
          <a:off x="895350" y="10896600"/>
          <a:ext cx="11630025" cy="2124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Вопросы для размышления</a:t>
          </a:r>
        </a:p>
        <a:p>
          <a:endParaRPr lang="ru-RU" sz="1100"/>
        </a:p>
        <a:p>
          <a:r>
            <a:rPr lang="ru-RU" sz="1100"/>
            <a:t>1.</a:t>
          </a:r>
          <a:r>
            <a:rPr lang="ru-RU" sz="1100" baseline="0"/>
            <a:t>  Можно ли для каждого приведенного в заданиях набора параметра восстановить все параметры из других вариантов (опредлить Кпр, дебиты, забойное давление, проницаемость, скин фактор и т.п.) Почему?</a:t>
          </a:r>
        </a:p>
        <a:p>
          <a:endParaRPr lang="ru-RU" sz="1100" baseline="0"/>
        </a:p>
        <a:p>
          <a:r>
            <a:rPr lang="ru-RU" sz="1100" baseline="0"/>
            <a:t>2. Если задан коэффициент продуктивности скважины, имеет ли смысл задавать скин фактор?</a:t>
          </a:r>
        </a:p>
        <a:p>
          <a:endParaRPr lang="ru-RU" sz="1100" baseline="0"/>
        </a:p>
        <a:p>
          <a:r>
            <a:rPr lang="ru-RU" sz="1100" baseline="0"/>
            <a:t>3. Почему пластовое давление вынесено в отдельный набор данных?</a:t>
          </a:r>
          <a:endParaRPr lang="ru-RU" sz="1100"/>
        </a:p>
      </xdr:txBody>
    </xdr:sp>
    <xdr:clientData/>
  </xdr:twoCellAnchor>
  <xdr:twoCellAnchor>
    <xdr:from>
      <xdr:col>9</xdr:col>
      <xdr:colOff>38099</xdr:colOff>
      <xdr:row>25</xdr:row>
      <xdr:rowOff>176212</xdr:rowOff>
    </xdr:from>
    <xdr:to>
      <xdr:col>18</xdr:col>
      <xdr:colOff>85724</xdr:colOff>
      <xdr:row>48</xdr:row>
      <xdr:rowOff>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49"/>
  <sheetViews>
    <sheetView topLeftCell="A4" zoomScaleNormal="100" zoomScaleSheetLayoutView="115" workbookViewId="0">
      <selection activeCell="H32" sqref="H32"/>
    </sheetView>
  </sheetViews>
  <sheetFormatPr defaultRowHeight="15" x14ac:dyDescent="0.25"/>
  <cols>
    <col min="1" max="1" width="13" customWidth="1"/>
    <col min="2" max="2" width="24.42578125" customWidth="1"/>
    <col min="3" max="3" width="10.7109375" customWidth="1"/>
    <col min="4" max="6" width="11.7109375" customWidth="1"/>
  </cols>
  <sheetData>
    <row r="1" spans="1:10" x14ac:dyDescent="0.25">
      <c r="A1" s="1" t="s">
        <v>0</v>
      </c>
    </row>
    <row r="3" spans="1:10" x14ac:dyDescent="0.25">
      <c r="A3" s="2" t="s">
        <v>1</v>
      </c>
      <c r="B3" s="3" t="s">
        <v>10</v>
      </c>
      <c r="C3" s="3"/>
      <c r="D3" s="3"/>
      <c r="E3" s="3"/>
      <c r="F3" s="3"/>
      <c r="G3" s="3"/>
      <c r="H3" s="3"/>
      <c r="I3" s="3"/>
      <c r="J3" s="3"/>
    </row>
    <row r="5" spans="1:10" x14ac:dyDescent="0.25">
      <c r="A5" s="4" t="s">
        <v>2</v>
      </c>
      <c r="B5" s="5" t="s">
        <v>17</v>
      </c>
      <c r="C5" s="5"/>
      <c r="D5" s="5"/>
      <c r="E5" s="5"/>
      <c r="F5" s="5"/>
      <c r="G5" s="5"/>
      <c r="H5" s="5"/>
      <c r="I5" s="5"/>
      <c r="J5" s="5"/>
    </row>
    <row r="6" spans="1:10" x14ac:dyDescent="0.25">
      <c r="B6" s="5"/>
      <c r="C6" s="5"/>
      <c r="D6" s="5"/>
      <c r="E6" s="5"/>
      <c r="F6" s="5"/>
      <c r="G6" s="5"/>
      <c r="H6" s="5"/>
      <c r="I6" s="5"/>
      <c r="J6" s="5"/>
    </row>
    <row r="7" spans="1:10" x14ac:dyDescent="0.25">
      <c r="B7" s="5"/>
      <c r="C7" s="5"/>
      <c r="D7" s="5"/>
      <c r="E7" s="5"/>
      <c r="F7" s="5"/>
      <c r="G7" s="5"/>
      <c r="H7" s="5"/>
      <c r="I7" s="5"/>
      <c r="J7" s="5"/>
    </row>
    <row r="8" spans="1:10" x14ac:dyDescent="0.25">
      <c r="B8" s="5"/>
      <c r="C8" s="5"/>
      <c r="D8" s="5"/>
      <c r="E8" s="5"/>
      <c r="F8" s="5"/>
      <c r="G8" s="5"/>
      <c r="H8" s="5"/>
      <c r="I8" s="5"/>
      <c r="J8" s="5"/>
    </row>
    <row r="9" spans="1:10" x14ac:dyDescent="0.25">
      <c r="B9" s="5"/>
      <c r="C9" s="5"/>
      <c r="D9" s="5"/>
      <c r="E9" s="5"/>
      <c r="F9" s="5"/>
      <c r="G9" s="5"/>
      <c r="H9" s="5"/>
      <c r="I9" s="5"/>
      <c r="J9" s="5"/>
    </row>
    <row r="12" spans="1:10" x14ac:dyDescent="0.25">
      <c r="A12" t="s">
        <v>3</v>
      </c>
    </row>
    <row r="13" spans="1:10" x14ac:dyDescent="0.25">
      <c r="B13" s="4" t="s">
        <v>11</v>
      </c>
      <c r="C13" s="3">
        <v>250</v>
      </c>
      <c r="D13" s="3" t="s">
        <v>6</v>
      </c>
      <c r="E13" s="3"/>
    </row>
    <row r="14" spans="1:10" x14ac:dyDescent="0.25">
      <c r="B14" s="4" t="s">
        <v>31</v>
      </c>
      <c r="C14" s="3">
        <v>10</v>
      </c>
      <c r="D14" s="3"/>
      <c r="E14" s="3"/>
    </row>
    <row r="16" spans="1:10" x14ac:dyDescent="0.25">
      <c r="A16" t="s">
        <v>13</v>
      </c>
    </row>
    <row r="17" spans="1:5" x14ac:dyDescent="0.25">
      <c r="B17" s="4" t="s">
        <v>12</v>
      </c>
      <c r="C17" s="3">
        <v>1</v>
      </c>
      <c r="D17" s="3" t="s">
        <v>14</v>
      </c>
      <c r="E17" s="3"/>
    </row>
    <row r="20" spans="1:5" x14ac:dyDescent="0.25">
      <c r="A20" t="s">
        <v>15</v>
      </c>
    </row>
    <row r="21" spans="1:5" x14ac:dyDescent="0.25">
      <c r="B21" s="4" t="s">
        <v>16</v>
      </c>
      <c r="C21" s="3">
        <v>25</v>
      </c>
      <c r="D21" s="3" t="s">
        <v>9</v>
      </c>
      <c r="E21" s="3"/>
    </row>
    <row r="22" spans="1:5" x14ac:dyDescent="0.25">
      <c r="B22" s="4" t="s">
        <v>18</v>
      </c>
      <c r="C22" s="3">
        <v>120</v>
      </c>
      <c r="D22" s="3" t="s">
        <v>6</v>
      </c>
      <c r="E22" s="3"/>
    </row>
    <row r="24" spans="1:5" x14ac:dyDescent="0.25">
      <c r="A24" t="s">
        <v>19</v>
      </c>
    </row>
    <row r="25" spans="1:5" x14ac:dyDescent="0.25">
      <c r="B25" s="4" t="s">
        <v>20</v>
      </c>
      <c r="C25" s="3">
        <v>10</v>
      </c>
      <c r="D25" s="3" t="s">
        <v>21</v>
      </c>
      <c r="E25" s="3"/>
    </row>
    <row r="26" spans="1:5" x14ac:dyDescent="0.25">
      <c r="B26" s="4" t="s">
        <v>22</v>
      </c>
      <c r="C26" s="3">
        <v>2</v>
      </c>
      <c r="D26" s="3" t="s">
        <v>23</v>
      </c>
      <c r="E26" s="3"/>
    </row>
    <row r="27" spans="1:5" x14ac:dyDescent="0.25">
      <c r="B27" s="4" t="s">
        <v>24</v>
      </c>
      <c r="C27" s="3">
        <v>3</v>
      </c>
      <c r="D27" s="3" t="s">
        <v>25</v>
      </c>
      <c r="E27" s="3"/>
    </row>
    <row r="28" spans="1:5" x14ac:dyDescent="0.25">
      <c r="B28" s="4" t="s">
        <v>26</v>
      </c>
      <c r="C28" s="3">
        <v>1.2</v>
      </c>
      <c r="D28" s="3" t="s">
        <v>7</v>
      </c>
      <c r="E28" s="3"/>
    </row>
    <row r="29" spans="1:5" x14ac:dyDescent="0.25">
      <c r="B29" s="4" t="s">
        <v>27</v>
      </c>
      <c r="C29" s="3">
        <v>250</v>
      </c>
      <c r="D29" s="3" t="s">
        <v>29</v>
      </c>
      <c r="E29" s="3"/>
    </row>
    <row r="30" spans="1:5" x14ac:dyDescent="0.25">
      <c r="B30" s="4" t="s">
        <v>28</v>
      </c>
      <c r="C30" s="3">
        <v>0.1</v>
      </c>
      <c r="D30" s="3" t="s">
        <v>29</v>
      </c>
      <c r="E30" s="3"/>
    </row>
    <row r="31" spans="1:5" x14ac:dyDescent="0.25">
      <c r="B31" s="4" t="s">
        <v>30</v>
      </c>
      <c r="C31" s="3">
        <v>1</v>
      </c>
      <c r="D31" s="3"/>
      <c r="E31" s="3"/>
    </row>
    <row r="34" spans="3:6" x14ac:dyDescent="0.25">
      <c r="D34" t="s">
        <v>13</v>
      </c>
      <c r="E34" t="s">
        <v>15</v>
      </c>
      <c r="F34" t="s">
        <v>19</v>
      </c>
    </row>
    <row r="36" spans="3:6" ht="30" x14ac:dyDescent="0.25">
      <c r="C36" s="7" t="s">
        <v>32</v>
      </c>
      <c r="D36" s="7" t="s">
        <v>33</v>
      </c>
      <c r="E36" s="7" t="s">
        <v>34</v>
      </c>
      <c r="F36" s="7" t="s">
        <v>35</v>
      </c>
    </row>
    <row r="37" spans="3:6" x14ac:dyDescent="0.25">
      <c r="C37" s="8">
        <v>1</v>
      </c>
      <c r="D37" s="9"/>
      <c r="E37" s="9"/>
      <c r="F37" s="9"/>
    </row>
    <row r="38" spans="3:6" x14ac:dyDescent="0.25">
      <c r="C38" s="8">
        <f>C37+($C$13-$C$37)/$C$14</f>
        <v>25.9</v>
      </c>
      <c r="D38" s="9"/>
      <c r="E38" s="9"/>
      <c r="F38" s="9"/>
    </row>
    <row r="39" spans="3:6" x14ac:dyDescent="0.25">
      <c r="C39" s="8">
        <f t="shared" ref="C39:C49" si="0">C38+($C$13-$C$37)/$C$14</f>
        <v>50.8</v>
      </c>
      <c r="D39" s="9"/>
      <c r="E39" s="9"/>
      <c r="F39" s="9"/>
    </row>
    <row r="40" spans="3:6" x14ac:dyDescent="0.25">
      <c r="C40" s="8">
        <f t="shared" si="0"/>
        <v>75.699999999999989</v>
      </c>
      <c r="D40" s="9"/>
      <c r="E40" s="9"/>
      <c r="F40" s="9"/>
    </row>
    <row r="41" spans="3:6" x14ac:dyDescent="0.25">
      <c r="C41" s="8">
        <f t="shared" si="0"/>
        <v>100.6</v>
      </c>
      <c r="D41" s="9"/>
      <c r="E41" s="9"/>
      <c r="F41" s="9"/>
    </row>
    <row r="42" spans="3:6" x14ac:dyDescent="0.25">
      <c r="C42" s="8">
        <f t="shared" si="0"/>
        <v>125.5</v>
      </c>
      <c r="D42" s="9"/>
      <c r="E42" s="9"/>
      <c r="F42" s="9"/>
    </row>
    <row r="43" spans="3:6" x14ac:dyDescent="0.25">
      <c r="C43" s="8">
        <f t="shared" si="0"/>
        <v>150.4</v>
      </c>
      <c r="D43" s="9"/>
      <c r="E43" s="9"/>
      <c r="F43" s="9"/>
    </row>
    <row r="44" spans="3:6" x14ac:dyDescent="0.25">
      <c r="C44" s="8">
        <f t="shared" si="0"/>
        <v>175.3</v>
      </c>
      <c r="D44" s="9"/>
      <c r="E44" s="9"/>
      <c r="F44" s="9"/>
    </row>
    <row r="45" spans="3:6" x14ac:dyDescent="0.25">
      <c r="C45" s="8">
        <f t="shared" si="0"/>
        <v>200.20000000000002</v>
      </c>
      <c r="D45" s="9"/>
      <c r="E45" s="9"/>
      <c r="F45" s="9"/>
    </row>
    <row r="46" spans="3:6" x14ac:dyDescent="0.25">
      <c r="C46" s="8">
        <f t="shared" si="0"/>
        <v>225.10000000000002</v>
      </c>
      <c r="D46" s="9"/>
      <c r="E46" s="9"/>
      <c r="F46" s="9"/>
    </row>
    <row r="47" spans="3:6" x14ac:dyDescent="0.25">
      <c r="C47" s="8">
        <f t="shared" si="0"/>
        <v>250.00000000000003</v>
      </c>
      <c r="D47" s="9"/>
      <c r="E47" s="9"/>
      <c r="F47" s="9"/>
    </row>
    <row r="48" spans="3:6" x14ac:dyDescent="0.25">
      <c r="C48" s="6"/>
    </row>
    <row r="49" spans="3:3" x14ac:dyDescent="0.25">
      <c r="C49" s="6"/>
    </row>
  </sheetData>
  <mergeCells count="1">
    <mergeCell ref="B5:J9"/>
  </mergeCells>
  <pageMargins left="0.7" right="0.7" top="0.75" bottom="0.75" header="0.3" footer="0.3"/>
  <pageSetup paperSize="9"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35"/>
  <sheetViews>
    <sheetView zoomScale="115" zoomScaleNormal="115" workbookViewId="0">
      <selection activeCell="B39" sqref="B39"/>
    </sheetView>
  </sheetViews>
  <sheetFormatPr defaultRowHeight="15" x14ac:dyDescent="0.25"/>
  <cols>
    <col min="1" max="1" width="13.140625" customWidth="1"/>
    <col min="2" max="2" width="35.5703125" customWidth="1"/>
    <col min="3" max="8" width="9.85546875" customWidth="1"/>
    <col min="9" max="9" width="10" customWidth="1"/>
    <col min="10" max="10" width="11.5703125" customWidth="1"/>
  </cols>
  <sheetData>
    <row r="1" spans="1:10" x14ac:dyDescent="0.25">
      <c r="A1" s="1" t="s">
        <v>0</v>
      </c>
    </row>
    <row r="3" spans="1:10" x14ac:dyDescent="0.25">
      <c r="A3" s="2" t="s">
        <v>1</v>
      </c>
      <c r="B3" s="3" t="s">
        <v>36</v>
      </c>
      <c r="C3" s="3"/>
      <c r="D3" s="3"/>
      <c r="E3" s="3"/>
      <c r="F3" s="3"/>
      <c r="G3" s="3"/>
      <c r="H3" s="3"/>
      <c r="I3" s="3"/>
      <c r="J3" s="3"/>
    </row>
    <row r="5" spans="1:10" x14ac:dyDescent="0.25">
      <c r="A5" s="4" t="s">
        <v>2</v>
      </c>
      <c r="B5" s="5" t="s">
        <v>37</v>
      </c>
      <c r="C5" s="5"/>
      <c r="D5" s="5"/>
      <c r="E5" s="5"/>
      <c r="F5" s="5"/>
      <c r="G5" s="5"/>
      <c r="H5" s="5"/>
      <c r="I5" s="5"/>
      <c r="J5" s="5"/>
    </row>
    <row r="6" spans="1:10" x14ac:dyDescent="0.25">
      <c r="B6" s="5"/>
      <c r="C6" s="5"/>
      <c r="D6" s="5"/>
      <c r="E6" s="5"/>
      <c r="F6" s="5"/>
      <c r="G6" s="5"/>
      <c r="H6" s="5"/>
      <c r="I6" s="5"/>
      <c r="J6" s="5"/>
    </row>
    <row r="7" spans="1:10" x14ac:dyDescent="0.25">
      <c r="B7" s="5"/>
      <c r="C7" s="5"/>
      <c r="D7" s="5"/>
      <c r="E7" s="5"/>
      <c r="F7" s="5"/>
      <c r="G7" s="5"/>
      <c r="H7" s="5"/>
      <c r="I7" s="5"/>
      <c r="J7" s="5"/>
    </row>
    <row r="8" spans="1:10" x14ac:dyDescent="0.25">
      <c r="B8" s="5"/>
      <c r="C8" s="5"/>
      <c r="D8" s="5"/>
      <c r="E8" s="5"/>
      <c r="F8" s="5"/>
      <c r="G8" s="5"/>
      <c r="H8" s="5"/>
      <c r="I8" s="5"/>
      <c r="J8" s="5"/>
    </row>
    <row r="9" spans="1:10" x14ac:dyDescent="0.25">
      <c r="B9" s="5"/>
      <c r="C9" s="5"/>
      <c r="D9" s="5"/>
      <c r="E9" s="5"/>
      <c r="F9" s="5"/>
      <c r="G9" s="5"/>
      <c r="H9" s="5"/>
      <c r="I9" s="5"/>
      <c r="J9" s="5"/>
    </row>
    <row r="12" spans="1:10" x14ac:dyDescent="0.25">
      <c r="A12" t="s">
        <v>3</v>
      </c>
    </row>
    <row r="13" spans="1:10" x14ac:dyDescent="0.25">
      <c r="B13" s="4" t="s">
        <v>11</v>
      </c>
      <c r="C13" s="3">
        <v>250</v>
      </c>
      <c r="D13" s="3" t="s">
        <v>6</v>
      </c>
      <c r="E13" s="3"/>
    </row>
    <row r="14" spans="1:10" x14ac:dyDescent="0.25">
      <c r="B14" s="4" t="s">
        <v>12</v>
      </c>
      <c r="C14" s="3">
        <v>2</v>
      </c>
      <c r="D14" s="3" t="s">
        <v>14</v>
      </c>
      <c r="E14" s="3"/>
    </row>
    <row r="15" spans="1:10" x14ac:dyDescent="0.25">
      <c r="B15" s="4" t="s">
        <v>4</v>
      </c>
      <c r="C15" s="3">
        <v>100</v>
      </c>
      <c r="D15" s="3" t="s">
        <v>6</v>
      </c>
      <c r="E15" s="3"/>
    </row>
    <row r="16" spans="1:10" x14ac:dyDescent="0.25">
      <c r="B16" s="4" t="s">
        <v>31</v>
      </c>
      <c r="C16" s="3">
        <v>10</v>
      </c>
      <c r="D16" s="3"/>
      <c r="E16" s="3"/>
    </row>
    <row r="22" spans="3:4" x14ac:dyDescent="0.25">
      <c r="D22" t="s">
        <v>13</v>
      </c>
    </row>
    <row r="24" spans="3:4" ht="30" x14ac:dyDescent="0.25">
      <c r="C24" s="7" t="s">
        <v>32</v>
      </c>
      <c r="D24" s="7" t="s">
        <v>33</v>
      </c>
    </row>
    <row r="25" spans="3:4" x14ac:dyDescent="0.25">
      <c r="C25" s="8">
        <v>1</v>
      </c>
      <c r="D25" s="9"/>
    </row>
    <row r="26" spans="3:4" x14ac:dyDescent="0.25">
      <c r="C26" s="8">
        <f>C25+($C$13-$C$25)/$C$16</f>
        <v>25.9</v>
      </c>
      <c r="D26" s="9"/>
    </row>
    <row r="27" spans="3:4" x14ac:dyDescent="0.25">
      <c r="C27" s="8">
        <f t="shared" ref="C27:C35" si="0">C26+($C$13-$C$25)/$C$16</f>
        <v>50.8</v>
      </c>
      <c r="D27" s="9"/>
    </row>
    <row r="28" spans="3:4" x14ac:dyDescent="0.25">
      <c r="C28" s="8">
        <f t="shared" si="0"/>
        <v>75.699999999999989</v>
      </c>
      <c r="D28" s="9"/>
    </row>
    <row r="29" spans="3:4" x14ac:dyDescent="0.25">
      <c r="C29" s="8">
        <f t="shared" si="0"/>
        <v>100.6</v>
      </c>
      <c r="D29" s="9"/>
    </row>
    <row r="30" spans="3:4" x14ac:dyDescent="0.25">
      <c r="C30" s="8">
        <f t="shared" si="0"/>
        <v>125.5</v>
      </c>
      <c r="D30" s="9"/>
    </row>
    <row r="31" spans="3:4" x14ac:dyDescent="0.25">
      <c r="C31" s="8">
        <f t="shared" si="0"/>
        <v>150.4</v>
      </c>
      <c r="D31" s="9"/>
    </row>
    <row r="32" spans="3:4" x14ac:dyDescent="0.25">
      <c r="C32" s="8">
        <f t="shared" si="0"/>
        <v>175.3</v>
      </c>
      <c r="D32" s="9"/>
    </row>
    <row r="33" spans="3:4" x14ac:dyDescent="0.25">
      <c r="C33" s="8">
        <f t="shared" si="0"/>
        <v>200.20000000000002</v>
      </c>
      <c r="D33" s="9"/>
    </row>
    <row r="34" spans="3:4" x14ac:dyDescent="0.25">
      <c r="C34" s="8">
        <f t="shared" si="0"/>
        <v>225.10000000000002</v>
      </c>
      <c r="D34" s="9"/>
    </row>
    <row r="35" spans="3:4" x14ac:dyDescent="0.25">
      <c r="C35" s="8">
        <f t="shared" si="0"/>
        <v>250.00000000000003</v>
      </c>
      <c r="D35" s="9"/>
    </row>
  </sheetData>
  <mergeCells count="1">
    <mergeCell ref="B5:J9"/>
  </mergeCells>
  <pageMargins left="0.7" right="0.7" top="0.75" bottom="0.75" header="0.3" footer="0.3"/>
  <pageSetup paperSize="9" scale="6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50"/>
  <sheetViews>
    <sheetView tabSelected="1" zoomScaleNormal="100" zoomScaleSheetLayoutView="115" workbookViewId="0">
      <selection activeCell="F11" sqref="F11"/>
    </sheetView>
  </sheetViews>
  <sheetFormatPr defaultRowHeight="15" x14ac:dyDescent="0.25"/>
  <cols>
    <col min="1" max="1" width="13" customWidth="1"/>
    <col min="2" max="2" width="24.42578125" customWidth="1"/>
    <col min="3" max="3" width="10.7109375" customWidth="1"/>
    <col min="4" max="6" width="11.7109375" customWidth="1"/>
  </cols>
  <sheetData>
    <row r="1" spans="1:10" x14ac:dyDescent="0.25">
      <c r="A1" s="1" t="s">
        <v>0</v>
      </c>
    </row>
    <row r="3" spans="1:10" x14ac:dyDescent="0.25">
      <c r="A3" s="2" t="s">
        <v>1</v>
      </c>
      <c r="B3" s="3" t="s">
        <v>39</v>
      </c>
      <c r="C3" s="3"/>
      <c r="D3" s="3"/>
      <c r="E3" s="3"/>
      <c r="F3" s="3"/>
      <c r="G3" s="3"/>
      <c r="H3" s="3"/>
      <c r="I3" s="3"/>
      <c r="J3" s="3"/>
    </row>
    <row r="5" spans="1:10" x14ac:dyDescent="0.25">
      <c r="A5" s="4" t="s">
        <v>2</v>
      </c>
      <c r="B5" s="5" t="s">
        <v>38</v>
      </c>
      <c r="C5" s="5"/>
      <c r="D5" s="5"/>
      <c r="E5" s="5"/>
      <c r="F5" s="5"/>
      <c r="G5" s="5"/>
      <c r="H5" s="5"/>
      <c r="I5" s="5"/>
      <c r="J5" s="5"/>
    </row>
    <row r="6" spans="1:10" x14ac:dyDescent="0.25">
      <c r="B6" s="5"/>
      <c r="C6" s="5"/>
      <c r="D6" s="5"/>
      <c r="E6" s="5"/>
      <c r="F6" s="5"/>
      <c r="G6" s="5"/>
      <c r="H6" s="5"/>
      <c r="I6" s="5"/>
      <c r="J6" s="5"/>
    </row>
    <row r="7" spans="1:10" x14ac:dyDescent="0.25">
      <c r="B7" s="5"/>
      <c r="C7" s="5"/>
      <c r="D7" s="5"/>
      <c r="E7" s="5"/>
      <c r="F7" s="5"/>
      <c r="G7" s="5"/>
      <c r="H7" s="5"/>
      <c r="I7" s="5"/>
      <c r="J7" s="5"/>
    </row>
    <row r="8" spans="1:10" x14ac:dyDescent="0.25">
      <c r="B8" s="5"/>
      <c r="C8" s="5"/>
      <c r="D8" s="5"/>
      <c r="E8" s="5"/>
      <c r="F8" s="5"/>
      <c r="G8" s="5"/>
      <c r="H8" s="5"/>
      <c r="I8" s="5"/>
      <c r="J8" s="5"/>
    </row>
    <row r="9" spans="1:10" x14ac:dyDescent="0.25">
      <c r="B9" s="5"/>
      <c r="C9" s="5"/>
      <c r="D9" s="5"/>
      <c r="E9" s="5"/>
      <c r="F9" s="5"/>
      <c r="G9" s="5"/>
      <c r="H9" s="5"/>
      <c r="I9" s="5"/>
      <c r="J9" s="5"/>
    </row>
    <row r="12" spans="1:10" x14ac:dyDescent="0.25">
      <c r="A12" t="s">
        <v>3</v>
      </c>
    </row>
    <row r="13" spans="1:10" x14ac:dyDescent="0.25">
      <c r="B13" s="4" t="s">
        <v>11</v>
      </c>
      <c r="C13" s="3">
        <v>250</v>
      </c>
      <c r="D13" s="3" t="s">
        <v>6</v>
      </c>
      <c r="E13" s="3"/>
    </row>
    <row r="14" spans="1:10" x14ac:dyDescent="0.25">
      <c r="B14" s="4" t="s">
        <v>4</v>
      </c>
      <c r="C14" s="3">
        <v>100</v>
      </c>
      <c r="D14" s="3" t="s">
        <v>6</v>
      </c>
      <c r="E14" s="3"/>
    </row>
    <row r="15" spans="1:10" x14ac:dyDescent="0.25">
      <c r="B15" s="4" t="s">
        <v>5</v>
      </c>
      <c r="C15" s="3">
        <v>24</v>
      </c>
      <c r="D15" s="3" t="s">
        <v>8</v>
      </c>
      <c r="E15" s="3"/>
    </row>
    <row r="16" spans="1:10" x14ac:dyDescent="0.25">
      <c r="B16" s="4" t="s">
        <v>31</v>
      </c>
      <c r="C16" s="3">
        <v>10</v>
      </c>
      <c r="D16" s="3"/>
      <c r="E16" s="3"/>
    </row>
    <row r="17" spans="1:5" x14ac:dyDescent="0.25">
      <c r="A17" t="s">
        <v>13</v>
      </c>
    </row>
    <row r="18" spans="1:5" x14ac:dyDescent="0.25">
      <c r="B18" s="4" t="s">
        <v>12</v>
      </c>
      <c r="C18" s="3">
        <v>1</v>
      </c>
      <c r="D18" s="3" t="s">
        <v>14</v>
      </c>
      <c r="E18" s="3"/>
    </row>
    <row r="21" spans="1:5" x14ac:dyDescent="0.25">
      <c r="A21" t="s">
        <v>15</v>
      </c>
    </row>
    <row r="22" spans="1:5" x14ac:dyDescent="0.25">
      <c r="B22" s="4" t="s">
        <v>16</v>
      </c>
      <c r="C22" s="3">
        <v>25</v>
      </c>
      <c r="D22" s="3" t="s">
        <v>9</v>
      </c>
      <c r="E22" s="3"/>
    </row>
    <row r="23" spans="1:5" x14ac:dyDescent="0.25">
      <c r="B23" s="4" t="s">
        <v>18</v>
      </c>
      <c r="C23" s="3">
        <v>120</v>
      </c>
      <c r="D23" s="3" t="s">
        <v>6</v>
      </c>
      <c r="E23" s="3"/>
    </row>
    <row r="25" spans="1:5" x14ac:dyDescent="0.25">
      <c r="A25" t="s">
        <v>19</v>
      </c>
    </row>
    <row r="26" spans="1:5" x14ac:dyDescent="0.25">
      <c r="B26" s="4" t="s">
        <v>20</v>
      </c>
      <c r="C26" s="3">
        <v>10</v>
      </c>
      <c r="D26" s="3" t="s">
        <v>21</v>
      </c>
      <c r="E26" s="3"/>
    </row>
    <row r="27" spans="1:5" x14ac:dyDescent="0.25">
      <c r="B27" s="4" t="s">
        <v>22</v>
      </c>
      <c r="C27" s="3">
        <v>2</v>
      </c>
      <c r="D27" s="3" t="s">
        <v>23</v>
      </c>
      <c r="E27" s="3"/>
    </row>
    <row r="28" spans="1:5" x14ac:dyDescent="0.25">
      <c r="B28" s="4" t="s">
        <v>24</v>
      </c>
      <c r="C28" s="3">
        <v>3</v>
      </c>
      <c r="D28" s="3" t="s">
        <v>25</v>
      </c>
      <c r="E28" s="3"/>
    </row>
    <row r="29" spans="1:5" x14ac:dyDescent="0.25">
      <c r="B29" s="4" t="s">
        <v>26</v>
      </c>
      <c r="C29" s="3">
        <v>1.2</v>
      </c>
      <c r="D29" s="3" t="s">
        <v>7</v>
      </c>
      <c r="E29" s="3"/>
    </row>
    <row r="30" spans="1:5" x14ac:dyDescent="0.25">
      <c r="B30" s="4" t="s">
        <v>27</v>
      </c>
      <c r="C30" s="3">
        <v>250</v>
      </c>
      <c r="D30" s="3" t="s">
        <v>29</v>
      </c>
      <c r="E30" s="3"/>
    </row>
    <row r="31" spans="1:5" x14ac:dyDescent="0.25">
      <c r="B31" s="4" t="s">
        <v>28</v>
      </c>
      <c r="C31" s="3">
        <v>0.1</v>
      </c>
      <c r="D31" s="3" t="s">
        <v>29</v>
      </c>
      <c r="E31" s="3"/>
    </row>
    <row r="32" spans="1:5" x14ac:dyDescent="0.25">
      <c r="B32" s="4" t="s">
        <v>30</v>
      </c>
      <c r="C32" s="3">
        <v>1</v>
      </c>
      <c r="D32" s="3"/>
      <c r="E32" s="3"/>
    </row>
    <row r="35" spans="3:6" x14ac:dyDescent="0.25">
      <c r="D35" t="s">
        <v>13</v>
      </c>
      <c r="E35" t="s">
        <v>15</v>
      </c>
      <c r="F35" t="s">
        <v>19</v>
      </c>
    </row>
    <row r="37" spans="3:6" ht="30" x14ac:dyDescent="0.25">
      <c r="C37" s="7" t="s">
        <v>32</v>
      </c>
      <c r="D37" s="7" t="s">
        <v>33</v>
      </c>
      <c r="E37" s="7" t="s">
        <v>34</v>
      </c>
      <c r="F37" s="7" t="s">
        <v>35</v>
      </c>
    </row>
    <row r="38" spans="3:6" x14ac:dyDescent="0.25">
      <c r="C38" s="8">
        <v>1</v>
      </c>
      <c r="D38" s="9"/>
      <c r="E38" s="9"/>
      <c r="F38" s="9"/>
    </row>
    <row r="39" spans="3:6" x14ac:dyDescent="0.25">
      <c r="C39" s="8">
        <f>C38+($C$13-$C$38)/$C$16</f>
        <v>25.9</v>
      </c>
      <c r="D39" s="9"/>
      <c r="E39" s="9"/>
      <c r="F39" s="9"/>
    </row>
    <row r="40" spans="3:6" x14ac:dyDescent="0.25">
      <c r="C40" s="8">
        <f>C39+($C$13-$C$38)/$C$16</f>
        <v>50.8</v>
      </c>
      <c r="D40" s="9"/>
      <c r="E40" s="9"/>
      <c r="F40" s="9"/>
    </row>
    <row r="41" spans="3:6" x14ac:dyDescent="0.25">
      <c r="C41" s="8">
        <f>C40+($C$13-$C$38)/$C$16</f>
        <v>75.699999999999989</v>
      </c>
      <c r="D41" s="9"/>
      <c r="E41" s="9"/>
      <c r="F41" s="9"/>
    </row>
    <row r="42" spans="3:6" x14ac:dyDescent="0.25">
      <c r="C42" s="8">
        <f>C41+($C$13-$C$38)/$C$16</f>
        <v>100.6</v>
      </c>
      <c r="D42" s="9"/>
      <c r="E42" s="9"/>
      <c r="F42" s="9"/>
    </row>
    <row r="43" spans="3:6" x14ac:dyDescent="0.25">
      <c r="C43" s="8">
        <f>C42+($C$13-$C$38)/$C$16</f>
        <v>125.5</v>
      </c>
      <c r="D43" s="9"/>
      <c r="E43" s="9"/>
      <c r="F43" s="9"/>
    </row>
    <row r="44" spans="3:6" x14ac:dyDescent="0.25">
      <c r="C44" s="8">
        <f>C43+($C$13-$C$38)/$C$16</f>
        <v>150.4</v>
      </c>
      <c r="D44" s="9"/>
      <c r="E44" s="9"/>
      <c r="F44" s="9"/>
    </row>
    <row r="45" spans="3:6" x14ac:dyDescent="0.25">
      <c r="C45" s="8">
        <f>C44+($C$13-$C$38)/$C$16</f>
        <v>175.3</v>
      </c>
      <c r="D45" s="9"/>
      <c r="E45" s="9"/>
      <c r="F45" s="9"/>
    </row>
    <row r="46" spans="3:6" x14ac:dyDescent="0.25">
      <c r="C46" s="8">
        <f>C45+($C$13-$C$38)/$C$16</f>
        <v>200.20000000000002</v>
      </c>
      <c r="D46" s="9"/>
      <c r="E46" s="9"/>
      <c r="F46" s="9"/>
    </row>
    <row r="47" spans="3:6" x14ac:dyDescent="0.25">
      <c r="C47" s="8">
        <f>C46+($C$13-$C$38)/$C$16</f>
        <v>225.10000000000002</v>
      </c>
      <c r="D47" s="9"/>
      <c r="E47" s="9"/>
      <c r="F47" s="9"/>
    </row>
    <row r="48" spans="3:6" x14ac:dyDescent="0.25">
      <c r="C48" s="8">
        <f>C47+($C$13-$C$38)/$C$16</f>
        <v>250.00000000000003</v>
      </c>
      <c r="D48" s="9"/>
      <c r="E48" s="9"/>
      <c r="F48" s="9"/>
    </row>
    <row r="49" spans="3:3" x14ac:dyDescent="0.25">
      <c r="C49" s="6"/>
    </row>
    <row r="50" spans="3:3" x14ac:dyDescent="0.25">
      <c r="C50" s="6"/>
    </row>
  </sheetData>
  <mergeCells count="1">
    <mergeCell ref="B5:J9"/>
  </mergeCells>
  <pageMargins left="0.7" right="0.7" top="0.75" bottom="0.75" header="0.3" footer="0.3"/>
  <pageSetup paperSize="9" scale="4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Упражнение 1</vt:lpstr>
      <vt:lpstr>Упражнение 2</vt:lpstr>
      <vt:lpstr>Упражнение 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cp:lastPrinted>2015-02-09T14:10:52Z</cp:lastPrinted>
  <dcterms:created xsi:type="dcterms:W3CDTF">2015-02-09T13:20:04Z</dcterms:created>
  <dcterms:modified xsi:type="dcterms:W3CDTF">2015-02-15T20:02:09Z</dcterms:modified>
</cp:coreProperties>
</file>