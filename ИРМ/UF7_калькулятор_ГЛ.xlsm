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4F6F530D-36FB-4416-B436-32D68DFCF204}" xr6:coauthVersionLast="41" xr6:coauthVersionMax="41" xr10:uidLastSave="{00000000-0000-0000-0000-000000000000}"/>
  <bookViews>
    <workbookView xWindow="-21570" yWindow="4605" windowWidth="21195" windowHeight="1566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4" i="8"/>
  <c r="B5" i="8"/>
  <c r="K11" i="4" l="1"/>
  <c r="K9" i="4"/>
  <c r="K8" i="4"/>
  <c r="C49" i="4"/>
  <c r="I32" i="4"/>
  <c r="M32" i="4"/>
  <c r="E33" i="4"/>
  <c r="E35" i="4"/>
  <c r="E32" i="4"/>
  <c r="I35" i="4"/>
  <c r="M37" i="4"/>
  <c r="G23" i="4"/>
  <c r="I34" i="4"/>
  <c r="E36" i="4"/>
  <c r="C40" i="4"/>
  <c r="C32" i="4"/>
  <c r="C36" i="4"/>
  <c r="M40" i="4"/>
  <c r="M36" i="4"/>
  <c r="E34" i="4"/>
  <c r="I36" i="4"/>
  <c r="C33" i="4"/>
  <c r="C43" i="4"/>
  <c r="T33" i="4"/>
  <c r="I37" i="4"/>
  <c r="M33" i="4"/>
  <c r="C44" i="4"/>
  <c r="C45" i="4"/>
  <c r="V33" i="4"/>
  <c r="M34" i="4"/>
  <c r="C34" i="4"/>
  <c r="C37" i="4"/>
  <c r="I33" i="4"/>
  <c r="M35" i="4"/>
  <c r="E37" i="4"/>
  <c r="C23" i="4"/>
  <c r="C35" i="4"/>
  <c r="B8" i="8" a="1"/>
  <c r="T35" i="4"/>
  <c r="C26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T34" i="4"/>
  <c r="C27" i="4"/>
  <c r="T36" i="4"/>
  <c r="V34" i="4"/>
  <c r="V36" i="4"/>
  <c r="C28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<sst xmlns="http://schemas.openxmlformats.org/spreadsheetml/2006/main" count="283" uniqueCount="187">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</sst>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51.736073162955414</c:v>
                </c:pt>
                <c:pt idx="1">
                  <c:v>61.235971738625544</c:v>
                </c:pt>
                <c:pt idx="2">
                  <c:v>71.311164323972676</c:v>
                </c:pt>
                <c:pt idx="3">
                  <c:v>74.267372515002904</c:v>
                </c:pt>
                <c:pt idx="4">
                  <c:v>81.029570695018691</c:v>
                </c:pt>
                <c:pt idx="5">
                  <c:v>90.835008633217882</c:v>
                </c:pt>
                <c:pt idx="6">
                  <c:v>100.78283922847251</c:v>
                </c:pt>
                <c:pt idx="7">
                  <c:v>110.61223859626946</c:v>
                </c:pt>
                <c:pt idx="8">
                  <c:v>118.89701180971171</c:v>
                </c:pt>
                <c:pt idx="9">
                  <c:v>120.2555411549052</c:v>
                </c:pt>
                <c:pt idx="10">
                  <c:v>129.65070067526719</c:v>
                </c:pt>
                <c:pt idx="11">
                  <c:v>138.74439287180326</c:v>
                </c:pt>
                <c:pt idx="12">
                  <c:v>147.4893983616208</c:v>
                </c:pt>
                <c:pt idx="13">
                  <c:v>147.98182955195301</c:v>
                </c:pt>
                <c:pt idx="14">
                  <c:v>158.67863174402112</c:v>
                </c:pt>
                <c:pt idx="15">
                  <c:v>163.34457255495087</c:v>
                </c:pt>
                <c:pt idx="16">
                  <c:v>169.34874068091139</c:v>
                </c:pt>
                <c:pt idx="17">
                  <c:v>175.84977021989897</c:v>
                </c:pt>
                <c:pt idx="18">
                  <c:v>177.24473450600397</c:v>
                </c:pt>
                <c:pt idx="19">
                  <c:v>178.63303695559816</c:v>
                </c:pt>
                <c:pt idx="20">
                  <c:v>180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5F9AB44F-12B4-4278-BEC5-7F001776150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4576618-3F8A-458B-9683-E854DD86B6C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C57C26C-7315-4143-96AC-B73071F5CCC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B7784EB-B652-4BC3-BD31-F752A8EEC3A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2D336A-CCB4-4D5B-90D8-5E1130569DB0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2EF5004-25E9-4890-994C-777462F1358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49.980381227005516</c:v>
                </c:pt>
                <c:pt idx="1">
                  <c:v>51.736073162955414</c:v>
                </c:pt>
                <c:pt idx="2">
                  <c:v>180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150</c:v>
                </c:pt>
                <c:pt idx="1">
                  <c:v>152.53751148569714</c:v>
                </c:pt>
                <c:pt idx="2">
                  <c:v>155.13893418554304</c:v>
                </c:pt>
                <c:pt idx="3">
                  <c:v>157.80273387186389</c:v>
                </c:pt>
                <c:pt idx="4">
                  <c:v>160.52663222089859</c:v>
                </c:pt>
                <c:pt idx="5">
                  <c:v>160.77550211530601</c:v>
                </c:pt>
                <c:pt idx="6">
                  <c:v>163.31176172563229</c:v>
                </c:pt>
                <c:pt idx="7">
                  <c:v>166.15376780624152</c:v>
                </c:pt>
                <c:pt idx="8">
                  <c:v>169.04423567941956</c:v>
                </c:pt>
                <c:pt idx="9">
                  <c:v>171.97895175259089</c:v>
                </c:pt>
                <c:pt idx="10">
                  <c:v>174.95376389624894</c:v>
                </c:pt>
                <c:pt idx="11">
                  <c:v>177.96979538304868</c:v>
                </c:pt>
                <c:pt idx="12">
                  <c:v>181.01770228738107</c:v>
                </c:pt>
                <c:pt idx="13">
                  <c:v>184.09465028232361</c:v>
                </c:pt>
                <c:pt idx="14">
                  <c:v>184.93673916321666</c:v>
                </c:pt>
                <c:pt idx="15">
                  <c:v>187.19833043983377</c:v>
                </c:pt>
                <c:pt idx="16">
                  <c:v>190.32873567886307</c:v>
                </c:pt>
                <c:pt idx="17">
                  <c:v>193.48429321062906</c:v>
                </c:pt>
                <c:pt idx="18">
                  <c:v>196.66219910865922</c:v>
                </c:pt>
                <c:pt idx="19">
                  <c:v>199.86178687843355</c:v>
                </c:pt>
                <c:pt idx="20">
                  <c:v>203.08256515106461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43.320527619107573</c:v>
                </c:pt>
                <c:pt idx="1">
                  <c:v>43.387436786156535</c:v>
                </c:pt>
                <c:pt idx="2">
                  <c:v>43.469198918679481</c:v>
                </c:pt>
                <c:pt idx="3">
                  <c:v>43.494970387243981</c:v>
                </c:pt>
                <c:pt idx="4">
                  <c:v>43.538324288714122</c:v>
                </c:pt>
                <c:pt idx="5">
                  <c:v>43.606504737716065</c:v>
                </c:pt>
                <c:pt idx="6">
                  <c:v>43.686448503170659</c:v>
                </c:pt>
                <c:pt idx="7">
                  <c:v>43.770607691238993</c:v>
                </c:pt>
                <c:pt idx="8">
                  <c:v>43.858630094283022</c:v>
                </c:pt>
                <c:pt idx="9">
                  <c:v>43.877484983759423</c:v>
                </c:pt>
                <c:pt idx="10">
                  <c:v>44.044862855222576</c:v>
                </c:pt>
                <c:pt idx="11">
                  <c:v>44.356702915706109</c:v>
                </c:pt>
                <c:pt idx="12">
                  <c:v>44.996595135659938</c:v>
                </c:pt>
                <c:pt idx="13">
                  <c:v>45.042591999223312</c:v>
                </c:pt>
                <c:pt idx="14">
                  <c:v>45.12974464149292</c:v>
                </c:pt>
                <c:pt idx="15">
                  <c:v>45.212250017872293</c:v>
                </c:pt>
                <c:pt idx="16">
                  <c:v>45.426850284357627</c:v>
                </c:pt>
                <c:pt idx="17">
                  <c:v>46.38668615687854</c:v>
                </c:pt>
                <c:pt idx="18">
                  <c:v>49.458776322401455</c:v>
                </c:pt>
                <c:pt idx="19">
                  <c:v>59.21551600816089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44779</xdr:colOff>
      <xdr:row>22</xdr:row>
      <xdr:rowOff>1686</xdr:rowOff>
    </xdr:from>
    <xdr:to>
      <xdr:col>24</xdr:col>
      <xdr:colOff>229382</xdr:colOff>
      <xdr:row>53</xdr:row>
      <xdr:rowOff>74192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294410</xdr:colOff>
      <xdr:row>22</xdr:row>
      <xdr:rowOff>17318</xdr:rowOff>
    </xdr:from>
    <xdr:to>
      <xdr:col>32</xdr:col>
      <xdr:colOff>173184</xdr:colOff>
      <xdr:row>53</xdr:row>
      <xdr:rowOff>86590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143.22522070267559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10" zoomScale="70" zoomScaleNormal="70" workbookViewId="0">
      <selection activeCell="F22" sqref="F2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45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45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B14" sqref="B14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0</v>
      </c>
    </row>
    <row r="12" spans="1:3" x14ac:dyDescent="0.25">
      <c r="B12" s="9">
        <v>1500</v>
      </c>
      <c r="C12" s="9">
        <v>0</v>
      </c>
    </row>
    <row r="13" spans="1:3" x14ac:dyDescent="0.25">
      <c r="B13" s="9">
        <v>2200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55" zoomScaleNormal="55" workbookViewId="0">
      <selection activeCell="C7" sqref="C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49.980381227005516</v>
      </c>
      <c r="R10" s="5" t="s">
        <v>44</v>
      </c>
      <c r="S10" s="14" t="s">
        <v>55</v>
      </c>
      <c r="T10" s="25">
        <v>43.320527619107573</v>
      </c>
      <c r="U10" s="5" t="s">
        <v>25</v>
      </c>
    </row>
    <row r="11" spans="1:34" ht="18" x14ac:dyDescent="0.35">
      <c r="P11" s="14" t="s">
        <v>46</v>
      </c>
      <c r="Q11" s="25">
        <v>51.736073162955414</v>
      </c>
      <c r="R11" s="5" t="s">
        <v>44</v>
      </c>
      <c r="S11" s="14" t="s">
        <v>56</v>
      </c>
      <c r="T11" s="25">
        <v>43.320527619107573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186</v>
      </c>
      <c r="N15" s="1" t="s">
        <v>182</v>
      </c>
      <c r="O15" s="1" t="s">
        <v>183</v>
      </c>
      <c r="P15" s="1"/>
      <c r="Q15" s="1" t="s">
        <v>184</v>
      </c>
      <c r="R15" s="1"/>
      <c r="S15" s="1" t="s">
        <v>185</v>
      </c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45</v>
      </c>
      <c r="N16">
        <v>0</v>
      </c>
      <c r="O16">
        <v>51.736073162955414</v>
      </c>
      <c r="P16">
        <v>0</v>
      </c>
      <c r="Q16">
        <v>43.320527619107573</v>
      </c>
      <c r="R16">
        <v>0</v>
      </c>
      <c r="S16">
        <v>0</v>
      </c>
      <c r="U16">
        <v>0</v>
      </c>
      <c r="V16" s="50">
        <f>Pline_out_atma_</f>
        <v>49.980381227005516</v>
      </c>
      <c r="W16">
        <v>0</v>
      </c>
      <c r="X16">
        <v>150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45</v>
      </c>
      <c r="N17">
        <v>218.75</v>
      </c>
      <c r="O17">
        <v>61.235971738625544</v>
      </c>
      <c r="P17">
        <v>218.75</v>
      </c>
      <c r="Q17">
        <v>43.387436786156535</v>
      </c>
      <c r="U17">
        <v>0</v>
      </c>
      <c r="V17" s="50">
        <f>Pbuf_out_atma_</f>
        <v>51.736073162955414</v>
      </c>
      <c r="W17">
        <v>122.22222222222223</v>
      </c>
      <c r="X17">
        <v>152.53751148569714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45</v>
      </c>
      <c r="N18">
        <v>437.5</v>
      </c>
      <c r="O18">
        <v>71.311164323972676</v>
      </c>
      <c r="P18">
        <v>437.5</v>
      </c>
      <c r="Q18">
        <v>43.469198918679481</v>
      </c>
      <c r="U18">
        <f>Hperf_m_</f>
        <v>3500</v>
      </c>
      <c r="V18" s="50">
        <f>Pwf_out_atma_</f>
        <v>180</v>
      </c>
      <c r="W18">
        <v>244.44444444444446</v>
      </c>
      <c r="X18">
        <v>155.13893418554304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45</v>
      </c>
      <c r="N19">
        <v>500</v>
      </c>
      <c r="O19">
        <v>74.267372515002904</v>
      </c>
      <c r="P19">
        <v>500</v>
      </c>
      <c r="Q19">
        <v>43.494970387243981</v>
      </c>
      <c r="W19">
        <v>366.66666666666669</v>
      </c>
      <c r="X19">
        <v>157.80273387186389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45</v>
      </c>
      <c r="N20">
        <v>656.25</v>
      </c>
      <c r="O20">
        <v>81.029570695018691</v>
      </c>
      <c r="P20">
        <v>656.25</v>
      </c>
      <c r="Q20">
        <v>43.538324288714122</v>
      </c>
      <c r="W20">
        <v>488.88888888888891</v>
      </c>
      <c r="X20">
        <v>160.52663222089859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45</v>
      </c>
      <c r="N21">
        <v>875</v>
      </c>
      <c r="O21">
        <v>90.835008633217882</v>
      </c>
      <c r="P21">
        <v>875</v>
      </c>
      <c r="Q21">
        <v>43.606504737716065</v>
      </c>
      <c r="W21">
        <v>500</v>
      </c>
      <c r="X21">
        <v>160.77550211530601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45</v>
      </c>
      <c r="N22">
        <v>1093.75</v>
      </c>
      <c r="O22">
        <v>100.78283922847251</v>
      </c>
      <c r="P22">
        <v>1093.75</v>
      </c>
      <c r="Q22">
        <v>43.686448503170659</v>
      </c>
      <c r="W22">
        <v>611.11111111111109</v>
      </c>
      <c r="X22">
        <v>163.31176172563229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45</v>
      </c>
      <c r="N23">
        <v>1312.5</v>
      </c>
      <c r="O23">
        <v>110.61223859626946</v>
      </c>
      <c r="P23">
        <v>1312.5</v>
      </c>
      <c r="Q23">
        <v>43.770607691238993</v>
      </c>
      <c r="W23">
        <v>733.33333333333337</v>
      </c>
      <c r="X23">
        <v>166.15376780624152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45</v>
      </c>
      <c r="N24">
        <v>1500</v>
      </c>
      <c r="O24">
        <v>118.89701180971171</v>
      </c>
      <c r="P24">
        <v>1500</v>
      </c>
      <c r="Q24">
        <v>43.858630094283022</v>
      </c>
      <c r="W24">
        <v>855.55555555555566</v>
      </c>
      <c r="X24">
        <v>169.04423567941956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45</v>
      </c>
      <c r="N25">
        <v>1531.25</v>
      </c>
      <c r="O25">
        <v>120.2555411549052</v>
      </c>
      <c r="P25">
        <v>1531.25</v>
      </c>
      <c r="Q25">
        <v>43.877484983759423</v>
      </c>
      <c r="W25">
        <v>977.77777777777783</v>
      </c>
      <c r="X25">
        <v>171.97895175259089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45</v>
      </c>
      <c r="N26">
        <v>1750</v>
      </c>
      <c r="O26">
        <v>129.65070067526719</v>
      </c>
      <c r="P26">
        <v>1750</v>
      </c>
      <c r="Q26">
        <v>44.044862855222576</v>
      </c>
      <c r="W26">
        <v>1100</v>
      </c>
      <c r="X26">
        <v>174.95376389624894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45</v>
      </c>
      <c r="N27">
        <v>1968.75</v>
      </c>
      <c r="O27">
        <v>138.74439287180326</v>
      </c>
      <c r="P27">
        <v>1968.75</v>
      </c>
      <c r="Q27">
        <v>44.356702915706109</v>
      </c>
      <c r="W27">
        <v>1222.2222222222222</v>
      </c>
      <c r="X27">
        <v>177.96979538304868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45</v>
      </c>
      <c r="N28">
        <v>2187.5</v>
      </c>
      <c r="O28">
        <v>147.4893983616208</v>
      </c>
      <c r="P28">
        <v>2187.5</v>
      </c>
      <c r="Q28">
        <v>44.996595135659938</v>
      </c>
      <c r="W28">
        <v>1344.4444444444446</v>
      </c>
      <c r="X28">
        <v>181.01770228738107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45</v>
      </c>
      <c r="N29">
        <v>2200</v>
      </c>
      <c r="O29">
        <v>147.98182955195301</v>
      </c>
      <c r="P29">
        <v>2200</v>
      </c>
      <c r="Q29">
        <v>45.042591999223312</v>
      </c>
      <c r="W29">
        <v>1466.6666666666667</v>
      </c>
      <c r="X29">
        <v>184.09465028232361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45</v>
      </c>
      <c r="N30">
        <v>2406.25</v>
      </c>
      <c r="O30">
        <v>158.67863174402112</v>
      </c>
      <c r="P30">
        <v>2406.25</v>
      </c>
      <c r="Q30">
        <v>45.12974464149292</v>
      </c>
      <c r="W30">
        <v>1500</v>
      </c>
      <c r="X30">
        <v>184.93673916321666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45</v>
      </c>
      <c r="N31">
        <v>2500</v>
      </c>
      <c r="O31">
        <v>163.34457255495087</v>
      </c>
      <c r="P31">
        <v>2500</v>
      </c>
      <c r="Q31">
        <v>45.212250017872293</v>
      </c>
      <c r="W31">
        <v>1588.8888888888889</v>
      </c>
      <c r="X31">
        <v>187.19833043983377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45</v>
      </c>
      <c r="N32">
        <v>2625</v>
      </c>
      <c r="O32">
        <v>169.34874068091139</v>
      </c>
      <c r="P32">
        <v>2625</v>
      </c>
      <c r="Q32">
        <v>45.426850284357627</v>
      </c>
      <c r="W32">
        <v>1711.1111111111113</v>
      </c>
      <c r="X32">
        <v>190.32873567886307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45</v>
      </c>
      <c r="N33">
        <v>2843.75</v>
      </c>
      <c r="O33">
        <v>175.84977021989897</v>
      </c>
      <c r="P33">
        <v>2843.75</v>
      </c>
      <c r="Q33">
        <v>46.38668615687854</v>
      </c>
      <c r="W33">
        <v>1833.3333333333335</v>
      </c>
      <c r="X33">
        <v>193.48429321062906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45</v>
      </c>
      <c r="N34">
        <v>3062.5</v>
      </c>
      <c r="O34">
        <v>177.24473450600397</v>
      </c>
      <c r="P34">
        <v>3062.5</v>
      </c>
      <c r="Q34">
        <v>49.458776322401455</v>
      </c>
      <c r="W34">
        <v>1955.5555555555557</v>
      </c>
      <c r="X34">
        <v>196.66219910865922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45</v>
      </c>
      <c r="N35">
        <v>3281.25</v>
      </c>
      <c r="O35">
        <v>178.63303695559816</v>
      </c>
      <c r="P35">
        <v>3281.25</v>
      </c>
      <c r="Q35">
        <v>59.21551600816089</v>
      </c>
      <c r="W35">
        <v>2077.7777777777778</v>
      </c>
      <c r="X35">
        <v>199.86178687843355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45</v>
      </c>
      <c r="N36">
        <v>3500</v>
      </c>
      <c r="O36">
        <v>180</v>
      </c>
      <c r="P36">
        <v>3500</v>
      </c>
      <c r="Q36">
        <v>90</v>
      </c>
      <c r="W36">
        <v>2200</v>
      </c>
      <c r="X36">
        <v>203.08256515106461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2019-03-27T05:32:23Z</dcterms:modified>
</cp:coreProperties>
</file>