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ИРМ\"/>
    </mc:Choice>
  </mc:AlternateContent>
  <xr:revisionPtr revIDLastSave="0" documentId="13_ncr:1_{D1999F36-0A6E-42CC-96B3-66854D4A79E5}" xr6:coauthVersionLast="41" xr6:coauthVersionMax="41" xr10:uidLastSave="{00000000-0000-0000-0000-000000000000}"/>
  <bookViews>
    <workbookView xWindow="-21390" yWindow="9810" windowWidth="20985" windowHeight="19890" tabRatio="529" activeTab="4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GasLift" sheetId="9" r:id="rId4"/>
    <sheet name="Скважина_расчет" sheetId="2" r:id="rId5"/>
    <sheet name="Лист1" sheetId="8" r:id="rId6"/>
  </sheets>
  <externalReferences>
    <externalReference r:id="rId7"/>
  </externalReferences>
  <definedNames>
    <definedName name="betta_fric_">Скважина_расчет!$H$7</definedName>
    <definedName name="betta_grav_">Скважина_расчет!$H$6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Скважина_расчет!$J$2</definedName>
    <definedName name="correlation_PVT_fontan_">Скважина_расчет!$E$2</definedName>
    <definedName name="correlation_T_fontan_">Скважина_расчет!$O$2</definedName>
    <definedName name="d_valves_mm_">GasLift!$C$11:$C$20</definedName>
    <definedName name="dcas_arr_mm_">'Конструкция фонтан'!$I$19:$I$38</definedName>
    <definedName name="dcas_mm_">'Конструкция фонтан'!$C$11</definedName>
    <definedName name="dcas_out_mm_">'Конструкция фонтан'!$V$18:$V$38</definedName>
    <definedName name="dchoke_mm_">'Конструкция фонтан'!$C$13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ESP_eff_list_">#REF!</definedName>
    <definedName name="ESP_freq_">#REF!</definedName>
    <definedName name="ESP_head_list_">#REF!</definedName>
    <definedName name="ESP_head_nom_">#REF!</definedName>
    <definedName name="ESP_ID_">#REF!</definedName>
    <definedName name="ESP_name_">#REF!</definedName>
    <definedName name="ESP_power_list_">#REF!</definedName>
    <definedName name="ESP_qmax_">#REF!</definedName>
    <definedName name="ESP_rate_list_">#REF!</definedName>
    <definedName name="ESP_rate_nom_">#REF!</definedName>
    <definedName name="ESP_stages_">#REF!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Скважина_расчет!$S$16:$S$36</definedName>
    <definedName name="Hlout_hmes_m_">Скважина_расчет!$R$16:$R$36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Скважина_расчет!$C$17:$C$352</definedName>
    <definedName name="hmes_out_">Скважина_расчет!$H$16:$H$36</definedName>
    <definedName name="hmes_tamb_m_">'Конструкция фонтан'!$E$19:$E$38</definedName>
    <definedName name="hmes_tamb_out_m_" localSheetId="4">Скважина_расчет!$K$16:$K$36</definedName>
    <definedName name="hmes_tamb_out_m_">'Конструкция фонтан'!$S$18:$S$38</definedName>
    <definedName name="Hmes_valves_m_">GasLift!$B$11:$B$20</definedName>
    <definedName name="Hout_">Скважина_расчет!$N$17:$N$36</definedName>
    <definedName name="Hperf_m_">'Конструкция фонтан'!$C$9</definedName>
    <definedName name="Hpump_">#REF!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4">Скважина_расчет!$L$16:$L$36</definedName>
    <definedName name="HydrCorr_">Скважина_расчет!$AA$6</definedName>
    <definedName name="HydrCorr_selector_">Скважина_расчет!$AB$3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NumValves_">GasLift!$C$5</definedName>
    <definedName name="P_atma_" localSheetId="1">PVT!$C$8</definedName>
    <definedName name="P_mes_atma_">Скважина_расчет!$D$17:$D$352</definedName>
    <definedName name="Pb_atma_" localSheetId="1">PVT!$G$15</definedName>
    <definedName name="Pb_diff_">PVT!$W$33</definedName>
    <definedName name="Pbuf_atma_">Скважина_расчет!$Q$6</definedName>
    <definedName name="Pbuf_out_atma_">Скважина_расчет!$Q$11</definedName>
    <definedName name="Pcas_atma_">Скважина_расчет!$Q$8</definedName>
    <definedName name="Pcas_hmes_">Скважина_расчет!$W$16:$W$36</definedName>
    <definedName name="Pcas_out_atma_">Скважина_расчет!$X$16:$X$36</definedName>
    <definedName name="Plin_mes_atma_">Скважина_расчет!$D$16</definedName>
    <definedName name="Pline_atma_">Скважина_расчет!$Q$5</definedName>
    <definedName name="Pline_out_atma_">Скважина_расчет!$Q$10</definedName>
    <definedName name="pmes_out_">Скважина_расчет!$I$16:$I$36</definedName>
    <definedName name="Pout_">Скважина_расчет!$O$17:$O$36</definedName>
    <definedName name="Pout_atma_">Скважина_расчет!$O$16:$O$36</definedName>
    <definedName name="Pout_hmes_m_">Скважина_расчет!$N$16:$N$36</definedName>
    <definedName name="Power_Motor_nom_">#REF!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ts_">#REF!</definedName>
    <definedName name="PVT_correlation_" localSheetId="1">PVT!$H$3</definedName>
    <definedName name="PVT_selector_">Скважина_расчет!$X$3</definedName>
    <definedName name="Pwf_atma_">Скважина_расчет!$Q$7</definedName>
    <definedName name="Pwf_out_atma_">Скважина_расчет!$Q$12</definedName>
    <definedName name="Ql_scm3day_" localSheetId="1">PVT!$K$8</definedName>
    <definedName name="Ql_scm3day_" localSheetId="4">Скважина_расчет!$C$6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4">Скважина_расчет!$C$9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Скважина_расчет!$E$17:$E$352</definedName>
    <definedName name="tamb_C_">'Конструкция фонтан'!$F$19:$F$38</definedName>
    <definedName name="tamb_out_C_" localSheetId="4">Скважина_расчет!$M$16:$M$36</definedName>
    <definedName name="tamb_out_C_">'Конструкция фонтан'!$T$18:$T$38</definedName>
    <definedName name="Tbh_c_">Скважина_расчет!$M$6</definedName>
    <definedName name="Tbuf_out_C_">Скважина_расчет!$T$11</definedName>
    <definedName name="Tlin_mes_C_">Скважина_расчет!$E$16</definedName>
    <definedName name="Tline_out_C_">Скважина_расчет!$T$10</definedName>
    <definedName name="tmes_out_">Скважина_расчет!$J$16:$J$36</definedName>
    <definedName name="Tout_C_">Скважина_расчет!$Q$16:$Q$36</definedName>
    <definedName name="Tout_hmes_m_">Скважина_расчет!$P$16:$P$36</definedName>
    <definedName name="Tres_C_" localSheetId="1">PVT!$G$14</definedName>
    <definedName name="Tsc_C_" localSheetId="1">PVT!$K$3</definedName>
    <definedName name="Tsep_C_" localSheetId="1">PVT!$O$10</definedName>
    <definedName name="Twf_out_C_">Скважина_расчет!$T$12</definedName>
    <definedName name="Twh_C_">Скважина_расчет!$M$7</definedName>
    <definedName name="U_V_">#REF!</definedName>
    <definedName name="udl_out_m_">'Конструкция фонтан'!$R$18:$R$38</definedName>
    <definedName name="wc_perc_" localSheetId="1">PVT!$K$9</definedName>
    <definedName name="wc_perc_" localSheetId="4">Скважина_расчет!$C$7</definedName>
    <definedName name="версия_">Унифлок!$A$1</definedName>
    <definedName name="версия_номер_">Унифлок!$B$1</definedName>
  </definedNames>
  <calcPr calcId="191029"/>
  <fileRecoveryPr autoRecover="0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9" l="1"/>
  <c r="B3" i="8"/>
  <c r="B4" i="8"/>
  <c r="B5" i="8"/>
  <c r="K11" i="4" l="1"/>
  <c r="K9" i="4"/>
  <c r="K8" i="4"/>
  <c r="B8" i="8" a="1"/>
  <c r="C49" i="4"/>
  <c r="I37" i="4"/>
  <c r="I33" i="4"/>
  <c r="M40" i="4"/>
  <c r="I32" i="4"/>
  <c r="M33" i="4"/>
  <c r="E36" i="4"/>
  <c r="M36" i="4"/>
  <c r="M32" i="4"/>
  <c r="C44" i="4"/>
  <c r="M35" i="4"/>
  <c r="E34" i="4"/>
  <c r="E33" i="4"/>
  <c r="C45" i="4"/>
  <c r="C40" i="4"/>
  <c r="I36" i="4"/>
  <c r="E35" i="4"/>
  <c r="V33" i="4"/>
  <c r="E37" i="4"/>
  <c r="C33" i="4"/>
  <c r="E32" i="4"/>
  <c r="M34" i="4"/>
  <c r="C23" i="4"/>
  <c r="C26" i="4"/>
  <c r="I35" i="4"/>
  <c r="C34" i="4"/>
  <c r="C32" i="4"/>
  <c r="C43" i="4"/>
  <c r="M37" i="4"/>
  <c r="C37" i="4"/>
  <c r="C35" i="4"/>
  <c r="T33" i="4"/>
  <c r="G23" i="4"/>
  <c r="I34" i="4"/>
  <c r="C36" i="4"/>
  <c r="T35" i="4"/>
  <c r="C9" i="8" l="1"/>
  <c r="D8" i="8"/>
  <c r="D10" i="8"/>
  <c r="E9" i="8"/>
  <c r="F8" i="8"/>
  <c r="F10" i="8"/>
  <c r="C8" i="8"/>
  <c r="D9" i="8"/>
  <c r="E8" i="8"/>
  <c r="E10" i="8"/>
  <c r="G8" i="8"/>
  <c r="G10" i="8"/>
  <c r="H9" i="8"/>
  <c r="I8" i="8"/>
  <c r="I10" i="8"/>
  <c r="B10" i="8"/>
  <c r="B8" i="8"/>
  <c r="G9" i="8"/>
  <c r="H8" i="8"/>
  <c r="H10" i="8"/>
  <c r="I9" i="8"/>
  <c r="B9" i="8"/>
  <c r="C10" i="8"/>
  <c r="F9" i="8"/>
  <c r="U18" i="2"/>
  <c r="V18" i="2"/>
  <c r="V17" i="2"/>
  <c r="V16" i="2"/>
  <c r="A4" i="6"/>
  <c r="A1" i="6"/>
  <c r="A1" i="2" s="1"/>
  <c r="AA36" i="4"/>
  <c r="AA35" i="4"/>
  <c r="AB36" i="4"/>
  <c r="AB35" i="4"/>
  <c r="W38" i="4"/>
  <c r="W37" i="4"/>
  <c r="V35" i="4"/>
  <c r="T34" i="4"/>
  <c r="T36" i="4"/>
  <c r="C28" i="4"/>
  <c r="V36" i="4"/>
  <c r="C27" i="4"/>
  <c r="V34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<sst xmlns="http://schemas.openxmlformats.org/spreadsheetml/2006/main" count="283" uniqueCount="187">
  <si>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</si>
  <si>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</si>
  <si>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</si>
  <si>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</si>
  <si>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</si>
  <si>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</si>
  <si>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</si>
  <si>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</si>
  <si>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</si>
  <si>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</si>
  <si>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</si>
  <si>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</si>
  <si>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</si>
  <si>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</si>
  <si>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</si>
  <si>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</si>
  <si>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</si>
  <si>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</si>
  <si>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</si>
  <si>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</si>
  <si>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</si>
  <si>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</si>
  <si>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</si>
  <si>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</si>
  <si>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</si>
  <si>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</si>
  <si>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</si>
  <si>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</si>
  <si>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</si>
  <si>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</si>
  <si>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</si>
  <si>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</si>
  <si>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</si>
  <si>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</si>
  <si>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</si>
  <si>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</si>
  <si>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</si>
  <si>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</si>
  <si>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</si>
  <si>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</si>
  <si>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</si>
  <si>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</si>
  <si>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</si>
  <si>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</si>
  <si>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</si>
  <si>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</si>
  <si>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</si>
  <si>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</si>
  <si>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</si>
  <si>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</si>
  <si>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</si>
  <si>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</si>
  <si>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</si>
  <si>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</si>
  <si>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</si>
  <si>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</si>
  <si>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</si>
  <si>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</si>
  <si>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</si>
  <si>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</si>
  <si>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</si>
  <si>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</si>
  <si>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</si>
  <si>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</si>
  <si>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</si>
  <si>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</si>
  <si>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</si>
  <si>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</si>
  <si>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</si>
  <si>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</si>
  <si>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</si>
  <si>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</si>
  <si>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</si>
  <si>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</si>
  <si>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</si>
  <si>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</si>
  <si>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</si>
  <si>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</si>
  <si>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</si>
  <si>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</si>
  <si>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</si>
  <si>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</si>
  <si>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</si>
  <si>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</si>
  <si>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</si>
  <si>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</si>
  <si>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</si>
  <si>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</si>
  <si>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</si>
  <si>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</si>
  <si>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</si>
  <si>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</si>
  <si>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</si>
  <si>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</si>
  <si>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</si>
  <si>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</si>
  <si>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</si>
  <si>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</si>
  <si>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</si>
  <si>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</si>
  <si>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</si>
  <si>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</si>
  <si>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</si>
  <si>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</si>
  <si>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</si>
  <si>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</si>
  <si>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</si>
  <si>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</si>
  <si>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</si>
  <si>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</si>
  <si>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</si>
  <si>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</si>
  <si>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</si>
  <si>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</si>
  <si>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</si>
  <si>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</si>
  <si>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</si>
  <si>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</si>
  <si>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</si>
  <si>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</si>
  <si>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</si>
  <si>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</si>
  <si>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</si>
  <si>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</si>
  <si>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</si>
  <si>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</si>
  <si>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</si>
  <si>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</si>
  <si>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</si>
  <si>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</si>
  <si>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</si>
  <si>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</si>
  <si>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</si>
  <si>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</si>
  <si>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</si>
  <si>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</si>
  <si>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</si>
  <si>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</si>
  <si>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</si>
  <si>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</si>
  <si>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</si>
  <si>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</si>
  <si>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</si>
  <si>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</si>
  <si>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</si>
  <si>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</si>
  <si>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</si>
  <si>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</si>
  <si>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</si>
  <si>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</si>
  <si>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</si>
  <si>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</si>
  <si>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</si>
  <si>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</si>
  <si>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</si>
  <si>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</si>
  <si>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</si>
  <si>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</si>
  <si>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</si>
  <si>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</si>
  <si>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</si>
  <si>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</si>
  <si>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</si>
  <si>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</si>
  <si>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</si>
  <si>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</si>
  <si>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</si>
  <si>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</si>
  <si>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</si>
  <si>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</si>
  <si>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</si>
  <si>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</si>
  <si>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</si>
  <si>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</si>
  <si>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</si>
  <si>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</si>
  <si>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</si>
  <si>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</si>
  <si>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Ввод данных по газлифтной компоновке</t>
  </si>
  <si>
    <t>Кол-клапанов</t>
  </si>
  <si>
    <t>Диаметр</t>
  </si>
  <si>
    <t>Глубины расположения клапанов</t>
  </si>
  <si>
    <t>hmes ptub</t>
  </si>
  <si>
    <t>Ptub</t>
  </si>
  <si>
    <t>Ttub</t>
  </si>
  <si>
    <t>Hl</t>
  </si>
  <si>
    <t>Tamb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</si>
</sst>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vertAlign val="subscript"/>
      <sz val="11"/>
      <color theme="0" tint="-0.499984740745262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Скважина_расчет!$S$16:$S$36</c:f>
              <c:numCache>
                <c:formatCode>General</c:formatCode>
                <c:ptCount val="21"/>
                <c:pt idx="0">
                  <c:v>0</c:v>
                </c:pt>
              </c:numCache>
            </c:numRef>
          </c:xVal>
          <c:yVal>
            <c:numRef>
              <c:f>Скважина_расчет!$R$16:$R$36</c:f>
              <c:numCache>
                <c:formatCode>General</c:formatCode>
                <c:ptCount val="2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Скважина_расчет!$N$14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Скважина_расчет!$O$16:$O$36</c:f>
              <c:numCache>
                <c:formatCode>General</c:formatCode>
                <c:ptCount val="21"/>
                <c:pt idx="0">
                  <c:v>49.992844604946939</c:v>
                </c:pt>
                <c:pt idx="1">
                  <c:v>54.831633503136032</c:v>
                </c:pt>
                <c:pt idx="2">
                  <c:v>59.936175968792753</c:v>
                </c:pt>
                <c:pt idx="3">
                  <c:v>61.433860078832701</c:v>
                </c:pt>
                <c:pt idx="4">
                  <c:v>64.5567932397433</c:v>
                </c:pt>
                <c:pt idx="5">
                  <c:v>69.079211782083149</c:v>
                </c:pt>
                <c:pt idx="6">
                  <c:v>73.66086347752622</c:v>
                </c:pt>
                <c:pt idx="7">
                  <c:v>78.18932808537852</c:v>
                </c:pt>
                <c:pt idx="8">
                  <c:v>82.013879851157768</c:v>
                </c:pt>
                <c:pt idx="9">
                  <c:v>83.164940904646173</c:v>
                </c:pt>
                <c:pt idx="10">
                  <c:v>91.1383533989857</c:v>
                </c:pt>
                <c:pt idx="11">
                  <c:v>92.93648708882985</c:v>
                </c:pt>
                <c:pt idx="12">
                  <c:v>102.30951771690845</c:v>
                </c:pt>
                <c:pt idx="13">
                  <c:v>113.91084577523955</c:v>
                </c:pt>
                <c:pt idx="14">
                  <c:v>124.8522293923447</c:v>
                </c:pt>
                <c:pt idx="15">
                  <c:v>129.34088577972722</c:v>
                </c:pt>
                <c:pt idx="16">
                  <c:v>135.1163943019863</c:v>
                </c:pt>
                <c:pt idx="17">
                  <c:v>141.3692033335507</c:v>
                </c:pt>
                <c:pt idx="18">
                  <c:v>142.71062252582107</c:v>
                </c:pt>
                <c:pt idx="19">
                  <c:v>144.05000813990083</c:v>
                </c:pt>
                <c:pt idx="20">
                  <c:v>145.38736329384395</c:v>
                </c:pt>
              </c:numCache>
            </c:numRef>
          </c:xVal>
          <c:yVal>
            <c:numRef>
              <c:f>Скважина_расчет!$N$16:$N$36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1800</c:v>
                </c:pt>
                <c:pt idx="12">
                  <c:v>1968.75</c:v>
                </c:pt>
                <c:pt idx="13">
                  <c:v>2187.5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Скважина_расчет!$H$14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Скважина_расчет!$H$16:$H$36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C0C25BF6-DADD-419F-BCC6-2B7482B9766B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BF58B613-5A7B-427A-B6EC-4271C99B7021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CF6CE372-D4C3-47BA-A498-EEE33A46C920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53068198-A652-4D4C-A525-62844C37309D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52F52F2-340C-4AC9-8C1F-085A2B0A5403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D558633B-0E6B-43A2-BFA1-AF7CBDCDE362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Скважина_расчет!$V$16:$V$18</c:f>
              <c:numCache>
                <c:formatCode>0</c:formatCode>
                <c:ptCount val="3"/>
                <c:pt idx="0">
                  <c:v>49.992844604946939</c:v>
                </c:pt>
                <c:pt idx="1">
                  <c:v>49.992844604946939</c:v>
                </c:pt>
                <c:pt idx="2">
                  <c:v>145.38736329384395</c:v>
                </c:pt>
              </c:numCache>
            </c:numRef>
          </c:xVal>
          <c:yVal>
            <c:numRef>
              <c:f>Скважина_расчет!$U$16:$U$18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Скважина_расчет!$P$10:$P$12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Скважина_расчет!$X$16:$X$36</c:f>
              <c:numCache>
                <c:formatCode>General</c:formatCode>
                <c:ptCount val="21"/>
                <c:pt idx="0">
                  <c:v>150</c:v>
                </c:pt>
                <c:pt idx="1">
                  <c:v>150.64104687834958</c:v>
                </c:pt>
                <c:pt idx="2">
                  <c:v>151.28209375669917</c:v>
                </c:pt>
                <c:pt idx="3">
                  <c:v>151.92465702125725</c:v>
                </c:pt>
                <c:pt idx="4">
                  <c:v>152.56722028581535</c:v>
                </c:pt>
                <c:pt idx="5">
                  <c:v>153.85534753625615</c:v>
                </c:pt>
                <c:pt idx="6">
                  <c:v>155.1464431567374</c:v>
                </c:pt>
                <c:pt idx="7">
                  <c:v>156.44047447079603</c:v>
                </c:pt>
                <c:pt idx="8">
                  <c:v>157.73740845325545</c:v>
                </c:pt>
                <c:pt idx="9">
                  <c:v>159.03721170810744</c:v>
                </c:pt>
                <c:pt idx="10">
                  <c:v>160.33985044777253</c:v>
                </c:pt>
                <c:pt idx="11">
                  <c:v>161.64529047369919</c:v>
                </c:pt>
                <c:pt idx="12">
                  <c:v>162.95349715826043</c:v>
                </c:pt>
                <c:pt idx="13">
                  <c:v>164.26443542790551</c:v>
                </c:pt>
                <c:pt idx="14">
                  <c:v>165.5780697475235</c:v>
                </c:pt>
                <c:pt idx="15">
                  <c:v>166.89436410597438</c:v>
                </c:pt>
                <c:pt idx="16">
                  <c:v>168.21328200274371</c:v>
                </c:pt>
                <c:pt idx="17">
                  <c:v>169.53478643567539</c:v>
                </c:pt>
                <c:pt idx="18">
                  <c:v>170.85883988973904</c:v>
                </c:pt>
                <c:pt idx="19">
                  <c:v>172.18540432678608</c:v>
                </c:pt>
                <c:pt idx="20">
                  <c:v>173.51444117625192</c:v>
                </c:pt>
              </c:numCache>
            </c:numRef>
          </c:xVal>
          <c:yVal>
            <c:numRef>
              <c:f>Скважина_расчет!$W$16:$W$36</c:f>
              <c:numCache>
                <c:formatCode>General</c:formatCode>
                <c:ptCount val="2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300</c:v>
                </c:pt>
                <c:pt idx="6">
                  <c:v>400</c:v>
                </c:pt>
                <c:pt idx="7">
                  <c:v>500</c:v>
                </c:pt>
                <c:pt idx="8">
                  <c:v>600</c:v>
                </c:pt>
                <c:pt idx="9">
                  <c:v>700</c:v>
                </c:pt>
                <c:pt idx="10">
                  <c:v>800</c:v>
                </c:pt>
                <c:pt idx="11">
                  <c:v>900</c:v>
                </c:pt>
                <c:pt idx="12">
                  <c:v>1000</c:v>
                </c:pt>
                <c:pt idx="13">
                  <c:v>1100</c:v>
                </c:pt>
                <c:pt idx="14">
                  <c:v>1200</c:v>
                </c:pt>
                <c:pt idx="15">
                  <c:v>1300</c:v>
                </c:pt>
                <c:pt idx="16">
                  <c:v>1400</c:v>
                </c:pt>
                <c:pt idx="17">
                  <c:v>1500</c:v>
                </c:pt>
                <c:pt idx="18">
                  <c:v>1600</c:v>
                </c:pt>
                <c:pt idx="19">
                  <c:v>1700</c:v>
                </c:pt>
                <c:pt idx="20">
                  <c:v>1800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Скважина_расчет!$Q$16:$Q$36</c:f>
              <c:numCache>
                <c:formatCode>General</c:formatCode>
                <c:ptCount val="21"/>
                <c:pt idx="0">
                  <c:v>60.000000000000007</c:v>
                </c:pt>
                <c:pt idx="1">
                  <c:v>61.875000000000007</c:v>
                </c:pt>
                <c:pt idx="2">
                  <c:v>63.750000000000007</c:v>
                </c:pt>
                <c:pt idx="3">
                  <c:v>64.285714285714292</c:v>
                </c:pt>
                <c:pt idx="4">
                  <c:v>65.625</c:v>
                </c:pt>
                <c:pt idx="5">
                  <c:v>67.5</c:v>
                </c:pt>
                <c:pt idx="6">
                  <c:v>69.375</c:v>
                </c:pt>
                <c:pt idx="7">
                  <c:v>71.250000000000014</c:v>
                </c:pt>
                <c:pt idx="8">
                  <c:v>72.857142857142861</c:v>
                </c:pt>
                <c:pt idx="9">
                  <c:v>73.125</c:v>
                </c:pt>
                <c:pt idx="10">
                  <c:v>75</c:v>
                </c:pt>
                <c:pt idx="11">
                  <c:v>75.428571428571431</c:v>
                </c:pt>
                <c:pt idx="12">
                  <c:v>76.875</c:v>
                </c:pt>
                <c:pt idx="13">
                  <c:v>78.75</c:v>
                </c:pt>
                <c:pt idx="14">
                  <c:v>80.625</c:v>
                </c:pt>
                <c:pt idx="15">
                  <c:v>81.428571428571431</c:v>
                </c:pt>
                <c:pt idx="16">
                  <c:v>82.5</c:v>
                </c:pt>
                <c:pt idx="17">
                  <c:v>84.375</c:v>
                </c:pt>
                <c:pt idx="18">
                  <c:v>86.25</c:v>
                </c:pt>
                <c:pt idx="19">
                  <c:v>88.125</c:v>
                </c:pt>
                <c:pt idx="20">
                  <c:v>90</c:v>
                </c:pt>
              </c:numCache>
            </c:numRef>
          </c:xVal>
          <c:yVal>
            <c:numRef>
              <c:f>Скважина_расчет!$N$16:$N$36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1800</c:v>
                </c:pt>
                <c:pt idx="12">
                  <c:v>1968.75</c:v>
                </c:pt>
                <c:pt idx="13">
                  <c:v>2187.5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Скважина_расчет!$M$16:$M$36</c:f>
              <c:numCache>
                <c:formatCode>General</c:formatCode>
                <c:ptCount val="21"/>
                <c:pt idx="0">
                  <c:v>60.000000000000007</c:v>
                </c:pt>
                <c:pt idx="1">
                  <c:v>61.875000000000007</c:v>
                </c:pt>
                <c:pt idx="2">
                  <c:v>63.750000000000007</c:v>
                </c:pt>
                <c:pt idx="3">
                  <c:v>64.285714285714292</c:v>
                </c:pt>
                <c:pt idx="4">
                  <c:v>65.625</c:v>
                </c:pt>
                <c:pt idx="5">
                  <c:v>67.5</c:v>
                </c:pt>
                <c:pt idx="6">
                  <c:v>69.375</c:v>
                </c:pt>
                <c:pt idx="7">
                  <c:v>71.250000000000014</c:v>
                </c:pt>
                <c:pt idx="8">
                  <c:v>72.857142857142861</c:v>
                </c:pt>
                <c:pt idx="9">
                  <c:v>73.125</c:v>
                </c:pt>
                <c:pt idx="10">
                  <c:v>75</c:v>
                </c:pt>
                <c:pt idx="11">
                  <c:v>75.428571428571431</c:v>
                </c:pt>
                <c:pt idx="12">
                  <c:v>76.875</c:v>
                </c:pt>
                <c:pt idx="13">
                  <c:v>78.75</c:v>
                </c:pt>
                <c:pt idx="14">
                  <c:v>80.625</c:v>
                </c:pt>
                <c:pt idx="15">
                  <c:v>81.428571428571431</c:v>
                </c:pt>
                <c:pt idx="16">
                  <c:v>82.5</c:v>
                </c:pt>
                <c:pt idx="17">
                  <c:v>84.375</c:v>
                </c:pt>
                <c:pt idx="18">
                  <c:v>86.25</c:v>
                </c:pt>
                <c:pt idx="19">
                  <c:v>88.125</c:v>
                </c:pt>
                <c:pt idx="20">
                  <c:v>90</c:v>
                </c:pt>
              </c:numCache>
            </c:numRef>
          </c:xVal>
          <c:yVal>
            <c:numRef>
              <c:f>Скважина_расчет!$K$16:$K$36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1800</c:v>
                </c:pt>
                <c:pt idx="12">
                  <c:v>1968.75</c:v>
                </c:pt>
                <c:pt idx="13">
                  <c:v>2187.5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Скважина_расчет!$J$16:$J$36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Скважина_расчет!$H$16:$H$36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0.xml><?xml version="1.0" encoding="utf-8"?>
<formControlPr xmlns="http://schemas.microsoft.com/office/spreadsheetml/2009/9/main" objectType="Drop" dropLines="6" dropStyle="combo" dx="22" fmlaLink="$AB$3" fmlaRange="$AC$3:$AC$8" noThreeD="1" sel="2" val="0"/>
</file>

<file path=xl/ctrlProps/ctrlProp11.xml><?xml version="1.0" encoding="utf-8"?>
<formControlPr xmlns="http://schemas.microsoft.com/office/spreadsheetml/2009/9/main" objectType="Drop" dropLines="3" dropStyle="combo" dx="22" fmlaLink="$AG$3" fmlaRange="$AH$3:$AH$5" noThreeD="1" sel="1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7</xdr:row>
          <xdr:rowOff>200025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209550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419020</xdr:colOff>
      <xdr:row>38</xdr:row>
      <xdr:rowOff>127064</xdr:rowOff>
    </xdr:from>
    <xdr:to>
      <xdr:col>17</xdr:col>
      <xdr:colOff>259719</xdr:colOff>
      <xdr:row>67</xdr:row>
      <xdr:rowOff>2365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357743</xdr:colOff>
      <xdr:row>15</xdr:row>
      <xdr:rowOff>69721</xdr:rowOff>
    </xdr:from>
    <xdr:to>
      <xdr:col>30</xdr:col>
      <xdr:colOff>38881</xdr:colOff>
      <xdr:row>46</xdr:row>
      <xdr:rowOff>142227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77562</xdr:colOff>
      <xdr:row>15</xdr:row>
      <xdr:rowOff>59872</xdr:rowOff>
    </xdr:from>
    <xdr:to>
      <xdr:col>37</xdr:col>
      <xdr:colOff>335870</xdr:colOff>
      <xdr:row>46</xdr:row>
      <xdr:rowOff>164646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Encode_string"/>
      <definedName name="MF_Mumix_cP"/>
      <definedName name="MF_Qmix_m3day"/>
      <definedName name="MF_Rhomix_kgm3"/>
      <definedName name="PVT_Bg_m3m3"/>
      <definedName name="PVT_Bo_m3m3"/>
      <definedName name="PVT_Bw_m3m3"/>
      <definedName name="PVT_Encode_string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  <definedName name="Well_Encode_string"/>
      <definedName name="Well_Plin_Pwf_atma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C2" sqref="C2"/>
    </sheetView>
  </sheetViews>
  <sheetFormatPr defaultRowHeight="15" x14ac:dyDescent="0.25"/>
  <sheetData>
    <row r="1" spans="1:5" x14ac:dyDescent="0.25">
      <c r="A1" t="str">
        <f>"вер "&amp;B1</f>
        <v>вер 7.5</v>
      </c>
      <c r="B1" s="16">
        <v>7.5</v>
      </c>
    </row>
    <row r="2" spans="1:5" x14ac:dyDescent="0.25">
      <c r="A2" t="s">
        <v>161</v>
      </c>
    </row>
    <row r="4" spans="1:5" x14ac:dyDescent="0.25">
      <c r="A4" s="53" t="str">
        <f>"Унифлок "&amp;версия_номер_</f>
        <v>Унифлок 7.5</v>
      </c>
      <c r="B4" s="53"/>
      <c r="C4" s="53"/>
      <c r="D4" s="53"/>
      <c r="E4" s="53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opLeftCell="A61" zoomScale="70" zoomScaleNormal="70" workbookViewId="0">
      <selection activeCell="B59" sqref="B59:B99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11" t="str">
        <f>версия_</f>
        <v>вер 7.5</v>
      </c>
      <c r="J1" s="2" t="s">
        <v>23</v>
      </c>
      <c r="K1" s="2"/>
      <c r="L1" s="2"/>
    </row>
    <row r="2" spans="1:17" ht="18" x14ac:dyDescent="0.25">
      <c r="A2" s="53" t="s">
        <v>0</v>
      </c>
      <c r="B2" s="53"/>
      <c r="C2" s="53"/>
      <c r="D2" s="53"/>
      <c r="E2" s="53"/>
      <c r="J2" s="6" t="s">
        <v>26</v>
      </c>
      <c r="K2" s="9">
        <v>1</v>
      </c>
      <c r="L2" s="5" t="s">
        <v>6</v>
      </c>
    </row>
    <row r="3" spans="1:17" ht="18" customHeight="1" x14ac:dyDescent="0.25">
      <c r="F3" s="54" t="s">
        <v>74</v>
      </c>
      <c r="G3" s="54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55" t="s">
        <v>28</v>
      </c>
      <c r="O7" s="55"/>
      <c r="P7" s="55"/>
      <c r="Q7" s="55"/>
    </row>
    <row r="8" spans="1:17" ht="18" x14ac:dyDescent="0.25">
      <c r="B8" s="14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Скважина_расчет!Ql_scm3day_</f>
        <v>35</v>
      </c>
      <c r="L8" s="5" t="s">
        <v>33</v>
      </c>
      <c r="N8" s="6" t="s">
        <v>29</v>
      </c>
      <c r="O8" s="9">
        <v>0</v>
      </c>
      <c r="P8" s="5"/>
      <c r="Q8" s="2"/>
    </row>
    <row r="9" spans="1:17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Скважина_расчет!wc_perc_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30.099999999999998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52">
        <f>Скважина_расчет!Rp_m3m3_</f>
        <v>100</v>
      </c>
      <c r="L11" s="5" t="s">
        <v>17</v>
      </c>
    </row>
    <row r="12" spans="1:17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25">
      <c r="F13" s="2" t="s">
        <v>5</v>
      </c>
      <c r="G13" s="2"/>
      <c r="H13" s="2"/>
    </row>
    <row r="14" spans="1:17" ht="18" x14ac:dyDescent="0.25">
      <c r="F14" s="5" t="s">
        <v>16</v>
      </c>
      <c r="G14" s="9">
        <v>80</v>
      </c>
      <c r="H14" s="5" t="s">
        <v>75</v>
      </c>
    </row>
    <row r="15" spans="1:17" ht="18" x14ac:dyDescent="0.25">
      <c r="F15" s="5" t="s">
        <v>20</v>
      </c>
      <c r="G15" s="9">
        <v>100</v>
      </c>
      <c r="H15" s="5" t="s">
        <v>2</v>
      </c>
    </row>
    <row r="16" spans="1:17" ht="18" x14ac:dyDescent="0.25">
      <c r="F16" s="7" t="s">
        <v>21</v>
      </c>
      <c r="G16" s="9"/>
      <c r="H16" s="5" t="s">
        <v>17</v>
      </c>
    </row>
    <row r="17" spans="2:33" ht="18" x14ac:dyDescent="0.25">
      <c r="F17" s="8" t="s">
        <v>22</v>
      </c>
      <c r="G17" s="9"/>
      <c r="H17" s="5" t="s">
        <v>7</v>
      </c>
    </row>
    <row r="20" spans="2:33" x14ac:dyDescent="0.25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25"/>
    <row r="22" spans="2:33" outlineLevel="1" x14ac:dyDescent="0.25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8" outlineLevel="1" x14ac:dyDescent="0.25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8" outlineLevel="1" x14ac:dyDescent="0.25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8" outlineLevel="1" x14ac:dyDescent="0.25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8" outlineLevel="1" x14ac:dyDescent="0.25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8" outlineLevel="1" x14ac:dyDescent="0.35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21.0%</v>
      </c>
      <c r="AE32" s="2"/>
      <c r="AF32" s="2"/>
      <c r="AG32" s="2"/>
    </row>
    <row r="33" spans="2:33" ht="18" outlineLevel="1" x14ac:dyDescent="0.25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0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8" outlineLevel="1" x14ac:dyDescent="0.25">
      <c r="B34" s="5" t="s">
        <v>100</v>
      </c>
      <c r="C34" s="27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29">
        <f>[1]!PVT_Rs_m3m3(P_atma_,T_C_,gamma_gas_,gamma_oil_,gamma_w_,Rsb_m3m3_,,,,,,PVT_correlation_,Ksep_,Psep_atma_,Tsep_C_)</f>
        <v>29.625586135838734</v>
      </c>
      <c r="F34" s="30">
        <f t="shared" si="0"/>
        <v>-0.5774037294520562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0.20985706791754621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1.287833096954804</v>
      </c>
      <c r="W34" s="30">
        <f>(V34-C26)/(V34-1)</f>
        <v>0</v>
      </c>
      <c r="X34" s="2">
        <v>2</v>
      </c>
      <c r="Z34" s="8" t="s">
        <v>83</v>
      </c>
      <c r="AA34" s="33">
        <f>ABS(U36)</f>
        <v>0</v>
      </c>
      <c r="AB34" s="33">
        <f>ABS(W36)</f>
        <v>0</v>
      </c>
      <c r="AD34" s="2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2"/>
      <c r="AF34" s="2"/>
      <c r="AG34" s="2"/>
    </row>
    <row r="35" spans="2:33" ht="18" outlineLevel="1" x14ac:dyDescent="0.25">
      <c r="B35" s="5" t="s">
        <v>104</v>
      </c>
      <c r="C35" s="26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29">
        <f>[1]!PVT_Bo_m3m3(P_atma_,T_C_,gamma_gas_,gamma_oil_,gamma_w_,Rsb_m3m3_,,,,,,PVT_correlation_,Ksep_,Psep_atma_,Tsep_C_)</f>
        <v>1.076527064194055</v>
      </c>
      <c r="F35" s="30">
        <f t="shared" si="0"/>
        <v>-3.3766479855983168E-2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762.97043934947192</v>
      </c>
      <c r="W35" s="30">
        <f>(V35-C27)/V35</f>
        <v>3.8166850827630654E-2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8" outlineLevel="1" x14ac:dyDescent="0.25">
      <c r="B36" s="5" t="s">
        <v>107</v>
      </c>
      <c r="C36" s="22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29">
        <f>[1]!PVT_Rhoo_kgm3(P_atma_,T_C_,gamma_gas_,gamma_oil_,gamma_w_,Rsb_m3m3_,,,,,,PVT_correlation_,Ksep_,Psep_atma_,Tsep_C_)</f>
        <v>822.39967247857055</v>
      </c>
      <c r="F36" s="30">
        <f t="shared" si="0"/>
        <v>1.667979153452058E-2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0.76612647633959408</v>
      </c>
      <c r="W36" s="30">
        <f>(V36-C28)/V36</f>
        <v>0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8" outlineLevel="1" x14ac:dyDescent="0.25">
      <c r="B37" s="5" t="s">
        <v>111</v>
      </c>
      <c r="C37" s="27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29">
        <f>[1]!PVT_Muo_cP(P_atma_,T_C_,gamma_gas_,gamma_oil_,gamma_w_,Rsb_m3m3_,,,,,,PVT_correlation_,Ksep_,Psep_atma_,Tsep_C_)</f>
        <v>4.448291156906401</v>
      </c>
      <c r="F37" s="30">
        <f t="shared" si="0"/>
        <v>0.2297839183262913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8" outlineLevel="1" x14ac:dyDescent="0.25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3.8166850827630654E-2</v>
      </c>
    </row>
    <row r="39" spans="2:33" ht="18" outlineLevel="1" x14ac:dyDescent="0.25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8" outlineLevel="1" x14ac:dyDescent="0.25">
      <c r="B40" s="5" t="s">
        <v>174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25">
      <c r="L41" s="31"/>
    </row>
    <row r="42" spans="2:33" outlineLevel="1" x14ac:dyDescent="0.25">
      <c r="B42" s="2" t="s">
        <v>120</v>
      </c>
      <c r="C42" s="2"/>
      <c r="D42" s="2"/>
      <c r="E42" s="28"/>
      <c r="F42" s="31"/>
      <c r="L42" s="31"/>
    </row>
    <row r="43" spans="2:33" ht="18" outlineLevel="1" x14ac:dyDescent="0.25">
      <c r="B43" s="7" t="s">
        <v>121</v>
      </c>
      <c r="C43" s="40">
        <f>[1]!MF_Qmix_m3day(Ql_scm3day_,wc_perc_,P_atma_,T_C_,gamma_gas_,gamma_oil_,gamma_w_,Rsb_m3m3_,Rp_m3m3_,Pb_atma_,Tres_C_,Bob_m3m3_,mu_cP_,PVT_correlation_,Ksep_,Psep_atma_,Tsep_C_)</f>
        <v>100.2576544918729</v>
      </c>
      <c r="D43" s="5" t="s">
        <v>33</v>
      </c>
      <c r="E43" s="28"/>
      <c r="F43" s="31"/>
      <c r="L43" s="31"/>
    </row>
    <row r="44" spans="2:33" ht="18" outlineLevel="1" x14ac:dyDescent="0.25">
      <c r="B44" s="5" t="s">
        <v>122</v>
      </c>
      <c r="C44" s="40">
        <f>[1]!MF_Rhomix_kgm3(Ql_scm3day_,wc_perc_,P_atma_,T_C_,gamma_gas_,gamma_oil_,gamma_w_,Rsb_m3m3_,Rp_m3m3_,Pb_atma_,Tres_C_,Bob_m3m3_,mu_cP_,PVT_correlation_,Ksep_,Psep_atma_,Tsep_C_)</f>
        <v>330.08118101029993</v>
      </c>
      <c r="D44" s="5" t="s">
        <v>82</v>
      </c>
      <c r="E44" s="28"/>
      <c r="F44" s="31"/>
      <c r="X44">
        <f>gamma_gas_</f>
        <v>0.7</v>
      </c>
    </row>
    <row r="45" spans="2:33" ht="18" outlineLevel="1" x14ac:dyDescent="0.25">
      <c r="B45" s="5" t="s">
        <v>123</v>
      </c>
      <c r="C45" s="40">
        <f>[1]!MF_Mumix_cP(Ql_scm3day_,wc_perc_,P_atma_,T_C_,gamma_gas_,gamma_oil_,gamma_w_,Rsb_m3m3_,Rp_m3m3_,Pb_atma_,Tres_C_,Bob_m3m3_,mu_cP_,PVT_correlation_,Ksep_,Psep_atma_,Tsep_C_)</f>
        <v>1.3355322038116846</v>
      </c>
      <c r="D45" s="5" t="s">
        <v>7</v>
      </c>
      <c r="E45" s="28"/>
      <c r="F45" s="31"/>
    </row>
    <row r="46" spans="2:33" ht="18" outlineLevel="1" x14ac:dyDescent="0.25">
      <c r="B46" s="5" t="s">
        <v>124</v>
      </c>
      <c r="E46" s="31"/>
      <c r="F46" s="31"/>
    </row>
    <row r="47" spans="2:33" ht="18" outlineLevel="1" x14ac:dyDescent="0.25">
      <c r="B47" s="5" t="s">
        <v>125</v>
      </c>
      <c r="E47" s="31"/>
      <c r="F47" s="31"/>
    </row>
    <row r="48" spans="2:33" ht="18" outlineLevel="1" x14ac:dyDescent="0.25">
      <c r="B48" s="5" t="s">
        <v>126</v>
      </c>
      <c r="E48" s="31"/>
      <c r="F48" s="31"/>
    </row>
    <row r="49" spans="1:29" outlineLevel="1" x14ac:dyDescent="0.25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1"/>
      <c r="F49" s="31"/>
    </row>
    <row r="50" spans="1:29" outlineLevel="1" x14ac:dyDescent="0.25">
      <c r="E50" s="31"/>
      <c r="F50" s="31"/>
    </row>
    <row r="51" spans="1:29" outlineLevel="1" x14ac:dyDescent="0.25">
      <c r="E51" s="31"/>
      <c r="F51" s="31"/>
    </row>
    <row r="52" spans="1:29" outlineLevel="1" x14ac:dyDescent="0.25"/>
    <row r="53" spans="1:29" outlineLevel="1" x14ac:dyDescent="0.25"/>
    <row r="54" spans="1:29" x14ac:dyDescent="0.25">
      <c r="L54" s="31"/>
    </row>
    <row r="55" spans="1:29" x14ac:dyDescent="0.25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25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25">
      <c r="L57" s="31"/>
      <c r="M57" s="31"/>
    </row>
    <row r="58" spans="1:29" ht="18" outlineLevel="1" x14ac:dyDescent="0.25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25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25">
      <c r="A60" s="44">
        <v>2</v>
      </c>
      <c r="B60" s="4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25">
      <c r="A61" s="44">
        <v>3</v>
      </c>
      <c r="B61" s="46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25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25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25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25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25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25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25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25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25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25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25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25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25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25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25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25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25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25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25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25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25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25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25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25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25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25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25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25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25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25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25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25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25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25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25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25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25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25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209550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topLeftCell="A4" zoomScale="70" zoomScaleNormal="70" workbookViewId="0">
      <selection activeCell="B17" sqref="B17:C32"/>
    </sheetView>
  </sheetViews>
  <sheetFormatPr defaultRowHeight="15" x14ac:dyDescent="0.25"/>
  <sheetData>
    <row r="1" spans="1:16" x14ac:dyDescent="0.25">
      <c r="A1" t="str">
        <f>версия_</f>
        <v>вер 7.5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86B02-2E8C-4779-BD89-0D643EB11B24}">
  <sheetPr codeName="Лист7"/>
  <dimension ref="A1:C20"/>
  <sheetViews>
    <sheetView workbookViewId="0">
      <selection activeCell="G52" sqref="G52"/>
    </sheetView>
  </sheetViews>
  <sheetFormatPr defaultRowHeight="15" x14ac:dyDescent="0.25"/>
  <cols>
    <col min="2" max="2" width="13.28515625" customWidth="1"/>
    <col min="3" max="3" width="10.5703125" customWidth="1"/>
  </cols>
  <sheetData>
    <row r="1" spans="1:3" x14ac:dyDescent="0.25">
      <c r="A1" t="str">
        <f>версия_</f>
        <v>вер 7.5</v>
      </c>
    </row>
    <row r="3" spans="1:3" x14ac:dyDescent="0.25">
      <c r="B3" t="s">
        <v>178</v>
      </c>
    </row>
    <row r="5" spans="1:3" x14ac:dyDescent="0.25">
      <c r="B5" t="s">
        <v>179</v>
      </c>
      <c r="C5">
        <v>3</v>
      </c>
    </row>
    <row r="7" spans="1:3" x14ac:dyDescent="0.25">
      <c r="B7" t="s">
        <v>181</v>
      </c>
    </row>
    <row r="9" spans="1:3" x14ac:dyDescent="0.25">
      <c r="B9" s="5" t="s">
        <v>170</v>
      </c>
      <c r="C9" s="5" t="s">
        <v>180</v>
      </c>
    </row>
    <row r="10" spans="1:3" x14ac:dyDescent="0.25">
      <c r="B10" s="5" t="s">
        <v>38</v>
      </c>
      <c r="C10" s="5" t="s">
        <v>41</v>
      </c>
    </row>
    <row r="11" spans="1:3" x14ac:dyDescent="0.25">
      <c r="B11" s="9">
        <v>500</v>
      </c>
      <c r="C11" s="9">
        <v>0</v>
      </c>
    </row>
    <row r="12" spans="1:3" x14ac:dyDescent="0.25">
      <c r="B12" s="9">
        <v>1500</v>
      </c>
      <c r="C12" s="9">
        <v>4</v>
      </c>
    </row>
    <row r="13" spans="1:3" x14ac:dyDescent="0.25">
      <c r="B13" s="9">
        <v>1800</v>
      </c>
      <c r="C13" s="9">
        <v>3</v>
      </c>
    </row>
    <row r="14" spans="1:3" x14ac:dyDescent="0.25">
      <c r="B14" s="9"/>
      <c r="C14" s="9"/>
    </row>
    <row r="15" spans="1:3" x14ac:dyDescent="0.25">
      <c r="B15" s="9"/>
      <c r="C15" s="9"/>
    </row>
    <row r="16" spans="1:3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tabSelected="1" zoomScale="70" zoomScaleNormal="70" workbookViewId="0">
      <selection activeCell="U21" sqref="U21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7.5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1</v>
      </c>
      <c r="L2" t="s">
        <v>142</v>
      </c>
      <c r="O2">
        <f>AG3-1</f>
        <v>0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2</v>
      </c>
      <c r="AC3" t="s">
        <v>145</v>
      </c>
      <c r="AG3">
        <v>1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50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35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50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180</v>
      </c>
      <c r="R7" s="5" t="s">
        <v>44</v>
      </c>
      <c r="AC7" t="s">
        <v>149</v>
      </c>
    </row>
    <row r="8" spans="1:34" ht="18" x14ac:dyDescent="0.35">
      <c r="B8" s="7" t="s">
        <v>34</v>
      </c>
      <c r="C8" s="12" t="s">
        <v>63</v>
      </c>
      <c r="D8" s="5" t="s">
        <v>35</v>
      </c>
      <c r="P8" s="14" t="s">
        <v>176</v>
      </c>
      <c r="Q8" s="9">
        <v>150</v>
      </c>
      <c r="R8" s="5" t="s">
        <v>44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49.992844604946939</v>
      </c>
      <c r="R10" s="5" t="s">
        <v>44</v>
      </c>
      <c r="S10" s="14" t="s">
        <v>55</v>
      </c>
      <c r="T10" s="25">
        <v>60.000000000000007</v>
      </c>
      <c r="U10" s="5" t="s">
        <v>25</v>
      </c>
    </row>
    <row r="11" spans="1:34" ht="18" x14ac:dyDescent="0.35">
      <c r="P11" s="14" t="s">
        <v>46</v>
      </c>
      <c r="Q11" s="25">
        <v>49.992844604946939</v>
      </c>
      <c r="R11" s="5" t="s">
        <v>44</v>
      </c>
      <c r="S11" s="14" t="s">
        <v>56</v>
      </c>
      <c r="T11" s="25">
        <v>60.000000000000007</v>
      </c>
      <c r="U11" s="5" t="s">
        <v>25</v>
      </c>
    </row>
    <row r="12" spans="1:34" ht="18" x14ac:dyDescent="0.35">
      <c r="M12" t="s">
        <v>63</v>
      </c>
      <c r="P12" s="14" t="s">
        <v>47</v>
      </c>
      <c r="Q12" s="25">
        <v>145.38736329384395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186</v>
      </c>
      <c r="N15" s="1" t="s">
        <v>182</v>
      </c>
      <c r="O15" s="1" t="s">
        <v>183</v>
      </c>
      <c r="P15" s="1"/>
      <c r="Q15" s="1" t="s">
        <v>184</v>
      </c>
      <c r="R15" s="1"/>
      <c r="S15" s="1" t="s">
        <v>185</v>
      </c>
      <c r="U15" s="5" t="s">
        <v>170</v>
      </c>
      <c r="V15" s="1" t="s">
        <v>171</v>
      </c>
      <c r="W15" t="s">
        <v>177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60.000000000000007</v>
      </c>
      <c r="N16">
        <v>0</v>
      </c>
      <c r="O16">
        <v>49.992844604946939</v>
      </c>
      <c r="P16">
        <v>0</v>
      </c>
      <c r="Q16">
        <v>60.000000000000007</v>
      </c>
      <c r="R16">
        <v>0</v>
      </c>
      <c r="S16">
        <v>0</v>
      </c>
      <c r="U16">
        <v>0</v>
      </c>
      <c r="V16" s="50">
        <f>Pline_out_atma_</f>
        <v>49.992844604946939</v>
      </c>
      <c r="W16">
        <v>0</v>
      </c>
      <c r="X16">
        <v>150</v>
      </c>
    </row>
    <row r="17" spans="2:24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218.75</v>
      </c>
      <c r="M17">
        <v>61.875000000000007</v>
      </c>
      <c r="N17">
        <v>218.75</v>
      </c>
      <c r="O17">
        <v>54.831633503136032</v>
      </c>
      <c r="P17">
        <v>218.75</v>
      </c>
      <c r="Q17">
        <v>61.875000000000007</v>
      </c>
      <c r="U17">
        <v>0</v>
      </c>
      <c r="V17" s="50">
        <f>Pbuf_out_atma_</f>
        <v>49.992844604946939</v>
      </c>
      <c r="W17">
        <v>50</v>
      </c>
      <c r="X17">
        <v>150.64104687834958</v>
      </c>
    </row>
    <row r="18" spans="2:24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437.5</v>
      </c>
      <c r="M18">
        <v>63.750000000000007</v>
      </c>
      <c r="N18">
        <v>437.5</v>
      </c>
      <c r="O18">
        <v>59.936175968792753</v>
      </c>
      <c r="P18">
        <v>437.5</v>
      </c>
      <c r="Q18">
        <v>63.750000000000007</v>
      </c>
      <c r="U18">
        <f>Hperf_m_</f>
        <v>3500</v>
      </c>
      <c r="V18" s="50">
        <f>Pwf_out_atma_</f>
        <v>145.38736329384395</v>
      </c>
      <c r="W18">
        <v>100</v>
      </c>
      <c r="X18">
        <v>151.28209375669917</v>
      </c>
    </row>
    <row r="19" spans="2:24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500</v>
      </c>
      <c r="M19">
        <v>64.285714285714292</v>
      </c>
      <c r="N19">
        <v>500</v>
      </c>
      <c r="O19">
        <v>61.433860078832701</v>
      </c>
      <c r="P19">
        <v>500</v>
      </c>
      <c r="Q19">
        <v>64.285714285714292</v>
      </c>
      <c r="W19">
        <v>150</v>
      </c>
      <c r="X19">
        <v>151.92465702125725</v>
      </c>
    </row>
    <row r="20" spans="2:24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656.25</v>
      </c>
      <c r="M20">
        <v>65.625</v>
      </c>
      <c r="N20">
        <v>656.25</v>
      </c>
      <c r="O20">
        <v>64.5567932397433</v>
      </c>
      <c r="P20">
        <v>656.25</v>
      </c>
      <c r="Q20">
        <v>65.625</v>
      </c>
      <c r="W20">
        <v>200</v>
      </c>
      <c r="X20">
        <v>152.56722028581535</v>
      </c>
    </row>
    <row r="21" spans="2:24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875</v>
      </c>
      <c r="M21">
        <v>67.5</v>
      </c>
      <c r="N21">
        <v>875</v>
      </c>
      <c r="O21">
        <v>69.079211782083149</v>
      </c>
      <c r="P21">
        <v>875</v>
      </c>
      <c r="Q21">
        <v>67.5</v>
      </c>
      <c r="W21">
        <v>300</v>
      </c>
      <c r="X21">
        <v>153.85534753625615</v>
      </c>
    </row>
    <row r="22" spans="2:24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1093.75</v>
      </c>
      <c r="M22">
        <v>69.375</v>
      </c>
      <c r="N22">
        <v>1093.75</v>
      </c>
      <c r="O22">
        <v>73.66086347752622</v>
      </c>
      <c r="P22">
        <v>1093.75</v>
      </c>
      <c r="Q22">
        <v>69.375</v>
      </c>
      <c r="W22">
        <v>400</v>
      </c>
      <c r="X22">
        <v>155.1464431567374</v>
      </c>
    </row>
    <row r="23" spans="2:24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1312.5</v>
      </c>
      <c r="M23">
        <v>71.250000000000014</v>
      </c>
      <c r="N23">
        <v>1312.5</v>
      </c>
      <c r="O23">
        <v>78.18932808537852</v>
      </c>
      <c r="P23">
        <v>1312.5</v>
      </c>
      <c r="Q23">
        <v>71.250000000000014</v>
      </c>
      <c r="W23">
        <v>500</v>
      </c>
      <c r="X23">
        <v>156.44047447079603</v>
      </c>
    </row>
    <row r="24" spans="2:24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1500</v>
      </c>
      <c r="M24">
        <v>72.857142857142861</v>
      </c>
      <c r="N24">
        <v>1500</v>
      </c>
      <c r="O24">
        <v>82.013879851157768</v>
      </c>
      <c r="P24">
        <v>1500</v>
      </c>
      <c r="Q24">
        <v>72.857142857142861</v>
      </c>
      <c r="W24">
        <v>600</v>
      </c>
      <c r="X24">
        <v>157.73740845325545</v>
      </c>
    </row>
    <row r="25" spans="2:24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1531.25</v>
      </c>
      <c r="M25">
        <v>73.125</v>
      </c>
      <c r="N25">
        <v>1531.25</v>
      </c>
      <c r="O25">
        <v>83.164940904646173</v>
      </c>
      <c r="P25">
        <v>1531.25</v>
      </c>
      <c r="Q25">
        <v>73.125</v>
      </c>
      <c r="W25">
        <v>700</v>
      </c>
      <c r="X25">
        <v>159.03721170810744</v>
      </c>
    </row>
    <row r="26" spans="2:24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1750</v>
      </c>
      <c r="M26">
        <v>75</v>
      </c>
      <c r="N26">
        <v>1750</v>
      </c>
      <c r="O26">
        <v>91.1383533989857</v>
      </c>
      <c r="P26">
        <v>1750</v>
      </c>
      <c r="Q26">
        <v>75</v>
      </c>
      <c r="W26">
        <v>800</v>
      </c>
      <c r="X26">
        <v>160.33985044777253</v>
      </c>
    </row>
    <row r="27" spans="2:24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1800</v>
      </c>
      <c r="M27">
        <v>75.428571428571431</v>
      </c>
      <c r="N27">
        <v>1800</v>
      </c>
      <c r="O27">
        <v>92.93648708882985</v>
      </c>
      <c r="P27">
        <v>1800</v>
      </c>
      <c r="Q27">
        <v>75.428571428571431</v>
      </c>
      <c r="W27">
        <v>900</v>
      </c>
      <c r="X27">
        <v>161.64529047369919</v>
      </c>
    </row>
    <row r="28" spans="2:24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1968.75</v>
      </c>
      <c r="M28">
        <v>76.875</v>
      </c>
      <c r="N28">
        <v>1968.75</v>
      </c>
      <c r="O28">
        <v>102.30951771690845</v>
      </c>
      <c r="P28">
        <v>1968.75</v>
      </c>
      <c r="Q28">
        <v>76.875</v>
      </c>
      <c r="W28">
        <v>1000</v>
      </c>
      <c r="X28">
        <v>162.95349715826043</v>
      </c>
    </row>
    <row r="29" spans="2:24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2187.5</v>
      </c>
      <c r="M29">
        <v>78.75</v>
      </c>
      <c r="N29">
        <v>2187.5</v>
      </c>
      <c r="O29">
        <v>113.91084577523955</v>
      </c>
      <c r="P29">
        <v>2187.5</v>
      </c>
      <c r="Q29">
        <v>78.75</v>
      </c>
      <c r="W29">
        <v>1100</v>
      </c>
      <c r="X29">
        <v>164.26443542790551</v>
      </c>
    </row>
    <row r="30" spans="2:24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2406.25</v>
      </c>
      <c r="M30">
        <v>80.625</v>
      </c>
      <c r="N30">
        <v>2406.25</v>
      </c>
      <c r="O30">
        <v>124.8522293923447</v>
      </c>
      <c r="P30">
        <v>2406.25</v>
      </c>
      <c r="Q30">
        <v>80.625</v>
      </c>
      <c r="W30">
        <v>1200</v>
      </c>
      <c r="X30">
        <v>165.5780697475235</v>
      </c>
    </row>
    <row r="31" spans="2:24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2500</v>
      </c>
      <c r="M31">
        <v>81.428571428571431</v>
      </c>
      <c r="N31">
        <v>2500</v>
      </c>
      <c r="O31">
        <v>129.34088577972722</v>
      </c>
      <c r="P31">
        <v>2500</v>
      </c>
      <c r="Q31">
        <v>81.428571428571431</v>
      </c>
      <c r="W31">
        <v>1300</v>
      </c>
      <c r="X31">
        <v>166.89436410597438</v>
      </c>
    </row>
    <row r="32" spans="2:24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2625</v>
      </c>
      <c r="M32">
        <v>82.5</v>
      </c>
      <c r="N32">
        <v>2625</v>
      </c>
      <c r="O32">
        <v>135.1163943019863</v>
      </c>
      <c r="P32">
        <v>2625</v>
      </c>
      <c r="Q32">
        <v>82.5</v>
      </c>
      <c r="W32">
        <v>1400</v>
      </c>
      <c r="X32">
        <v>168.21328200274371</v>
      </c>
    </row>
    <row r="33" spans="2:24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2843.75</v>
      </c>
      <c r="M33">
        <v>84.375</v>
      </c>
      <c r="N33">
        <v>2843.75</v>
      </c>
      <c r="O33">
        <v>141.3692033335507</v>
      </c>
      <c r="P33">
        <v>2843.75</v>
      </c>
      <c r="Q33">
        <v>84.375</v>
      </c>
      <c r="W33">
        <v>1500</v>
      </c>
      <c r="X33">
        <v>169.53478643567539</v>
      </c>
    </row>
    <row r="34" spans="2:24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3062.5</v>
      </c>
      <c r="M34">
        <v>86.25</v>
      </c>
      <c r="N34">
        <v>3062.5</v>
      </c>
      <c r="O34">
        <v>142.71062252582107</v>
      </c>
      <c r="P34">
        <v>3062.5</v>
      </c>
      <c r="Q34">
        <v>86.25</v>
      </c>
      <c r="W34">
        <v>1600</v>
      </c>
      <c r="X34">
        <v>170.85883988973904</v>
      </c>
    </row>
    <row r="35" spans="2:24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3281.25</v>
      </c>
      <c r="M35">
        <v>88.125</v>
      </c>
      <c r="N35">
        <v>3281.25</v>
      </c>
      <c r="O35">
        <v>144.05000813990083</v>
      </c>
      <c r="P35">
        <v>3281.25</v>
      </c>
      <c r="Q35">
        <v>88.125</v>
      </c>
      <c r="W35">
        <v>1700</v>
      </c>
      <c r="X35">
        <v>172.18540432678608</v>
      </c>
    </row>
    <row r="36" spans="2:24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145.38736329384395</v>
      </c>
      <c r="P36">
        <v>3500</v>
      </c>
      <c r="Q36">
        <v>90</v>
      </c>
      <c r="W36">
        <v>1800</v>
      </c>
      <c r="X36">
        <v>173.51444117625192</v>
      </c>
    </row>
    <row r="37" spans="2:24" x14ac:dyDescent="0.25">
      <c r="B37" s="2"/>
      <c r="C37" s="18">
        <v>2500</v>
      </c>
      <c r="D37" s="18">
        <v>176.72349338287597</v>
      </c>
      <c r="E37" s="18">
        <v>53</v>
      </c>
    </row>
    <row r="38" spans="2:24" x14ac:dyDescent="0.25">
      <c r="C38" s="18">
        <v>2625</v>
      </c>
      <c r="D38" s="18">
        <v>186.511102757185</v>
      </c>
      <c r="E38" s="18">
        <v>54</v>
      </c>
    </row>
    <row r="39" spans="2:24" x14ac:dyDescent="0.25">
      <c r="C39" s="18">
        <v>2750</v>
      </c>
      <c r="D39" s="18">
        <v>196.298712131494</v>
      </c>
      <c r="E39" s="18">
        <v>55</v>
      </c>
    </row>
    <row r="40" spans="2:24" x14ac:dyDescent="0.25">
      <c r="C40" s="18">
        <v>2875</v>
      </c>
      <c r="D40" s="18">
        <v>206.08632150580399</v>
      </c>
      <c r="E40" s="18">
        <v>56</v>
      </c>
    </row>
    <row r="41" spans="2:24" x14ac:dyDescent="0.25">
      <c r="C41" s="18">
        <v>3000</v>
      </c>
      <c r="D41" s="18">
        <v>215.87393088011299</v>
      </c>
      <c r="E41" s="18">
        <v>57</v>
      </c>
    </row>
    <row r="42" spans="2:24" x14ac:dyDescent="0.25">
      <c r="C42" s="18">
        <v>3125</v>
      </c>
      <c r="D42" s="18">
        <v>225.66154025442199</v>
      </c>
      <c r="E42" s="18">
        <v>58</v>
      </c>
    </row>
    <row r="43" spans="2:24" x14ac:dyDescent="0.25">
      <c r="C43" s="18">
        <v>3250</v>
      </c>
      <c r="D43" s="18">
        <v>235.44914962873099</v>
      </c>
      <c r="E43" s="18">
        <v>59</v>
      </c>
    </row>
    <row r="44" spans="2:24" x14ac:dyDescent="0.2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86CF-BB9C-4CD7-9CC0-E48B6692CDD7}">
  <sheetPr codeName="Лист6"/>
  <dimension ref="B3:I10"/>
  <sheetViews>
    <sheetView workbookViewId="0">
      <selection activeCell="B8" sqref="B8"/>
    </sheetView>
  </sheetViews>
  <sheetFormatPr defaultRowHeight="15" x14ac:dyDescent="0.25"/>
  <sheetData>
    <row r="3" spans="2:9" x14ac:dyDescent="0.25">
      <c r="B3" t="str">
        <f>[1]!Well_Encode_string()</f>
        <v>Hperf_m:2000,00000;Hpump_m:1800,00000;Udl_m:0,00000;dCas_mm:150,00000;dTub_mm:72,00000;dchoke_mm:15,00000;roughness_m:0,00010;Tbh_C:85,00000;Twh_C:25,00000;</v>
      </c>
    </row>
    <row r="4" spans="2:9" x14ac:dyDescent="0.25">
      <c r="B4" t="str">
        <f>[1]!PVT_Encode_string()</f>
        <v>gamma_gas:0,600;gamma_oil:0,860;gamma_wat:1,000;rsb_m3m3:100,000;Rp_m3m3:-1,000;Pb_atma:-1,000;Tres_C:90,000;Bob_m3m3:-1,000;Muob_cP:-1,000;PVTcorr:0;Ksep_fr:0,000;PKsep_atma:-1,000;TKsep_C:-1,000;</v>
      </c>
    </row>
    <row r="5" spans="2:9" x14ac:dyDescent="0.25">
      <c r="B5" t="str">
        <f>[1]!ESP_Encode_string(1006,2000,50)</f>
        <v>ESP_ID:1006,00000;HeadNom_m:2000,00000;ESPfreq_Hz:50,00000;ESP_U_V:1000,00000;MotorPowerNom_kW:30,00000;Tint_C:85,00000;Tdis_C:25,00000;KsepGS_fr:0,00000;</v>
      </c>
    </row>
    <row r="8" spans="2:9" x14ac:dyDescent="0.25">
      <c r="B8" t="e">
        <f t="array" ref="B8:I10">[1]!Well_Plin_Pwf_atma(200,50,0,B3,B4,B5)</f>
        <v>#VALUE!</v>
      </c>
      <c r="C8" t="e">
        <v>#VALUE!</v>
      </c>
      <c r="D8" t="e">
        <v>#VALUE!</v>
      </c>
      <c r="E8" t="e">
        <v>#VALUE!</v>
      </c>
      <c r="F8" t="e">
        <v>#VALUE!</v>
      </c>
      <c r="G8" t="e">
        <v>#VALUE!</v>
      </c>
      <c r="H8" t="e">
        <v>#VALUE!</v>
      </c>
      <c r="I8" t="e">
        <v>#VALUE!</v>
      </c>
    </row>
    <row r="9" spans="2:9" x14ac:dyDescent="0.25">
      <c r="B9" t="e">
        <v>#VALUE!</v>
      </c>
      <c r="C9" t="e">
        <v>#VALUE!</v>
      </c>
      <c r="D9" t="e">
        <v>#VALUE!</v>
      </c>
      <c r="E9" t="e">
        <v>#VALUE!</v>
      </c>
      <c r="F9" t="e">
        <v>#VALUE!</v>
      </c>
      <c r="G9" t="e">
        <v>#VALUE!</v>
      </c>
      <c r="H9" t="e">
        <v>#VALUE!</v>
      </c>
      <c r="I9" t="e">
        <v>#VALUE!</v>
      </c>
    </row>
    <row r="10" spans="2:9" x14ac:dyDescent="0.25">
      <c r="B10" t="e">
        <v>#VALUE!</v>
      </c>
      <c r="C10" t="e">
        <v>#VALUE!</v>
      </c>
      <c r="D10" t="e">
        <v>#VALUE!</v>
      </c>
      <c r="E10" t="e">
        <v>#VALUE!</v>
      </c>
      <c r="F10" t="e">
        <v>#VALUE!</v>
      </c>
      <c r="G10" t="e">
        <v>#VALUE!</v>
      </c>
      <c r="H10" t="e">
        <v>#VALUE!</v>
      </c>
      <c r="I10" t="e"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115</vt:i4>
      </vt:variant>
    </vt:vector>
  </HeadingPairs>
  <TitlesOfParts>
    <vt:vector size="121" baseType="lpstr">
      <vt:lpstr>Унифлок</vt:lpstr>
      <vt:lpstr>PVT</vt:lpstr>
      <vt:lpstr>Конструкция фонтан</vt:lpstr>
      <vt:lpstr>GasLift</vt:lpstr>
      <vt:lpstr>Скважина_расчет</vt:lpstr>
      <vt:lpstr>Лист1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d_valves_mm_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Скважина_расчет!hmes_tamb_out_m_</vt:lpstr>
      <vt:lpstr>hmes_tamb_out_m_</vt:lpstr>
      <vt:lpstr>Hmes_valves_m_</vt:lpstr>
      <vt:lpstr>Hout_</vt:lpstr>
      <vt:lpstr>Hperf_m_</vt:lpstr>
      <vt:lpstr>Htub_m_</vt:lpstr>
      <vt:lpstr>hvert_incl_m_</vt:lpstr>
      <vt:lpstr>hvert_incl_out_m_</vt:lpstr>
      <vt:lpstr>Скважина_расчет!hvert_tamb_out_m_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NumValves_</vt:lpstr>
      <vt:lpstr>PVT!P_atma_</vt:lpstr>
      <vt:lpstr>P_mes_atma_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press_list0_</vt:lpstr>
      <vt:lpstr>press_list1_</vt:lpstr>
      <vt:lpstr>PVT!Psc_atma_</vt:lpstr>
      <vt:lpstr>PVT!Psep_atma_</vt:lpstr>
      <vt:lpstr>PVT!PVT_correlation_</vt:lpstr>
      <vt:lpstr>PVT_selector_</vt:lpstr>
      <vt:lpstr>Pwf_atma_</vt:lpstr>
      <vt:lpstr>Pwf_out_atma_</vt:lpstr>
      <vt:lpstr>PVT!Ql_scm3day_</vt:lpstr>
      <vt:lpstr>Скважина_расчет!Ql_scm3day_</vt:lpstr>
      <vt:lpstr>PVT!Qo_sctday_</vt:lpstr>
      <vt:lpstr>rhoo_list1_</vt:lpstr>
      <vt:lpstr>rhoo_list2_</vt:lpstr>
      <vt:lpstr>rhoo_list3_</vt:lpstr>
      <vt:lpstr>PVT!Rp_m3m3_</vt:lpstr>
      <vt:lpstr>Скважина_расчет!Rp_m3m3_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Скважина_расчет!tamb_out_C_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udl_out_m_</vt:lpstr>
      <vt:lpstr>PVT!wc_perc_</vt:lpstr>
      <vt:lpstr>Скважина_расчет!wc_perc_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2019-03-24T19:36:27Z</dcterms:modified>
</cp:coreProperties>
</file>