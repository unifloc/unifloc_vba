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6923FC52-5A69-41CB-8A5A-80DE38F1562F}" xr6:coauthVersionLast="41" xr6:coauthVersionMax="41" xr10:uidLastSave="{00000000-0000-0000-0000-000000000000}"/>
  <bookViews>
    <workbookView xWindow="-21255" yWindow="9600" windowWidth="20775" windowHeight="1935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GasLift" sheetId="9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_valves_mm_">GasLift!$C$11:$C$20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#REF!</definedName>
    <definedName name="ESP_freq_">#REF!</definedName>
    <definedName name="ESP_head_list_">#REF!</definedName>
    <definedName name="ESP_head_nom_">#REF!</definedName>
    <definedName name="ESP_ID_">#REF!</definedName>
    <definedName name="ESP_name_">#REF!</definedName>
    <definedName name="ESP_power_list_">#REF!</definedName>
    <definedName name="ESP_qmax_">#REF!</definedName>
    <definedName name="ESP_rate_list_">#REF!</definedName>
    <definedName name="ESP_rate_nom_">#REF!</definedName>
    <definedName name="ESP_stages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mes_valves_m_">GasLift!$B$11:$B$20</definedName>
    <definedName name="Hout_">Скважина_расчет!$N$17:$N$36</definedName>
    <definedName name="Hperf_m_">'Конструкция фонтан'!$C$9</definedName>
    <definedName name="Hpump_">#REF!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#REF!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#REF!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B3" i="8"/>
  <c r="B5" i="8"/>
  <c r="B8" i="8" a="1"/>
  <c r="B4" i="8"/>
  <c r="B8" i="8" l="1"/>
  <c r="C8" i="8"/>
  <c r="G8" i="8"/>
  <c r="C9" i="8"/>
  <c r="G9" i="8"/>
  <c r="C10" i="8"/>
  <c r="G10" i="8"/>
  <c r="D8" i="8"/>
  <c r="H8" i="8"/>
  <c r="D9" i="8"/>
  <c r="H9" i="8"/>
  <c r="D10" i="8"/>
  <c r="H10" i="8"/>
  <c r="E8" i="8"/>
  <c r="I8" i="8"/>
  <c r="E9" i="8"/>
  <c r="I9" i="8"/>
  <c r="E10" i="8"/>
  <c r="I10" i="8"/>
  <c r="F8" i="8"/>
  <c r="B9" i="8"/>
  <c r="F9" i="8"/>
  <c r="B10" i="8"/>
  <c r="F10" i="8"/>
  <c r="K11" i="4"/>
  <c r="K9" i="4"/>
  <c r="K8" i="4"/>
  <c r="C44" i="4"/>
  <c r="C37" i="4"/>
  <c r="E35" i="4"/>
  <c r="I35" i="4"/>
  <c r="C40" i="4"/>
  <c r="C49" i="4"/>
  <c r="C32" i="4"/>
  <c r="I37" i="4"/>
  <c r="I36" i="4"/>
  <c r="C33" i="4"/>
  <c r="G23" i="4"/>
  <c r="E32" i="4"/>
  <c r="C36" i="4"/>
  <c r="M34" i="4"/>
  <c r="I34" i="4"/>
  <c r="C23" i="4"/>
  <c r="C28" i="4" s="1"/>
  <c r="T33" i="4"/>
  <c r="C34" i="4"/>
  <c r="C26" i="4"/>
  <c r="E33" i="4"/>
  <c r="I32" i="4"/>
  <c r="V33" i="4"/>
  <c r="M36" i="4"/>
  <c r="E37" i="4"/>
  <c r="E36" i="4"/>
  <c r="T35" i="4"/>
  <c r="C45" i="4"/>
  <c r="M35" i="4"/>
  <c r="M32" i="4"/>
  <c r="C43" i="4"/>
  <c r="M40" i="4"/>
  <c r="E34" i="4"/>
  <c r="I33" i="4"/>
  <c r="M37" i="4"/>
  <c r="M33" i="4"/>
  <c r="C35" i="4"/>
  <c r="V35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T34" i="4"/>
  <c r="C27" i="4"/>
  <c r="V34" i="4"/>
  <c r="T36" i="4"/>
  <c r="V36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<sst xmlns="http://schemas.openxmlformats.org/spreadsheetml/2006/main" count="278" uniqueCount="182">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</sst>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0.80107425964366674</c:v>
                </c:pt>
                <c:pt idx="1">
                  <c:v>0.8716415839764976</c:v>
                </c:pt>
                <c:pt idx="2">
                  <c:v>0.93029194441574181</c:v>
                </c:pt>
                <c:pt idx="3">
                  <c:v>0.97443468748687467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0.97413801667780775</c:v>
                </c:pt>
                <c:pt idx="15">
                  <c:v>0.9603359811376958</c:v>
                </c:pt>
                <c:pt idx="16">
                  <c:v>0.97133278434957582</c:v>
                </c:pt>
                <c:pt idx="17">
                  <c:v>0.97248640123991481</c:v>
                </c:pt>
                <c:pt idx="18">
                  <c:v>0.97361588079655004</c:v>
                </c:pt>
                <c:pt idx="19">
                  <c:v>0.9747223241958255</c:v>
                </c:pt>
                <c:pt idx="20">
                  <c:v>0.97580665766590213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50.075531005859375</c:v>
                </c:pt>
                <c:pt idx="1">
                  <c:v>63.038238021369963</c:v>
                </c:pt>
                <c:pt idx="2">
                  <c:v>76.691485237570831</c:v>
                </c:pt>
                <c:pt idx="3">
                  <c:v>90.791130213370906</c:v>
                </c:pt>
                <c:pt idx="4">
                  <c:v>105.13693227171778</c:v>
                </c:pt>
                <c:pt idx="5">
                  <c:v>119.5306109826482</c:v>
                </c:pt>
                <c:pt idx="6">
                  <c:v>133.51407128900277</c:v>
                </c:pt>
                <c:pt idx="7">
                  <c:v>146.97029634920182</c:v>
                </c:pt>
                <c:pt idx="8">
                  <c:v>159.89756262640026</c:v>
                </c:pt>
                <c:pt idx="9">
                  <c:v>172.29969979558365</c:v>
                </c:pt>
                <c:pt idx="10">
                  <c:v>184.17357226903749</c:v>
                </c:pt>
                <c:pt idx="11">
                  <c:v>195.51695094422593</c:v>
                </c:pt>
                <c:pt idx="12">
                  <c:v>206.32830039676415</c:v>
                </c:pt>
                <c:pt idx="13">
                  <c:v>216.59827323864039</c:v>
                </c:pt>
                <c:pt idx="14">
                  <c:v>69.721365402041982</c:v>
                </c:pt>
                <c:pt idx="15">
                  <c:v>73.706076972647224</c:v>
                </c:pt>
                <c:pt idx="16">
                  <c:v>81.461009697847643</c:v>
                </c:pt>
                <c:pt idx="17">
                  <c:v>83.488499412393139</c:v>
                </c:pt>
                <c:pt idx="18">
                  <c:v>84.716919700372372</c:v>
                </c:pt>
                <c:pt idx="19">
                  <c:v>85.943678566797573</c:v>
                </c:pt>
                <c:pt idx="20">
                  <c:v>87.168768692308362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C61E2F0D-6543-415D-80ED-6269723A86C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60FA07A-F394-403C-92EB-17C2351B671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28594D0B-38CB-4DA2-8624-7F38FCC520B3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8C07E20-D1CA-4BBB-BDD6-BABFC7EC64A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A8BFBA-FD72-468F-A125-55BC640CD877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D9F6D6F-0133-4F3D-87FC-F81E8072C12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50</c:v>
                </c:pt>
                <c:pt idx="1">
                  <c:v>50.075531005859375</c:v>
                </c:pt>
                <c:pt idx="2">
                  <c:v>87.168768692308362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14.999999999999993</c:v>
                </c:pt>
                <c:pt idx="1">
                  <c:v>14.999999999999993</c:v>
                </c:pt>
                <c:pt idx="2">
                  <c:v>14.999999999999993</c:v>
                </c:pt>
                <c:pt idx="3">
                  <c:v>14.999999999999993</c:v>
                </c:pt>
                <c:pt idx="4">
                  <c:v>14.999999999999993</c:v>
                </c:pt>
                <c:pt idx="5">
                  <c:v>14.999999999999993</c:v>
                </c:pt>
                <c:pt idx="6">
                  <c:v>14.999999999999993</c:v>
                </c:pt>
                <c:pt idx="7">
                  <c:v>14.999999999999993</c:v>
                </c:pt>
                <c:pt idx="8">
                  <c:v>14.999999999999993</c:v>
                </c:pt>
                <c:pt idx="9">
                  <c:v>14.999999999999993</c:v>
                </c:pt>
                <c:pt idx="10">
                  <c:v>14.999999999999993</c:v>
                </c:pt>
                <c:pt idx="11">
                  <c:v>14.999999999999993</c:v>
                </c:pt>
                <c:pt idx="12">
                  <c:v>14.999999999999993</c:v>
                </c:pt>
                <c:pt idx="13">
                  <c:v>14.999999999999993</c:v>
                </c:pt>
                <c:pt idx="14">
                  <c:v>23.459476931994256</c:v>
                </c:pt>
                <c:pt idx="15">
                  <c:v>32.033709650304779</c:v>
                </c:pt>
                <c:pt idx="16">
                  <c:v>40.268499764089803</c:v>
                </c:pt>
                <c:pt idx="17">
                  <c:v>48.114720031037706</c:v>
                </c:pt>
                <c:pt idx="18">
                  <c:v>55.633900381955591</c:v>
                </c:pt>
                <c:pt idx="19">
                  <c:v>62.833057666001878</c:v>
                </c:pt>
                <c:pt idx="20">
                  <c:v>69.721365402041997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316920</xdr:colOff>
      <xdr:row>12</xdr:row>
      <xdr:rowOff>56113</xdr:rowOff>
    </xdr:from>
    <xdr:to>
      <xdr:col>32</xdr:col>
      <xdr:colOff>610380</xdr:colOff>
      <xdr:row>42</xdr:row>
      <xdr:rowOff>128619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25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4" zoomScale="70" zoomScaleNormal="70" workbookViewId="0">
      <selection activeCell="B17" sqref="B17:C32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Лист7"/>
  <dimension ref="A1:C20"/>
  <sheetViews>
    <sheetView workbookViewId="0">
      <selection activeCell="H7" sqref="H7"/>
    </sheetView>
  </sheetViews>
  <sheetFormatPr defaultRowHeight="15" x14ac:dyDescent="0.25"/>
  <cols>
    <col min="2" max="2" width="13.28515625" customWidth="1"/>
    <col min="3" max="3" width="10.5703125" customWidth="1"/>
  </cols>
  <sheetData>
    <row r="1" spans="1:3" x14ac:dyDescent="0.25">
      <c r="A1" t="str">
        <f>версия_</f>
        <v>вер 7.5</v>
      </c>
    </row>
    <row r="3" spans="1:3" x14ac:dyDescent="0.25">
      <c r="B3" t="s">
        <v>178</v>
      </c>
    </row>
    <row r="5" spans="1:3" x14ac:dyDescent="0.25">
      <c r="B5" t="s">
        <v>179</v>
      </c>
      <c r="C5">
        <v>3</v>
      </c>
    </row>
    <row r="7" spans="1:3" x14ac:dyDescent="0.25">
      <c r="B7" t="s">
        <v>181</v>
      </c>
    </row>
    <row r="9" spans="1:3" x14ac:dyDescent="0.25">
      <c r="B9" s="5" t="s">
        <v>170</v>
      </c>
      <c r="C9" s="5" t="s">
        <v>180</v>
      </c>
    </row>
    <row r="10" spans="1:3" x14ac:dyDescent="0.25">
      <c r="B10" s="5" t="s">
        <v>38</v>
      </c>
      <c r="C10" s="5" t="s">
        <v>41</v>
      </c>
    </row>
    <row r="11" spans="1:3" x14ac:dyDescent="0.25">
      <c r="B11" s="9">
        <v>500</v>
      </c>
      <c r="C11" s="9">
        <v>3</v>
      </c>
    </row>
    <row r="12" spans="1:3" x14ac:dyDescent="0.25">
      <c r="B12" s="9">
        <v>1500</v>
      </c>
      <c r="C12" s="9">
        <v>3</v>
      </c>
    </row>
    <row r="13" spans="1:3" x14ac:dyDescent="0.25">
      <c r="B13" s="9">
        <v>1800</v>
      </c>
      <c r="C13" s="9">
        <v>3</v>
      </c>
    </row>
    <row r="14" spans="1:3" x14ac:dyDescent="0.25">
      <c r="B14" s="9"/>
      <c r="C14" s="9"/>
    </row>
    <row r="15" spans="1:3" x14ac:dyDescent="0.25">
      <c r="B15" s="9"/>
      <c r="C15" s="9"/>
    </row>
    <row r="16" spans="1:3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G1" zoomScale="70" zoomScaleNormal="70" workbookViewId="0">
      <selection activeCell="T27" sqref="T27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176</v>
      </c>
      <c r="Q8" s="9">
        <v>15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50</v>
      </c>
      <c r="R10" s="5" t="s">
        <v>44</v>
      </c>
      <c r="S10" s="14" t="s">
        <v>55</v>
      </c>
      <c r="T10" s="25">
        <v>60</v>
      </c>
      <c r="U10" s="5" t="s">
        <v>25</v>
      </c>
    </row>
    <row r="11" spans="1:34" ht="18" x14ac:dyDescent="0.35">
      <c r="P11" s="14" t="s">
        <v>46</v>
      </c>
      <c r="Q11" s="25">
        <v>50.075531005859375</v>
      </c>
      <c r="R11" s="5" t="s">
        <v>44</v>
      </c>
      <c r="S11" s="14" t="s">
        <v>56</v>
      </c>
      <c r="T11" s="25">
        <v>60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87.168768692308362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  <c r="W15" t="s">
        <v>177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</v>
      </c>
      <c r="N16">
        <v>0</v>
      </c>
      <c r="O16">
        <v>50.075531005859375</v>
      </c>
      <c r="P16">
        <v>0</v>
      </c>
      <c r="Q16">
        <v>60</v>
      </c>
      <c r="R16">
        <v>0</v>
      </c>
      <c r="S16">
        <v>0.80107425964366674</v>
      </c>
      <c r="U16">
        <v>0</v>
      </c>
      <c r="V16" s="50">
        <f>Pline_out_atma_</f>
        <v>50</v>
      </c>
      <c r="W16">
        <v>0</v>
      </c>
      <c r="X16">
        <v>14.999999999999993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61.578947368421055</v>
      </c>
      <c r="N17">
        <v>184.21052631578948</v>
      </c>
      <c r="O17">
        <v>63.038238021369963</v>
      </c>
      <c r="P17">
        <v>184.21052631578948</v>
      </c>
      <c r="Q17">
        <v>61.578947368421055</v>
      </c>
      <c r="R17">
        <v>175</v>
      </c>
      <c r="S17">
        <v>0.8716415839764976</v>
      </c>
      <c r="U17">
        <v>0</v>
      </c>
      <c r="V17" s="50">
        <f>Pbuf_out_atma_</f>
        <v>50.075531005859375</v>
      </c>
      <c r="W17">
        <v>125</v>
      </c>
      <c r="X17">
        <v>14.999999999999993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63.157894736842103</v>
      </c>
      <c r="N18">
        <v>368.42105263157896</v>
      </c>
      <c r="O18">
        <v>76.691485237570831</v>
      </c>
      <c r="P18">
        <v>368.42105263157896</v>
      </c>
      <c r="Q18">
        <v>63.157894736842103</v>
      </c>
      <c r="R18">
        <v>350</v>
      </c>
      <c r="S18">
        <v>0.93029194441574181</v>
      </c>
      <c r="U18">
        <f>Hperf_m_</f>
        <v>3500</v>
      </c>
      <c r="V18" s="50">
        <f>Pwf_out_atma_</f>
        <v>87.168768692308362</v>
      </c>
      <c r="W18">
        <v>250</v>
      </c>
      <c r="X18">
        <v>14.999999999999993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64.736842105263165</v>
      </c>
      <c r="N19">
        <v>552.63157894736844</v>
      </c>
      <c r="O19">
        <v>90.791130213370906</v>
      </c>
      <c r="P19">
        <v>552.63157894736844</v>
      </c>
      <c r="Q19">
        <v>64.736842105263165</v>
      </c>
      <c r="R19">
        <v>525</v>
      </c>
      <c r="S19">
        <v>0.97443468748687467</v>
      </c>
      <c r="W19">
        <v>375</v>
      </c>
      <c r="X19">
        <v>14.999999999999993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66.315789473684205</v>
      </c>
      <c r="N20">
        <v>736.84210526315792</v>
      </c>
      <c r="O20">
        <v>105.13693227171778</v>
      </c>
      <c r="P20">
        <v>736.84210526315792</v>
      </c>
      <c r="Q20">
        <v>66.315789473684205</v>
      </c>
      <c r="R20">
        <v>700</v>
      </c>
      <c r="S20">
        <v>1</v>
      </c>
      <c r="W20">
        <v>500</v>
      </c>
      <c r="X20">
        <v>14.999999999999993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67.89473684210526</v>
      </c>
      <c r="N21">
        <v>921.0526315789474</v>
      </c>
      <c r="O21">
        <v>119.5306109826482</v>
      </c>
      <c r="P21">
        <v>921.0526315789474</v>
      </c>
      <c r="Q21">
        <v>67.89473684210526</v>
      </c>
      <c r="R21">
        <v>875</v>
      </c>
      <c r="S21">
        <v>1</v>
      </c>
      <c r="W21">
        <v>625</v>
      </c>
      <c r="X21">
        <v>14.999999999999993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69.473684210526315</v>
      </c>
      <c r="N22">
        <v>1105.2631578947369</v>
      </c>
      <c r="O22">
        <v>133.51407128900277</v>
      </c>
      <c r="P22">
        <v>1105.2631578947369</v>
      </c>
      <c r="Q22">
        <v>69.473684210526315</v>
      </c>
      <c r="R22">
        <v>1050</v>
      </c>
      <c r="S22">
        <v>1</v>
      </c>
      <c r="W22">
        <v>750</v>
      </c>
      <c r="X22">
        <v>14.999999999999993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71.05263157894737</v>
      </c>
      <c r="N23">
        <v>1289.4736842105262</v>
      </c>
      <c r="O23">
        <v>146.97029634920182</v>
      </c>
      <c r="P23">
        <v>1289.4736842105262</v>
      </c>
      <c r="Q23">
        <v>71.05263157894737</v>
      </c>
      <c r="R23">
        <v>1225</v>
      </c>
      <c r="S23">
        <v>1</v>
      </c>
      <c r="W23">
        <v>875</v>
      </c>
      <c r="X23">
        <v>14.999999999999993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72.631578947368425</v>
      </c>
      <c r="N24">
        <v>1473.6842105263158</v>
      </c>
      <c r="O24">
        <v>159.89756262640026</v>
      </c>
      <c r="P24">
        <v>1473.6842105263158</v>
      </c>
      <c r="Q24">
        <v>72.631578947368425</v>
      </c>
      <c r="R24">
        <v>1400</v>
      </c>
      <c r="S24">
        <v>1</v>
      </c>
      <c r="W24">
        <v>1000</v>
      </c>
      <c r="X24">
        <v>14.999999999999993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74.21052631578948</v>
      </c>
      <c r="N25">
        <v>1657.8947368421054</v>
      </c>
      <c r="O25">
        <v>172.29969979558365</v>
      </c>
      <c r="P25">
        <v>1657.8947368421054</v>
      </c>
      <c r="Q25">
        <v>74.21052631578948</v>
      </c>
      <c r="R25">
        <v>1575</v>
      </c>
      <c r="S25">
        <v>1</v>
      </c>
      <c r="W25">
        <v>1125</v>
      </c>
      <c r="X25">
        <v>14.999999999999993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75.789473684210535</v>
      </c>
      <c r="N26">
        <v>1842.1052631578948</v>
      </c>
      <c r="O26">
        <v>184.17357226903749</v>
      </c>
      <c r="P26">
        <v>1842.1052631578948</v>
      </c>
      <c r="Q26">
        <v>75.789473684210535</v>
      </c>
      <c r="R26">
        <v>1750</v>
      </c>
      <c r="S26">
        <v>1</v>
      </c>
      <c r="W26">
        <v>1250</v>
      </c>
      <c r="X26">
        <v>14.999999999999993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77.368421052631575</v>
      </c>
      <c r="N27">
        <v>2026.3157894736842</v>
      </c>
      <c r="O27">
        <v>195.51695094422593</v>
      </c>
      <c r="P27">
        <v>2026.3157894736842</v>
      </c>
      <c r="Q27">
        <v>77.368421052631575</v>
      </c>
      <c r="R27">
        <v>1925</v>
      </c>
      <c r="S27">
        <v>1</v>
      </c>
      <c r="W27">
        <v>1375</v>
      </c>
      <c r="X27">
        <v>14.999999999999993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78.94736842105263</v>
      </c>
      <c r="N28">
        <v>2210.5263157894738</v>
      </c>
      <c r="O28">
        <v>206.32830039676415</v>
      </c>
      <c r="P28">
        <v>2210.5263157894738</v>
      </c>
      <c r="Q28">
        <v>78.94736842105263</v>
      </c>
      <c r="R28">
        <v>2100</v>
      </c>
      <c r="S28">
        <v>1</v>
      </c>
      <c r="W28">
        <v>1500</v>
      </c>
      <c r="X28">
        <v>14.999999999999993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80.526315789473685</v>
      </c>
      <c r="N29">
        <v>2394.7368421052633</v>
      </c>
      <c r="O29">
        <v>216.59827323864039</v>
      </c>
      <c r="P29">
        <v>2394.7368421052633</v>
      </c>
      <c r="Q29">
        <v>80.526315789473685</v>
      </c>
      <c r="R29">
        <v>2275</v>
      </c>
      <c r="S29">
        <v>1</v>
      </c>
      <c r="W29">
        <v>1625</v>
      </c>
      <c r="X29">
        <v>14.999999999999993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81.428571428571431</v>
      </c>
      <c r="N30">
        <v>2500</v>
      </c>
      <c r="O30">
        <v>69.721365402041982</v>
      </c>
      <c r="P30">
        <v>2500</v>
      </c>
      <c r="Q30">
        <v>81.428571428571431</v>
      </c>
      <c r="R30">
        <v>2450</v>
      </c>
      <c r="S30">
        <v>0.97413801667780775</v>
      </c>
      <c r="W30">
        <v>1750</v>
      </c>
      <c r="X30">
        <v>23.459476931994256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82.10526315789474</v>
      </c>
      <c r="N31">
        <v>2578.9473684210525</v>
      </c>
      <c r="O31">
        <v>73.706076972647224</v>
      </c>
      <c r="P31">
        <v>2578.9473684210525</v>
      </c>
      <c r="Q31">
        <v>82.10526315789474</v>
      </c>
      <c r="R31">
        <v>2625</v>
      </c>
      <c r="S31">
        <v>0.9603359811376958</v>
      </c>
      <c r="W31">
        <v>1875</v>
      </c>
      <c r="X31">
        <v>32.033709650304779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83.684210526315795</v>
      </c>
      <c r="N32">
        <v>2763.1578947368421</v>
      </c>
      <c r="O32">
        <v>81.461009697847643</v>
      </c>
      <c r="P32">
        <v>2763.1578947368421</v>
      </c>
      <c r="Q32">
        <v>83.684210526315795</v>
      </c>
      <c r="R32">
        <v>2800</v>
      </c>
      <c r="S32">
        <v>0.97133278434957582</v>
      </c>
      <c r="W32">
        <v>2000</v>
      </c>
      <c r="X32">
        <v>40.268499764089803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85.26315789473685</v>
      </c>
      <c r="N33">
        <v>2947.3684210526317</v>
      </c>
      <c r="O33">
        <v>83.488499412393139</v>
      </c>
      <c r="P33">
        <v>2947.3684210526317</v>
      </c>
      <c r="Q33">
        <v>85.26315789473685</v>
      </c>
      <c r="R33">
        <v>2975</v>
      </c>
      <c r="S33">
        <v>0.97248640123991481</v>
      </c>
      <c r="W33">
        <v>2125</v>
      </c>
      <c r="X33">
        <v>48.114720031037706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86.84210526315789</v>
      </c>
      <c r="N34">
        <v>3131.5789473684213</v>
      </c>
      <c r="O34">
        <v>84.716919700372372</v>
      </c>
      <c r="P34">
        <v>3131.5789473684213</v>
      </c>
      <c r="Q34">
        <v>86.84210526315789</v>
      </c>
      <c r="R34">
        <v>3150</v>
      </c>
      <c r="S34">
        <v>0.97361588079655004</v>
      </c>
      <c r="W34">
        <v>2250</v>
      </c>
      <c r="X34">
        <v>55.633900381955591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88.421052631578959</v>
      </c>
      <c r="N35">
        <v>3315.7894736842109</v>
      </c>
      <c r="O35">
        <v>85.943678566797573</v>
      </c>
      <c r="P35">
        <v>3315.7894736842109</v>
      </c>
      <c r="Q35">
        <v>88.421052631578959</v>
      </c>
      <c r="R35">
        <v>3325</v>
      </c>
      <c r="S35">
        <v>0.9747223241958255</v>
      </c>
      <c r="W35">
        <v>2375</v>
      </c>
      <c r="X35">
        <v>62.833057666001878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87.168768692308362</v>
      </c>
      <c r="P36">
        <v>3500</v>
      </c>
      <c r="Q36">
        <v>90</v>
      </c>
      <c r="R36">
        <v>3500</v>
      </c>
      <c r="S36">
        <v>0.97580665766590213</v>
      </c>
      <c r="W36">
        <v>2500</v>
      </c>
      <c r="X36">
        <v>69.721365402041997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9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9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115</vt:i4>
      </vt:variant>
    </vt:vector>
  </HeadingPairs>
  <TitlesOfParts>
    <vt:vector size="121" baseType="lpstr">
      <vt:lpstr>Унифлок</vt:lpstr>
      <vt:lpstr>PVT</vt:lpstr>
      <vt:lpstr>Конструкция фонтан</vt:lpstr>
      <vt:lpstr>GasLift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2019-03-24T07:44:20Z</dcterms:modified>
</cp:coreProperties>
</file>