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DAD9A76C-478B-4F06-A9E4-349B0D6EB76C}" xr6:coauthVersionLast="41" xr6:coauthVersionMax="41" xr10:uidLastSave="{00000000-0000-0000-0000-000000000000}"/>
  <bookViews>
    <workbookView xWindow="-21390" yWindow="9810" windowWidth="20985" windowHeight="1989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GasLift" sheetId="9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_valves_mm_">GasLift!$C$11:$C$20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mes_valves_m_">GasLift!$B$11:$B$20</definedName>
    <definedName name="Hout_">Скважина_расчет!$N$17:$N$36</definedName>
    <definedName name="Hperf_m_">'Конструкция фонтан'!$C$9</definedName>
    <definedName name="Hpump_">#REF!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#REF!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B3" i="8"/>
  <c r="B4" i="8"/>
  <c r="B5" i="8"/>
  <c r="K11" i="4" l="1"/>
  <c r="K9" i="4"/>
  <c r="K8" i="4"/>
  <c r="B8" i="8" a="1"/>
  <c r="C49" i="4"/>
  <c r="I37" i="4"/>
  <c r="I33" i="4"/>
  <c r="M40" i="4"/>
  <c r="I32" i="4"/>
  <c r="M33" i="4"/>
  <c r="E36" i="4"/>
  <c r="M36" i="4"/>
  <c r="M32" i="4"/>
  <c r="C44" i="4"/>
  <c r="M35" i="4"/>
  <c r="E34" i="4"/>
  <c r="E33" i="4"/>
  <c r="C45" i="4"/>
  <c r="C40" i="4"/>
  <c r="I36" i="4"/>
  <c r="E35" i="4"/>
  <c r="V33" i="4"/>
  <c r="E37" i="4"/>
  <c r="C33" i="4"/>
  <c r="E32" i="4"/>
  <c r="M34" i="4"/>
  <c r="C23" i="4"/>
  <c r="C26" i="4"/>
  <c r="I35" i="4"/>
  <c r="C34" i="4"/>
  <c r="C32" i="4"/>
  <c r="C43" i="4"/>
  <c r="M37" i="4"/>
  <c r="C37" i="4"/>
  <c r="C35" i="4"/>
  <c r="T33" i="4"/>
  <c r="G23" i="4"/>
  <c r="I34" i="4"/>
  <c r="C36" i="4"/>
  <c r="T35" i="4"/>
  <c r="C9" i="8" l="1"/>
  <c r="D8" i="8"/>
  <c r="D10" i="8"/>
  <c r="E9" i="8"/>
  <c r="F8" i="8"/>
  <c r="F10" i="8"/>
  <c r="C8" i="8"/>
  <c r="D9" i="8"/>
  <c r="E8" i="8"/>
  <c r="E10" i="8"/>
  <c r="G8" i="8"/>
  <c r="G10" i="8"/>
  <c r="H9" i="8"/>
  <c r="I8" i="8"/>
  <c r="I10" i="8"/>
  <c r="B10" i="8"/>
  <c r="B8" i="8"/>
  <c r="G9" i="8"/>
  <c r="H8" i="8"/>
  <c r="H10" i="8"/>
  <c r="I9" i="8"/>
  <c r="B9" i="8"/>
  <c r="C10" i="8"/>
  <c r="F9" i="8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V35" i="4"/>
  <c r="T34" i="4"/>
  <c r="T36" i="4"/>
  <c r="C28" i="4"/>
  <c r="V36" i="4"/>
  <c r="C27" i="4"/>
  <c r="V34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<sst xmlns="http://schemas.openxmlformats.org/spreadsheetml/2006/main" count="283" uniqueCount="187">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</sst>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49.992844604946939</c:v>
                </c:pt>
                <c:pt idx="1">
                  <c:v>54.831633503136032</c:v>
                </c:pt>
                <c:pt idx="2">
                  <c:v>59.936175968792753</c:v>
                </c:pt>
                <c:pt idx="3">
                  <c:v>61.433860078832701</c:v>
                </c:pt>
                <c:pt idx="4">
                  <c:v>64.5567932397433</c:v>
                </c:pt>
                <c:pt idx="5">
                  <c:v>69.079211782083149</c:v>
                </c:pt>
                <c:pt idx="6">
                  <c:v>73.66086347752622</c:v>
                </c:pt>
                <c:pt idx="7">
                  <c:v>78.18932808537852</c:v>
                </c:pt>
                <c:pt idx="8">
                  <c:v>82.013879851157768</c:v>
                </c:pt>
                <c:pt idx="9">
                  <c:v>83.164940904646173</c:v>
                </c:pt>
                <c:pt idx="10">
                  <c:v>91.1383533989857</c:v>
                </c:pt>
                <c:pt idx="11">
                  <c:v>92.93648708882985</c:v>
                </c:pt>
                <c:pt idx="12">
                  <c:v>102.30951771690845</c:v>
                </c:pt>
                <c:pt idx="13">
                  <c:v>113.91084577523955</c:v>
                </c:pt>
                <c:pt idx="14">
                  <c:v>124.8522293923447</c:v>
                </c:pt>
                <c:pt idx="15">
                  <c:v>129.34088577972722</c:v>
                </c:pt>
                <c:pt idx="16">
                  <c:v>135.1163943019863</c:v>
                </c:pt>
                <c:pt idx="17">
                  <c:v>141.3692033335507</c:v>
                </c:pt>
                <c:pt idx="18">
                  <c:v>142.71062252582107</c:v>
                </c:pt>
                <c:pt idx="19">
                  <c:v>144.05000813990083</c:v>
                </c:pt>
                <c:pt idx="20">
                  <c:v>145.38736329384395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31BF1A5-0723-4472-97E2-2CA1385FD07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8A552C1-44C4-4BA1-85F6-A40946B6E68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8B7971F-3A65-49E1-81A5-B6D8B488943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19BBAF-EAED-478A-834D-89B92EB2D46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054ABC-37E6-4848-9ED5-F0BE2CF9B19E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D8BAA67-46A7-42B6-98E2-C7B9C63A437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49.992844604946939</c:v>
                </c:pt>
                <c:pt idx="1">
                  <c:v>49.992844604946939</c:v>
                </c:pt>
                <c:pt idx="2">
                  <c:v>145.38736329384395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150</c:v>
                </c:pt>
                <c:pt idx="1">
                  <c:v>150.64104687834958</c:v>
                </c:pt>
                <c:pt idx="2">
                  <c:v>151.28209375669917</c:v>
                </c:pt>
                <c:pt idx="3">
                  <c:v>151.92465702125725</c:v>
                </c:pt>
                <c:pt idx="4">
                  <c:v>152.56722028581535</c:v>
                </c:pt>
                <c:pt idx="5">
                  <c:v>153.85534753625615</c:v>
                </c:pt>
                <c:pt idx="6">
                  <c:v>155.1464431567374</c:v>
                </c:pt>
                <c:pt idx="7">
                  <c:v>156.44047447079603</c:v>
                </c:pt>
                <c:pt idx="8">
                  <c:v>157.73740845325545</c:v>
                </c:pt>
                <c:pt idx="9">
                  <c:v>159.03721170810744</c:v>
                </c:pt>
                <c:pt idx="10">
                  <c:v>160.33985044777253</c:v>
                </c:pt>
                <c:pt idx="11">
                  <c:v>161.64529047369919</c:v>
                </c:pt>
                <c:pt idx="12">
                  <c:v>162.95349715826043</c:v>
                </c:pt>
                <c:pt idx="13">
                  <c:v>164.26443542790551</c:v>
                </c:pt>
                <c:pt idx="14">
                  <c:v>165.5780697475235</c:v>
                </c:pt>
                <c:pt idx="15">
                  <c:v>166.89436410597438</c:v>
                </c:pt>
                <c:pt idx="16">
                  <c:v>168.21328200274371</c:v>
                </c:pt>
                <c:pt idx="17">
                  <c:v>169.53478643567539</c:v>
                </c:pt>
                <c:pt idx="18">
                  <c:v>170.85883988973904</c:v>
                </c:pt>
                <c:pt idx="19">
                  <c:v>172.18540432678608</c:v>
                </c:pt>
                <c:pt idx="20">
                  <c:v>173.51444117625192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357743</xdr:colOff>
      <xdr:row>15</xdr:row>
      <xdr:rowOff>69721</xdr:rowOff>
    </xdr:from>
    <xdr:to>
      <xdr:col>30</xdr:col>
      <xdr:colOff>38881</xdr:colOff>
      <xdr:row>46</xdr:row>
      <xdr:rowOff>142227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35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30.099999999999998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100.2576544918729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4" zoomScale="70" zoomScaleNormal="70" workbookViewId="0">
      <selection activeCell="B17" sqref="B17:C32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Лист7"/>
  <dimension ref="A1:C20"/>
  <sheetViews>
    <sheetView workbookViewId="0">
      <selection activeCell="G52" sqref="G52"/>
    </sheetView>
  </sheetViews>
  <sheetFormatPr defaultRowHeight="15" x14ac:dyDescent="0.25"/>
  <cols>
    <col min="2" max="2" width="13.28515625" customWidth="1"/>
    <col min="3" max="3" width="10.5703125" customWidth="1"/>
  </cols>
  <sheetData>
    <row r="1" spans="1:3" x14ac:dyDescent="0.25">
      <c r="A1" t="str">
        <f>версия_</f>
        <v>вер 7.5</v>
      </c>
    </row>
    <row r="3" spans="1:3" x14ac:dyDescent="0.25">
      <c r="B3" t="s">
        <v>178</v>
      </c>
    </row>
    <row r="5" spans="1:3" x14ac:dyDescent="0.25">
      <c r="B5" t="s">
        <v>179</v>
      </c>
      <c r="C5">
        <v>3</v>
      </c>
    </row>
    <row r="7" spans="1:3" x14ac:dyDescent="0.25">
      <c r="B7" t="s">
        <v>181</v>
      </c>
    </row>
    <row r="9" spans="1:3" x14ac:dyDescent="0.25">
      <c r="B9" s="5" t="s">
        <v>170</v>
      </c>
      <c r="C9" s="5" t="s">
        <v>180</v>
      </c>
    </row>
    <row r="10" spans="1:3" x14ac:dyDescent="0.25">
      <c r="B10" s="5" t="s">
        <v>38</v>
      </c>
      <c r="C10" s="5" t="s">
        <v>41</v>
      </c>
    </row>
    <row r="11" spans="1:3" x14ac:dyDescent="0.25">
      <c r="B11" s="9">
        <v>500</v>
      </c>
      <c r="C11" s="9">
        <v>0</v>
      </c>
    </row>
    <row r="12" spans="1:3" x14ac:dyDescent="0.25">
      <c r="B12" s="9">
        <v>1500</v>
      </c>
      <c r="C12" s="9">
        <v>4</v>
      </c>
    </row>
    <row r="13" spans="1:3" x14ac:dyDescent="0.25">
      <c r="B13" s="9">
        <v>1800</v>
      </c>
      <c r="C13" s="9">
        <v>3</v>
      </c>
    </row>
    <row r="14" spans="1:3" x14ac:dyDescent="0.25">
      <c r="B14" s="9"/>
      <c r="C14" s="9"/>
    </row>
    <row r="15" spans="1:3" x14ac:dyDescent="0.25">
      <c r="B15" s="9"/>
      <c r="C15" s="9"/>
    </row>
    <row r="16" spans="1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70" zoomScaleNormal="70" workbookViewId="0">
      <selection activeCell="U21" sqref="U2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35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49.992844604946939</v>
      </c>
      <c r="R10" s="5" t="s">
        <v>44</v>
      </c>
      <c r="S10" s="14" t="s">
        <v>55</v>
      </c>
      <c r="T10" s="25">
        <v>60.000000000000007</v>
      </c>
      <c r="U10" s="5" t="s">
        <v>25</v>
      </c>
    </row>
    <row r="11" spans="1:34" ht="18" x14ac:dyDescent="0.35">
      <c r="P11" s="14" t="s">
        <v>46</v>
      </c>
      <c r="Q11" s="25">
        <v>49.992844604946939</v>
      </c>
      <c r="R11" s="5" t="s">
        <v>44</v>
      </c>
      <c r="S11" s="14" t="s">
        <v>56</v>
      </c>
      <c r="T11" s="25">
        <v>60.000000000000007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145.38736329384395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186</v>
      </c>
      <c r="N15" s="1" t="s">
        <v>182</v>
      </c>
      <c r="O15" s="1" t="s">
        <v>183</v>
      </c>
      <c r="P15" s="1"/>
      <c r="Q15" s="1" t="s">
        <v>184</v>
      </c>
      <c r="R15" s="1"/>
      <c r="S15" s="1" t="s">
        <v>185</v>
      </c>
      <c r="U15" s="5" t="s">
        <v>170</v>
      </c>
      <c r="V15" s="1" t="s">
        <v>171</v>
      </c>
      <c r="W15" t="s">
        <v>177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60.000000000000007</v>
      </c>
      <c r="N16">
        <v>0</v>
      </c>
      <c r="O16">
        <v>49.992844604946939</v>
      </c>
      <c r="P16">
        <v>0</v>
      </c>
      <c r="Q16">
        <v>60.000000000000007</v>
      </c>
      <c r="R16">
        <v>0</v>
      </c>
      <c r="S16">
        <v>0</v>
      </c>
      <c r="U16">
        <v>0</v>
      </c>
      <c r="V16" s="50">
        <f>Pline_out_atma_</f>
        <v>49.992844604946939</v>
      </c>
      <c r="W16">
        <v>0</v>
      </c>
      <c r="X16">
        <v>150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61.875000000000007</v>
      </c>
      <c r="N17">
        <v>218.75</v>
      </c>
      <c r="O17">
        <v>54.831633503136032</v>
      </c>
      <c r="P17">
        <v>218.75</v>
      </c>
      <c r="Q17">
        <v>61.875000000000007</v>
      </c>
      <c r="U17">
        <v>0</v>
      </c>
      <c r="V17" s="50">
        <f>Pbuf_out_atma_</f>
        <v>49.992844604946939</v>
      </c>
      <c r="W17">
        <v>50</v>
      </c>
      <c r="X17">
        <v>150.64104687834958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63.750000000000007</v>
      </c>
      <c r="N18">
        <v>437.5</v>
      </c>
      <c r="O18">
        <v>59.936175968792753</v>
      </c>
      <c r="P18">
        <v>437.5</v>
      </c>
      <c r="Q18">
        <v>63.750000000000007</v>
      </c>
      <c r="U18">
        <f>Hperf_m_</f>
        <v>3500</v>
      </c>
      <c r="V18" s="50">
        <f>Pwf_out_atma_</f>
        <v>145.38736329384395</v>
      </c>
      <c r="W18">
        <v>100</v>
      </c>
      <c r="X18">
        <v>151.28209375669917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64.285714285714292</v>
      </c>
      <c r="N19">
        <v>500</v>
      </c>
      <c r="O19">
        <v>61.433860078832701</v>
      </c>
      <c r="P19">
        <v>500</v>
      </c>
      <c r="Q19">
        <v>64.285714285714292</v>
      </c>
      <c r="W19">
        <v>150</v>
      </c>
      <c r="X19">
        <v>151.92465702125725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65.625</v>
      </c>
      <c r="N20">
        <v>656.25</v>
      </c>
      <c r="O20">
        <v>64.5567932397433</v>
      </c>
      <c r="P20">
        <v>656.25</v>
      </c>
      <c r="Q20">
        <v>65.625</v>
      </c>
      <c r="W20">
        <v>200</v>
      </c>
      <c r="X20">
        <v>152.56722028581535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67.5</v>
      </c>
      <c r="N21">
        <v>875</v>
      </c>
      <c r="O21">
        <v>69.079211782083149</v>
      </c>
      <c r="P21">
        <v>875</v>
      </c>
      <c r="Q21">
        <v>67.5</v>
      </c>
      <c r="W21">
        <v>300</v>
      </c>
      <c r="X21">
        <v>153.85534753625615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69.375</v>
      </c>
      <c r="N22">
        <v>1093.75</v>
      </c>
      <c r="O22">
        <v>73.66086347752622</v>
      </c>
      <c r="P22">
        <v>1093.75</v>
      </c>
      <c r="Q22">
        <v>69.375</v>
      </c>
      <c r="W22">
        <v>400</v>
      </c>
      <c r="X22">
        <v>155.1464431567374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71.250000000000014</v>
      </c>
      <c r="N23">
        <v>1312.5</v>
      </c>
      <c r="O23">
        <v>78.18932808537852</v>
      </c>
      <c r="P23">
        <v>1312.5</v>
      </c>
      <c r="Q23">
        <v>71.250000000000014</v>
      </c>
      <c r="W23">
        <v>500</v>
      </c>
      <c r="X23">
        <v>156.44047447079603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72.857142857142861</v>
      </c>
      <c r="N24">
        <v>1500</v>
      </c>
      <c r="O24">
        <v>82.013879851157768</v>
      </c>
      <c r="P24">
        <v>1500</v>
      </c>
      <c r="Q24">
        <v>72.857142857142861</v>
      </c>
      <c r="W24">
        <v>600</v>
      </c>
      <c r="X24">
        <v>157.73740845325545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73.125</v>
      </c>
      <c r="N25">
        <v>1531.25</v>
      </c>
      <c r="O25">
        <v>83.164940904646173</v>
      </c>
      <c r="P25">
        <v>1531.25</v>
      </c>
      <c r="Q25">
        <v>73.125</v>
      </c>
      <c r="W25">
        <v>700</v>
      </c>
      <c r="X25">
        <v>159.03721170810744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75</v>
      </c>
      <c r="N26">
        <v>1750</v>
      </c>
      <c r="O26">
        <v>91.1383533989857</v>
      </c>
      <c r="P26">
        <v>1750</v>
      </c>
      <c r="Q26">
        <v>75</v>
      </c>
      <c r="W26">
        <v>800</v>
      </c>
      <c r="X26">
        <v>160.33985044777253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1800</v>
      </c>
      <c r="M27">
        <v>75.428571428571431</v>
      </c>
      <c r="N27">
        <v>1800</v>
      </c>
      <c r="O27">
        <v>92.93648708882985</v>
      </c>
      <c r="P27">
        <v>1800</v>
      </c>
      <c r="Q27">
        <v>75.428571428571431</v>
      </c>
      <c r="W27">
        <v>900</v>
      </c>
      <c r="X27">
        <v>161.64529047369919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1968.75</v>
      </c>
      <c r="M28">
        <v>76.875</v>
      </c>
      <c r="N28">
        <v>1968.75</v>
      </c>
      <c r="O28">
        <v>102.30951771690845</v>
      </c>
      <c r="P28">
        <v>1968.75</v>
      </c>
      <c r="Q28">
        <v>76.875</v>
      </c>
      <c r="W28">
        <v>1000</v>
      </c>
      <c r="X28">
        <v>162.95349715826043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2187.5</v>
      </c>
      <c r="M29">
        <v>78.75</v>
      </c>
      <c r="N29">
        <v>2187.5</v>
      </c>
      <c r="O29">
        <v>113.91084577523955</v>
      </c>
      <c r="P29">
        <v>2187.5</v>
      </c>
      <c r="Q29">
        <v>78.75</v>
      </c>
      <c r="W29">
        <v>1100</v>
      </c>
      <c r="X29">
        <v>164.26443542790551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80.625</v>
      </c>
      <c r="N30">
        <v>2406.25</v>
      </c>
      <c r="O30">
        <v>124.8522293923447</v>
      </c>
      <c r="P30">
        <v>2406.25</v>
      </c>
      <c r="Q30">
        <v>80.625</v>
      </c>
      <c r="W30">
        <v>1200</v>
      </c>
      <c r="X30">
        <v>165.5780697475235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81.428571428571431</v>
      </c>
      <c r="N31">
        <v>2500</v>
      </c>
      <c r="O31">
        <v>129.34088577972722</v>
      </c>
      <c r="P31">
        <v>2500</v>
      </c>
      <c r="Q31">
        <v>81.428571428571431</v>
      </c>
      <c r="W31">
        <v>1300</v>
      </c>
      <c r="X31">
        <v>166.89436410597438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82.5</v>
      </c>
      <c r="N32">
        <v>2625</v>
      </c>
      <c r="O32">
        <v>135.1163943019863</v>
      </c>
      <c r="P32">
        <v>2625</v>
      </c>
      <c r="Q32">
        <v>82.5</v>
      </c>
      <c r="W32">
        <v>1400</v>
      </c>
      <c r="X32">
        <v>168.21328200274371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84.375</v>
      </c>
      <c r="N33">
        <v>2843.75</v>
      </c>
      <c r="O33">
        <v>141.3692033335507</v>
      </c>
      <c r="P33">
        <v>2843.75</v>
      </c>
      <c r="Q33">
        <v>84.375</v>
      </c>
      <c r="W33">
        <v>1500</v>
      </c>
      <c r="X33">
        <v>169.53478643567539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86.25</v>
      </c>
      <c r="N34">
        <v>3062.5</v>
      </c>
      <c r="O34">
        <v>142.71062252582107</v>
      </c>
      <c r="P34">
        <v>3062.5</v>
      </c>
      <c r="Q34">
        <v>86.25</v>
      </c>
      <c r="W34">
        <v>1600</v>
      </c>
      <c r="X34">
        <v>170.85883988973904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88.125</v>
      </c>
      <c r="N35">
        <v>3281.25</v>
      </c>
      <c r="O35">
        <v>144.05000813990083</v>
      </c>
      <c r="P35">
        <v>3281.25</v>
      </c>
      <c r="Q35">
        <v>88.125</v>
      </c>
      <c r="W35">
        <v>1700</v>
      </c>
      <c r="X35">
        <v>172.18540432678608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145.38736329384395</v>
      </c>
      <c r="P36">
        <v>3500</v>
      </c>
      <c r="Q36">
        <v>90</v>
      </c>
      <c r="W36">
        <v>1800</v>
      </c>
      <c r="X36">
        <v>173.51444117625192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115</vt:i4>
      </vt:variant>
    </vt:vector>
  </HeadingPairs>
  <TitlesOfParts>
    <vt:vector size="121" baseType="lpstr">
      <vt:lpstr>Унифлок</vt:lpstr>
      <vt:lpstr>PVT</vt:lpstr>
      <vt:lpstr>Конструкция фонтан</vt:lpstr>
      <vt:lpstr>GasLift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2019-03-24T19:22:33Z</dcterms:modified>
</cp:coreProperties>
</file>