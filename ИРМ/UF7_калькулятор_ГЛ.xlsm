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6383FB70-78E7-4907-8E21-508FAE243FC4}" xr6:coauthVersionLast="41" xr6:coauthVersionMax="41" xr10:uidLastSave="{00000000-0000-0000-0000-000000000000}"/>
  <bookViews>
    <workbookView xWindow="-21390" yWindow="9810" windowWidth="20985" windowHeight="1989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3" i="8"/>
  <c r="B4" i="8"/>
  <c r="B5" i="8"/>
  <c r="K11" i="4" l="1"/>
  <c r="K9" i="4"/>
  <c r="K8" i="4"/>
  <c r="B8" i="8" a="1"/>
  <c r="C49" i="4"/>
  <c r="I37" i="4"/>
  <c r="I33" i="4"/>
  <c r="M40" i="4"/>
  <c r="I32" i="4"/>
  <c r="M33" i="4"/>
  <c r="E36" i="4"/>
  <c r="M36" i="4"/>
  <c r="M32" i="4"/>
  <c r="C44" i="4"/>
  <c r="M35" i="4"/>
  <c r="E34" i="4"/>
  <c r="E33" i="4"/>
  <c r="C45" i="4"/>
  <c r="C40" i="4"/>
  <c r="I36" i="4"/>
  <c r="E35" i="4"/>
  <c r="V33" i="4"/>
  <c r="E37" i="4"/>
  <c r="C33" i="4"/>
  <c r="E32" i="4"/>
  <c r="M34" i="4"/>
  <c r="C23" i="4"/>
  <c r="C26" i="4"/>
  <c r="I35" i="4"/>
  <c r="C34" i="4"/>
  <c r="C32" i="4"/>
  <c r="C43" i="4"/>
  <c r="M37" i="4"/>
  <c r="C37" i="4"/>
  <c r="C35" i="4"/>
  <c r="T33" i="4"/>
  <c r="G23" i="4"/>
  <c r="I34" i="4"/>
  <c r="C36" i="4"/>
  <c r="T35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V35" i="4"/>
  <c r="T34" i="4"/>
  <c r="T36" i="4"/>
  <c r="C28" i="4"/>
  <c r="V36" i="4"/>
  <c r="C27" i="4"/>
  <c r="V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<sst xmlns="http://schemas.openxmlformats.org/spreadsheetml/2006/main" count="283" uniqueCount="187">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</sst>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73.49750409873424</c:v>
                </c:pt>
                <c:pt idx="1">
                  <c:v>79.812596707326009</c:v>
                </c:pt>
                <c:pt idx="2">
                  <c:v>86.368582320849328</c:v>
                </c:pt>
                <c:pt idx="3">
                  <c:v>88.275795935499673</c:v>
                </c:pt>
                <c:pt idx="4">
                  <c:v>92.344301177932053</c:v>
                </c:pt>
                <c:pt idx="5">
                  <c:v>98.185423395183108</c:v>
                </c:pt>
                <c:pt idx="6">
                  <c:v>104.06036426083587</c:v>
                </c:pt>
                <c:pt idx="7">
                  <c:v>109.83090940237174</c:v>
                </c:pt>
                <c:pt idx="8">
                  <c:v>114.67962305239766</c:v>
                </c:pt>
                <c:pt idx="9">
                  <c:v>115.99805153651937</c:v>
                </c:pt>
                <c:pt idx="10">
                  <c:v>125.10209290570982</c:v>
                </c:pt>
                <c:pt idx="11">
                  <c:v>127.1479516889983</c:v>
                </c:pt>
                <c:pt idx="12">
                  <c:v>136.61269325112428</c:v>
                </c:pt>
                <c:pt idx="13">
                  <c:v>148.3145933424608</c:v>
                </c:pt>
                <c:pt idx="14">
                  <c:v>159.3372688881135</c:v>
                </c:pt>
                <c:pt idx="15">
                  <c:v>163.85622836510419</c:v>
                </c:pt>
                <c:pt idx="16">
                  <c:v>169.66828365609939</c:v>
                </c:pt>
                <c:pt idx="17">
                  <c:v>175.95840337414307</c:v>
                </c:pt>
                <c:pt idx="18">
                  <c:v>177.30761415828005</c:v>
                </c:pt>
                <c:pt idx="19">
                  <c:v>178.65481202261813</c:v>
                </c:pt>
                <c:pt idx="20">
                  <c:v>180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DC345451-787E-495B-9DA9-F2D781BD68A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BFEB39D-1125-4E4C-BAD7-7BC021981C9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5BA295F1-E90F-468F-865A-E0FDACC4B5E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05E78DF-7398-4F70-9EA3-10092E4DD6D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86FA87-D002-44C0-9654-7A541400D27B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2C7454A-D9AD-4423-8CA0-761200CBE16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72.120323083212298</c:v>
                </c:pt>
                <c:pt idx="1">
                  <c:v>73.49750409873424</c:v>
                </c:pt>
                <c:pt idx="2">
                  <c:v>180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150</c:v>
                </c:pt>
                <c:pt idx="1">
                  <c:v>150.64104687834958</c:v>
                </c:pt>
                <c:pt idx="2">
                  <c:v>151.28209375669917</c:v>
                </c:pt>
                <c:pt idx="3">
                  <c:v>151.92465702125725</c:v>
                </c:pt>
                <c:pt idx="4">
                  <c:v>152.56722028581535</c:v>
                </c:pt>
                <c:pt idx="5">
                  <c:v>153.85534753625615</c:v>
                </c:pt>
                <c:pt idx="6">
                  <c:v>155.1464431567374</c:v>
                </c:pt>
                <c:pt idx="7">
                  <c:v>156.44047447079603</c:v>
                </c:pt>
                <c:pt idx="8">
                  <c:v>157.73740845325545</c:v>
                </c:pt>
                <c:pt idx="9">
                  <c:v>159.03721170810744</c:v>
                </c:pt>
                <c:pt idx="10">
                  <c:v>160.33985044777253</c:v>
                </c:pt>
                <c:pt idx="11">
                  <c:v>161.64529047369919</c:v>
                </c:pt>
                <c:pt idx="12">
                  <c:v>162.95349715826043</c:v>
                </c:pt>
                <c:pt idx="13">
                  <c:v>164.26443542790551</c:v>
                </c:pt>
                <c:pt idx="14">
                  <c:v>165.5780697475235</c:v>
                </c:pt>
                <c:pt idx="15">
                  <c:v>166.89436410597438</c:v>
                </c:pt>
                <c:pt idx="16">
                  <c:v>168.21328200274371</c:v>
                </c:pt>
                <c:pt idx="17">
                  <c:v>169.53478643567539</c:v>
                </c:pt>
                <c:pt idx="18">
                  <c:v>170.85883988973904</c:v>
                </c:pt>
                <c:pt idx="19">
                  <c:v>172.18540432678608</c:v>
                </c:pt>
                <c:pt idx="20">
                  <c:v>173.51444117625192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1100</c:v>
                </c:pt>
                <c:pt idx="14">
                  <c:v>1200</c:v>
                </c:pt>
                <c:pt idx="15">
                  <c:v>1300</c:v>
                </c:pt>
                <c:pt idx="16">
                  <c:v>1400</c:v>
                </c:pt>
                <c:pt idx="17">
                  <c:v>1500</c:v>
                </c:pt>
                <c:pt idx="18">
                  <c:v>1600</c:v>
                </c:pt>
                <c:pt idx="19">
                  <c:v>1700</c:v>
                </c:pt>
                <c:pt idx="20">
                  <c:v>1800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60.000000000000007</c:v>
                </c:pt>
                <c:pt idx="1">
                  <c:v>61.875000000000007</c:v>
                </c:pt>
                <c:pt idx="2">
                  <c:v>63.750000000000007</c:v>
                </c:pt>
                <c:pt idx="3">
                  <c:v>64.285714285714292</c:v>
                </c:pt>
                <c:pt idx="4">
                  <c:v>65.625</c:v>
                </c:pt>
                <c:pt idx="5">
                  <c:v>67.5</c:v>
                </c:pt>
                <c:pt idx="6">
                  <c:v>69.375</c:v>
                </c:pt>
                <c:pt idx="7">
                  <c:v>71.250000000000014</c:v>
                </c:pt>
                <c:pt idx="8">
                  <c:v>72.857142857142861</c:v>
                </c:pt>
                <c:pt idx="9">
                  <c:v>73.125</c:v>
                </c:pt>
                <c:pt idx="10">
                  <c:v>75</c:v>
                </c:pt>
                <c:pt idx="11">
                  <c:v>75.428571428571431</c:v>
                </c:pt>
                <c:pt idx="12">
                  <c:v>76.875</c:v>
                </c:pt>
                <c:pt idx="13">
                  <c:v>78.75</c:v>
                </c:pt>
                <c:pt idx="14">
                  <c:v>80.625</c:v>
                </c:pt>
                <c:pt idx="15">
                  <c:v>81.428571428571431</c:v>
                </c:pt>
                <c:pt idx="16">
                  <c:v>82.5</c:v>
                </c:pt>
                <c:pt idx="17">
                  <c:v>84.375</c:v>
                </c:pt>
                <c:pt idx="18">
                  <c:v>86.25</c:v>
                </c:pt>
                <c:pt idx="19">
                  <c:v>88.125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1800</c:v>
                </c:pt>
                <c:pt idx="12">
                  <c:v>1968.75</c:v>
                </c:pt>
                <c:pt idx="13">
                  <c:v>2187.5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357743</xdr:colOff>
      <xdr:row>15</xdr:row>
      <xdr:rowOff>69721</xdr:rowOff>
    </xdr:from>
    <xdr:to>
      <xdr:col>30</xdr:col>
      <xdr:colOff>38881</xdr:colOff>
      <xdr:row>46</xdr:row>
      <xdr:rowOff>142227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35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30.099999999999998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100.2576544918729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4" zoomScale="70" zoomScaleNormal="70" workbookViewId="0">
      <selection activeCell="B17" sqref="B17:C3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G52" sqref="G52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0</v>
      </c>
    </row>
    <row r="12" spans="1:3" x14ac:dyDescent="0.25">
      <c r="B12" s="9">
        <v>1500</v>
      </c>
      <c r="C12" s="9">
        <v>4</v>
      </c>
    </row>
    <row r="13" spans="1:3" x14ac:dyDescent="0.25">
      <c r="B13" s="9">
        <v>1800</v>
      </c>
      <c r="C13" s="9">
        <v>3</v>
      </c>
    </row>
    <row r="14" spans="1:3" x14ac:dyDescent="0.25">
      <c r="B14" s="9"/>
      <c r="C14" s="9"/>
    </row>
    <row r="15" spans="1:3" x14ac:dyDescent="0.25">
      <c r="B15" s="9"/>
      <c r="C15" s="9"/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70" zoomScaleNormal="70" workbookViewId="0">
      <selection activeCell="T5" sqref="T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35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72.120323083212298</v>
      </c>
      <c r="R10" s="5" t="s">
        <v>44</v>
      </c>
      <c r="S10" s="14" t="s">
        <v>55</v>
      </c>
      <c r="T10" s="25">
        <v>60.000000000000007</v>
      </c>
      <c r="U10" s="5" t="s">
        <v>25</v>
      </c>
    </row>
    <row r="11" spans="1:34" ht="18" x14ac:dyDescent="0.35">
      <c r="P11" s="14" t="s">
        <v>46</v>
      </c>
      <c r="Q11" s="25">
        <v>73.49750409873424</v>
      </c>
      <c r="R11" s="5" t="s">
        <v>44</v>
      </c>
      <c r="S11" s="14" t="s">
        <v>56</v>
      </c>
      <c r="T11" s="25">
        <v>60.000000000000007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180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186</v>
      </c>
      <c r="N15" s="1" t="s">
        <v>182</v>
      </c>
      <c r="O15" s="1" t="s">
        <v>183</v>
      </c>
      <c r="P15" s="1"/>
      <c r="Q15" s="1" t="s">
        <v>184</v>
      </c>
      <c r="R15" s="1"/>
      <c r="S15" s="1" t="s">
        <v>185</v>
      </c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60.000000000000007</v>
      </c>
      <c r="N16">
        <v>0</v>
      </c>
      <c r="O16">
        <v>73.49750409873424</v>
      </c>
      <c r="P16">
        <v>0</v>
      </c>
      <c r="Q16">
        <v>60.000000000000007</v>
      </c>
      <c r="R16">
        <v>0</v>
      </c>
      <c r="S16">
        <v>0</v>
      </c>
      <c r="U16">
        <v>0</v>
      </c>
      <c r="V16" s="50">
        <f>Pline_out_atma_</f>
        <v>72.120323083212298</v>
      </c>
      <c r="W16">
        <v>0</v>
      </c>
      <c r="X16">
        <v>150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61.875000000000007</v>
      </c>
      <c r="N17">
        <v>218.75</v>
      </c>
      <c r="O17">
        <v>79.812596707326009</v>
      </c>
      <c r="P17">
        <v>218.75</v>
      </c>
      <c r="Q17">
        <v>61.875000000000007</v>
      </c>
      <c r="U17">
        <v>0</v>
      </c>
      <c r="V17" s="50">
        <f>Pbuf_out_atma_</f>
        <v>73.49750409873424</v>
      </c>
      <c r="W17">
        <v>50</v>
      </c>
      <c r="X17">
        <v>150.64104687834958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63.750000000000007</v>
      </c>
      <c r="N18">
        <v>437.5</v>
      </c>
      <c r="O18">
        <v>86.368582320849328</v>
      </c>
      <c r="P18">
        <v>437.5</v>
      </c>
      <c r="Q18">
        <v>63.750000000000007</v>
      </c>
      <c r="U18">
        <f>Hperf_m_</f>
        <v>3500</v>
      </c>
      <c r="V18" s="50">
        <f>Pwf_out_atma_</f>
        <v>180</v>
      </c>
      <c r="W18">
        <v>100</v>
      </c>
      <c r="X18">
        <v>151.28209375669917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64.285714285714292</v>
      </c>
      <c r="N19">
        <v>500</v>
      </c>
      <c r="O19">
        <v>88.275795935499673</v>
      </c>
      <c r="P19">
        <v>500</v>
      </c>
      <c r="Q19">
        <v>64.285714285714292</v>
      </c>
      <c r="W19">
        <v>150</v>
      </c>
      <c r="X19">
        <v>151.92465702125725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65.625</v>
      </c>
      <c r="N20">
        <v>656.25</v>
      </c>
      <c r="O20">
        <v>92.344301177932053</v>
      </c>
      <c r="P20">
        <v>656.25</v>
      </c>
      <c r="Q20">
        <v>65.625</v>
      </c>
      <c r="W20">
        <v>200</v>
      </c>
      <c r="X20">
        <v>152.56722028581535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67.5</v>
      </c>
      <c r="N21">
        <v>875</v>
      </c>
      <c r="O21">
        <v>98.185423395183108</v>
      </c>
      <c r="P21">
        <v>875</v>
      </c>
      <c r="Q21">
        <v>67.5</v>
      </c>
      <c r="W21">
        <v>300</v>
      </c>
      <c r="X21">
        <v>153.85534753625615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69.375</v>
      </c>
      <c r="N22">
        <v>1093.75</v>
      </c>
      <c r="O22">
        <v>104.06036426083587</v>
      </c>
      <c r="P22">
        <v>1093.75</v>
      </c>
      <c r="Q22">
        <v>69.375</v>
      </c>
      <c r="W22">
        <v>400</v>
      </c>
      <c r="X22">
        <v>155.1464431567374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71.250000000000014</v>
      </c>
      <c r="N23">
        <v>1312.5</v>
      </c>
      <c r="O23">
        <v>109.83090940237174</v>
      </c>
      <c r="P23">
        <v>1312.5</v>
      </c>
      <c r="Q23">
        <v>71.250000000000014</v>
      </c>
      <c r="W23">
        <v>500</v>
      </c>
      <c r="X23">
        <v>156.44047447079603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72.857142857142861</v>
      </c>
      <c r="N24">
        <v>1500</v>
      </c>
      <c r="O24">
        <v>114.67962305239766</v>
      </c>
      <c r="P24">
        <v>1500</v>
      </c>
      <c r="Q24">
        <v>72.857142857142861</v>
      </c>
      <c r="W24">
        <v>600</v>
      </c>
      <c r="X24">
        <v>157.73740845325545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73.125</v>
      </c>
      <c r="N25">
        <v>1531.25</v>
      </c>
      <c r="O25">
        <v>115.99805153651937</v>
      </c>
      <c r="P25">
        <v>1531.25</v>
      </c>
      <c r="Q25">
        <v>73.125</v>
      </c>
      <c r="W25">
        <v>700</v>
      </c>
      <c r="X25">
        <v>159.03721170810744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75</v>
      </c>
      <c r="N26">
        <v>1750</v>
      </c>
      <c r="O26">
        <v>125.10209290570982</v>
      </c>
      <c r="P26">
        <v>1750</v>
      </c>
      <c r="Q26">
        <v>75</v>
      </c>
      <c r="W26">
        <v>800</v>
      </c>
      <c r="X26">
        <v>160.33985044777253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1800</v>
      </c>
      <c r="M27">
        <v>75.428571428571431</v>
      </c>
      <c r="N27">
        <v>1800</v>
      </c>
      <c r="O27">
        <v>127.1479516889983</v>
      </c>
      <c r="P27">
        <v>1800</v>
      </c>
      <c r="Q27">
        <v>75.428571428571431</v>
      </c>
      <c r="W27">
        <v>900</v>
      </c>
      <c r="X27">
        <v>161.64529047369919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1968.75</v>
      </c>
      <c r="M28">
        <v>76.875</v>
      </c>
      <c r="N28">
        <v>1968.75</v>
      </c>
      <c r="O28">
        <v>136.61269325112428</v>
      </c>
      <c r="P28">
        <v>1968.75</v>
      </c>
      <c r="Q28">
        <v>76.875</v>
      </c>
      <c r="W28">
        <v>1000</v>
      </c>
      <c r="X28">
        <v>162.95349715826043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2187.5</v>
      </c>
      <c r="M29">
        <v>78.75</v>
      </c>
      <c r="N29">
        <v>2187.5</v>
      </c>
      <c r="O29">
        <v>148.3145933424608</v>
      </c>
      <c r="P29">
        <v>2187.5</v>
      </c>
      <c r="Q29">
        <v>78.75</v>
      </c>
      <c r="W29">
        <v>1100</v>
      </c>
      <c r="X29">
        <v>164.26443542790551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80.625</v>
      </c>
      <c r="N30">
        <v>2406.25</v>
      </c>
      <c r="O30">
        <v>159.3372688881135</v>
      </c>
      <c r="P30">
        <v>2406.25</v>
      </c>
      <c r="Q30">
        <v>80.625</v>
      </c>
      <c r="W30">
        <v>1200</v>
      </c>
      <c r="X30">
        <v>165.5780697475235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81.428571428571431</v>
      </c>
      <c r="N31">
        <v>2500</v>
      </c>
      <c r="O31">
        <v>163.85622836510419</v>
      </c>
      <c r="P31">
        <v>2500</v>
      </c>
      <c r="Q31">
        <v>81.428571428571431</v>
      </c>
      <c r="W31">
        <v>1300</v>
      </c>
      <c r="X31">
        <v>166.89436410597438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82.5</v>
      </c>
      <c r="N32">
        <v>2625</v>
      </c>
      <c r="O32">
        <v>169.66828365609939</v>
      </c>
      <c r="P32">
        <v>2625</v>
      </c>
      <c r="Q32">
        <v>82.5</v>
      </c>
      <c r="W32">
        <v>1400</v>
      </c>
      <c r="X32">
        <v>168.21328200274371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84.375</v>
      </c>
      <c r="N33">
        <v>2843.75</v>
      </c>
      <c r="O33">
        <v>175.95840337414307</v>
      </c>
      <c r="P33">
        <v>2843.75</v>
      </c>
      <c r="Q33">
        <v>84.375</v>
      </c>
      <c r="W33">
        <v>1500</v>
      </c>
      <c r="X33">
        <v>169.53478643567539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86.25</v>
      </c>
      <c r="N34">
        <v>3062.5</v>
      </c>
      <c r="O34">
        <v>177.30761415828005</v>
      </c>
      <c r="P34">
        <v>3062.5</v>
      </c>
      <c r="Q34">
        <v>86.25</v>
      </c>
      <c r="W34">
        <v>1600</v>
      </c>
      <c r="X34">
        <v>170.85883988973904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88.125</v>
      </c>
      <c r="N35">
        <v>3281.25</v>
      </c>
      <c r="O35">
        <v>178.65481202261813</v>
      </c>
      <c r="P35">
        <v>3281.25</v>
      </c>
      <c r="Q35">
        <v>88.125</v>
      </c>
      <c r="W35">
        <v>1700</v>
      </c>
      <c r="X35">
        <v>172.18540432678608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180</v>
      </c>
      <c r="P36">
        <v>3500</v>
      </c>
      <c r="Q36">
        <v>90</v>
      </c>
      <c r="W36">
        <v>1800</v>
      </c>
      <c r="X36">
        <v>173.51444117625192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2019-03-24T17:21:11Z</dcterms:modified>
</cp:coreProperties>
</file>