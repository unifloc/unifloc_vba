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94F86E72-2E45-42C9-9A87-FFB6D08F3764}" xr6:coauthVersionLast="41" xr6:coauthVersionMax="41" xr10:uidLastSave="{00000000-0000-0000-0000-000000000000}"/>
  <bookViews>
    <workbookView xWindow="-103" yWindow="-103" windowWidth="22149" windowHeight="12103" tabRatio="416" xr2:uid="{00000000-000D-0000-FFFF-FFFF00000000}"/>
  </bookViews>
  <sheets>
    <sheet name="Лист1" sheetId="1" r:id="rId1"/>
  </sheets>
  <definedNames>
    <definedName name="Bob_m3m3">Лист1!$C$26</definedName>
    <definedName name="d_mm">Лист1!$C$16</definedName>
    <definedName name="dpdl_aCurve">Лист1!$J$10:$J$30</definedName>
    <definedName name="dpdl_fCurve">Лист1!$I$10:$I$30</definedName>
    <definedName name="dpdl_gCurve">Лист1!$H$10:$H$30</definedName>
    <definedName name="fpat_">Лист1!$O$10:$O$30</definedName>
    <definedName name="gamma_gas">Лист1!$C$19</definedName>
    <definedName name="gamma_oil">Лист1!$C$20</definedName>
    <definedName name="gamma_wat">Лист1!$C$21</definedName>
    <definedName name="Hl">Лист1!$M$10:$M$30</definedName>
    <definedName name="Hmes0_m">Лист1!$C$14</definedName>
    <definedName name="Hmes1_m">Лист1!$C$15</definedName>
    <definedName name="mdd">Лист1!$F$10:$F$30</definedName>
    <definedName name="Muob_cP">Лист1!$C$27</definedName>
    <definedName name="p_">Лист1!$G$10:$G$30</definedName>
    <definedName name="Pb_atma">Лист1!$C$24</definedName>
    <definedName name="Pcalc_atma">Лист1!$C$11</definedName>
    <definedName name="Pout">Лист1!$C$28</definedName>
    <definedName name="Q_m3Day">Лист1!$C$9</definedName>
    <definedName name="roughness_m">Лист1!$C$17</definedName>
    <definedName name="Rp_m3m3">Лист1!$C$23</definedName>
    <definedName name="Rsb_m3m3">Лист1!$C$22</definedName>
    <definedName name="T_">Лист1!$N$10:$N$30</definedName>
    <definedName name="Tcalc_C">Лист1!$C$12</definedName>
    <definedName name="Tother_C">Лист1!$C$13</definedName>
    <definedName name="Tout">Лист1!$C$29</definedName>
    <definedName name="Tres_C">Лист1!$C$25</definedName>
    <definedName name="vsg">Лист1!$L$10:$L$30</definedName>
    <definedName name="vsl">Лист1!$K$10:$K$30</definedName>
    <definedName name="WCT_perc">Лист1!$C$10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29" i="1" l="1"/>
  <c r="AF28" i="1" s="1"/>
  <c r="AF27" i="1" s="1"/>
  <c r="AF26" i="1" s="1"/>
  <c r="AF25" i="1" s="1"/>
  <c r="AF24" i="1" s="1"/>
  <c r="AF23" i="1" s="1"/>
  <c r="AF22" i="1" s="1"/>
  <c r="AF21" i="1" s="1"/>
  <c r="AF20" i="1" s="1"/>
  <c r="AF19" i="1" s="1"/>
  <c r="AF18" i="1" s="1"/>
  <c r="AF17" i="1" s="1"/>
  <c r="AF16" i="1" s="1"/>
  <c r="AF15" i="1" s="1"/>
  <c r="AF14" i="1" s="1"/>
  <c r="AF13" i="1" s="1"/>
  <c r="AF12" i="1" s="1"/>
  <c r="AF11" i="1" s="1"/>
  <c r="AF10" i="1" s="1"/>
</calcChain>
</file>

<file path=xl/sharedStrings.xml><?xml version="1.0" encoding="utf-8"?>
<sst xmlns="http://schemas.openxmlformats.org/spreadsheetml/2006/main" count="56" uniqueCount="38">
  <si>
    <t>Q_m3Day</t>
  </si>
  <si>
    <t>WCT_perc</t>
  </si>
  <si>
    <t>Hmes0_m</t>
  </si>
  <si>
    <t>Hmes1_m</t>
  </si>
  <si>
    <t>Pcalc_atma</t>
  </si>
  <si>
    <t>Pout</t>
  </si>
  <si>
    <t>Tout</t>
  </si>
  <si>
    <t>d_mm</t>
  </si>
  <si>
    <t>roughness_m</t>
  </si>
  <si>
    <t>gamma_gas</t>
  </si>
  <si>
    <t>gamma_oil</t>
  </si>
  <si>
    <t>gamma_wat</t>
  </si>
  <si>
    <t>Rsb_m3m3</t>
  </si>
  <si>
    <t>Rp_m3m3</t>
  </si>
  <si>
    <t>Pb_atma</t>
  </si>
  <si>
    <t>Tres_C</t>
  </si>
  <si>
    <t>Bob_m3m3</t>
  </si>
  <si>
    <t>Tother_C</t>
  </si>
  <si>
    <t>Tcalc_C</t>
  </si>
  <si>
    <t>H</t>
  </si>
  <si>
    <t>p</t>
  </si>
  <si>
    <t>dpdl_g</t>
  </si>
  <si>
    <t>dpdl_f</t>
  </si>
  <si>
    <t>dpdl_a</t>
  </si>
  <si>
    <t>vsl</t>
  </si>
  <si>
    <t>vsg</t>
  </si>
  <si>
    <t>Hl</t>
  </si>
  <si>
    <t>T</t>
  </si>
  <si>
    <t>Pipesim</t>
  </si>
  <si>
    <t>ГФ=2000</t>
  </si>
  <si>
    <t>Унифлок 7</t>
  </si>
  <si>
    <t>ИРМ Расчет распределения давления и температуры в сегменте скважины</t>
  </si>
  <si>
    <t>версия 0.1</t>
  </si>
  <si>
    <t>Исходные данные для расчета</t>
  </si>
  <si>
    <t>Результаты расчета</t>
  </si>
  <si>
    <t>Результаты расчето для сранения</t>
  </si>
  <si>
    <t>fpat</t>
  </si>
  <si>
    <t>Muob_cP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</si>
</sst>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2" fillId="4" borderId="0" xfId="0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0" fontId="0" fillId="3" borderId="4" xfId="0" applyFill="1" applyBorder="1"/>
    <xf numFmtId="0" fontId="0" fillId="4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</a:t>
            </a:r>
            <a:r>
              <a:rPr lang="ru-RU"/>
              <a:t>, атм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8654-4D61-B3BB-F3BF81CF2D8C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8654-4D61-B3BB-F3BF81CF2D8C}"/>
              </c:ext>
            </c:extLst>
          </c:dPt>
          <c:xVal>
            <c:numRef>
              <c:f>Лист1!$G$10:$G$30</c:f>
              <c:numCache>
                <c:formatCode>General</c:formatCode>
                <c:ptCount val="21"/>
                <c:pt idx="0">
                  <c:v>20</c:v>
                </c:pt>
                <c:pt idx="1">
                  <c:v>22.208527742514725</c:v>
                </c:pt>
                <c:pt idx="2">
                  <c:v>24.563481152330695</c:v>
                </c:pt>
                <c:pt idx="3">
                  <c:v>27.067667743569892</c:v>
                </c:pt>
                <c:pt idx="4">
                  <c:v>29.722948681447622</c:v>
                </c:pt>
                <c:pt idx="5">
                  <c:v>32.894961966900127</c:v>
                </c:pt>
                <c:pt idx="6">
                  <c:v>36.280666280519078</c:v>
                </c:pt>
                <c:pt idx="7">
                  <c:v>39.837629164120933</c:v>
                </c:pt>
                <c:pt idx="8">
                  <c:v>43.561063910990313</c:v>
                </c:pt>
                <c:pt idx="9">
                  <c:v>47.445352599647187</c:v>
                </c:pt>
                <c:pt idx="10">
                  <c:v>51.484202952362459</c:v>
                </c:pt>
                <c:pt idx="11">
                  <c:v>55.670801093405693</c:v>
                </c:pt>
                <c:pt idx="12">
                  <c:v>59.997956032608421</c:v>
                </c:pt>
                <c:pt idx="13">
                  <c:v>64.458232417539151</c:v>
                </c:pt>
                <c:pt idx="14">
                  <c:v>69.044069076741124</c:v>
                </c:pt>
                <c:pt idx="15">
                  <c:v>73.747881919908181</c:v>
                </c:pt>
                <c:pt idx="16">
                  <c:v>78.562150729915047</c:v>
                </c:pt>
                <c:pt idx="17">
                  <c:v>83.479490191731728</c:v>
                </c:pt>
                <c:pt idx="18">
                  <c:v>88.492706115980909</c:v>
                </c:pt>
                <c:pt idx="19">
                  <c:v>93.59483822690197</c:v>
                </c:pt>
                <c:pt idx="20">
                  <c:v>98.779191115707633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54-4D61-B3BB-F3BF81CF2D8C}"/>
            </c:ext>
          </c:extLst>
        </c:ser>
        <c:ser>
          <c:idx val="1"/>
          <c:order val="1"/>
          <c:xVal>
            <c:numRef>
              <c:f>Лист1!$AG$10:$AG$30</c:f>
              <c:numCache>
                <c:formatCode>General</c:formatCode>
                <c:ptCount val="21"/>
                <c:pt idx="0">
                  <c:v>101.8395</c:v>
                </c:pt>
                <c:pt idx="1">
                  <c:v>96.508200000000002</c:v>
                </c:pt>
                <c:pt idx="2">
                  <c:v>91.256699999999995</c:v>
                </c:pt>
                <c:pt idx="3">
                  <c:v>86.089399999999998</c:v>
                </c:pt>
                <c:pt idx="4">
                  <c:v>81.014399999999995</c:v>
                </c:pt>
                <c:pt idx="5">
                  <c:v>76.040099999999995</c:v>
                </c:pt>
                <c:pt idx="6">
                  <c:v>71.175299999999993</c:v>
                </c:pt>
                <c:pt idx="7">
                  <c:v>66.428799999999995</c:v>
                </c:pt>
                <c:pt idx="8">
                  <c:v>61.8095</c:v>
                </c:pt>
                <c:pt idx="9">
                  <c:v>57.326099999999997</c:v>
                </c:pt>
                <c:pt idx="10">
                  <c:v>52.987200000000001</c:v>
                </c:pt>
                <c:pt idx="11">
                  <c:v>48.800699999999999</c:v>
                </c:pt>
                <c:pt idx="12">
                  <c:v>44.773699999999998</c:v>
                </c:pt>
                <c:pt idx="13">
                  <c:v>40.912799999999997</c:v>
                </c:pt>
                <c:pt idx="14">
                  <c:v>37.224200000000003</c:v>
                </c:pt>
                <c:pt idx="15">
                  <c:v>33.712600000000002</c:v>
                </c:pt>
                <c:pt idx="16">
                  <c:v>30.381499999999999</c:v>
                </c:pt>
                <c:pt idx="17">
                  <c:v>27.419499999999999</c:v>
                </c:pt>
                <c:pt idx="18">
                  <c:v>24.809100000000001</c:v>
                </c:pt>
                <c:pt idx="19">
                  <c:v>22.355499999999999</c:v>
                </c:pt>
                <c:pt idx="20">
                  <c:v>20.054400000000001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54-4D61-B3BB-F3BF81CF2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78528"/>
        <c:axId val="156879104"/>
      </c:scatterChart>
      <c:valAx>
        <c:axId val="1568785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79104"/>
        <c:crosses val="autoZero"/>
        <c:crossBetween val="midCat"/>
      </c:valAx>
      <c:valAx>
        <c:axId val="15687910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gravity gradient,</a:t>
            </a:r>
            <a:r>
              <a:rPr lang="en-US" baseline="0"/>
              <a:t> </a:t>
            </a:r>
            <a:r>
              <a:rPr lang="ru-RU" baseline="0"/>
              <a:t>атм/м</a:t>
            </a:r>
            <a:endParaRPr lang="ru-RU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85812866364918"/>
          <c:y val="0.1872324412908449"/>
          <c:w val="0.75826093112765003"/>
          <c:h val="0.78506072818805805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Лист1!$H$10:$H$30</c:f>
              <c:numCache>
                <c:formatCode>General</c:formatCode>
                <c:ptCount val="21"/>
                <c:pt idx="0">
                  <c:v>2.0133727235724944E-2</c:v>
                </c:pt>
                <c:pt idx="1">
                  <c:v>2.1685564749267031E-2</c:v>
                </c:pt>
                <c:pt idx="2">
                  <c:v>2.3255429133915633E-2</c:v>
                </c:pt>
                <c:pt idx="3">
                  <c:v>2.4836561722813864E-2</c:v>
                </c:pt>
                <c:pt idx="4">
                  <c:v>2.6421717578145366E-2</c:v>
                </c:pt>
                <c:pt idx="5">
                  <c:v>3.205337144427934E-2</c:v>
                </c:pt>
                <c:pt idx="6">
                  <c:v>3.3861784218948941E-2</c:v>
                </c:pt>
                <c:pt idx="7">
                  <c:v>3.5616394573130469E-2</c:v>
                </c:pt>
                <c:pt idx="8">
                  <c:v>3.730987140636316E-2</c:v>
                </c:pt>
                <c:pt idx="9">
                  <c:v>3.8936110963932673E-2</c:v>
                </c:pt>
                <c:pt idx="10">
                  <c:v>4.0490298264577E-2</c:v>
                </c:pt>
                <c:pt idx="11">
                  <c:v>4.1968902786290806E-2</c:v>
                </c:pt>
                <c:pt idx="12">
                  <c:v>4.3369620377403349E-2</c:v>
                </c:pt>
                <c:pt idx="13">
                  <c:v>4.4691274706748732E-2</c:v>
                </c:pt>
                <c:pt idx="14">
                  <c:v>4.5933691602027683E-2</c:v>
                </c:pt>
                <c:pt idx="15">
                  <c:v>4.7097558540002568E-2</c:v>
                </c:pt>
                <c:pt idx="16">
                  <c:v>4.8184279691223082E-2</c:v>
                </c:pt>
                <c:pt idx="17">
                  <c:v>4.9195834666591477E-2</c:v>
                </c:pt>
                <c:pt idx="18">
                  <c:v>5.0134646798267207E-2</c:v>
                </c:pt>
                <c:pt idx="19">
                  <c:v>5.1003464659602801E-2</c:v>
                </c:pt>
                <c:pt idx="20">
                  <c:v>5.1805258735775683E-2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5D-4574-A3BE-5495599EB186}"/>
            </c:ext>
          </c:extLst>
        </c:ser>
        <c:ser>
          <c:idx val="1"/>
          <c:order val="1"/>
          <c:xVal>
            <c:numRef>
              <c:f>Лист1!$AH$10:$AH$30</c:f>
              <c:numCache>
                <c:formatCode>General</c:formatCode>
                <c:ptCount val="21"/>
                <c:pt idx="0">
                  <c:v>5.32773E-2</c:v>
                </c:pt>
                <c:pt idx="1">
                  <c:v>5.2395999999999998E-2</c:v>
                </c:pt>
                <c:pt idx="2">
                  <c:v>5.1571899999999997E-2</c:v>
                </c:pt>
                <c:pt idx="3">
                  <c:v>5.0670699999999999E-2</c:v>
                </c:pt>
                <c:pt idx="4">
                  <c:v>4.9683400000000003E-2</c:v>
                </c:pt>
                <c:pt idx="5">
                  <c:v>4.86071E-2</c:v>
                </c:pt>
                <c:pt idx="6">
                  <c:v>4.74394E-2</c:v>
                </c:pt>
                <c:pt idx="7">
                  <c:v>4.6178799999999999E-2</c:v>
                </c:pt>
                <c:pt idx="8">
                  <c:v>4.4824900000000001E-2</c:v>
                </c:pt>
                <c:pt idx="9">
                  <c:v>4.33785E-2</c:v>
                </c:pt>
                <c:pt idx="10">
                  <c:v>4.1841799999999998E-2</c:v>
                </c:pt>
                <c:pt idx="11">
                  <c:v>4.0223399999999999E-2</c:v>
                </c:pt>
                <c:pt idx="12">
                  <c:v>3.8525700000000003E-2</c:v>
                </c:pt>
                <c:pt idx="13">
                  <c:v>3.6752399999999998E-2</c:v>
                </c:pt>
                <c:pt idx="14">
                  <c:v>3.4911299999999999E-2</c:v>
                </c:pt>
                <c:pt idx="15">
                  <c:v>3.3011199999999997E-2</c:v>
                </c:pt>
                <c:pt idx="16">
                  <c:v>3.1061999999999999E-2</c:v>
                </c:pt>
                <c:pt idx="17">
                  <c:v>2.5611999999999999E-2</c:v>
                </c:pt>
                <c:pt idx="18">
                  <c:v>2.3902400000000001E-2</c:v>
                </c:pt>
                <c:pt idx="19">
                  <c:v>2.2206099999999999E-2</c:v>
                </c:pt>
                <c:pt idx="20">
                  <c:v>2.0529499999999999E-2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5D-4574-A3BE-5495599E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81408"/>
        <c:axId val="156881984"/>
      </c:scatterChart>
      <c:valAx>
        <c:axId val="1568814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81984"/>
        <c:crosses val="autoZero"/>
        <c:crossBetween val="midCat"/>
      </c:valAx>
      <c:valAx>
        <c:axId val="15688198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8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friction gradient</a:t>
            </a:r>
            <a:r>
              <a:rPr lang="ru-RU"/>
              <a:t>, атм/м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3991367192845"/>
          <c:y val="0.18598299010700589"/>
          <c:w val="0.82335435558706815"/>
          <c:h val="0.7848422673127397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Лист1!$I$10:$I$30</c:f>
              <c:numCache>
                <c:formatCode>General</c:formatCode>
                <c:ptCount val="21"/>
                <c:pt idx="0">
                  <c:v>1.2312131118832545E-3</c:v>
                </c:pt>
                <c:pt idx="1">
                  <c:v>1.1263582903760642E-3</c:v>
                </c:pt>
                <c:pt idx="2">
                  <c:v>1.0363894295723768E-3</c:v>
                </c:pt>
                <c:pt idx="3">
                  <c:v>9.5844962124850132E-4</c:v>
                </c:pt>
                <c:pt idx="4">
                  <c:v>8.9045200256963127E-4</c:v>
                </c:pt>
                <c:pt idx="5">
                  <c:v>9.3381541621790568E-4</c:v>
                </c:pt>
                <c:pt idx="6">
                  <c:v>8.5875818858606998E-4</c:v>
                </c:pt>
                <c:pt idx="7">
                  <c:v>7.9431664378324437E-4</c:v>
                </c:pt>
                <c:pt idx="8">
                  <c:v>7.3872285149690839E-4</c:v>
                </c:pt>
                <c:pt idx="9">
                  <c:v>6.9055585269681217E-4</c:v>
                </c:pt>
                <c:pt idx="10">
                  <c:v>6.4866134318307942E-4</c:v>
                </c:pt>
                <c:pt idx="11">
                  <c:v>6.1209325354137038E-4</c:v>
                </c:pt>
                <c:pt idx="12">
                  <c:v>5.80070317916021E-4</c:v>
                </c:pt>
                <c:pt idx="13">
                  <c:v>5.5194318097676683E-4</c:v>
                </c:pt>
                <c:pt idx="14">
                  <c:v>5.2716908574460886E-4</c:v>
                </c:pt>
                <c:pt idx="15">
                  <c:v>5.052921249414687E-4</c:v>
                </c:pt>
                <c:pt idx="16">
                  <c:v>4.8592764813861584E-4</c:v>
                </c:pt>
                <c:pt idx="17">
                  <c:v>4.6874982248092334E-4</c:v>
                </c:pt>
                <c:pt idx="18">
                  <c:v>4.5348162044324793E-4</c:v>
                </c:pt>
                <c:pt idx="19">
                  <c:v>4.398866991140053E-4</c:v>
                </c:pt>
                <c:pt idx="20">
                  <c:v>4.277627701914591E-4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E1-41DD-9D70-0988FD259937}"/>
            </c:ext>
          </c:extLst>
        </c:ser>
        <c:ser>
          <c:idx val="1"/>
          <c:order val="1"/>
          <c:xVal>
            <c:numRef>
              <c:f>Лист1!$AI$10:$AI$30</c:f>
              <c:numCache>
                <c:formatCode>General</c:formatCode>
                <c:ptCount val="21"/>
                <c:pt idx="0">
                  <c:v>5.0011200000000004E-4</c:v>
                </c:pt>
                <c:pt idx="1">
                  <c:v>5.1710000000000005E-4</c:v>
                </c:pt>
                <c:pt idx="2">
                  <c:v>5.3458599999999998E-4</c:v>
                </c:pt>
                <c:pt idx="3">
                  <c:v>5.5436799999999996E-4</c:v>
                </c:pt>
                <c:pt idx="4">
                  <c:v>5.7686100000000002E-4</c:v>
                </c:pt>
                <c:pt idx="5">
                  <c:v>6.02482E-4</c:v>
                </c:pt>
                <c:pt idx="6">
                  <c:v>6.3172300000000005E-4</c:v>
                </c:pt>
                <c:pt idx="7">
                  <c:v>6.6516700000000004E-4</c:v>
                </c:pt>
                <c:pt idx="8">
                  <c:v>7.0350700000000003E-4</c:v>
                </c:pt>
                <c:pt idx="9">
                  <c:v>7.4757299999999997E-4</c:v>
                </c:pt>
                <c:pt idx="10">
                  <c:v>7.9836800000000004E-4</c:v>
                </c:pt>
                <c:pt idx="11">
                  <c:v>8.5722399999999996E-4</c:v>
                </c:pt>
                <c:pt idx="12">
                  <c:v>9.2561900000000003E-4</c:v>
                </c:pt>
                <c:pt idx="13">
                  <c:v>1.0053499999999999E-3</c:v>
                </c:pt>
                <c:pt idx="14">
                  <c:v>1.09874E-3</c:v>
                </c:pt>
                <c:pt idx="15">
                  <c:v>1.2087300000000001E-3</c:v>
                </c:pt>
                <c:pt idx="16">
                  <c:v>1.3391500000000001E-3</c:v>
                </c:pt>
                <c:pt idx="17">
                  <c:v>1.28878E-3</c:v>
                </c:pt>
                <c:pt idx="18">
                  <c:v>1.4134499999999999E-3</c:v>
                </c:pt>
                <c:pt idx="19">
                  <c:v>1.56087E-3</c:v>
                </c:pt>
                <c:pt idx="20">
                  <c:v>1.73766E-3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E1-41DD-9D70-0988FD25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2144"/>
        <c:axId val="235782720"/>
      </c:scatterChart>
      <c:valAx>
        <c:axId val="23578214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2720"/>
        <c:crosses val="autoZero"/>
        <c:crossBetween val="midCat"/>
      </c:valAx>
      <c:valAx>
        <c:axId val="235782720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acceleration gradient</a:t>
            </a:r>
            <a:r>
              <a:rPr lang="ru-RU"/>
              <a:t>, атм/м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Лист1!$J$10:$J$30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8-4E25-97A4-ED6270F303A5}"/>
            </c:ext>
          </c:extLst>
        </c:ser>
        <c:ser>
          <c:idx val="1"/>
          <c:order val="1"/>
          <c:xVal>
            <c:numRef>
              <c:f>Лист1!$AJ$10:$AJ$30</c:f>
              <c:numCache>
                <c:formatCode>General</c:formatCode>
                <c:ptCount val="21"/>
                <c:pt idx="0">
                  <c:v>6.9916399999999997E-8</c:v>
                </c:pt>
                <c:pt idx="1">
                  <c:v>6.2872999999999997E-8</c:v>
                </c:pt>
                <c:pt idx="2">
                  <c:v>7.0244899999999999E-8</c:v>
                </c:pt>
                <c:pt idx="3">
                  <c:v>7.8823599999999997E-8</c:v>
                </c:pt>
                <c:pt idx="4">
                  <c:v>8.86426E-8</c:v>
                </c:pt>
                <c:pt idx="5">
                  <c:v>9.9904999999999994E-8</c:v>
                </c:pt>
                <c:pt idx="6">
                  <c:v>1.1286099999999999E-7</c:v>
                </c:pt>
                <c:pt idx="7">
                  <c:v>1.2781100000000001E-7</c:v>
                </c:pt>
                <c:pt idx="8">
                  <c:v>1.4512099999999999E-7</c:v>
                </c:pt>
                <c:pt idx="9">
                  <c:v>1.6523400000000001E-7</c:v>
                </c:pt>
                <c:pt idx="10">
                  <c:v>1.8869700000000001E-7</c:v>
                </c:pt>
                <c:pt idx="11">
                  <c:v>2.16211E-7</c:v>
                </c:pt>
                <c:pt idx="12">
                  <c:v>2.48637E-7</c:v>
                </c:pt>
                <c:pt idx="13">
                  <c:v>2.8703E-7</c:v>
                </c:pt>
                <c:pt idx="14">
                  <c:v>3.32765E-7</c:v>
                </c:pt>
                <c:pt idx="15">
                  <c:v>3.8763399999999999E-7</c:v>
                </c:pt>
                <c:pt idx="16">
                  <c:v>4.5401399999999998E-7</c:v>
                </c:pt>
                <c:pt idx="17">
                  <c:v>4.5215500000000001E-7</c:v>
                </c:pt>
                <c:pt idx="18">
                  <c:v>5.1910700000000002E-7</c:v>
                </c:pt>
                <c:pt idx="19">
                  <c:v>5.9916699999999995E-7</c:v>
                </c:pt>
                <c:pt idx="20">
                  <c:v>6.9602999999999997E-7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F8-4E25-97A4-ED6270F30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4448"/>
        <c:axId val="235785024"/>
      </c:scatterChart>
      <c:valAx>
        <c:axId val="23578444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5024"/>
        <c:crosses val="autoZero"/>
        <c:crossBetween val="midCat"/>
      </c:valAx>
      <c:valAx>
        <c:axId val="23578502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vsl</a:t>
            </a:r>
            <a:r>
              <a:rPr lang="ru-RU"/>
              <a:t>, м/с</a:t>
            </a:r>
          </a:p>
        </c:rich>
      </c:tx>
      <c:layout>
        <c:manualLayout>
          <c:xMode val="edge"/>
          <c:yMode val="edge"/>
          <c:x val="0.51653916483188411"/>
          <c:y val="2.243589743589743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A4F9-46A8-9743-095DF9C30A7D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A4F9-46A8-9743-095DF9C30A7D}"/>
              </c:ext>
            </c:extLst>
          </c:dPt>
          <c:xVal>
            <c:numRef>
              <c:f>Лист1!$K$10:$K$30</c:f>
              <c:numCache>
                <c:formatCode>General</c:formatCode>
                <c:ptCount val="21"/>
                <c:pt idx="0">
                  <c:v>0.42795210547043167</c:v>
                </c:pt>
                <c:pt idx="1">
                  <c:v>0.42983721380291279</c:v>
                </c:pt>
                <c:pt idx="2">
                  <c:v>0.43180117535794565</c:v>
                </c:pt>
                <c:pt idx="3">
                  <c:v>0.43384230626040621</c:v>
                </c:pt>
                <c:pt idx="4">
                  <c:v>0.43595860228253669</c:v>
                </c:pt>
                <c:pt idx="5">
                  <c:v>0.43830880591412058</c:v>
                </c:pt>
                <c:pt idx="6">
                  <c:v>0.44075989082143152</c:v>
                </c:pt>
                <c:pt idx="7">
                  <c:v>0.44328989208333874</c:v>
                </c:pt>
                <c:pt idx="8">
                  <c:v>0.44589315887281772</c:v>
                </c:pt>
                <c:pt idx="9">
                  <c:v>0.44856358006435981</c:v>
                </c:pt>
                <c:pt idx="10">
                  <c:v>0.45129468148943969</c:v>
                </c:pt>
                <c:pt idx="11">
                  <c:v>0.4540797280739301</c:v>
                </c:pt>
                <c:pt idx="12">
                  <c:v>0.45691182580316114</c:v>
                </c:pt>
                <c:pt idx="13">
                  <c:v>0.45978401934545093</c:v>
                </c:pt>
                <c:pt idx="14">
                  <c:v>0.46268938214641264</c:v>
                </c:pt>
                <c:pt idx="15">
                  <c:v>0.46562109679300479</c:v>
                </c:pt>
                <c:pt idx="16">
                  <c:v>0.46857252436026053</c:v>
                </c:pt>
                <c:pt idx="17">
                  <c:v>0.47153726224021564</c:v>
                </c:pt>
                <c:pt idx="18">
                  <c:v>0.47450919058260033</c:v>
                </c:pt>
                <c:pt idx="19">
                  <c:v>0.47748250794391317</c:v>
                </c:pt>
                <c:pt idx="20">
                  <c:v>0.48045175705604648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F9-46A8-9743-095DF9C30A7D}"/>
            </c:ext>
          </c:extLst>
        </c:ser>
        <c:ser>
          <c:idx val="1"/>
          <c:order val="1"/>
          <c:xVal>
            <c:numRef>
              <c:f>Лист1!$AK$10:$AK$30</c:f>
              <c:numCache>
                <c:formatCode>General</c:formatCode>
                <c:ptCount val="21"/>
                <c:pt idx="0">
                  <c:v>0.44409999999999999</c:v>
                </c:pt>
                <c:pt idx="1">
                  <c:v>0.44109999999999999</c:v>
                </c:pt>
                <c:pt idx="2">
                  <c:v>0.43780000000000002</c:v>
                </c:pt>
                <c:pt idx="3">
                  <c:v>0.4345</c:v>
                </c:pt>
                <c:pt idx="4">
                  <c:v>0.43130000000000002</c:v>
                </c:pt>
                <c:pt idx="5">
                  <c:v>0.42809999999999998</c:v>
                </c:pt>
                <c:pt idx="6">
                  <c:v>0.4249</c:v>
                </c:pt>
                <c:pt idx="7">
                  <c:v>0.42170000000000002</c:v>
                </c:pt>
                <c:pt idx="8">
                  <c:v>0.41860000000000003</c:v>
                </c:pt>
                <c:pt idx="9">
                  <c:v>0.41560000000000002</c:v>
                </c:pt>
                <c:pt idx="10">
                  <c:v>0.41260000000000002</c:v>
                </c:pt>
                <c:pt idx="11">
                  <c:v>0.40970000000000001</c:v>
                </c:pt>
                <c:pt idx="12">
                  <c:v>0.40689999999999998</c:v>
                </c:pt>
                <c:pt idx="13">
                  <c:v>0.40410000000000001</c:v>
                </c:pt>
                <c:pt idx="14">
                  <c:v>0.40139999999999998</c:v>
                </c:pt>
                <c:pt idx="15">
                  <c:v>0.39879999999999999</c:v>
                </c:pt>
                <c:pt idx="16">
                  <c:v>0.39629999999999999</c:v>
                </c:pt>
                <c:pt idx="17">
                  <c:v>0.39389999999999997</c:v>
                </c:pt>
                <c:pt idx="18">
                  <c:v>0.3916</c:v>
                </c:pt>
                <c:pt idx="19">
                  <c:v>0.38940000000000002</c:v>
                </c:pt>
                <c:pt idx="20">
                  <c:v>0.38719999999999999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F9-46A8-9743-095DF9C3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6176"/>
        <c:axId val="235786752"/>
      </c:scatterChart>
      <c:valAx>
        <c:axId val="23578617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6752"/>
        <c:crosses val="autoZero"/>
        <c:crossBetween val="midCat"/>
      </c:valAx>
      <c:valAx>
        <c:axId val="235786752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vsg</a:t>
            </a:r>
            <a:r>
              <a:rPr lang="ru-RU"/>
              <a:t>, м/с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4863-46E9-885B-2F3006B38CE8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4863-46E9-885B-2F3006B38CE8}"/>
              </c:ext>
            </c:extLst>
          </c:dPt>
          <c:xVal>
            <c:numRef>
              <c:f>Лист1!$L$10:$L$30</c:f>
              <c:numCache>
                <c:formatCode>General</c:formatCode>
                <c:ptCount val="21"/>
                <c:pt idx="0">
                  <c:v>1.7580508134635693</c:v>
                </c:pt>
                <c:pt idx="1">
                  <c:v>1.5843045246382665</c:v>
                </c:pt>
                <c:pt idx="2">
                  <c:v>1.4319903564356937</c:v>
                </c:pt>
                <c:pt idx="3">
                  <c:v>1.2978743488239102</c:v>
                </c:pt>
                <c:pt idx="4">
                  <c:v>1.1793335117026298</c:v>
                </c:pt>
                <c:pt idx="5">
                  <c:v>1.0584843996495608</c:v>
                </c:pt>
                <c:pt idx="6">
                  <c:v>0.95192588540737377</c:v>
                </c:pt>
                <c:pt idx="7">
                  <c:v>0.85904623105112998</c:v>
                </c:pt>
                <c:pt idx="8">
                  <c:v>0.77773411098373557</c:v>
                </c:pt>
                <c:pt idx="9">
                  <c:v>0.70625912791615586</c:v>
                </c:pt>
                <c:pt idx="10">
                  <c:v>0.64319150151419868</c:v>
                </c:pt>
                <c:pt idx="11">
                  <c:v>0.58734167504768009</c:v>
                </c:pt>
                <c:pt idx="12">
                  <c:v>0.5377141214361415</c:v>
                </c:pt>
                <c:pt idx="13">
                  <c:v>0.49347147320879553</c:v>
                </c:pt>
                <c:pt idx="14">
                  <c:v>0.45390629360328422</c:v>
                </c:pt>
                <c:pt idx="15">
                  <c:v>0.41841859660295111</c:v>
                </c:pt>
                <c:pt idx="16">
                  <c:v>0.38649775851658863</c:v>
                </c:pt>
                <c:pt idx="17">
                  <c:v>0.35770783182191768</c:v>
                </c:pt>
                <c:pt idx="18">
                  <c:v>0.33167552924778804</c:v>
                </c:pt>
                <c:pt idx="19">
                  <c:v>0.30808032835054161</c:v>
                </c:pt>
                <c:pt idx="20">
                  <c:v>0.2866462777262026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3-46E9-885B-2F3006B38CE8}"/>
            </c:ext>
          </c:extLst>
        </c:ser>
        <c:ser>
          <c:idx val="1"/>
          <c:order val="1"/>
          <c:xVal>
            <c:numRef>
              <c:f>Лист1!$AL$10:$AL$30</c:f>
              <c:numCache>
                <c:formatCode>0.00</c:formatCode>
                <c:ptCount val="21"/>
                <c:pt idx="0">
                  <c:v>0.2215</c:v>
                </c:pt>
                <c:pt idx="1">
                  <c:v>0.2417</c:v>
                </c:pt>
                <c:pt idx="2">
                  <c:v>0.26219999999999999</c:v>
                </c:pt>
                <c:pt idx="3">
                  <c:v>0.2848</c:v>
                </c:pt>
                <c:pt idx="4">
                  <c:v>0.31</c:v>
                </c:pt>
                <c:pt idx="5">
                  <c:v>0.33800000000000002</c:v>
                </c:pt>
                <c:pt idx="6">
                  <c:v>0.36940000000000001</c:v>
                </c:pt>
                <c:pt idx="7">
                  <c:v>0.40460000000000002</c:v>
                </c:pt>
                <c:pt idx="8">
                  <c:v>0.44419999999999998</c:v>
                </c:pt>
                <c:pt idx="9">
                  <c:v>0.48880000000000001</c:v>
                </c:pt>
                <c:pt idx="10">
                  <c:v>0.53920000000000001</c:v>
                </c:pt>
                <c:pt idx="11">
                  <c:v>0.59640000000000004</c:v>
                </c:pt>
                <c:pt idx="12">
                  <c:v>0.66149999999999998</c:v>
                </c:pt>
                <c:pt idx="13">
                  <c:v>0.73580000000000001</c:v>
                </c:pt>
                <c:pt idx="14">
                  <c:v>0.82110000000000005</c:v>
                </c:pt>
                <c:pt idx="15">
                  <c:v>0.91920000000000002</c:v>
                </c:pt>
                <c:pt idx="16">
                  <c:v>1.0328999999999999</c:v>
                </c:pt>
                <c:pt idx="17">
                  <c:v>1.1548</c:v>
                </c:pt>
                <c:pt idx="18">
                  <c:v>1.2831999999999999</c:v>
                </c:pt>
                <c:pt idx="19">
                  <c:v>1.4298999999999999</c:v>
                </c:pt>
                <c:pt idx="20">
                  <c:v>1.5986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63-46E9-885B-2F3006B3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8480"/>
        <c:axId val="235789056"/>
      </c:scatterChart>
      <c:valAx>
        <c:axId val="23578848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9056"/>
        <c:crosses val="autoZero"/>
        <c:crossBetween val="midCat"/>
      </c:valAx>
      <c:valAx>
        <c:axId val="235789056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liquid hold up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C5FF-4A0E-9623-CDCEB1440159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C5FF-4A0E-9623-CDCEB1440159}"/>
              </c:ext>
            </c:extLst>
          </c:dPt>
          <c:xVal>
            <c:numRef>
              <c:f>Лист1!$M$10:$M$30</c:f>
              <c:numCache>
                <c:formatCode>General</c:formatCode>
                <c:ptCount val="21"/>
                <c:pt idx="0">
                  <c:v>0.32296538563273747</c:v>
                </c:pt>
                <c:pt idx="1">
                  <c:v>0.34117640663130477</c:v>
                </c:pt>
                <c:pt idx="2">
                  <c:v>0.35980203280277556</c:v>
                </c:pt>
                <c:pt idx="3">
                  <c:v>0.37877512682925052</c:v>
                </c:pt>
                <c:pt idx="4">
                  <c:v>0.39802110398056301</c:v>
                </c:pt>
                <c:pt idx="5">
                  <c:v>0.47880510448355018</c:v>
                </c:pt>
                <c:pt idx="6">
                  <c:v>0.50041370971908505</c:v>
                </c:pt>
                <c:pt idx="7">
                  <c:v>0.52180720733933894</c:v>
                </c:pt>
                <c:pt idx="8">
                  <c:v>0.5428814645887724</c:v>
                </c:pt>
                <c:pt idx="9">
                  <c:v>0.56354349650773772</c:v>
                </c:pt>
                <c:pt idx="10">
                  <c:v>0.58371279140806043</c:v>
                </c:pt>
                <c:pt idx="11">
                  <c:v>0.60332191014931658</c:v>
                </c:pt>
                <c:pt idx="12">
                  <c:v>0.6223164543950539</c:v>
                </c:pt>
                <c:pt idx="13">
                  <c:v>0.64065452451576532</c:v>
                </c:pt>
                <c:pt idx="14">
                  <c:v>0.65830579850593141</c:v>
                </c:pt>
                <c:pt idx="15">
                  <c:v>0.67525036042060571</c:v>
                </c:pt>
                <c:pt idx="16">
                  <c:v>0.69147739362328653</c:v>
                </c:pt>
                <c:pt idx="17">
                  <c:v>0.7069838345327103</c:v>
                </c:pt>
                <c:pt idx="18">
                  <c:v>0.7217730603287722</c:v>
                </c:pt>
                <c:pt idx="19">
                  <c:v>0.73585366222946191</c:v>
                </c:pt>
                <c:pt idx="20">
                  <c:v>0.74923833649924876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FF-4A0E-9623-CDCEB1440159}"/>
            </c:ext>
          </c:extLst>
        </c:ser>
        <c:ser>
          <c:idx val="1"/>
          <c:order val="1"/>
          <c:xVal>
            <c:numRef>
              <c:f>Лист1!$AM$10:$AM$30</c:f>
              <c:numCache>
                <c:formatCode>General</c:formatCode>
                <c:ptCount val="21"/>
                <c:pt idx="0">
                  <c:v>0.77780000000000005</c:v>
                </c:pt>
                <c:pt idx="1">
                  <c:v>0.76270000000000004</c:v>
                </c:pt>
                <c:pt idx="2">
                  <c:v>0.74809999999999999</c:v>
                </c:pt>
                <c:pt idx="3">
                  <c:v>0.73260000000000003</c:v>
                </c:pt>
                <c:pt idx="4">
                  <c:v>0.71630000000000005</c:v>
                </c:pt>
                <c:pt idx="5">
                  <c:v>0.69920000000000004</c:v>
                </c:pt>
                <c:pt idx="6">
                  <c:v>0.68110000000000004</c:v>
                </c:pt>
                <c:pt idx="7">
                  <c:v>0.6623</c:v>
                </c:pt>
                <c:pt idx="8">
                  <c:v>0.64270000000000005</c:v>
                </c:pt>
                <c:pt idx="9">
                  <c:v>0.62219999999999998</c:v>
                </c:pt>
                <c:pt idx="10">
                  <c:v>0.60109999999999997</c:v>
                </c:pt>
                <c:pt idx="11">
                  <c:v>0.57940000000000003</c:v>
                </c:pt>
                <c:pt idx="12">
                  <c:v>0.55720000000000003</c:v>
                </c:pt>
                <c:pt idx="13">
                  <c:v>0.53459999999999996</c:v>
                </c:pt>
                <c:pt idx="14">
                  <c:v>0.51160000000000005</c:v>
                </c:pt>
                <c:pt idx="15">
                  <c:v>0.4884</c:v>
                </c:pt>
                <c:pt idx="16">
                  <c:v>0.4652</c:v>
                </c:pt>
                <c:pt idx="17">
                  <c:v>0.38740000000000002</c:v>
                </c:pt>
                <c:pt idx="18">
                  <c:v>0.36659999999999998</c:v>
                </c:pt>
                <c:pt idx="19">
                  <c:v>0.3463</c:v>
                </c:pt>
                <c:pt idx="20">
                  <c:v>0.32650000000000001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FF-4A0E-9623-CDCEB1440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8768"/>
        <c:axId val="235529344"/>
      </c:scatterChart>
      <c:valAx>
        <c:axId val="23552876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529344"/>
        <c:crosses val="autoZero"/>
        <c:crossBetween val="midCat"/>
      </c:valAx>
      <c:valAx>
        <c:axId val="23552934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2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T, C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0DF4-49DD-A93E-721E5ADDE963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0DF4-49DD-A93E-721E5ADDE963}"/>
              </c:ext>
            </c:extLst>
          </c:dPt>
          <c:xVal>
            <c:numRef>
              <c:f>Лист1!$N$10:$N$30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F4-49DD-A93E-721E5ADDE963}"/>
            </c:ext>
          </c:extLst>
        </c:ser>
        <c:ser>
          <c:idx val="1"/>
          <c:order val="1"/>
          <c:xVal>
            <c:numRef>
              <c:f>Лист1!$AN$10:$AN$30</c:f>
              <c:numCache>
                <c:formatCode>General</c:formatCode>
                <c:ptCount val="21"/>
                <c:pt idx="0">
                  <c:v>120</c:v>
                </c:pt>
                <c:pt idx="1">
                  <c:v>115.958</c:v>
                </c:pt>
                <c:pt idx="2">
                  <c:v>110.9892</c:v>
                </c:pt>
                <c:pt idx="3">
                  <c:v>105.9855</c:v>
                </c:pt>
                <c:pt idx="4">
                  <c:v>100.9817</c:v>
                </c:pt>
                <c:pt idx="5">
                  <c:v>95.978200000000001</c:v>
                </c:pt>
                <c:pt idx="6">
                  <c:v>90.975200000000001</c:v>
                </c:pt>
                <c:pt idx="7">
                  <c:v>85.972499999999997</c:v>
                </c:pt>
                <c:pt idx="8">
                  <c:v>80.970399999999998</c:v>
                </c:pt>
                <c:pt idx="9">
                  <c:v>75.968699999999998</c:v>
                </c:pt>
                <c:pt idx="10">
                  <c:v>70.967600000000004</c:v>
                </c:pt>
                <c:pt idx="11">
                  <c:v>65.966999999999999</c:v>
                </c:pt>
                <c:pt idx="12">
                  <c:v>60.966999999999999</c:v>
                </c:pt>
                <c:pt idx="13">
                  <c:v>55.967500000000001</c:v>
                </c:pt>
                <c:pt idx="14">
                  <c:v>50.968699999999998</c:v>
                </c:pt>
                <c:pt idx="15">
                  <c:v>45.970300000000002</c:v>
                </c:pt>
                <c:pt idx="16">
                  <c:v>40.9724</c:v>
                </c:pt>
                <c:pt idx="17">
                  <c:v>35.996000000000002</c:v>
                </c:pt>
                <c:pt idx="18">
                  <c:v>30.999199999999998</c:v>
                </c:pt>
                <c:pt idx="19">
                  <c:v>26.0016</c:v>
                </c:pt>
                <c:pt idx="20">
                  <c:v>21.004100000000001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F4-49DD-A93E-721E5ADDE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072"/>
        <c:axId val="235531648"/>
      </c:scatterChart>
      <c:valAx>
        <c:axId val="23553107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531648"/>
        <c:crosses val="autoZero"/>
        <c:crossBetween val="midCat"/>
      </c:valAx>
      <c:valAx>
        <c:axId val="235531648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3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flow pattern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4B10-44E3-A663-5239507AD49E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4B10-44E3-A663-5239507AD49E}"/>
              </c:ext>
            </c:extLst>
          </c:dPt>
          <c:xVal>
            <c:numRef>
              <c:f>Лист1!$O$10:$O$30</c:f>
              <c:numCache>
                <c:formatCode>General</c:formatCode>
                <c:ptCount val="21"/>
                <c:pt idx="0">
                  <c:v>103</c:v>
                </c:pt>
                <c:pt idx="1">
                  <c:v>103</c:v>
                </c:pt>
                <c:pt idx="2">
                  <c:v>103</c:v>
                </c:pt>
                <c:pt idx="3">
                  <c:v>103</c:v>
                </c:pt>
                <c:pt idx="4">
                  <c:v>103</c:v>
                </c:pt>
                <c:pt idx="5">
                  <c:v>103</c:v>
                </c:pt>
                <c:pt idx="6">
                  <c:v>103</c:v>
                </c:pt>
                <c:pt idx="7">
                  <c:v>103</c:v>
                </c:pt>
                <c:pt idx="8">
                  <c:v>103</c:v>
                </c:pt>
                <c:pt idx="9">
                  <c:v>103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10-44E3-A663-5239507AD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78528"/>
        <c:axId val="156879104"/>
      </c:scatterChart>
      <c:valAx>
        <c:axId val="1568785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79104"/>
        <c:crosses val="autoZero"/>
        <c:crossBetween val="midCat"/>
      </c:valAx>
      <c:valAx>
        <c:axId val="15687910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0</xdr:rowOff>
        </xdr:from>
        <xdr:to>
          <xdr:col>9</xdr:col>
          <xdr:colOff>669471</xdr:colOff>
          <xdr:row>3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параметры потока в трубе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247171</xdr:colOff>
      <xdr:row>30</xdr:row>
      <xdr:rowOff>179293</xdr:rowOff>
    </xdr:from>
    <xdr:to>
      <xdr:col>4</xdr:col>
      <xdr:colOff>364192</xdr:colOff>
      <xdr:row>57</xdr:row>
      <xdr:rowOff>138472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161969</xdr:colOff>
      <xdr:row>3</xdr:row>
      <xdr:rowOff>152081</xdr:rowOff>
    </xdr:from>
    <xdr:to>
      <xdr:col>20</xdr:col>
      <xdr:colOff>69273</xdr:colOff>
      <xdr:row>30</xdr:row>
      <xdr:rowOff>97651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121228</xdr:colOff>
      <xdr:row>3</xdr:row>
      <xdr:rowOff>149679</xdr:rowOff>
    </xdr:from>
    <xdr:to>
      <xdr:col>25</xdr:col>
      <xdr:colOff>138545</xdr:colOff>
      <xdr:row>30</xdr:row>
      <xdr:rowOff>108857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207817</xdr:colOff>
      <xdr:row>3</xdr:row>
      <xdr:rowOff>149678</xdr:rowOff>
    </xdr:from>
    <xdr:to>
      <xdr:col>30</xdr:col>
      <xdr:colOff>340178</xdr:colOff>
      <xdr:row>30</xdr:row>
      <xdr:rowOff>95249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394607</xdr:colOff>
      <xdr:row>30</xdr:row>
      <xdr:rowOff>176892</xdr:rowOff>
    </xdr:from>
    <xdr:to>
      <xdr:col>21</xdr:col>
      <xdr:colOff>489858</xdr:colOff>
      <xdr:row>57</xdr:row>
      <xdr:rowOff>163285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598714</xdr:colOff>
      <xdr:row>31</xdr:row>
      <xdr:rowOff>13606</xdr:rowOff>
    </xdr:from>
    <xdr:to>
      <xdr:col>28</xdr:col>
      <xdr:colOff>231322</xdr:colOff>
      <xdr:row>57</xdr:row>
      <xdr:rowOff>163285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54427</xdr:colOff>
      <xdr:row>31</xdr:row>
      <xdr:rowOff>13606</xdr:rowOff>
    </xdr:from>
    <xdr:to>
      <xdr:col>15</xdr:col>
      <xdr:colOff>340179</xdr:colOff>
      <xdr:row>57</xdr:row>
      <xdr:rowOff>122463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557892</xdr:colOff>
      <xdr:row>31</xdr:row>
      <xdr:rowOff>13607</xdr:rowOff>
    </xdr:from>
    <xdr:to>
      <xdr:col>9</xdr:col>
      <xdr:colOff>748393</xdr:colOff>
      <xdr:row>57</xdr:row>
      <xdr:rowOff>149679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0</xdr:colOff>
      <xdr:row>31</xdr:row>
      <xdr:rowOff>0</xdr:rowOff>
    </xdr:from>
    <xdr:to>
      <xdr:col>34</xdr:col>
      <xdr:colOff>293914</xdr:colOff>
      <xdr:row>57</xdr:row>
      <xdr:rowOff>149679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97"/>
  <sheetViews>
    <sheetView tabSelected="1" zoomScale="70" zoomScaleNormal="70" workbookViewId="0">
      <selection activeCell="L5" sqref="L5"/>
    </sheetView>
  </sheetViews>
  <sheetFormatPr defaultRowHeight="14.6" x14ac:dyDescent="0.4"/>
  <cols>
    <col min="2" max="2" width="15.3828125" customWidth="1"/>
    <col min="3" max="3" width="14.69140625" customWidth="1"/>
    <col min="6" max="6" width="10.69140625" bestFit="1" customWidth="1"/>
    <col min="7" max="7" width="9.69140625" bestFit="1" customWidth="1"/>
    <col min="8" max="8" width="9.3046875" bestFit="1" customWidth="1"/>
    <col min="9" max="9" width="12.15234375" bestFit="1" customWidth="1"/>
    <col min="10" max="10" width="12" bestFit="1" customWidth="1"/>
    <col min="11" max="13" width="9.3046875" bestFit="1" customWidth="1"/>
    <col min="36" max="36" width="13" bestFit="1" customWidth="1"/>
    <col min="38" max="38" width="9.15234375" customWidth="1"/>
  </cols>
  <sheetData>
    <row r="1" spans="1:40" x14ac:dyDescent="0.4">
      <c r="A1" t="s">
        <v>30</v>
      </c>
    </row>
    <row r="2" spans="1:40" x14ac:dyDescent="0.4">
      <c r="A2" t="s">
        <v>31</v>
      </c>
    </row>
    <row r="3" spans="1:40" x14ac:dyDescent="0.4">
      <c r="A3" t="s">
        <v>32</v>
      </c>
    </row>
    <row r="7" spans="1:40" x14ac:dyDescent="0.4">
      <c r="B7" s="10" t="s">
        <v>33</v>
      </c>
      <c r="C7" s="10"/>
      <c r="F7" s="11" t="s">
        <v>34</v>
      </c>
      <c r="G7" s="12"/>
      <c r="H7" s="12"/>
      <c r="I7" s="12"/>
      <c r="J7" s="12"/>
      <c r="K7" s="12"/>
      <c r="L7" s="12"/>
      <c r="M7" s="12"/>
      <c r="N7" s="12"/>
      <c r="O7" s="12"/>
      <c r="AF7" s="2" t="s">
        <v>28</v>
      </c>
      <c r="AG7" s="2" t="s">
        <v>29</v>
      </c>
      <c r="AH7" s="2"/>
      <c r="AI7" s="2"/>
      <c r="AJ7" s="2"/>
      <c r="AK7" s="2"/>
      <c r="AL7" s="2"/>
      <c r="AM7" s="2"/>
      <c r="AN7" s="2"/>
    </row>
    <row r="8" spans="1:40" x14ac:dyDescent="0.4">
      <c r="F8" s="3" t="s">
        <v>19</v>
      </c>
      <c r="G8" s="3" t="s">
        <v>20</v>
      </c>
      <c r="H8" s="3" t="s">
        <v>21</v>
      </c>
      <c r="I8" s="3" t="s">
        <v>22</v>
      </c>
      <c r="J8" s="3" t="s">
        <v>23</v>
      </c>
      <c r="K8" s="3" t="s">
        <v>24</v>
      </c>
      <c r="L8" s="3" t="s">
        <v>25</v>
      </c>
      <c r="M8" s="3" t="s">
        <v>26</v>
      </c>
      <c r="N8" s="3" t="s">
        <v>27</v>
      </c>
      <c r="O8" s="3" t="s">
        <v>36</v>
      </c>
      <c r="AF8" s="2" t="s">
        <v>35</v>
      </c>
      <c r="AG8" s="2"/>
      <c r="AH8" s="2"/>
      <c r="AI8" s="2"/>
      <c r="AJ8" s="2"/>
      <c r="AK8" s="2"/>
      <c r="AL8" s="2"/>
      <c r="AM8" s="2"/>
      <c r="AN8" s="2"/>
    </row>
    <row r="9" spans="1:40" x14ac:dyDescent="0.4">
      <c r="B9" s="3" t="s">
        <v>0</v>
      </c>
      <c r="C9" s="7">
        <v>110</v>
      </c>
      <c r="F9" s="3"/>
      <c r="G9" s="3"/>
      <c r="H9" s="3"/>
      <c r="I9" s="3"/>
      <c r="J9" s="3"/>
      <c r="K9" s="3"/>
      <c r="L9" s="3"/>
      <c r="M9" s="3"/>
      <c r="N9" s="3"/>
      <c r="O9" s="3"/>
      <c r="AF9" s="3" t="s">
        <v>19</v>
      </c>
      <c r="AG9" s="3" t="s">
        <v>20</v>
      </c>
      <c r="AH9" s="3" t="s">
        <v>21</v>
      </c>
      <c r="AI9" s="3" t="s">
        <v>22</v>
      </c>
      <c r="AJ9" s="3" t="s">
        <v>23</v>
      </c>
      <c r="AK9" s="3" t="s">
        <v>24</v>
      </c>
      <c r="AL9" s="3" t="s">
        <v>25</v>
      </c>
      <c r="AM9" s="3" t="s">
        <v>26</v>
      </c>
      <c r="AN9" s="3" t="s">
        <v>27</v>
      </c>
    </row>
    <row r="10" spans="1:40" x14ac:dyDescent="0.4">
      <c r="B10" s="3" t="s">
        <v>1</v>
      </c>
      <c r="C10" s="7">
        <v>0</v>
      </c>
      <c r="F10">
        <v>0</v>
      </c>
      <c r="G10">
        <v>20</v>
      </c>
      <c r="H10">
        <v>2.0133727235724944E-2</v>
      </c>
      <c r="I10">
        <v>1.2312131118832545E-3</v>
      </c>
      <c r="J10">
        <v>0</v>
      </c>
      <c r="K10">
        <v>0.42795210547043167</v>
      </c>
      <c r="L10">
        <v>1.7580508134635693</v>
      </c>
      <c r="M10">
        <v>0.32296538563273747</v>
      </c>
      <c r="N10">
        <v>20</v>
      </c>
      <c r="O10">
        <v>103</v>
      </c>
      <c r="AF10" s="4">
        <f t="shared" ref="AF10:AF28" si="0">AF11+100</f>
        <v>2000</v>
      </c>
      <c r="AG10" s="4">
        <v>101.8395</v>
      </c>
      <c r="AH10" s="4">
        <v>5.32773E-2</v>
      </c>
      <c r="AI10" s="4">
        <v>5.0011200000000004E-4</v>
      </c>
      <c r="AJ10" s="4">
        <v>6.9916399999999997E-8</v>
      </c>
      <c r="AK10" s="4">
        <v>0.44409999999999999</v>
      </c>
      <c r="AL10" s="5">
        <v>0.2215</v>
      </c>
      <c r="AM10" s="4">
        <v>0.77780000000000005</v>
      </c>
      <c r="AN10" s="4">
        <v>120</v>
      </c>
    </row>
    <row r="11" spans="1:40" x14ac:dyDescent="0.4">
      <c r="B11" s="3" t="s">
        <v>4</v>
      </c>
      <c r="C11" s="7">
        <v>20</v>
      </c>
      <c r="F11">
        <v>105.26315789473684</v>
      </c>
      <c r="G11">
        <v>22.208527742514725</v>
      </c>
      <c r="H11">
        <v>2.1685564749267031E-2</v>
      </c>
      <c r="I11">
        <v>1.1263582903760642E-3</v>
      </c>
      <c r="J11">
        <v>0</v>
      </c>
      <c r="K11">
        <v>0.42983721380291279</v>
      </c>
      <c r="L11">
        <v>1.5843045246382665</v>
      </c>
      <c r="M11">
        <v>0.34117640663130477</v>
      </c>
      <c r="N11">
        <v>25</v>
      </c>
      <c r="O11">
        <v>103</v>
      </c>
      <c r="AF11" s="4">
        <f t="shared" si="0"/>
        <v>1900</v>
      </c>
      <c r="AG11" s="4">
        <v>96.508200000000002</v>
      </c>
      <c r="AH11" s="4">
        <v>5.2395999999999998E-2</v>
      </c>
      <c r="AI11" s="4">
        <v>5.1710000000000005E-4</v>
      </c>
      <c r="AJ11" s="4">
        <v>6.2872999999999997E-8</v>
      </c>
      <c r="AK11" s="4">
        <v>0.44109999999999999</v>
      </c>
      <c r="AL11" s="5">
        <v>0.2417</v>
      </c>
      <c r="AM11" s="4">
        <v>0.76270000000000004</v>
      </c>
      <c r="AN11" s="4">
        <v>115.958</v>
      </c>
    </row>
    <row r="12" spans="1:40" x14ac:dyDescent="0.4">
      <c r="B12" s="3" t="s">
        <v>18</v>
      </c>
      <c r="C12" s="7">
        <v>20</v>
      </c>
      <c r="F12">
        <v>210.52631578947367</v>
      </c>
      <c r="G12">
        <v>24.563481152330695</v>
      </c>
      <c r="H12">
        <v>2.3255429133915633E-2</v>
      </c>
      <c r="I12">
        <v>1.0363894295723768E-3</v>
      </c>
      <c r="J12">
        <v>0</v>
      </c>
      <c r="K12">
        <v>0.43180117535794565</v>
      </c>
      <c r="L12">
        <v>1.4319903564356937</v>
      </c>
      <c r="M12">
        <v>0.35980203280277556</v>
      </c>
      <c r="N12">
        <v>30</v>
      </c>
      <c r="O12">
        <v>103</v>
      </c>
      <c r="AF12" s="4">
        <f t="shared" si="0"/>
        <v>1800</v>
      </c>
      <c r="AG12" s="4">
        <v>91.256699999999995</v>
      </c>
      <c r="AH12" s="4">
        <v>5.1571899999999997E-2</v>
      </c>
      <c r="AI12" s="4">
        <v>5.3458599999999998E-4</v>
      </c>
      <c r="AJ12" s="4">
        <v>7.0244899999999999E-8</v>
      </c>
      <c r="AK12" s="4">
        <v>0.43780000000000002</v>
      </c>
      <c r="AL12" s="5">
        <v>0.26219999999999999</v>
      </c>
      <c r="AM12" s="4">
        <v>0.74809999999999999</v>
      </c>
      <c r="AN12" s="4">
        <v>110.9892</v>
      </c>
    </row>
    <row r="13" spans="1:40" x14ac:dyDescent="0.4">
      <c r="B13" s="3" t="s">
        <v>17</v>
      </c>
      <c r="C13" s="7">
        <v>120</v>
      </c>
      <c r="F13">
        <v>315.78947368421052</v>
      </c>
      <c r="G13">
        <v>27.067667743569892</v>
      </c>
      <c r="H13">
        <v>2.4836561722813864E-2</v>
      </c>
      <c r="I13">
        <v>9.5844962124850132E-4</v>
      </c>
      <c r="J13">
        <v>0</v>
      </c>
      <c r="K13">
        <v>0.43384230626040621</v>
      </c>
      <c r="L13">
        <v>1.2978743488239102</v>
      </c>
      <c r="M13">
        <v>0.37877512682925052</v>
      </c>
      <c r="N13">
        <v>35</v>
      </c>
      <c r="O13">
        <v>103</v>
      </c>
      <c r="AF13" s="4">
        <f t="shared" si="0"/>
        <v>1700</v>
      </c>
      <c r="AG13" s="4">
        <v>86.089399999999998</v>
      </c>
      <c r="AH13" s="4">
        <v>5.0670699999999999E-2</v>
      </c>
      <c r="AI13" s="4">
        <v>5.5436799999999996E-4</v>
      </c>
      <c r="AJ13" s="4">
        <v>7.8823599999999997E-8</v>
      </c>
      <c r="AK13" s="4">
        <v>0.4345</v>
      </c>
      <c r="AL13" s="5">
        <v>0.2848</v>
      </c>
      <c r="AM13" s="4">
        <v>0.73260000000000003</v>
      </c>
      <c r="AN13" s="4">
        <v>105.9855</v>
      </c>
    </row>
    <row r="14" spans="1:40" x14ac:dyDescent="0.4">
      <c r="B14" s="3" t="s">
        <v>2</v>
      </c>
      <c r="C14" s="7">
        <v>0</v>
      </c>
      <c r="F14">
        <v>421.05263157894734</v>
      </c>
      <c r="G14">
        <v>29.722948681447622</v>
      </c>
      <c r="H14">
        <v>2.6421717578145366E-2</v>
      </c>
      <c r="I14">
        <v>8.9045200256963127E-4</v>
      </c>
      <c r="J14">
        <v>0</v>
      </c>
      <c r="K14">
        <v>0.43595860228253669</v>
      </c>
      <c r="L14">
        <v>1.1793335117026298</v>
      </c>
      <c r="M14">
        <v>0.39802110398056301</v>
      </c>
      <c r="N14">
        <v>40</v>
      </c>
      <c r="O14">
        <v>103</v>
      </c>
      <c r="AF14" s="4">
        <f t="shared" si="0"/>
        <v>1600</v>
      </c>
      <c r="AG14" s="4">
        <v>81.014399999999995</v>
      </c>
      <c r="AH14" s="4">
        <v>4.9683400000000003E-2</v>
      </c>
      <c r="AI14" s="4">
        <v>5.7686100000000002E-4</v>
      </c>
      <c r="AJ14" s="4">
        <v>8.86426E-8</v>
      </c>
      <c r="AK14" s="4">
        <v>0.43130000000000002</v>
      </c>
      <c r="AL14" s="5">
        <v>0.31</v>
      </c>
      <c r="AM14" s="4">
        <v>0.71630000000000005</v>
      </c>
      <c r="AN14" s="4">
        <v>100.9817</v>
      </c>
    </row>
    <row r="15" spans="1:40" x14ac:dyDescent="0.4">
      <c r="B15" s="3" t="s">
        <v>3</v>
      </c>
      <c r="C15" s="7">
        <v>2000</v>
      </c>
      <c r="F15">
        <v>526.31578947368416</v>
      </c>
      <c r="G15">
        <v>32.894961966900127</v>
      </c>
      <c r="H15">
        <v>3.205337144427934E-2</v>
      </c>
      <c r="I15">
        <v>9.3381541621790568E-4</v>
      </c>
      <c r="J15">
        <v>0</v>
      </c>
      <c r="K15">
        <v>0.43830880591412058</v>
      </c>
      <c r="L15">
        <v>1.0584843996495608</v>
      </c>
      <c r="M15">
        <v>0.47880510448355018</v>
      </c>
      <c r="N15">
        <v>45</v>
      </c>
      <c r="O15">
        <v>103</v>
      </c>
      <c r="AF15" s="4">
        <f t="shared" si="0"/>
        <v>1500</v>
      </c>
      <c r="AG15" s="4">
        <v>76.040099999999995</v>
      </c>
      <c r="AH15" s="4">
        <v>4.86071E-2</v>
      </c>
      <c r="AI15" s="4">
        <v>6.02482E-4</v>
      </c>
      <c r="AJ15" s="4">
        <v>9.9904999999999994E-8</v>
      </c>
      <c r="AK15" s="4">
        <v>0.42809999999999998</v>
      </c>
      <c r="AL15" s="5">
        <v>0.33800000000000002</v>
      </c>
      <c r="AM15" s="4">
        <v>0.69920000000000004</v>
      </c>
      <c r="AN15" s="4">
        <v>95.978200000000001</v>
      </c>
    </row>
    <row r="16" spans="1:40" x14ac:dyDescent="0.4">
      <c r="B16" s="3" t="s">
        <v>7</v>
      </c>
      <c r="C16" s="7">
        <v>62</v>
      </c>
      <c r="F16">
        <v>631.57894736842104</v>
      </c>
      <c r="G16">
        <v>36.280666280519078</v>
      </c>
      <c r="H16">
        <v>3.3861784218948941E-2</v>
      </c>
      <c r="I16">
        <v>8.5875818858606998E-4</v>
      </c>
      <c r="J16">
        <v>0</v>
      </c>
      <c r="K16">
        <v>0.44075989082143152</v>
      </c>
      <c r="L16">
        <v>0.95192588540737377</v>
      </c>
      <c r="M16">
        <v>0.50041370971908505</v>
      </c>
      <c r="N16">
        <v>50</v>
      </c>
      <c r="O16">
        <v>103</v>
      </c>
      <c r="AF16" s="4">
        <f t="shared" si="0"/>
        <v>1400</v>
      </c>
      <c r="AG16" s="4">
        <v>71.175299999999993</v>
      </c>
      <c r="AH16" s="4">
        <v>4.74394E-2</v>
      </c>
      <c r="AI16" s="4">
        <v>6.3172300000000005E-4</v>
      </c>
      <c r="AJ16" s="4">
        <v>1.1286099999999999E-7</v>
      </c>
      <c r="AK16" s="4">
        <v>0.4249</v>
      </c>
      <c r="AL16" s="5">
        <v>0.36940000000000001</v>
      </c>
      <c r="AM16" s="4">
        <v>0.68110000000000004</v>
      </c>
      <c r="AN16" s="4">
        <v>90.975200000000001</v>
      </c>
    </row>
    <row r="17" spans="2:40" x14ac:dyDescent="0.4">
      <c r="B17" s="3" t="s">
        <v>8</v>
      </c>
      <c r="C17" s="7">
        <v>1.6000000000000001E-4</v>
      </c>
      <c r="F17">
        <v>736.8421052631578</v>
      </c>
      <c r="G17">
        <v>39.837629164120933</v>
      </c>
      <c r="H17">
        <v>3.5616394573130469E-2</v>
      </c>
      <c r="I17">
        <v>7.9431664378324437E-4</v>
      </c>
      <c r="J17">
        <v>0</v>
      </c>
      <c r="K17">
        <v>0.44328989208333874</v>
      </c>
      <c r="L17">
        <v>0.85904623105112998</v>
      </c>
      <c r="M17">
        <v>0.52180720733933894</v>
      </c>
      <c r="N17">
        <v>55</v>
      </c>
      <c r="O17">
        <v>103</v>
      </c>
      <c r="AF17" s="4">
        <f t="shared" si="0"/>
        <v>1300</v>
      </c>
      <c r="AG17" s="4">
        <v>66.428799999999995</v>
      </c>
      <c r="AH17" s="4">
        <v>4.6178799999999999E-2</v>
      </c>
      <c r="AI17" s="4">
        <v>6.6516700000000004E-4</v>
      </c>
      <c r="AJ17" s="4">
        <v>1.2781100000000001E-7</v>
      </c>
      <c r="AK17" s="4">
        <v>0.42170000000000002</v>
      </c>
      <c r="AL17" s="5">
        <v>0.40460000000000002</v>
      </c>
      <c r="AM17" s="4">
        <v>0.6623</v>
      </c>
      <c r="AN17" s="4">
        <v>85.972499999999997</v>
      </c>
    </row>
    <row r="18" spans="2:40" x14ac:dyDescent="0.4">
      <c r="F18">
        <v>842.10526315789468</v>
      </c>
      <c r="G18">
        <v>43.561063910990313</v>
      </c>
      <c r="H18">
        <v>3.730987140636316E-2</v>
      </c>
      <c r="I18">
        <v>7.3872285149690839E-4</v>
      </c>
      <c r="J18">
        <v>0</v>
      </c>
      <c r="K18">
        <v>0.44589315887281772</v>
      </c>
      <c r="L18">
        <v>0.77773411098373557</v>
      </c>
      <c r="M18">
        <v>0.5428814645887724</v>
      </c>
      <c r="N18">
        <v>60</v>
      </c>
      <c r="O18">
        <v>103</v>
      </c>
      <c r="AF18" s="4">
        <f t="shared" si="0"/>
        <v>1200</v>
      </c>
      <c r="AG18" s="4">
        <v>61.8095</v>
      </c>
      <c r="AH18" s="4">
        <v>4.4824900000000001E-2</v>
      </c>
      <c r="AI18" s="4">
        <v>7.0350700000000003E-4</v>
      </c>
      <c r="AJ18" s="4">
        <v>1.4512099999999999E-7</v>
      </c>
      <c r="AK18" s="4">
        <v>0.41860000000000003</v>
      </c>
      <c r="AL18" s="5">
        <v>0.44419999999999998</v>
      </c>
      <c r="AM18" s="4">
        <v>0.64270000000000005</v>
      </c>
      <c r="AN18" s="4">
        <v>80.970399999999998</v>
      </c>
    </row>
    <row r="19" spans="2:40" x14ac:dyDescent="0.4">
      <c r="B19" s="3" t="s">
        <v>9</v>
      </c>
      <c r="C19" s="7">
        <v>0.9</v>
      </c>
      <c r="F19">
        <v>947.36842105263156</v>
      </c>
      <c r="G19">
        <v>47.445352599647187</v>
      </c>
      <c r="H19">
        <v>3.8936110963932673E-2</v>
      </c>
      <c r="I19">
        <v>6.9055585269681217E-4</v>
      </c>
      <c r="J19">
        <v>0</v>
      </c>
      <c r="K19">
        <v>0.44856358006435981</v>
      </c>
      <c r="L19">
        <v>0.70625912791615586</v>
      </c>
      <c r="M19">
        <v>0.56354349650773772</v>
      </c>
      <c r="N19">
        <v>65</v>
      </c>
      <c r="O19">
        <v>103</v>
      </c>
      <c r="AF19" s="4">
        <f t="shared" si="0"/>
        <v>1100</v>
      </c>
      <c r="AG19" s="4">
        <v>57.326099999999997</v>
      </c>
      <c r="AH19" s="4">
        <v>4.33785E-2</v>
      </c>
      <c r="AI19" s="4">
        <v>7.4757299999999997E-4</v>
      </c>
      <c r="AJ19" s="4">
        <v>1.6523400000000001E-7</v>
      </c>
      <c r="AK19" s="4">
        <v>0.41560000000000002</v>
      </c>
      <c r="AL19" s="5">
        <v>0.48880000000000001</v>
      </c>
      <c r="AM19" s="4">
        <v>0.62219999999999998</v>
      </c>
      <c r="AN19" s="4">
        <v>75.968699999999998</v>
      </c>
    </row>
    <row r="20" spans="2:40" x14ac:dyDescent="0.4">
      <c r="B20" s="3" t="s">
        <v>10</v>
      </c>
      <c r="C20" s="7">
        <v>0.75</v>
      </c>
      <c r="F20">
        <v>1052.6315789473683</v>
      </c>
      <c r="G20">
        <v>51.484202952362459</v>
      </c>
      <c r="H20">
        <v>4.0490298264577E-2</v>
      </c>
      <c r="I20">
        <v>6.4866134318307942E-4</v>
      </c>
      <c r="J20">
        <v>0</v>
      </c>
      <c r="K20">
        <v>0.45129468148943969</v>
      </c>
      <c r="L20">
        <v>0.64319150151419868</v>
      </c>
      <c r="M20">
        <v>0.58371279140806043</v>
      </c>
      <c r="N20">
        <v>70</v>
      </c>
      <c r="O20">
        <v>103</v>
      </c>
      <c r="AF20" s="4">
        <f t="shared" si="0"/>
        <v>1000</v>
      </c>
      <c r="AG20" s="4">
        <v>52.987200000000001</v>
      </c>
      <c r="AH20" s="4">
        <v>4.1841799999999998E-2</v>
      </c>
      <c r="AI20" s="4">
        <v>7.9836800000000004E-4</v>
      </c>
      <c r="AJ20" s="4">
        <v>1.8869700000000001E-7</v>
      </c>
      <c r="AK20" s="4">
        <v>0.41260000000000002</v>
      </c>
      <c r="AL20" s="5">
        <v>0.53920000000000001</v>
      </c>
      <c r="AM20" s="4">
        <v>0.60109999999999997</v>
      </c>
      <c r="AN20" s="4">
        <v>70.967600000000004</v>
      </c>
    </row>
    <row r="21" spans="2:40" x14ac:dyDescent="0.4">
      <c r="B21" s="3" t="s">
        <v>11</v>
      </c>
      <c r="C21" s="7">
        <v>1</v>
      </c>
      <c r="F21">
        <v>1157.8947368421052</v>
      </c>
      <c r="G21">
        <v>55.670801093405693</v>
      </c>
      <c r="H21">
        <v>4.1968902786290806E-2</v>
      </c>
      <c r="I21">
        <v>6.1209325354137038E-4</v>
      </c>
      <c r="J21">
        <v>0</v>
      </c>
      <c r="K21">
        <v>0.4540797280739301</v>
      </c>
      <c r="L21">
        <v>0.58734167504768009</v>
      </c>
      <c r="M21">
        <v>0.60332191014931658</v>
      </c>
      <c r="N21">
        <v>75</v>
      </c>
      <c r="O21">
        <v>103</v>
      </c>
      <c r="AF21" s="4">
        <f t="shared" si="0"/>
        <v>900</v>
      </c>
      <c r="AG21" s="4">
        <v>48.800699999999999</v>
      </c>
      <c r="AH21" s="4">
        <v>4.0223399999999999E-2</v>
      </c>
      <c r="AI21" s="4">
        <v>8.5722399999999996E-4</v>
      </c>
      <c r="AJ21" s="4">
        <v>2.16211E-7</v>
      </c>
      <c r="AK21" s="4">
        <v>0.40970000000000001</v>
      </c>
      <c r="AL21" s="5">
        <v>0.59640000000000004</v>
      </c>
      <c r="AM21" s="4">
        <v>0.57940000000000003</v>
      </c>
      <c r="AN21" s="4">
        <v>65.966999999999999</v>
      </c>
    </row>
    <row r="22" spans="2:40" x14ac:dyDescent="0.4">
      <c r="B22" s="3" t="s">
        <v>12</v>
      </c>
      <c r="C22" s="7">
        <v>80</v>
      </c>
      <c r="F22">
        <v>1263.1578947368421</v>
      </c>
      <c r="G22">
        <v>59.997956032608421</v>
      </c>
      <c r="H22">
        <v>4.3369620377403349E-2</v>
      </c>
      <c r="I22">
        <v>5.80070317916021E-4</v>
      </c>
      <c r="J22">
        <v>0</v>
      </c>
      <c r="K22">
        <v>0.45691182580316114</v>
      </c>
      <c r="L22">
        <v>0.5377141214361415</v>
      </c>
      <c r="M22">
        <v>0.6223164543950539</v>
      </c>
      <c r="N22">
        <v>80</v>
      </c>
      <c r="O22">
        <v>103</v>
      </c>
      <c r="AF22" s="4">
        <f t="shared" si="0"/>
        <v>800</v>
      </c>
      <c r="AG22" s="4">
        <v>44.773699999999998</v>
      </c>
      <c r="AH22" s="4">
        <v>3.8525700000000003E-2</v>
      </c>
      <c r="AI22" s="4">
        <v>9.2561900000000003E-4</v>
      </c>
      <c r="AJ22" s="4">
        <v>2.48637E-7</v>
      </c>
      <c r="AK22" s="4">
        <v>0.40689999999999998</v>
      </c>
      <c r="AL22" s="5">
        <v>0.66149999999999998</v>
      </c>
      <c r="AM22" s="4">
        <v>0.55720000000000003</v>
      </c>
      <c r="AN22" s="4">
        <v>60.966999999999999</v>
      </c>
    </row>
    <row r="23" spans="2:40" x14ac:dyDescent="0.4">
      <c r="B23" s="3" t="s">
        <v>13</v>
      </c>
      <c r="C23" s="7">
        <v>100</v>
      </c>
      <c r="F23">
        <v>1368.421052631579</v>
      </c>
      <c r="G23">
        <v>64.458232417539151</v>
      </c>
      <c r="H23">
        <v>4.4691274706748732E-2</v>
      </c>
      <c r="I23">
        <v>5.5194318097676683E-4</v>
      </c>
      <c r="J23">
        <v>0</v>
      </c>
      <c r="K23">
        <v>0.45978401934545093</v>
      </c>
      <c r="L23">
        <v>0.49347147320879553</v>
      </c>
      <c r="M23">
        <v>0.64065452451576532</v>
      </c>
      <c r="N23">
        <v>85</v>
      </c>
      <c r="O23">
        <v>103</v>
      </c>
      <c r="AF23" s="4">
        <f t="shared" si="0"/>
        <v>700</v>
      </c>
      <c r="AG23" s="4">
        <v>40.912799999999997</v>
      </c>
      <c r="AH23" s="4">
        <v>3.6752399999999998E-2</v>
      </c>
      <c r="AI23" s="4">
        <v>1.0053499999999999E-3</v>
      </c>
      <c r="AJ23" s="4">
        <v>2.8703E-7</v>
      </c>
      <c r="AK23" s="4">
        <v>0.40410000000000001</v>
      </c>
      <c r="AL23" s="5">
        <v>0.73580000000000001</v>
      </c>
      <c r="AM23" s="4">
        <v>0.53459999999999996</v>
      </c>
      <c r="AN23" s="4">
        <v>55.967500000000001</v>
      </c>
    </row>
    <row r="24" spans="2:40" x14ac:dyDescent="0.4">
      <c r="B24" s="3" t="s">
        <v>14</v>
      </c>
      <c r="C24" s="7">
        <v>150</v>
      </c>
      <c r="F24">
        <v>1473.6842105263156</v>
      </c>
      <c r="G24">
        <v>69.044069076741124</v>
      </c>
      <c r="H24">
        <v>4.5933691602027683E-2</v>
      </c>
      <c r="I24">
        <v>5.2716908574460886E-4</v>
      </c>
      <c r="J24">
        <v>0</v>
      </c>
      <c r="K24">
        <v>0.46268938214641264</v>
      </c>
      <c r="L24">
        <v>0.45390629360328422</v>
      </c>
      <c r="M24">
        <v>0.65830579850593141</v>
      </c>
      <c r="N24">
        <v>90</v>
      </c>
      <c r="O24">
        <v>103</v>
      </c>
      <c r="AF24" s="4">
        <f t="shared" si="0"/>
        <v>600</v>
      </c>
      <c r="AG24" s="4">
        <v>37.224200000000003</v>
      </c>
      <c r="AH24" s="4">
        <v>3.4911299999999999E-2</v>
      </c>
      <c r="AI24" s="4">
        <v>1.09874E-3</v>
      </c>
      <c r="AJ24" s="4">
        <v>3.32765E-7</v>
      </c>
      <c r="AK24" s="4">
        <v>0.40139999999999998</v>
      </c>
      <c r="AL24" s="5">
        <v>0.82110000000000005</v>
      </c>
      <c r="AM24" s="4">
        <v>0.51160000000000005</v>
      </c>
      <c r="AN24" s="4">
        <v>50.968699999999998</v>
      </c>
    </row>
    <row r="25" spans="2:40" x14ac:dyDescent="0.4">
      <c r="B25" s="3" t="s">
        <v>15</v>
      </c>
      <c r="C25" s="7">
        <v>120</v>
      </c>
      <c r="F25">
        <v>1578.9473684210525</v>
      </c>
      <c r="G25">
        <v>73.747881919908181</v>
      </c>
      <c r="H25">
        <v>4.7097558540002568E-2</v>
      </c>
      <c r="I25">
        <v>5.052921249414687E-4</v>
      </c>
      <c r="J25">
        <v>0</v>
      </c>
      <c r="K25">
        <v>0.46562109679300479</v>
      </c>
      <c r="L25">
        <v>0.41841859660295111</v>
      </c>
      <c r="M25">
        <v>0.67525036042060571</v>
      </c>
      <c r="N25">
        <v>95</v>
      </c>
      <c r="O25">
        <v>103</v>
      </c>
      <c r="AF25" s="4">
        <f t="shared" si="0"/>
        <v>500</v>
      </c>
      <c r="AG25" s="4">
        <v>33.712600000000002</v>
      </c>
      <c r="AH25" s="4">
        <v>3.3011199999999997E-2</v>
      </c>
      <c r="AI25" s="4">
        <v>1.2087300000000001E-3</v>
      </c>
      <c r="AJ25" s="4">
        <v>3.8763399999999999E-7</v>
      </c>
      <c r="AK25" s="4">
        <v>0.39879999999999999</v>
      </c>
      <c r="AL25" s="5">
        <v>0.91920000000000002</v>
      </c>
      <c r="AM25" s="4">
        <v>0.4884</v>
      </c>
      <c r="AN25" s="4">
        <v>45.970300000000002</v>
      </c>
    </row>
    <row r="26" spans="2:40" x14ac:dyDescent="0.4">
      <c r="B26" s="3" t="s">
        <v>16</v>
      </c>
      <c r="C26" s="7">
        <v>1.2</v>
      </c>
      <c r="F26">
        <v>1684.2105263157894</v>
      </c>
      <c r="G26">
        <v>78.562150729915047</v>
      </c>
      <c r="H26">
        <v>4.8184279691223082E-2</v>
      </c>
      <c r="I26">
        <v>4.8592764813861584E-4</v>
      </c>
      <c r="J26">
        <v>0</v>
      </c>
      <c r="K26">
        <v>0.46857252436026053</v>
      </c>
      <c r="L26">
        <v>0.38649775851658863</v>
      </c>
      <c r="M26">
        <v>0.69147739362328653</v>
      </c>
      <c r="N26">
        <v>100</v>
      </c>
      <c r="O26">
        <v>103</v>
      </c>
      <c r="AF26" s="4">
        <f t="shared" si="0"/>
        <v>400</v>
      </c>
      <c r="AG26" s="4">
        <v>30.381499999999999</v>
      </c>
      <c r="AH26" s="4">
        <v>3.1061999999999999E-2</v>
      </c>
      <c r="AI26" s="4">
        <v>1.3391500000000001E-3</v>
      </c>
      <c r="AJ26" s="4">
        <v>4.5401399999999998E-7</v>
      </c>
      <c r="AK26" s="4">
        <v>0.39629999999999999</v>
      </c>
      <c r="AL26" s="5">
        <v>1.0328999999999999</v>
      </c>
      <c r="AM26" s="4">
        <v>0.4652</v>
      </c>
      <c r="AN26" s="4">
        <v>40.9724</v>
      </c>
    </row>
    <row r="27" spans="2:40" x14ac:dyDescent="0.4">
      <c r="B27" s="6" t="s">
        <v>37</v>
      </c>
      <c r="C27" s="8">
        <v>0.2</v>
      </c>
      <c r="F27">
        <v>1789.4736842105262</v>
      </c>
      <c r="G27">
        <v>83.479490191731728</v>
      </c>
      <c r="H27">
        <v>4.9195834666591477E-2</v>
      </c>
      <c r="I27">
        <v>4.6874982248092334E-4</v>
      </c>
      <c r="J27">
        <v>0</v>
      </c>
      <c r="K27">
        <v>0.47153726224021564</v>
      </c>
      <c r="L27">
        <v>0.35770783182191768</v>
      </c>
      <c r="M27">
        <v>0.7069838345327103</v>
      </c>
      <c r="N27">
        <v>105</v>
      </c>
      <c r="O27">
        <v>103</v>
      </c>
      <c r="AF27" s="4">
        <f t="shared" si="0"/>
        <v>300</v>
      </c>
      <c r="AG27" s="4">
        <v>27.419499999999999</v>
      </c>
      <c r="AH27" s="4">
        <v>2.5611999999999999E-2</v>
      </c>
      <c r="AI27" s="4">
        <v>1.28878E-3</v>
      </c>
      <c r="AJ27" s="4">
        <v>4.5215500000000001E-7</v>
      </c>
      <c r="AK27" s="4">
        <v>0.39389999999999997</v>
      </c>
      <c r="AL27" s="5">
        <v>1.1548</v>
      </c>
      <c r="AM27" s="4">
        <v>0.38740000000000002</v>
      </c>
      <c r="AN27" s="4">
        <v>35.996000000000002</v>
      </c>
    </row>
    <row r="28" spans="2:40" x14ac:dyDescent="0.4">
      <c r="B28" s="3" t="s">
        <v>5</v>
      </c>
      <c r="C28" s="9">
        <v>98.779191115707633</v>
      </c>
      <c r="F28">
        <v>1894.7368421052631</v>
      </c>
      <c r="G28">
        <v>88.492706115980909</v>
      </c>
      <c r="H28">
        <v>5.0134646798267207E-2</v>
      </c>
      <c r="I28">
        <v>4.5348162044324793E-4</v>
      </c>
      <c r="J28">
        <v>0</v>
      </c>
      <c r="K28">
        <v>0.47450919058260033</v>
      </c>
      <c r="L28">
        <v>0.33167552924778804</v>
      </c>
      <c r="M28">
        <v>0.7217730603287722</v>
      </c>
      <c r="N28">
        <v>110</v>
      </c>
      <c r="O28">
        <v>103</v>
      </c>
      <c r="AF28" s="4">
        <f t="shared" si="0"/>
        <v>200</v>
      </c>
      <c r="AG28" s="4">
        <v>24.809100000000001</v>
      </c>
      <c r="AH28" s="4">
        <v>2.3902400000000001E-2</v>
      </c>
      <c r="AI28" s="4">
        <v>1.4134499999999999E-3</v>
      </c>
      <c r="AJ28" s="4">
        <v>5.1910700000000002E-7</v>
      </c>
      <c r="AK28" s="4">
        <v>0.3916</v>
      </c>
      <c r="AL28" s="5">
        <v>1.2831999999999999</v>
      </c>
      <c r="AM28" s="4">
        <v>0.36659999999999998</v>
      </c>
      <c r="AN28" s="4">
        <v>30.999199999999998</v>
      </c>
    </row>
    <row r="29" spans="2:40" x14ac:dyDescent="0.4">
      <c r="B29" s="3" t="s">
        <v>6</v>
      </c>
      <c r="C29" s="9">
        <v>120</v>
      </c>
      <c r="F29">
        <v>1999.99</v>
      </c>
      <c r="G29">
        <v>93.59483822690197</v>
      </c>
      <c r="H29">
        <v>5.1003464659602801E-2</v>
      </c>
      <c r="I29">
        <v>4.398866991140053E-4</v>
      </c>
      <c r="J29">
        <v>0</v>
      </c>
      <c r="K29">
        <v>0.47748250794391317</v>
      </c>
      <c r="L29">
        <v>0.30808032835054161</v>
      </c>
      <c r="M29">
        <v>0.73585366222946191</v>
      </c>
      <c r="N29">
        <v>115</v>
      </c>
      <c r="O29">
        <v>103</v>
      </c>
      <c r="AF29" s="4">
        <f>AF30+100</f>
        <v>100</v>
      </c>
      <c r="AG29" s="4">
        <v>22.355499999999999</v>
      </c>
      <c r="AH29" s="4">
        <v>2.2206099999999999E-2</v>
      </c>
      <c r="AI29" s="4">
        <v>1.56087E-3</v>
      </c>
      <c r="AJ29" s="4">
        <v>5.9916699999999995E-7</v>
      </c>
      <c r="AK29" s="4">
        <v>0.38940000000000002</v>
      </c>
      <c r="AL29" s="5">
        <v>1.4298999999999999</v>
      </c>
      <c r="AM29" s="4">
        <v>0.3463</v>
      </c>
      <c r="AN29" s="4">
        <v>26.0016</v>
      </c>
    </row>
    <row r="30" spans="2:40" x14ac:dyDescent="0.4">
      <c r="F30">
        <v>2000</v>
      </c>
      <c r="G30">
        <v>98.779191115707633</v>
      </c>
      <c r="H30">
        <v>5.1805258735775683E-2</v>
      </c>
      <c r="I30">
        <v>4.277627701914591E-4</v>
      </c>
      <c r="J30">
        <v>0</v>
      </c>
      <c r="K30">
        <v>0.48045175705604648</v>
      </c>
      <c r="L30">
        <v>0.2866462777262026</v>
      </c>
      <c r="M30">
        <v>0.74923833649924876</v>
      </c>
      <c r="N30">
        <v>120</v>
      </c>
      <c r="O30">
        <v>103</v>
      </c>
      <c r="AF30" s="4">
        <v>0</v>
      </c>
      <c r="AG30" s="4">
        <v>20.054400000000001</v>
      </c>
      <c r="AH30" s="4">
        <v>2.0529499999999999E-2</v>
      </c>
      <c r="AI30" s="4">
        <v>1.73766E-3</v>
      </c>
      <c r="AJ30" s="4">
        <v>6.9602999999999997E-7</v>
      </c>
      <c r="AK30" s="4">
        <v>0.38719999999999999</v>
      </c>
      <c r="AL30" s="5">
        <v>1.5986</v>
      </c>
      <c r="AM30" s="4">
        <v>0.32650000000000001</v>
      </c>
      <c r="AN30" s="4">
        <v>21.004100000000001</v>
      </c>
    </row>
    <row r="97" spans="1:9" x14ac:dyDescent="0.4">
      <c r="A97" s="1" t="s">
        <v>19</v>
      </c>
      <c r="B97" s="1" t="s">
        <v>20</v>
      </c>
      <c r="C97" s="1" t="s">
        <v>21</v>
      </c>
      <c r="D97" s="1" t="s">
        <v>22</v>
      </c>
      <c r="E97" s="1" t="s">
        <v>23</v>
      </c>
      <c r="F97" s="1" t="s">
        <v>24</v>
      </c>
      <c r="G97" s="1" t="s">
        <v>25</v>
      </c>
      <c r="H97" s="1" t="s">
        <v>26</v>
      </c>
      <c r="I97" s="1" t="s">
        <v>27</v>
      </c>
    </row>
  </sheetData>
  <mergeCells count="2">
    <mergeCell ref="B7:C7"/>
    <mergeCell ref="F7:O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Кнопка1_Щелчок">
                <anchor moveWithCells="1" sizeWithCells="1">
                  <from>
                    <xdr:col>7</xdr:col>
                    <xdr:colOff>38100</xdr:colOff>
                    <xdr:row>1</xdr:row>
                    <xdr:rowOff>0</xdr:rowOff>
                  </from>
                  <to>
                    <xdr:col>9</xdr:col>
                    <xdr:colOff>669471</xdr:colOff>
                    <xdr:row>3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Лист1</vt:lpstr>
      <vt:lpstr>Bob_m3m3</vt:lpstr>
      <vt:lpstr>d_mm</vt:lpstr>
      <vt:lpstr>dpdl_aCurve</vt:lpstr>
      <vt:lpstr>dpdl_fCurve</vt:lpstr>
      <vt:lpstr>dpdl_gCurve</vt:lpstr>
      <vt:lpstr>fpat_</vt:lpstr>
      <vt:lpstr>gamma_gas</vt:lpstr>
      <vt:lpstr>gamma_oil</vt:lpstr>
      <vt:lpstr>gamma_wat</vt:lpstr>
      <vt:lpstr>Hl</vt:lpstr>
      <vt:lpstr>Hmes0_m</vt:lpstr>
      <vt:lpstr>Hmes1_m</vt:lpstr>
      <vt:lpstr>mdd</vt:lpstr>
      <vt:lpstr>Muob_cP</vt:lpstr>
      <vt:lpstr>p_</vt:lpstr>
      <vt:lpstr>Pb_atma</vt:lpstr>
      <vt:lpstr>Pcalc_atma</vt:lpstr>
      <vt:lpstr>Pout</vt:lpstr>
      <vt:lpstr>Q_m3Day</vt:lpstr>
      <vt:lpstr>roughness_m</vt:lpstr>
      <vt:lpstr>Rp_m3m3</vt:lpstr>
      <vt:lpstr>Rsb_m3m3</vt:lpstr>
      <vt:lpstr>T_</vt:lpstr>
      <vt:lpstr>Tcalc_C</vt:lpstr>
      <vt:lpstr>Tother_C</vt:lpstr>
      <vt:lpstr>Tout</vt:lpstr>
      <vt:lpstr>Tres_C</vt:lpstr>
      <vt:lpstr>vsg</vt:lpstr>
      <vt:lpstr>vsl</vt:lpstr>
      <vt:lpstr>WCT_perc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Киян Артём</dc:creator>
  <cp:lastModifiedBy>Ринат Хабибуллин</cp:lastModifiedBy>
  <dcterms:created xsi:type="dcterms:W3CDTF">2018-11-09T12:42:12Z</dcterms:created>
  <dcterms:modified xsi:type="dcterms:W3CDTF">2019-03-17T12:50:43Z</dcterms:modified>
</cp:coreProperties>
</file>