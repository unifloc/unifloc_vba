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rnt\unifloc_vba\ИРМ\"/>
    </mc:Choice>
  </mc:AlternateContent>
  <xr:revisionPtr revIDLastSave="0" documentId="13_ncr:1_{A2175A39-2CC2-4232-960D-2E0BF104E433}" xr6:coauthVersionLast="37" xr6:coauthVersionMax="37" xr10:uidLastSave="{00000000-0000-0000-0000-000000000000}"/>
  <bookViews>
    <workbookView xWindow="0" yWindow="0" windowWidth="9000" windowHeight="8374" tabRatio="402" activeTab="1" xr2:uid="{00000000-000D-0000-FFFF-FFFF00000000}"/>
  </bookViews>
  <sheets>
    <sheet name="Унифлок" sheetId="6" r:id="rId1"/>
    <sheet name="PVT" sheetId="4" r:id="rId2"/>
  </sheets>
  <externalReferences>
    <externalReference r:id="rId3"/>
  </externalReferences>
  <definedNames>
    <definedName name="betta_fric_">#REF!</definedName>
    <definedName name="betta_grav_">#REF!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#REF!</definedName>
    <definedName name="correlation_PVT_fontan_">#REF!</definedName>
    <definedName name="correlation_T_fontan_">#REF!</definedName>
    <definedName name="dcas_arr_mm_">#REF!</definedName>
    <definedName name="dcas_mm_">#REF!</definedName>
    <definedName name="dcas_out_mm_">#REF!</definedName>
    <definedName name="dchoke_mm_">#REF!</definedName>
    <definedName name="dtub_arr_mm_">#REF!</definedName>
    <definedName name="dtub_mm_">#REF!</definedName>
    <definedName name="dtub_out_mm_">#REF!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#REF!</definedName>
    <definedName name="Hlout_hmes_m_">#REF!</definedName>
    <definedName name="hmes_dcas_m_">#REF!</definedName>
    <definedName name="hmes_dcas_out_m_">#REF!</definedName>
    <definedName name="hmes_dtub_m_">#REF!</definedName>
    <definedName name="hmes_dtub_out_m_">#REF!</definedName>
    <definedName name="hmes_incl_m_">#REF!</definedName>
    <definedName name="hmes_incl_out_m_">#REF!</definedName>
    <definedName name="Hmes_mes_m_">#REF!</definedName>
    <definedName name="hmes_out_">#REF!</definedName>
    <definedName name="hmes_tamb_m_">#REF!</definedName>
    <definedName name="hmes_tamb_out_m_">#REF!</definedName>
    <definedName name="Hout_">#REF!</definedName>
    <definedName name="Hperf_m_">#REF!</definedName>
    <definedName name="Htub_m_">#REF!</definedName>
    <definedName name="hvert_incl_m_">#REF!</definedName>
    <definedName name="hvert_incl_out_m_">#REF!</definedName>
    <definedName name="HydrCorr_">#REF!</definedName>
    <definedName name="HydrCorr_selector_">#REF!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#REF!</definedName>
    <definedName name="Pb_atma_" localSheetId="1">PVT!$G$15</definedName>
    <definedName name="Pb_diff_">PVT!$W$33</definedName>
    <definedName name="Pbuf_atma_">#REF!</definedName>
    <definedName name="Pbuf_out_atma_">#REF!</definedName>
    <definedName name="Plin_mes_atma_">#REF!</definedName>
    <definedName name="Pline_atma_">#REF!</definedName>
    <definedName name="Pline_out_atma_">#REF!</definedName>
    <definedName name="pmes_out_">#REF!</definedName>
    <definedName name="Pout_">#REF!</definedName>
    <definedName name="Pout_atma_">#REF!</definedName>
    <definedName name="Pout_hmes_m_">#REF!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#REF!</definedName>
    <definedName name="Pwf_atma_">#REF!</definedName>
    <definedName name="Pwf_out_atma_">#REF!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#REF!</definedName>
    <definedName name="tamb_C_">#REF!</definedName>
    <definedName name="tamb_out_C_">#REF!</definedName>
    <definedName name="Tbh_c_">#REF!</definedName>
    <definedName name="Tbuf_out_C_">#REF!</definedName>
    <definedName name="Tlin_mes_C_">#REF!</definedName>
    <definedName name="Tline_out_C_">#REF!</definedName>
    <definedName name="tmes_out_">#REF!</definedName>
    <definedName name="Tout_C_">#REF!</definedName>
    <definedName name="Tout_hmes_m_">#REF!</definedName>
    <definedName name="Tres_C_" localSheetId="1">PVT!$G$14</definedName>
    <definedName name="Tsc_C_" localSheetId="1">PVT!$K$3</definedName>
    <definedName name="Tsep_C_" localSheetId="1">PVT!$O$10</definedName>
    <definedName name="Twf_out_C_">#REF!</definedName>
    <definedName name="Twh_C_">#REF!</definedName>
    <definedName name="udl_out_m_">#REF!</definedName>
    <definedName name="wc_perc_" localSheetId="1">PVT!$K$9</definedName>
    <definedName name="версия_">Унифлок!$A$1</definedName>
    <definedName name="версия_номер_">Унифлок!$B$1</definedName>
  </definedNames>
  <calcPr calcId="179021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4" i="6" l="1"/>
  <c r="A1" i="6"/>
  <c r="AA36" i="4"/>
  <c r="AA35" i="4"/>
  <c r="AB36" i="4"/>
  <c r="AB35" i="4"/>
  <c r="W38" i="4"/>
  <c r="W37" i="4"/>
  <c r="M37" i="4"/>
  <c r="E36" i="4"/>
  <c r="M36" i="4"/>
  <c r="E34" i="4"/>
  <c r="E37" i="4"/>
  <c r="T33" i="4"/>
  <c r="M40" i="4"/>
  <c r="C45" i="4"/>
  <c r="C36" i="4"/>
  <c r="C34" i="4"/>
  <c r="I35" i="4"/>
  <c r="C44" i="4"/>
  <c r="M35" i="4"/>
  <c r="C35" i="4"/>
  <c r="E35" i="4"/>
  <c r="C23" i="4"/>
  <c r="E33" i="4"/>
  <c r="C49" i="4"/>
  <c r="M34" i="4"/>
  <c r="E32" i="4"/>
  <c r="C32" i="4"/>
  <c r="C40" i="4"/>
  <c r="V33" i="4"/>
  <c r="I34" i="4"/>
  <c r="C27" i="4"/>
  <c r="V35" i="4"/>
  <c r="G23" i="4"/>
  <c r="C37" i="4"/>
  <c r="C43" i="4"/>
  <c r="I32" i="4"/>
  <c r="M33" i="4"/>
  <c r="I37" i="4"/>
  <c r="C33" i="4"/>
  <c r="C26" i="4"/>
  <c r="M32" i="4"/>
  <c r="V34" i="4"/>
  <c r="I36" i="4"/>
  <c r="C28" i="4"/>
  <c r="I33" i="4"/>
  <c r="T35" i="4"/>
  <c r="A1" i="4" l="1"/>
  <c r="T34" i="4"/>
  <c r="V36" i="4"/>
  <c r="T36" i="4"/>
  <c r="X44" i="4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sharedStrings.xml><?xml version="1.0" encoding="utf-8"?>
<sst xmlns="http://schemas.openxmlformats.org/spreadsheetml/2006/main" count="158" uniqueCount="108">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</sst>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2" borderId="0" xfId="0" applyFill="1"/>
    <xf numFmtId="0" fontId="0" fillId="3" borderId="0" xfId="0" applyFill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3" borderId="0" xfId="0" applyFill="1" applyAlignment="1"/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0" fontId="0" fillId="3" borderId="0" xfId="0" applyFill="1" applyBorder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0" fontId="0" fillId="3" borderId="0" xfId="0" applyFill="1" applyBorder="1" applyAlignment="1">
      <alignment horizontal="center" vertical="center"/>
    </xf>
    <xf numFmtId="2" fontId="0" fillId="5" borderId="0" xfId="0" applyNumberFormat="1" applyFill="1" applyBorder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1" fontId="9" fillId="3" borderId="0" xfId="0" applyNumberFormat="1" applyFont="1" applyFill="1" applyBorder="1" applyAlignment="1">
      <alignment horizontal="center" vertical="center"/>
    </xf>
    <xf numFmtId="9" fontId="9" fillId="3" borderId="0" xfId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left" vertical="center"/>
    </xf>
    <xf numFmtId="10" fontId="0" fillId="3" borderId="0" xfId="1" applyNumberFormat="1" applyFont="1" applyFill="1" applyBorder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2" fontId="9" fillId="3" borderId="0" xfId="0" applyNumberFormat="1" applyFont="1" applyFill="1" applyBorder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2.870269071828853</c:v>
                </c:pt>
                <c:pt idx="1">
                  <c:v>12.759697733962112</c:v>
                </c:pt>
                <c:pt idx="2">
                  <c:v>19.483214075380882</c:v>
                </c:pt>
                <c:pt idx="3">
                  <c:v>25.238144963591264</c:v>
                </c:pt>
                <c:pt idx="4">
                  <c:v>30.471191957275128</c:v>
                </c:pt>
                <c:pt idx="5">
                  <c:v>35.374484404416215</c:v>
                </c:pt>
                <c:pt idx="6">
                  <c:v>40.052888260284789</c:v>
                </c:pt>
                <c:pt idx="7">
                  <c:v>44.571532055403182</c:v>
                </c:pt>
                <c:pt idx="8">
                  <c:v>48.974345089004089</c:v>
                </c:pt>
                <c:pt idx="9">
                  <c:v>53.292717487793936</c:v>
                </c:pt>
                <c:pt idx="10">
                  <c:v>57.550058755974867</c:v>
                </c:pt>
                <c:pt idx="11">
                  <c:v>61.764412255320103</c:v>
                </c:pt>
                <c:pt idx="12">
                  <c:v>65.950055317721166</c:v>
                </c:pt>
                <c:pt idx="13">
                  <c:v>70.118529822505295</c:v>
                </c:pt>
                <c:pt idx="14">
                  <c:v>74.279333899938706</c:v>
                </c:pt>
                <c:pt idx="15">
                  <c:v>78.440402271586834</c:v>
                </c:pt>
                <c:pt idx="16">
                  <c:v>82.608449498452316</c:v>
                </c:pt>
                <c:pt idx="17">
                  <c:v>86.789221323931272</c:v>
                </c:pt>
                <c:pt idx="18">
                  <c:v>90.987682637764451</c:v>
                </c:pt>
                <c:pt idx="19">
                  <c:v>95.208160649541654</c:v>
                </c:pt>
                <c:pt idx="20">
                  <c:v>99.45445572300568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2.870269071828853</c:v>
                </c:pt>
                <c:pt idx="1">
                  <c:v>12.759697733962112</c:v>
                </c:pt>
                <c:pt idx="2">
                  <c:v>19.483214075380882</c:v>
                </c:pt>
                <c:pt idx="3">
                  <c:v>25.238144963591264</c:v>
                </c:pt>
                <c:pt idx="4">
                  <c:v>30.471191957275128</c:v>
                </c:pt>
                <c:pt idx="5">
                  <c:v>35.374484404416215</c:v>
                </c:pt>
                <c:pt idx="6">
                  <c:v>40.052888260284789</c:v>
                </c:pt>
                <c:pt idx="7">
                  <c:v>44.571532055403182</c:v>
                </c:pt>
                <c:pt idx="8">
                  <c:v>48.974345089004089</c:v>
                </c:pt>
                <c:pt idx="9">
                  <c:v>53.292717487793936</c:v>
                </c:pt>
                <c:pt idx="10">
                  <c:v>57.550058755974867</c:v>
                </c:pt>
                <c:pt idx="11">
                  <c:v>61.764412255320103</c:v>
                </c:pt>
                <c:pt idx="12">
                  <c:v>65.950055317721166</c:v>
                </c:pt>
                <c:pt idx="13">
                  <c:v>70.118529822505295</c:v>
                </c:pt>
                <c:pt idx="14">
                  <c:v>74.279333899938706</c:v>
                </c:pt>
                <c:pt idx="15">
                  <c:v>78.440402271586834</c:v>
                </c:pt>
                <c:pt idx="16">
                  <c:v>82.608449498452316</c:v>
                </c:pt>
                <c:pt idx="17">
                  <c:v>86.789221323931272</c:v>
                </c:pt>
                <c:pt idx="18">
                  <c:v>90.987682637764451</c:v>
                </c:pt>
                <c:pt idx="19">
                  <c:v>95.208160649541654</c:v>
                </c:pt>
                <c:pt idx="20">
                  <c:v>99.45445572300568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7.3073359279448066E-2</c:v>
                </c:pt>
                <c:pt idx="1">
                  <c:v>7.8498650232280047</c:v>
                </c:pt>
                <c:pt idx="2">
                  <c:v>12.364501307691741</c:v>
                </c:pt>
                <c:pt idx="3">
                  <c:v>16.150377720837035</c:v>
                </c:pt>
                <c:pt idx="4">
                  <c:v>19.541060770860231</c:v>
                </c:pt>
                <c:pt idx="5">
                  <c:v>22.67421942967724</c:v>
                </c:pt>
                <c:pt idx="6">
                  <c:v>25.623541336797413</c:v>
                </c:pt>
                <c:pt idx="7">
                  <c:v>28.434258508759868</c:v>
                </c:pt>
                <c:pt idx="8">
                  <c:v>31.136640453495396</c:v>
                </c:pt>
                <c:pt idx="9">
                  <c:v>33.752193643695144</c:v>
                </c:pt>
                <c:pt idx="10">
                  <c:v>36.296887505293427</c:v>
                </c:pt>
                <c:pt idx="11">
                  <c:v>38.782988958646548</c:v>
                </c:pt>
                <c:pt idx="12">
                  <c:v>41.220177842720339</c:v>
                </c:pt>
                <c:pt idx="13">
                  <c:v>43.616261568204592</c:v>
                </c:pt>
                <c:pt idx="14">
                  <c:v>45.977652729515846</c:v>
                </c:pt>
                <c:pt idx="15">
                  <c:v>48.309699591654223</c:v>
                </c:pt>
                <c:pt idx="16">
                  <c:v>50.616921540940915</c:v>
                </c:pt>
                <c:pt idx="17">
                  <c:v>52.903181046423512</c:v>
                </c:pt>
                <c:pt idx="18">
                  <c:v>55.171811969591133</c:v>
                </c:pt>
                <c:pt idx="19">
                  <c:v>57.425717105722477</c:v>
                </c:pt>
                <c:pt idx="20">
                  <c:v>59.66744356118442</c:v>
                </c:pt>
                <c:pt idx="21">
                  <c:v>65.491969681483809</c:v>
                </c:pt>
                <c:pt idx="22">
                  <c:v>71.280832799048497</c:v>
                </c:pt>
                <c:pt idx="23">
                  <c:v>77.059227922144487</c:v>
                </c:pt>
                <c:pt idx="24">
                  <c:v>82.846861015682933</c:v>
                </c:pt>
                <c:pt idx="25">
                  <c:v>88.659511554812383</c:v>
                </c:pt>
                <c:pt idx="26">
                  <c:v>94.510062173653239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838.58336060403883</c:v>
                </c:pt>
                <c:pt idx="1">
                  <c:v>829.29351167688378</c:v>
                </c:pt>
                <c:pt idx="2">
                  <c:v>823.28624092056737</c:v>
                </c:pt>
                <c:pt idx="3">
                  <c:v>818.31345262395701</c:v>
                </c:pt>
                <c:pt idx="4">
                  <c:v>813.91477065158313</c:v>
                </c:pt>
                <c:pt idx="5">
                  <c:v>809.89180735459308</c:v>
                </c:pt>
                <c:pt idx="6">
                  <c:v>806.13639870177178</c:v>
                </c:pt>
                <c:pt idx="7">
                  <c:v>802.58161911389709</c:v>
                </c:pt>
                <c:pt idx="8">
                  <c:v>799.18261266003344</c:v>
                </c:pt>
                <c:pt idx="9">
                  <c:v>795.90761363649358</c:v>
                </c:pt>
                <c:pt idx="10">
                  <c:v>792.73320804464083</c:v>
                </c:pt>
                <c:pt idx="11">
                  <c:v>789.64161018197126</c:v>
                </c:pt>
                <c:pt idx="12">
                  <c:v>786.61899211509945</c:v>
                </c:pt>
                <c:pt idx="13">
                  <c:v>783.65440578642233</c:v>
                </c:pt>
                <c:pt idx="14">
                  <c:v>780.73905817001787</c:v>
                </c:pt>
                <c:pt idx="15">
                  <c:v>777.86580698080127</c:v>
                </c:pt>
                <c:pt idx="16">
                  <c:v>775.0287996296521</c:v>
                </c:pt>
                <c:pt idx="17">
                  <c:v>772.22320832616901</c:v>
                </c:pt>
                <c:pt idx="18">
                  <c:v>769.44503164333514</c:v>
                </c:pt>
                <c:pt idx="19">
                  <c:v>766.69094264457976</c:v>
                </c:pt>
                <c:pt idx="20">
                  <c:v>763.16499585806275</c:v>
                </c:pt>
                <c:pt idx="21">
                  <c:v>765.9285264992867</c:v>
                </c:pt>
                <c:pt idx="22">
                  <c:v>767.83026963522127</c:v>
                </c:pt>
                <c:pt idx="23">
                  <c:v>769.38118693662807</c:v>
                </c:pt>
                <c:pt idx="24">
                  <c:v>770.67015620409836</c:v>
                </c:pt>
                <c:pt idx="25">
                  <c:v>771.75837209087933</c:v>
                </c:pt>
                <c:pt idx="26">
                  <c:v>772.68934547964363</c:v>
                </c:pt>
                <c:pt idx="27">
                  <c:v>773.4948607208006</c:v>
                </c:pt>
                <c:pt idx="28">
                  <c:v>774.19867669778591</c:v>
                </c:pt>
                <c:pt idx="29">
                  <c:v>774.81890940595406</c:v>
                </c:pt>
                <c:pt idx="30">
                  <c:v>775.36961331423356</c:v>
                </c:pt>
                <c:pt idx="31">
                  <c:v>775.86185916377337</c:v>
                </c:pt>
                <c:pt idx="32">
                  <c:v>776.30448585167176</c:v>
                </c:pt>
                <c:pt idx="33">
                  <c:v>776.70463586087385</c:v>
                </c:pt>
                <c:pt idx="34">
                  <c:v>777.06814360596559</c:v>
                </c:pt>
                <c:pt idx="35">
                  <c:v>777.39982176932062</c:v>
                </c:pt>
                <c:pt idx="36">
                  <c:v>777.7036755777458</c:v>
                </c:pt>
                <c:pt idx="37">
                  <c:v>777.98306532477898</c:v>
                </c:pt>
                <c:pt idx="38">
                  <c:v>778.24083115783844</c:v>
                </c:pt>
                <c:pt idx="39">
                  <c:v>778.47938997112192</c:v>
                </c:pt>
                <c:pt idx="40">
                  <c:v>778.70081141748676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838.58336060403883</c:v>
                </c:pt>
                <c:pt idx="1">
                  <c:v>829.29351167688378</c:v>
                </c:pt>
                <c:pt idx="2">
                  <c:v>823.28624092056737</c:v>
                </c:pt>
                <c:pt idx="3">
                  <c:v>818.31345262395701</c:v>
                </c:pt>
                <c:pt idx="4">
                  <c:v>813.91477065158313</c:v>
                </c:pt>
                <c:pt idx="5">
                  <c:v>809.89180735459308</c:v>
                </c:pt>
                <c:pt idx="6">
                  <c:v>806.13639870177178</c:v>
                </c:pt>
                <c:pt idx="7">
                  <c:v>802.58161911389709</c:v>
                </c:pt>
                <c:pt idx="8">
                  <c:v>799.18261266003344</c:v>
                </c:pt>
                <c:pt idx="9">
                  <c:v>795.90761363649358</c:v>
                </c:pt>
                <c:pt idx="10">
                  <c:v>792.73320804464083</c:v>
                </c:pt>
                <c:pt idx="11">
                  <c:v>789.64161018197126</c:v>
                </c:pt>
                <c:pt idx="12">
                  <c:v>786.61899211509945</c:v>
                </c:pt>
                <c:pt idx="13">
                  <c:v>783.65440578642233</c:v>
                </c:pt>
                <c:pt idx="14">
                  <c:v>780.73905817001787</c:v>
                </c:pt>
                <c:pt idx="15">
                  <c:v>777.86580698080127</c:v>
                </c:pt>
                <c:pt idx="16">
                  <c:v>775.0287996296521</c:v>
                </c:pt>
                <c:pt idx="17">
                  <c:v>772.22320832616901</c:v>
                </c:pt>
                <c:pt idx="18">
                  <c:v>769.44503164333514</c:v>
                </c:pt>
                <c:pt idx="19">
                  <c:v>766.69094264457976</c:v>
                </c:pt>
                <c:pt idx="20">
                  <c:v>763.16499585806275</c:v>
                </c:pt>
                <c:pt idx="21">
                  <c:v>765.9285264992867</c:v>
                </c:pt>
                <c:pt idx="22">
                  <c:v>767.83026963522127</c:v>
                </c:pt>
                <c:pt idx="23">
                  <c:v>769.38118693662807</c:v>
                </c:pt>
                <c:pt idx="24">
                  <c:v>770.67015620409836</c:v>
                </c:pt>
                <c:pt idx="25">
                  <c:v>771.75837209087933</c:v>
                </c:pt>
                <c:pt idx="26">
                  <c:v>772.68934547964363</c:v>
                </c:pt>
                <c:pt idx="27">
                  <c:v>773.4948607208006</c:v>
                </c:pt>
                <c:pt idx="28">
                  <c:v>774.19867669778591</c:v>
                </c:pt>
                <c:pt idx="29">
                  <c:v>774.81890940595406</c:v>
                </c:pt>
                <c:pt idx="30">
                  <c:v>775.36961331423356</c:v>
                </c:pt>
                <c:pt idx="31">
                  <c:v>775.86185916377337</c:v>
                </c:pt>
                <c:pt idx="32">
                  <c:v>776.30448585167176</c:v>
                </c:pt>
                <c:pt idx="33">
                  <c:v>776.70463586087385</c:v>
                </c:pt>
                <c:pt idx="34">
                  <c:v>777.06814360596559</c:v>
                </c:pt>
                <c:pt idx="35">
                  <c:v>777.39982176932062</c:v>
                </c:pt>
                <c:pt idx="36">
                  <c:v>777.7036755777458</c:v>
                </c:pt>
                <c:pt idx="37">
                  <c:v>777.98306532477898</c:v>
                </c:pt>
                <c:pt idx="38">
                  <c:v>778.24083115783844</c:v>
                </c:pt>
                <c:pt idx="39">
                  <c:v>778.47938997112192</c:v>
                </c:pt>
                <c:pt idx="40">
                  <c:v>778.70081141748676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841.34043847765668</c:v>
                </c:pt>
                <c:pt idx="1">
                  <c:v>833.83054171993149</c:v>
                </c:pt>
                <c:pt idx="2">
                  <c:v>829.65376088863195</c:v>
                </c:pt>
                <c:pt idx="3">
                  <c:v>826.23600811501251</c:v>
                </c:pt>
                <c:pt idx="4">
                  <c:v>823.23550983787004</c:v>
                </c:pt>
                <c:pt idx="5">
                  <c:v>820.51069979848387</c:v>
                </c:pt>
                <c:pt idx="6">
                  <c:v>817.98562570003912</c:v>
                </c:pt>
                <c:pt idx="7">
                  <c:v>815.61359942862146</c:v>
                </c:pt>
                <c:pt idx="8">
                  <c:v>813.36335844435564</c:v>
                </c:pt>
                <c:pt idx="9">
                  <c:v>811.21269443355402</c:v>
                </c:pt>
                <c:pt idx="10">
                  <c:v>809.14513164797336</c:v>
                </c:pt>
                <c:pt idx="11">
                  <c:v>807.14803468951311</c:v>
                </c:pt>
                <c:pt idx="12">
                  <c:v>805.21145616954971</c:v>
                </c:pt>
                <c:pt idx="13">
                  <c:v>803.32739729257537</c:v>
                </c:pt>
                <c:pt idx="14">
                  <c:v>801.48931299525373</c:v>
                </c:pt>
                <c:pt idx="15">
                  <c:v>799.69176906621647</c:v>
                </c:pt>
                <c:pt idx="16">
                  <c:v>797.9301975973334</c:v>
                </c:pt>
                <c:pt idx="17">
                  <c:v>796.20071797858122</c:v>
                </c:pt>
                <c:pt idx="18">
                  <c:v>794.50000350712469</c:v>
                </c:pt>
                <c:pt idx="19">
                  <c:v>792.82517957366122</c:v>
                </c:pt>
                <c:pt idx="20">
                  <c:v>791.17374503465544</c:v>
                </c:pt>
                <c:pt idx="21">
                  <c:v>786.94752489967357</c:v>
                </c:pt>
                <c:pt idx="22">
                  <c:v>782.8356785451806</c:v>
                </c:pt>
                <c:pt idx="23">
                  <c:v>778.81491509470379</c:v>
                </c:pt>
                <c:pt idx="24">
                  <c:v>774.86774046560163</c:v>
                </c:pt>
                <c:pt idx="25">
                  <c:v>770.98081271193587</c:v>
                </c:pt>
                <c:pt idx="26">
                  <c:v>767.14385485253536</c:v>
                </c:pt>
                <c:pt idx="27">
                  <c:v>763.76953748948029</c:v>
                </c:pt>
                <c:pt idx="28">
                  <c:v>765.07948077326068</c:v>
                </c:pt>
                <c:pt idx="29">
                  <c:v>766.23473186868932</c:v>
                </c:pt>
                <c:pt idx="30">
                  <c:v>767.26116350862844</c:v>
                </c:pt>
                <c:pt idx="31">
                  <c:v>768.17918359744374</c:v>
                </c:pt>
                <c:pt idx="32">
                  <c:v>769.00510564289607</c:v>
                </c:pt>
                <c:pt idx="33">
                  <c:v>769.75212649585819</c:v>
                </c:pt>
                <c:pt idx="34">
                  <c:v>770.43103668888341</c:v>
                </c:pt>
                <c:pt idx="35">
                  <c:v>771.05074497177861</c:v>
                </c:pt>
                <c:pt idx="36">
                  <c:v>771.61867137472927</c:v>
                </c:pt>
                <c:pt idx="37">
                  <c:v>772.14104570164261</c:v>
                </c:pt>
                <c:pt idx="38">
                  <c:v>772.62313697515765</c:v>
                </c:pt>
                <c:pt idx="39">
                  <c:v>773.06943177574158</c:v>
                </c:pt>
                <c:pt idx="40">
                  <c:v>773.48377427966273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1.0284661798992814</c:v>
                </c:pt>
                <c:pt idx="1">
                  <c:v>1.0501854333142775</c:v>
                </c:pt>
                <c:pt idx="2">
                  <c:v>1.0648323830419844</c:v>
                </c:pt>
                <c:pt idx="3">
                  <c:v>1.0773175075694756</c:v>
                </c:pt>
                <c:pt idx="4">
                  <c:v>1.0886381358340553</c:v>
                </c:pt>
                <c:pt idx="5">
                  <c:v>1.0992232508508828</c:v>
                </c:pt>
                <c:pt idx="6">
                  <c:v>1.109307098589577</c:v>
                </c:pt>
                <c:pt idx="7">
                  <c:v>1.1190352571119691</c:v>
                </c:pt>
                <c:pt idx="8">
                  <c:v>1.1285059958634507</c:v>
                </c:pt>
                <c:pt idx="9">
                  <c:v>1.1377895920995427</c:v>
                </c:pt>
                <c:pt idx="10">
                  <c:v>1.1469384977452866</c:v>
                </c:pt>
                <c:pt idx="11">
                  <c:v>1.1559931694914984</c:v>
                </c:pt>
                <c:pt idx="12">
                  <c:v>1.1649856372563565</c:v>
                </c:pt>
                <c:pt idx="13">
                  <c:v>1.1739418023123269</c:v>
                </c:pt>
                <c:pt idx="14">
                  <c:v>1.1828829797788563</c:v>
                </c:pt>
                <c:pt idx="15">
                  <c:v>1.1918269697661616</c:v>
                </c:pt>
                <c:pt idx="16">
                  <c:v>1.2007888227783161</c:v>
                </c:pt>
                <c:pt idx="17">
                  <c:v>1.2097814001329776</c:v>
                </c:pt>
                <c:pt idx="18">
                  <c:v>1.2188157928735559</c:v>
                </c:pt>
                <c:pt idx="19">
                  <c:v>1.2279016413818555</c:v>
                </c:pt>
                <c:pt idx="20">
                  <c:v>1.2383330749167678</c:v>
                </c:pt>
                <c:pt idx="21">
                  <c:v>1.2344741934623329</c:v>
                </c:pt>
                <c:pt idx="22">
                  <c:v>1.2314166781275693</c:v>
                </c:pt>
                <c:pt idx="23">
                  <c:v>1.2289343904608365</c:v>
                </c:pt>
                <c:pt idx="24">
                  <c:v>1.2268789603286467</c:v>
                </c:pt>
                <c:pt idx="25">
                  <c:v>1.2251490028392711</c:v>
                </c:pt>
                <c:pt idx="26">
                  <c:v>1.2236728842340554</c:v>
                </c:pt>
                <c:pt idx="27">
                  <c:v>1.22239855494178</c:v>
                </c:pt>
                <c:pt idx="28">
                  <c:v>1.2212872851100083</c:v>
                </c:pt>
                <c:pt idx="29">
                  <c:v>1.2203096601306749</c:v>
                </c:pt>
                <c:pt idx="30">
                  <c:v>1.2194429389081696</c:v>
                </c:pt>
                <c:pt idx="31">
                  <c:v>1.2186692628750737</c:v>
                </c:pt>
                <c:pt idx="32">
                  <c:v>1.217974412401708</c:v>
                </c:pt>
                <c:pt idx="33">
                  <c:v>1.2173469248732085</c:v>
                </c:pt>
                <c:pt idx="34">
                  <c:v>1.2167774573956183</c:v>
                </c:pt>
                <c:pt idx="35">
                  <c:v>1.2162583184648139</c:v>
                </c:pt>
                <c:pt idx="36">
                  <c:v>1.2157831185478021</c:v>
                </c:pt>
                <c:pt idx="37">
                  <c:v>1.215346505781949</c:v>
                </c:pt>
                <c:pt idx="38">
                  <c:v>1.2149439635456947</c:v>
                </c:pt>
                <c:pt idx="39">
                  <c:v>1.2145716536375799</c:v>
                </c:pt>
                <c:pt idx="40">
                  <c:v>1.214226293509121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1.0284661798992814</c:v>
                </c:pt>
                <c:pt idx="1">
                  <c:v>1.0501854333142775</c:v>
                </c:pt>
                <c:pt idx="2">
                  <c:v>1.0648323830419844</c:v>
                </c:pt>
                <c:pt idx="3">
                  <c:v>1.0773175075694756</c:v>
                </c:pt>
                <c:pt idx="4">
                  <c:v>1.0886381358340553</c:v>
                </c:pt>
                <c:pt idx="5">
                  <c:v>1.0992232508508828</c:v>
                </c:pt>
                <c:pt idx="6">
                  <c:v>1.109307098589577</c:v>
                </c:pt>
                <c:pt idx="7">
                  <c:v>1.1190352571119691</c:v>
                </c:pt>
                <c:pt idx="8">
                  <c:v>1.1285059958634507</c:v>
                </c:pt>
                <c:pt idx="9">
                  <c:v>1.1377895920995427</c:v>
                </c:pt>
                <c:pt idx="10">
                  <c:v>1.1469384977452866</c:v>
                </c:pt>
                <c:pt idx="11">
                  <c:v>1.1559931694914984</c:v>
                </c:pt>
                <c:pt idx="12">
                  <c:v>1.1649856372563565</c:v>
                </c:pt>
                <c:pt idx="13">
                  <c:v>1.1739418023123269</c:v>
                </c:pt>
                <c:pt idx="14">
                  <c:v>1.1828829797788563</c:v>
                </c:pt>
                <c:pt idx="15">
                  <c:v>1.1918269697661616</c:v>
                </c:pt>
                <c:pt idx="16">
                  <c:v>1.2007888227783161</c:v>
                </c:pt>
                <c:pt idx="17">
                  <c:v>1.2097814001329776</c:v>
                </c:pt>
                <c:pt idx="18">
                  <c:v>1.2188157928735559</c:v>
                </c:pt>
                <c:pt idx="19">
                  <c:v>1.2279016413818555</c:v>
                </c:pt>
                <c:pt idx="20">
                  <c:v>1.2383330749167678</c:v>
                </c:pt>
                <c:pt idx="21">
                  <c:v>1.2344741934623329</c:v>
                </c:pt>
                <c:pt idx="22">
                  <c:v>1.2314166781275693</c:v>
                </c:pt>
                <c:pt idx="23">
                  <c:v>1.2289343904608365</c:v>
                </c:pt>
                <c:pt idx="24">
                  <c:v>1.2268789603286467</c:v>
                </c:pt>
                <c:pt idx="25">
                  <c:v>1.2251490028392711</c:v>
                </c:pt>
                <c:pt idx="26">
                  <c:v>1.2236728842340554</c:v>
                </c:pt>
                <c:pt idx="27">
                  <c:v>1.22239855494178</c:v>
                </c:pt>
                <c:pt idx="28">
                  <c:v>1.2212872851100083</c:v>
                </c:pt>
                <c:pt idx="29">
                  <c:v>1.2203096601306749</c:v>
                </c:pt>
                <c:pt idx="30">
                  <c:v>1.2194429389081696</c:v>
                </c:pt>
                <c:pt idx="31">
                  <c:v>1.2186692628750737</c:v>
                </c:pt>
                <c:pt idx="32">
                  <c:v>1.217974412401708</c:v>
                </c:pt>
                <c:pt idx="33">
                  <c:v>1.2173469248732085</c:v>
                </c:pt>
                <c:pt idx="34">
                  <c:v>1.2167774573956183</c:v>
                </c:pt>
                <c:pt idx="35">
                  <c:v>1.2162583184648139</c:v>
                </c:pt>
                <c:pt idx="36">
                  <c:v>1.2157831185478021</c:v>
                </c:pt>
                <c:pt idx="37">
                  <c:v>1.215346505781949</c:v>
                </c:pt>
                <c:pt idx="38">
                  <c:v>1.2149439635456947</c:v>
                </c:pt>
                <c:pt idx="39">
                  <c:v>1.2145716536375799</c:v>
                </c:pt>
                <c:pt idx="40">
                  <c:v>1.214226293509121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1.0222526485976851</c:v>
                </c:pt>
                <c:pt idx="1">
                  <c:v>1.0394355719825954</c:v>
                </c:pt>
                <c:pt idx="2">
                  <c:v>1.0493220653165771</c:v>
                </c:pt>
                <c:pt idx="3">
                  <c:v>1.0575811668104491</c:v>
                </c:pt>
                <c:pt idx="4">
                  <c:v>1.0649580943529677</c:v>
                </c:pt>
                <c:pt idx="5">
                  <c:v>1.0717602658076764</c:v>
                </c:pt>
                <c:pt idx="6">
                  <c:v>1.0781521931526206</c:v>
                </c:pt>
                <c:pt idx="7">
                  <c:v>1.0842348560073236</c:v>
                </c:pt>
                <c:pt idx="8">
                  <c:v>1.0900758367640202</c:v>
                </c:pt>
                <c:pt idx="9">
                  <c:v>1.0957231618556211</c:v>
                </c:pt>
                <c:pt idx="10">
                  <c:v>1.1012125023985289</c:v>
                </c:pt>
                <c:pt idx="11">
                  <c:v>1.1065712681455278</c:v>
                </c:pt>
                <c:pt idx="12">
                  <c:v>1.1118210962224648</c:v>
                </c:pt>
                <c:pt idx="13">
                  <c:v>1.116979445434888</c:v>
                </c:pt>
                <c:pt idx="14">
                  <c:v>1.1220606616411368</c:v>
                </c:pt>
                <c:pt idx="15">
                  <c:v>1.127076714877574</c:v>
                </c:pt>
                <c:pt idx="16">
                  <c:v>1.1320377244181339</c:v>
                </c:pt>
                <c:pt idx="17">
                  <c:v>1.1369523424914105</c:v>
                </c:pt>
                <c:pt idx="18">
                  <c:v>1.1418280401179879</c:v>
                </c:pt>
                <c:pt idx="19">
                  <c:v>1.1466713248190645</c:v>
                </c:pt>
                <c:pt idx="20">
                  <c:v>1.1514879086630763</c:v>
                </c:pt>
                <c:pt idx="21">
                  <c:v>1.1640014722311862</c:v>
                </c:pt>
                <c:pt idx="22">
                  <c:v>1.1764392970858519</c:v>
                </c:pt>
                <c:pt idx="23">
                  <c:v>1.1888579214153203</c:v>
                </c:pt>
                <c:pt idx="24">
                  <c:v>1.2013015363275723</c:v>
                </c:pt>
                <c:pt idx="25">
                  <c:v>1.213805469937439</c:v>
                </c:pt>
                <c:pt idx="26">
                  <c:v>1.2263984833081103</c:v>
                </c:pt>
                <c:pt idx="27">
                  <c:v>1.2379637489967621</c:v>
                </c:pt>
                <c:pt idx="28">
                  <c:v>1.2358441492175039</c:v>
                </c:pt>
                <c:pt idx="29">
                  <c:v>1.2339808686224301</c:v>
                </c:pt>
                <c:pt idx="30">
                  <c:v>1.2323300656535405</c:v>
                </c:pt>
                <c:pt idx="31">
                  <c:v>1.2308573574879496</c:v>
                </c:pt>
                <c:pt idx="32">
                  <c:v>1.2295353997806511</c:v>
                </c:pt>
                <c:pt idx="33">
                  <c:v>1.228342173349082</c:v>
                </c:pt>
                <c:pt idx="34">
                  <c:v>1.2272597480802436</c:v>
                </c:pt>
                <c:pt idx="35">
                  <c:v>1.2262733758653033</c:v>
                </c:pt>
                <c:pt idx="36">
                  <c:v>1.2253708147256817</c:v>
                </c:pt>
                <c:pt idx="37">
                  <c:v>1.2245418181866103</c:v>
                </c:pt>
                <c:pt idx="38">
                  <c:v>1.2237777446087554</c:v>
                </c:pt>
                <c:pt idx="39">
                  <c:v>1.22307125483948</c:v>
                </c:pt>
                <c:pt idx="40">
                  <c:v>1.222416075735463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5.6578645150739844</c:v>
                </c:pt>
                <c:pt idx="1">
                  <c:v>4.6332027452079467</c:v>
                </c:pt>
                <c:pt idx="2">
                  <c:v>4.1043926461827214</c:v>
                </c:pt>
                <c:pt idx="3">
                  <c:v>3.7277090200970142</c:v>
                </c:pt>
                <c:pt idx="4">
                  <c:v>3.4326245875518011</c:v>
                </c:pt>
                <c:pt idx="5">
                  <c:v>3.1895276939001946</c:v>
                </c:pt>
                <c:pt idx="6">
                  <c:v>2.9827742110725635</c:v>
                </c:pt>
                <c:pt idx="7">
                  <c:v>2.8029912759455518</c:v>
                </c:pt>
                <c:pt idx="8">
                  <c:v>2.6440875665875674</c:v>
                </c:pt>
                <c:pt idx="9">
                  <c:v>2.5018697770753873</c:v>
                </c:pt>
                <c:pt idx="10">
                  <c:v>2.3733236344723148</c:v>
                </c:pt>
                <c:pt idx="11">
                  <c:v>2.2562077321094072</c:v>
                </c:pt>
                <c:pt idx="12">
                  <c:v>2.1488090744253334</c:v>
                </c:pt>
                <c:pt idx="13">
                  <c:v>2.0497884232094128</c:v>
                </c:pt>
                <c:pt idx="14">
                  <c:v>1.9580784227169492</c:v>
                </c:pt>
                <c:pt idx="15">
                  <c:v>1.8728142105837864</c:v>
                </c:pt>
                <c:pt idx="16">
                  <c:v>1.7932848067751939</c:v>
                </c:pt>
                <c:pt idx="17">
                  <c:v>1.7188982309231766</c:v>
                </c:pt>
                <c:pt idx="18">
                  <c:v>1.6491559463740972</c:v>
                </c:pt>
                <c:pt idx="19">
                  <c:v>1.5836337954630948</c:v>
                </c:pt>
                <c:pt idx="20">
                  <c:v>1.521967549138763</c:v>
                </c:pt>
                <c:pt idx="21">
                  <c:v>1.5426582106744255</c:v>
                </c:pt>
                <c:pt idx="22">
                  <c:v>1.5709801148347229</c:v>
                </c:pt>
                <c:pt idx="23">
                  <c:v>1.5993020189950202</c:v>
                </c:pt>
                <c:pt idx="24">
                  <c:v>1.6276239231553176</c:v>
                </c:pt>
                <c:pt idx="25">
                  <c:v>1.6559458273156149</c:v>
                </c:pt>
                <c:pt idx="26">
                  <c:v>1.6842677314759122</c:v>
                </c:pt>
                <c:pt idx="27">
                  <c:v>1.7125896356362094</c:v>
                </c:pt>
                <c:pt idx="28">
                  <c:v>1.7409115397965069</c:v>
                </c:pt>
                <c:pt idx="29">
                  <c:v>1.7692334439568043</c:v>
                </c:pt>
                <c:pt idx="30">
                  <c:v>1.7975553481171016</c:v>
                </c:pt>
                <c:pt idx="31">
                  <c:v>1.8258772522773989</c:v>
                </c:pt>
                <c:pt idx="32">
                  <c:v>1.8541991564376963</c:v>
                </c:pt>
                <c:pt idx="33">
                  <c:v>1.8825210605979936</c:v>
                </c:pt>
                <c:pt idx="34">
                  <c:v>1.9108429647582912</c:v>
                </c:pt>
                <c:pt idx="35">
                  <c:v>1.9391648689185883</c:v>
                </c:pt>
                <c:pt idx="36">
                  <c:v>1.9674867730788859</c:v>
                </c:pt>
                <c:pt idx="37">
                  <c:v>1.9958086772391832</c:v>
                </c:pt>
                <c:pt idx="38">
                  <c:v>2.0241305813994801</c:v>
                </c:pt>
                <c:pt idx="39">
                  <c:v>2.0524524855597779</c:v>
                </c:pt>
                <c:pt idx="40">
                  <c:v>2.0807743897200748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5.6578645150739844</c:v>
                </c:pt>
                <c:pt idx="1">
                  <c:v>4.6332027452079467</c:v>
                </c:pt>
                <c:pt idx="2">
                  <c:v>4.1043926461827214</c:v>
                </c:pt>
                <c:pt idx="3">
                  <c:v>3.7277090200970142</c:v>
                </c:pt>
                <c:pt idx="4">
                  <c:v>3.4326245875518011</c:v>
                </c:pt>
                <c:pt idx="5">
                  <c:v>3.1895276939001946</c:v>
                </c:pt>
                <c:pt idx="6">
                  <c:v>2.9827742110725635</c:v>
                </c:pt>
                <c:pt idx="7">
                  <c:v>2.8029912759455518</c:v>
                </c:pt>
                <c:pt idx="8">
                  <c:v>2.6440875665875674</c:v>
                </c:pt>
                <c:pt idx="9">
                  <c:v>2.5018697770753873</c:v>
                </c:pt>
                <c:pt idx="10">
                  <c:v>2.3733236344723148</c:v>
                </c:pt>
                <c:pt idx="11">
                  <c:v>2.2562077321094072</c:v>
                </c:pt>
                <c:pt idx="12">
                  <c:v>2.1488090744253334</c:v>
                </c:pt>
                <c:pt idx="13">
                  <c:v>2.0497884232094128</c:v>
                </c:pt>
                <c:pt idx="14">
                  <c:v>1.9580784227169492</c:v>
                </c:pt>
                <c:pt idx="15">
                  <c:v>1.8728142105837864</c:v>
                </c:pt>
                <c:pt idx="16">
                  <c:v>1.7932848067751939</c:v>
                </c:pt>
                <c:pt idx="17">
                  <c:v>1.7188982309231766</c:v>
                </c:pt>
                <c:pt idx="18">
                  <c:v>1.6491559463740972</c:v>
                </c:pt>
                <c:pt idx="19">
                  <c:v>1.5836337954630948</c:v>
                </c:pt>
                <c:pt idx="20">
                  <c:v>1.521967549138763</c:v>
                </c:pt>
                <c:pt idx="21">
                  <c:v>1.5426582106744255</c:v>
                </c:pt>
                <c:pt idx="22">
                  <c:v>1.5709801148347229</c:v>
                </c:pt>
                <c:pt idx="23">
                  <c:v>1.5993020189950202</c:v>
                </c:pt>
                <c:pt idx="24">
                  <c:v>1.6276239231553176</c:v>
                </c:pt>
                <c:pt idx="25">
                  <c:v>1.6559458273156149</c:v>
                </c:pt>
                <c:pt idx="26">
                  <c:v>1.6842677314759122</c:v>
                </c:pt>
                <c:pt idx="27">
                  <c:v>1.7125896356362094</c:v>
                </c:pt>
                <c:pt idx="28">
                  <c:v>1.7409115397965069</c:v>
                </c:pt>
                <c:pt idx="29">
                  <c:v>1.7692334439568043</c:v>
                </c:pt>
                <c:pt idx="30">
                  <c:v>1.7975553481171016</c:v>
                </c:pt>
                <c:pt idx="31">
                  <c:v>1.8258772522773989</c:v>
                </c:pt>
                <c:pt idx="32">
                  <c:v>1.8541991564376963</c:v>
                </c:pt>
                <c:pt idx="33">
                  <c:v>1.8825210605979936</c:v>
                </c:pt>
                <c:pt idx="34">
                  <c:v>1.9108429647582912</c:v>
                </c:pt>
                <c:pt idx="35">
                  <c:v>1.9391648689185883</c:v>
                </c:pt>
                <c:pt idx="36">
                  <c:v>1.9674867730788859</c:v>
                </c:pt>
                <c:pt idx="37">
                  <c:v>1.9958086772391832</c:v>
                </c:pt>
                <c:pt idx="38">
                  <c:v>2.0241305813994801</c:v>
                </c:pt>
                <c:pt idx="39">
                  <c:v>2.0524524855597779</c:v>
                </c:pt>
                <c:pt idx="40">
                  <c:v>2.0807743897200748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6.0213429641748046</c:v>
                </c:pt>
                <c:pt idx="1">
                  <c:v>5.0978688361695239</c:v>
                </c:pt>
                <c:pt idx="2">
                  <c:v>4.6678734584135624</c:v>
                </c:pt>
                <c:pt idx="3">
                  <c:v>4.3529322646057587</c:v>
                </c:pt>
                <c:pt idx="4">
                  <c:v>4.1002917679434185</c:v>
                </c:pt>
                <c:pt idx="5">
                  <c:v>3.8880552315347865</c:v>
                </c:pt>
                <c:pt idx="6">
                  <c:v>3.7045606083564451</c:v>
                </c:pt>
                <c:pt idx="7">
                  <c:v>3.5427251167176572</c:v>
                </c:pt>
                <c:pt idx="8">
                  <c:v>3.3978751247133236</c:v>
                </c:pt>
                <c:pt idx="9">
                  <c:v>3.2667435333569461</c:v>
                </c:pt>
                <c:pt idx="10">
                  <c:v>3.1469468665314451</c:v>
                </c:pt>
                <c:pt idx="11">
                  <c:v>3.0366879623804053</c:v>
                </c:pt>
                <c:pt idx="12">
                  <c:v>2.9345755861968539</c:v>
                </c:pt>
                <c:pt idx="13">
                  <c:v>2.8395092746628738</c:v>
                </c:pt>
                <c:pt idx="14">
                  <c:v>2.7506027485000617</c:v>
                </c:pt>
                <c:pt idx="15">
                  <c:v>2.6671312268979261</c:v>
                </c:pt>
                <c:pt idx="16">
                  <c:v>2.5884941424956134</c:v>
                </c:pt>
                <c:pt idx="17">
                  <c:v>2.5141881102323409</c:v>
                </c:pt>
                <c:pt idx="18">
                  <c:v>2.4437869174805269</c:v>
                </c:pt>
                <c:pt idx="19">
                  <c:v>2.3769264400394707</c:v>
                </c:pt>
                <c:pt idx="20">
                  <c:v>2.3132930880136202</c:v>
                </c:pt>
                <c:pt idx="21">
                  <c:v>2.1601587186361466</c:v>
                </c:pt>
                <c:pt idx="22">
                  <c:v>2.0234832450984848</c:v>
                </c:pt>
                <c:pt idx="23">
                  <c:v>1.9004382379750209</c:v>
                </c:pt>
                <c:pt idx="24">
                  <c:v>1.7889024964813409</c:v>
                </c:pt>
                <c:pt idx="25">
                  <c:v>1.6872423202942501</c:v>
                </c:pt>
                <c:pt idx="26">
                  <c:v>1.5941707956275797</c:v>
                </c:pt>
                <c:pt idx="27">
                  <c:v>1.5167597503430845</c:v>
                </c:pt>
                <c:pt idx="28">
                  <c:v>1.531791468729228</c:v>
                </c:pt>
                <c:pt idx="29">
                  <c:v>1.5468231871153715</c:v>
                </c:pt>
                <c:pt idx="30">
                  <c:v>1.561854905501515</c:v>
                </c:pt>
                <c:pt idx="31">
                  <c:v>1.5768866238876584</c:v>
                </c:pt>
                <c:pt idx="32">
                  <c:v>1.5919183422738019</c:v>
                </c:pt>
                <c:pt idx="33">
                  <c:v>1.6069500606599454</c:v>
                </c:pt>
                <c:pt idx="34">
                  <c:v>1.6219817790460889</c:v>
                </c:pt>
                <c:pt idx="35">
                  <c:v>1.6370134974322323</c:v>
                </c:pt>
                <c:pt idx="36">
                  <c:v>1.6520452158183758</c:v>
                </c:pt>
                <c:pt idx="37">
                  <c:v>1.6670769342045191</c:v>
                </c:pt>
                <c:pt idx="38">
                  <c:v>1.6821086525906626</c:v>
                </c:pt>
                <c:pt idx="39">
                  <c:v>1.697140370976806</c:v>
                </c:pt>
                <c:pt idx="40">
                  <c:v>1.7121720893629493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0.30831947324308168</c:v>
                </c:pt>
                <c:pt idx="2">
                  <c:v>0.31041712809602873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0.86,  γo new  = 0.87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0.37033118901657464</c:v>
                </c:pt>
                <c:pt idx="1">
                  <c:v>0.35361750354114602</c:v>
                </c:pt>
                <c:pt idx="2">
                  <c:v>4.1114237862314232E-2</c:v>
                </c:pt>
                <c:pt idx="3">
                  <c:v>1.7029441662993448E-2</c:v>
                </c:pt>
                <c:pt idx="4">
                  <c:v>0.2270177856323852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5.1333129408491152</c:v>
                </c:pt>
                <c:pt idx="2">
                  <c:v>9.2666258816982303</c:v>
                </c:pt>
                <c:pt idx="3">
                  <c:v>13.399938822547345</c:v>
                </c:pt>
                <c:pt idx="4">
                  <c:v>17.533251763396461</c:v>
                </c:pt>
                <c:pt idx="5">
                  <c:v>21.666564704245577</c:v>
                </c:pt>
                <c:pt idx="6">
                  <c:v>25.799877645094693</c:v>
                </c:pt>
                <c:pt idx="7">
                  <c:v>29.933190585943809</c:v>
                </c:pt>
                <c:pt idx="8">
                  <c:v>34.066503526792921</c:v>
                </c:pt>
                <c:pt idx="9">
                  <c:v>38.199816467642037</c:v>
                </c:pt>
                <c:pt idx="10">
                  <c:v>42.333129408491153</c:v>
                </c:pt>
                <c:pt idx="11">
                  <c:v>46.466442349340269</c:v>
                </c:pt>
                <c:pt idx="12">
                  <c:v>50.599755290189385</c:v>
                </c:pt>
                <c:pt idx="13">
                  <c:v>54.733068231038501</c:v>
                </c:pt>
                <c:pt idx="14">
                  <c:v>58.866381171887618</c:v>
                </c:pt>
                <c:pt idx="15">
                  <c:v>62.999694112736734</c:v>
                </c:pt>
                <c:pt idx="16">
                  <c:v>67.133007053585843</c:v>
                </c:pt>
                <c:pt idx="17">
                  <c:v>71.266319994434951</c:v>
                </c:pt>
                <c:pt idx="18">
                  <c:v>75.39963293528406</c:v>
                </c:pt>
                <c:pt idx="19">
                  <c:v>79.532945876133169</c:v>
                </c:pt>
                <c:pt idx="20">
                  <c:v>83.666258816982307</c:v>
                </c:pt>
                <c:pt idx="21">
                  <c:v>94.482945876133186</c:v>
                </c:pt>
                <c:pt idx="22">
                  <c:v>105.29963293528407</c:v>
                </c:pt>
                <c:pt idx="23">
                  <c:v>116.11631999443495</c:v>
                </c:pt>
                <c:pt idx="24">
                  <c:v>126.93300705358583</c:v>
                </c:pt>
                <c:pt idx="25">
                  <c:v>137.74969411273671</c:v>
                </c:pt>
                <c:pt idx="26">
                  <c:v>148.5663811718876</c:v>
                </c:pt>
                <c:pt idx="27">
                  <c:v>159.38306823103849</c:v>
                </c:pt>
                <c:pt idx="28">
                  <c:v>170.19975529018939</c:v>
                </c:pt>
                <c:pt idx="29">
                  <c:v>181.01644234934028</c:v>
                </c:pt>
                <c:pt idx="30">
                  <c:v>191.83312940849117</c:v>
                </c:pt>
                <c:pt idx="31">
                  <c:v>202.64981646764207</c:v>
                </c:pt>
                <c:pt idx="32">
                  <c:v>213.46650352679296</c:v>
                </c:pt>
                <c:pt idx="33">
                  <c:v>224.28319058594386</c:v>
                </c:pt>
                <c:pt idx="34">
                  <c:v>235.09987764509475</c:v>
                </c:pt>
                <c:pt idx="35">
                  <c:v>245.91656470424564</c:v>
                </c:pt>
                <c:pt idx="36">
                  <c:v>256.73325176339654</c:v>
                </c:pt>
                <c:pt idx="37">
                  <c:v>267.5499388225474</c:v>
                </c:pt>
                <c:pt idx="38">
                  <c:v>278.36662588169827</c:v>
                </c:pt>
                <c:pt idx="39">
                  <c:v>289.18331294084913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ru-RU" sz="1100" baseline="0"/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8</xdr:row>
          <xdr:rowOff>32657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195943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14</xdr:row>
          <xdr:rowOff>195943</xdr:rowOff>
        </xdr:from>
        <xdr:to>
          <xdr:col>20</xdr:col>
          <xdr:colOff>593271</xdr:colOff>
          <xdr:row>17</xdr:row>
          <xdr:rowOff>65314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24.4%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7.3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 насосов"/>
      <sheetName val="Лист1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D7" sqref="D7"/>
    </sheetView>
  </sheetViews>
  <sheetFormatPr defaultRowHeight="14.6" x14ac:dyDescent="0.4"/>
  <sheetData>
    <row r="1" spans="1:5" x14ac:dyDescent="0.4">
      <c r="A1" t="str">
        <f>"вер "&amp;B1</f>
        <v>вер 7.3</v>
      </c>
      <c r="B1" s="14">
        <v>7.3</v>
      </c>
    </row>
    <row r="2" spans="1:5" x14ac:dyDescent="0.4">
      <c r="A2" t="s">
        <v>96</v>
      </c>
    </row>
    <row r="4" spans="1:5" x14ac:dyDescent="0.4">
      <c r="A4" s="54" t="str">
        <f>"Унифлок "&amp;версия_номер_</f>
        <v>Унифлок 7.3</v>
      </c>
      <c r="B4" s="54"/>
      <c r="C4" s="54"/>
      <c r="D4" s="54"/>
      <c r="E4" s="54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zoomScale="70" zoomScaleNormal="70" workbookViewId="0">
      <selection activeCell="M13" sqref="M13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7.3</v>
      </c>
      <c r="J1" s="2" t="s">
        <v>23</v>
      </c>
      <c r="K1" s="2"/>
      <c r="L1" s="2"/>
    </row>
    <row r="2" spans="1:17" ht="17.149999999999999" x14ac:dyDescent="0.4">
      <c r="A2" s="54" t="s">
        <v>0</v>
      </c>
      <c r="B2" s="54"/>
      <c r="C2" s="54"/>
      <c r="D2" s="54"/>
      <c r="E2" s="54"/>
      <c r="J2" s="6" t="s">
        <v>26</v>
      </c>
      <c r="K2" s="9">
        <v>1</v>
      </c>
      <c r="L2" s="5" t="s">
        <v>6</v>
      </c>
    </row>
    <row r="3" spans="1:17" ht="18" customHeight="1" x14ac:dyDescent="0.4">
      <c r="F3" s="55" t="s">
        <v>37</v>
      </c>
      <c r="G3" s="55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6" t="s">
        <v>28</v>
      </c>
      <c r="O7" s="56"/>
      <c r="P7" s="56"/>
      <c r="Q7" s="56"/>
    </row>
    <row r="8" spans="1:17" ht="17.149999999999999" x14ac:dyDescent="0.4">
      <c r="B8" s="15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5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38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>
        <v>1.2</v>
      </c>
      <c r="H16" s="5" t="s">
        <v>17</v>
      </c>
    </row>
    <row r="17" spans="2:33" ht="17.149999999999999" x14ac:dyDescent="0.4">
      <c r="F17" s="8" t="s">
        <v>22</v>
      </c>
      <c r="G17" s="9">
        <v>1</v>
      </c>
      <c r="H17" s="5" t="s">
        <v>7</v>
      </c>
    </row>
    <row r="20" spans="2:33" x14ac:dyDescent="0.4">
      <c r="B20" s="16" t="s">
        <v>39</v>
      </c>
      <c r="C20" s="17"/>
      <c r="D20" s="17"/>
      <c r="E20" s="17"/>
      <c r="F20" s="17"/>
      <c r="G20" s="18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</row>
    <row r="21" spans="2:33" outlineLevel="1" x14ac:dyDescent="0.4"/>
    <row r="22" spans="2:33" outlineLevel="1" x14ac:dyDescent="0.4">
      <c r="B22" s="19" t="s">
        <v>40</v>
      </c>
      <c r="C22" s="2"/>
      <c r="D22" s="2"/>
      <c r="E22" s="2"/>
      <c r="F22" s="2"/>
      <c r="G22" s="19" t="s">
        <v>41</v>
      </c>
      <c r="H22" s="2"/>
    </row>
    <row r="23" spans="2:33" ht="17.149999999999999" outlineLevel="1" x14ac:dyDescent="0.4">
      <c r="B23" s="5" t="s">
        <v>42</v>
      </c>
      <c r="C23" s="20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1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2">
        <f>Tres_C_</f>
        <v>80</v>
      </c>
      <c r="D24" s="5" t="s">
        <v>25</v>
      </c>
      <c r="E24" s="2"/>
      <c r="F24" s="2"/>
      <c r="G24" s="23">
        <f>T_C_</f>
        <v>30</v>
      </c>
      <c r="H24" s="2"/>
    </row>
    <row r="25" spans="2:33" ht="17.149999999999999" outlineLevel="1" x14ac:dyDescent="0.4">
      <c r="B25" s="7" t="s">
        <v>15</v>
      </c>
      <c r="C25" s="22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43</v>
      </c>
      <c r="C26" s="24">
        <f>[1]!PVT_Bo_m3m3(C23,Tres_C_,gamma_gas_,gamma_oil_,gamma_w_,Rsb_m3m3_,,Pb_atma_,Tres_C_,Bob_m3m3_,mu_cP_,PVT_correlation_,Ksep_,Psep_atma_,Tsep_C_)</f>
        <v>1.1990885481197739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44</v>
      </c>
      <c r="C27" s="20">
        <f>[1]!PVT_Rhoo_kgm3(C23,Tres_C_,gamma_gas_,gamma_oil_,gamma_w_,Rsb_m3m3_,,Pb_atma_,Tres_C_,Bob_m3m3_,mu_cP_,PVT_correlation_,Ksep_,Psep_atma_,Tsep_C_)</f>
        <v>788.16252147540945</v>
      </c>
      <c r="D27" s="5" t="s">
        <v>45</v>
      </c>
      <c r="E27" s="2"/>
      <c r="F27" s="2"/>
      <c r="G27" s="10"/>
      <c r="H27" s="2"/>
    </row>
    <row r="28" spans="2:33" ht="17.149999999999999" outlineLevel="1" x14ac:dyDescent="0.4">
      <c r="B28" s="8" t="s">
        <v>46</v>
      </c>
      <c r="C28" s="25">
        <f>[1]!PVT_Muo_cP(C23,Tres_C_,gamma_gas_,gamma_oil_,gamma_w_,Rsb_m3m3_,,Pb_atma_,Tres_C_,Bob_m3m3_,mu_cP_,PVT_correlation_,Ksep_,Psep_atma_,Tsep_C_)</f>
        <v>1.003945256883261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19" t="s">
        <v>47</v>
      </c>
      <c r="C31" s="2"/>
      <c r="D31" s="2"/>
      <c r="E31" s="2"/>
      <c r="F31" s="2"/>
      <c r="G31" s="26"/>
      <c r="H31" s="19" t="s">
        <v>48</v>
      </c>
      <c r="I31" s="2"/>
      <c r="J31" s="2"/>
      <c r="K31" s="2"/>
      <c r="L31" s="19" t="s">
        <v>49</v>
      </c>
      <c r="M31" s="2"/>
      <c r="N31" s="2"/>
      <c r="Q31" s="27" t="s">
        <v>50</v>
      </c>
      <c r="R31" s="2"/>
      <c r="S31" s="2"/>
      <c r="T31" s="2"/>
      <c r="U31" s="2"/>
      <c r="V31" s="2"/>
      <c r="W31" s="27"/>
      <c r="X31" s="27"/>
      <c r="Z31" s="2" t="s">
        <v>51</v>
      </c>
      <c r="AA31" s="2"/>
      <c r="AB31" s="2"/>
    </row>
    <row r="32" spans="2:33" ht="17.149999999999999" outlineLevel="1" x14ac:dyDescent="0.55000000000000004">
      <c r="B32" s="5" t="s">
        <v>52</v>
      </c>
      <c r="C32" s="20">
        <f>[1]!PVT_Rhoo_kgm3(Psc_atma_,Tsc_C_,gamma_gas_,gamma_oil_,gamma_w_,Rsb_m3m3_,,Pb_atma_,Tres_C_,Bob_m3m3_,mu_cP_,PVT_correlation_,Ksep_,Psep_atma_,Tsep_C_)</f>
        <v>858.8904036837605</v>
      </c>
      <c r="D32" s="5" t="s">
        <v>45</v>
      </c>
      <c r="E32" s="28">
        <f>[1]!PVT_Rhoo_kgm3(Psc_atma_,Tsc_C_,gamma_gas_,gamma_oil_,gamma_w_,Rsb_m3m3_,,,,,,PVT_correlation_,Ksep_,Psep_atma_,Tsep_C_)</f>
        <v>860.00434407024829</v>
      </c>
      <c r="F32" s="29">
        <f t="shared" ref="F32:F37" si="0">(E32-C32)/E32</f>
        <v>1.2952729764313922E-3</v>
      </c>
      <c r="G32" s="30"/>
      <c r="H32" s="5" t="s">
        <v>53</v>
      </c>
      <c r="I32" s="25">
        <f>[1]!PVT_Rhog_kgm3(Psc_atma_,Tsc_C_,gamma_gas_,gamma_oil_,gamma_w_,Rsb_m3m3_,,Pb_atma_,Tres_C_,Bob_m3m3_,mu_cP_,PVT_correlation_,Ksep_,Psep_atma_,Tsep_C_)</f>
        <v>0.86851485761170277</v>
      </c>
      <c r="J32" s="5" t="s">
        <v>45</v>
      </c>
      <c r="L32" s="5" t="s">
        <v>54</v>
      </c>
      <c r="M32" s="20">
        <f>[1]!PVT_Rhow_kgm3(Psc_atma_,Tsc_C_,gamma_gas_,gamma_oil_,gamma_w_,Rsb_m3m3_,,Pb_atma_,Tres_C_,Bob_m3m3_,mu_cP_,PVT_correlation_,Ksep_,Psep_atma_,Tsep_C_)</f>
        <v>1070.3638451179736</v>
      </c>
      <c r="N32" s="5" t="s">
        <v>45</v>
      </c>
      <c r="Q32" s="31" t="s">
        <v>55</v>
      </c>
      <c r="R32" s="32">
        <v>0.87464531983017435</v>
      </c>
      <c r="S32" s="27"/>
      <c r="T32" s="27" t="s">
        <v>56</v>
      </c>
      <c r="U32" s="27"/>
      <c r="V32" s="27" t="s">
        <v>57</v>
      </c>
      <c r="W32" s="27"/>
      <c r="X32" s="27" t="s">
        <v>58</v>
      </c>
      <c r="Z32" s="5" t="s">
        <v>42</v>
      </c>
      <c r="AA32" s="33">
        <f>ABS(U33)</f>
        <v>0.46925466942242361</v>
      </c>
      <c r="AB32" s="34">
        <f>ABS(Pb_diff_)</f>
        <v>0.37033118901657464</v>
      </c>
      <c r="AD32" s="27" t="str">
        <f>Q34&amp; " = "&amp;IFERROR(TEXT(gamma_gas_diff_total_*100,"0.0") &amp; "%",TEXT(gamma_gas_diff_total_*100,"0,0") &amp; "%")</f>
        <v>Сумм откл = 24.4%</v>
      </c>
      <c r="AE32" s="27"/>
      <c r="AF32" s="2"/>
      <c r="AG32" s="2"/>
    </row>
    <row r="33" spans="2:33" ht="17.149999999999999" outlineLevel="1" x14ac:dyDescent="0.4">
      <c r="B33" s="5" t="s">
        <v>59</v>
      </c>
      <c r="C33" s="25">
        <f>[1]!PVT_Muo_cP(Psc_atma_,Tsc_C_,gamma_gas_,gamma_oil_,gamma_w_,Rsb_m3m3_,,Pb_atma_,Tres_C_,Bob_m3m3_,mu_cP_,PVT_correlation_,Ksep_,Psep_atma_,Tsep_C_)</f>
        <v>4.6763044658296815</v>
      </c>
      <c r="D33" s="5" t="s">
        <v>7</v>
      </c>
      <c r="E33" s="28">
        <f>[1]!PVT_Muo_cP(Psc_atma_,Tsc_C_,gamma_gas_,gamma_oil_,gamma_w_,Rsb_m3m3_,,,,,,PVT_correlation_,Ksep_,Psep_atma_,Tsep_C_)</f>
        <v>12.53061051510749</v>
      </c>
      <c r="F33" s="29">
        <f t="shared" si="0"/>
        <v>0.62680952694270486</v>
      </c>
      <c r="G33" s="30"/>
      <c r="H33" s="5" t="s">
        <v>60</v>
      </c>
      <c r="I33" s="43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61</v>
      </c>
      <c r="M33" s="24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31" t="s">
        <v>62</v>
      </c>
      <c r="R33" s="32">
        <v>0.85891244994266958</v>
      </c>
      <c r="S33" s="5" t="s">
        <v>42</v>
      </c>
      <c r="T33" s="28">
        <f>[1]!PVT_Pb_atma(Tres_C_,gamma_gas_,gamma_oil_,gamma_w_,Rsb_m3m3_,,,Tres_C_,,,PVT_correlation_,Ksep_,Psep_atma_,Tsep_C_)</f>
        <v>188.41428127342422</v>
      </c>
      <c r="U33" s="29">
        <f>(T33-C23)/T33</f>
        <v>0.46925466942242361</v>
      </c>
      <c r="V33" s="35">
        <f>[1]!PVT_Pb_atma(Tres_C_,gamma_gas_new_,gamma_oil_new_,gamma_w_,Rsb_m3m3_,,,Tres_C_,,,PVT_correlation_,Ksep_,Psep_atma_,Tsep_C_)</f>
        <v>158.81364656416542</v>
      </c>
      <c r="W33" s="36">
        <f>(V33-C23)/V33</f>
        <v>0.37033118901657464</v>
      </c>
      <c r="X33" s="27">
        <v>2</v>
      </c>
      <c r="Z33" s="7" t="s">
        <v>43</v>
      </c>
      <c r="AA33" s="33">
        <f>ABS(U34)</f>
        <v>0.30831947324308168</v>
      </c>
      <c r="AB33" s="33">
        <f>ABS(W34)</f>
        <v>0.35361750354114602</v>
      </c>
      <c r="AD33" s="27" t="str">
        <f>F9 &amp;" = "&amp;IFERROR(  TEXT(gamma_gas_,"0.00"),TEXT(gamma_gas_,"0,00")) &amp;",  "&amp; F8 &amp;" = "&amp;  IFERROR(TEXT(gamma_oil_,"0.00"),TEXT(gamma_oil_,"0,00"))</f>
        <v>γg = 0.70,  γo = 0.86</v>
      </c>
      <c r="AE33" s="27"/>
      <c r="AF33" s="2"/>
      <c r="AG33" s="2"/>
    </row>
    <row r="34" spans="2:33" ht="17.149999999999999" outlineLevel="1" x14ac:dyDescent="0.4">
      <c r="B34" s="5" t="s">
        <v>63</v>
      </c>
      <c r="C34" s="25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8">
        <f>[1]!PVT_Rs_m3m3(P_atma_,T_C_,gamma_gas_,gamma_oil_,gamma_w_,Rsb_m3m3_,,,,,,PVT_correlation_,Ksep_,Psep_atma_,Tsep_C_)</f>
        <v>29.625586135838734</v>
      </c>
      <c r="F34" s="29">
        <f t="shared" si="0"/>
        <v>-0.5774037294520562</v>
      </c>
      <c r="G34" s="30"/>
      <c r="H34" s="5" t="s">
        <v>64</v>
      </c>
      <c r="I34" s="24">
        <f>[1]!PVT_Z(P_atma_,T_C_,gamma_gas_,gamma_oil_,gamma_w_,Rsb_m3m3_,,Pb_atma_,Tres_C_,Bob_m3m3_,mu_cP_,PVT_correlation_,Ksep_,Psep_atma_,Tsep_C_)</f>
        <v>0.95008334880238299</v>
      </c>
      <c r="J34" s="5"/>
      <c r="L34" s="5" t="s">
        <v>65</v>
      </c>
      <c r="M34" s="20">
        <f>[1]!PVT_Sal_ppm(Psc_atma_,Tsc_C_,gamma_gas_,gamma_oil_,gamma_w_,Rsb_m3m3_,,Pb_atma_,Tres_C_,Bob_m3m3_,mu_cP_,PVT_correlation_,Ksep_,Psep_atma_,Tsep_C_)</f>
        <v>97525.871265721944</v>
      </c>
      <c r="N34" s="5" t="s">
        <v>104</v>
      </c>
      <c r="Q34" s="37" t="s">
        <v>66</v>
      </c>
      <c r="R34" s="38">
        <f>((X33*W33^2+X34*W34^2+X35*W35^2+X36*W36^2+X37*W37^2+X38*W38^2)/SUM(X33:X38))^0.5</f>
        <v>0.2442916942115711</v>
      </c>
      <c r="S34" s="7" t="s">
        <v>43</v>
      </c>
      <c r="T34" s="39">
        <f>[1]!PVT_Bo_m3m3(T33,Tres_C_,gamma_gas_,gamma_oil_,gamma_w_,Rsb_m3m3_,,,,,,PVT_correlation_,Ksep_,Psep_atma_,Tsep_C_)</f>
        <v>1.287833096954804</v>
      </c>
      <c r="U34" s="29">
        <f>(T34-C26)/(T34-1)</f>
        <v>0.30831947324308168</v>
      </c>
      <c r="V34" s="40">
        <f>[1]!PVT_Bo_m3m3(V33,Tres_C_,gamma_gas_new_,gamma_oil_new_,gamma_w_,Rsb_m3m3_,,,,,,PVT_correlation_,Ksep_,Psep_atma_,Tsep_C_)</f>
        <v>1.3080042377546761</v>
      </c>
      <c r="W34" s="36">
        <f>(V34-C26)/(V34-1)</f>
        <v>0.35361750354114602</v>
      </c>
      <c r="X34" s="27">
        <v>2</v>
      </c>
      <c r="Z34" s="8" t="s">
        <v>46</v>
      </c>
      <c r="AA34" s="33">
        <f>ABS(U36)</f>
        <v>0.31041712809602873</v>
      </c>
      <c r="AB34" s="33">
        <f>ABS(W36)</f>
        <v>4.1114237862314232E-2</v>
      </c>
      <c r="AD34" s="27" t="str">
        <f>Q33&amp;" = "&amp;IFERROR(TEXT(gamma_gas_new_,"0.00"),TEXT(gamma_gas_new_,"0,00"))&amp;",  "&amp;Q32&amp;" = "&amp;IFERROR(TEXT(gamma_oil_new_,"0.00"),TEXT(gamma_oil_new_,"0,00"))</f>
        <v>γg new  = 0.86,  γo new  = 0.87</v>
      </c>
      <c r="AE34" s="27"/>
      <c r="AF34" s="2"/>
      <c r="AG34" s="2"/>
    </row>
    <row r="35" spans="2:33" ht="17.149999999999999" outlineLevel="1" x14ac:dyDescent="0.4">
      <c r="B35" s="5" t="s">
        <v>67</v>
      </c>
      <c r="C35" s="24">
        <f>[1]!PVT_Bo_m3m3(P_atma_,T_C_,gamma_gas_,gamma_oil_,gamma_w_,Rsb_m3m3_,,Pb_atma_,Tres_C_,Bob_m3m3_,mu_cP_,PVT_correlation_,Ksep_,Psep_atma_,Tsep_C_)</f>
        <v>1.0780752334152308</v>
      </c>
      <c r="D35" s="5" t="s">
        <v>17</v>
      </c>
      <c r="E35" s="28">
        <f>[1]!PVT_Bo_m3m3(P_atma_,T_C_,gamma_gas_,gamma_oil_,gamma_w_,Rsb_m3m3_,,,,,,PVT_correlation_,Ksep_,Psep_atma_,Tsep_C_)</f>
        <v>1.076527064194055</v>
      </c>
      <c r="F35" s="29">
        <f t="shared" si="0"/>
        <v>-1.438114537635786E-3</v>
      </c>
      <c r="G35" s="30"/>
      <c r="H35" s="5" t="s">
        <v>68</v>
      </c>
      <c r="I35" s="43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69</v>
      </c>
      <c r="M35" s="24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44</v>
      </c>
      <c r="T35" s="28">
        <f>[1]!PVT_Rhoo_kgm3(C23,Tres_C_,gamma_gas_,gamma_oil_,gamma_w_,Rsb_m3m3_,,,,,,PVT_correlation_,Ksep_,Psep_atma_,Tsep_C_)</f>
        <v>762.97043934947192</v>
      </c>
      <c r="U35" s="29">
        <f>(T35-C27)/T35</f>
        <v>-3.3018424865079887E-2</v>
      </c>
      <c r="V35" s="35">
        <f>[1]!PVT_Rhoo_kgm3(C23,Tres_C_,gamma_gas_new_,gamma_oil_new_,gamma_w_,Rsb_m3m3_,,,,,,PVT_correlation_,Ksep_,Psep_atma_,Tsep_C_)</f>
        <v>767.66635329781673</v>
      </c>
      <c r="W35" s="36">
        <f>(V35-C27)/V35</f>
        <v>-2.6699318121138519E-2</v>
      </c>
      <c r="X35" s="27">
        <v>0</v>
      </c>
      <c r="Z35" s="5" t="s">
        <v>73</v>
      </c>
      <c r="AA35" s="34">
        <f>ABS((gamma_oil_-gamma_oil_)/(gamma_oil_))</f>
        <v>0</v>
      </c>
      <c r="AB35" s="33">
        <f>ABS((gamma_oil_new_-gamma_oil_)/(gamma_oil_))</f>
        <v>1.7029441662993448E-2</v>
      </c>
    </row>
    <row r="36" spans="2:33" ht="17.149999999999999" outlineLevel="1" x14ac:dyDescent="0.4">
      <c r="B36" s="5" t="s">
        <v>70</v>
      </c>
      <c r="C36" s="20">
        <f>[1]!PVT_Rhoo_kgm3(P_atma_,T_C_,gamma_gas_,gamma_oil_,gamma_w_,Rsb_m3m3_,,Pb_atma_,Tres_C_,Bob_m3m3_,mu_cP_,PVT_correlation_,Ksep_,Psep_atma_,Tsep_C_)</f>
        <v>834.7880483585551</v>
      </c>
      <c r="D36" s="5" t="s">
        <v>45</v>
      </c>
      <c r="E36" s="28">
        <f>[1]!PVT_Rhoo_kgm3(P_atma_,T_C_,gamma_gas_,gamma_oil_,gamma_w_,Rsb_m3m3_,,,,,,PVT_correlation_,Ksep_,Psep_atma_,Tsep_C_)</f>
        <v>822.39967247857055</v>
      </c>
      <c r="F36" s="29">
        <f t="shared" si="0"/>
        <v>-1.5063692623621949E-2</v>
      </c>
      <c r="G36" s="30"/>
      <c r="H36" s="5" t="s">
        <v>71</v>
      </c>
      <c r="I36" s="20">
        <f>[1]!PVT_Rhog_kgm3(P_atma_,T_C_,gamma_gas_,gamma_oil_,gamma_w_,Rsb_m3m3_,,Pb_atma_,Tres_C_,Bob_m3m3_,mu_cP_,PVT_correlation_,Ksep_,Psep_atma_,Tsep_C_)</f>
        <v>26.007069189756177</v>
      </c>
      <c r="J36" s="5" t="s">
        <v>45</v>
      </c>
      <c r="L36" s="5" t="s">
        <v>72</v>
      </c>
      <c r="M36" s="20">
        <f>[1]!PVT_Rhow_kgm3(P_atma_,T_C_,gamma_gas_,gamma_oil_,gamma_w_,Rsb_m3m3_,,Pb_atma_,Tres_C_,Bob_m3m3_,mu_cP_,PVT_correlation_,Ksep_,Psep_atma_,Tsep_C_)</f>
        <v>1064.5424682045616</v>
      </c>
      <c r="N36" s="5" t="s">
        <v>45</v>
      </c>
      <c r="S36" s="8" t="s">
        <v>46</v>
      </c>
      <c r="T36" s="41">
        <f>[1]!PVT_Muo_cP(T33,Tres_C_,gamma_gas_,gamma_oil_,gamma_w_,Rsb_m3m3_,,,,,,PVT_correlation_,Ksep_,Psep_atma_,Tsep_C_)</f>
        <v>0.76612647633959408</v>
      </c>
      <c r="U36" s="29">
        <f>(T36-C28)/T36</f>
        <v>-0.31041712809602873</v>
      </c>
      <c r="V36" s="42">
        <f>[1]!PVT_Muo_cP(V33,Tres_C_,gamma_gas_new_,gamma_oil_new_,gamma_w_,Rsb_m3m3_,,,,,,PVT_correlation_,Ksep_,Psep_atma_,Tsep_C_)</f>
        <v>0.96429884480749095</v>
      </c>
      <c r="W36" s="36">
        <f>(V36-C28)/V36</f>
        <v>-4.1114237862314232E-2</v>
      </c>
      <c r="X36" s="27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0.2270177856323852</v>
      </c>
    </row>
    <row r="37" spans="2:33" ht="17.149999999999999" outlineLevel="1" x14ac:dyDescent="0.4">
      <c r="B37" s="5" t="s">
        <v>74</v>
      </c>
      <c r="C37" s="25">
        <f>[1]!PVT_Muo_cP(P_atma_,T_C_,gamma_gas_,gamma_oil_,gamma_w_,Rsb_m3m3_,,Pb_atma_,Tres_C_,Bob_m3m3_,mu_cP_,PVT_correlation_,Ksep_,Psep_atma_,Tsep_C_)</f>
        <v>1.8582237789578517</v>
      </c>
      <c r="D37" s="5" t="s">
        <v>7</v>
      </c>
      <c r="E37" s="28">
        <f>[1]!PVT_Muo_cP(P_atma_,T_C_,gamma_gas_,gamma_oil_,gamma_w_,Rsb_m3m3_,,,,,,PVT_correlation_,Ksep_,Psep_atma_,Tsep_C_)</f>
        <v>4.448291156906401</v>
      </c>
      <c r="F37" s="29">
        <f t="shared" si="0"/>
        <v>0.58226120696421135</v>
      </c>
      <c r="G37" s="30"/>
      <c r="H37" s="5" t="s">
        <v>75</v>
      </c>
      <c r="I37" s="43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76</v>
      </c>
      <c r="M37" s="24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6">
        <f>(R32-G8)/R32</f>
        <v>1.674429565691608E-2</v>
      </c>
      <c r="X37" s="27">
        <v>2</v>
      </c>
    </row>
    <row r="38" spans="2:33" ht="17.149999999999999" outlineLevel="1" x14ac:dyDescent="0.4">
      <c r="B38" s="5" t="s">
        <v>77</v>
      </c>
      <c r="C38" s="25"/>
      <c r="D38" s="5"/>
      <c r="E38" s="28"/>
      <c r="F38" s="29"/>
      <c r="G38" s="30"/>
      <c r="H38" s="5" t="s">
        <v>78</v>
      </c>
      <c r="I38" s="20"/>
      <c r="J38" s="5"/>
      <c r="L38" s="5" t="s">
        <v>79</v>
      </c>
      <c r="M38" s="20"/>
      <c r="N38" s="5"/>
      <c r="S38" s="5" t="s">
        <v>13</v>
      </c>
      <c r="W38" s="36">
        <f>(R33-G9)/R33</f>
        <v>0.18501588835192301</v>
      </c>
      <c r="X38" s="27">
        <v>2</v>
      </c>
      <c r="Z38" s="8" t="s">
        <v>44</v>
      </c>
      <c r="AA38" s="33">
        <f>ABS(U35)</f>
        <v>3.3018424865079887E-2</v>
      </c>
      <c r="AB38" s="33">
        <f>ABS(W35)</f>
        <v>2.6699318121138519E-2</v>
      </c>
    </row>
    <row r="39" spans="2:33" ht="17.149999999999999" outlineLevel="1" x14ac:dyDescent="0.4">
      <c r="B39" s="5" t="s">
        <v>80</v>
      </c>
      <c r="C39" s="25"/>
      <c r="D39" s="5"/>
      <c r="E39" s="28"/>
      <c r="F39" s="29"/>
      <c r="G39" s="30"/>
      <c r="H39" s="5" t="s">
        <v>81</v>
      </c>
      <c r="I39" s="20"/>
      <c r="J39" s="5"/>
      <c r="L39" s="5" t="s">
        <v>82</v>
      </c>
      <c r="M39" s="20"/>
      <c r="N39" s="5"/>
    </row>
    <row r="40" spans="2:33" ht="17.149999999999999" outlineLevel="1" x14ac:dyDescent="0.4">
      <c r="B40" s="52" t="s">
        <v>106</v>
      </c>
      <c r="C40" s="53">
        <f>[1]!PVT_SToilgas_Nm(P_atma_,T_C_,gamma_gas_,gamma_oil_,gamma_w_,Rsb_m3m3_,,Pb_atma_,Tres_C_,Bob_m3m3_,mu_cP_,PVT_correlation_,Ksep_,Psep_atma_,Tsep_C_)</f>
        <v>4.2196451605605201E-2</v>
      </c>
      <c r="D40" s="5" t="s">
        <v>105</v>
      </c>
      <c r="L40" s="52" t="s">
        <v>107</v>
      </c>
      <c r="M40" s="53">
        <f>[1]!PVT_STwatgas_Nm(P_atma_,T_C_,gamma_gas_,gamma_oil_,gamma_w_,Rsb_m3m3_,,Pb_atma_,Tres_C_,Bob_m3m3_,mu_cP_,PVT_correlation_,Ksep_,Psep_atma_,Tsep_C_)</f>
        <v>6.0255958607435781E-2</v>
      </c>
      <c r="N40" s="5" t="s">
        <v>105</v>
      </c>
    </row>
    <row r="41" spans="2:33" outlineLevel="1" x14ac:dyDescent="0.4">
      <c r="L41" s="30"/>
    </row>
    <row r="42" spans="2:33" outlineLevel="1" x14ac:dyDescent="0.4">
      <c r="B42" s="19" t="s">
        <v>83</v>
      </c>
      <c r="C42" s="2"/>
      <c r="D42" s="2"/>
      <c r="E42" s="26"/>
      <c r="F42" s="30"/>
      <c r="L42" s="30"/>
    </row>
    <row r="43" spans="2:33" ht="17.149999999999999" outlineLevel="1" x14ac:dyDescent="0.4">
      <c r="B43" s="7" t="s">
        <v>84</v>
      </c>
      <c r="C43" s="44">
        <f>[1]!MF_Qmix_m3day(Ql_scm3day_,wc_perc_,P_atma_,T_C_,gamma_gas_,gamma_oil_,gamma_w_,Rsb_m3m3_,Rp_m3m3_,Pb_atma_,Tres_C_,Bob_m3m3_,mu_cP_,PVT_correlation_,Ksep_,Psep_atma_,Tsep_C_)</f>
        <v>282.97020538471577</v>
      </c>
      <c r="D43" s="5" t="s">
        <v>33</v>
      </c>
      <c r="E43" s="26"/>
      <c r="F43" s="30"/>
      <c r="L43" s="30"/>
    </row>
    <row r="44" spans="2:33" ht="17.149999999999999" outlineLevel="1" x14ac:dyDescent="0.4">
      <c r="B44" s="5" t="s">
        <v>85</v>
      </c>
      <c r="C44" s="44">
        <f>[1]!MF_Rhomix_kgm3(Ql_scm3day_,wc_perc_,P_atma_,T_C_,gamma_gas_,gamma_oil_,gamma_w_,Rsb_m3m3_,Rp_m3m3_,Pb_atma_,Tres_C_,Bob_m3m3_,mu_cP_,PVT_correlation_,Ksep_,Psep_atma_,Tsep_C_)</f>
        <v>334.14083250019456</v>
      </c>
      <c r="D44" s="5" t="s">
        <v>45</v>
      </c>
      <c r="E44" s="26"/>
      <c r="F44" s="30"/>
      <c r="X44">
        <f>gamma_gas_</f>
        <v>0.7</v>
      </c>
    </row>
    <row r="45" spans="2:33" ht="17.149999999999999" outlineLevel="1" x14ac:dyDescent="0.4">
      <c r="B45" s="5" t="s">
        <v>86</v>
      </c>
      <c r="C45" s="44">
        <f>[1]!MF_Mumix_cP(Ql_scm3day_,wc_perc_,P_atma_,T_C_,gamma_gas_,gamma_oil_,gamma_w_,Rsb_m3m3_,Rp_m3m3_,Pb_atma_,Tres_C_,Bob_m3m3_,mu_cP_,PVT_correlation_,Ksep_,Psep_atma_,Tsep_C_)</f>
        <v>0.71232359478788854</v>
      </c>
      <c r="D45" s="5" t="s">
        <v>7</v>
      </c>
      <c r="E45" s="26"/>
      <c r="F45" s="30"/>
    </row>
    <row r="46" spans="2:33" ht="17.149999999999999" outlineLevel="1" x14ac:dyDescent="0.4">
      <c r="B46" s="5" t="s">
        <v>87</v>
      </c>
      <c r="E46" s="30"/>
      <c r="F46" s="30"/>
    </row>
    <row r="47" spans="2:33" ht="17.149999999999999" outlineLevel="1" x14ac:dyDescent="0.4">
      <c r="B47" s="5" t="s">
        <v>88</v>
      </c>
      <c r="E47" s="30"/>
      <c r="F47" s="30"/>
    </row>
    <row r="48" spans="2:33" ht="17.149999999999999" outlineLevel="1" x14ac:dyDescent="0.4">
      <c r="B48" s="5" t="s">
        <v>89</v>
      </c>
      <c r="E48" s="30"/>
      <c r="F48" s="30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105</v>
      </c>
      <c r="E49" s="30"/>
      <c r="F49" s="30"/>
    </row>
    <row r="50" spans="1:29" outlineLevel="1" x14ac:dyDescent="0.4">
      <c r="E50" s="30"/>
      <c r="F50" s="30"/>
    </row>
    <row r="51" spans="1:29" outlineLevel="1" x14ac:dyDescent="0.4">
      <c r="E51" s="30"/>
      <c r="F51" s="30"/>
    </row>
    <row r="52" spans="1:29" outlineLevel="1" x14ac:dyDescent="0.4"/>
    <row r="53" spans="1:29" outlineLevel="1" x14ac:dyDescent="0.4"/>
    <row r="54" spans="1:29" x14ac:dyDescent="0.4">
      <c r="L54" s="30"/>
    </row>
    <row r="55" spans="1:29" x14ac:dyDescent="0.4">
      <c r="B55" s="45" t="s">
        <v>90</v>
      </c>
      <c r="C55" s="17"/>
      <c r="D55" s="17"/>
      <c r="E55" s="17"/>
      <c r="F55" s="17"/>
      <c r="G55" s="18"/>
      <c r="H55" s="17"/>
      <c r="I55" s="17"/>
      <c r="J55" s="17"/>
      <c r="K55" s="17"/>
      <c r="L55" s="46"/>
      <c r="M55" s="46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</row>
    <row r="56" spans="1:29" outlineLevel="1" x14ac:dyDescent="0.4">
      <c r="B56" t="str">
        <f>"Температура = " &amp;T_C_&amp;" °С"</f>
        <v>Температура = 30 °С</v>
      </c>
      <c r="L56" s="30"/>
      <c r="M56" s="30"/>
    </row>
    <row r="57" spans="1:29" outlineLevel="1" x14ac:dyDescent="0.4">
      <c r="L57" s="30"/>
      <c r="M57" s="30"/>
    </row>
    <row r="58" spans="1:29" ht="17.149999999999999" outlineLevel="1" x14ac:dyDescent="0.4">
      <c r="A58" s="47"/>
      <c r="B58" s="5" t="s">
        <v>91</v>
      </c>
      <c r="C58" s="5" t="s">
        <v>91</v>
      </c>
      <c r="D58" s="5" t="s">
        <v>63</v>
      </c>
      <c r="E58" s="5" t="s">
        <v>92</v>
      </c>
      <c r="F58" s="5" t="s">
        <v>97</v>
      </c>
      <c r="G58" s="5" t="s">
        <v>67</v>
      </c>
      <c r="H58" s="5" t="s">
        <v>93</v>
      </c>
      <c r="I58" s="5" t="s">
        <v>98</v>
      </c>
      <c r="J58" s="5" t="s">
        <v>70</v>
      </c>
      <c r="K58" s="5" t="s">
        <v>94</v>
      </c>
      <c r="L58" s="5" t="s">
        <v>99</v>
      </c>
      <c r="M58" s="5" t="s">
        <v>74</v>
      </c>
      <c r="N58" s="5" t="s">
        <v>95</v>
      </c>
      <c r="O58" s="5" t="s">
        <v>100</v>
      </c>
      <c r="P58" s="52" t="s">
        <v>101</v>
      </c>
      <c r="Q58" s="52" t="s">
        <v>102</v>
      </c>
      <c r="R58" s="52" t="s">
        <v>103</v>
      </c>
    </row>
    <row r="59" spans="1:29" outlineLevel="1" x14ac:dyDescent="0.4">
      <c r="A59" s="48">
        <v>1</v>
      </c>
      <c r="B59" s="49">
        <v>1</v>
      </c>
      <c r="C59" s="2">
        <v>1</v>
      </c>
      <c r="D59" s="2">
        <v>2.870269071828853</v>
      </c>
      <c r="E59" s="2">
        <v>2.870269071828853</v>
      </c>
      <c r="F59">
        <v>7.3073359279448066E-2</v>
      </c>
      <c r="G59" s="2">
        <v>1.0284661798992814</v>
      </c>
      <c r="H59" s="10">
        <v>1.0284661798992814</v>
      </c>
      <c r="I59">
        <v>1.0222526485976851</v>
      </c>
      <c r="J59" s="2">
        <v>838.58336060403883</v>
      </c>
      <c r="K59" s="2">
        <v>838.58336060403883</v>
      </c>
      <c r="L59">
        <v>841.34043847765668</v>
      </c>
      <c r="M59" s="2">
        <v>5.6578645150739844</v>
      </c>
      <c r="N59" s="2">
        <v>5.6578645150739844</v>
      </c>
      <c r="O59">
        <v>6.0213429641748046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8">
        <v>2</v>
      </c>
      <c r="B60" s="50">
        <f>($B$79-$B$59)/($A$79-$A$59)+B59</f>
        <v>4.9124101772170992</v>
      </c>
      <c r="C60" s="2">
        <v>5.1333129408491152</v>
      </c>
      <c r="D60" s="2">
        <v>12.759697733962112</v>
      </c>
      <c r="E60" s="2">
        <v>12.759697733962112</v>
      </c>
      <c r="F60">
        <v>7.8498650232280047</v>
      </c>
      <c r="G60" s="2">
        <v>1.0501854333142775</v>
      </c>
      <c r="H60" s="10">
        <v>1.0501854333142775</v>
      </c>
      <c r="I60">
        <v>1.0394355719825954</v>
      </c>
      <c r="J60" s="2">
        <v>829.29351167688378</v>
      </c>
      <c r="K60" s="2">
        <v>829.29351167688378</v>
      </c>
      <c r="L60">
        <v>833.83054171993149</v>
      </c>
      <c r="M60" s="2">
        <v>4.6332027452079467</v>
      </c>
      <c r="N60" s="2">
        <v>4.6332027452079467</v>
      </c>
      <c r="O60">
        <v>5.0978688361695239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8">
        <v>3</v>
      </c>
      <c r="B61" s="50">
        <f t="shared" ref="B61:B78" si="1">($B$79-$B$59)/($A$79-$A$59)+B60</f>
        <v>8.8248203544341983</v>
      </c>
      <c r="C61" s="2">
        <v>9.2666258816982303</v>
      </c>
      <c r="D61" s="2">
        <v>19.483214075380882</v>
      </c>
      <c r="E61" s="2">
        <v>19.483214075380882</v>
      </c>
      <c r="F61">
        <v>12.364501307691741</v>
      </c>
      <c r="G61" s="2">
        <v>1.0648323830419844</v>
      </c>
      <c r="H61" s="10">
        <v>1.0648323830419844</v>
      </c>
      <c r="I61">
        <v>1.0493220653165771</v>
      </c>
      <c r="J61" s="2">
        <v>823.28624092056737</v>
      </c>
      <c r="K61" s="2">
        <v>823.28624092056737</v>
      </c>
      <c r="L61">
        <v>829.65376088863195</v>
      </c>
      <c r="M61" s="2">
        <v>4.1043926461827214</v>
      </c>
      <c r="N61" s="2">
        <v>4.1043926461827214</v>
      </c>
      <c r="O61">
        <v>4.6678734584135624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8">
        <v>4</v>
      </c>
      <c r="B62" s="50">
        <f t="shared" si="1"/>
        <v>12.737230531651297</v>
      </c>
      <c r="C62" s="2">
        <v>13.399938822547345</v>
      </c>
      <c r="D62" s="2">
        <v>25.238144963591264</v>
      </c>
      <c r="E62" s="2">
        <v>25.238144963591264</v>
      </c>
      <c r="F62">
        <v>16.150377720837035</v>
      </c>
      <c r="G62" s="2">
        <v>1.0773175075694756</v>
      </c>
      <c r="H62" s="10">
        <v>1.0773175075694756</v>
      </c>
      <c r="I62">
        <v>1.0575811668104491</v>
      </c>
      <c r="J62" s="2">
        <v>818.31345262395701</v>
      </c>
      <c r="K62" s="2">
        <v>818.31345262395701</v>
      </c>
      <c r="L62">
        <v>826.23600811501251</v>
      </c>
      <c r="M62" s="2">
        <v>3.7277090200970142</v>
      </c>
      <c r="N62" s="2">
        <v>3.7277090200970142</v>
      </c>
      <c r="O62">
        <v>4.3529322646057587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8">
        <v>5</v>
      </c>
      <c r="B63" s="50">
        <f t="shared" si="1"/>
        <v>16.649640708868397</v>
      </c>
      <c r="C63" s="2">
        <v>17.533251763396461</v>
      </c>
      <c r="D63" s="2">
        <v>30.471191957275128</v>
      </c>
      <c r="E63" s="2">
        <v>30.471191957275128</v>
      </c>
      <c r="F63">
        <v>19.541060770860231</v>
      </c>
      <c r="G63" s="2">
        <v>1.0886381358340553</v>
      </c>
      <c r="H63" s="10">
        <v>1.0886381358340553</v>
      </c>
      <c r="I63">
        <v>1.0649580943529677</v>
      </c>
      <c r="J63" s="2">
        <v>813.91477065158313</v>
      </c>
      <c r="K63" s="2">
        <v>813.91477065158313</v>
      </c>
      <c r="L63">
        <v>823.23550983787004</v>
      </c>
      <c r="M63" s="2">
        <v>3.4326245875518011</v>
      </c>
      <c r="N63" s="26">
        <v>3.4326245875518011</v>
      </c>
      <c r="O63">
        <v>4.1002917679434185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8">
        <v>6</v>
      </c>
      <c r="B64" s="50">
        <f t="shared" si="1"/>
        <v>20.562050886085498</v>
      </c>
      <c r="C64" s="2">
        <v>21.666564704245577</v>
      </c>
      <c r="D64" s="2">
        <v>35.374484404416215</v>
      </c>
      <c r="E64" s="2">
        <v>35.374484404416215</v>
      </c>
      <c r="F64">
        <v>22.67421942967724</v>
      </c>
      <c r="G64" s="2">
        <v>1.0992232508508828</v>
      </c>
      <c r="H64" s="10">
        <v>1.0992232508508828</v>
      </c>
      <c r="I64">
        <v>1.0717602658076764</v>
      </c>
      <c r="J64" s="2">
        <v>809.89180735459308</v>
      </c>
      <c r="K64" s="2">
        <v>809.89180735459308</v>
      </c>
      <c r="L64">
        <v>820.51069979848387</v>
      </c>
      <c r="M64" s="2">
        <v>3.1895276939001946</v>
      </c>
      <c r="N64" s="2">
        <v>3.1895276939001946</v>
      </c>
      <c r="O64">
        <v>3.8880552315347865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8">
        <v>7</v>
      </c>
      <c r="B65" s="50">
        <f t="shared" si="1"/>
        <v>24.474461063302599</v>
      </c>
      <c r="C65" s="2">
        <v>25.799877645094693</v>
      </c>
      <c r="D65" s="2">
        <v>40.052888260284789</v>
      </c>
      <c r="E65" s="2">
        <v>40.052888260284789</v>
      </c>
      <c r="F65">
        <v>25.623541336797413</v>
      </c>
      <c r="G65" s="2">
        <v>1.109307098589577</v>
      </c>
      <c r="H65" s="10">
        <v>1.109307098589577</v>
      </c>
      <c r="I65">
        <v>1.0781521931526206</v>
      </c>
      <c r="J65" s="2">
        <v>806.13639870177178</v>
      </c>
      <c r="K65" s="2">
        <v>806.13639870177178</v>
      </c>
      <c r="L65">
        <v>817.98562570003912</v>
      </c>
      <c r="M65" s="2">
        <v>2.9827742110725635</v>
      </c>
      <c r="N65" s="2">
        <v>2.9827742110725635</v>
      </c>
      <c r="O65">
        <v>3.7045606083564451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8">
        <v>8</v>
      </c>
      <c r="B66" s="50">
        <f t="shared" si="1"/>
        <v>28.386871240519699</v>
      </c>
      <c r="C66" s="2">
        <v>29.933190585943809</v>
      </c>
      <c r="D66" s="2">
        <v>44.571532055403182</v>
      </c>
      <c r="E66" s="2">
        <v>44.571532055403182</v>
      </c>
      <c r="F66">
        <v>28.434258508759868</v>
      </c>
      <c r="G66" s="2">
        <v>1.1190352571119691</v>
      </c>
      <c r="H66" s="10">
        <v>1.1190352571119691</v>
      </c>
      <c r="I66">
        <v>1.0842348560073236</v>
      </c>
      <c r="J66" s="2">
        <v>802.58161911389709</v>
      </c>
      <c r="K66" s="2">
        <v>802.58161911389709</v>
      </c>
      <c r="L66">
        <v>815.61359942862146</v>
      </c>
      <c r="M66" s="2">
        <v>2.8029912759455518</v>
      </c>
      <c r="N66" s="2">
        <v>2.8029912759455518</v>
      </c>
      <c r="O66">
        <v>3.5427251167176572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8">
        <v>9</v>
      </c>
      <c r="B67" s="50">
        <f t="shared" si="1"/>
        <v>32.2992814177368</v>
      </c>
      <c r="C67" s="2">
        <v>34.066503526792921</v>
      </c>
      <c r="D67" s="2">
        <v>48.974345089004089</v>
      </c>
      <c r="E67" s="2">
        <v>48.974345089004089</v>
      </c>
      <c r="F67">
        <v>31.136640453495396</v>
      </c>
      <c r="G67" s="2">
        <v>1.1285059958634507</v>
      </c>
      <c r="H67" s="10">
        <v>1.1285059958634507</v>
      </c>
      <c r="I67">
        <v>1.0900758367640202</v>
      </c>
      <c r="J67" s="2">
        <v>799.18261266003344</v>
      </c>
      <c r="K67" s="2">
        <v>799.18261266003344</v>
      </c>
      <c r="L67">
        <v>813.36335844435564</v>
      </c>
      <c r="M67" s="2">
        <v>2.6440875665875674</v>
      </c>
      <c r="N67" s="2">
        <v>2.6440875665875674</v>
      </c>
      <c r="O67">
        <v>3.3978751247133236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8">
        <v>10</v>
      </c>
      <c r="B68" s="50">
        <f t="shared" si="1"/>
        <v>36.211691594953898</v>
      </c>
      <c r="C68" s="2">
        <v>38.199816467642037</v>
      </c>
      <c r="D68" s="2">
        <v>53.292717487793936</v>
      </c>
      <c r="E68" s="2">
        <v>53.292717487793936</v>
      </c>
      <c r="F68">
        <v>33.752193643695144</v>
      </c>
      <c r="G68" s="2">
        <v>1.1377895920995427</v>
      </c>
      <c r="H68" s="10">
        <v>1.1377895920995427</v>
      </c>
      <c r="I68">
        <v>1.0957231618556211</v>
      </c>
      <c r="J68" s="2">
        <v>795.90761363649358</v>
      </c>
      <c r="K68" s="2">
        <v>795.90761363649358</v>
      </c>
      <c r="L68">
        <v>811.21269443355402</v>
      </c>
      <c r="M68" s="2">
        <v>2.5018697770753873</v>
      </c>
      <c r="N68" s="2">
        <v>2.5018697770753873</v>
      </c>
      <c r="O68">
        <v>3.2667435333569461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8">
        <v>11</v>
      </c>
      <c r="B69" s="50">
        <f t="shared" si="1"/>
        <v>40.124101772170995</v>
      </c>
      <c r="C69" s="2">
        <v>42.333129408491153</v>
      </c>
      <c r="D69" s="2">
        <v>57.550058755974867</v>
      </c>
      <c r="E69" s="2">
        <v>57.550058755974867</v>
      </c>
      <c r="F69">
        <v>36.296887505293427</v>
      </c>
      <c r="G69" s="2">
        <v>1.1469384977452866</v>
      </c>
      <c r="H69" s="10">
        <v>1.1469384977452866</v>
      </c>
      <c r="I69">
        <v>1.1012125023985289</v>
      </c>
      <c r="J69" s="2">
        <v>792.73320804464083</v>
      </c>
      <c r="K69" s="2">
        <v>792.73320804464083</v>
      </c>
      <c r="L69">
        <v>809.14513164797336</v>
      </c>
      <c r="M69" s="2">
        <v>2.3733236344723148</v>
      </c>
      <c r="N69" s="2">
        <v>2.3733236344723148</v>
      </c>
      <c r="O69">
        <v>3.1469468665314451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8">
        <v>12</v>
      </c>
      <c r="B70" s="50">
        <f t="shared" si="1"/>
        <v>44.036511949388093</v>
      </c>
      <c r="C70" s="2">
        <v>46.466442349340269</v>
      </c>
      <c r="D70" s="2">
        <v>61.764412255320103</v>
      </c>
      <c r="E70" s="2">
        <v>61.764412255320103</v>
      </c>
      <c r="F70">
        <v>38.782988958646548</v>
      </c>
      <c r="G70" s="2">
        <v>1.1559931694914984</v>
      </c>
      <c r="H70" s="10">
        <v>1.1559931694914984</v>
      </c>
      <c r="I70">
        <v>1.1065712681455278</v>
      </c>
      <c r="J70" s="2">
        <v>789.64161018197126</v>
      </c>
      <c r="K70" s="2">
        <v>789.64161018197126</v>
      </c>
      <c r="L70">
        <v>807.14803468951311</v>
      </c>
      <c r="M70" s="2">
        <v>2.2562077321094072</v>
      </c>
      <c r="N70" s="2">
        <v>2.2562077321094072</v>
      </c>
      <c r="O70">
        <v>3.0366879623804053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8">
        <v>13</v>
      </c>
      <c r="B71" s="50">
        <f t="shared" si="1"/>
        <v>47.94892212660519</v>
      </c>
      <c r="C71" s="2">
        <v>50.599755290189385</v>
      </c>
      <c r="D71" s="2">
        <v>65.950055317721166</v>
      </c>
      <c r="E71" s="2">
        <v>65.950055317721166</v>
      </c>
      <c r="F71">
        <v>41.220177842720339</v>
      </c>
      <c r="G71" s="2">
        <v>1.1649856372563565</v>
      </c>
      <c r="H71" s="10">
        <v>1.1649856372563565</v>
      </c>
      <c r="I71">
        <v>1.1118210962224648</v>
      </c>
      <c r="J71" s="2">
        <v>786.61899211509945</v>
      </c>
      <c r="K71" s="2">
        <v>786.61899211509945</v>
      </c>
      <c r="L71">
        <v>805.21145616954971</v>
      </c>
      <c r="M71" s="2">
        <v>2.1488090744253334</v>
      </c>
      <c r="N71" s="2">
        <v>2.1488090744253334</v>
      </c>
      <c r="O71">
        <v>2.9345755861968539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8">
        <v>14</v>
      </c>
      <c r="B72" s="50">
        <f t="shared" si="1"/>
        <v>51.861332303822287</v>
      </c>
      <c r="C72" s="2">
        <v>54.733068231038501</v>
      </c>
      <c r="D72" s="2">
        <v>70.118529822505295</v>
      </c>
      <c r="E72" s="2">
        <v>70.118529822505295</v>
      </c>
      <c r="F72">
        <v>43.616261568204592</v>
      </c>
      <c r="G72" s="2">
        <v>1.1739418023123269</v>
      </c>
      <c r="H72" s="10">
        <v>1.1739418023123269</v>
      </c>
      <c r="I72">
        <v>1.116979445434888</v>
      </c>
      <c r="J72" s="2">
        <v>783.65440578642233</v>
      </c>
      <c r="K72" s="2">
        <v>783.65440578642233</v>
      </c>
      <c r="L72">
        <v>803.32739729257537</v>
      </c>
      <c r="M72" s="2">
        <v>2.0497884232094128</v>
      </c>
      <c r="N72" s="2">
        <v>2.0497884232094128</v>
      </c>
      <c r="O72">
        <v>2.8395092746628738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8">
        <v>15</v>
      </c>
      <c r="B73" s="50">
        <f t="shared" si="1"/>
        <v>55.773742481039385</v>
      </c>
      <c r="C73" s="2">
        <v>58.866381171887618</v>
      </c>
      <c r="D73" s="2">
        <v>74.279333899938706</v>
      </c>
      <c r="E73" s="2">
        <v>74.279333899938706</v>
      </c>
      <c r="F73">
        <v>45.977652729515846</v>
      </c>
      <c r="G73" s="2">
        <v>1.1828829797788563</v>
      </c>
      <c r="H73" s="10">
        <v>1.1828829797788563</v>
      </c>
      <c r="I73">
        <v>1.1220606616411368</v>
      </c>
      <c r="J73" s="2">
        <v>780.73905817001787</v>
      </c>
      <c r="K73" s="2">
        <v>780.73905817001787</v>
      </c>
      <c r="L73">
        <v>801.48931299525373</v>
      </c>
      <c r="M73" s="2">
        <v>1.9580784227169492</v>
      </c>
      <c r="N73" s="2">
        <v>1.9580784227169492</v>
      </c>
      <c r="O73">
        <v>2.7506027485000617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8">
        <v>16</v>
      </c>
      <c r="B74" s="50">
        <f t="shared" si="1"/>
        <v>59.686152658256482</v>
      </c>
      <c r="C74" s="2">
        <v>62.999694112736734</v>
      </c>
      <c r="D74" s="2">
        <v>78.440402271586834</v>
      </c>
      <c r="E74" s="2">
        <v>78.440402271586834</v>
      </c>
      <c r="F74">
        <v>48.309699591654223</v>
      </c>
      <c r="G74" s="2">
        <v>1.1918269697661616</v>
      </c>
      <c r="H74" s="10">
        <v>1.1918269697661616</v>
      </c>
      <c r="I74">
        <v>1.127076714877574</v>
      </c>
      <c r="J74" s="2">
        <v>777.86580698080127</v>
      </c>
      <c r="K74" s="2">
        <v>777.86580698080127</v>
      </c>
      <c r="L74">
        <v>799.69176906621647</v>
      </c>
      <c r="M74" s="2">
        <v>1.8728142105837864</v>
      </c>
      <c r="N74" s="2">
        <v>1.8728142105837864</v>
      </c>
      <c r="O74">
        <v>2.6671312268979261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8">
        <v>17</v>
      </c>
      <c r="B75" s="50">
        <f t="shared" si="1"/>
        <v>63.598562835473579</v>
      </c>
      <c r="C75" s="2">
        <v>67.133007053585843</v>
      </c>
      <c r="D75" s="2">
        <v>82.608449498452316</v>
      </c>
      <c r="E75" s="2">
        <v>82.608449498452316</v>
      </c>
      <c r="F75">
        <v>50.616921540940915</v>
      </c>
      <c r="G75" s="2">
        <v>1.2007888227783161</v>
      </c>
      <c r="H75" s="10">
        <v>1.2007888227783161</v>
      </c>
      <c r="I75">
        <v>1.1320377244181339</v>
      </c>
      <c r="J75" s="2">
        <v>775.0287996296521</v>
      </c>
      <c r="K75" s="2">
        <v>775.0287996296521</v>
      </c>
      <c r="L75">
        <v>797.9301975973334</v>
      </c>
      <c r="M75" s="2">
        <v>1.7932848067751939</v>
      </c>
      <c r="N75" s="2">
        <v>1.7932848067751939</v>
      </c>
      <c r="O75">
        <v>2.5884941424956134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8">
        <v>18</v>
      </c>
      <c r="B76" s="50">
        <f t="shared" si="1"/>
        <v>67.510973012690684</v>
      </c>
      <c r="C76" s="2">
        <v>71.266319994434951</v>
      </c>
      <c r="D76" s="2">
        <v>86.789221323931272</v>
      </c>
      <c r="E76" s="2">
        <v>86.789221323931272</v>
      </c>
      <c r="F76">
        <v>52.903181046423512</v>
      </c>
      <c r="G76" s="2">
        <v>1.2097814001329776</v>
      </c>
      <c r="H76" s="10">
        <v>1.2097814001329776</v>
      </c>
      <c r="I76">
        <v>1.1369523424914105</v>
      </c>
      <c r="J76" s="2">
        <v>772.22320832616901</v>
      </c>
      <c r="K76" s="2">
        <v>772.22320832616901</v>
      </c>
      <c r="L76">
        <v>796.20071797858122</v>
      </c>
      <c r="M76" s="2">
        <v>1.7188982309231766</v>
      </c>
      <c r="N76" s="2">
        <v>1.7188982309231766</v>
      </c>
      <c r="O76">
        <v>2.5141881102323409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8">
        <v>19</v>
      </c>
      <c r="B77" s="50">
        <f t="shared" si="1"/>
        <v>71.423383189907781</v>
      </c>
      <c r="C77" s="2">
        <v>75.39963293528406</v>
      </c>
      <c r="D77" s="2">
        <v>90.987682637764451</v>
      </c>
      <c r="E77" s="2">
        <v>90.987682637764451</v>
      </c>
      <c r="F77">
        <v>55.171811969591133</v>
      </c>
      <c r="G77" s="2">
        <v>1.2188157928735559</v>
      </c>
      <c r="H77" s="10">
        <v>1.2188157928735559</v>
      </c>
      <c r="I77">
        <v>1.1418280401179879</v>
      </c>
      <c r="J77" s="2">
        <v>769.44503164333514</v>
      </c>
      <c r="K77" s="2">
        <v>769.44503164333514</v>
      </c>
      <c r="L77">
        <v>794.50000350712469</v>
      </c>
      <c r="M77" s="2">
        <v>1.6491559463740972</v>
      </c>
      <c r="N77" s="2">
        <v>1.6491559463740972</v>
      </c>
      <c r="O77">
        <v>2.4437869174805269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8">
        <v>20</v>
      </c>
      <c r="B78" s="50">
        <f t="shared" si="1"/>
        <v>75.335793367124879</v>
      </c>
      <c r="C78" s="2">
        <v>79.532945876133169</v>
      </c>
      <c r="D78" s="2">
        <v>95.208160649541654</v>
      </c>
      <c r="E78" s="2">
        <v>95.208160649541654</v>
      </c>
      <c r="F78">
        <v>57.425717105722477</v>
      </c>
      <c r="G78" s="2">
        <v>1.2279016413818555</v>
      </c>
      <c r="H78" s="10">
        <v>1.2279016413818555</v>
      </c>
      <c r="I78">
        <v>1.1466713248190645</v>
      </c>
      <c r="J78" s="2">
        <v>766.69094264457976</v>
      </c>
      <c r="K78" s="2">
        <v>766.69094264457976</v>
      </c>
      <c r="L78">
        <v>792.82517957366122</v>
      </c>
      <c r="M78" s="2">
        <v>1.5836337954630948</v>
      </c>
      <c r="N78" s="2">
        <v>1.5836337954630948</v>
      </c>
      <c r="O78">
        <v>2.3769264400394707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8">
        <v>21</v>
      </c>
      <c r="B79" s="51">
        <f>G23</f>
        <v>79.24820354434199</v>
      </c>
      <c r="C79" s="2">
        <v>83.666258816982307</v>
      </c>
      <c r="D79" s="2">
        <v>99.45445572300568</v>
      </c>
      <c r="E79" s="2">
        <v>99.45445572300568</v>
      </c>
      <c r="F79">
        <v>59.66744356118442</v>
      </c>
      <c r="G79" s="2">
        <v>1.2383330749167678</v>
      </c>
      <c r="H79" s="10">
        <v>1.2383330749167678</v>
      </c>
      <c r="I79">
        <v>1.1514879086630763</v>
      </c>
      <c r="J79" s="2">
        <v>763.16499585806275</v>
      </c>
      <c r="K79" s="2">
        <v>763.16499585806275</v>
      </c>
      <c r="L79">
        <v>791.17374503465544</v>
      </c>
      <c r="M79" s="2">
        <v>1.521967549138763</v>
      </c>
      <c r="N79" s="2">
        <v>1.521967549138763</v>
      </c>
      <c r="O79">
        <v>2.3132930880136202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8">
        <v>22</v>
      </c>
      <c r="B80" s="50">
        <f t="shared" ref="B80:B98" si="2">($B$99-$B$79)/($A$99-$A$79)+B79</f>
        <v>90.285793367124896</v>
      </c>
      <c r="C80" s="2">
        <v>94.482945876133186</v>
      </c>
      <c r="D80" s="2">
        <v>100</v>
      </c>
      <c r="E80" s="2">
        <v>100</v>
      </c>
      <c r="F80">
        <v>65.491969681483809</v>
      </c>
      <c r="G80" s="2">
        <v>1.2344741934623329</v>
      </c>
      <c r="H80" s="10">
        <v>1.2344741934623329</v>
      </c>
      <c r="I80">
        <v>1.1640014722311862</v>
      </c>
      <c r="J80" s="2">
        <v>765.9285264992867</v>
      </c>
      <c r="K80" s="2">
        <v>765.9285264992867</v>
      </c>
      <c r="L80">
        <v>786.94752489967357</v>
      </c>
      <c r="M80" s="2">
        <v>1.5426582106744255</v>
      </c>
      <c r="N80" s="2">
        <v>1.5426582106744255</v>
      </c>
      <c r="O80">
        <v>2.1601587186361466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8">
        <v>23</v>
      </c>
      <c r="B81" s="50">
        <f t="shared" si="2"/>
        <v>101.3233831899078</v>
      </c>
      <c r="C81" s="2">
        <v>105.29963293528407</v>
      </c>
      <c r="D81" s="2">
        <v>100</v>
      </c>
      <c r="E81" s="2">
        <v>100</v>
      </c>
      <c r="F81">
        <v>71.280832799048497</v>
      </c>
      <c r="G81" s="2">
        <v>1.2314166781275693</v>
      </c>
      <c r="H81" s="10">
        <v>1.2314166781275693</v>
      </c>
      <c r="I81">
        <v>1.1764392970858519</v>
      </c>
      <c r="J81" s="2">
        <v>767.83026963522127</v>
      </c>
      <c r="K81" s="2">
        <v>767.83026963522127</v>
      </c>
      <c r="L81">
        <v>782.8356785451806</v>
      </c>
      <c r="M81" s="2">
        <v>1.5709801148347229</v>
      </c>
      <c r="N81" s="2">
        <v>1.5709801148347229</v>
      </c>
      <c r="O81">
        <v>2.0234832450984848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8">
        <v>24</v>
      </c>
      <c r="B82" s="50">
        <f t="shared" si="2"/>
        <v>112.36097301269071</v>
      </c>
      <c r="C82" s="2">
        <v>116.11631999443495</v>
      </c>
      <c r="D82" s="2">
        <v>100</v>
      </c>
      <c r="E82" s="2">
        <v>100</v>
      </c>
      <c r="F82">
        <v>77.059227922144487</v>
      </c>
      <c r="G82" s="2">
        <v>1.2289343904608365</v>
      </c>
      <c r="H82" s="10">
        <v>1.2289343904608365</v>
      </c>
      <c r="I82">
        <v>1.1888579214153203</v>
      </c>
      <c r="J82" s="2">
        <v>769.38118693662807</v>
      </c>
      <c r="K82" s="2">
        <v>769.38118693662807</v>
      </c>
      <c r="L82">
        <v>778.81491509470379</v>
      </c>
      <c r="M82" s="2">
        <v>1.5993020189950202</v>
      </c>
      <c r="N82" s="2">
        <v>1.5993020189950202</v>
      </c>
      <c r="O82">
        <v>1.9004382379750209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8">
        <v>25</v>
      </c>
      <c r="B83" s="50">
        <f t="shared" si="2"/>
        <v>123.39856283547361</v>
      </c>
      <c r="C83" s="2">
        <v>126.93300705358583</v>
      </c>
      <c r="D83" s="2">
        <v>100</v>
      </c>
      <c r="E83" s="2">
        <v>100</v>
      </c>
      <c r="F83">
        <v>82.846861015682933</v>
      </c>
      <c r="G83" s="2">
        <v>1.2268789603286467</v>
      </c>
      <c r="H83" s="10">
        <v>1.2268789603286467</v>
      </c>
      <c r="I83">
        <v>1.2013015363275723</v>
      </c>
      <c r="J83" s="2">
        <v>770.67015620409836</v>
      </c>
      <c r="K83" s="2">
        <v>770.67015620409836</v>
      </c>
      <c r="L83">
        <v>774.86774046560163</v>
      </c>
      <c r="M83" s="2">
        <v>1.6276239231553176</v>
      </c>
      <c r="N83" s="2">
        <v>1.6276239231553176</v>
      </c>
      <c r="O83">
        <v>1.7889024964813409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8">
        <v>26</v>
      </c>
      <c r="B84" s="50">
        <f t="shared" si="2"/>
        <v>134.4361526582565</v>
      </c>
      <c r="C84" s="2">
        <v>137.74969411273671</v>
      </c>
      <c r="D84" s="2">
        <v>100</v>
      </c>
      <c r="E84" s="2">
        <v>100</v>
      </c>
      <c r="F84">
        <v>88.659511554812383</v>
      </c>
      <c r="G84" s="2">
        <v>1.2251490028392711</v>
      </c>
      <c r="H84" s="10">
        <v>1.2251490028392711</v>
      </c>
      <c r="I84">
        <v>1.213805469937439</v>
      </c>
      <c r="J84" s="2">
        <v>771.75837209087933</v>
      </c>
      <c r="K84" s="2">
        <v>771.75837209087933</v>
      </c>
      <c r="L84">
        <v>770.98081271193587</v>
      </c>
      <c r="M84" s="2">
        <v>1.6559458273156149</v>
      </c>
      <c r="N84" s="2">
        <v>1.6559458273156149</v>
      </c>
      <c r="O84">
        <v>1.6872423202942501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8">
        <v>27</v>
      </c>
      <c r="B85" s="50">
        <f t="shared" si="2"/>
        <v>145.47374248103941</v>
      </c>
      <c r="C85" s="2">
        <v>148.5663811718876</v>
      </c>
      <c r="D85" s="2">
        <v>100</v>
      </c>
      <c r="E85" s="2">
        <v>100</v>
      </c>
      <c r="F85">
        <v>94.510062173653239</v>
      </c>
      <c r="G85" s="2">
        <v>1.2236728842340554</v>
      </c>
      <c r="H85" s="10">
        <v>1.2236728842340554</v>
      </c>
      <c r="I85">
        <v>1.2263984833081103</v>
      </c>
      <c r="J85" s="2">
        <v>772.68934547964363</v>
      </c>
      <c r="K85" s="2">
        <v>772.68934547964363</v>
      </c>
      <c r="L85">
        <v>767.14385485253536</v>
      </c>
      <c r="M85" s="2">
        <v>1.6842677314759122</v>
      </c>
      <c r="N85" s="2">
        <v>1.6842677314759122</v>
      </c>
      <c r="O85">
        <v>1.5941707956275797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8">
        <v>28</v>
      </c>
      <c r="B86" s="50">
        <f t="shared" si="2"/>
        <v>156.51133230382231</v>
      </c>
      <c r="C86" s="2">
        <v>159.38306823103849</v>
      </c>
      <c r="D86" s="2">
        <v>100</v>
      </c>
      <c r="E86" s="2">
        <v>100</v>
      </c>
      <c r="F86">
        <v>100</v>
      </c>
      <c r="G86" s="2">
        <v>1.22239855494178</v>
      </c>
      <c r="H86" s="10">
        <v>1.22239855494178</v>
      </c>
      <c r="I86">
        <v>1.2379637489967621</v>
      </c>
      <c r="J86" s="2">
        <v>773.4948607208006</v>
      </c>
      <c r="K86" s="2">
        <v>773.4948607208006</v>
      </c>
      <c r="L86">
        <v>763.76953748948029</v>
      </c>
      <c r="M86" s="2">
        <v>1.7125896356362094</v>
      </c>
      <c r="N86" s="2">
        <v>1.7125896356362094</v>
      </c>
      <c r="O86">
        <v>1.5167597503430845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8">
        <v>29</v>
      </c>
      <c r="B87" s="50">
        <f t="shared" si="2"/>
        <v>167.54892212660522</v>
      </c>
      <c r="C87" s="2">
        <v>170.19975529018939</v>
      </c>
      <c r="D87" s="2">
        <v>100</v>
      </c>
      <c r="E87" s="2">
        <v>100</v>
      </c>
      <c r="F87">
        <v>100</v>
      </c>
      <c r="G87" s="2">
        <v>1.2212872851100083</v>
      </c>
      <c r="H87" s="10">
        <v>1.2212872851100083</v>
      </c>
      <c r="I87">
        <v>1.2358441492175039</v>
      </c>
      <c r="J87" s="2">
        <v>774.19867669778591</v>
      </c>
      <c r="K87" s="2">
        <v>774.19867669778591</v>
      </c>
      <c r="L87">
        <v>765.07948077326068</v>
      </c>
      <c r="M87" s="2">
        <v>1.7409115397965069</v>
      </c>
      <c r="N87" s="2">
        <v>1.7409115397965069</v>
      </c>
      <c r="O87">
        <v>1.531791468729228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8">
        <v>30</v>
      </c>
      <c r="B88" s="50">
        <f t="shared" si="2"/>
        <v>178.58651194938813</v>
      </c>
      <c r="C88" s="2">
        <v>181.01644234934028</v>
      </c>
      <c r="D88" s="2">
        <v>100</v>
      </c>
      <c r="E88" s="2">
        <v>100</v>
      </c>
      <c r="F88">
        <v>100</v>
      </c>
      <c r="G88" s="2">
        <v>1.2203096601306749</v>
      </c>
      <c r="H88" s="10">
        <v>1.2203096601306749</v>
      </c>
      <c r="I88">
        <v>1.2339808686224301</v>
      </c>
      <c r="J88" s="2">
        <v>774.81890940595406</v>
      </c>
      <c r="K88" s="2">
        <v>774.81890940595406</v>
      </c>
      <c r="L88">
        <v>766.23473186868932</v>
      </c>
      <c r="M88" s="2">
        <v>1.7692334439568043</v>
      </c>
      <c r="N88" s="2">
        <v>1.7692334439568043</v>
      </c>
      <c r="O88">
        <v>1.5468231871153715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8">
        <v>31</v>
      </c>
      <c r="B89" s="50">
        <f t="shared" si="2"/>
        <v>189.62410177217103</v>
      </c>
      <c r="C89" s="2">
        <v>191.83312940849117</v>
      </c>
      <c r="D89" s="2">
        <v>100</v>
      </c>
      <c r="E89" s="2">
        <v>100</v>
      </c>
      <c r="F89">
        <v>100</v>
      </c>
      <c r="G89" s="2">
        <v>1.2194429389081696</v>
      </c>
      <c r="H89" s="10">
        <v>1.2194429389081696</v>
      </c>
      <c r="I89">
        <v>1.2323300656535405</v>
      </c>
      <c r="J89" s="2">
        <v>775.36961331423356</v>
      </c>
      <c r="K89" s="2">
        <v>775.36961331423356</v>
      </c>
      <c r="L89">
        <v>767.26116350862844</v>
      </c>
      <c r="M89" s="2">
        <v>1.7975553481171016</v>
      </c>
      <c r="N89" s="2">
        <v>1.7975553481171016</v>
      </c>
      <c r="O89">
        <v>1.561854905501515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8">
        <v>32</v>
      </c>
      <c r="B90" s="50">
        <f t="shared" si="2"/>
        <v>200.66169159495394</v>
      </c>
      <c r="C90" s="2">
        <v>202.64981646764207</v>
      </c>
      <c r="D90" s="2">
        <v>100</v>
      </c>
      <c r="E90" s="2">
        <v>100</v>
      </c>
      <c r="F90">
        <v>100</v>
      </c>
      <c r="G90" s="2">
        <v>1.2186692628750737</v>
      </c>
      <c r="H90" s="10">
        <v>1.2186692628750737</v>
      </c>
      <c r="I90">
        <v>1.2308573574879496</v>
      </c>
      <c r="J90" s="2">
        <v>775.86185916377337</v>
      </c>
      <c r="K90" s="2">
        <v>775.86185916377337</v>
      </c>
      <c r="L90">
        <v>768.17918359744374</v>
      </c>
      <c r="M90" s="2">
        <v>1.8258772522773989</v>
      </c>
      <c r="N90" s="2">
        <v>1.8258772522773989</v>
      </c>
      <c r="O90">
        <v>1.5768866238876584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8">
        <v>33</v>
      </c>
      <c r="B91" s="50">
        <f t="shared" si="2"/>
        <v>211.69928141773684</v>
      </c>
      <c r="C91" s="2">
        <v>213.46650352679296</v>
      </c>
      <c r="D91" s="2">
        <v>100</v>
      </c>
      <c r="E91" s="2">
        <v>100</v>
      </c>
      <c r="F91">
        <v>100</v>
      </c>
      <c r="G91" s="2">
        <v>1.217974412401708</v>
      </c>
      <c r="H91" s="10">
        <v>1.217974412401708</v>
      </c>
      <c r="I91">
        <v>1.2295353997806511</v>
      </c>
      <c r="J91" s="2">
        <v>776.30448585167176</v>
      </c>
      <c r="K91" s="2">
        <v>776.30448585167176</v>
      </c>
      <c r="L91">
        <v>769.00510564289607</v>
      </c>
      <c r="M91" s="2">
        <v>1.8541991564376963</v>
      </c>
      <c r="N91" s="2">
        <v>1.8541991564376963</v>
      </c>
      <c r="O91">
        <v>1.5919183422738019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8">
        <v>34</v>
      </c>
      <c r="B92" s="50">
        <f t="shared" si="2"/>
        <v>222.73687124051975</v>
      </c>
      <c r="C92" s="2">
        <v>224.28319058594386</v>
      </c>
      <c r="D92" s="2">
        <v>100</v>
      </c>
      <c r="E92" s="2">
        <v>100</v>
      </c>
      <c r="F92">
        <v>100</v>
      </c>
      <c r="G92" s="2">
        <v>1.2173469248732085</v>
      </c>
      <c r="H92" s="10">
        <v>1.2173469248732085</v>
      </c>
      <c r="I92">
        <v>1.228342173349082</v>
      </c>
      <c r="J92" s="2">
        <v>776.70463586087385</v>
      </c>
      <c r="K92" s="2">
        <v>776.70463586087385</v>
      </c>
      <c r="L92">
        <v>769.75212649585819</v>
      </c>
      <c r="M92" s="2">
        <v>1.8825210605979936</v>
      </c>
      <c r="N92" s="2">
        <v>1.8825210605979936</v>
      </c>
      <c r="O92">
        <v>1.6069500606599454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8">
        <v>35</v>
      </c>
      <c r="B93" s="50">
        <f t="shared" si="2"/>
        <v>233.77446106330265</v>
      </c>
      <c r="C93" s="2">
        <v>235.09987764509475</v>
      </c>
      <c r="D93" s="2">
        <v>100</v>
      </c>
      <c r="E93" s="2">
        <v>100</v>
      </c>
      <c r="F93">
        <v>100</v>
      </c>
      <c r="G93" s="2">
        <v>1.2167774573956183</v>
      </c>
      <c r="H93" s="10">
        <v>1.2167774573956183</v>
      </c>
      <c r="I93">
        <v>1.2272597480802436</v>
      </c>
      <c r="J93" s="2">
        <v>777.06814360596559</v>
      </c>
      <c r="K93" s="2">
        <v>777.06814360596559</v>
      </c>
      <c r="L93">
        <v>770.43103668888341</v>
      </c>
      <c r="M93" s="2">
        <v>1.9108429647582912</v>
      </c>
      <c r="N93" s="2">
        <v>1.9108429647582912</v>
      </c>
      <c r="O93">
        <v>1.6219817790460889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8">
        <v>36</v>
      </c>
      <c r="B94" s="50">
        <f t="shared" si="2"/>
        <v>244.81205088608556</v>
      </c>
      <c r="C94" s="2">
        <v>245.91656470424564</v>
      </c>
      <c r="D94" s="2">
        <v>100</v>
      </c>
      <c r="E94" s="2">
        <v>100</v>
      </c>
      <c r="F94">
        <v>100</v>
      </c>
      <c r="G94" s="2">
        <v>1.2162583184648139</v>
      </c>
      <c r="H94" s="10">
        <v>1.2162583184648139</v>
      </c>
      <c r="I94">
        <v>1.2262733758653033</v>
      </c>
      <c r="J94" s="2">
        <v>777.39982176932062</v>
      </c>
      <c r="K94" s="2">
        <v>777.39982176932062</v>
      </c>
      <c r="L94">
        <v>771.05074497177861</v>
      </c>
      <c r="M94" s="2">
        <v>1.9391648689185883</v>
      </c>
      <c r="N94" s="2">
        <v>1.9391648689185883</v>
      </c>
      <c r="O94">
        <v>1.6370134974322323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8">
        <v>37</v>
      </c>
      <c r="B95" s="50">
        <f t="shared" si="2"/>
        <v>255.84964070886846</v>
      </c>
      <c r="C95" s="2">
        <v>256.73325176339654</v>
      </c>
      <c r="D95" s="2">
        <v>100</v>
      </c>
      <c r="E95" s="2">
        <v>100</v>
      </c>
      <c r="F95">
        <v>100</v>
      </c>
      <c r="G95" s="2">
        <v>1.2157831185478021</v>
      </c>
      <c r="H95" s="10">
        <v>1.2157831185478021</v>
      </c>
      <c r="I95">
        <v>1.2253708147256817</v>
      </c>
      <c r="J95" s="2">
        <v>777.7036755777458</v>
      </c>
      <c r="K95" s="2">
        <v>777.7036755777458</v>
      </c>
      <c r="L95">
        <v>771.61867137472927</v>
      </c>
      <c r="M95" s="2">
        <v>1.9674867730788859</v>
      </c>
      <c r="N95" s="2">
        <v>1.9674867730788859</v>
      </c>
      <c r="O95">
        <v>1.6520452158183758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8">
        <v>38</v>
      </c>
      <c r="B96" s="50">
        <f t="shared" si="2"/>
        <v>266.88723053165137</v>
      </c>
      <c r="C96" s="2">
        <v>267.5499388225474</v>
      </c>
      <c r="D96" s="2">
        <v>100</v>
      </c>
      <c r="E96" s="2">
        <v>100</v>
      </c>
      <c r="F96">
        <v>100</v>
      </c>
      <c r="G96" s="2">
        <v>1.215346505781949</v>
      </c>
      <c r="H96" s="10">
        <v>1.215346505781949</v>
      </c>
      <c r="I96">
        <v>1.2245418181866103</v>
      </c>
      <c r="J96" s="2">
        <v>777.98306532477898</v>
      </c>
      <c r="K96" s="2">
        <v>777.98306532477898</v>
      </c>
      <c r="L96">
        <v>772.14104570164261</v>
      </c>
      <c r="M96" s="2">
        <v>1.9958086772391832</v>
      </c>
      <c r="N96" s="2">
        <v>1.9958086772391832</v>
      </c>
      <c r="O96">
        <v>1.6670769342045191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8">
        <v>39</v>
      </c>
      <c r="B97" s="50">
        <f t="shared" si="2"/>
        <v>277.92482035443425</v>
      </c>
      <c r="C97" s="2">
        <v>278.36662588169827</v>
      </c>
      <c r="D97" s="2">
        <v>100</v>
      </c>
      <c r="E97" s="2">
        <v>100</v>
      </c>
      <c r="F97">
        <v>100</v>
      </c>
      <c r="G97" s="2">
        <v>1.2149439635456947</v>
      </c>
      <c r="H97" s="10">
        <v>1.2149439635456947</v>
      </c>
      <c r="I97">
        <v>1.2237777446087554</v>
      </c>
      <c r="J97" s="2">
        <v>778.24083115783844</v>
      </c>
      <c r="K97" s="2">
        <v>778.24083115783844</v>
      </c>
      <c r="L97">
        <v>772.62313697515765</v>
      </c>
      <c r="M97" s="2">
        <v>2.0241305813994801</v>
      </c>
      <c r="N97" s="2">
        <v>2.0241305813994801</v>
      </c>
      <c r="O97">
        <v>1.6821086525906626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8">
        <v>40</v>
      </c>
      <c r="B98" s="50">
        <f t="shared" si="2"/>
        <v>288.96241017721712</v>
      </c>
      <c r="C98" s="2">
        <v>289.18331294084913</v>
      </c>
      <c r="D98" s="2">
        <v>100</v>
      </c>
      <c r="E98" s="2">
        <v>100</v>
      </c>
      <c r="F98">
        <v>100</v>
      </c>
      <c r="G98" s="2">
        <v>1.2145716536375799</v>
      </c>
      <c r="H98" s="10">
        <v>1.2145716536375799</v>
      </c>
      <c r="I98">
        <v>1.22307125483948</v>
      </c>
      <c r="J98" s="2">
        <v>778.47938997112192</v>
      </c>
      <c r="K98" s="2">
        <v>778.47938997112192</v>
      </c>
      <c r="L98">
        <v>773.06943177574158</v>
      </c>
      <c r="M98" s="2">
        <v>2.0524524855597779</v>
      </c>
      <c r="N98" s="2">
        <v>2.0524524855597779</v>
      </c>
      <c r="O98">
        <v>1.697140370976806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8">
        <v>41</v>
      </c>
      <c r="B99" s="49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1.214226293509121</v>
      </c>
      <c r="H99" s="10">
        <v>1.214226293509121</v>
      </c>
      <c r="I99">
        <v>1.222416075735463</v>
      </c>
      <c r="J99" s="2">
        <v>778.70081141748676</v>
      </c>
      <c r="K99" s="2">
        <v>778.70081141748676</v>
      </c>
      <c r="L99">
        <v>773.48377427966273</v>
      </c>
      <c r="M99" s="2">
        <v>2.0807743897200748</v>
      </c>
      <c r="N99" s="2">
        <v>2.0807743897200748</v>
      </c>
      <c r="O99">
        <v>1.7121720893629493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8</xdr:row>
                    <xdr:rowOff>32657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195943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21771</xdr:colOff>
                    <xdr:row>14</xdr:row>
                    <xdr:rowOff>195943</xdr:rowOff>
                  </from>
                  <to>
                    <xdr:col>20</xdr:col>
                    <xdr:colOff>593271</xdr:colOff>
                    <xdr:row>17</xdr:row>
                    <xdr:rowOff>65314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46</vt:i4>
      </vt:variant>
    </vt:vector>
  </HeadingPairs>
  <TitlesOfParts>
    <vt:vector size="48" baseType="lpstr">
      <vt:lpstr>Унифлок</vt:lpstr>
      <vt:lpstr>PVT</vt:lpstr>
      <vt:lpstr>bo_list1_</vt:lpstr>
      <vt:lpstr>bo_list2_</vt:lpstr>
      <vt:lpstr>bo_list3_</vt:lpstr>
      <vt:lpstr>PVT!Bob_m3m3_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PVT!Ksep_</vt:lpstr>
      <vt:lpstr>PVT!mu_cP_</vt:lpstr>
      <vt:lpstr>muo_list1_</vt:lpstr>
      <vt:lpstr>muo_list2_</vt:lpstr>
      <vt:lpstr>muo_list3_</vt:lpstr>
      <vt:lpstr>PVT!P_atma_</vt:lpstr>
      <vt:lpstr>PVT!Pb_atma_</vt:lpstr>
      <vt:lpstr>Pb_diff_</vt:lpstr>
      <vt:lpstr>press_list0_</vt:lpstr>
      <vt:lpstr>press_list1_</vt:lpstr>
      <vt:lpstr>PVT!Psc_atma_</vt:lpstr>
      <vt:lpstr>PVT!Psep_atma_</vt:lpstr>
      <vt:lpstr>PVT!PVT_correlation_</vt:lpstr>
      <vt:lpstr>PVT!Ql_scm3day_</vt:lpstr>
      <vt:lpstr>PVT!Qo_sctday_</vt:lpstr>
      <vt:lpstr>rhoo_list1_</vt:lpstr>
      <vt:lpstr>rhoo_list2_</vt:lpstr>
      <vt:lpstr>rhoo_list3_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PVT!Tres_C_</vt:lpstr>
      <vt:lpstr>PVT!Tsc_C_</vt:lpstr>
      <vt:lpstr>PVT!Tsep_C_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2018-10-30T12:58:20Z</dcterms:modified>
</cp:coreProperties>
</file>