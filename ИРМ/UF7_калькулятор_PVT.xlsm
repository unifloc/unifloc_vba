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5782642D-E72F-4457-A730-D915F5465304}" xr6:coauthVersionLast="41" xr6:coauthVersionMax="41" xr10:uidLastSave="{00000000-0000-0000-0000-000000000000}"/>
  <bookViews>
    <workbookView xWindow="-103" yWindow="-103" windowWidth="22149" windowHeight="12103" tabRatio="402" activeTab="1" xr2:uid="{00000000-000D-0000-FFFF-FFFF00000000}"/>
  </bookViews>
  <sheets>
    <sheet name="Унифлок" sheetId="6" r:id="rId1"/>
    <sheet name="PVT" sheetId="4" r:id="rId2"/>
  </sheets>
  <externalReferences>
    <externalReference r:id="rId3"/>
  </externalReferences>
  <definedNames>
    <definedName name="betta_fric_">#REF!</definedName>
    <definedName name="betta_grav_">#REF!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#REF!</definedName>
    <definedName name="correlation_PVT_fontan_">#REF!</definedName>
    <definedName name="correlation_T_fontan_">#REF!</definedName>
    <definedName name="dcas_arr_mm_">#REF!</definedName>
    <definedName name="dcas_mm_">#REF!</definedName>
    <definedName name="dcas_out_mm_">#REF!</definedName>
    <definedName name="dchoke_mm_">#REF!</definedName>
    <definedName name="dtub_arr_mm_">#REF!</definedName>
    <definedName name="dtub_mm_">#REF!</definedName>
    <definedName name="dtub_out_mm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#REF!</definedName>
    <definedName name="Hlout_hmes_m_">#REF!</definedName>
    <definedName name="hmes_dcas_m_">#REF!</definedName>
    <definedName name="hmes_dcas_out_m_">#REF!</definedName>
    <definedName name="hmes_dtub_m_">#REF!</definedName>
    <definedName name="hmes_dtub_out_m_">#REF!</definedName>
    <definedName name="hmes_incl_m_">#REF!</definedName>
    <definedName name="hmes_incl_out_m_">#REF!</definedName>
    <definedName name="Hmes_mes_m_">#REF!</definedName>
    <definedName name="hmes_out_">#REF!</definedName>
    <definedName name="hmes_tamb_m_">#REF!</definedName>
    <definedName name="hmes_tamb_out_m_">#REF!</definedName>
    <definedName name="Hout_">#REF!</definedName>
    <definedName name="Hperf_m_">#REF!</definedName>
    <definedName name="Htub_m_">#REF!</definedName>
    <definedName name="hvert_incl_m_">#REF!</definedName>
    <definedName name="hvert_incl_out_m_">#REF!</definedName>
    <definedName name="HydrCorr_">#REF!</definedName>
    <definedName name="HydrCorr_selector_">#REF!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#REF!</definedName>
    <definedName name="Pb_atma_" localSheetId="1">PVT!$G$15</definedName>
    <definedName name="Pb_diff_">PVT!$W$33</definedName>
    <definedName name="Pbuf_atma_">#REF!</definedName>
    <definedName name="Pbuf_out_atma_">#REF!</definedName>
    <definedName name="Plin_mes_atma_">#REF!</definedName>
    <definedName name="Pline_atma_">#REF!</definedName>
    <definedName name="Pline_out_atma_">#REF!</definedName>
    <definedName name="pmes_out_">#REF!</definedName>
    <definedName name="Pout_">#REF!</definedName>
    <definedName name="Pout_atma_">#REF!</definedName>
    <definedName name="Pout_hmes_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#REF!</definedName>
    <definedName name="Pwf_atma_">#REF!</definedName>
    <definedName name="Pwf_out_atma_">#REF!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PVT!$R$32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3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0.55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#REF!</definedName>
    <definedName name="tamb_C_">#REF!</definedName>
    <definedName name="tamb_out_C_">#REF!</definedName>
    <definedName name="Tbh_c_">#REF!</definedName>
    <definedName name="Tbuf_out_C_">#REF!</definedName>
    <definedName name="Tlin_mes_C_">#REF!</definedName>
    <definedName name="Tline_out_C_">#REF!</definedName>
    <definedName name="tmes_out_">#REF!</definedName>
    <definedName name="Tout_C_">#REF!</definedName>
    <definedName name="Tout_hmes_m_">#REF!</definedName>
    <definedName name="Tres_C_" localSheetId="1">PVT!$G$14</definedName>
    <definedName name="Tsc_C_" localSheetId="1">PVT!$K$3</definedName>
    <definedName name="Tsep_C_" localSheetId="1">PVT!$O$10</definedName>
    <definedName name="Twf_out_C_">#REF!</definedName>
    <definedName name="Twh_C_">#REF!</definedName>
    <definedName name="udl_out_m_">#REF!</definedName>
    <definedName name="wc_perc_" localSheetId="1">PVT!$K$9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6" l="1"/>
  <c r="A1" i="6"/>
  <c r="AA36" i="4"/>
  <c r="AA35" i="4"/>
  <c r="AB36" i="4"/>
  <c r="AB35" i="4"/>
  <c r="W38" i="4"/>
  <c r="W37" i="4"/>
  <c r="C49" i="4"/>
  <c r="T33" i="4"/>
  <c r="M35" i="4"/>
  <c r="I37" i="4"/>
  <c r="I33" i="4"/>
  <c r="C43" i="4"/>
  <c r="E36" i="4"/>
  <c r="E34" i="4"/>
  <c r="E32" i="4"/>
  <c r="V33" i="4"/>
  <c r="I34" i="4"/>
  <c r="C35" i="4"/>
  <c r="V36" i="4"/>
  <c r="V34" i="4"/>
  <c r="M40" i="4"/>
  <c r="M34" i="4"/>
  <c r="I36" i="4"/>
  <c r="I32" i="4"/>
  <c r="C40" i="4"/>
  <c r="C36" i="4"/>
  <c r="C34" i="4"/>
  <c r="C32" i="4"/>
  <c r="M32" i="4"/>
  <c r="C37" i="4"/>
  <c r="T36" i="4"/>
  <c r="T34" i="4"/>
  <c r="M37" i="4"/>
  <c r="M33" i="4"/>
  <c r="I35" i="4"/>
  <c r="C45" i="4"/>
  <c r="E37" i="4"/>
  <c r="E35" i="4"/>
  <c r="E33" i="4"/>
  <c r="G23" i="4"/>
  <c r="C23" i="4"/>
  <c r="M36" i="4"/>
  <c r="C44" i="4"/>
  <c r="C33" i="4"/>
  <c r="C28" i="4"/>
  <c r="V35" i="4"/>
  <c r="C26" i="4"/>
  <c r="C27" i="4"/>
  <c r="T35" i="4"/>
  <c r="A1" i="4" l="1"/>
  <c r="X44" i="4" l="1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sharedStrings.xml><?xml version="1.0" encoding="utf-8"?>
<sst xmlns="http://schemas.openxmlformats.org/spreadsheetml/2006/main" count="158" uniqueCount="108">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</sst>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2" borderId="0" xfId="0" applyFill="1"/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851.19184139549088</c:v>
                </c:pt>
                <c:pt idx="1">
                  <c:v>847.2293784640683</c:v>
                </c:pt>
                <c:pt idx="2">
                  <c:v>844.61305759676202</c:v>
                </c:pt>
                <c:pt idx="3">
                  <c:v>842.42684166414028</c:v>
                </c:pt>
                <c:pt idx="4">
                  <c:v>840.48039217925759</c:v>
                </c:pt>
                <c:pt idx="5">
                  <c:v>838.6915084568152</c:v>
                </c:pt>
                <c:pt idx="6">
                  <c:v>837.01531782737504</c:v>
                </c:pt>
                <c:pt idx="7">
                  <c:v>835.42402142553726</c:v>
                </c:pt>
                <c:pt idx="8">
                  <c:v>833.89895930946602</c:v>
                </c:pt>
                <c:pt idx="9">
                  <c:v>832.42689189384419</c:v>
                </c:pt>
                <c:pt idx="10">
                  <c:v>830.99803742777556</c:v>
                </c:pt>
                <c:pt idx="11">
                  <c:v>829.60494435369935</c:v>
                </c:pt>
                <c:pt idx="12">
                  <c:v>828.24179970662703</c:v>
                </c:pt>
                <c:pt idx="13">
                  <c:v>826.90398308162173</c:v>
                </c:pt>
                <c:pt idx="14">
                  <c:v>825.58776682337316</c:v>
                </c:pt>
                <c:pt idx="15">
                  <c:v>824.29010755151046</c:v>
                </c:pt>
                <c:pt idx="16">
                  <c:v>823.00849699243736</c:v>
                </c:pt>
                <c:pt idx="17">
                  <c:v>821.74085260661184</c:v>
                </c:pt>
                <c:pt idx="18">
                  <c:v>820.4854357459792</c:v>
                </c:pt>
                <c:pt idx="19">
                  <c:v>819.24078892743637</c:v>
                </c:pt>
                <c:pt idx="20">
                  <c:v>817.37238740588691</c:v>
                </c:pt>
                <c:pt idx="21">
                  <c:v>820.20988228448164</c:v>
                </c:pt>
                <c:pt idx="22">
                  <c:v>822.11015868105846</c:v>
                </c:pt>
                <c:pt idx="23">
                  <c:v>823.64028384660071</c:v>
                </c:pt>
                <c:pt idx="24">
                  <c:v>824.89880885283435</c:v>
                </c:pt>
                <c:pt idx="25">
                  <c:v>825.95215208068021</c:v>
                </c:pt>
                <c:pt idx="26">
                  <c:v>826.84670811940771</c:v>
                </c:pt>
                <c:pt idx="27">
                  <c:v>827.61586475666343</c:v>
                </c:pt>
                <c:pt idx="28">
                  <c:v>828.28426248569167</c:v>
                </c:pt>
                <c:pt idx="29">
                  <c:v>828.87048302392282</c:v>
                </c:pt>
                <c:pt idx="30">
                  <c:v>829.38880367066793</c:v>
                </c:pt>
                <c:pt idx="31">
                  <c:v>829.85037545587727</c:v>
                </c:pt>
                <c:pt idx="32">
                  <c:v>830.26403441398566</c:v>
                </c:pt>
                <c:pt idx="33">
                  <c:v>830.63687269127217</c:v>
                </c:pt>
                <c:pt idx="34">
                  <c:v>830.97464853377699</c:v>
                </c:pt>
                <c:pt idx="35">
                  <c:v>831.28208580442072</c:v>
                </c:pt>
                <c:pt idx="36">
                  <c:v>831.5630962639309</c:v>
                </c:pt>
                <c:pt idx="37">
                  <c:v>831.82094689426663</c:v>
                </c:pt>
                <c:pt idx="38">
                  <c:v>832.0583874896256</c:v>
                </c:pt>
                <c:pt idx="39">
                  <c:v>832.27774910322523</c:v>
                </c:pt>
                <c:pt idx="40">
                  <c:v>832.48102083161962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851.19184139549088</c:v>
                </c:pt>
                <c:pt idx="1">
                  <c:v>847.2293784640683</c:v>
                </c:pt>
                <c:pt idx="2">
                  <c:v>844.61305759676202</c:v>
                </c:pt>
                <c:pt idx="3">
                  <c:v>842.42684166414028</c:v>
                </c:pt>
                <c:pt idx="4">
                  <c:v>840.48039217925759</c:v>
                </c:pt>
                <c:pt idx="5">
                  <c:v>838.6915084568152</c:v>
                </c:pt>
                <c:pt idx="6">
                  <c:v>837.01531782737504</c:v>
                </c:pt>
                <c:pt idx="7">
                  <c:v>835.42402142553726</c:v>
                </c:pt>
                <c:pt idx="8">
                  <c:v>833.89895930946602</c:v>
                </c:pt>
                <c:pt idx="9">
                  <c:v>832.42689189384419</c:v>
                </c:pt>
                <c:pt idx="10">
                  <c:v>830.99803742777556</c:v>
                </c:pt>
                <c:pt idx="11">
                  <c:v>829.60494435369935</c:v>
                </c:pt>
                <c:pt idx="12">
                  <c:v>828.24179970662703</c:v>
                </c:pt>
                <c:pt idx="13">
                  <c:v>826.90398308162173</c:v>
                </c:pt>
                <c:pt idx="14">
                  <c:v>825.58776682337316</c:v>
                </c:pt>
                <c:pt idx="15">
                  <c:v>824.29010755151046</c:v>
                </c:pt>
                <c:pt idx="16">
                  <c:v>823.00849699243736</c:v>
                </c:pt>
                <c:pt idx="17">
                  <c:v>821.74085260661184</c:v>
                </c:pt>
                <c:pt idx="18">
                  <c:v>820.4854357459792</c:v>
                </c:pt>
                <c:pt idx="19">
                  <c:v>819.24078892743637</c:v>
                </c:pt>
                <c:pt idx="20">
                  <c:v>817.37238740588691</c:v>
                </c:pt>
                <c:pt idx="21">
                  <c:v>820.20988228448164</c:v>
                </c:pt>
                <c:pt idx="22">
                  <c:v>822.11015868105846</c:v>
                </c:pt>
                <c:pt idx="23">
                  <c:v>823.64028384660071</c:v>
                </c:pt>
                <c:pt idx="24">
                  <c:v>824.89880885283435</c:v>
                </c:pt>
                <c:pt idx="25">
                  <c:v>825.95215208068021</c:v>
                </c:pt>
                <c:pt idx="26">
                  <c:v>826.84670811940771</c:v>
                </c:pt>
                <c:pt idx="27">
                  <c:v>827.61586475666343</c:v>
                </c:pt>
                <c:pt idx="28">
                  <c:v>828.28426248569167</c:v>
                </c:pt>
                <c:pt idx="29">
                  <c:v>828.87048302392282</c:v>
                </c:pt>
                <c:pt idx="30">
                  <c:v>829.38880367066793</c:v>
                </c:pt>
                <c:pt idx="31">
                  <c:v>829.85037545587727</c:v>
                </c:pt>
                <c:pt idx="32">
                  <c:v>830.26403441398566</c:v>
                </c:pt>
                <c:pt idx="33">
                  <c:v>830.63687269127217</c:v>
                </c:pt>
                <c:pt idx="34">
                  <c:v>830.97464853377699</c:v>
                </c:pt>
                <c:pt idx="35">
                  <c:v>831.28208580442072</c:v>
                </c:pt>
                <c:pt idx="36">
                  <c:v>831.5630962639309</c:v>
                </c:pt>
                <c:pt idx="37">
                  <c:v>831.82094689426663</c:v>
                </c:pt>
                <c:pt idx="38">
                  <c:v>832.0583874896256</c:v>
                </c:pt>
                <c:pt idx="39">
                  <c:v>832.27774910322523</c:v>
                </c:pt>
                <c:pt idx="40">
                  <c:v>832.48102083161962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1.0132416407945462</c:v>
                </c:pt>
                <c:pt idx="1">
                  <c:v>1.0278721222689708</c:v>
                </c:pt>
                <c:pt idx="2">
                  <c:v>1.0379130731307924</c:v>
                </c:pt>
                <c:pt idx="3">
                  <c:v>1.0465191210663058</c:v>
                </c:pt>
                <c:pt idx="4">
                  <c:v>1.0543426391224711</c:v>
                </c:pt>
                <c:pt idx="5">
                  <c:v>1.0616648799614399</c:v>
                </c:pt>
                <c:pt idx="6">
                  <c:v>1.0686393824661811</c:v>
                </c:pt>
                <c:pt idx="7">
                  <c:v>1.0753614228108468</c:v>
                </c:pt>
                <c:pt idx="8">
                  <c:v>1.0818951657980624</c:v>
                </c:pt>
                <c:pt idx="9">
                  <c:v>1.088286364980646</c:v>
                </c:pt>
                <c:pt idx="10">
                  <c:v>1.0945690532180827</c:v>
                </c:pt>
                <c:pt idx="11">
                  <c:v>1.1007693812031722</c:v>
                </c:pt>
                <c:pt idx="12">
                  <c:v>1.1069079674440256</c:v>
                </c:pt>
                <c:pt idx="13">
                  <c:v>1.113001411669581</c:v>
                </c:pt>
                <c:pt idx="14">
                  <c:v>1.1190633104663161</c:v>
                </c:pt>
                <c:pt idx="15">
                  <c:v>1.1251049623743707</c:v>
                </c:pt>
                <c:pt idx="16">
                  <c:v>1.1311358715543078</c:v>
                </c:pt>
                <c:pt idx="17">
                  <c:v>1.1371641164245596</c:v>
                </c:pt>
                <c:pt idx="18">
                  <c:v>1.1431966251025143</c:v>
                </c:pt>
                <c:pt idx="19">
                  <c:v>1.1492393854869274</c:v>
                </c:pt>
                <c:pt idx="20">
                  <c:v>1.1561927318987131</c:v>
                </c:pt>
                <c:pt idx="21">
                  <c:v>1.1527768933562497</c:v>
                </c:pt>
                <c:pt idx="22">
                  <c:v>1.1501122933658074</c:v>
                </c:pt>
                <c:pt idx="23">
                  <c:v>1.1479756618802033</c:v>
                </c:pt>
                <c:pt idx="24">
                  <c:v>1.146224227569087</c:v>
                </c:pt>
                <c:pt idx="25">
                  <c:v>1.1447624388629722</c:v>
                </c:pt>
                <c:pt idx="26">
                  <c:v>1.1435239334150611</c:v>
                </c:pt>
                <c:pt idx="27">
                  <c:v>1.1424611830973088</c:v>
                </c:pt>
                <c:pt idx="28">
                  <c:v>1.1415392550891712</c:v>
                </c:pt>
                <c:pt idx="29">
                  <c:v>1.1407318988492807</c:v>
                </c:pt>
                <c:pt idx="30">
                  <c:v>1.1400190065447819</c:v>
                </c:pt>
                <c:pt idx="31">
                  <c:v>1.1393849156006952</c:v>
                </c:pt>
                <c:pt idx="32">
                  <c:v>1.1388172446459917</c:v>
                </c:pt>
                <c:pt idx="33">
                  <c:v>1.1383060770424367</c:v>
                </c:pt>
                <c:pt idx="34">
                  <c:v>1.1378433766521423</c:v>
                </c:pt>
                <c:pt idx="35">
                  <c:v>1.1374225622642087</c:v>
                </c:pt>
                <c:pt idx="36">
                  <c:v>1.1370381925894177</c:v>
                </c:pt>
                <c:pt idx="37">
                  <c:v>1.1366857296996942</c:v>
                </c:pt>
                <c:pt idx="38">
                  <c:v>1.1363613590299744</c:v>
                </c:pt>
                <c:pt idx="39">
                  <c:v>1.1360618507689189</c:v>
                </c:pt>
                <c:pt idx="40">
                  <c:v>1.1357844519451739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1.0132416407945462</c:v>
                </c:pt>
                <c:pt idx="1">
                  <c:v>1.0278721222689708</c:v>
                </c:pt>
                <c:pt idx="2">
                  <c:v>1.0379130731307924</c:v>
                </c:pt>
                <c:pt idx="3">
                  <c:v>1.0465191210663058</c:v>
                </c:pt>
                <c:pt idx="4">
                  <c:v>1.0543426391224711</c:v>
                </c:pt>
                <c:pt idx="5">
                  <c:v>1.0616648799614399</c:v>
                </c:pt>
                <c:pt idx="6">
                  <c:v>1.0686393824661811</c:v>
                </c:pt>
                <c:pt idx="7">
                  <c:v>1.0753614228108468</c:v>
                </c:pt>
                <c:pt idx="8">
                  <c:v>1.0818951657980624</c:v>
                </c:pt>
                <c:pt idx="9">
                  <c:v>1.088286364980646</c:v>
                </c:pt>
                <c:pt idx="10">
                  <c:v>1.0945690532180827</c:v>
                </c:pt>
                <c:pt idx="11">
                  <c:v>1.1007693812031722</c:v>
                </c:pt>
                <c:pt idx="12">
                  <c:v>1.1069079674440256</c:v>
                </c:pt>
                <c:pt idx="13">
                  <c:v>1.113001411669581</c:v>
                </c:pt>
                <c:pt idx="14">
                  <c:v>1.1190633104663161</c:v>
                </c:pt>
                <c:pt idx="15">
                  <c:v>1.1251049623743707</c:v>
                </c:pt>
                <c:pt idx="16">
                  <c:v>1.1311358715543078</c:v>
                </c:pt>
                <c:pt idx="17">
                  <c:v>1.1371641164245596</c:v>
                </c:pt>
                <c:pt idx="18">
                  <c:v>1.1431966251025143</c:v>
                </c:pt>
                <c:pt idx="19">
                  <c:v>1.1492393854869274</c:v>
                </c:pt>
                <c:pt idx="20">
                  <c:v>1.1561927318987131</c:v>
                </c:pt>
                <c:pt idx="21">
                  <c:v>1.1527768933562497</c:v>
                </c:pt>
                <c:pt idx="22">
                  <c:v>1.1501122933658074</c:v>
                </c:pt>
                <c:pt idx="23">
                  <c:v>1.1479756618802033</c:v>
                </c:pt>
                <c:pt idx="24">
                  <c:v>1.146224227569087</c:v>
                </c:pt>
                <c:pt idx="25">
                  <c:v>1.1447624388629722</c:v>
                </c:pt>
                <c:pt idx="26">
                  <c:v>1.1435239334150611</c:v>
                </c:pt>
                <c:pt idx="27">
                  <c:v>1.1424611830973088</c:v>
                </c:pt>
                <c:pt idx="28">
                  <c:v>1.1415392550891712</c:v>
                </c:pt>
                <c:pt idx="29">
                  <c:v>1.1407318988492807</c:v>
                </c:pt>
                <c:pt idx="30">
                  <c:v>1.1400190065447819</c:v>
                </c:pt>
                <c:pt idx="31">
                  <c:v>1.1393849156006952</c:v>
                </c:pt>
                <c:pt idx="32">
                  <c:v>1.1388172446459917</c:v>
                </c:pt>
                <c:pt idx="33">
                  <c:v>1.1383060770424367</c:v>
                </c:pt>
                <c:pt idx="34">
                  <c:v>1.1378433766521423</c:v>
                </c:pt>
                <c:pt idx="35">
                  <c:v>1.1374225622642087</c:v>
                </c:pt>
                <c:pt idx="36">
                  <c:v>1.1370381925894177</c:v>
                </c:pt>
                <c:pt idx="37">
                  <c:v>1.1366857296996942</c:v>
                </c:pt>
                <c:pt idx="38">
                  <c:v>1.1363613590299744</c:v>
                </c:pt>
                <c:pt idx="39">
                  <c:v>1.1360618507689189</c:v>
                </c:pt>
                <c:pt idx="40">
                  <c:v>1.1357844519451739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4.0832406960367109</c:v>
                </c:pt>
                <c:pt idx="1">
                  <c:v>3.2919375329426375</c:v>
                </c:pt>
                <c:pt idx="2">
                  <c:v>2.8847592196283482</c:v>
                </c:pt>
                <c:pt idx="3">
                  <c:v>2.5975593809776325</c:v>
                </c:pt>
                <c:pt idx="4">
                  <c:v>2.3747847516413887</c:v>
                </c:pt>
                <c:pt idx="5">
                  <c:v>2.1929947228912554</c:v>
                </c:pt>
                <c:pt idx="6">
                  <c:v>2.0397833205418587</c:v>
                </c:pt>
                <c:pt idx="7">
                  <c:v>1.907713442484404</c:v>
                </c:pt>
                <c:pt idx="8">
                  <c:v>1.7919514205087843</c:v>
                </c:pt>
                <c:pt idx="9">
                  <c:v>1.6891701074652343</c:v>
                </c:pt>
                <c:pt idx="10">
                  <c:v>1.5969782399319732</c:v>
                </c:pt>
                <c:pt idx="11">
                  <c:v>1.5135979462837759</c:v>
                </c:pt>
                <c:pt idx="12">
                  <c:v>1.4376706572508144</c:v>
                </c:pt>
                <c:pt idx="13">
                  <c:v>1.3681343526966974</c:v>
                </c:pt>
                <c:pt idx="14">
                  <c:v>1.3041427377471093</c:v>
                </c:pt>
                <c:pt idx="15">
                  <c:v>1.2450102212209213</c:v>
                </c:pt>
                <c:pt idx="16">
                  <c:v>1.1901733901397324</c:v>
                </c:pt>
                <c:pt idx="17">
                  <c:v>1.1391633768973239</c:v>
                </c:pt>
                <c:pt idx="18">
                  <c:v>1.0915856212300632</c:v>
                </c:pt>
                <c:pt idx="19">
                  <c:v>1.0471047746453783</c:v>
                </c:pt>
                <c:pt idx="20">
                  <c:v>1.0054332572566396</c:v>
                </c:pt>
                <c:pt idx="21">
                  <c:v>1.0194612330208332</c:v>
                </c:pt>
                <c:pt idx="22">
                  <c:v>1.0389224660416663</c:v>
                </c:pt>
                <c:pt idx="23">
                  <c:v>1.0583836990624993</c:v>
                </c:pt>
                <c:pt idx="24">
                  <c:v>1.0778449320833325</c:v>
                </c:pt>
                <c:pt idx="25">
                  <c:v>1.0973061651041656</c:v>
                </c:pt>
                <c:pt idx="26">
                  <c:v>1.1167673981249988</c:v>
                </c:pt>
                <c:pt idx="27">
                  <c:v>1.1362286311458318</c:v>
                </c:pt>
                <c:pt idx="28">
                  <c:v>1.1556898641666651</c:v>
                </c:pt>
                <c:pt idx="29">
                  <c:v>1.1751510971874981</c:v>
                </c:pt>
                <c:pt idx="30">
                  <c:v>1.1946123302083314</c:v>
                </c:pt>
                <c:pt idx="31">
                  <c:v>1.2140735632291642</c:v>
                </c:pt>
                <c:pt idx="32">
                  <c:v>1.2335347962499974</c:v>
                </c:pt>
                <c:pt idx="33">
                  <c:v>1.2529960292708304</c:v>
                </c:pt>
                <c:pt idx="34">
                  <c:v>1.2724572622916637</c:v>
                </c:pt>
                <c:pt idx="35">
                  <c:v>1.2919184953124967</c:v>
                </c:pt>
                <c:pt idx="36">
                  <c:v>1.3113797283333299</c:v>
                </c:pt>
                <c:pt idx="37">
                  <c:v>1.3308409613541632</c:v>
                </c:pt>
                <c:pt idx="38">
                  <c:v>1.3503021943749962</c:v>
                </c:pt>
                <c:pt idx="39">
                  <c:v>1.3697634273958292</c:v>
                </c:pt>
                <c:pt idx="40">
                  <c:v>1.3892246604166623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4.0832406960367109</c:v>
                </c:pt>
                <c:pt idx="1">
                  <c:v>3.2919375329426375</c:v>
                </c:pt>
                <c:pt idx="2">
                  <c:v>2.8847592196283482</c:v>
                </c:pt>
                <c:pt idx="3">
                  <c:v>2.5975593809776325</c:v>
                </c:pt>
                <c:pt idx="4">
                  <c:v>2.3747847516413887</c:v>
                </c:pt>
                <c:pt idx="5">
                  <c:v>2.1929947228912554</c:v>
                </c:pt>
                <c:pt idx="6">
                  <c:v>2.0397833205418587</c:v>
                </c:pt>
                <c:pt idx="7">
                  <c:v>1.907713442484404</c:v>
                </c:pt>
                <c:pt idx="8">
                  <c:v>1.7919514205087843</c:v>
                </c:pt>
                <c:pt idx="9">
                  <c:v>1.6891701074652343</c:v>
                </c:pt>
                <c:pt idx="10">
                  <c:v>1.5969782399319732</c:v>
                </c:pt>
                <c:pt idx="11">
                  <c:v>1.5135979462837759</c:v>
                </c:pt>
                <c:pt idx="12">
                  <c:v>1.4376706572508144</c:v>
                </c:pt>
                <c:pt idx="13">
                  <c:v>1.3681343526966974</c:v>
                </c:pt>
                <c:pt idx="14">
                  <c:v>1.3041427377471093</c:v>
                </c:pt>
                <c:pt idx="15">
                  <c:v>1.2450102212209213</c:v>
                </c:pt>
                <c:pt idx="16">
                  <c:v>1.1901733901397324</c:v>
                </c:pt>
                <c:pt idx="17">
                  <c:v>1.1391633768973239</c:v>
                </c:pt>
                <c:pt idx="18">
                  <c:v>1.0915856212300632</c:v>
                </c:pt>
                <c:pt idx="19">
                  <c:v>1.0471047746453783</c:v>
                </c:pt>
                <c:pt idx="20">
                  <c:v>1.0054332572566396</c:v>
                </c:pt>
                <c:pt idx="21">
                  <c:v>1.0194612330208332</c:v>
                </c:pt>
                <c:pt idx="22">
                  <c:v>1.0389224660416663</c:v>
                </c:pt>
                <c:pt idx="23">
                  <c:v>1.0583836990624993</c:v>
                </c:pt>
                <c:pt idx="24">
                  <c:v>1.0778449320833325</c:v>
                </c:pt>
                <c:pt idx="25">
                  <c:v>1.0973061651041656</c:v>
                </c:pt>
                <c:pt idx="26">
                  <c:v>1.1167673981249988</c:v>
                </c:pt>
                <c:pt idx="27">
                  <c:v>1.1362286311458318</c:v>
                </c:pt>
                <c:pt idx="28">
                  <c:v>1.1556898641666651</c:v>
                </c:pt>
                <c:pt idx="29">
                  <c:v>1.1751510971874981</c:v>
                </c:pt>
                <c:pt idx="30">
                  <c:v>1.1946123302083314</c:v>
                </c:pt>
                <c:pt idx="31">
                  <c:v>1.2140735632291642</c:v>
                </c:pt>
                <c:pt idx="32">
                  <c:v>1.2335347962499974</c:v>
                </c:pt>
                <c:pt idx="33">
                  <c:v>1.2529960292708304</c:v>
                </c:pt>
                <c:pt idx="34">
                  <c:v>1.2724572622916637</c:v>
                </c:pt>
                <c:pt idx="35">
                  <c:v>1.2919184953124967</c:v>
                </c:pt>
                <c:pt idx="36">
                  <c:v>1.3113797283333299</c:v>
                </c:pt>
                <c:pt idx="37">
                  <c:v>1.3308409613541632</c:v>
                </c:pt>
                <c:pt idx="38">
                  <c:v>1.3503021943749962</c:v>
                </c:pt>
                <c:pt idx="39">
                  <c:v>1.3697634273958292</c:v>
                </c:pt>
                <c:pt idx="40">
                  <c:v>1.3892246604166623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0.30831947324308168</c:v>
                </c:pt>
                <c:pt idx="2">
                  <c:v>0.31041712809602873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0.86,  γo new  = 0.87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0.37033118901657464</c:v>
                </c:pt>
                <c:pt idx="1">
                  <c:v>0.35361750354114602</c:v>
                </c:pt>
                <c:pt idx="2">
                  <c:v>4.1114237862314232E-2</c:v>
                </c:pt>
                <c:pt idx="3">
                  <c:v>1.7029441662993448E-2</c:v>
                </c:pt>
                <c:pt idx="4">
                  <c:v>0.2270177856323852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8</xdr:row>
          <xdr:rowOff>32657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195943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14</xdr:row>
          <xdr:rowOff>195943</xdr:rowOff>
        </xdr:from>
        <xdr:to>
          <xdr:col>20</xdr:col>
          <xdr:colOff>593271</xdr:colOff>
          <xdr:row>17</xdr:row>
          <xdr:rowOff>65314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24.4%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D7" sqref="D7"/>
    </sheetView>
  </sheetViews>
  <sheetFormatPr defaultRowHeight="14.6" x14ac:dyDescent="0.4"/>
  <sheetData>
    <row r="1" spans="1:5" x14ac:dyDescent="0.4">
      <c r="A1" t="str">
        <f>"вер "&amp;B1</f>
        <v>вер 7.3</v>
      </c>
      <c r="B1" s="14">
        <v>7.3</v>
      </c>
    </row>
    <row r="2" spans="1:5" x14ac:dyDescent="0.4">
      <c r="A2" t="s">
        <v>96</v>
      </c>
    </row>
    <row r="4" spans="1:5" x14ac:dyDescent="0.4">
      <c r="A4" s="46" t="str">
        <f>"Унифлок "&amp;версия_номер_</f>
        <v>Унифлок 7.3</v>
      </c>
      <c r="B4" s="46"/>
      <c r="C4" s="46"/>
      <c r="D4" s="46"/>
      <c r="E4" s="46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zoomScale="70" zoomScaleNormal="70" workbookViewId="0">
      <selection activeCell="L43" sqref="L43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7.3</v>
      </c>
      <c r="J1" s="2" t="s">
        <v>23</v>
      </c>
      <c r="K1" s="2"/>
      <c r="L1" s="2"/>
    </row>
    <row r="2" spans="1:17" ht="17.149999999999999" x14ac:dyDescent="0.4">
      <c r="A2" s="46" t="s">
        <v>0</v>
      </c>
      <c r="B2" s="46"/>
      <c r="C2" s="46"/>
      <c r="D2" s="46"/>
      <c r="E2" s="46"/>
      <c r="J2" s="6" t="s">
        <v>26</v>
      </c>
      <c r="K2" s="9">
        <v>1</v>
      </c>
      <c r="L2" s="5" t="s">
        <v>6</v>
      </c>
    </row>
    <row r="3" spans="1:17" ht="18" customHeight="1" x14ac:dyDescent="0.4">
      <c r="F3" s="47" t="s">
        <v>37</v>
      </c>
      <c r="G3" s="47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48" t="s">
        <v>28</v>
      </c>
      <c r="O7" s="48"/>
      <c r="P7" s="48"/>
      <c r="Q7" s="48"/>
    </row>
    <row r="8" spans="1:17" ht="17.149999999999999" x14ac:dyDescent="0.4">
      <c r="B8" s="15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5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38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>
        <v>1.2</v>
      </c>
      <c r="H16" s="5" t="s">
        <v>17</v>
      </c>
    </row>
    <row r="17" spans="2:33" ht="17.149999999999999" x14ac:dyDescent="0.4">
      <c r="F17" s="8" t="s">
        <v>22</v>
      </c>
      <c r="G17" s="9">
        <v>1</v>
      </c>
      <c r="H17" s="5" t="s">
        <v>7</v>
      </c>
    </row>
    <row r="20" spans="2:33" x14ac:dyDescent="0.4">
      <c r="B20" s="16" t="s">
        <v>39</v>
      </c>
      <c r="C20" s="17"/>
      <c r="D20" s="17"/>
      <c r="E20" s="17"/>
      <c r="F20" s="17"/>
      <c r="G20" s="18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</row>
    <row r="21" spans="2:33" outlineLevel="1" x14ac:dyDescent="0.4"/>
    <row r="22" spans="2:33" outlineLevel="1" x14ac:dyDescent="0.4">
      <c r="B22" s="2" t="s">
        <v>40</v>
      </c>
      <c r="C22" s="2"/>
      <c r="D22" s="2"/>
      <c r="E22" s="2"/>
      <c r="F22" s="2"/>
      <c r="G22" s="2" t="s">
        <v>41</v>
      </c>
      <c r="H22" s="2"/>
    </row>
    <row r="23" spans="2:33" ht="17.149999999999999" outlineLevel="1" x14ac:dyDescent="0.4">
      <c r="B23" s="5" t="s">
        <v>42</v>
      </c>
      <c r="C23" s="19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0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1">
        <f>Tres_C_</f>
        <v>80</v>
      </c>
      <c r="D24" s="5" t="s">
        <v>25</v>
      </c>
      <c r="E24" s="2"/>
      <c r="F24" s="2"/>
      <c r="G24" s="22">
        <f>T_C_</f>
        <v>30</v>
      </c>
      <c r="H24" s="2"/>
    </row>
    <row r="25" spans="2:33" ht="17.149999999999999" outlineLevel="1" x14ac:dyDescent="0.4">
      <c r="B25" s="7" t="s">
        <v>15</v>
      </c>
      <c r="C25" s="21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43</v>
      </c>
      <c r="C26" s="23">
        <f>[1]!PVT_Bo_m3m3(C23,Tres_C_,gamma_gas_,gamma_oil_,gamma_w_,Rsb_m3m3_,,Pb_atma_,Tres_C_,Bob_m3m3_,mu_cP_,PVT_correlation_,Ksep_,Psep_atma_,Tsep_C_)</f>
        <v>1.1990885481197739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44</v>
      </c>
      <c r="C27" s="19">
        <f>[1]!PVT_Rhoo_kgm3(C23,Tres_C_,gamma_gas_,gamma_oil_,gamma_w_,Rsb_m3m3_,,Pb_atma_,Tres_C_,Bob_m3m3_,mu_cP_,PVT_correlation_,Ksep_,Psep_atma_,Tsep_C_)</f>
        <v>788.16252147540945</v>
      </c>
      <c r="D27" s="5" t="s">
        <v>45</v>
      </c>
      <c r="E27" s="2"/>
      <c r="F27" s="2"/>
      <c r="G27" s="10"/>
      <c r="H27" s="2"/>
    </row>
    <row r="28" spans="2:33" ht="17.149999999999999" outlineLevel="1" x14ac:dyDescent="0.4">
      <c r="B28" s="8" t="s">
        <v>46</v>
      </c>
      <c r="C28" s="24">
        <f>[1]!PVT_Muo_cP(C23,Tres_C_,gamma_gas_,gamma_oil_,gamma_w_,Rsb_m3m3_,,Pb_atma_,Tres_C_,Bob_m3m3_,mu_cP_,PVT_correlation_,Ksep_,Psep_atma_,Tsep_C_)</f>
        <v>1.003945256883261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47</v>
      </c>
      <c r="C31" s="2"/>
      <c r="D31" s="2"/>
      <c r="E31" s="2"/>
      <c r="F31" s="2"/>
      <c r="G31" s="25"/>
      <c r="H31" s="2" t="s">
        <v>48</v>
      </c>
      <c r="I31" s="2"/>
      <c r="J31" s="2"/>
      <c r="K31" s="2"/>
      <c r="L31" s="2" t="s">
        <v>49</v>
      </c>
      <c r="M31" s="2"/>
      <c r="N31" s="2"/>
      <c r="Q31" s="2" t="s">
        <v>50</v>
      </c>
      <c r="R31" s="2"/>
      <c r="S31" s="2"/>
      <c r="T31" s="2"/>
      <c r="U31" s="2"/>
      <c r="V31" s="2"/>
      <c r="W31" s="2"/>
      <c r="X31" s="2"/>
      <c r="Z31" s="2" t="s">
        <v>51</v>
      </c>
      <c r="AA31" s="2"/>
      <c r="AB31" s="2"/>
    </row>
    <row r="32" spans="2:33" ht="17.149999999999999" outlineLevel="1" x14ac:dyDescent="0.55000000000000004">
      <c r="B32" s="5" t="s">
        <v>52</v>
      </c>
      <c r="C32" s="19">
        <f>[1]!PVT_Rhoo_kgm3(Psc_atma_,Tsc_C_,gamma_gas_,gamma_oil_,gamma_w_,Rsb_m3m3_,,Pb_atma_,Tres_C_,Bob_m3m3_,mu_cP_,PVT_correlation_,Ksep_,Psep_atma_,Tsep_C_)</f>
        <v>858.8904036837605</v>
      </c>
      <c r="D32" s="5" t="s">
        <v>45</v>
      </c>
      <c r="E32" s="26">
        <f>[1]!PVT_Rhoo_kgm3(Psc_atma_,Tsc_C_,gamma_gas_,gamma_oil_,gamma_w_,Rsb_m3m3_,,,,,,PVT_correlation_,Ksep_,Psep_atma_,Tsep_C_)</f>
        <v>860.00434407024829</v>
      </c>
      <c r="F32" s="27">
        <f t="shared" ref="F32:F37" si="0">(E32-C32)/E32</f>
        <v>1.2952729764313922E-3</v>
      </c>
      <c r="G32" s="28"/>
      <c r="H32" s="5" t="s">
        <v>53</v>
      </c>
      <c r="I32" s="24">
        <f>[1]!PVT_Rhog_kgm3(Psc_atma_,Tsc_C_,gamma_gas_,gamma_oil_,gamma_w_,Rsb_m3m3_,,Pb_atma_,Tres_C_,Bob_m3m3_,mu_cP_,PVT_correlation_,Ksep_,Psep_atma_,Tsep_C_)</f>
        <v>0.86851485761170277</v>
      </c>
      <c r="J32" s="5" t="s">
        <v>45</v>
      </c>
      <c r="L32" s="5" t="s">
        <v>54</v>
      </c>
      <c r="M32" s="19">
        <f>[1]!PVT_Rhow_kgm3(Psc_atma_,Tsc_C_,gamma_gas_,gamma_oil_,gamma_w_,Rsb_m3m3_,,Pb_atma_,Tres_C_,Bob_m3m3_,mu_cP_,PVT_correlation_,Ksep_,Psep_atma_,Tsep_C_)</f>
        <v>1070.3638451179736</v>
      </c>
      <c r="N32" s="5" t="s">
        <v>45</v>
      </c>
      <c r="Q32" s="5" t="s">
        <v>55</v>
      </c>
      <c r="R32" s="29">
        <v>0.87464531983017435</v>
      </c>
      <c r="S32" s="2"/>
      <c r="T32" s="2" t="s">
        <v>56</v>
      </c>
      <c r="U32" s="2"/>
      <c r="V32" s="2" t="s">
        <v>57</v>
      </c>
      <c r="W32" s="2"/>
      <c r="X32" s="2" t="s">
        <v>58</v>
      </c>
      <c r="Z32" s="5" t="s">
        <v>42</v>
      </c>
      <c r="AA32" s="30">
        <f>ABS(U33)</f>
        <v>0.46925466942242361</v>
      </c>
      <c r="AB32" s="31">
        <f>ABS(Pb_diff_)</f>
        <v>0.37033118901657464</v>
      </c>
      <c r="AD32" s="2" t="str">
        <f>Q34&amp; " = "&amp;IFERROR(TEXT(gamma_gas_diff_total_*100,"0.0") &amp; "%",TEXT(gamma_gas_diff_total_*100,"0,0") &amp; "%")</f>
        <v>Сумм откл = 24.4%</v>
      </c>
      <c r="AE32" s="2"/>
      <c r="AF32" s="2"/>
      <c r="AG32" s="2"/>
    </row>
    <row r="33" spans="2:33" ht="17.149999999999999" outlineLevel="1" x14ac:dyDescent="0.4">
      <c r="B33" s="5" t="s">
        <v>59</v>
      </c>
      <c r="C33" s="24">
        <f>[1]!PVT_Muo_cP(Psc_atma_,Tsc_C_,gamma_gas_,gamma_oil_,gamma_w_,Rsb_m3m3_,,Pb_atma_,Tres_C_,Bob_m3m3_,mu_cP_,PVT_correlation_,Ksep_,Psep_atma_,Tsep_C_)</f>
        <v>4.6763044658296815</v>
      </c>
      <c r="D33" s="5" t="s">
        <v>7</v>
      </c>
      <c r="E33" s="26">
        <f>[1]!PVT_Muo_cP(Psc_atma_,Tsc_C_,gamma_gas_,gamma_oil_,gamma_w_,Rsb_m3m3_,,,,,,PVT_correlation_,Ksep_,Psep_atma_,Tsep_C_)</f>
        <v>12.53061051510749</v>
      </c>
      <c r="F33" s="27">
        <f t="shared" si="0"/>
        <v>0.62680952694270486</v>
      </c>
      <c r="G33" s="28"/>
      <c r="H33" s="5" t="s">
        <v>60</v>
      </c>
      <c r="I33" s="36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61</v>
      </c>
      <c r="M33" s="23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62</v>
      </c>
      <c r="R33" s="29">
        <v>0.85891244994266958</v>
      </c>
      <c r="S33" s="5" t="s">
        <v>42</v>
      </c>
      <c r="T33" s="26">
        <f>[1]!PVT_Pb_atma(Tres_C_,gamma_gas_,gamma_oil_,gamma_w_,Rsb_m3m3_,,,Tres_C_,,,PVT_correlation_,Ksep_,Psep_atma_,Tsep_C_)</f>
        <v>188.41428127342422</v>
      </c>
      <c r="U33" s="27">
        <f>(T33-C23)/T33</f>
        <v>0.46925466942242361</v>
      </c>
      <c r="V33" s="26">
        <f>[1]!PVT_Pb_atma(Tres_C_,gamma_gas_new_,gamma_oil_new_,gamma_w_,Rsb_m3m3_,,,Tres_C_,,,PVT_correlation_,Ksep_,Psep_atma_,Tsep_C_)</f>
        <v>158.81364656416542</v>
      </c>
      <c r="W33" s="27">
        <f>(V33-C23)/V33</f>
        <v>0.37033118901657464</v>
      </c>
      <c r="X33" s="2">
        <v>2</v>
      </c>
      <c r="Z33" s="7" t="s">
        <v>43</v>
      </c>
      <c r="AA33" s="30">
        <f>ABS(U34)</f>
        <v>0.30831947324308168</v>
      </c>
      <c r="AB33" s="30">
        <f>ABS(W34)</f>
        <v>0.35361750354114602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63</v>
      </c>
      <c r="C34" s="24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6">
        <f>[1]!PVT_Rs_m3m3(P_atma_,T_C_,gamma_gas_,gamma_oil_,gamma_w_,Rsb_m3m3_,,,,,,PVT_correlation_,Ksep_,Psep_atma_,Tsep_C_)</f>
        <v>29.625586135838734</v>
      </c>
      <c r="F34" s="27">
        <f t="shared" si="0"/>
        <v>-0.5774037294520562</v>
      </c>
      <c r="G34" s="28"/>
      <c r="H34" s="5" t="s">
        <v>64</v>
      </c>
      <c r="I34" s="23">
        <f>[1]!PVT_Z(P_atma_,T_C_,gamma_gas_,gamma_oil_,gamma_w_,Rsb_m3m3_,,Pb_atma_,Tres_C_,Bob_m3m3_,mu_cP_,PVT_correlation_,Ksep_,Psep_atma_,Tsep_C_)</f>
        <v>0.95008334880238299</v>
      </c>
      <c r="J34" s="5"/>
      <c r="L34" s="5" t="s">
        <v>65</v>
      </c>
      <c r="M34" s="19">
        <f>[1]!PVT_Sal_ppm(Psc_atma_,Tsc_C_,gamma_gas_,gamma_oil_,gamma_w_,Rsb_m3m3_,,Pb_atma_,Tres_C_,Bob_m3m3_,mu_cP_,PVT_correlation_,Ksep_,Psep_atma_,Tsep_C_)</f>
        <v>97525.871265721944</v>
      </c>
      <c r="N34" s="5" t="s">
        <v>104</v>
      </c>
      <c r="Q34" s="32" t="s">
        <v>66</v>
      </c>
      <c r="R34" s="33">
        <f>((X33*W33^2+X34*W34^2+X35*W35^2+X36*W36^2+X37*W37^2+X38*W38^2)/SUM(X33:X38))^0.5</f>
        <v>0.2442916942115711</v>
      </c>
      <c r="S34" s="7" t="s">
        <v>43</v>
      </c>
      <c r="T34" s="34">
        <f>[1]!PVT_Bo_m3m3(T33,Tres_C_,gamma_gas_,gamma_oil_,gamma_w_,Rsb_m3m3_,,,,,,PVT_correlation_,Ksep_,Psep_atma_,Tsep_C_)</f>
        <v>1.287833096954804</v>
      </c>
      <c r="U34" s="27">
        <f>(T34-C26)/(T34-1)</f>
        <v>0.30831947324308168</v>
      </c>
      <c r="V34" s="34">
        <f>[1]!PVT_Bo_m3m3(V33,Tres_C_,gamma_gas_new_,gamma_oil_new_,gamma_w_,Rsb_m3m3_,,,,,,PVT_correlation_,Ksep_,Psep_atma_,Tsep_C_)</f>
        <v>1.3080042377546761</v>
      </c>
      <c r="W34" s="27">
        <f>(V34-C26)/(V34-1)</f>
        <v>0.35361750354114602</v>
      </c>
      <c r="X34" s="2">
        <v>2</v>
      </c>
      <c r="Z34" s="8" t="s">
        <v>46</v>
      </c>
      <c r="AA34" s="30">
        <f>ABS(U36)</f>
        <v>0.31041712809602873</v>
      </c>
      <c r="AB34" s="30">
        <f>ABS(W36)</f>
        <v>4.1114237862314232E-2</v>
      </c>
      <c r="AD34" s="2" t="str">
        <f>Q33&amp;" = "&amp;IFERROR(TEXT(gamma_gas_new_,"0.00"),TEXT(gamma_gas_new_,"0,00"))&amp;",  "&amp;Q32&amp;" = "&amp;IFERROR(TEXT(gamma_oil_new_,"0.00"),TEXT(gamma_oil_new_,"0,00"))</f>
        <v>γg new  = 0.86,  γo new  = 0.87</v>
      </c>
      <c r="AE34" s="2"/>
      <c r="AF34" s="2"/>
      <c r="AG34" s="2"/>
    </row>
    <row r="35" spans="2:33" ht="17.149999999999999" outlineLevel="1" x14ac:dyDescent="0.4">
      <c r="B35" s="5" t="s">
        <v>67</v>
      </c>
      <c r="C35" s="23">
        <f>[1]!PVT_Bo_m3m3(P_atma_,T_C_,gamma_gas_,gamma_oil_,gamma_w_,Rsb_m3m3_,,Pb_atma_,Tres_C_,Bob_m3m3_,mu_cP_,PVT_correlation_,Ksep_,Psep_atma_,Tsep_C_)</f>
        <v>1.0780752334152308</v>
      </c>
      <c r="D35" s="5" t="s">
        <v>17</v>
      </c>
      <c r="E35" s="26">
        <f>[1]!PVT_Bo_m3m3(P_atma_,T_C_,gamma_gas_,gamma_oil_,gamma_w_,Rsb_m3m3_,,,,,,PVT_correlation_,Ksep_,Psep_atma_,Tsep_C_)</f>
        <v>1.076527064194055</v>
      </c>
      <c r="F35" s="27">
        <f t="shared" si="0"/>
        <v>-1.438114537635786E-3</v>
      </c>
      <c r="G35" s="28"/>
      <c r="H35" s="5" t="s">
        <v>68</v>
      </c>
      <c r="I35" s="36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69</v>
      </c>
      <c r="M35" s="23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44</v>
      </c>
      <c r="T35" s="26">
        <f>[1]!PVT_Rhoo_kgm3(C23,Tres_C_,gamma_gas_,gamma_oil_,gamma_w_,Rsb_m3m3_,,,,,,PVT_correlation_,Ksep_,Psep_atma_,Tsep_C_)</f>
        <v>762.97043934947192</v>
      </c>
      <c r="U35" s="27">
        <f>(T35-C27)/T35</f>
        <v>-3.3018424865079887E-2</v>
      </c>
      <c r="V35" s="26">
        <f>[1]!PVT_Rhoo_kgm3(C23,Tres_C_,gamma_gas_new_,gamma_oil_new_,gamma_w_,Rsb_m3m3_,,,,,,PVT_correlation_,Ksep_,Psep_atma_,Tsep_C_)</f>
        <v>767.66635329781673</v>
      </c>
      <c r="W35" s="27">
        <f>(V35-C27)/V35</f>
        <v>-2.6699318121138519E-2</v>
      </c>
      <c r="X35" s="2">
        <v>0</v>
      </c>
      <c r="Z35" s="5" t="s">
        <v>73</v>
      </c>
      <c r="AA35" s="31">
        <f>ABS((gamma_oil_-gamma_oil_)/(gamma_oil_))</f>
        <v>0</v>
      </c>
      <c r="AB35" s="30">
        <f>ABS((gamma_oil_new_-gamma_oil_)/(gamma_oil_))</f>
        <v>1.7029441662993448E-2</v>
      </c>
    </row>
    <row r="36" spans="2:33" ht="17.149999999999999" outlineLevel="1" x14ac:dyDescent="0.4">
      <c r="B36" s="5" t="s">
        <v>70</v>
      </c>
      <c r="C36" s="19">
        <f>[1]!PVT_Rhoo_kgm3(P_atma_,T_C_,gamma_gas_,gamma_oil_,gamma_w_,Rsb_m3m3_,,Pb_atma_,Tres_C_,Bob_m3m3_,mu_cP_,PVT_correlation_,Ksep_,Psep_atma_,Tsep_C_)</f>
        <v>834.7880483585551</v>
      </c>
      <c r="D36" s="5" t="s">
        <v>45</v>
      </c>
      <c r="E36" s="26">
        <f>[1]!PVT_Rhoo_kgm3(P_atma_,T_C_,gamma_gas_,gamma_oil_,gamma_w_,Rsb_m3m3_,,,,,,PVT_correlation_,Ksep_,Psep_atma_,Tsep_C_)</f>
        <v>822.39967247857055</v>
      </c>
      <c r="F36" s="27">
        <f t="shared" si="0"/>
        <v>-1.5063692623621949E-2</v>
      </c>
      <c r="G36" s="28"/>
      <c r="H36" s="5" t="s">
        <v>71</v>
      </c>
      <c r="I36" s="19">
        <f>[1]!PVT_Rhog_kgm3(P_atma_,T_C_,gamma_gas_,gamma_oil_,gamma_w_,Rsb_m3m3_,,Pb_atma_,Tres_C_,Bob_m3m3_,mu_cP_,PVT_correlation_,Ksep_,Psep_atma_,Tsep_C_)</f>
        <v>26.007069189756177</v>
      </c>
      <c r="J36" s="5" t="s">
        <v>45</v>
      </c>
      <c r="L36" s="5" t="s">
        <v>72</v>
      </c>
      <c r="M36" s="19">
        <f>[1]!PVT_Rhow_kgm3(P_atma_,T_C_,gamma_gas_,gamma_oil_,gamma_w_,Rsb_m3m3_,,Pb_atma_,Tres_C_,Bob_m3m3_,mu_cP_,PVT_correlation_,Ksep_,Psep_atma_,Tsep_C_)</f>
        <v>1064.5424682045616</v>
      </c>
      <c r="N36" s="5" t="s">
        <v>45</v>
      </c>
      <c r="S36" s="8" t="s">
        <v>46</v>
      </c>
      <c r="T36" s="35">
        <f>[1]!PVT_Muo_cP(T33,Tres_C_,gamma_gas_,gamma_oil_,gamma_w_,Rsb_m3m3_,,,,,,PVT_correlation_,Ksep_,Psep_atma_,Tsep_C_)</f>
        <v>0.76612647633959408</v>
      </c>
      <c r="U36" s="27">
        <f>(T36-C28)/T36</f>
        <v>-0.31041712809602873</v>
      </c>
      <c r="V36" s="35">
        <f>[1]!PVT_Muo_cP(V33,Tres_C_,gamma_gas_new_,gamma_oil_new_,gamma_w_,Rsb_m3m3_,,,,,,PVT_correlation_,Ksep_,Psep_atma_,Tsep_C_)</f>
        <v>0.96429884480749095</v>
      </c>
      <c r="W36" s="27">
        <f>(V36-C28)/V36</f>
        <v>-4.1114237862314232E-2</v>
      </c>
      <c r="X36" s="2">
        <v>2</v>
      </c>
      <c r="Z36" s="5" t="s">
        <v>13</v>
      </c>
      <c r="AA36" s="31">
        <f>ABS(gamma_gas_-gamma_gas_)/gamma_gas_</f>
        <v>0</v>
      </c>
      <c r="AB36" s="30">
        <f>ABS(gamma_gas_new_-gamma_gas_)/gamma_gas_</f>
        <v>0.2270177856323852</v>
      </c>
    </row>
    <row r="37" spans="2:33" ht="17.149999999999999" outlineLevel="1" x14ac:dyDescent="0.4">
      <c r="B37" s="5" t="s">
        <v>74</v>
      </c>
      <c r="C37" s="24">
        <f>[1]!PVT_Muo_cP(P_atma_,T_C_,gamma_gas_,gamma_oil_,gamma_w_,Rsb_m3m3_,,Pb_atma_,Tres_C_,Bob_m3m3_,mu_cP_,PVT_correlation_,Ksep_,Psep_atma_,Tsep_C_)</f>
        <v>1.8582237789578517</v>
      </c>
      <c r="D37" s="5" t="s">
        <v>7</v>
      </c>
      <c r="E37" s="26">
        <f>[1]!PVT_Muo_cP(P_atma_,T_C_,gamma_gas_,gamma_oil_,gamma_w_,Rsb_m3m3_,,,,,,PVT_correlation_,Ksep_,Psep_atma_,Tsep_C_)</f>
        <v>4.448291156906401</v>
      </c>
      <c r="F37" s="27">
        <f t="shared" si="0"/>
        <v>0.58226120696421135</v>
      </c>
      <c r="G37" s="28"/>
      <c r="H37" s="5" t="s">
        <v>75</v>
      </c>
      <c r="I37" s="36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76</v>
      </c>
      <c r="M37" s="23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27">
        <f>(R32-G8)/R32</f>
        <v>1.674429565691608E-2</v>
      </c>
      <c r="X37" s="2">
        <v>2</v>
      </c>
    </row>
    <row r="38" spans="2:33" ht="17.149999999999999" outlineLevel="1" x14ac:dyDescent="0.4">
      <c r="B38" s="5" t="s">
        <v>77</v>
      </c>
      <c r="C38" s="24"/>
      <c r="D38" s="5"/>
      <c r="E38" s="26"/>
      <c r="F38" s="27"/>
      <c r="G38" s="28"/>
      <c r="H38" s="5" t="s">
        <v>78</v>
      </c>
      <c r="I38" s="19"/>
      <c r="J38" s="5"/>
      <c r="L38" s="5" t="s">
        <v>79</v>
      </c>
      <c r="M38" s="19"/>
      <c r="N38" s="5"/>
      <c r="S38" s="5" t="s">
        <v>13</v>
      </c>
      <c r="W38" s="27">
        <f>(R33-G9)/R33</f>
        <v>0.18501588835192301</v>
      </c>
      <c r="X38" s="2">
        <v>2</v>
      </c>
      <c r="Z38" s="8" t="s">
        <v>44</v>
      </c>
      <c r="AA38" s="30">
        <f>ABS(U35)</f>
        <v>3.3018424865079887E-2</v>
      </c>
      <c r="AB38" s="30">
        <f>ABS(W35)</f>
        <v>2.6699318121138519E-2</v>
      </c>
    </row>
    <row r="39" spans="2:33" ht="17.149999999999999" outlineLevel="1" x14ac:dyDescent="0.4">
      <c r="B39" s="5" t="s">
        <v>80</v>
      </c>
      <c r="C39" s="24"/>
      <c r="D39" s="5"/>
      <c r="E39" s="26"/>
      <c r="F39" s="27"/>
      <c r="G39" s="28"/>
      <c r="H39" s="5" t="s">
        <v>81</v>
      </c>
      <c r="I39" s="19"/>
      <c r="J39" s="5"/>
      <c r="L39" s="5" t="s">
        <v>82</v>
      </c>
      <c r="M39" s="19"/>
      <c r="N39" s="5"/>
    </row>
    <row r="40" spans="2:33" ht="17.149999999999999" outlineLevel="1" x14ac:dyDescent="0.4">
      <c r="B40" s="5" t="s">
        <v>106</v>
      </c>
      <c r="C40" s="45">
        <f>[1]!PVT_SToilgas_Nm(P_atma_,T_C_,gamma_gas_,gamma_oil_,gamma_w_,Rsb_m3m3_,,Pb_atma_,Tres_C_,Bob_m3m3_,mu_cP_,PVT_correlation_,Ksep_,Psep_atma_,Tsep_C_)</f>
        <v>4.2196451605605201E-2</v>
      </c>
      <c r="D40" s="5" t="s">
        <v>105</v>
      </c>
      <c r="L40" s="5" t="s">
        <v>107</v>
      </c>
      <c r="M40" s="45">
        <f>[1]!PVT_STwatgas_Nm(P_atma_,T_C_,gamma_gas_,gamma_oil_,gamma_w_,Rsb_m3m3_,,Pb_atma_,Tres_C_,Bob_m3m3_,mu_cP_,PVT_correlation_,Ksep_,Psep_atma_,Tsep_C_)</f>
        <v>6.0255958607435781E-2</v>
      </c>
      <c r="N40" s="5" t="s">
        <v>105</v>
      </c>
    </row>
    <row r="41" spans="2:33" outlineLevel="1" x14ac:dyDescent="0.4">
      <c r="L41" s="28"/>
    </row>
    <row r="42" spans="2:33" outlineLevel="1" x14ac:dyDescent="0.4">
      <c r="B42" s="2" t="s">
        <v>83</v>
      </c>
      <c r="C42" s="2"/>
      <c r="D42" s="2"/>
      <c r="E42" s="25"/>
      <c r="F42" s="28"/>
      <c r="L42" s="28"/>
    </row>
    <row r="43" spans="2:33" ht="17.149999999999999" outlineLevel="1" x14ac:dyDescent="0.4">
      <c r="B43" s="7" t="s">
        <v>84</v>
      </c>
      <c r="C43" s="37">
        <f>[1]!MF_Qmix_m3day(Ql_scm3day_,wc_perc_,P_atma_,T_C_,gamma_gas_,gamma_oil_,gamma_w_,Rsb_m3m3_,Rp_m3m3_,Pb_atma_,Tres_C_,Bob_m3m3_,mu_cP_,PVT_correlation_,Ksep_,Psep_atma_,Tsep_C_)</f>
        <v>282.97020538471577</v>
      </c>
      <c r="D43" s="5" t="s">
        <v>33</v>
      </c>
      <c r="E43" s="25"/>
      <c r="F43" s="28"/>
      <c r="L43" s="28"/>
    </row>
    <row r="44" spans="2:33" ht="17.149999999999999" outlineLevel="1" x14ac:dyDescent="0.4">
      <c r="B44" s="5" t="s">
        <v>85</v>
      </c>
      <c r="C44" s="37">
        <f>[1]!MF_Rhomix_kgm3(Ql_scm3day_,wc_perc_,P_atma_,T_C_,gamma_gas_,gamma_oil_,gamma_w_,Rsb_m3m3_,Rp_m3m3_,Pb_atma_,Tres_C_,Bob_m3m3_,mu_cP_,PVT_correlation_,Ksep_,Psep_atma_,Tsep_C_)</f>
        <v>334.14083250019456</v>
      </c>
      <c r="D44" s="5" t="s">
        <v>45</v>
      </c>
      <c r="E44" s="25"/>
      <c r="F44" s="28"/>
      <c r="X44">
        <f>gamma_gas_</f>
        <v>0.7</v>
      </c>
    </row>
    <row r="45" spans="2:33" ht="17.149999999999999" outlineLevel="1" x14ac:dyDescent="0.4">
      <c r="B45" s="5" t="s">
        <v>86</v>
      </c>
      <c r="C45" s="37">
        <f>[1]!MF_Mumix_cP(Ql_scm3day_,wc_perc_,P_atma_,T_C_,gamma_gas_,gamma_oil_,gamma_w_,Rsb_m3m3_,Rp_m3m3_,Pb_atma_,Tres_C_,Bob_m3m3_,mu_cP_,PVT_correlation_,Ksep_,Psep_atma_,Tsep_C_)</f>
        <v>0.71232359478788854</v>
      </c>
      <c r="D45" s="5" t="s">
        <v>7</v>
      </c>
      <c r="E45" s="25"/>
      <c r="F45" s="28"/>
    </row>
    <row r="46" spans="2:33" ht="17.149999999999999" outlineLevel="1" x14ac:dyDescent="0.4">
      <c r="B46" s="5" t="s">
        <v>87</v>
      </c>
      <c r="E46" s="28"/>
      <c r="F46" s="28"/>
    </row>
    <row r="47" spans="2:33" ht="17.149999999999999" outlineLevel="1" x14ac:dyDescent="0.4">
      <c r="B47" s="5" t="s">
        <v>88</v>
      </c>
      <c r="E47" s="28"/>
      <c r="F47" s="28"/>
    </row>
    <row r="48" spans="2:33" ht="17.149999999999999" outlineLevel="1" x14ac:dyDescent="0.4">
      <c r="B48" s="5" t="s">
        <v>89</v>
      </c>
      <c r="E48" s="28"/>
      <c r="F48" s="28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105</v>
      </c>
      <c r="E49" s="28"/>
      <c r="F49" s="28"/>
    </row>
    <row r="50" spans="1:29" outlineLevel="1" x14ac:dyDescent="0.4">
      <c r="E50" s="28"/>
      <c r="F50" s="28"/>
    </row>
    <row r="51" spans="1:29" outlineLevel="1" x14ac:dyDescent="0.4">
      <c r="E51" s="28"/>
      <c r="F51" s="28"/>
    </row>
    <row r="52" spans="1:29" outlineLevel="1" x14ac:dyDescent="0.4"/>
    <row r="53" spans="1:29" outlineLevel="1" x14ac:dyDescent="0.4"/>
    <row r="54" spans="1:29" x14ac:dyDescent="0.4">
      <c r="L54" s="28"/>
    </row>
    <row r="55" spans="1:29" x14ac:dyDescent="0.4">
      <c r="B55" s="38" t="s">
        <v>90</v>
      </c>
      <c r="C55" s="17"/>
      <c r="D55" s="17"/>
      <c r="E55" s="17"/>
      <c r="F55" s="17"/>
      <c r="G55" s="18"/>
      <c r="H55" s="17"/>
      <c r="I55" s="17"/>
      <c r="J55" s="17"/>
      <c r="K55" s="17"/>
      <c r="L55" s="39"/>
      <c r="M55" s="39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outlineLevel="1" x14ac:dyDescent="0.4">
      <c r="B56" t="str">
        <f>"Температура = " &amp;T_C_&amp;" °С"</f>
        <v>Температура = 30 °С</v>
      </c>
      <c r="L56" s="28"/>
      <c r="M56" s="28"/>
    </row>
    <row r="57" spans="1:29" outlineLevel="1" x14ac:dyDescent="0.4">
      <c r="L57" s="28"/>
      <c r="M57" s="28"/>
    </row>
    <row r="58" spans="1:29" ht="17.149999999999999" outlineLevel="1" x14ac:dyDescent="0.4">
      <c r="A58" s="40"/>
      <c r="B58" s="5" t="s">
        <v>91</v>
      </c>
      <c r="C58" s="5" t="s">
        <v>91</v>
      </c>
      <c r="D58" s="5" t="s">
        <v>63</v>
      </c>
      <c r="E58" s="5" t="s">
        <v>92</v>
      </c>
      <c r="F58" s="5" t="s">
        <v>97</v>
      </c>
      <c r="G58" s="5" t="s">
        <v>67</v>
      </c>
      <c r="H58" s="5" t="s">
        <v>93</v>
      </c>
      <c r="I58" s="5" t="s">
        <v>98</v>
      </c>
      <c r="J58" s="5" t="s">
        <v>70</v>
      </c>
      <c r="K58" s="5" t="s">
        <v>94</v>
      </c>
      <c r="L58" s="5" t="s">
        <v>99</v>
      </c>
      <c r="M58" s="5" t="s">
        <v>74</v>
      </c>
      <c r="N58" s="5" t="s">
        <v>95</v>
      </c>
      <c r="O58" s="5" t="s">
        <v>100</v>
      </c>
      <c r="P58" s="5" t="s">
        <v>101</v>
      </c>
      <c r="Q58" s="5" t="s">
        <v>102</v>
      </c>
      <c r="R58" s="5" t="s">
        <v>103</v>
      </c>
    </row>
    <row r="59" spans="1:29" outlineLevel="1" x14ac:dyDescent="0.4">
      <c r="A59" s="41">
        <v>1</v>
      </c>
      <c r="B59" s="42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1.0132416407945462</v>
      </c>
      <c r="H59" s="10">
        <v>1.0132416407945462</v>
      </c>
      <c r="I59">
        <v>1.0130144537810994</v>
      </c>
      <c r="J59" s="2">
        <v>851.19184139549088</v>
      </c>
      <c r="K59" s="2">
        <v>851.19184139549088</v>
      </c>
      <c r="L59">
        <v>849.00993498117293</v>
      </c>
      <c r="M59" s="2">
        <v>4.0832406960367109</v>
      </c>
      <c r="N59" s="2">
        <v>4.0832406960367109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1">
        <v>2</v>
      </c>
      <c r="B60" s="43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1.0278721222689708</v>
      </c>
      <c r="H60" s="10">
        <v>1.0278721222689708</v>
      </c>
      <c r="I60">
        <v>1.02960352131379</v>
      </c>
      <c r="J60" s="2">
        <v>847.2293784640683</v>
      </c>
      <c r="K60" s="2">
        <v>847.2293784640683</v>
      </c>
      <c r="L60">
        <v>841.67917902209979</v>
      </c>
      <c r="M60" s="2">
        <v>3.2919375329426375</v>
      </c>
      <c r="N60" s="2">
        <v>3.2919375329426375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1">
        <v>3</v>
      </c>
      <c r="B61" s="43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1.0379130731307924</v>
      </c>
      <c r="H61" s="10">
        <v>1.0379130731307924</v>
      </c>
      <c r="I61">
        <v>1.0393386106497584</v>
      </c>
      <c r="J61" s="2">
        <v>844.61305759676202</v>
      </c>
      <c r="K61" s="2">
        <v>844.61305759676202</v>
      </c>
      <c r="L61">
        <v>837.51562914174781</v>
      </c>
      <c r="M61" s="2">
        <v>2.8847592196283482</v>
      </c>
      <c r="N61" s="2">
        <v>2.8847592196283482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1">
        <v>4</v>
      </c>
      <c r="B62" s="43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1.0465191210663058</v>
      </c>
      <c r="H62" s="10">
        <v>1.0465191210663058</v>
      </c>
      <c r="I62">
        <v>1.047519466736567</v>
      </c>
      <c r="J62" s="2">
        <v>842.42684166414028</v>
      </c>
      <c r="K62" s="2">
        <v>842.42684166414028</v>
      </c>
      <c r="L62">
        <v>834.08676121710812</v>
      </c>
      <c r="M62" s="2">
        <v>2.5975593809776325</v>
      </c>
      <c r="N62" s="2">
        <v>2.5975593809776325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1">
        <v>5</v>
      </c>
      <c r="B63" s="43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1.0543426391224711</v>
      </c>
      <c r="H63" s="10">
        <v>1.0543426391224711</v>
      </c>
      <c r="I63">
        <v>1.0548532346671322</v>
      </c>
      <c r="J63" s="2">
        <v>840.48039217925759</v>
      </c>
      <c r="K63" s="2">
        <v>840.48039217925759</v>
      </c>
      <c r="L63">
        <v>831.06445144858844</v>
      </c>
      <c r="M63" s="2">
        <v>2.3747847516413887</v>
      </c>
      <c r="N63" s="25">
        <v>2.3747847516413887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1">
        <v>6</v>
      </c>
      <c r="B64" s="43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1.0616648799614399</v>
      </c>
      <c r="H64" s="10">
        <v>1.0616648799614399</v>
      </c>
      <c r="I64">
        <v>1.0616323318338379</v>
      </c>
      <c r="J64" s="2">
        <v>838.6915084568152</v>
      </c>
      <c r="K64" s="2">
        <v>838.6915084568152</v>
      </c>
      <c r="L64">
        <v>828.31235402832999</v>
      </c>
      <c r="M64" s="2">
        <v>2.1929947228912554</v>
      </c>
      <c r="N64" s="2">
        <v>2.1929947228912554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1">
        <v>7</v>
      </c>
      <c r="B65" s="43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1.0686393824661811</v>
      </c>
      <c r="H65" s="10">
        <v>1.0686393824661811</v>
      </c>
      <c r="I65">
        <v>1.0680134014735396</v>
      </c>
      <c r="J65" s="2">
        <v>837.01531782737504</v>
      </c>
      <c r="K65" s="2">
        <v>837.01531782737504</v>
      </c>
      <c r="L65">
        <v>825.75718037131742</v>
      </c>
      <c r="M65" s="2">
        <v>2.0397833205418587</v>
      </c>
      <c r="N65" s="2">
        <v>2.0397833205418587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1">
        <v>8</v>
      </c>
      <c r="B66" s="43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1.0753614228108468</v>
      </c>
      <c r="H66" s="10">
        <v>1.0753614228108468</v>
      </c>
      <c r="I66">
        <v>1.074092620286347</v>
      </c>
      <c r="J66" s="2">
        <v>835.42402142553726</v>
      </c>
      <c r="K66" s="2">
        <v>835.42402142553726</v>
      </c>
      <c r="L66">
        <v>823.3538228764445</v>
      </c>
      <c r="M66" s="2">
        <v>1.907713442484404</v>
      </c>
      <c r="N66" s="2">
        <v>1.907713442484404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1">
        <v>9</v>
      </c>
      <c r="B67" s="43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1.0818951657980624</v>
      </c>
      <c r="H67" s="10">
        <v>1.0818951657980624</v>
      </c>
      <c r="I67">
        <v>1.0799343434892963</v>
      </c>
      <c r="J67" s="2">
        <v>833.89895930946602</v>
      </c>
      <c r="K67" s="2">
        <v>833.89895930946602</v>
      </c>
      <c r="L67">
        <v>821.07204949260642</v>
      </c>
      <c r="M67" s="2">
        <v>1.7919514205087843</v>
      </c>
      <c r="N67" s="2">
        <v>1.7919514205087843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1">
        <v>10</v>
      </c>
      <c r="B68" s="43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1.088286364980646</v>
      </c>
      <c r="H68" s="10">
        <v>1.088286364980646</v>
      </c>
      <c r="I68">
        <v>1.0855842791372243</v>
      </c>
      <c r="J68" s="2">
        <v>832.42689189384419</v>
      </c>
      <c r="K68" s="2">
        <v>832.42689189384419</v>
      </c>
      <c r="L68">
        <v>818.89036842980647</v>
      </c>
      <c r="M68" s="2">
        <v>1.6891701074652343</v>
      </c>
      <c r="N68" s="2">
        <v>1.6891701074652343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1">
        <v>11</v>
      </c>
      <c r="B69" s="43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1.0945690532180827</v>
      </c>
      <c r="H69" s="10">
        <v>1.0945690532180827</v>
      </c>
      <c r="I69">
        <v>1.0910763485497919</v>
      </c>
      <c r="J69" s="2">
        <v>830.99803742777556</v>
      </c>
      <c r="K69" s="2">
        <v>830.99803742777556</v>
      </c>
      <c r="L69">
        <v>816.79282575646153</v>
      </c>
      <c r="M69" s="2">
        <v>1.5969782399319732</v>
      </c>
      <c r="N69" s="2">
        <v>1.5969782399319732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1">
        <v>12</v>
      </c>
      <c r="B70" s="43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1.1007693812031722</v>
      </c>
      <c r="H70" s="10">
        <v>1.1007693812031722</v>
      </c>
      <c r="I70">
        <v>1.0964365897407293</v>
      </c>
      <c r="J70" s="2">
        <v>829.60494435369935</v>
      </c>
      <c r="K70" s="2">
        <v>829.60494435369935</v>
      </c>
      <c r="L70">
        <v>814.76717938814863</v>
      </c>
      <c r="M70" s="2">
        <v>1.5135979462837759</v>
      </c>
      <c r="N70" s="2">
        <v>1.5135979462837759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1">
        <v>13</v>
      </c>
      <c r="B71" s="43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1.1069079674440256</v>
      </c>
      <c r="H71" s="10">
        <v>1.1069079674440256</v>
      </c>
      <c r="I71">
        <v>1.1016855316763605</v>
      </c>
      <c r="J71" s="2">
        <v>828.24179970662703</v>
      </c>
      <c r="K71" s="2">
        <v>828.24179970662703</v>
      </c>
      <c r="L71">
        <v>812.80378620911893</v>
      </c>
      <c r="M71" s="2">
        <v>1.4376706572508144</v>
      </c>
      <c r="N71" s="2">
        <v>1.4376706572508144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1">
        <v>14</v>
      </c>
      <c r="B72" s="43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1.113001411669581</v>
      </c>
      <c r="H72" s="10">
        <v>1.113001411669581</v>
      </c>
      <c r="I72">
        <v>1.1068397158921579</v>
      </c>
      <c r="J72" s="2">
        <v>826.90398308162173</v>
      </c>
      <c r="K72" s="2">
        <v>826.90398308162173</v>
      </c>
      <c r="L72">
        <v>810.89488752900502</v>
      </c>
      <c r="M72" s="2">
        <v>1.3681343526966974</v>
      </c>
      <c r="N72" s="2">
        <v>1.3681343526966974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1">
        <v>15</v>
      </c>
      <c r="B73" s="43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1.1190633104663161</v>
      </c>
      <c r="H73" s="10">
        <v>1.1190633104663161</v>
      </c>
      <c r="I73">
        <v>1.1119127136069173</v>
      </c>
      <c r="J73" s="2">
        <v>825.58776682337316</v>
      </c>
      <c r="K73" s="2">
        <v>825.58776682337316</v>
      </c>
      <c r="L73">
        <v>809.03413062294635</v>
      </c>
      <c r="M73" s="2">
        <v>1.3041427377471093</v>
      </c>
      <c r="N73" s="2">
        <v>1.3041427377471093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1">
        <v>16</v>
      </c>
      <c r="B74" s="43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1.1251049623743707</v>
      </c>
      <c r="H74" s="10">
        <v>1.1251049623743707</v>
      </c>
      <c r="I74">
        <v>1.1169158296092037</v>
      </c>
      <c r="J74" s="2">
        <v>824.29010755151046</v>
      </c>
      <c r="K74" s="2">
        <v>824.29010755151046</v>
      </c>
      <c r="L74">
        <v>807.21623707697586</v>
      </c>
      <c r="M74" s="2">
        <v>1.2450102212209213</v>
      </c>
      <c r="N74" s="2">
        <v>1.2450102212209213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1">
        <v>17</v>
      </c>
      <c r="B75" s="43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1.1311358715543078</v>
      </c>
      <c r="H75" s="10">
        <v>1.1311358715543078</v>
      </c>
      <c r="I75">
        <v>1.1218586037048111</v>
      </c>
      <c r="J75" s="2">
        <v>823.00849699243736</v>
      </c>
      <c r="K75" s="2">
        <v>823.00849699243736</v>
      </c>
      <c r="L75">
        <v>805.43676616883579</v>
      </c>
      <c r="M75" s="2">
        <v>1.1901733901397324</v>
      </c>
      <c r="N75" s="2">
        <v>1.1901733901397324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1">
        <v>18</v>
      </c>
      <c r="B76" s="43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1.1371641164245596</v>
      </c>
      <c r="H76" s="10">
        <v>1.1371641164245596</v>
      </c>
      <c r="I76">
        <v>1.1267491772171485</v>
      </c>
      <c r="J76" s="2">
        <v>821.74085260661184</v>
      </c>
      <c r="K76" s="2">
        <v>821.74085260661184</v>
      </c>
      <c r="L76">
        <v>803.69194160965753</v>
      </c>
      <c r="M76" s="2">
        <v>1.1391633768973239</v>
      </c>
      <c r="N76" s="2">
        <v>1.1391633768973239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1">
        <v>19</v>
      </c>
      <c r="B77" s="43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1.1431966251025143</v>
      </c>
      <c r="H77" s="10">
        <v>1.1431966251025143</v>
      </c>
      <c r="I77">
        <v>1.1315945659747138</v>
      </c>
      <c r="J77" s="2">
        <v>820.4854357459792</v>
      </c>
      <c r="K77" s="2">
        <v>820.4854357459792</v>
      </c>
      <c r="L77">
        <v>801.97852243037573</v>
      </c>
      <c r="M77" s="2">
        <v>1.0915856212300632</v>
      </c>
      <c r="N77" s="2">
        <v>1.0915856212300632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1">
        <v>20</v>
      </c>
      <c r="B78" s="43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1.1492393854869274</v>
      </c>
      <c r="H78" s="10">
        <v>1.1492393854869274</v>
      </c>
      <c r="I78">
        <v>1.1364008682473754</v>
      </c>
      <c r="J78" s="2">
        <v>819.24078892743637</v>
      </c>
      <c r="K78" s="2">
        <v>819.24078892743637</v>
      </c>
      <c r="L78">
        <v>800.29370439996785</v>
      </c>
      <c r="M78" s="2">
        <v>1.0471047746453783</v>
      </c>
      <c r="N78" s="2">
        <v>1.0471047746453783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1">
        <v>21</v>
      </c>
      <c r="B79" s="44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1.1561927318987131</v>
      </c>
      <c r="H79" s="10">
        <v>1.1561927318987131</v>
      </c>
      <c r="I79">
        <v>1.1411734252246324</v>
      </c>
      <c r="J79" s="2">
        <v>817.37238740588691</v>
      </c>
      <c r="K79" s="2">
        <v>817.37238740588691</v>
      </c>
      <c r="L79">
        <v>798.63504389522689</v>
      </c>
      <c r="M79" s="2">
        <v>1.0054332572566396</v>
      </c>
      <c r="N79" s="2">
        <v>1.0054332572566396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1">
        <v>22</v>
      </c>
      <c r="B80" s="43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1.1527768933562497</v>
      </c>
      <c r="H80" s="10">
        <v>1.1527768933562497</v>
      </c>
      <c r="I80">
        <v>1.154494503969778</v>
      </c>
      <c r="J80" s="2">
        <v>820.20988228448164</v>
      </c>
      <c r="K80" s="2">
        <v>820.20988228448164</v>
      </c>
      <c r="L80">
        <v>794.07907834211733</v>
      </c>
      <c r="M80" s="2">
        <v>1.0194612330208332</v>
      </c>
      <c r="N80" s="2">
        <v>1.0194612330208332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1">
        <v>23</v>
      </c>
      <c r="B81" s="43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1.1501122933658074</v>
      </c>
      <c r="H81" s="10">
        <v>1.1501122933658074</v>
      </c>
      <c r="I81">
        <v>1.1676678836734364</v>
      </c>
      <c r="J81" s="2">
        <v>822.11015868105846</v>
      </c>
      <c r="K81" s="2">
        <v>822.11015868105846</v>
      </c>
      <c r="L81">
        <v>789.67679520011029</v>
      </c>
      <c r="M81" s="2">
        <v>1.0389224660416663</v>
      </c>
      <c r="N81" s="2">
        <v>1.0389224660416663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1">
        <v>24</v>
      </c>
      <c r="B82" s="43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1.1479756618802033</v>
      </c>
      <c r="H82" s="10">
        <v>1.1479756618802033</v>
      </c>
      <c r="I82">
        <v>1.1807570833644481</v>
      </c>
      <c r="J82" s="2">
        <v>823.64028384660071</v>
      </c>
      <c r="K82" s="2">
        <v>823.64028384660071</v>
      </c>
      <c r="L82">
        <v>785.40021949526817</v>
      </c>
      <c r="M82" s="2">
        <v>1.0583836990624993</v>
      </c>
      <c r="N82" s="2">
        <v>1.0583836990624993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1">
        <v>25</v>
      </c>
      <c r="B83" s="43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1.146224227569087</v>
      </c>
      <c r="H83" s="10">
        <v>1.146224227569087</v>
      </c>
      <c r="I83">
        <v>1.1938106138953908</v>
      </c>
      <c r="J83" s="2">
        <v>824.89880885283435</v>
      </c>
      <c r="K83" s="2">
        <v>824.89880885283435</v>
      </c>
      <c r="L83">
        <v>781.22852511255849</v>
      </c>
      <c r="M83" s="2">
        <v>1.0778449320833325</v>
      </c>
      <c r="N83" s="2">
        <v>1.0778449320833325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1">
        <v>26</v>
      </c>
      <c r="B84" s="43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1.1447624388629722</v>
      </c>
      <c r="H84" s="10">
        <v>1.1447624388629722</v>
      </c>
      <c r="I84">
        <v>1.2068664543715215</v>
      </c>
      <c r="J84" s="2">
        <v>825.95215208068021</v>
      </c>
      <c r="K84" s="2">
        <v>825.95215208068021</v>
      </c>
      <c r="L84">
        <v>777.14588991864946</v>
      </c>
      <c r="M84" s="2">
        <v>1.0973061651041656</v>
      </c>
      <c r="N84" s="2">
        <v>1.0973061651041656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1">
        <v>27</v>
      </c>
      <c r="B85" s="43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1.1435239334150611</v>
      </c>
      <c r="H85" s="10">
        <v>1.1435239334150611</v>
      </c>
      <c r="I85">
        <v>1.2199549297872214</v>
      </c>
      <c r="J85" s="2">
        <v>826.84670811940771</v>
      </c>
      <c r="K85" s="2">
        <v>826.84670811940771</v>
      </c>
      <c r="L85">
        <v>773.14011282700028</v>
      </c>
      <c r="M85" s="2">
        <v>1.1167673981249988</v>
      </c>
      <c r="N85" s="2">
        <v>1.1167673981249988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1">
        <v>28</v>
      </c>
      <c r="B86" s="43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1.1424611830973088</v>
      </c>
      <c r="H86" s="10">
        <v>1.1424611830973088</v>
      </c>
      <c r="I86">
        <v>1.2244529407113773</v>
      </c>
      <c r="J86" s="2">
        <v>827.61586475666343</v>
      </c>
      <c r="K86" s="2">
        <v>827.61586475666343</v>
      </c>
      <c r="L86">
        <v>772.19709191165521</v>
      </c>
      <c r="M86" s="2">
        <v>1.1362286311458318</v>
      </c>
      <c r="N86" s="2">
        <v>1.1362286311458318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1">
        <v>29</v>
      </c>
      <c r="B87" s="43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1.1415392550891712</v>
      </c>
      <c r="H87" s="10">
        <v>1.1415392550891712</v>
      </c>
      <c r="I87">
        <v>1.2225918972684016</v>
      </c>
      <c r="J87" s="2">
        <v>828.28426248569167</v>
      </c>
      <c r="K87" s="2">
        <v>828.28426248569167</v>
      </c>
      <c r="L87">
        <v>773.37253920342778</v>
      </c>
      <c r="M87" s="2">
        <v>1.1556898641666651</v>
      </c>
      <c r="N87" s="2">
        <v>1.1556898641666651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1">
        <v>30</v>
      </c>
      <c r="B88" s="43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1.1407318988492807</v>
      </c>
      <c r="H88" s="10">
        <v>1.1407318988492807</v>
      </c>
      <c r="I88">
        <v>1.2209632243419828</v>
      </c>
      <c r="J88" s="2">
        <v>828.87048302392282</v>
      </c>
      <c r="K88" s="2">
        <v>828.87048302392282</v>
      </c>
      <c r="L88">
        <v>774.40415988742927</v>
      </c>
      <c r="M88" s="2">
        <v>1.1751510971874981</v>
      </c>
      <c r="N88" s="2">
        <v>1.1751510971874981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1">
        <v>31</v>
      </c>
      <c r="B89" s="43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1.1400190065447819</v>
      </c>
      <c r="H89" s="10">
        <v>1.1400190065447819</v>
      </c>
      <c r="I89">
        <v>1.219525959705883</v>
      </c>
      <c r="J89" s="2">
        <v>829.38880367066793</v>
      </c>
      <c r="K89" s="2">
        <v>829.38880367066793</v>
      </c>
      <c r="L89">
        <v>775.31682903087517</v>
      </c>
      <c r="M89" s="2">
        <v>1.1946123302083314</v>
      </c>
      <c r="N89" s="2">
        <v>1.1946123302083314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1">
        <v>32</v>
      </c>
      <c r="B90" s="43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1.1393849156006952</v>
      </c>
      <c r="H90" s="10">
        <v>1.1393849156006952</v>
      </c>
      <c r="I90">
        <v>1.2182482343174579</v>
      </c>
      <c r="J90" s="2">
        <v>829.85037545587727</v>
      </c>
      <c r="K90" s="2">
        <v>829.85037545587727</v>
      </c>
      <c r="L90">
        <v>776.12999827554961</v>
      </c>
      <c r="M90" s="2">
        <v>1.2140735632291642</v>
      </c>
      <c r="N90" s="2">
        <v>1.2140735632291642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1">
        <v>33</v>
      </c>
      <c r="B91" s="43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1.1388172446459917</v>
      </c>
      <c r="H91" s="10">
        <v>1.1388172446459917</v>
      </c>
      <c r="I91">
        <v>1.2171048818046477</v>
      </c>
      <c r="J91" s="2">
        <v>830.26403441398566</v>
      </c>
      <c r="K91" s="2">
        <v>830.26403441398566</v>
      </c>
      <c r="L91">
        <v>776.85909746581819</v>
      </c>
      <c r="M91" s="2">
        <v>1.2335347962499974</v>
      </c>
      <c r="N91" s="2">
        <v>1.2335347962499974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1">
        <v>34</v>
      </c>
      <c r="B92" s="43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1.1383060770424367</v>
      </c>
      <c r="H92" s="10">
        <v>1.1383060770424367</v>
      </c>
      <c r="I92">
        <v>1.2160757644000351</v>
      </c>
      <c r="J92" s="2">
        <v>830.63687269127217</v>
      </c>
      <c r="K92" s="2">
        <v>830.63687269127217</v>
      </c>
      <c r="L92">
        <v>777.51652296638167</v>
      </c>
      <c r="M92" s="2">
        <v>1.2529960292708304</v>
      </c>
      <c r="N92" s="2">
        <v>1.2529960292708304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1">
        <v>35</v>
      </c>
      <c r="B93" s="43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1.1378433766521423</v>
      </c>
      <c r="H93" s="10">
        <v>1.1378433766521423</v>
      </c>
      <c r="I93">
        <v>1.215144576734946</v>
      </c>
      <c r="J93" s="2">
        <v>830.97464853377699</v>
      </c>
      <c r="K93" s="2">
        <v>830.97464853377699</v>
      </c>
      <c r="L93">
        <v>778.11234819528943</v>
      </c>
      <c r="M93" s="2">
        <v>1.2724572622916637</v>
      </c>
      <c r="N93" s="2">
        <v>1.2724572622916637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1">
        <v>36</v>
      </c>
      <c r="B94" s="43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1.1374225622642087</v>
      </c>
      <c r="H94" s="10">
        <v>1.1374225622642087</v>
      </c>
      <c r="I94">
        <v>1.2142979755847099</v>
      </c>
      <c r="J94" s="2">
        <v>831.28208580442072</v>
      </c>
      <c r="K94" s="2">
        <v>831.28208580442072</v>
      </c>
      <c r="L94">
        <v>778.65484338365366</v>
      </c>
      <c r="M94" s="2">
        <v>1.2919184953124967</v>
      </c>
      <c r="N94" s="2">
        <v>1.2919184953124967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1">
        <v>37</v>
      </c>
      <c r="B95" s="43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1.1370381925894177</v>
      </c>
      <c r="H95" s="10">
        <v>1.1370381925894177</v>
      </c>
      <c r="I95">
        <v>1.2135249364475436</v>
      </c>
      <c r="J95" s="2">
        <v>831.5630962639309</v>
      </c>
      <c r="K95" s="2">
        <v>831.5630962639309</v>
      </c>
      <c r="L95">
        <v>779.1508617597093</v>
      </c>
      <c r="M95" s="2">
        <v>1.3113797283333299</v>
      </c>
      <c r="N95" s="2">
        <v>1.3113797283333299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1">
        <v>38</v>
      </c>
      <c r="B96" s="43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1.1366857296996942</v>
      </c>
      <c r="H96" s="10">
        <v>1.1366857296996942</v>
      </c>
      <c r="I96">
        <v>1.2128162708510959</v>
      </c>
      <c r="J96" s="2">
        <v>831.82094689426663</v>
      </c>
      <c r="K96" s="2">
        <v>831.82094689426663</v>
      </c>
      <c r="L96">
        <v>779.60613056129307</v>
      </c>
      <c r="M96" s="2">
        <v>1.3308409613541632</v>
      </c>
      <c r="N96" s="2">
        <v>1.3308409613541632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1">
        <v>39</v>
      </c>
      <c r="B97" s="43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1.1363613590299744</v>
      </c>
      <c r="H97" s="10">
        <v>1.1363613590299744</v>
      </c>
      <c r="I97">
        <v>1.2121642594177888</v>
      </c>
      <c r="J97" s="2">
        <v>832.0583874896256</v>
      </c>
      <c r="K97" s="2">
        <v>832.0583874896256</v>
      </c>
      <c r="L97">
        <v>780.02547315999857</v>
      </c>
      <c r="M97" s="2">
        <v>1.3503021943749962</v>
      </c>
      <c r="N97" s="2">
        <v>1.3503021943749962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1">
        <v>40</v>
      </c>
      <c r="B98" s="43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1.1360618507689189</v>
      </c>
      <c r="H98" s="10">
        <v>1.1360618507689189</v>
      </c>
      <c r="I98">
        <v>1.2115623695461859</v>
      </c>
      <c r="J98" s="2">
        <v>832.27774910322523</v>
      </c>
      <c r="K98" s="2">
        <v>832.27774910322523</v>
      </c>
      <c r="L98">
        <v>780.41298059972132</v>
      </c>
      <c r="M98" s="2">
        <v>1.3697634273958292</v>
      </c>
      <c r="N98" s="2">
        <v>1.3697634273958292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1">
        <v>41</v>
      </c>
      <c r="B99" s="42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1.1357844519451739</v>
      </c>
      <c r="H99" s="10">
        <v>1.1357844519451739</v>
      </c>
      <c r="I99">
        <v>1.2110050357864179</v>
      </c>
      <c r="J99" s="2">
        <v>832.48102083161962</v>
      </c>
      <c r="K99" s="2">
        <v>832.48102083161962</v>
      </c>
      <c r="L99">
        <v>780.77214549812902</v>
      </c>
      <c r="M99" s="2">
        <v>1.3892246604166623</v>
      </c>
      <c r="N99" s="2">
        <v>1.3892246604166623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8</xdr:row>
                    <xdr:rowOff>32657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195943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21771</xdr:colOff>
                    <xdr:row>14</xdr:row>
                    <xdr:rowOff>195943</xdr:rowOff>
                  </from>
                  <to>
                    <xdr:col>20</xdr:col>
                    <xdr:colOff>593271</xdr:colOff>
                    <xdr:row>17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46</vt:i4>
      </vt:variant>
    </vt:vector>
  </HeadingPairs>
  <TitlesOfParts>
    <vt:vector size="48" baseType="lpstr">
      <vt:lpstr>Унифлок</vt:lpstr>
      <vt:lpstr>PVT</vt:lpstr>
      <vt:lpstr>bo_list1_</vt:lpstr>
      <vt:lpstr>bo_list2_</vt:lpstr>
      <vt:lpstr>bo_list3_</vt:lpstr>
      <vt:lpstr>PVT!Bob_m3m3_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PVT!Ksep_</vt:lpstr>
      <vt:lpstr>PVT!mu_cP_</vt:lpstr>
      <vt:lpstr>muo_list1_</vt:lpstr>
      <vt:lpstr>muo_list2_</vt:lpstr>
      <vt:lpstr>muo_list3_</vt:lpstr>
      <vt:lpstr>PVT!P_atma_</vt:lpstr>
      <vt:lpstr>PVT!Pb_atma_</vt:lpstr>
      <vt:lpstr>Pb_diff_</vt:lpstr>
      <vt:lpstr>press_list0_</vt:lpstr>
      <vt:lpstr>press_list1_</vt:lpstr>
      <vt:lpstr>PVT!Psc_atma_</vt:lpstr>
      <vt:lpstr>PVT!Psep_atma_</vt:lpstr>
      <vt:lpstr>PVT!PVT_correlation_</vt:lpstr>
      <vt:lpstr>PVT!Ql_scm3day_</vt:lpstr>
      <vt:lpstr>PVT!Qo_sctday_</vt:lpstr>
      <vt:lpstr>rhoo_list1_</vt:lpstr>
      <vt:lpstr>rhoo_list2_</vt:lpstr>
      <vt:lpstr>rhoo_list3_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PVT!Tres_C_</vt:lpstr>
      <vt:lpstr>PVT!Tsc_C_</vt:lpstr>
      <vt:lpstr>PVT!Tsep_C_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2019-03-17T12:52:29Z</dcterms:modified>
</cp:coreProperties>
</file>