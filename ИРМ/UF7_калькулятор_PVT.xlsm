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ИРМ\"/>
    </mc:Choice>
  </mc:AlternateContent>
  <xr:revisionPtr revIDLastSave="0" documentId="13_ncr:1_{A54EAC4B-2FEA-4D96-A7E6-0CA1BB9EAD19}" xr6:coauthVersionLast="36" xr6:coauthVersionMax="36" xr10:uidLastSave="{00000000-0000-0000-0000-000000000000}"/>
  <bookViews>
    <workbookView xWindow="0" yWindow="0" windowWidth="8325" windowHeight="8340" tabRatio="483" xr2:uid="{00000000-000D-0000-FFFF-FFFF00000000}"/>
  </bookViews>
  <sheets>
    <sheet name="PVT" sheetId="1" r:id="rId1"/>
  </sheets>
  <externalReferences>
    <externalReference r:id="rId2"/>
  </externalReferences>
  <definedNames>
    <definedName name="bo_list1_">PVT!$F$59:$F$99</definedName>
    <definedName name="bo_list2_">PVT!$G$59:$G$99</definedName>
    <definedName name="Bob_m3m3_">PVT!$G$16</definedName>
    <definedName name="gamma_gas_">PVT!$G$9</definedName>
    <definedName name="gamma_gas_diff_total_">PVT!$R$34</definedName>
    <definedName name="gamma_gas_new_">PVT!$R$33</definedName>
    <definedName name="gamma_oil_">PVT!$G$8</definedName>
    <definedName name="gamma_oil_new_">PVT!$R$32</definedName>
    <definedName name="gamma_w_">PVT!$G$10</definedName>
    <definedName name="gammas">PVT!$R$32:$R$33</definedName>
    <definedName name="Ksep_">PVT!$O$8</definedName>
    <definedName name="mu_cP_">PVT!$G$17</definedName>
    <definedName name="muo_list1_">PVT!$J$59:$J$99</definedName>
    <definedName name="muo_list2_">PVT!$K$59:$K$99</definedName>
    <definedName name="P_atma_">PVT!$C$8</definedName>
    <definedName name="Pb_atma_">PVT!$G$15</definedName>
    <definedName name="Pb_diff_">PVT!$W$33</definedName>
    <definedName name="press_list0_">PVT!$B$59:$B$99</definedName>
    <definedName name="press_list1_">PVT!$C$59:$C$99</definedName>
    <definedName name="Psc_atma_">PVT!$K$2</definedName>
    <definedName name="Psep_atma_">PVT!$O$9</definedName>
    <definedName name="PVT_correlation_">PVT!$H$3</definedName>
    <definedName name="Ql_scm3day_">PVT!$K$8</definedName>
    <definedName name="Qo_sctday_">PVT!$K$10</definedName>
    <definedName name="rhoo_list1_">PVT!$H$59:$H$99</definedName>
    <definedName name="rhoo_list2_">PVT!$I$59:$I$99</definedName>
    <definedName name="Rp_m3m3_">PVT!$K$11</definedName>
    <definedName name="Rp_tm3_">PVT!$K$12</definedName>
    <definedName name="rs_list1_">PVT!$D$59:$D$99</definedName>
    <definedName name="rs_list2_">PVT!$E$59:$E$99</definedName>
    <definedName name="Rsb_m3m3_">PVT!$G$11</definedName>
    <definedName name="solver_adj" localSheetId="0" hidden="1">PVT!$R$33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PVT!$R$33</definedName>
    <definedName name="solver_lhs10" localSheetId="0" hidden="1">PVT!$R$33</definedName>
    <definedName name="solver_lhs11" localSheetId="0" hidden="1">PVT!$R$33</definedName>
    <definedName name="solver_lhs12" localSheetId="0" hidden="1">PVT!$R$33</definedName>
    <definedName name="solver_lhs13" localSheetId="0" hidden="1">PVT!$R$33</definedName>
    <definedName name="solver_lhs14" localSheetId="0" hidden="1">PVT!$R$33</definedName>
    <definedName name="solver_lhs15" localSheetId="0" hidden="1">PVT!$R$33</definedName>
    <definedName name="solver_lhs16" localSheetId="0" hidden="1">PVT!$R$33</definedName>
    <definedName name="solver_lhs17" localSheetId="0" hidden="1">PVT!$R$33</definedName>
    <definedName name="solver_lhs18" localSheetId="0" hidden="1">PVT!$R$33</definedName>
    <definedName name="solver_lhs19" localSheetId="0" hidden="1">PVT!$R$33</definedName>
    <definedName name="solver_lhs2" localSheetId="0" hidden="1">PVT!$R$33</definedName>
    <definedName name="solver_lhs20" localSheetId="0" hidden="1">PVT!$R$33</definedName>
    <definedName name="solver_lhs21" localSheetId="0" hidden="1">PVT!$R$33</definedName>
    <definedName name="solver_lhs22" localSheetId="0" hidden="1">PVT!$R$33</definedName>
    <definedName name="solver_lhs23" localSheetId="0" hidden="1">PVT!$R$33</definedName>
    <definedName name="solver_lhs24" localSheetId="0" hidden="1">PVT!$R$33</definedName>
    <definedName name="solver_lhs25" localSheetId="0" hidden="1">PVT!$R$33</definedName>
    <definedName name="solver_lhs26" localSheetId="0" hidden="1">PVT!$R$33</definedName>
    <definedName name="solver_lhs27" localSheetId="0" hidden="1">PVT!$R$33</definedName>
    <definedName name="solver_lhs28" localSheetId="0" hidden="1">PVT!$R$33</definedName>
    <definedName name="solver_lhs29" localSheetId="0" hidden="1">PVT!$R$33</definedName>
    <definedName name="solver_lhs3" localSheetId="0" hidden="1">PVT!$R$33</definedName>
    <definedName name="solver_lhs30" localSheetId="0" hidden="1">PVT!$R$33</definedName>
    <definedName name="solver_lhs31" localSheetId="0" hidden="1">PVT!$R$33</definedName>
    <definedName name="solver_lhs32" localSheetId="0" hidden="1">PVT!$R$33</definedName>
    <definedName name="solver_lhs33" localSheetId="0" hidden="1">PVT!$R$33</definedName>
    <definedName name="solver_lhs34" localSheetId="0" hidden="1">PVT!$R$33</definedName>
    <definedName name="solver_lhs35" localSheetId="0" hidden="1">PVT!$R$32</definedName>
    <definedName name="solver_lhs36" localSheetId="0" hidden="1">PVT!$R$32</definedName>
    <definedName name="solver_lhs37" localSheetId="0" hidden="1">PVT!$R$33</definedName>
    <definedName name="solver_lhs38" localSheetId="0" hidden="1">PVT!$R$33</definedName>
    <definedName name="solver_lhs39" localSheetId="0" hidden="1">PVT!$R$32</definedName>
    <definedName name="solver_lhs4" localSheetId="0" hidden="1">PVT!$R$33</definedName>
    <definedName name="solver_lhs40" localSheetId="0" hidden="1">PVT!$R$32</definedName>
    <definedName name="solver_lhs41" localSheetId="0" hidden="1">PVT!$R$33</definedName>
    <definedName name="solver_lhs42" localSheetId="0" hidden="1">PVT!$R$33</definedName>
    <definedName name="solver_lhs43" localSheetId="0" hidden="1">PVT!$R$32</definedName>
    <definedName name="solver_lhs44" localSheetId="0" hidden="1">PVT!$R$32</definedName>
    <definedName name="solver_lhs45" localSheetId="0" hidden="1">PVT!$R$33</definedName>
    <definedName name="solver_lhs46" localSheetId="0" hidden="1">PVT!$R$33</definedName>
    <definedName name="solver_lhs47" localSheetId="0" hidden="1">PVT!$R$32</definedName>
    <definedName name="solver_lhs48" localSheetId="0" hidden="1">PVT!$R$32</definedName>
    <definedName name="solver_lhs49" localSheetId="0" hidden="1">PVT!$R$33</definedName>
    <definedName name="solver_lhs5" localSheetId="0" hidden="1">PVT!$R$33</definedName>
    <definedName name="solver_lhs50" localSheetId="0" hidden="1">PVT!$R$33</definedName>
    <definedName name="solver_lhs51" localSheetId="0" hidden="1">PVT!$R$32</definedName>
    <definedName name="solver_lhs52" localSheetId="0" hidden="1">PVT!$R$32</definedName>
    <definedName name="solver_lhs53" localSheetId="0" hidden="1">PVT!$R$33</definedName>
    <definedName name="solver_lhs54" localSheetId="0" hidden="1">PVT!$R$33</definedName>
    <definedName name="solver_lhs6" localSheetId="0" hidden="1">PVT!$R$33</definedName>
    <definedName name="solver_lhs7" localSheetId="0" hidden="1">PVT!$R$33</definedName>
    <definedName name="solver_lhs8" localSheetId="0" hidden="1">PVT!$R$33</definedName>
    <definedName name="solver_lhs9" localSheetId="0" hidden="1">PVT!$R$33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PVT!$R$34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3</definedName>
    <definedName name="solver_rel2" localSheetId="0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3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3</definedName>
    <definedName name="solver_rel28" localSheetId="0" hidden="1">1</definedName>
    <definedName name="solver_rel29" localSheetId="0" hidden="1">3</definedName>
    <definedName name="solver_rel3" localSheetId="0" hidden="1">3</definedName>
    <definedName name="solver_rel30" localSheetId="0" hidden="1">1</definedName>
    <definedName name="solver_rel31" localSheetId="0" hidden="1">3</definedName>
    <definedName name="solver_rel32" localSheetId="0" hidden="1">1</definedName>
    <definedName name="solver_rel33" localSheetId="0" hidden="1">3</definedName>
    <definedName name="solver_rel34" localSheetId="0" hidden="1">1</definedName>
    <definedName name="solver_rel35" localSheetId="0" hidden="1">3</definedName>
    <definedName name="solver_rel36" localSheetId="0" hidden="1">1</definedName>
    <definedName name="solver_rel37" localSheetId="0" hidden="1">3</definedName>
    <definedName name="solver_rel38" localSheetId="0" hidden="1">1</definedName>
    <definedName name="solver_rel39" localSheetId="0" hidden="1">3</definedName>
    <definedName name="solver_rel4" localSheetId="0" hidden="1">1</definedName>
    <definedName name="solver_rel40" localSheetId="0" hidden="1">1</definedName>
    <definedName name="solver_rel41" localSheetId="0" hidden="1">3</definedName>
    <definedName name="solver_rel42" localSheetId="0" hidden="1">1</definedName>
    <definedName name="solver_rel43" localSheetId="0" hidden="1">3</definedName>
    <definedName name="solver_rel44" localSheetId="0" hidden="1">1</definedName>
    <definedName name="solver_rel45" localSheetId="0" hidden="1">3</definedName>
    <definedName name="solver_rel46" localSheetId="0" hidden="1">1</definedName>
    <definedName name="solver_rel47" localSheetId="0" hidden="1">3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1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0.55</definedName>
    <definedName name="solver_rhs10" localSheetId="0" hidden="1">2</definedName>
    <definedName name="solver_rhs11" localSheetId="0" hidden="1">0.55</definedName>
    <definedName name="solver_rhs12" localSheetId="0" hidden="1">2</definedName>
    <definedName name="solver_rhs13" localSheetId="0" hidden="1">0.55</definedName>
    <definedName name="solver_rhs14" localSheetId="0" hidden="1">2</definedName>
    <definedName name="solver_rhs15" localSheetId="0" hidden="1">0.55</definedName>
    <definedName name="solver_rhs16" localSheetId="0" hidden="1">2</definedName>
    <definedName name="solver_rhs17" localSheetId="0" hidden="1">0.55</definedName>
    <definedName name="solver_rhs18" localSheetId="0" hidden="1">2</definedName>
    <definedName name="solver_rhs19" localSheetId="0" hidden="1">0.55</definedName>
    <definedName name="solver_rhs2" localSheetId="0" hidden="1">1.5</definedName>
    <definedName name="solver_rhs20" localSheetId="0" hidden="1">2</definedName>
    <definedName name="solver_rhs21" localSheetId="0" hidden="1">0.55</definedName>
    <definedName name="solver_rhs22" localSheetId="0" hidden="1">2</definedName>
    <definedName name="solver_rhs23" localSheetId="0" hidden="1">0.55</definedName>
    <definedName name="solver_rhs24" localSheetId="0" hidden="1">2</definedName>
    <definedName name="solver_rhs25" localSheetId="0" hidden="1">0.55</definedName>
    <definedName name="solver_rhs26" localSheetId="0" hidden="1">1.5</definedName>
    <definedName name="solver_rhs27" localSheetId="0" hidden="1">0.55</definedName>
    <definedName name="solver_rhs28" localSheetId="0" hidden="1">1.5</definedName>
    <definedName name="solver_rhs29" localSheetId="0" hidden="1">0.55</definedName>
    <definedName name="solver_rhs3" localSheetId="0" hidden="1">0.55</definedName>
    <definedName name="solver_rhs30" localSheetId="0" hidden="1">1.5</definedName>
    <definedName name="solver_rhs31" localSheetId="0" hidden="1">0.55</definedName>
    <definedName name="solver_rhs32" localSheetId="0" hidden="1">1.5</definedName>
    <definedName name="solver_rhs33" localSheetId="0" hidden="1">0.55</definedName>
    <definedName name="solver_rhs34" localSheetId="0" hidden="1">1.5</definedName>
    <definedName name="solver_rhs35" localSheetId="0" hidden="1">0.7</definedName>
    <definedName name="solver_rhs36" localSheetId="0" hidden="1">1</definedName>
    <definedName name="solver_rhs37" localSheetId="0" hidden="1">0.55</definedName>
    <definedName name="solver_rhs38" localSheetId="0" hidden="1">1.5</definedName>
    <definedName name="solver_rhs39" localSheetId="0" hidden="1">0.7</definedName>
    <definedName name="solver_rhs4" localSheetId="0" hidden="1">1.5</definedName>
    <definedName name="solver_rhs40" localSheetId="0" hidden="1">1</definedName>
    <definedName name="solver_rhs41" localSheetId="0" hidden="1">0.55</definedName>
    <definedName name="solver_rhs42" localSheetId="0" hidden="1">1.5</definedName>
    <definedName name="solver_rhs43" localSheetId="0" hidden="1">0.7</definedName>
    <definedName name="solver_rhs44" localSheetId="0" hidden="1">1</definedName>
    <definedName name="solver_rhs45" localSheetId="0" hidden="1">0.55</definedName>
    <definedName name="solver_rhs46" localSheetId="0" hidden="1">1.5</definedName>
    <definedName name="solver_rhs47" localSheetId="0" hidden="1">0.7</definedName>
    <definedName name="solver_rhs48" localSheetId="0" hidden="1">1</definedName>
    <definedName name="solver_rhs49" localSheetId="0" hidden="1">0.55</definedName>
    <definedName name="solver_rhs5" localSheetId="0" hidden="1">0.55</definedName>
    <definedName name="solver_rhs50" localSheetId="0" hidden="1">1.5</definedName>
    <definedName name="solver_rhs51" localSheetId="0" hidden="1">0.7</definedName>
    <definedName name="solver_rhs52" localSheetId="0" hidden="1">1</definedName>
    <definedName name="solver_rhs53" localSheetId="0" hidden="1">0.55</definedName>
    <definedName name="solver_rhs54" localSheetId="0" hidden="1">1.5</definedName>
    <definedName name="solver_rhs6" localSheetId="0" hidden="1">2</definedName>
    <definedName name="solver_rhs7" localSheetId="0" hidden="1">0.55</definedName>
    <definedName name="solver_rhs8" localSheetId="0" hidden="1">2</definedName>
    <definedName name="solver_rhs9" localSheetId="0" hidden="1">0.55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_C_">PVT!$C$9</definedName>
    <definedName name="T_label_">PVT!$B$56</definedName>
    <definedName name="Tres_C_">PVT!$G$12</definedName>
    <definedName name="Tsc_C_">PVT!$K$3</definedName>
    <definedName name="Tsep_C_">PVT!$O$10</definedName>
    <definedName name="wc_perc_">PVT!$K$9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5" i="1" l="1"/>
  <c r="C44" i="1"/>
  <c r="C43" i="1"/>
  <c r="M32" i="1"/>
  <c r="C35" i="1"/>
  <c r="E33" i="1"/>
  <c r="I37" i="1"/>
  <c r="E34" i="1"/>
  <c r="I35" i="1"/>
  <c r="C33" i="1"/>
  <c r="E32" i="1"/>
  <c r="C36" i="1"/>
  <c r="C23" i="1"/>
  <c r="C27" i="1" s="1"/>
  <c r="I36" i="1"/>
  <c r="C34" i="1"/>
  <c r="T35" i="1"/>
  <c r="I34" i="1"/>
  <c r="I33" i="1"/>
  <c r="M35" i="1"/>
  <c r="M33" i="1"/>
  <c r="V33" i="1"/>
  <c r="I32" i="1"/>
  <c r="C32" i="1"/>
  <c r="T33" i="1"/>
  <c r="E37" i="1"/>
  <c r="G23" i="1"/>
  <c r="V35" i="1" s="1"/>
  <c r="E36" i="1"/>
  <c r="C26" i="1"/>
  <c r="M37" i="1"/>
  <c r="C37" i="1"/>
  <c r="C28" i="1"/>
  <c r="M36" i="1"/>
  <c r="E35" i="1"/>
  <c r="V34" i="1"/>
  <c r="V36" i="1"/>
  <c r="T36" i="1"/>
  <c r="T34" i="1"/>
  <c r="AD34" i="1" l="1"/>
  <c r="AD33" i="1"/>
  <c r="AA36" i="1" l="1"/>
  <c r="AB36" i="1" l="1"/>
  <c r="AB37" i="1"/>
  <c r="AA37" i="1" l="1"/>
  <c r="G24" i="1" l="1"/>
  <c r="K12" i="1"/>
  <c r="K10" i="1"/>
  <c r="B56" i="1" l="1"/>
  <c r="W34" i="1" l="1"/>
  <c r="AB33" i="1" s="1"/>
  <c r="W36" i="1"/>
  <c r="AB35" i="1" s="1"/>
  <c r="W33" i="1"/>
  <c r="AB32" i="1" s="1"/>
  <c r="B79" i="1"/>
  <c r="C25" i="1"/>
  <c r="C24" i="1"/>
  <c r="W35" i="1" l="1"/>
  <c r="AB34" i="1" s="1"/>
  <c r="B80" i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60" i="1"/>
  <c r="B61" i="1" s="1"/>
  <c r="B62" i="1" s="1"/>
  <c r="U33" i="1"/>
  <c r="AA32" i="1" s="1"/>
  <c r="U36" i="1"/>
  <c r="AA35" i="1" s="1"/>
  <c r="U35" i="1"/>
  <c r="AA34" i="1" s="1"/>
  <c r="U34" i="1"/>
  <c r="AA33" i="1" s="1"/>
  <c r="F32" i="1"/>
  <c r="F34" i="1"/>
  <c r="F35" i="1"/>
  <c r="F36" i="1"/>
  <c r="F37" i="1"/>
  <c r="F33" i="1"/>
  <c r="R34" i="1" l="1"/>
  <c r="AD32" i="1" s="1"/>
  <c r="B63" i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22.05.2018  Добавлен график - диаграмма рассогласованности PVT данных</t>
        </r>
      </text>
    </comment>
    <comment ref="A3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  <comment ref="H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0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0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0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0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0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0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0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0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0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0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0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0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0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0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0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0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0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0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0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0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000-00002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sharedStrings.xml><?xml version="1.0" encoding="utf-8"?>
<sst xmlns="http://schemas.openxmlformats.org/spreadsheetml/2006/main" count="144" uniqueCount="97">
  <si>
    <t>Калькулятор PVT свойств пластовых флюидов</t>
  </si>
  <si>
    <t>основан на Унифлок 7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</si>
  <si>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</si>
  <si>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</si>
  <si>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</si>
  <si>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</si>
  <si>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</si>
  <si>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</si>
  <si>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Набор корреляций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</si>
  <si>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</si>
  <si>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</si>
  <si>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</si>
  <si>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</si>
  <si>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</si>
  <si>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</si>
  <si>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</si>
  <si>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</si>
  <si>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</si>
  <si>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</si>
  <si>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</si>
  <si>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</si>
  <si>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</si>
  <si>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</si>
  <si>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</si>
  <si>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</si>
  <si>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</si>
  <si>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</si>
  <si>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</si>
  <si>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</si>
  <si>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</si>
  <si>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</si>
  <si>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</si>
  <si>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</si>
  <si>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</si>
  <si>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</si>
  <si>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</si>
  <si>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</si>
  <si>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</si>
  <si>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</si>
  <si>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</si>
  <si>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</si>
  <si>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</si>
  <si>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t>Z</t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</si>
  <si>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</si>
  <si>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</si>
  <si>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t>Модификация флюида при сепарации</t>
  </si>
  <si>
    <t>Ksep</t>
  </si>
  <si>
    <t>Psep</t>
  </si>
  <si>
    <t>Tsep</t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</si>
  <si>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</si>
  <si>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</si>
  <si>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</si>
  <si>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</si>
  <si>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</si>
  <si>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</si>
  <si>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</si>
  <si>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t>S</t>
  </si>
  <si>
    <t>Расчетные свойства пластовых флюидов</t>
  </si>
  <si>
    <t>Свойства нефти при давлении насыщения</t>
  </si>
  <si>
    <t>Свойства нефти при заданных условиях</t>
  </si>
  <si>
    <t>Свойства газа при заданных условиях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</si>
  <si>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</si>
  <si>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</si>
  <si>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t>Свойства воды при заданных условиях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</si>
  <si>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</si>
  <si>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</si>
  <si>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</si>
  <si>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</si>
  <si>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</si>
  <si>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</si>
  <si>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</si>
  <si>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</si>
  <si>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</si>
  <si>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</si>
  <si>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</si>
  <si>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</si>
  <si>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</si>
  <si>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</si>
  <si>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</si>
  <si>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</si>
  <si>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</si>
  <si>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</si>
  <si>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</si>
  <si>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</si>
  <si>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</si>
  <si>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</si>
  <si>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Рассогласованность данных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</si>
  <si>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</si>
  <si>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</si>
  <si>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При тек температуре</t>
  </si>
  <si>
    <t>Сумм откл</t>
  </si>
  <si>
    <t>веса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</si>
  <si>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</si>
  <si>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</si>
  <si>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t>Расчет  для диаграммы рассогласованности данных</t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</si>
  <si>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</si>
  <si>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t>вер 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</si>
</sst>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9" fillId="0" borderId="0" xfId="0" applyFont="1"/>
    <xf numFmtId="0" fontId="0" fillId="3" borderId="0" xfId="0" applyFill="1" applyAlignment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0" fillId="3" borderId="0" xfId="0" applyFill="1" applyAlignment="1">
      <alignment wrapText="1"/>
    </xf>
    <xf numFmtId="0" fontId="9" fillId="3" borderId="0" xfId="0" applyFont="1" applyFill="1"/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11" fillId="5" borderId="0" xfId="0" applyFont="1" applyFill="1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165" fontId="0" fillId="4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 applyBorder="1"/>
    <xf numFmtId="1" fontId="9" fillId="3" borderId="0" xfId="0" applyNumberFormat="1" applyFont="1" applyFill="1" applyBorder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9" fillId="0" borderId="1" xfId="0" applyFont="1" applyBorder="1"/>
    <xf numFmtId="2" fontId="0" fillId="7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9" fontId="0" fillId="3" borderId="0" xfId="0" applyNumberFormat="1" applyFill="1"/>
    <xf numFmtId="9" fontId="0" fillId="3" borderId="0" xfId="1" applyFont="1" applyFill="1"/>
    <xf numFmtId="1" fontId="0" fillId="4" borderId="0" xfId="0" applyNumberFormat="1" applyFill="1" applyAlignment="1">
      <alignment horizontal="center" vertical="center" wrapText="1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/>
    </xf>
    <xf numFmtId="10" fontId="0" fillId="3" borderId="0" xfId="1" applyNumberFormat="1" applyFont="1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11.783882676670135</c:v>
                </c:pt>
                <c:pt idx="1">
                  <c:v>53.00529488519976</c:v>
                </c:pt>
                <c:pt idx="2">
                  <c:v>67.956197871611636</c:v>
                </c:pt>
                <c:pt idx="3">
                  <c:v>79.71025254835574</c:v>
                </c:pt>
                <c:pt idx="4">
                  <c:v>90.129161360244737</c:v>
                </c:pt>
                <c:pt idx="5">
                  <c:v>99.856912606023187</c:v>
                </c:pt>
                <c:pt idx="6">
                  <c:v>109.19491289501268</c:v>
                </c:pt>
                <c:pt idx="7">
                  <c:v>118.30803480979614</c:v>
                </c:pt>
                <c:pt idx="8">
                  <c:v>127.29561449598376</c:v>
                </c:pt>
                <c:pt idx="9">
                  <c:v>136.22156634650136</c:v>
                </c:pt>
                <c:pt idx="10">
                  <c:v>145.12900221072812</c:v>
                </c:pt>
                <c:pt idx="11">
                  <c:v>154.04804175656534</c:v>
                </c:pt>
                <c:pt idx="12">
                  <c:v>163.00029622389366</c:v>
                </c:pt>
                <c:pt idx="13">
                  <c:v>172.00159095800424</c:v>
                </c:pt>
                <c:pt idx="14">
                  <c:v>181.0636946904562</c:v>
                </c:pt>
                <c:pt idx="15">
                  <c:v>190.1954593082869</c:v>
                </c:pt>
                <c:pt idx="16">
                  <c:v>199.40359465048948</c:v>
                </c:pt>
                <c:pt idx="17">
                  <c:v>208.69320918063076</c:v>
                </c:pt>
                <c:pt idx="18">
                  <c:v>218.06819585635054</c:v>
                </c:pt>
                <c:pt idx="19">
                  <c:v>227.5315129330375</c:v>
                </c:pt>
                <c:pt idx="20">
                  <c:v>237.08539181580181</c:v>
                </c:pt>
                <c:pt idx="21">
                  <c:v>247.12622584657191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87-4F22-A2B7-DD44466F8A7F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12.575417348230847</c:v>
                </c:pt>
                <c:pt idx="1">
                  <c:v>52.421807325312187</c:v>
                </c:pt>
                <c:pt idx="2">
                  <c:v>67.193373508184621</c:v>
                </c:pt>
                <c:pt idx="3">
                  <c:v>78.810771490898148</c:v>
                </c:pt>
                <c:pt idx="4">
                  <c:v>89.102667866122886</c:v>
                </c:pt>
                <c:pt idx="5">
                  <c:v>98.702465489995063</c:v>
                </c:pt>
                <c:pt idx="6">
                  <c:v>107.90692322630063</c:v>
                </c:pt>
                <c:pt idx="7">
                  <c:v>116.87854875113578</c:v>
                </c:pt>
                <c:pt idx="8">
                  <c:v>125.71537615813143</c:v>
                </c:pt>
                <c:pt idx="9">
                  <c:v>134.48057480490442</c:v>
                </c:pt>
                <c:pt idx="10">
                  <c:v>143.21682774944557</c:v>
                </c:pt>
                <c:pt idx="11">
                  <c:v>151.95401591434424</c:v>
                </c:pt>
                <c:pt idx="12">
                  <c:v>160.71363081647098</c:v>
                </c:pt>
                <c:pt idx="13">
                  <c:v>169.51145488686129</c:v>
                </c:pt>
                <c:pt idx="14">
                  <c:v>178.35926456116042</c:v>
                </c:pt>
                <c:pt idx="15">
                  <c:v>187.26595323144218</c:v>
                </c:pt>
                <c:pt idx="16">
                  <c:v>196.23829493933204</c:v>
                </c:pt>
                <c:pt idx="17">
                  <c:v>205.28147755025256</c:v>
                </c:pt>
                <c:pt idx="18">
                  <c:v>214.39948346550401</c:v>
                </c:pt>
                <c:pt idx="19">
                  <c:v>223.59536682634234</c:v>
                </c:pt>
                <c:pt idx="20">
                  <c:v>232.8714588249542</c:v>
                </c:pt>
                <c:pt idx="21">
                  <c:v>234.06118962452675</c:v>
                </c:pt>
                <c:pt idx="22">
                  <c:v>234.06118962452675</c:v>
                </c:pt>
                <c:pt idx="23">
                  <c:v>234.06118962452675</c:v>
                </c:pt>
                <c:pt idx="24">
                  <c:v>234.06118962452675</c:v>
                </c:pt>
                <c:pt idx="25">
                  <c:v>234.06118962452675</c:v>
                </c:pt>
                <c:pt idx="26">
                  <c:v>234.06118962452675</c:v>
                </c:pt>
                <c:pt idx="27">
                  <c:v>234.06118962452675</c:v>
                </c:pt>
                <c:pt idx="28">
                  <c:v>234.06118962452675</c:v>
                </c:pt>
                <c:pt idx="29">
                  <c:v>234.06118962452675</c:v>
                </c:pt>
                <c:pt idx="30">
                  <c:v>234.06118962452675</c:v>
                </c:pt>
                <c:pt idx="31">
                  <c:v>234.06118962452675</c:v>
                </c:pt>
                <c:pt idx="32">
                  <c:v>234.06118962452675</c:v>
                </c:pt>
                <c:pt idx="33">
                  <c:v>234.06118962452675</c:v>
                </c:pt>
                <c:pt idx="34">
                  <c:v>234.06118962452675</c:v>
                </c:pt>
                <c:pt idx="35">
                  <c:v>234.06118962452675</c:v>
                </c:pt>
                <c:pt idx="36">
                  <c:v>234.06118962452675</c:v>
                </c:pt>
                <c:pt idx="37">
                  <c:v>234.06118962452675</c:v>
                </c:pt>
                <c:pt idx="38">
                  <c:v>234.06118962452675</c:v>
                </c:pt>
                <c:pt idx="39">
                  <c:v>234.06118962452675</c:v>
                </c:pt>
                <c:pt idx="40">
                  <c:v>234.06118962452675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0AE-A8ED-2959D4AB4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48192"/>
        <c:axId val="277248768"/>
      </c:scatterChart>
      <c:valAx>
        <c:axId val="27724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7248768"/>
        <c:crosses val="autoZero"/>
        <c:crossBetween val="midCat"/>
      </c:valAx>
      <c:valAx>
        <c:axId val="2772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7248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PVT!$H$58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785.08037030259493</c:v>
                </c:pt>
                <c:pt idx="1">
                  <c:v>761.15395564545997</c:v>
                </c:pt>
                <c:pt idx="2">
                  <c:v>752.70056094848803</c:v>
                </c:pt>
                <c:pt idx="3">
                  <c:v>746.20807196657972</c:v>
                </c:pt>
                <c:pt idx="4">
                  <c:v>740.57180535374675</c:v>
                </c:pt>
                <c:pt idx="5">
                  <c:v>735.41265977609237</c:v>
                </c:pt>
                <c:pt idx="6">
                  <c:v>730.55686763997141</c:v>
                </c:pt>
                <c:pt idx="7">
                  <c:v>725.91281216524226</c:v>
                </c:pt>
                <c:pt idx="8">
                  <c:v>721.42836732067713</c:v>
                </c:pt>
                <c:pt idx="9">
                  <c:v>717.07270193497754</c:v>
                </c:pt>
                <c:pt idx="10">
                  <c:v>712.82738132523366</c:v>
                </c:pt>
                <c:pt idx="11">
                  <c:v>708.6815663978075</c:v>
                </c:pt>
                <c:pt idx="12">
                  <c:v>704.62922829434797</c:v>
                </c:pt>
                <c:pt idx="13">
                  <c:v>700.66743232434669</c:v>
                </c:pt>
                <c:pt idx="14">
                  <c:v>696.79523238334957</c:v>
                </c:pt>
                <c:pt idx="15">
                  <c:v>693.01293542638291</c:v>
                </c:pt>
                <c:pt idx="16">
                  <c:v>689.32159623977589</c:v>
                </c:pt>
                <c:pt idx="17">
                  <c:v>685.72266642567263</c:v>
                </c:pt>
                <c:pt idx="18">
                  <c:v>682.21774786439084</c:v>
                </c:pt>
                <c:pt idx="19">
                  <c:v>678.80841988826398</c:v>
                </c:pt>
                <c:pt idx="20">
                  <c:v>675.49611965965858</c:v>
                </c:pt>
                <c:pt idx="21">
                  <c:v>672.15329108933531</c:v>
                </c:pt>
                <c:pt idx="22">
                  <c:v>672.97956030360365</c:v>
                </c:pt>
                <c:pt idx="23">
                  <c:v>675.01632130152302</c:v>
                </c:pt>
                <c:pt idx="24">
                  <c:v>676.88401190687762</c:v>
                </c:pt>
                <c:pt idx="25">
                  <c:v>678.6028385300508</c:v>
                </c:pt>
                <c:pt idx="26">
                  <c:v>680.18991191457087</c:v>
                </c:pt>
                <c:pt idx="27">
                  <c:v>681.65981793517142</c:v>
                </c:pt>
                <c:pt idx="28">
                  <c:v>683.02506662418909</c:v>
                </c:pt>
                <c:pt idx="29">
                  <c:v>684.29644868597427</c:v>
                </c:pt>
                <c:pt idx="30">
                  <c:v>685.48332099263155</c:v>
                </c:pt>
                <c:pt idx="31">
                  <c:v>686.59383703210676</c:v>
                </c:pt>
                <c:pt idx="32">
                  <c:v>687.63513430353578</c:v>
                </c:pt>
                <c:pt idx="33">
                  <c:v>688.61348775844772</c:v>
                </c:pt>
                <c:pt idx="34">
                  <c:v>689.53443625366162</c:v>
                </c:pt>
                <c:pt idx="35">
                  <c:v>690.40288739527603</c:v>
                </c:pt>
                <c:pt idx="36">
                  <c:v>691.2232049618575</c:v>
                </c:pt>
                <c:pt idx="37">
                  <c:v>691.99928219239268</c:v>
                </c:pt>
                <c:pt idx="38">
                  <c:v>692.73460353507596</c:v>
                </c:pt>
                <c:pt idx="39">
                  <c:v>693.43229692209331</c:v>
                </c:pt>
                <c:pt idx="40">
                  <c:v>694.09517822375324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05-40FE-BF07-5B54B086A636}"/>
            </c:ext>
          </c:extLst>
        </c:ser>
        <c:ser>
          <c:idx val="1"/>
          <c:order val="1"/>
          <c:tx>
            <c:strRef>
              <c:f>PVT!$I$58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784.43785779299105</c:v>
                </c:pt>
                <c:pt idx="1">
                  <c:v>761.10086726819702</c:v>
                </c:pt>
                <c:pt idx="2">
                  <c:v>752.69270863569079</c:v>
                </c:pt>
                <c:pt idx="3">
                  <c:v>746.23743016369917</c:v>
                </c:pt>
                <c:pt idx="4">
                  <c:v>740.63945403332798</c:v>
                </c:pt>
                <c:pt idx="5">
                  <c:v>735.52215095875579</c:v>
                </c:pt>
                <c:pt idx="6">
                  <c:v>730.71249355280702</c:v>
                </c:pt>
                <c:pt idx="7">
                  <c:v>726.11892891923185</c:v>
                </c:pt>
                <c:pt idx="8">
                  <c:v>721.68907536229426</c:v>
                </c:pt>
                <c:pt idx="9">
                  <c:v>717.39167714035284</c:v>
                </c:pt>
                <c:pt idx="10">
                  <c:v>713.20778266702314</c:v>
                </c:pt>
                <c:pt idx="11">
                  <c:v>709.12599193972198</c:v>
                </c:pt>
                <c:pt idx="12">
                  <c:v>705.13969515041867</c:v>
                </c:pt>
                <c:pt idx="13">
                  <c:v>701.2453797739106</c:v>
                </c:pt>
                <c:pt idx="14">
                  <c:v>697.44153821208613</c:v>
                </c:pt>
                <c:pt idx="15">
                  <c:v>693.72794287338411</c:v>
                </c:pt>
                <c:pt idx="16">
                  <c:v>690.10514873869965</c:v>
                </c:pt>
                <c:pt idx="17">
                  <c:v>686.57414773086032</c:v>
                </c:pt>
                <c:pt idx="18">
                  <c:v>683.13612567104065</c:v>
                </c:pt>
                <c:pt idx="19">
                  <c:v>679.79229133507761</c:v>
                </c:pt>
                <c:pt idx="20">
                  <c:v>676.54375736133329</c:v>
                </c:pt>
                <c:pt idx="21">
                  <c:v>678.22550518185756</c:v>
                </c:pt>
                <c:pt idx="22">
                  <c:v>680.21686025336646</c:v>
                </c:pt>
                <c:pt idx="23">
                  <c:v>682.03509247942623</c:v>
                </c:pt>
                <c:pt idx="24">
                  <c:v>683.70183189375348</c:v>
                </c:pt>
                <c:pt idx="25">
                  <c:v>685.23525017496786</c:v>
                </c:pt>
                <c:pt idx="26">
                  <c:v>686.65072510416132</c:v>
                </c:pt>
                <c:pt idx="27">
                  <c:v>687.96135752917701</c:v>
                </c:pt>
                <c:pt idx="28">
                  <c:v>689.17837766149341</c:v>
                </c:pt>
                <c:pt idx="29">
                  <c:v>690.31146738744224</c:v>
                </c:pt>
                <c:pt idx="30">
                  <c:v>691.36901816973216</c:v>
                </c:pt>
                <c:pt idx="31">
                  <c:v>692.35833906943412</c:v>
                </c:pt>
                <c:pt idx="32">
                  <c:v>693.28582579002591</c:v>
                </c:pt>
                <c:pt idx="33">
                  <c:v>694.15709900492652</c:v>
                </c:pt>
                <c:pt idx="34">
                  <c:v>694.97711828787999</c:v>
                </c:pt>
                <c:pt idx="35">
                  <c:v>695.75027652233871</c:v>
                </c:pt>
                <c:pt idx="36">
                  <c:v>696.48047858325458</c:v>
                </c:pt>
                <c:pt idx="37">
                  <c:v>697.17120726507994</c:v>
                </c:pt>
                <c:pt idx="38">
                  <c:v>697.82557880413253</c:v>
                </c:pt>
                <c:pt idx="39">
                  <c:v>698.44638986210032</c:v>
                </c:pt>
                <c:pt idx="40">
                  <c:v>699.03615746432422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05-40FE-BF07-5B54B086A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64768"/>
        <c:axId val="282465344"/>
      </c:scatterChart>
      <c:valAx>
        <c:axId val="28246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5344"/>
        <c:crosses val="autoZero"/>
        <c:crossBetween val="midCat"/>
      </c:valAx>
      <c:valAx>
        <c:axId val="28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PVT!$F$58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1.0646502422300266</c:v>
                </c:pt>
                <c:pt idx="1">
                  <c:v>1.1708961360932648</c:v>
                </c:pt>
                <c:pt idx="2">
                  <c:v>1.2107394931197484</c:v>
                </c:pt>
                <c:pt idx="3">
                  <c:v>1.2424419567705796</c:v>
                </c:pt>
                <c:pt idx="4">
                  <c:v>1.27080435586884</c:v>
                </c:pt>
                <c:pt idx="5">
                  <c:v>1.2974956256999648</c:v>
                </c:pt>
                <c:pt idx="6">
                  <c:v>1.3232970770848265</c:v>
                </c:pt>
                <c:pt idx="7">
                  <c:v>1.3486338887169129</c:v>
                </c:pt>
                <c:pt idx="8">
                  <c:v>1.3737590623632694</c:v>
                </c:pt>
                <c:pt idx="9">
                  <c:v>1.3988317693022823</c:v>
                </c:pt>
                <c:pt idx="10">
                  <c:v>1.423955558937505</c:v>
                </c:pt>
                <c:pt idx="11">
                  <c:v>1.4491988935110713</c:v>
                </c:pt>
                <c:pt idx="12">
                  <c:v>1.4746070221945951</c:v>
                </c:pt>
                <c:pt idx="13">
                  <c:v>1.5002092712568738</c:v>
                </c:pt>
                <c:pt idx="14">
                  <c:v>1.5260237412167923</c:v>
                </c:pt>
                <c:pt idx="15">
                  <c:v>1.552060455031558</c:v>
                </c:pt>
                <c:pt idx="16">
                  <c:v>1.5783235498173909</c:v>
                </c:pt>
                <c:pt idx="17">
                  <c:v>1.6048128447579264</c:v>
                </c:pt>
                <c:pt idx="18">
                  <c:v>1.6315249930828881</c:v>
                </c:pt>
                <c:pt idx="19">
                  <c:v>1.6584543463244463</c:v>
                </c:pt>
                <c:pt idx="20">
                  <c:v>1.6855936138806822</c:v>
                </c:pt>
                <c:pt idx="21">
                  <c:v>1.714051744448436</c:v>
                </c:pt>
                <c:pt idx="22">
                  <c:v>1.717685897441676</c:v>
                </c:pt>
                <c:pt idx="23">
                  <c:v>1.712503036624563</c:v>
                </c:pt>
                <c:pt idx="24">
                  <c:v>1.7077778166801085</c:v>
                </c:pt>
                <c:pt idx="25">
                  <c:v>1.7034522026226535</c:v>
                </c:pt>
                <c:pt idx="26">
                  <c:v>1.6994775720007811</c:v>
                </c:pt>
                <c:pt idx="27">
                  <c:v>1.6958128814187154</c:v>
                </c:pt>
                <c:pt idx="28">
                  <c:v>1.6924232454795558</c:v>
                </c:pt>
                <c:pt idx="29">
                  <c:v>1.6892788238485759</c:v>
                </c:pt>
                <c:pt idx="30">
                  <c:v>1.6863539412251081</c:v>
                </c:pt>
                <c:pt idx="31">
                  <c:v>1.6836263852830713</c:v>
                </c:pt>
                <c:pt idx="32">
                  <c:v>1.6810768419662121</c:v>
                </c:pt>
                <c:pt idx="33">
                  <c:v>1.6786884377807758</c:v>
                </c:pt>
                <c:pt idx="34">
                  <c:v>1.6764463661605291</c:v>
                </c:pt>
                <c:pt idx="35">
                  <c:v>1.6743375804252314</c:v>
                </c:pt>
                <c:pt idx="36">
                  <c:v>1.6723505398864433</c:v>
                </c:pt>
                <c:pt idx="37">
                  <c:v>1.6704749986700316</c:v>
                </c:pt>
                <c:pt idx="38">
                  <c:v>1.6687018291002242</c:v>
                </c:pt>
                <c:pt idx="39">
                  <c:v>1.6670228732220014</c:v>
                </c:pt>
                <c:pt idx="40">
                  <c:v>1.6654308173674626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3-4B85-8E02-7A6E14E9B81C}"/>
            </c:ext>
          </c:extLst>
        </c:ser>
        <c:ser>
          <c:idx val="1"/>
          <c:order val="1"/>
          <c:tx>
            <c:strRef>
              <c:f>PVT!$G$58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1.066878297366189</c:v>
                </c:pt>
                <c:pt idx="1">
                  <c:v>1.1699475490105975</c:v>
                </c:pt>
                <c:pt idx="2">
                  <c:v>1.2093901646880918</c:v>
                </c:pt>
                <c:pt idx="3">
                  <c:v>1.240773236582839</c:v>
                </c:pt>
                <c:pt idx="4">
                  <c:v>1.2688257385528898</c:v>
                </c:pt>
                <c:pt idx="5">
                  <c:v>1.2951931917431252</c:v>
                </c:pt>
                <c:pt idx="6">
                  <c:v>1.3206464723548472</c:v>
                </c:pt>
                <c:pt idx="7">
                  <c:v>1.3456054323834752</c:v>
                </c:pt>
                <c:pt idx="8">
                  <c:v>1.3703202061929078</c:v>
                </c:pt>
                <c:pt idx="9">
                  <c:v>1.3949484527784421</c:v>
                </c:pt>
                <c:pt idx="10">
                  <c:v>1.4195930315308114</c:v>
                </c:pt>
                <c:pt idx="11">
                  <c:v>1.4443222431675733</c:v>
                </c:pt>
                <c:pt idx="12">
                  <c:v>1.4691815454019199</c:v>
                </c:pt>
                <c:pt idx="13">
                  <c:v>1.4942007307294192</c:v>
                </c:pt>
                <c:pt idx="14">
                  <c:v>1.5193985542965514</c:v>
                </c:pt>
                <c:pt idx="15">
                  <c:v>1.5447858307831384</c:v>
                </c:pt>
                <c:pt idx="16">
                  <c:v>1.5703675873174188</c:v>
                </c:pt>
                <c:pt idx="17">
                  <c:v>1.596144601216537</c:v>
                </c:pt>
                <c:pt idx="18">
                  <c:v>1.6221145276957532</c:v>
                </c:pt>
                <c:pt idx="19">
                  <c:v>1.6482727443353977</c:v>
                </c:pt>
                <c:pt idx="20">
                  <c:v>1.6746129944201049</c:v>
                </c:pt>
                <c:pt idx="21">
                  <c:v>1.6728179672283161</c:v>
                </c:pt>
                <c:pt idx="22">
                  <c:v>1.6679207429203056</c:v>
                </c:pt>
                <c:pt idx="23">
                  <c:v>1.6634742455498164</c:v>
                </c:pt>
                <c:pt idx="24">
                  <c:v>1.6594190010551562</c:v>
                </c:pt>
                <c:pt idx="25">
                  <c:v>1.6557055560276817</c:v>
                </c:pt>
                <c:pt idx="26">
                  <c:v>1.6522924529477601</c:v>
                </c:pt>
                <c:pt idx="27">
                  <c:v>1.6491446772177107</c:v>
                </c:pt>
                <c:pt idx="28">
                  <c:v>1.6462324525479719</c:v>
                </c:pt>
                <c:pt idx="29">
                  <c:v>1.6435302968304011</c:v>
                </c:pt>
                <c:pt idx="30">
                  <c:v>1.6410162750772548</c:v>
                </c:pt>
                <c:pt idx="31">
                  <c:v>1.6386714030564062</c:v>
                </c:pt>
                <c:pt idx="32">
                  <c:v>1.6364791673158063</c:v>
                </c:pt>
                <c:pt idx="33">
                  <c:v>1.6344251359340498</c:v>
                </c:pt>
                <c:pt idx="34">
                  <c:v>1.6324966406027048</c:v>
                </c:pt>
                <c:pt idx="35">
                  <c:v>1.6306825152433631</c:v>
                </c:pt>
                <c:pt idx="36">
                  <c:v>1.6289728797690821</c:v>
                </c:pt>
                <c:pt idx="37">
                  <c:v>1.6273589601489846</c:v>
                </c:pt>
                <c:pt idx="38">
                  <c:v>1.6258329378596204</c:v>
                </c:pt>
                <c:pt idx="39">
                  <c:v>1.6243878232726141</c:v>
                </c:pt>
                <c:pt idx="40">
                  <c:v>1.6230173486535497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3-4B85-8E02-7A6E14E9B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50528"/>
        <c:axId val="314551104"/>
      </c:scatterChart>
      <c:valAx>
        <c:axId val="31455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1104"/>
        <c:crosses val="autoZero"/>
        <c:crossBetween val="midCat"/>
      </c:valAx>
      <c:valAx>
        <c:axId val="31455110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0.89871982629074332</c:v>
                </c:pt>
                <c:pt idx="1">
                  <c:v>0.58045028973618407</c:v>
                </c:pt>
                <c:pt idx="2">
                  <c:v>0.50771839503256067</c:v>
                </c:pt>
                <c:pt idx="3">
                  <c:v>0.46034364064447097</c:v>
                </c:pt>
                <c:pt idx="4">
                  <c:v>0.42417252373405484</c:v>
                </c:pt>
                <c:pt idx="5">
                  <c:v>0.39456193152095637</c:v>
                </c:pt>
                <c:pt idx="6">
                  <c:v>0.36939057174693002</c:v>
                </c:pt>
                <c:pt idx="7">
                  <c:v>0.34750355000678318</c:v>
                </c:pt>
                <c:pt idx="8">
                  <c:v>0.32819691147855046</c:v>
                </c:pt>
                <c:pt idx="9">
                  <c:v>0.31100561056864245</c:v>
                </c:pt>
                <c:pt idx="10">
                  <c:v>0.29560319711721594</c:v>
                </c:pt>
                <c:pt idx="11">
                  <c:v>0.2817494146125788</c:v>
                </c:pt>
                <c:pt idx="12">
                  <c:v>0.26926071724867068</c:v>
                </c:pt>
                <c:pt idx="13">
                  <c:v>0.25799269345426518</c:v>
                </c:pt>
                <c:pt idx="14">
                  <c:v>0.2478290894860265</c:v>
                </c:pt>
                <c:pt idx="15">
                  <c:v>0.23867468941015257</c:v>
                </c:pt>
                <c:pt idx="16">
                  <c:v>0.23045054979502366</c:v>
                </c:pt>
                <c:pt idx="17">
                  <c:v>0.22309072791836707</c:v>
                </c:pt>
                <c:pt idx="18">
                  <c:v>0.21653999012968589</c:v>
                </c:pt>
                <c:pt idx="19">
                  <c:v>0.21075218441238608</c:v>
                </c:pt>
                <c:pt idx="20">
                  <c:v>0.20568907757890814</c:v>
                </c:pt>
                <c:pt idx="21">
                  <c:v>0.20115593198722778</c:v>
                </c:pt>
                <c:pt idx="22">
                  <c:v>0.20149068160529962</c:v>
                </c:pt>
                <c:pt idx="23">
                  <c:v>0.20327012749207629</c:v>
                </c:pt>
                <c:pt idx="24">
                  <c:v>0.20504957337885291</c:v>
                </c:pt>
                <c:pt idx="25">
                  <c:v>0.20682901926562955</c:v>
                </c:pt>
                <c:pt idx="26">
                  <c:v>0.20860846515240616</c:v>
                </c:pt>
                <c:pt idx="27">
                  <c:v>0.21038791103918283</c:v>
                </c:pt>
                <c:pt idx="28">
                  <c:v>0.21216735692595945</c:v>
                </c:pt>
                <c:pt idx="29">
                  <c:v>0.21394680281273606</c:v>
                </c:pt>
                <c:pt idx="30">
                  <c:v>0.21572624869951271</c:v>
                </c:pt>
                <c:pt idx="31">
                  <c:v>0.21750569458628932</c:v>
                </c:pt>
                <c:pt idx="32">
                  <c:v>0.21928514047306596</c:v>
                </c:pt>
                <c:pt idx="33">
                  <c:v>0.22106458635984258</c:v>
                </c:pt>
                <c:pt idx="34">
                  <c:v>0.22284403224661925</c:v>
                </c:pt>
                <c:pt idx="35">
                  <c:v>0.22462347813339584</c:v>
                </c:pt>
                <c:pt idx="36">
                  <c:v>0.22640292402017248</c:v>
                </c:pt>
                <c:pt idx="37">
                  <c:v>0.22818236990694912</c:v>
                </c:pt>
                <c:pt idx="38">
                  <c:v>0.22996181579372574</c:v>
                </c:pt>
                <c:pt idx="39">
                  <c:v>0.23174126168050238</c:v>
                </c:pt>
                <c:pt idx="40">
                  <c:v>0.23352070756727897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2-4B00-BB2A-FF08AF6A6A25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8.3258567103951826</c:v>
                </c:pt>
                <c:pt idx="2">
                  <c:v>15.651713420790365</c:v>
                </c:pt>
                <c:pt idx="3">
                  <c:v>22.977570131185548</c:v>
                </c:pt>
                <c:pt idx="4">
                  <c:v>30.30342684158073</c:v>
                </c:pt>
                <c:pt idx="5">
                  <c:v>37.629283551975917</c:v>
                </c:pt>
                <c:pt idx="6">
                  <c:v>44.955140262371103</c:v>
                </c:pt>
                <c:pt idx="7">
                  <c:v>52.280996972766289</c:v>
                </c:pt>
                <c:pt idx="8">
                  <c:v>59.606853683161475</c:v>
                </c:pt>
                <c:pt idx="9">
                  <c:v>66.932710393556661</c:v>
                </c:pt>
                <c:pt idx="10">
                  <c:v>74.258567103951847</c:v>
                </c:pt>
                <c:pt idx="11">
                  <c:v>81.584423814347033</c:v>
                </c:pt>
                <c:pt idx="12">
                  <c:v>88.91028052474222</c:v>
                </c:pt>
                <c:pt idx="13">
                  <c:v>96.236137235137406</c:v>
                </c:pt>
                <c:pt idx="14">
                  <c:v>103.56199394553259</c:v>
                </c:pt>
                <c:pt idx="15">
                  <c:v>110.88785065592778</c:v>
                </c:pt>
                <c:pt idx="16">
                  <c:v>118.21370736632296</c:v>
                </c:pt>
                <c:pt idx="17">
                  <c:v>125.53956407671815</c:v>
                </c:pt>
                <c:pt idx="18">
                  <c:v>132.86542078711332</c:v>
                </c:pt>
                <c:pt idx="19">
                  <c:v>140.19127749750851</c:v>
                </c:pt>
                <c:pt idx="20">
                  <c:v>147.51713420790367</c:v>
                </c:pt>
                <c:pt idx="21">
                  <c:v>155.1412774975085</c:v>
                </c:pt>
                <c:pt idx="22">
                  <c:v>162.76542078711333</c:v>
                </c:pt>
                <c:pt idx="23">
                  <c:v>170.38956407671816</c:v>
                </c:pt>
                <c:pt idx="24">
                  <c:v>178.01370736632299</c:v>
                </c:pt>
                <c:pt idx="25">
                  <c:v>185.63785065592782</c:v>
                </c:pt>
                <c:pt idx="26">
                  <c:v>193.26199394553265</c:v>
                </c:pt>
                <c:pt idx="27">
                  <c:v>200.88613723513748</c:v>
                </c:pt>
                <c:pt idx="28">
                  <c:v>208.51028052474231</c:v>
                </c:pt>
                <c:pt idx="29">
                  <c:v>216.13442381434714</c:v>
                </c:pt>
                <c:pt idx="30">
                  <c:v>223.75856710395198</c:v>
                </c:pt>
                <c:pt idx="31">
                  <c:v>231.38271039355681</c:v>
                </c:pt>
                <c:pt idx="32">
                  <c:v>239.00685368316164</c:v>
                </c:pt>
                <c:pt idx="33">
                  <c:v>246.63099697276647</c:v>
                </c:pt>
                <c:pt idx="34">
                  <c:v>254.2551402623713</c:v>
                </c:pt>
                <c:pt idx="35">
                  <c:v>261.87928355197613</c:v>
                </c:pt>
                <c:pt idx="36">
                  <c:v>269.50342684158096</c:v>
                </c:pt>
                <c:pt idx="37">
                  <c:v>277.12757013118579</c:v>
                </c:pt>
                <c:pt idx="38">
                  <c:v>284.75171342079062</c:v>
                </c:pt>
                <c:pt idx="39">
                  <c:v>292.37585671039545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0.85913062473695734</c:v>
                </c:pt>
                <c:pt idx="1">
                  <c:v>0.56331408359876656</c:v>
                </c:pt>
                <c:pt idx="2">
                  <c:v>0.4932825854215987</c:v>
                </c:pt>
                <c:pt idx="3">
                  <c:v>0.44757196257936777</c:v>
                </c:pt>
                <c:pt idx="4">
                  <c:v>0.41264359089068758</c:v>
                </c:pt>
                <c:pt idx="5">
                  <c:v>0.38404047678977571</c:v>
                </c:pt>
                <c:pt idx="6">
                  <c:v>0.3597206379531272</c:v>
                </c:pt>
                <c:pt idx="7">
                  <c:v>0.33856957388935555</c:v>
                </c:pt>
                <c:pt idx="8">
                  <c:v>0.3199064511996873</c:v>
                </c:pt>
                <c:pt idx="9">
                  <c:v>0.30328066001659421</c:v>
                </c:pt>
                <c:pt idx="10">
                  <c:v>0.28837540983808585</c:v>
                </c:pt>
                <c:pt idx="11">
                  <c:v>0.27495728256410551</c:v>
                </c:pt>
                <c:pt idx="12">
                  <c:v>0.26284779352622012</c:v>
                </c:pt>
                <c:pt idx="13">
                  <c:v>0.25190639888657501</c:v>
                </c:pt>
                <c:pt idx="14">
                  <c:v>0.24201985571786194</c:v>
                </c:pt>
                <c:pt idx="15">
                  <c:v>0.23309529857384606</c:v>
                </c:pt>
                <c:pt idx="16">
                  <c:v>0.22505558811630699</c:v>
                </c:pt>
                <c:pt idx="17">
                  <c:v>0.21783610230819775</c:v>
                </c:pt>
                <c:pt idx="18">
                  <c:v>0.21138247483889838</c:v>
                </c:pt>
                <c:pt idx="19">
                  <c:v>0.20564897517669378</c:v>
                </c:pt>
                <c:pt idx="20">
                  <c:v>0.20059733653809864</c:v>
                </c:pt>
                <c:pt idx="21">
                  <c:v>0.20179357457945549</c:v>
                </c:pt>
                <c:pt idx="22">
                  <c:v>0.20359251732279507</c:v>
                </c:pt>
                <c:pt idx="23">
                  <c:v>0.2053914600661346</c:v>
                </c:pt>
                <c:pt idx="24">
                  <c:v>0.20719040280947418</c:v>
                </c:pt>
                <c:pt idx="25">
                  <c:v>0.2089893455528137</c:v>
                </c:pt>
                <c:pt idx="26">
                  <c:v>0.21078828829615329</c:v>
                </c:pt>
                <c:pt idx="27">
                  <c:v>0.21258723103949284</c:v>
                </c:pt>
                <c:pt idx="28">
                  <c:v>0.2143861737828324</c:v>
                </c:pt>
                <c:pt idx="29">
                  <c:v>0.21618511652617195</c:v>
                </c:pt>
                <c:pt idx="30">
                  <c:v>0.21798405926951153</c:v>
                </c:pt>
                <c:pt idx="31">
                  <c:v>0.21978300201285106</c:v>
                </c:pt>
                <c:pt idx="32">
                  <c:v>0.22158194475619064</c:v>
                </c:pt>
                <c:pt idx="33">
                  <c:v>0.22338088749953022</c:v>
                </c:pt>
                <c:pt idx="34">
                  <c:v>0.22517983024286975</c:v>
                </c:pt>
                <c:pt idx="35">
                  <c:v>0.22697877298620933</c:v>
                </c:pt>
                <c:pt idx="36">
                  <c:v>0.22877771572954889</c:v>
                </c:pt>
                <c:pt idx="37">
                  <c:v>0.23057665847288844</c:v>
                </c:pt>
                <c:pt idx="38">
                  <c:v>0.23237560121622799</c:v>
                </c:pt>
                <c:pt idx="39">
                  <c:v>0.23417454395956755</c:v>
                </c:pt>
                <c:pt idx="40">
                  <c:v>0.23597348670290705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32-4B00-BB2A-FF08AF6A6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53984"/>
        <c:axId val="314554560"/>
      </c:scatterChart>
      <c:valAx>
        <c:axId val="31455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4560"/>
        <c:crosses val="autoZero"/>
        <c:crossBetween val="midCat"/>
      </c:valAx>
      <c:valAx>
        <c:axId val="3145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filled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1.10,  γo = 0.82</c:v>
                </c:pt>
              </c:strCache>
            </c:strRef>
          </c:tx>
          <c:cat>
            <c:strRef>
              <c:f>PVT!$Z$32:$Z$37</c:f>
              <c:strCache>
                <c:ptCount val="6"/>
                <c:pt idx="0">
                  <c:v>Pb</c:v>
                </c:pt>
                <c:pt idx="1">
                  <c:v>Bob</c:v>
                </c:pt>
                <c:pt idx="2">
                  <c:v>ρob</c:v>
                </c:pt>
                <c:pt idx="3">
                  <c:v>μob</c:v>
                </c:pt>
                <c:pt idx="4">
                  <c:v>γo</c:v>
                </c:pt>
                <c:pt idx="5">
                  <c:v>γg</c:v>
                </c:pt>
              </c:strCache>
            </c:strRef>
          </c:cat>
          <c:val>
            <c:numRef>
              <c:f>PVT!$AA$32:$AA$37</c:f>
              <c:numCache>
                <c:formatCode>0%</c:formatCode>
                <c:ptCount val="6"/>
                <c:pt idx="0">
                  <c:v>6.5153332696715777E-2</c:v>
                </c:pt>
                <c:pt idx="1">
                  <c:v>9.8733593135816089E-2</c:v>
                </c:pt>
                <c:pt idx="2">
                  <c:v>3.619521316486219E-2</c:v>
                </c:pt>
                <c:pt idx="3">
                  <c:v>0.13176489434880467</c:v>
                </c:pt>
                <c:pt idx="4">
                  <c:v>0</c:v>
                </c:pt>
                <c:pt idx="5">
                  <c:v>1.7638744252510146E-2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BA-4C4C-BA19-3E23682E9590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1.12,  γo new  = 0.82</c:v>
                </c:pt>
              </c:strCache>
            </c:strRef>
          </c:tx>
          <c:spPr>
            <a:ln w="25400">
              <a:noFill/>
            </a:ln>
          </c:spPr>
          <c:cat>
            <c:strRef>
              <c:f>PVT!$Z$32:$Z$37</c:f>
              <c:strCache>
                <c:ptCount val="6"/>
                <c:pt idx="0">
                  <c:v>Pb</c:v>
                </c:pt>
                <c:pt idx="1">
                  <c:v>Bob</c:v>
                </c:pt>
                <c:pt idx="2">
                  <c:v>ρob</c:v>
                </c:pt>
                <c:pt idx="3">
                  <c:v>μob</c:v>
                </c:pt>
                <c:pt idx="4">
                  <c:v>γo</c:v>
                </c:pt>
                <c:pt idx="5">
                  <c:v>γg</c:v>
                </c:pt>
              </c:strCache>
            </c:strRef>
          </c:cat>
          <c:val>
            <c:numRef>
              <c:f>PVT!$AB$32:$AB$37</c:f>
              <c:numCache>
                <c:formatCode>0%</c:formatCode>
                <c:ptCount val="6"/>
                <c:pt idx="0">
                  <c:v>5.3862362731611185E-2</c:v>
                </c:pt>
                <c:pt idx="1">
                  <c:v>0.10496236136036281</c:v>
                </c:pt>
                <c:pt idx="2">
                  <c:v>1.5394280781784586E-2</c:v>
                </c:pt>
                <c:pt idx="3">
                  <c:v>0.13150143115075677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BA-4C4C-BA19-3E23682E9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46880"/>
        <c:axId val="314672832"/>
      </c:radarChart>
      <c:catAx>
        <c:axId val="290746880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14672832"/>
        <c:crosses val="autoZero"/>
        <c:auto val="1"/>
        <c:lblAlgn val="ctr"/>
        <c:lblOffset val="100"/>
        <c:noMultiLvlLbl val="0"/>
      </c:catAx>
      <c:valAx>
        <c:axId val="31467283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90746880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2.7136165223218978E-2"/>
          <c:y val="0.32840700785264071"/>
          <c:w val="0.31677695341325834"/>
          <c:h val="0.11954409865109274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61154</xdr:colOff>
      <xdr:row>58</xdr:row>
      <xdr:rowOff>121785</xdr:rowOff>
    </xdr:from>
    <xdr:to>
      <xdr:col>9</xdr:col>
      <xdr:colOff>305498</xdr:colOff>
      <xdr:row>78</xdr:row>
      <xdr:rowOff>29556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369095</xdr:colOff>
      <xdr:row>58</xdr:row>
      <xdr:rowOff>119063</xdr:rowOff>
    </xdr:from>
    <xdr:to>
      <xdr:col>17</xdr:col>
      <xdr:colOff>434846</xdr:colOff>
      <xdr:row>78</xdr:row>
      <xdr:rowOff>26834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</xdr:colOff>
      <xdr:row>78</xdr:row>
      <xdr:rowOff>71438</xdr:rowOff>
    </xdr:from>
    <xdr:to>
      <xdr:col>9</xdr:col>
      <xdr:colOff>291969</xdr:colOff>
      <xdr:row>97</xdr:row>
      <xdr:rowOff>169709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392906</xdr:colOff>
      <xdr:row>78</xdr:row>
      <xdr:rowOff>83344</xdr:rowOff>
    </xdr:from>
    <xdr:to>
      <xdr:col>17</xdr:col>
      <xdr:colOff>458657</xdr:colOff>
      <xdr:row>97</xdr:row>
      <xdr:rowOff>181615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10</xdr:row>
          <xdr:rowOff>66675</xdr:rowOff>
        </xdr:from>
        <xdr:to>
          <xdr:col>21</xdr:col>
          <xdr:colOff>152400</xdr:colOff>
          <xdr:row>13</xdr:row>
          <xdr:rowOff>114300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535781</xdr:colOff>
      <xdr:row>20</xdr:row>
      <xdr:rowOff>154781</xdr:rowOff>
    </xdr:from>
    <xdr:to>
      <xdr:col>27</xdr:col>
      <xdr:colOff>392906</xdr:colOff>
      <xdr:row>27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775281" y="4321969"/>
          <a:ext cx="5929313" cy="158353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14</xdr:row>
          <xdr:rowOff>38100</xdr:rowOff>
        </xdr:from>
        <xdr:to>
          <xdr:col>21</xdr:col>
          <xdr:colOff>161925</xdr:colOff>
          <xdr:row>16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36</xdr:row>
          <xdr:rowOff>190500</xdr:rowOff>
        </xdr:from>
        <xdr:to>
          <xdr:col>21</xdr:col>
          <xdr:colOff>238125</xdr:colOff>
          <xdr:row>40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0.17998</cdr:y>
    </cdr:from>
    <cdr:to>
      <cdr:x>0.20638</cdr:x>
      <cdr:y>0.27043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866" y="710804"/>
          <a:ext cx="1117833" cy="357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</a:rPr>
            <a:pPr/>
            <a:t>Сумм откл = 8.9%</a:t>
          </a:fld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AG101"/>
  <sheetViews>
    <sheetView tabSelected="1" zoomScaleNormal="100" workbookViewId="0">
      <selection activeCell="P3" sqref="P3"/>
    </sheetView>
  </sheetViews>
  <sheetFormatPr defaultRowHeight="15" outlineLevelRow="1" x14ac:dyDescent="0.25"/>
  <cols>
    <col min="1" max="1" width="7.28515625" style="23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23" t="s">
        <v>96</v>
      </c>
      <c r="J1" s="2" t="s">
        <v>29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7" t="s">
        <v>33</v>
      </c>
      <c r="K2" s="10">
        <v>1</v>
      </c>
      <c r="L2" s="6" t="s">
        <v>7</v>
      </c>
    </row>
    <row r="3" spans="1:17" ht="18" customHeight="1" x14ac:dyDescent="0.25">
      <c r="A3" s="53" t="s">
        <v>1</v>
      </c>
      <c r="B3" s="53"/>
      <c r="C3" s="53"/>
      <c r="D3" s="53"/>
      <c r="E3" s="53"/>
      <c r="F3" s="52" t="s">
        <v>8</v>
      </c>
      <c r="G3" s="52"/>
      <c r="H3" s="10">
        <v>1</v>
      </c>
      <c r="J3" s="6" t="s">
        <v>34</v>
      </c>
      <c r="K3" s="10">
        <v>15</v>
      </c>
      <c r="L3" s="6" t="s">
        <v>30</v>
      </c>
    </row>
    <row r="6" spans="1:17" x14ac:dyDescent="0.25">
      <c r="B6" s="3" t="s">
        <v>2</v>
      </c>
      <c r="C6" s="4"/>
      <c r="D6" s="4"/>
      <c r="E6" s="2"/>
      <c r="F6" s="2"/>
      <c r="G6" s="21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4</v>
      </c>
      <c r="C7" s="2"/>
      <c r="D7" s="2"/>
      <c r="F7" s="2" t="s">
        <v>5</v>
      </c>
      <c r="G7" s="2"/>
      <c r="H7" s="2"/>
      <c r="J7" s="2" t="s">
        <v>10</v>
      </c>
      <c r="K7" s="2"/>
      <c r="L7" s="2"/>
      <c r="N7" s="54" t="s">
        <v>45</v>
      </c>
      <c r="O7" s="54"/>
      <c r="P7" s="54"/>
      <c r="Q7" s="54"/>
    </row>
    <row r="8" spans="1:17" ht="18" x14ac:dyDescent="0.25">
      <c r="B8" s="5" t="s">
        <v>12</v>
      </c>
      <c r="C8" s="10">
        <v>80</v>
      </c>
      <c r="D8" s="6" t="s">
        <v>3</v>
      </c>
      <c r="F8" s="7" t="s">
        <v>14</v>
      </c>
      <c r="G8" s="10">
        <v>0.82</v>
      </c>
      <c r="H8" s="6"/>
      <c r="J8" s="8" t="s">
        <v>69</v>
      </c>
      <c r="K8" s="10">
        <v>10</v>
      </c>
      <c r="L8" s="6" t="s">
        <v>70</v>
      </c>
      <c r="N8" s="7" t="s">
        <v>46</v>
      </c>
      <c r="O8" s="10">
        <v>0.1</v>
      </c>
      <c r="P8" s="6"/>
      <c r="Q8" s="2"/>
    </row>
    <row r="9" spans="1:17" ht="18" x14ac:dyDescent="0.25">
      <c r="B9" s="5" t="s">
        <v>13</v>
      </c>
      <c r="C9" s="10">
        <v>55</v>
      </c>
      <c r="D9" s="6" t="s">
        <v>31</v>
      </c>
      <c r="F9" s="6" t="s">
        <v>15</v>
      </c>
      <c r="G9" s="10">
        <v>1.1000000000000001</v>
      </c>
      <c r="H9" s="6"/>
      <c r="J9" s="6" t="s">
        <v>24</v>
      </c>
      <c r="K9" s="10">
        <v>12</v>
      </c>
      <c r="L9" s="6" t="s">
        <v>11</v>
      </c>
      <c r="N9" s="6" t="s">
        <v>47</v>
      </c>
      <c r="O9" s="10">
        <v>20</v>
      </c>
      <c r="P9" s="6" t="s">
        <v>3</v>
      </c>
      <c r="Q9" s="2"/>
    </row>
    <row r="10" spans="1:17" ht="18" x14ac:dyDescent="0.25">
      <c r="F10" s="6" t="s">
        <v>16</v>
      </c>
      <c r="G10" s="10">
        <v>1</v>
      </c>
      <c r="H10" s="6"/>
      <c r="J10" s="8" t="s">
        <v>79</v>
      </c>
      <c r="K10" s="26">
        <f>Ql_scm3day_*(1-wc_perc_/100)*gamma_oil_</f>
        <v>7.2160000000000002</v>
      </c>
      <c r="L10" s="6" t="s">
        <v>80</v>
      </c>
      <c r="N10" s="6" t="s">
        <v>48</v>
      </c>
      <c r="O10" s="10">
        <v>30</v>
      </c>
      <c r="P10" s="6" t="s">
        <v>31</v>
      </c>
      <c r="Q10" s="2"/>
    </row>
    <row r="11" spans="1:17" ht="18" x14ac:dyDescent="0.25">
      <c r="F11" s="8" t="s">
        <v>17</v>
      </c>
      <c r="G11" s="10">
        <v>250</v>
      </c>
      <c r="H11" s="6" t="s">
        <v>19</v>
      </c>
      <c r="J11" s="8" t="s">
        <v>23</v>
      </c>
      <c r="K11" s="10">
        <v>150</v>
      </c>
      <c r="L11" s="6" t="s">
        <v>19</v>
      </c>
    </row>
    <row r="12" spans="1:17" ht="18" x14ac:dyDescent="0.25">
      <c r="F12" s="6" t="s">
        <v>18</v>
      </c>
      <c r="G12" s="10">
        <v>90</v>
      </c>
      <c r="H12" s="6" t="s">
        <v>31</v>
      </c>
      <c r="J12" s="8" t="s">
        <v>23</v>
      </c>
      <c r="K12" s="27">
        <f>Rp_m3m3_/gamma_oil_</f>
        <v>182.92682926829269</v>
      </c>
      <c r="L12" s="6" t="s">
        <v>81</v>
      </c>
    </row>
    <row r="13" spans="1:17" x14ac:dyDescent="0.25">
      <c r="G13"/>
    </row>
    <row r="14" spans="1:17" x14ac:dyDescent="0.25">
      <c r="F14" s="2" t="s">
        <v>6</v>
      </c>
      <c r="G14" s="2"/>
      <c r="H14" s="2"/>
    </row>
    <row r="15" spans="1:17" ht="18" x14ac:dyDescent="0.25">
      <c r="F15" s="6" t="s">
        <v>25</v>
      </c>
      <c r="G15" s="10">
        <v>180</v>
      </c>
      <c r="H15" s="6" t="s">
        <v>3</v>
      </c>
    </row>
    <row r="16" spans="1:17" ht="18" x14ac:dyDescent="0.25">
      <c r="F16" s="8" t="s">
        <v>26</v>
      </c>
      <c r="G16" s="10">
        <v>1.8</v>
      </c>
      <c r="H16" s="6" t="s">
        <v>19</v>
      </c>
    </row>
    <row r="17" spans="2:33" ht="18" x14ac:dyDescent="0.25">
      <c r="F17" s="9" t="s">
        <v>27</v>
      </c>
      <c r="G17" s="10">
        <v>0.2</v>
      </c>
      <c r="H17" s="6" t="s">
        <v>9</v>
      </c>
    </row>
    <row r="20" spans="2:33" x14ac:dyDescent="0.25">
      <c r="B20" s="39" t="s">
        <v>57</v>
      </c>
      <c r="C20" s="34"/>
      <c r="D20" s="34"/>
      <c r="E20" s="34"/>
      <c r="F20" s="34"/>
      <c r="G20" s="40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</row>
    <row r="21" spans="2:33" outlineLevel="1" x14ac:dyDescent="0.25"/>
    <row r="22" spans="2:33" outlineLevel="1" x14ac:dyDescent="0.25">
      <c r="B22" s="12" t="s">
        <v>58</v>
      </c>
      <c r="C22" s="2"/>
      <c r="D22" s="2"/>
      <c r="E22" s="2"/>
      <c r="F22" s="2"/>
      <c r="G22" s="12" t="s">
        <v>89</v>
      </c>
      <c r="H22" s="2"/>
    </row>
    <row r="23" spans="2:33" ht="18" outlineLevel="1" x14ac:dyDescent="0.25">
      <c r="B23" s="6" t="s">
        <v>22</v>
      </c>
      <c r="C23" s="19">
        <f>[1]!PVT_Pb_atma(Tres_C_,gamma_gas_,gamma_oil_,gamma_w_,Rsb_m3m3_,,Pb_atma_,Tres_C_,Bob_m3m3_,mu_cP_,PVT_correlation_,Ksep_,Psep_atma_,Tsep_C_)</f>
        <v>169.80008905021612</v>
      </c>
      <c r="D23" s="6" t="s">
        <v>3</v>
      </c>
      <c r="E23" s="2"/>
      <c r="F23" s="2"/>
      <c r="G23" s="47">
        <f>[1]!PVT_Pb_atma(T_C_,gamma_gas_,gamma_oil_,gamma_w_,Rsb_m3m3_,,Pb_atma_,Tres_C_,Bob_m3m3_,mu_cP_,PVT_correlation_,Ksep_,Psep_atma_,Tsep_C_)</f>
        <v>147.51713420790367</v>
      </c>
      <c r="H23" s="2"/>
    </row>
    <row r="24" spans="2:33" ht="18" outlineLevel="1" x14ac:dyDescent="0.25">
      <c r="B24" s="6" t="s">
        <v>18</v>
      </c>
      <c r="C24" s="17">
        <f>Tres_C_</f>
        <v>90</v>
      </c>
      <c r="D24" s="6" t="s">
        <v>31</v>
      </c>
      <c r="E24" s="2"/>
      <c r="F24" s="2"/>
      <c r="G24" s="48">
        <f>T_C_</f>
        <v>55</v>
      </c>
      <c r="H24" s="2"/>
    </row>
    <row r="25" spans="2:33" ht="18" outlineLevel="1" x14ac:dyDescent="0.25">
      <c r="B25" s="8" t="s">
        <v>17</v>
      </c>
      <c r="C25" s="17">
        <f>Rsb_m3m3_</f>
        <v>250</v>
      </c>
      <c r="D25" s="6" t="s">
        <v>19</v>
      </c>
      <c r="E25" s="2"/>
      <c r="F25" s="2"/>
      <c r="G25" s="21"/>
      <c r="H25" s="2"/>
    </row>
    <row r="26" spans="2:33" ht="18" outlineLevel="1" x14ac:dyDescent="0.25">
      <c r="B26" s="8" t="s">
        <v>21</v>
      </c>
      <c r="C26" s="18">
        <f>[1]!PVT_Bo_m3m3(C23,Tres_C_,gamma_gas_,gamma_oil_,gamma_w_,Rsb_m3m3_,,Pb_atma_,Tres_C_,Bob_m3m3_,mu_cP_,PVT_correlation_,Ksep_,Psep_atma_,Tsep_C_)</f>
        <v>1.7484909054500339</v>
      </c>
      <c r="D26" s="6" t="s">
        <v>19</v>
      </c>
      <c r="E26" s="2"/>
      <c r="F26" s="2"/>
      <c r="G26" s="21"/>
      <c r="H26" s="2"/>
    </row>
    <row r="27" spans="2:33" ht="18" outlineLevel="1" x14ac:dyDescent="0.25">
      <c r="B27" s="9" t="s">
        <v>28</v>
      </c>
      <c r="C27" s="19">
        <f>[1]!PVT_Rhoo_kgm3(C23,Tres_C_,gamma_gas_,gamma_oil_,gamma_w_,Rsb_m3m3_,,Pb_atma_,Tres_C_,Bob_m3m3_,mu_cP_,PVT_correlation_,Ksep_,Psep_atma_,Tsep_C_)</f>
        <v>647.89367622092334</v>
      </c>
      <c r="D27" s="6" t="s">
        <v>32</v>
      </c>
      <c r="E27" s="2"/>
      <c r="F27" s="2"/>
      <c r="G27" s="21"/>
      <c r="H27" s="2"/>
    </row>
    <row r="28" spans="2:33" ht="18" outlineLevel="1" x14ac:dyDescent="0.25">
      <c r="B28" s="9" t="s">
        <v>20</v>
      </c>
      <c r="C28" s="20">
        <f>[1]!PVT_Muo_cP(C23,Tres_C_,gamma_gas_,gamma_oil_,gamma_w_,Rsb_m3m3_,,Pb_atma_,Tres_C_,Bob_m3m3_,mu_cP_,PVT_correlation_,Ksep_,Psep_atma_,Tsep_C_)</f>
        <v>0.20050341585266848</v>
      </c>
      <c r="D28" s="6" t="s">
        <v>9</v>
      </c>
      <c r="E28" s="2"/>
      <c r="F28" s="2"/>
      <c r="G28" s="21"/>
      <c r="H28" s="2"/>
    </row>
    <row r="29" spans="2:33" outlineLevel="1" x14ac:dyDescent="0.25"/>
    <row r="30" spans="2:33" outlineLevel="1" x14ac:dyDescent="0.25"/>
    <row r="31" spans="2:33" outlineLevel="1" x14ac:dyDescent="0.25">
      <c r="B31" s="12" t="s">
        <v>59</v>
      </c>
      <c r="C31" s="2"/>
      <c r="D31" s="2"/>
      <c r="E31" s="2"/>
      <c r="F31" s="2"/>
      <c r="G31" s="22"/>
      <c r="H31" s="12" t="s">
        <v>60</v>
      </c>
      <c r="I31" s="2"/>
      <c r="J31" s="2"/>
      <c r="K31" s="2"/>
      <c r="L31" s="12" t="s">
        <v>63</v>
      </c>
      <c r="M31" s="2"/>
      <c r="N31" s="2"/>
      <c r="Q31" s="35" t="s">
        <v>94</v>
      </c>
      <c r="R31" s="2"/>
      <c r="S31" s="2"/>
      <c r="T31" s="2"/>
      <c r="U31" s="2"/>
      <c r="V31" s="2"/>
      <c r="W31" s="35"/>
      <c r="X31" s="35"/>
      <c r="Z31" s="2" t="s">
        <v>86</v>
      </c>
      <c r="AA31" s="2"/>
      <c r="AB31" s="2"/>
    </row>
    <row r="32" spans="2:33" ht="18" outlineLevel="1" x14ac:dyDescent="0.35">
      <c r="B32" s="6" t="s">
        <v>35</v>
      </c>
      <c r="C32" s="19">
        <f>[1]!PVT_Rhoo_kgm3(Psc_atma_,Tsc_C_,gamma_gas_,gamma_oil_,gamma_w_,Rsb_m3m3_,,Pb_atma_,Tres_C_,Bob_m3m3_,mu_cP_,PVT_correlation_,Ksep_,Psep_atma_,Tsep_C_)</f>
        <v>812.04894583819555</v>
      </c>
      <c r="D32" s="6" t="s">
        <v>32</v>
      </c>
      <c r="E32" s="13">
        <f>[1]!PVT_Rhoo_kgm3(Psc_atma_,Tsc_C_,gamma_gas_,gamma_oil_,gamma_w_,Rsb_m3m3_,,,,,,PVT_correlation_,Ksep_,Psep_atma_,Tsep_C_)</f>
        <v>813.15855800339637</v>
      </c>
      <c r="F32" s="14">
        <f t="shared" ref="F32:F37" si="0">(E32-C32)/E32</f>
        <v>1.3645704817093992E-3</v>
      </c>
      <c r="G32" s="11"/>
      <c r="H32" s="6" t="s">
        <v>49</v>
      </c>
      <c r="I32" s="20">
        <f>[1]!PVT_Rhog_kgm3(Psc_atma_,Tsc_C_,gamma_gas_,gamma_oil_,gamma_w_,Rsb_m3m3_,,Pb_atma_,Tres_C_,Bob_m3m3_,mu_cP_,PVT_correlation_,Ksep_,Psep_atma_,Tsep_C_)</f>
        <v>1.3700489127864903</v>
      </c>
      <c r="J32" s="6" t="s">
        <v>32</v>
      </c>
      <c r="L32" s="6" t="s">
        <v>51</v>
      </c>
      <c r="M32" s="19">
        <f>[1]!PVT_Rhow_kgm3(Psc_atma_,Tsc_C_,gamma_gas_,gamma_oil_,gamma_w_,Rsb_m3m3_,,Pb_atma_,Tres_C_,Bob_m3m3_,mu_cP_,PVT_correlation_,Ksep_,Psep_atma_,Tsep_C_)</f>
        <v>1000.3400421663305</v>
      </c>
      <c r="N32" s="6" t="s">
        <v>32</v>
      </c>
      <c r="Q32" s="33" t="s">
        <v>92</v>
      </c>
      <c r="R32" s="43">
        <v>0.82</v>
      </c>
      <c r="S32" s="35"/>
      <c r="T32" s="35" t="s">
        <v>95</v>
      </c>
      <c r="U32" s="35"/>
      <c r="V32" s="35" t="s">
        <v>88</v>
      </c>
      <c r="W32" s="35"/>
      <c r="X32" s="35" t="s">
        <v>91</v>
      </c>
      <c r="Z32" s="6" t="s">
        <v>22</v>
      </c>
      <c r="AA32" s="45">
        <f>ABS(U33)</f>
        <v>6.5153332696715777E-2</v>
      </c>
      <c r="AB32" s="46">
        <f>ABS(Pb_diff_)</f>
        <v>5.3862362731611185E-2</v>
      </c>
      <c r="AD32" s="35" t="str">
        <f>Q34&amp; " = "&amp;IFERROR(TEXT(gamma_gas_diff_total_*100,"0.0") &amp; "%",TEXT(gamma_gas_diff_total_*100,"0,0") &amp; "%")</f>
        <v>Сумм откл = 8.9%</v>
      </c>
      <c r="AE32" s="35"/>
      <c r="AF32" s="2"/>
      <c r="AG32" s="2"/>
    </row>
    <row r="33" spans="2:33" ht="18" outlineLevel="1" x14ac:dyDescent="0.25">
      <c r="B33" s="6" t="s">
        <v>36</v>
      </c>
      <c r="C33" s="20">
        <f>[1]!PVT_Muo_cP(Psc_atma_,Tsc_C_,gamma_gas_,gamma_oil_,gamma_w_,Rsb_m3m3_,,Pb_atma_,Tres_C_,Bob_m3m3_,mu_cP_,PVT_correlation_,Ksep_,Psep_atma_,Tsep_C_)</f>
        <v>1.2215153268854884</v>
      </c>
      <c r="D33" s="6" t="s">
        <v>9</v>
      </c>
      <c r="E33" s="13">
        <f>[1]!PVT_Muo_cP(Psc_atma_,Tsc_C_,gamma_gas_,gamma_oil_,gamma_w_,Rsb_m3m3_,,,,,,PVT_correlation_,Ksep_,Psep_atma_,Tsep_C_)</f>
        <v>3.9914726177894297</v>
      </c>
      <c r="F33" s="14">
        <f t="shared" si="0"/>
        <v>0.69396875693412829</v>
      </c>
      <c r="G33" s="11"/>
      <c r="H33" s="6" t="s">
        <v>50</v>
      </c>
      <c r="I33" s="19">
        <f>[1]!PVT_Mug_cP(Psc_atma_,Tsc_C_,gamma_gas_,gamma_oil_,gamma_w_,Rsb_m3m3_,,Pb_atma_,Tres_C_,Bob_m3m3_,mu_cP_,PVT_correlation_,Ksep_,Psep_atma_,Tsep_C_)</f>
        <v>8.7237706237800281E-3</v>
      </c>
      <c r="J33" s="6" t="s">
        <v>9</v>
      </c>
      <c r="L33" s="6" t="s">
        <v>52</v>
      </c>
      <c r="M33" s="18">
        <f>[1]!PVT_Muw_cP(Psc_atma_,Tsc_C_,gamma_gas_,gamma_oil_,gamma_w_,Rsb_m3m3_,,Pb_atma_,Tres_C_,Bob_m3m3_,mu_cP_,PVT_correlation_,Ksep_,Psep_atma_,Tsep_C_)</f>
        <v>1.1486320972283568</v>
      </c>
      <c r="N33" s="6" t="s">
        <v>9</v>
      </c>
      <c r="Q33" s="33" t="s">
        <v>87</v>
      </c>
      <c r="R33" s="51">
        <v>1.1194026186777613</v>
      </c>
      <c r="S33" s="6" t="s">
        <v>22</v>
      </c>
      <c r="T33" s="13">
        <f>[1]!PVT_Pb_atma(Tres_C_,gamma_gas_,gamma_oil_,gamma_w_,Rsb_m3m3_,,,Tres_C_,,,PVT_correlation_,Ksep_,Psep_atma_,Tsep_C_)</f>
        <v>181.63415989921836</v>
      </c>
      <c r="U33" s="14">
        <f>(T33-C23)/T33</f>
        <v>6.5153332696715777E-2</v>
      </c>
      <c r="V33" s="36">
        <f>[1]!PVT_Pb_atma(Tres_C_,gamma_gas_new_,gamma_oil_new_,gamma_w_,Rsb_m3m3_,,,Tres_C_,,,PVT_correlation_,Ksep_,Psep_atma_,Tsep_C_)</f>
        <v>179.46658325573966</v>
      </c>
      <c r="W33" s="32">
        <f>(V33-C23)/V33</f>
        <v>5.3862362731611185E-2</v>
      </c>
      <c r="X33" s="35">
        <v>2</v>
      </c>
      <c r="Z33" s="8" t="s">
        <v>21</v>
      </c>
      <c r="AA33" s="45">
        <f>ABS(U34)</f>
        <v>9.8733593135816089E-2</v>
      </c>
      <c r="AB33" s="45">
        <f>ABS(W34)</f>
        <v>0.10496236136036281</v>
      </c>
      <c r="AD33" s="35" t="str">
        <f>F9 &amp;" = "&amp;IFERROR(  TEXT(gamma_gas_,"0.00"),TEXT(gamma_gas_,"0,00")) &amp;",  "&amp; F8 &amp;" = "&amp;  IFERROR(TEXT(gamma_oil_,"0.00"),TEXT(gamma_oil_,"0,00"))</f>
        <v>γg = 1.10,  γo = 0.82</v>
      </c>
      <c r="AE33" s="35"/>
      <c r="AF33" s="2"/>
      <c r="AG33" s="2"/>
    </row>
    <row r="34" spans="2:33" ht="18" outlineLevel="1" x14ac:dyDescent="0.25">
      <c r="B34" s="6" t="s">
        <v>37</v>
      </c>
      <c r="C34" s="20">
        <f>[1]!PVT_Rs_m3m3(P_atma_,T_C_,gamma_gas_,gamma_oil_,gamma_w_,Rsb_m3m3_,,Pb_atma_,Tres_C_,Bob_m3m3_,mu_cP_,PVT_correlation_,Ksep_,Psep_atma_,Tsep_C_)</f>
        <v>150.06308766644707</v>
      </c>
      <c r="D34" s="6" t="s">
        <v>19</v>
      </c>
      <c r="E34" s="13">
        <f>[1]!PVT_Rs_m3m3(P_atma_,T_C_,gamma_gas_,gamma_oil_,gamma_w_,Rsb_m3m3_,,,,,,PVT_correlation_,Ksep_,Psep_atma_,Tsep_C_)</f>
        <v>143.7274170011404</v>
      </c>
      <c r="F34" s="14">
        <f t="shared" si="0"/>
        <v>-4.4081155826076031E-2</v>
      </c>
      <c r="G34" s="11"/>
      <c r="H34" s="6" t="s">
        <v>42</v>
      </c>
      <c r="I34" s="19">
        <f>[1]!PVT_Z(P_atma_,T_C_,gamma_gas_,gamma_oil_,gamma_w_,Rsb_m3m3_,,Pb_atma_,Tres_C_,Bob_m3m3_,mu_cP_,PVT_correlation_,Ksep_,Psep_atma_,Tsep_C_)</f>
        <v>0.66352451294379089</v>
      </c>
      <c r="J34" s="6"/>
      <c r="L34" s="6" t="s">
        <v>56</v>
      </c>
      <c r="M34" s="19"/>
      <c r="N34" s="6"/>
      <c r="Q34" s="44" t="s">
        <v>90</v>
      </c>
      <c r="R34" s="50">
        <f>((X33*W33^2+X34*W34^2+X35*W35^2+X36*W36^2)/SUM(X33:X36))^0.5</f>
        <v>8.8667724816954521E-2</v>
      </c>
      <c r="S34" s="8" t="s">
        <v>21</v>
      </c>
      <c r="T34" s="15">
        <f>[1]!PVT_Bo_m3m3(T33,Tres_C_,gamma_gas_,gamma_oil_,gamma_w_,Rsb_m3m3_,,,,,,PVT_correlation_,Ksep_,Psep_atma_,Tsep_C_)</f>
        <v>1.8304879664319138</v>
      </c>
      <c r="U34" s="14">
        <f>(T34-C26)/(T34-1)</f>
        <v>9.8733593135816089E-2</v>
      </c>
      <c r="V34" s="37">
        <f>[1]!PVT_Bo_m3m3(V33,Tres_C_,gamma_gas_new_,gamma_oil_new_,gamma_w_,Rsb_m3m3_,,,,,,PVT_correlation_,Ksep_,Psep_atma_,Tsep_C_)</f>
        <v>1.8362675189701085</v>
      </c>
      <c r="W34" s="32">
        <f>(V34-C26)/(V34-1)</f>
        <v>0.10496236136036281</v>
      </c>
      <c r="X34" s="35">
        <v>2</v>
      </c>
      <c r="Z34" s="9" t="s">
        <v>28</v>
      </c>
      <c r="AA34" s="45">
        <f>ABS(U35)</f>
        <v>3.619521316486219E-2</v>
      </c>
      <c r="AB34" s="45">
        <f>ABS(W35)</f>
        <v>1.5394280781784586E-2</v>
      </c>
      <c r="AD34" s="35" t="str">
        <f>Q33&amp;" = "&amp;IFERROR(TEXT(gamma_gas_new_,"0.00"),TEXT(gamma_gas_new_,"0,00"))&amp;",  "&amp;Q32&amp;" = "&amp;IFERROR(TEXT(gamma_oil_new_,"0.00"),TEXT(gamma_oil_new_,"0,00"))</f>
        <v>γg new  = 1.12,  γo new  = 0.82</v>
      </c>
      <c r="AE34" s="35"/>
      <c r="AF34" s="2"/>
      <c r="AG34" s="2"/>
    </row>
    <row r="35" spans="2:33" ht="18" outlineLevel="1" x14ac:dyDescent="0.25">
      <c r="B35" s="6" t="s">
        <v>38</v>
      </c>
      <c r="C35" s="18">
        <f>[1]!PVT_Bo_m3m3(P_atma_,T_C_,gamma_gas_,gamma_oil_,gamma_w_,Rsb_m3m3_,,Pb_atma_,Tres_C_,Bob_m3m3_,mu_cP_,PVT_correlation_,Ksep_,Psep_atma_,Tsep_C_)</f>
        <v>1.4389641092024177</v>
      </c>
      <c r="D35" s="6" t="s">
        <v>19</v>
      </c>
      <c r="E35" s="13">
        <f>[1]!PVT_Bo_m3m3(P_atma_,T_C_,gamma_gas_,gamma_oil_,gamma_w_,Rsb_m3m3_,,,,,,PVT_correlation_,Ksep_,Psep_atma_,Tsep_C_)</f>
        <v>1.4676510830229113</v>
      </c>
      <c r="F35" s="14">
        <f t="shared" si="0"/>
        <v>1.9546181072825016E-2</v>
      </c>
      <c r="G35" s="11"/>
      <c r="H35" s="6" t="s">
        <v>44</v>
      </c>
      <c r="I35" s="19">
        <f>[1]!PVT_Bg_m3m3(P_atma_,T_C_,gamma_gas_,gamma_oil_,gamma_w_,Rsb_m3m3_,,Pb_atma_,Tres_C_,Bob_m3m3_,mu_cP_,PVT_correlation_,Ksep_,Psep_atma_,Tsep_C_)</f>
        <v>9.3224260910516332E-3</v>
      </c>
      <c r="J35" s="6" t="s">
        <v>19</v>
      </c>
      <c r="L35" s="6" t="s">
        <v>53</v>
      </c>
      <c r="M35" s="18">
        <f>[1]!PVT_Bw_m3m3(P_atma_,T_C_,gamma_gas_,gamma_oil_,gamma_w_,Rsb_m3m3_,,Pb_atma_,Tres_C_,Bob_m3m3_,mu_cP_,PVT_correlation_,Ksep_,Psep_atma_,Tsep_C_)</f>
        <v>1.0156747342011492</v>
      </c>
      <c r="N35" s="6" t="s">
        <v>19</v>
      </c>
      <c r="S35" s="9" t="s">
        <v>28</v>
      </c>
      <c r="T35" s="13">
        <f>[1]!PVT_Rhoo_kgm3(C23,Tres_C_,gamma_gas_,gamma_oil_,gamma_w_,Rsb_m3m3_,,,,,,PVT_correlation_,Ksep_,Psep_atma_,Tsep_C_)</f>
        <v>625.26217839016522</v>
      </c>
      <c r="U35" s="14">
        <f>(T35-C27)/T35</f>
        <v>-3.619521316486219E-2</v>
      </c>
      <c r="V35" s="36">
        <f>[1]!PVT_Rhoo_kgm3(G23,Tres_C_,gamma_gas_new_,gamma_oil_new_,gamma_w_,Rsb_m3m3_,,,,,,PVT_correlation_,Ksep_,Psep_atma_,Tsep_C_)</f>
        <v>638.07103160172346</v>
      </c>
      <c r="W35" s="32">
        <f>(V35-C27)/V35</f>
        <v>-1.5394280781784586E-2</v>
      </c>
      <c r="X35" s="35">
        <v>2</v>
      </c>
      <c r="Z35" s="9" t="s">
        <v>20</v>
      </c>
      <c r="AA35" s="45">
        <f>ABS(U36)</f>
        <v>0.13176489434880467</v>
      </c>
      <c r="AB35" s="45">
        <f>ABS(W36)</f>
        <v>0.13150143115075677</v>
      </c>
    </row>
    <row r="36" spans="2:33" ht="18" outlineLevel="1" x14ac:dyDescent="0.25">
      <c r="B36" s="6" t="s">
        <v>39</v>
      </c>
      <c r="C36" s="19">
        <f>[1]!PVT_Rhoo_kgm3(P_atma_,T_C_,gamma_gas_,gamma_oil_,gamma_w_,Rsb_m3m3_,,Pb_atma_,Tres_C_,Bob_m3m3_,mu_cP_,PVT_correlation_,Ksep_,Psep_atma_,Tsep_C_)</f>
        <v>710.00053099906154</v>
      </c>
      <c r="D36" s="6" t="s">
        <v>32</v>
      </c>
      <c r="E36" s="13">
        <f>[1]!PVT_Rhoo_kgm3(P_atma_,T_C_,gamma_gas_,gamma_oil_,gamma_w_,Rsb_m3m3_,,,,,,PVT_correlation_,Ksep_,Psep_atma_,Tsep_C_)</f>
        <v>690.32140922660051</v>
      </c>
      <c r="F36" s="14">
        <f t="shared" si="0"/>
        <v>-2.8507187390448278E-2</v>
      </c>
      <c r="G36" s="11"/>
      <c r="H36" s="6" t="s">
        <v>43</v>
      </c>
      <c r="I36" s="19">
        <f>[1]!PVT_Rhog_kgm3(P_atma_,T_C_,gamma_gas_,gamma_oil_,gamma_w_,Rsb_m3m3_,,Pb_atma_,Tres_C_,Bob_m3m3_,mu_cP_,PVT_correlation_,Ksep_,Psep_atma_,Tsep_C_)</f>
        <v>144.15453519014196</v>
      </c>
      <c r="J36" s="6" t="s">
        <v>32</v>
      </c>
      <c r="L36" s="6" t="s">
        <v>54</v>
      </c>
      <c r="M36" s="19">
        <f>[1]!PVT_Rhow_kgm3(P_atma_,T_C_,gamma_gas_,gamma_oil_,gamma_w_,Rsb_m3m3_,,Pb_atma_,Tres_C_,Bob_m3m3_,mu_cP_,PVT_correlation_,Ksep_,Psep_atma_,Tsep_C_)</f>
        <v>984.56717128690048</v>
      </c>
      <c r="N36" s="6" t="s">
        <v>32</v>
      </c>
      <c r="S36" s="9" t="s">
        <v>20</v>
      </c>
      <c r="T36" s="16">
        <f>[1]!PVT_Muo_cP(T33,Tres_C_,gamma_gas_,gamma_oil_,gamma_w_,Rsb_m3m3_,,,,,,PVT_correlation_,Ksep_,Psep_atma_,Tsep_C_)</f>
        <v>0.23093216865757407</v>
      </c>
      <c r="U36" s="14">
        <f>(T36-C28)/T36</f>
        <v>0.13176489434880467</v>
      </c>
      <c r="V36" s="38">
        <f>[1]!PVT_Muo_cP(V33,Tres_C_,gamma_gas_new_,gamma_oil_new_,gamma_w_,Rsb_m3m3_,,,,,,PVT_correlation_,Ksep_,Psep_atma_,Tsep_C_)</f>
        <v>0.2308621142788233</v>
      </c>
      <c r="W36" s="32">
        <f>(V36-C28)/V36</f>
        <v>0.13150143115075677</v>
      </c>
      <c r="X36" s="35">
        <v>2</v>
      </c>
      <c r="Z36" s="6" t="s">
        <v>93</v>
      </c>
      <c r="AA36" s="46">
        <f>ABS((gamma_oil_new_-gamma_oil_)/(gamma_oil_))</f>
        <v>0</v>
      </c>
      <c r="AB36" s="45">
        <f>ABS(J30)</f>
        <v>0</v>
      </c>
    </row>
    <row r="37" spans="2:33" ht="18" outlineLevel="1" x14ac:dyDescent="0.25">
      <c r="B37" s="6" t="s">
        <v>40</v>
      </c>
      <c r="C37" s="20">
        <f>[1]!PVT_Muo_cP(P_atma_,T_C_,gamma_gas_,gamma_oil_,gamma_w_,Rsb_m3m3_,,Pb_atma_,Tres_C_,Bob_m3m3_,mu_cP_,PVT_correlation_,Ksep_,Psep_atma_,Tsep_C_)</f>
        <v>0.27774296272517679</v>
      </c>
      <c r="D37" s="6" t="s">
        <v>9</v>
      </c>
      <c r="E37" s="13">
        <f>[1]!PVT_Muo_cP(P_atma_,T_C_,gamma_gas_,gamma_oil_,gamma_w_,Rsb_m3m3_,,,,,,PVT_correlation_,Ksep_,Psep_atma_,Tsep_C_)</f>
        <v>0.49348850936686045</v>
      </c>
      <c r="F37" s="14">
        <f t="shared" si="0"/>
        <v>0.43718453934921908</v>
      </c>
      <c r="G37" s="11"/>
      <c r="H37" s="6" t="s">
        <v>41</v>
      </c>
      <c r="I37" s="28">
        <f>[1]!PVT_Mug_cP(P_atma_,T_C_,gamma_gas_,gamma_oil_,gamma_w_,Rsb_m3m3_,,Pb_atma_,Tres_C_,Bob_m3m3_,mu_cP_,PVT_correlation_,Ksep_,Psep_atma_,Tsep_C_)</f>
        <v>1.638433178618778E-2</v>
      </c>
      <c r="J37" s="6" t="s">
        <v>9</v>
      </c>
      <c r="L37" s="6" t="s">
        <v>55</v>
      </c>
      <c r="M37" s="18">
        <f>[1]!PVT_Muw_cP(P_atma_,T_C_,gamma_gas_,gamma_oil_,gamma_w_,Rsb_m3m3_,,Pb_atma_,Tres_C_,Bob_m3m3_,mu_cP_,PVT_correlation_,Ksep_,Psep_atma_,Tsep_C_)</f>
        <v>0.49176552907775029</v>
      </c>
      <c r="N37" s="6" t="s">
        <v>9</v>
      </c>
      <c r="Z37" s="6" t="s">
        <v>15</v>
      </c>
      <c r="AA37" s="46">
        <f>ABS(gamma_gas_new_-gamma_gas_)/gamma_gas_</f>
        <v>1.7638744252510146E-2</v>
      </c>
      <c r="AB37" s="45">
        <f>ABS(J29)</f>
        <v>0</v>
      </c>
    </row>
    <row r="38" spans="2:33" ht="18" outlineLevel="1" x14ac:dyDescent="0.25">
      <c r="B38" s="6" t="s">
        <v>61</v>
      </c>
      <c r="C38" s="20"/>
      <c r="D38" s="6"/>
      <c r="E38" s="13"/>
      <c r="F38" s="14"/>
      <c r="G38" s="11"/>
      <c r="H38" s="6" t="s">
        <v>64</v>
      </c>
      <c r="I38" s="19"/>
      <c r="J38" s="6"/>
      <c r="L38" s="6" t="s">
        <v>66</v>
      </c>
      <c r="M38" s="19"/>
      <c r="N38" s="6"/>
    </row>
    <row r="39" spans="2:33" ht="18" outlineLevel="1" x14ac:dyDescent="0.25">
      <c r="B39" s="6" t="s">
        <v>62</v>
      </c>
      <c r="C39" s="20"/>
      <c r="D39" s="6"/>
      <c r="E39" s="13"/>
      <c r="F39" s="14"/>
      <c r="G39" s="11"/>
      <c r="H39" s="6" t="s">
        <v>65</v>
      </c>
      <c r="I39" s="19"/>
      <c r="J39" s="6"/>
      <c r="L39" s="6" t="s">
        <v>67</v>
      </c>
      <c r="M39" s="19"/>
      <c r="N39" s="6"/>
    </row>
    <row r="40" spans="2:33" outlineLevel="1" x14ac:dyDescent="0.25">
      <c r="L40" s="11"/>
    </row>
    <row r="41" spans="2:33" outlineLevel="1" x14ac:dyDescent="0.25">
      <c r="L41" s="11"/>
    </row>
    <row r="42" spans="2:33" outlineLevel="1" x14ac:dyDescent="0.25">
      <c r="B42" s="12" t="s">
        <v>68</v>
      </c>
      <c r="C42" s="2"/>
      <c r="D42" s="2"/>
      <c r="E42" s="22"/>
      <c r="F42" s="11"/>
      <c r="L42" s="11"/>
    </row>
    <row r="43" spans="2:33" ht="18" outlineLevel="1" x14ac:dyDescent="0.25">
      <c r="B43" s="8" t="s">
        <v>82</v>
      </c>
      <c r="C43" s="49" t="e">
        <f ca="1">[1]!PVT_Qmix_m3day(Ql_scm3day_,wc_perc_,P_atma_,T_C_,gamma_gas_,gamma_oil_,gamma_w_,Rsb_m3m3_,Rp_m3m3_,Pb_atma_,Tres_C_,Bob_m3m3_,mu_cP_,PVT_correlation_,Ksep_,Psep_atma_,Tsep_C_)</f>
        <v>#NAME?</v>
      </c>
      <c r="D43" s="6" t="s">
        <v>70</v>
      </c>
      <c r="E43" s="22"/>
      <c r="F43" s="11"/>
      <c r="L43" s="11"/>
    </row>
    <row r="44" spans="2:33" ht="18" outlineLevel="1" x14ac:dyDescent="0.25">
      <c r="B44" s="6" t="s">
        <v>72</v>
      </c>
      <c r="C44" s="49" t="e">
        <f ca="1">[1]!PVT_Rhomix_kgm3(Ql_scm3day_,wc_perc_,P_atma_,T_C_,gamma_gas_,gamma_oil_,gamma_w_,Rsb_m3m3_,Rp_m3m3_,Pb_atma_,Tres_C_,Bob_m3m3_,mu_cP_,PVT_correlation_,Ksep_,Psep_atma_,Tsep_C_)</f>
        <v>#NAME?</v>
      </c>
      <c r="D44" s="6" t="s">
        <v>32</v>
      </c>
      <c r="E44" s="22"/>
      <c r="F44" s="11"/>
    </row>
    <row r="45" spans="2:33" ht="18" outlineLevel="1" x14ac:dyDescent="0.25">
      <c r="B45" s="6" t="s">
        <v>73</v>
      </c>
      <c r="C45" s="49" t="e">
        <f ca="1">[1]!PVT_Mumix_cP(Ql_scm3day_,wc_perc_,P_atma_,T_C_,gamma_gas_,gamma_oil_,gamma_w_,Rsb_m3m3_,Rp_m3m3_,Pb_atma_,Tres_C_,Bob_m3m3_,mu_cP_,PVT_correlation_,Ksep_,Psep_atma_,Tsep_C_)</f>
        <v>#NAME?</v>
      </c>
      <c r="D45" s="6" t="s">
        <v>9</v>
      </c>
      <c r="E45" s="22"/>
      <c r="F45" s="11"/>
    </row>
    <row r="46" spans="2:33" ht="18" outlineLevel="1" x14ac:dyDescent="0.25">
      <c r="B46" s="6" t="s">
        <v>71</v>
      </c>
      <c r="E46" s="11"/>
      <c r="F46" s="11"/>
    </row>
    <row r="47" spans="2:33" ht="18" outlineLevel="1" x14ac:dyDescent="0.25">
      <c r="B47" s="6" t="s">
        <v>74</v>
      </c>
      <c r="E47" s="11"/>
      <c r="F47" s="11"/>
    </row>
    <row r="48" spans="2:33" ht="18" outlineLevel="1" x14ac:dyDescent="0.25">
      <c r="B48" s="6" t="s">
        <v>75</v>
      </c>
      <c r="E48" s="11"/>
      <c r="F48" s="11"/>
    </row>
    <row r="49" spans="1:29" outlineLevel="1" x14ac:dyDescent="0.25">
      <c r="E49" s="11"/>
      <c r="F49" s="11"/>
    </row>
    <row r="50" spans="1:29" outlineLevel="1" x14ac:dyDescent="0.25">
      <c r="E50" s="11"/>
      <c r="F50" s="11"/>
    </row>
    <row r="51" spans="1:29" outlineLevel="1" x14ac:dyDescent="0.25">
      <c r="E51" s="11"/>
      <c r="F51" s="11"/>
    </row>
    <row r="52" spans="1:29" outlineLevel="1" x14ac:dyDescent="0.25"/>
    <row r="53" spans="1:29" outlineLevel="1" x14ac:dyDescent="0.25"/>
    <row r="54" spans="1:29" x14ac:dyDescent="0.25">
      <c r="L54" s="11"/>
    </row>
    <row r="55" spans="1:29" x14ac:dyDescent="0.25">
      <c r="B55" s="41" t="s">
        <v>76</v>
      </c>
      <c r="C55" s="34"/>
      <c r="D55" s="34"/>
      <c r="E55" s="34"/>
      <c r="F55" s="34"/>
      <c r="G55" s="40"/>
      <c r="H55" s="34"/>
      <c r="I55" s="34"/>
      <c r="J55" s="34"/>
      <c r="K55" s="34"/>
      <c r="L55" s="42"/>
      <c r="M55" s="42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</row>
    <row r="56" spans="1:29" outlineLevel="1" x14ac:dyDescent="0.25">
      <c r="B56" t="str">
        <f>"Температура = " &amp;T_C_&amp;" °С"</f>
        <v>Температура = 55 °С</v>
      </c>
      <c r="L56" s="11"/>
      <c r="M56" s="11"/>
    </row>
    <row r="57" spans="1:29" outlineLevel="1" x14ac:dyDescent="0.25">
      <c r="L57" s="11"/>
      <c r="M57" s="11"/>
    </row>
    <row r="58" spans="1:29" ht="18" outlineLevel="1" x14ac:dyDescent="0.25">
      <c r="A58" s="24"/>
      <c r="B58" s="6" t="s">
        <v>77</v>
      </c>
      <c r="C58" s="6" t="s">
        <v>77</v>
      </c>
      <c r="D58" s="6" t="s">
        <v>37</v>
      </c>
      <c r="E58" s="6" t="s">
        <v>78</v>
      </c>
      <c r="F58" s="6" t="s">
        <v>38</v>
      </c>
      <c r="G58" s="6" t="s">
        <v>83</v>
      </c>
      <c r="H58" s="6" t="s">
        <v>39</v>
      </c>
      <c r="I58" s="6" t="s">
        <v>84</v>
      </c>
      <c r="J58" s="6" t="s">
        <v>40</v>
      </c>
      <c r="K58" s="6" t="s">
        <v>85</v>
      </c>
      <c r="L58" s="11"/>
      <c r="M58" s="11"/>
    </row>
    <row r="59" spans="1:29" outlineLevel="1" x14ac:dyDescent="0.25">
      <c r="A59" s="25">
        <v>1</v>
      </c>
      <c r="B59" s="29">
        <v>1</v>
      </c>
      <c r="C59" s="2">
        <v>1</v>
      </c>
      <c r="D59" s="2">
        <v>11.783882676670135</v>
      </c>
      <c r="E59" s="2">
        <v>12.575417348230847</v>
      </c>
      <c r="F59" s="2">
        <v>1.0646502422300266</v>
      </c>
      <c r="G59" s="21">
        <v>1.066878297366189</v>
      </c>
      <c r="H59" s="2">
        <v>785.08037030259493</v>
      </c>
      <c r="I59" s="2">
        <v>784.43785779299105</v>
      </c>
      <c r="J59" s="2">
        <v>0.89871982629074332</v>
      </c>
      <c r="K59" s="2">
        <v>0.85913062473695734</v>
      </c>
      <c r="L59" s="11"/>
      <c r="M59" s="11"/>
    </row>
    <row r="60" spans="1:29" outlineLevel="1" x14ac:dyDescent="0.25">
      <c r="A60" s="25">
        <v>2</v>
      </c>
      <c r="B60" s="30">
        <f>($B$79-$B$59)/($A$79-$A$59)+B59</f>
        <v>8.3258567103951826</v>
      </c>
      <c r="C60" s="2">
        <v>8.3258567103951826</v>
      </c>
      <c r="D60" s="2">
        <v>53.00529488519976</v>
      </c>
      <c r="E60" s="2">
        <v>52.421807325312187</v>
      </c>
      <c r="F60" s="2">
        <v>1.1708961360932648</v>
      </c>
      <c r="G60" s="21">
        <v>1.1699475490105975</v>
      </c>
      <c r="H60" s="2">
        <v>761.15395564545997</v>
      </c>
      <c r="I60" s="2">
        <v>761.10086726819702</v>
      </c>
      <c r="J60" s="2">
        <v>0.58045028973618407</v>
      </c>
      <c r="K60" s="2">
        <v>0.56331408359876656</v>
      </c>
      <c r="L60" s="11"/>
      <c r="M60" s="11"/>
    </row>
    <row r="61" spans="1:29" outlineLevel="1" x14ac:dyDescent="0.25">
      <c r="A61" s="25">
        <v>3</v>
      </c>
      <c r="B61" s="30">
        <f t="shared" ref="B61:B78" si="1">($B$79-$B$59)/($A$79-$A$59)+B60</f>
        <v>15.651713420790365</v>
      </c>
      <c r="C61" s="2">
        <v>15.651713420790365</v>
      </c>
      <c r="D61" s="2">
        <v>67.956197871611636</v>
      </c>
      <c r="E61" s="2">
        <v>67.193373508184621</v>
      </c>
      <c r="F61" s="2">
        <v>1.2107394931197484</v>
      </c>
      <c r="G61" s="21">
        <v>1.2093901646880918</v>
      </c>
      <c r="H61" s="2">
        <v>752.70056094848803</v>
      </c>
      <c r="I61" s="2">
        <v>752.69270863569079</v>
      </c>
      <c r="J61" s="2">
        <v>0.50771839503256067</v>
      </c>
      <c r="K61" s="2">
        <v>0.4932825854215987</v>
      </c>
      <c r="L61" s="11"/>
      <c r="M61" s="11"/>
    </row>
    <row r="62" spans="1:29" outlineLevel="1" x14ac:dyDescent="0.25">
      <c r="A62" s="25">
        <v>4</v>
      </c>
      <c r="B62" s="30">
        <f t="shared" si="1"/>
        <v>22.977570131185548</v>
      </c>
      <c r="C62" s="2">
        <v>22.977570131185548</v>
      </c>
      <c r="D62" s="2">
        <v>79.71025254835574</v>
      </c>
      <c r="E62" s="2">
        <v>78.810771490898148</v>
      </c>
      <c r="F62" s="2">
        <v>1.2424419567705796</v>
      </c>
      <c r="G62" s="21">
        <v>1.240773236582839</v>
      </c>
      <c r="H62" s="2">
        <v>746.20807196657972</v>
      </c>
      <c r="I62" s="2">
        <v>746.23743016369917</v>
      </c>
      <c r="J62" s="2">
        <v>0.46034364064447097</v>
      </c>
      <c r="K62" s="2">
        <v>0.44757196257936777</v>
      </c>
      <c r="L62" s="11"/>
      <c r="M62" s="11"/>
    </row>
    <row r="63" spans="1:29" outlineLevel="1" x14ac:dyDescent="0.25">
      <c r="A63" s="25">
        <v>5</v>
      </c>
      <c r="B63" s="30">
        <f t="shared" si="1"/>
        <v>30.30342684158073</v>
      </c>
      <c r="C63" s="2">
        <v>30.30342684158073</v>
      </c>
      <c r="D63" s="2">
        <v>90.129161360244737</v>
      </c>
      <c r="E63" s="2">
        <v>89.102667866122886</v>
      </c>
      <c r="F63" s="2">
        <v>1.27080435586884</v>
      </c>
      <c r="G63" s="21">
        <v>1.2688257385528898</v>
      </c>
      <c r="H63" s="2">
        <v>740.57180535374675</v>
      </c>
      <c r="I63" s="2">
        <v>740.63945403332798</v>
      </c>
      <c r="J63" s="2">
        <v>0.42417252373405484</v>
      </c>
      <c r="K63" s="22">
        <v>0.41264359089068758</v>
      </c>
      <c r="L63" s="11"/>
      <c r="M63" s="11"/>
    </row>
    <row r="64" spans="1:29" outlineLevel="1" x14ac:dyDescent="0.25">
      <c r="A64" s="25">
        <v>6</v>
      </c>
      <c r="B64" s="30">
        <f t="shared" si="1"/>
        <v>37.629283551975917</v>
      </c>
      <c r="C64" s="2">
        <v>37.629283551975917</v>
      </c>
      <c r="D64" s="2">
        <v>99.856912606023187</v>
      </c>
      <c r="E64" s="2">
        <v>98.702465489995063</v>
      </c>
      <c r="F64" s="2">
        <v>1.2974956256999648</v>
      </c>
      <c r="G64" s="21">
        <v>1.2951931917431252</v>
      </c>
      <c r="H64" s="2">
        <v>735.41265977609237</v>
      </c>
      <c r="I64" s="2">
        <v>735.52215095875579</v>
      </c>
      <c r="J64" s="2">
        <v>0.39456193152095637</v>
      </c>
      <c r="K64" s="2">
        <v>0.38404047678977571</v>
      </c>
    </row>
    <row r="65" spans="1:11" outlineLevel="1" x14ac:dyDescent="0.25">
      <c r="A65" s="25">
        <v>7</v>
      </c>
      <c r="B65" s="30">
        <f t="shared" si="1"/>
        <v>44.955140262371103</v>
      </c>
      <c r="C65" s="2">
        <v>44.955140262371103</v>
      </c>
      <c r="D65" s="2">
        <v>109.19491289501268</v>
      </c>
      <c r="E65" s="2">
        <v>107.90692322630063</v>
      </c>
      <c r="F65" s="2">
        <v>1.3232970770848265</v>
      </c>
      <c r="G65" s="21">
        <v>1.3206464723548472</v>
      </c>
      <c r="H65" s="2">
        <v>730.55686763997141</v>
      </c>
      <c r="I65" s="2">
        <v>730.71249355280702</v>
      </c>
      <c r="J65" s="2">
        <v>0.36939057174693002</v>
      </c>
      <c r="K65" s="2">
        <v>0.3597206379531272</v>
      </c>
    </row>
    <row r="66" spans="1:11" outlineLevel="1" x14ac:dyDescent="0.25">
      <c r="A66" s="25">
        <v>8</v>
      </c>
      <c r="B66" s="30">
        <f t="shared" si="1"/>
        <v>52.280996972766289</v>
      </c>
      <c r="C66" s="2">
        <v>52.280996972766289</v>
      </c>
      <c r="D66" s="2">
        <v>118.30803480979614</v>
      </c>
      <c r="E66" s="2">
        <v>116.87854875113578</v>
      </c>
      <c r="F66" s="2">
        <v>1.3486338887169129</v>
      </c>
      <c r="G66" s="21">
        <v>1.3456054323834752</v>
      </c>
      <c r="H66" s="2">
        <v>725.91281216524226</v>
      </c>
      <c r="I66" s="2">
        <v>726.11892891923185</v>
      </c>
      <c r="J66" s="2">
        <v>0.34750355000678318</v>
      </c>
      <c r="K66" s="2">
        <v>0.33856957388935555</v>
      </c>
    </row>
    <row r="67" spans="1:11" outlineLevel="1" x14ac:dyDescent="0.25">
      <c r="A67" s="25">
        <v>9</v>
      </c>
      <c r="B67" s="30">
        <f t="shared" si="1"/>
        <v>59.606853683161475</v>
      </c>
      <c r="C67" s="2">
        <v>59.606853683161475</v>
      </c>
      <c r="D67" s="2">
        <v>127.29561449598376</v>
      </c>
      <c r="E67" s="2">
        <v>125.71537615813143</v>
      </c>
      <c r="F67" s="2">
        <v>1.3737590623632694</v>
      </c>
      <c r="G67" s="21">
        <v>1.3703202061929078</v>
      </c>
      <c r="H67" s="2">
        <v>721.42836732067713</v>
      </c>
      <c r="I67" s="2">
        <v>721.68907536229426</v>
      </c>
      <c r="J67" s="2">
        <v>0.32819691147855046</v>
      </c>
      <c r="K67" s="2">
        <v>0.3199064511996873</v>
      </c>
    </row>
    <row r="68" spans="1:11" outlineLevel="1" x14ac:dyDescent="0.25">
      <c r="A68" s="25">
        <v>10</v>
      </c>
      <c r="B68" s="30">
        <f t="shared" si="1"/>
        <v>66.932710393556661</v>
      </c>
      <c r="C68" s="2">
        <v>66.932710393556661</v>
      </c>
      <c r="D68" s="2">
        <v>136.22156634650136</v>
      </c>
      <c r="E68" s="2">
        <v>134.48057480490442</v>
      </c>
      <c r="F68" s="2">
        <v>1.3988317693022823</v>
      </c>
      <c r="G68" s="21">
        <v>1.3949484527784421</v>
      </c>
      <c r="H68" s="2">
        <v>717.07270193497754</v>
      </c>
      <c r="I68" s="2">
        <v>717.39167714035284</v>
      </c>
      <c r="J68" s="2">
        <v>0.31100561056864245</v>
      </c>
      <c r="K68" s="2">
        <v>0.30328066001659421</v>
      </c>
    </row>
    <row r="69" spans="1:11" outlineLevel="1" x14ac:dyDescent="0.25">
      <c r="A69" s="25">
        <v>11</v>
      </c>
      <c r="B69" s="30">
        <f t="shared" si="1"/>
        <v>74.258567103951847</v>
      </c>
      <c r="C69" s="2">
        <v>74.258567103951847</v>
      </c>
      <c r="D69" s="2">
        <v>145.12900221072812</v>
      </c>
      <c r="E69" s="2">
        <v>143.21682774944557</v>
      </c>
      <c r="F69" s="2">
        <v>1.423955558937505</v>
      </c>
      <c r="G69" s="21">
        <v>1.4195930315308114</v>
      </c>
      <c r="H69" s="2">
        <v>712.82738132523366</v>
      </c>
      <c r="I69" s="2">
        <v>713.20778266702314</v>
      </c>
      <c r="J69" s="2">
        <v>0.29560319711721594</v>
      </c>
      <c r="K69" s="2">
        <v>0.28837540983808585</v>
      </c>
    </row>
    <row r="70" spans="1:11" outlineLevel="1" x14ac:dyDescent="0.25">
      <c r="A70" s="25">
        <v>12</v>
      </c>
      <c r="B70" s="30">
        <f t="shared" si="1"/>
        <v>81.584423814347033</v>
      </c>
      <c r="C70" s="2">
        <v>81.584423814347033</v>
      </c>
      <c r="D70" s="2">
        <v>154.04804175656534</v>
      </c>
      <c r="E70" s="2">
        <v>151.95401591434424</v>
      </c>
      <c r="F70" s="2">
        <v>1.4491988935110713</v>
      </c>
      <c r="G70" s="21">
        <v>1.4443222431675733</v>
      </c>
      <c r="H70" s="2">
        <v>708.6815663978075</v>
      </c>
      <c r="I70" s="2">
        <v>709.12599193972198</v>
      </c>
      <c r="J70" s="2">
        <v>0.2817494146125788</v>
      </c>
      <c r="K70" s="2">
        <v>0.27495728256410551</v>
      </c>
    </row>
    <row r="71" spans="1:11" outlineLevel="1" x14ac:dyDescent="0.25">
      <c r="A71" s="25">
        <v>13</v>
      </c>
      <c r="B71" s="30">
        <f t="shared" si="1"/>
        <v>88.91028052474222</v>
      </c>
      <c r="C71" s="2">
        <v>88.91028052474222</v>
      </c>
      <c r="D71" s="2">
        <v>163.00029622389366</v>
      </c>
      <c r="E71" s="2">
        <v>160.71363081647098</v>
      </c>
      <c r="F71" s="2">
        <v>1.4746070221945951</v>
      </c>
      <c r="G71" s="21">
        <v>1.4691815454019199</v>
      </c>
      <c r="H71" s="2">
        <v>704.62922829434797</v>
      </c>
      <c r="I71" s="2">
        <v>705.13969515041867</v>
      </c>
      <c r="J71" s="2">
        <v>0.26926071724867068</v>
      </c>
      <c r="K71" s="2">
        <v>0.26284779352622012</v>
      </c>
    </row>
    <row r="72" spans="1:11" outlineLevel="1" x14ac:dyDescent="0.25">
      <c r="A72" s="25">
        <v>14</v>
      </c>
      <c r="B72" s="30">
        <f t="shared" si="1"/>
        <v>96.236137235137406</v>
      </c>
      <c r="C72" s="2">
        <v>96.236137235137406</v>
      </c>
      <c r="D72" s="2">
        <v>172.00159095800424</v>
      </c>
      <c r="E72" s="2">
        <v>169.51145488686129</v>
      </c>
      <c r="F72" s="2">
        <v>1.5002092712568738</v>
      </c>
      <c r="G72" s="21">
        <v>1.4942007307294192</v>
      </c>
      <c r="H72" s="2">
        <v>700.66743232434669</v>
      </c>
      <c r="I72" s="2">
        <v>701.2453797739106</v>
      </c>
      <c r="J72" s="2">
        <v>0.25799269345426518</v>
      </c>
      <c r="K72" s="2">
        <v>0.25190639888657501</v>
      </c>
    </row>
    <row r="73" spans="1:11" outlineLevel="1" x14ac:dyDescent="0.25">
      <c r="A73" s="25">
        <v>15</v>
      </c>
      <c r="B73" s="30">
        <f t="shared" si="1"/>
        <v>103.56199394553259</v>
      </c>
      <c r="C73" s="2">
        <v>103.56199394553259</v>
      </c>
      <c r="D73" s="2">
        <v>181.0636946904562</v>
      </c>
      <c r="E73" s="2">
        <v>178.35926456116042</v>
      </c>
      <c r="F73" s="2">
        <v>1.5260237412167923</v>
      </c>
      <c r="G73" s="21">
        <v>1.5193985542965514</v>
      </c>
      <c r="H73" s="2">
        <v>696.79523238334957</v>
      </c>
      <c r="I73" s="2">
        <v>697.44153821208613</v>
      </c>
      <c r="J73" s="2">
        <v>0.2478290894860265</v>
      </c>
      <c r="K73" s="2">
        <v>0.24201985571786194</v>
      </c>
    </row>
    <row r="74" spans="1:11" outlineLevel="1" x14ac:dyDescent="0.25">
      <c r="A74" s="25">
        <v>16</v>
      </c>
      <c r="B74" s="30">
        <f t="shared" si="1"/>
        <v>110.88785065592778</v>
      </c>
      <c r="C74" s="2">
        <v>110.88785065592778</v>
      </c>
      <c r="D74" s="2">
        <v>190.1954593082869</v>
      </c>
      <c r="E74" s="2">
        <v>187.26595323144218</v>
      </c>
      <c r="F74" s="2">
        <v>1.552060455031558</v>
      </c>
      <c r="G74" s="21">
        <v>1.5447858307831384</v>
      </c>
      <c r="H74" s="2">
        <v>693.01293542638291</v>
      </c>
      <c r="I74" s="2">
        <v>693.72794287338411</v>
      </c>
      <c r="J74" s="2">
        <v>0.23867468941015257</v>
      </c>
      <c r="K74" s="2">
        <v>0.23309529857384606</v>
      </c>
    </row>
    <row r="75" spans="1:11" outlineLevel="1" x14ac:dyDescent="0.25">
      <c r="A75" s="25">
        <v>17</v>
      </c>
      <c r="B75" s="30">
        <f t="shared" si="1"/>
        <v>118.21370736632296</v>
      </c>
      <c r="C75" s="2">
        <v>118.21370736632296</v>
      </c>
      <c r="D75" s="2">
        <v>199.40359465048948</v>
      </c>
      <c r="E75" s="2">
        <v>196.23829493933204</v>
      </c>
      <c r="F75" s="2">
        <v>1.5783235498173909</v>
      </c>
      <c r="G75" s="21">
        <v>1.5703675873174188</v>
      </c>
      <c r="H75" s="2">
        <v>689.32159623977589</v>
      </c>
      <c r="I75" s="2">
        <v>690.10514873869965</v>
      </c>
      <c r="J75" s="2">
        <v>0.23045054979502366</v>
      </c>
      <c r="K75" s="2">
        <v>0.22505558811630699</v>
      </c>
    </row>
    <row r="76" spans="1:11" outlineLevel="1" x14ac:dyDescent="0.25">
      <c r="A76" s="25">
        <v>18</v>
      </c>
      <c r="B76" s="30">
        <f t="shared" si="1"/>
        <v>125.53956407671815</v>
      </c>
      <c r="C76" s="2">
        <v>125.53956407671815</v>
      </c>
      <c r="D76" s="2">
        <v>208.69320918063076</v>
      </c>
      <c r="E76" s="2">
        <v>205.28147755025256</v>
      </c>
      <c r="F76" s="2">
        <v>1.6048128447579264</v>
      </c>
      <c r="G76" s="21">
        <v>1.596144601216537</v>
      </c>
      <c r="H76" s="2">
        <v>685.72266642567263</v>
      </c>
      <c r="I76" s="2">
        <v>686.57414773086032</v>
      </c>
      <c r="J76" s="2">
        <v>0.22309072791836707</v>
      </c>
      <c r="K76" s="2">
        <v>0.21783610230819775</v>
      </c>
    </row>
    <row r="77" spans="1:11" outlineLevel="1" x14ac:dyDescent="0.25">
      <c r="A77" s="25">
        <v>19</v>
      </c>
      <c r="B77" s="30">
        <f t="shared" si="1"/>
        <v>132.86542078711332</v>
      </c>
      <c r="C77" s="2">
        <v>132.86542078711332</v>
      </c>
      <c r="D77" s="2">
        <v>218.06819585635054</v>
      </c>
      <c r="E77" s="2">
        <v>214.39948346550401</v>
      </c>
      <c r="F77" s="2">
        <v>1.6315249930828881</v>
      </c>
      <c r="G77" s="21">
        <v>1.6221145276957532</v>
      </c>
      <c r="H77" s="2">
        <v>682.21774786439084</v>
      </c>
      <c r="I77" s="2">
        <v>683.13612567104065</v>
      </c>
      <c r="J77" s="2">
        <v>0.21653999012968589</v>
      </c>
      <c r="K77" s="2">
        <v>0.21138247483889838</v>
      </c>
    </row>
    <row r="78" spans="1:11" outlineLevel="1" x14ac:dyDescent="0.25">
      <c r="A78" s="25">
        <v>20</v>
      </c>
      <c r="B78" s="30">
        <f t="shared" si="1"/>
        <v>140.19127749750851</v>
      </c>
      <c r="C78" s="2">
        <v>140.19127749750851</v>
      </c>
      <c r="D78" s="2">
        <v>227.5315129330375</v>
      </c>
      <c r="E78" s="2">
        <v>223.59536682634234</v>
      </c>
      <c r="F78" s="2">
        <v>1.6584543463244463</v>
      </c>
      <c r="G78" s="21">
        <v>1.6482727443353977</v>
      </c>
      <c r="H78" s="2">
        <v>678.80841988826398</v>
      </c>
      <c r="I78" s="2">
        <v>679.79229133507761</v>
      </c>
      <c r="J78" s="2">
        <v>0.21075218441238608</v>
      </c>
      <c r="K78" s="2">
        <v>0.20564897517669378</v>
      </c>
    </row>
    <row r="79" spans="1:11" outlineLevel="1" x14ac:dyDescent="0.25">
      <c r="A79" s="25">
        <v>21</v>
      </c>
      <c r="B79" s="31">
        <f>G23</f>
        <v>147.51713420790367</v>
      </c>
      <c r="C79" s="2">
        <v>147.51713420790367</v>
      </c>
      <c r="D79" s="2">
        <v>237.08539181580181</v>
      </c>
      <c r="E79" s="2">
        <v>232.8714588249542</v>
      </c>
      <c r="F79" s="2">
        <v>1.6855936138806822</v>
      </c>
      <c r="G79" s="21">
        <v>1.6746129944201049</v>
      </c>
      <c r="H79" s="2">
        <v>675.49611965965858</v>
      </c>
      <c r="I79" s="2">
        <v>676.54375736133329</v>
      </c>
      <c r="J79" s="2">
        <v>0.20568907757890814</v>
      </c>
      <c r="K79" s="2">
        <v>0.20059733653809864</v>
      </c>
    </row>
    <row r="80" spans="1:11" outlineLevel="1" x14ac:dyDescent="0.25">
      <c r="A80" s="25">
        <v>22</v>
      </c>
      <c r="B80" s="30">
        <f t="shared" ref="B80:B98" si="2">($B$99-$B$79)/($A$99-$A$79)+B79</f>
        <v>155.1412774975085</v>
      </c>
      <c r="C80" s="2">
        <v>155.1412774975085</v>
      </c>
      <c r="D80" s="2">
        <v>247.12622584657191</v>
      </c>
      <c r="E80" s="2">
        <v>234.06118962452675</v>
      </c>
      <c r="F80" s="2">
        <v>1.714051744448436</v>
      </c>
      <c r="G80" s="21">
        <v>1.6728179672283161</v>
      </c>
      <c r="H80" s="2">
        <v>672.15329108933531</v>
      </c>
      <c r="I80" s="2">
        <v>678.22550518185756</v>
      </c>
      <c r="J80" s="2">
        <v>0.20115593198722778</v>
      </c>
      <c r="K80" s="2">
        <v>0.20179357457945549</v>
      </c>
    </row>
    <row r="81" spans="1:11" outlineLevel="1" x14ac:dyDescent="0.25">
      <c r="A81" s="25">
        <v>23</v>
      </c>
      <c r="B81" s="30">
        <f t="shared" si="2"/>
        <v>162.76542078711333</v>
      </c>
      <c r="C81" s="2">
        <v>162.76542078711333</v>
      </c>
      <c r="D81" s="2">
        <v>250</v>
      </c>
      <c r="E81" s="2">
        <v>234.06118962452675</v>
      </c>
      <c r="F81" s="2">
        <v>1.717685897441676</v>
      </c>
      <c r="G81" s="21">
        <v>1.6679207429203056</v>
      </c>
      <c r="H81" s="2">
        <v>672.97956030360365</v>
      </c>
      <c r="I81" s="2">
        <v>680.21686025336646</v>
      </c>
      <c r="J81" s="2">
        <v>0.20149068160529962</v>
      </c>
      <c r="K81" s="2">
        <v>0.20359251732279507</v>
      </c>
    </row>
    <row r="82" spans="1:11" outlineLevel="1" x14ac:dyDescent="0.25">
      <c r="A82" s="25">
        <v>24</v>
      </c>
      <c r="B82" s="30">
        <f t="shared" si="2"/>
        <v>170.38956407671816</v>
      </c>
      <c r="C82" s="2">
        <v>170.38956407671816</v>
      </c>
      <c r="D82" s="2">
        <v>250</v>
      </c>
      <c r="E82" s="2">
        <v>234.06118962452675</v>
      </c>
      <c r="F82" s="2">
        <v>1.712503036624563</v>
      </c>
      <c r="G82" s="21">
        <v>1.6634742455498164</v>
      </c>
      <c r="H82" s="2">
        <v>675.01632130152302</v>
      </c>
      <c r="I82" s="2">
        <v>682.03509247942623</v>
      </c>
      <c r="J82" s="2">
        <v>0.20327012749207629</v>
      </c>
      <c r="K82" s="2">
        <v>0.2053914600661346</v>
      </c>
    </row>
    <row r="83" spans="1:11" outlineLevel="1" x14ac:dyDescent="0.25">
      <c r="A83" s="25">
        <v>25</v>
      </c>
      <c r="B83" s="30">
        <f t="shared" si="2"/>
        <v>178.01370736632299</v>
      </c>
      <c r="C83" s="2">
        <v>178.01370736632299</v>
      </c>
      <c r="D83" s="2">
        <v>250</v>
      </c>
      <c r="E83" s="2">
        <v>234.06118962452675</v>
      </c>
      <c r="F83" s="2">
        <v>1.7077778166801085</v>
      </c>
      <c r="G83" s="21">
        <v>1.6594190010551562</v>
      </c>
      <c r="H83" s="2">
        <v>676.88401190687762</v>
      </c>
      <c r="I83" s="2">
        <v>683.70183189375348</v>
      </c>
      <c r="J83" s="2">
        <v>0.20504957337885291</v>
      </c>
      <c r="K83" s="2">
        <v>0.20719040280947418</v>
      </c>
    </row>
    <row r="84" spans="1:11" outlineLevel="1" x14ac:dyDescent="0.25">
      <c r="A84" s="25">
        <v>26</v>
      </c>
      <c r="B84" s="30">
        <f t="shared" si="2"/>
        <v>185.63785065592782</v>
      </c>
      <c r="C84" s="2">
        <v>185.63785065592782</v>
      </c>
      <c r="D84" s="2">
        <v>250</v>
      </c>
      <c r="E84" s="2">
        <v>234.06118962452675</v>
      </c>
      <c r="F84" s="2">
        <v>1.7034522026226535</v>
      </c>
      <c r="G84" s="21">
        <v>1.6557055560276817</v>
      </c>
      <c r="H84" s="2">
        <v>678.6028385300508</v>
      </c>
      <c r="I84" s="2">
        <v>685.23525017496786</v>
      </c>
      <c r="J84" s="2">
        <v>0.20682901926562955</v>
      </c>
      <c r="K84" s="2">
        <v>0.2089893455528137</v>
      </c>
    </row>
    <row r="85" spans="1:11" outlineLevel="1" x14ac:dyDescent="0.25">
      <c r="A85" s="25">
        <v>27</v>
      </c>
      <c r="B85" s="30">
        <f t="shared" si="2"/>
        <v>193.26199394553265</v>
      </c>
      <c r="C85" s="2">
        <v>193.26199394553265</v>
      </c>
      <c r="D85" s="2">
        <v>250</v>
      </c>
      <c r="E85" s="2">
        <v>234.06118962452675</v>
      </c>
      <c r="F85" s="2">
        <v>1.6994775720007811</v>
      </c>
      <c r="G85" s="21">
        <v>1.6522924529477601</v>
      </c>
      <c r="H85" s="2">
        <v>680.18991191457087</v>
      </c>
      <c r="I85" s="2">
        <v>686.65072510416132</v>
      </c>
      <c r="J85" s="2">
        <v>0.20860846515240616</v>
      </c>
      <c r="K85" s="2">
        <v>0.21078828829615329</v>
      </c>
    </row>
    <row r="86" spans="1:11" outlineLevel="1" x14ac:dyDescent="0.25">
      <c r="A86" s="25">
        <v>28</v>
      </c>
      <c r="B86" s="30">
        <f t="shared" si="2"/>
        <v>200.88613723513748</v>
      </c>
      <c r="C86" s="2">
        <v>200.88613723513748</v>
      </c>
      <c r="D86" s="2">
        <v>250</v>
      </c>
      <c r="E86" s="2">
        <v>234.06118962452675</v>
      </c>
      <c r="F86" s="2">
        <v>1.6958128814187154</v>
      </c>
      <c r="G86" s="21">
        <v>1.6491446772177107</v>
      </c>
      <c r="H86" s="2">
        <v>681.65981793517142</v>
      </c>
      <c r="I86" s="2">
        <v>687.96135752917701</v>
      </c>
      <c r="J86" s="2">
        <v>0.21038791103918283</v>
      </c>
      <c r="K86" s="2">
        <v>0.21258723103949284</v>
      </c>
    </row>
    <row r="87" spans="1:11" outlineLevel="1" x14ac:dyDescent="0.25">
      <c r="A87" s="25">
        <v>29</v>
      </c>
      <c r="B87" s="30">
        <f t="shared" si="2"/>
        <v>208.51028052474231</v>
      </c>
      <c r="C87" s="2">
        <v>208.51028052474231</v>
      </c>
      <c r="D87" s="2">
        <v>250</v>
      </c>
      <c r="E87" s="2">
        <v>234.06118962452675</v>
      </c>
      <c r="F87" s="2">
        <v>1.6924232454795558</v>
      </c>
      <c r="G87" s="21">
        <v>1.6462324525479719</v>
      </c>
      <c r="H87" s="2">
        <v>683.02506662418909</v>
      </c>
      <c r="I87" s="2">
        <v>689.17837766149341</v>
      </c>
      <c r="J87" s="2">
        <v>0.21216735692595945</v>
      </c>
      <c r="K87" s="2">
        <v>0.2143861737828324</v>
      </c>
    </row>
    <row r="88" spans="1:11" outlineLevel="1" x14ac:dyDescent="0.25">
      <c r="A88" s="25">
        <v>30</v>
      </c>
      <c r="B88" s="30">
        <f t="shared" si="2"/>
        <v>216.13442381434714</v>
      </c>
      <c r="C88" s="2">
        <v>216.13442381434714</v>
      </c>
      <c r="D88" s="2">
        <v>250</v>
      </c>
      <c r="E88" s="2">
        <v>234.06118962452675</v>
      </c>
      <c r="F88" s="2">
        <v>1.6892788238485759</v>
      </c>
      <c r="G88" s="21">
        <v>1.6435302968304011</v>
      </c>
      <c r="H88" s="2">
        <v>684.29644868597427</v>
      </c>
      <c r="I88" s="2">
        <v>690.31146738744224</v>
      </c>
      <c r="J88" s="2">
        <v>0.21394680281273606</v>
      </c>
      <c r="K88" s="2">
        <v>0.21618511652617195</v>
      </c>
    </row>
    <row r="89" spans="1:11" outlineLevel="1" x14ac:dyDescent="0.25">
      <c r="A89" s="25">
        <v>31</v>
      </c>
      <c r="B89" s="30">
        <f t="shared" si="2"/>
        <v>223.75856710395198</v>
      </c>
      <c r="C89" s="2">
        <v>223.75856710395198</v>
      </c>
      <c r="D89" s="2">
        <v>250</v>
      </c>
      <c r="E89" s="2">
        <v>234.06118962452675</v>
      </c>
      <c r="F89" s="2">
        <v>1.6863539412251081</v>
      </c>
      <c r="G89" s="21">
        <v>1.6410162750772548</v>
      </c>
      <c r="H89" s="2">
        <v>685.48332099263155</v>
      </c>
      <c r="I89" s="2">
        <v>691.36901816973216</v>
      </c>
      <c r="J89" s="2">
        <v>0.21572624869951271</v>
      </c>
      <c r="K89" s="2">
        <v>0.21798405926951153</v>
      </c>
    </row>
    <row r="90" spans="1:11" outlineLevel="1" x14ac:dyDescent="0.25">
      <c r="A90" s="25">
        <v>32</v>
      </c>
      <c r="B90" s="30">
        <f t="shared" si="2"/>
        <v>231.38271039355681</v>
      </c>
      <c r="C90" s="2">
        <v>231.38271039355681</v>
      </c>
      <c r="D90" s="2">
        <v>250</v>
      </c>
      <c r="E90" s="2">
        <v>234.06118962452675</v>
      </c>
      <c r="F90" s="2">
        <v>1.6836263852830713</v>
      </c>
      <c r="G90" s="21">
        <v>1.6386714030564062</v>
      </c>
      <c r="H90" s="2">
        <v>686.59383703210676</v>
      </c>
      <c r="I90" s="2">
        <v>692.35833906943412</v>
      </c>
      <c r="J90" s="2">
        <v>0.21750569458628932</v>
      </c>
      <c r="K90" s="2">
        <v>0.21978300201285106</v>
      </c>
    </row>
    <row r="91" spans="1:11" outlineLevel="1" x14ac:dyDescent="0.25">
      <c r="A91" s="25">
        <v>33</v>
      </c>
      <c r="B91" s="30">
        <f t="shared" si="2"/>
        <v>239.00685368316164</v>
      </c>
      <c r="C91" s="2">
        <v>239.00685368316164</v>
      </c>
      <c r="D91" s="2">
        <v>250</v>
      </c>
      <c r="E91" s="2">
        <v>234.06118962452675</v>
      </c>
      <c r="F91" s="2">
        <v>1.6810768419662121</v>
      </c>
      <c r="G91" s="21">
        <v>1.6364791673158063</v>
      </c>
      <c r="H91" s="2">
        <v>687.63513430353578</v>
      </c>
      <c r="I91" s="2">
        <v>693.28582579002591</v>
      </c>
      <c r="J91" s="2">
        <v>0.21928514047306596</v>
      </c>
      <c r="K91" s="2">
        <v>0.22158194475619064</v>
      </c>
    </row>
    <row r="92" spans="1:11" outlineLevel="1" x14ac:dyDescent="0.25">
      <c r="A92" s="25">
        <v>34</v>
      </c>
      <c r="B92" s="30">
        <f t="shared" si="2"/>
        <v>246.63099697276647</v>
      </c>
      <c r="C92" s="2">
        <v>246.63099697276647</v>
      </c>
      <c r="D92" s="2">
        <v>250</v>
      </c>
      <c r="E92" s="2">
        <v>234.06118962452675</v>
      </c>
      <c r="F92" s="2">
        <v>1.6786884377807758</v>
      </c>
      <c r="G92" s="21">
        <v>1.6344251359340498</v>
      </c>
      <c r="H92" s="2">
        <v>688.61348775844772</v>
      </c>
      <c r="I92" s="2">
        <v>694.15709900492652</v>
      </c>
      <c r="J92" s="2">
        <v>0.22106458635984258</v>
      </c>
      <c r="K92" s="2">
        <v>0.22338088749953022</v>
      </c>
    </row>
    <row r="93" spans="1:11" outlineLevel="1" x14ac:dyDescent="0.25">
      <c r="A93" s="25">
        <v>35</v>
      </c>
      <c r="B93" s="30">
        <f t="shared" si="2"/>
        <v>254.2551402623713</v>
      </c>
      <c r="C93" s="2">
        <v>254.2551402623713</v>
      </c>
      <c r="D93" s="2">
        <v>250</v>
      </c>
      <c r="E93" s="2">
        <v>234.06118962452675</v>
      </c>
      <c r="F93" s="2">
        <v>1.6764463661605291</v>
      </c>
      <c r="G93" s="21">
        <v>1.6324966406027048</v>
      </c>
      <c r="H93" s="2">
        <v>689.53443625366162</v>
      </c>
      <c r="I93" s="2">
        <v>694.97711828787999</v>
      </c>
      <c r="J93" s="2">
        <v>0.22284403224661925</v>
      </c>
      <c r="K93" s="2">
        <v>0.22517983024286975</v>
      </c>
    </row>
    <row r="94" spans="1:11" outlineLevel="1" x14ac:dyDescent="0.25">
      <c r="A94" s="25">
        <v>36</v>
      </c>
      <c r="B94" s="30">
        <f t="shared" si="2"/>
        <v>261.87928355197613</v>
      </c>
      <c r="C94" s="2">
        <v>261.87928355197613</v>
      </c>
      <c r="D94" s="2">
        <v>250</v>
      </c>
      <c r="E94" s="2">
        <v>234.06118962452675</v>
      </c>
      <c r="F94" s="2">
        <v>1.6743375804252314</v>
      </c>
      <c r="G94" s="21">
        <v>1.6306825152433631</v>
      </c>
      <c r="H94" s="2">
        <v>690.40288739527603</v>
      </c>
      <c r="I94" s="2">
        <v>695.75027652233871</v>
      </c>
      <c r="J94" s="2">
        <v>0.22462347813339584</v>
      </c>
      <c r="K94" s="2">
        <v>0.22697877298620933</v>
      </c>
    </row>
    <row r="95" spans="1:11" outlineLevel="1" x14ac:dyDescent="0.25">
      <c r="A95" s="25">
        <v>37</v>
      </c>
      <c r="B95" s="30">
        <f t="shared" si="2"/>
        <v>269.50342684158096</v>
      </c>
      <c r="C95" s="2">
        <v>269.50342684158096</v>
      </c>
      <c r="D95" s="2">
        <v>250</v>
      </c>
      <c r="E95" s="2">
        <v>234.06118962452675</v>
      </c>
      <c r="F95" s="2">
        <v>1.6723505398864433</v>
      </c>
      <c r="G95" s="21">
        <v>1.6289728797690821</v>
      </c>
      <c r="H95" s="2">
        <v>691.2232049618575</v>
      </c>
      <c r="I95" s="2">
        <v>696.48047858325458</v>
      </c>
      <c r="J95" s="2">
        <v>0.22640292402017248</v>
      </c>
      <c r="K95" s="2">
        <v>0.22877771572954889</v>
      </c>
    </row>
    <row r="96" spans="1:11" outlineLevel="1" x14ac:dyDescent="0.25">
      <c r="A96" s="25">
        <v>38</v>
      </c>
      <c r="B96" s="30">
        <f t="shared" si="2"/>
        <v>277.12757013118579</v>
      </c>
      <c r="C96" s="2">
        <v>277.12757013118579</v>
      </c>
      <c r="D96" s="2">
        <v>250</v>
      </c>
      <c r="E96" s="2">
        <v>234.06118962452675</v>
      </c>
      <c r="F96" s="2">
        <v>1.6704749986700316</v>
      </c>
      <c r="G96" s="21">
        <v>1.6273589601489846</v>
      </c>
      <c r="H96" s="2">
        <v>691.99928219239268</v>
      </c>
      <c r="I96" s="2">
        <v>697.17120726507994</v>
      </c>
      <c r="J96" s="2">
        <v>0.22818236990694912</v>
      </c>
      <c r="K96" s="2">
        <v>0.23057665847288844</v>
      </c>
    </row>
    <row r="97" spans="1:11" outlineLevel="1" x14ac:dyDescent="0.25">
      <c r="A97" s="25">
        <v>39</v>
      </c>
      <c r="B97" s="30">
        <f t="shared" si="2"/>
        <v>284.75171342079062</v>
      </c>
      <c r="C97" s="2">
        <v>284.75171342079062</v>
      </c>
      <c r="D97" s="2">
        <v>250</v>
      </c>
      <c r="E97" s="2">
        <v>234.06118962452675</v>
      </c>
      <c r="F97" s="2">
        <v>1.6687018291002242</v>
      </c>
      <c r="G97" s="21">
        <v>1.6258329378596204</v>
      </c>
      <c r="H97" s="2">
        <v>692.73460353507596</v>
      </c>
      <c r="I97" s="2">
        <v>697.82557880413253</v>
      </c>
      <c r="J97" s="2">
        <v>0.22996181579372574</v>
      </c>
      <c r="K97" s="2">
        <v>0.23237560121622799</v>
      </c>
    </row>
    <row r="98" spans="1:11" outlineLevel="1" x14ac:dyDescent="0.25">
      <c r="A98" s="25">
        <v>40</v>
      </c>
      <c r="B98" s="30">
        <f t="shared" si="2"/>
        <v>292.37585671039545</v>
      </c>
      <c r="C98" s="2">
        <v>292.37585671039545</v>
      </c>
      <c r="D98" s="2">
        <v>250</v>
      </c>
      <c r="E98" s="2">
        <v>234.06118962452675</v>
      </c>
      <c r="F98" s="2">
        <v>1.6670228732220014</v>
      </c>
      <c r="G98" s="21">
        <v>1.6243878232726141</v>
      </c>
      <c r="H98" s="2">
        <v>693.43229692209331</v>
      </c>
      <c r="I98" s="2">
        <v>698.44638986210032</v>
      </c>
      <c r="J98" s="2">
        <v>0.23174126168050238</v>
      </c>
      <c r="K98" s="2">
        <v>0.23417454395956755</v>
      </c>
    </row>
    <row r="99" spans="1:11" outlineLevel="1" x14ac:dyDescent="0.25">
      <c r="A99" s="25">
        <v>41</v>
      </c>
      <c r="B99" s="29">
        <v>300</v>
      </c>
      <c r="C99" s="2">
        <v>300</v>
      </c>
      <c r="D99" s="2">
        <v>250</v>
      </c>
      <c r="E99" s="2">
        <v>234.06118962452675</v>
      </c>
      <c r="F99" s="2">
        <v>1.6654308173674626</v>
      </c>
      <c r="G99" s="21">
        <v>1.6230173486535497</v>
      </c>
      <c r="H99" s="2">
        <v>694.09517822375324</v>
      </c>
      <c r="I99" s="2">
        <v>699.03615746432422</v>
      </c>
      <c r="J99" s="2">
        <v>0.23352070756727897</v>
      </c>
      <c r="K99" s="2">
        <v>0.23597348670290705</v>
      </c>
    </row>
    <row r="100" spans="1:11" outlineLevel="1" x14ac:dyDescent="0.25"/>
    <row r="101" spans="1:11" outlineLevel="1" x14ac:dyDescent="0.25"/>
  </sheetData>
  <mergeCells count="4">
    <mergeCell ref="F3:G3"/>
    <mergeCell ref="A2:E2"/>
    <mergeCell ref="A3:E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Кнопка_Обновить_графики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" name="Button 49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9525</xdr:colOff>
                    <xdr:row>10</xdr:row>
                    <xdr:rowOff>66675</xdr:rowOff>
                  </from>
                  <to>
                    <xdr:col>21</xdr:col>
                    <xdr:colOff>152400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28575</xdr:colOff>
                    <xdr:row>14</xdr:row>
                    <xdr:rowOff>38100</xdr:rowOff>
                  </from>
                  <to>
                    <xdr:col>21</xdr:col>
                    <xdr:colOff>161925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" name="Button 51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133350</xdr:colOff>
                    <xdr:row>36</xdr:row>
                    <xdr:rowOff>190500</xdr:rowOff>
                  </from>
                  <to>
                    <xdr:col>21</xdr:col>
                    <xdr:colOff>238125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8" name="Button 52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PVT</vt:lpstr>
      <vt:lpstr>bo_list1_</vt:lpstr>
      <vt:lpstr>bo_list2_</vt:lpstr>
      <vt:lpstr>Bob_m3m3_</vt:lpstr>
      <vt:lpstr>gamma_gas_</vt:lpstr>
      <vt:lpstr>gamma_gas_diff_total_</vt:lpstr>
      <vt:lpstr>gamma_gas_new_</vt:lpstr>
      <vt:lpstr>gamma_oil_</vt:lpstr>
      <vt:lpstr>gamma_oil_new_</vt:lpstr>
      <vt:lpstr>gamma_w_</vt:lpstr>
      <vt:lpstr>gammas</vt:lpstr>
      <vt:lpstr>Ksep_</vt:lpstr>
      <vt:lpstr>mu_cP_</vt:lpstr>
      <vt:lpstr>muo_list1_</vt:lpstr>
      <vt:lpstr>muo_list2_</vt:lpstr>
      <vt:lpstr>P_atma_</vt:lpstr>
      <vt:lpstr>Pb_atma_</vt:lpstr>
      <vt:lpstr>Pb_diff_</vt:lpstr>
      <vt:lpstr>press_list0_</vt:lpstr>
      <vt:lpstr>press_list1_</vt:lpstr>
      <vt:lpstr>Psc_atma_</vt:lpstr>
      <vt:lpstr>Psep_atma_</vt:lpstr>
      <vt:lpstr>PVT_correlation_</vt:lpstr>
      <vt:lpstr>Ql_scm3day_</vt:lpstr>
      <vt:lpstr>Qo_sctday_</vt:lpstr>
      <vt:lpstr>rhoo_list1_</vt:lpstr>
      <vt:lpstr>rhoo_list2_</vt:lpstr>
      <vt:lpstr>Rp_m3m3_</vt:lpstr>
      <vt:lpstr>Rp_tm3_</vt:lpstr>
      <vt:lpstr>rs_list1_</vt:lpstr>
      <vt:lpstr>rs_list2_</vt:lpstr>
      <vt:lpstr>Rsb_m3m3_</vt:lpstr>
      <vt:lpstr>T_C_</vt:lpstr>
      <vt:lpstr>T_label_</vt:lpstr>
      <vt:lpstr>Tres_C_</vt:lpstr>
      <vt:lpstr>Tsc_C_</vt:lpstr>
      <vt:lpstr>Tsep_C_</vt:lpstr>
      <vt:lpstr>wc_perc_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2018-10-07T21:04:05Z</dcterms:modified>
</cp:coreProperties>
</file>