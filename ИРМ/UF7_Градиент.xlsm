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ИРМ\"/>
    </mc:Choice>
  </mc:AlternateContent>
  <xr:revisionPtr revIDLastSave="0" documentId="13_ncr:1_{AE2E74C7-3A6B-4806-A5CC-85C0E5060B68}" xr6:coauthVersionLast="37" xr6:coauthVersionMax="37" xr10:uidLastSave="{00000000-0000-0000-0000-000000000000}"/>
  <bookViews>
    <workbookView xWindow="0" yWindow="0" windowWidth="8325" windowHeight="8340" tabRatio="483" xr2:uid="{00000000-000D-0000-FFFF-FFFF00000000}"/>
  </bookViews>
  <sheets>
    <sheet name="Градиент" sheetId="1" r:id="rId1"/>
  </sheets>
  <definedNames>
    <definedName name="betta_gas_out_">Градиент!$F$36:$F$53</definedName>
    <definedName name="Bob_m3m3_">Градиент!$G$16</definedName>
    <definedName name="dcas_">Градиент!$C$24</definedName>
    <definedName name="dtub_">Градиент!$C$25</definedName>
    <definedName name="eps_">Градиент!$C$26</definedName>
    <definedName name="gamma_gas_">Градиент!$G$9</definedName>
    <definedName name="gamma_oil_">Градиент!$G$8</definedName>
    <definedName name="gamma_w_">Градиент!$G$10</definedName>
    <definedName name="Hl_out_">Градиент!$G$36:$G$53</definedName>
    <definedName name="Hmes_">Градиент!$C$21</definedName>
    <definedName name="Hmes_out_">Градиент!$B$36:$B$53</definedName>
    <definedName name="Htub_">Градиент!$C$23</definedName>
    <definedName name="Hvert_out_">Градиент!$C$36:$C$53</definedName>
    <definedName name="Hydr_correlation_">Градиент!$H$21</definedName>
    <definedName name="Ksep_">Градиент!$O$8</definedName>
    <definedName name="mu_cP_">Градиент!$G$17</definedName>
    <definedName name="nout_">Градиент!$A$36:$A$53</definedName>
    <definedName name="P_atma_">Градиент!$C$8</definedName>
    <definedName name="P_out_">Градиент!$D$36:$D$53</definedName>
    <definedName name="Pb_atma_">Градиент!$G$15</definedName>
    <definedName name="Pfric_out_">Градиент!$I$36:$I$53</definedName>
    <definedName name="Phydr_out_">Градиент!$J$36:$J$53</definedName>
    <definedName name="Psc_atma_">Градиент!$K$2</definedName>
    <definedName name="Psep_atma_">Градиент!$O$9</definedName>
    <definedName name="PVT_correlation_">Градиент!$H$3</definedName>
    <definedName name="Ql_scm3day_">Градиент!$K$8</definedName>
    <definedName name="Qo_sctday_">Градиент!$K$10</definedName>
    <definedName name="Rp_m3m3_">Градиент!$K$11</definedName>
    <definedName name="Rp_tm3_">Градиент!$K$12</definedName>
    <definedName name="Rs_out_">Градиент!$H$36:$H$53</definedName>
    <definedName name="Rsb_m3m3_">Градиент!$G$11</definedName>
    <definedName name="solver_adj" localSheetId="0" hidden="1">Градиент!#REF!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Градиент!#REF!</definedName>
    <definedName name="solver_lhs10" localSheetId="0" hidden="1">Градиент!#REF!</definedName>
    <definedName name="solver_lhs11" localSheetId="0" hidden="1">Градиент!#REF!</definedName>
    <definedName name="solver_lhs12" localSheetId="0" hidden="1">Градиент!#REF!</definedName>
    <definedName name="solver_lhs13" localSheetId="0" hidden="1">Градиент!#REF!</definedName>
    <definedName name="solver_lhs14" localSheetId="0" hidden="1">Градиент!#REF!</definedName>
    <definedName name="solver_lhs15" localSheetId="0" hidden="1">Градиент!#REF!</definedName>
    <definedName name="solver_lhs16" localSheetId="0" hidden="1">Градиент!#REF!</definedName>
    <definedName name="solver_lhs17" localSheetId="0" hidden="1">Градиент!#REF!</definedName>
    <definedName name="solver_lhs18" localSheetId="0" hidden="1">Градиент!#REF!</definedName>
    <definedName name="solver_lhs19" localSheetId="0" hidden="1">Градиент!#REF!</definedName>
    <definedName name="solver_lhs2" localSheetId="0" hidden="1">Градиент!#REF!</definedName>
    <definedName name="solver_lhs20" localSheetId="0" hidden="1">Градиент!#REF!</definedName>
    <definedName name="solver_lhs21" localSheetId="0" hidden="1">Градиент!#REF!</definedName>
    <definedName name="solver_lhs22" localSheetId="0" hidden="1">Градиент!#REF!</definedName>
    <definedName name="solver_lhs23" localSheetId="0" hidden="1">Градиент!#REF!</definedName>
    <definedName name="solver_lhs24" localSheetId="0" hidden="1">Градиент!#REF!</definedName>
    <definedName name="solver_lhs25" localSheetId="0" hidden="1">Градиент!#REF!</definedName>
    <definedName name="solver_lhs26" localSheetId="0" hidden="1">Градиент!#REF!</definedName>
    <definedName name="solver_lhs27" localSheetId="0" hidden="1">Градиент!#REF!</definedName>
    <definedName name="solver_lhs28" localSheetId="0" hidden="1">Градиент!#REF!</definedName>
    <definedName name="solver_lhs29" localSheetId="0" hidden="1">Градиент!#REF!</definedName>
    <definedName name="solver_lhs3" localSheetId="0" hidden="1">Градиент!#REF!</definedName>
    <definedName name="solver_lhs30" localSheetId="0" hidden="1">Градиент!#REF!</definedName>
    <definedName name="solver_lhs31" localSheetId="0" hidden="1">Градиент!#REF!</definedName>
    <definedName name="solver_lhs32" localSheetId="0" hidden="1">Градиент!#REF!</definedName>
    <definedName name="solver_lhs33" localSheetId="0" hidden="1">Градиент!#REF!</definedName>
    <definedName name="solver_lhs34" localSheetId="0" hidden="1">Градиент!#REF!</definedName>
    <definedName name="solver_lhs35" localSheetId="0" hidden="1">Градиент!#REF!</definedName>
    <definedName name="solver_lhs36" localSheetId="0" hidden="1">Градиент!#REF!</definedName>
    <definedName name="solver_lhs37" localSheetId="0" hidden="1">Градиент!#REF!</definedName>
    <definedName name="solver_lhs38" localSheetId="0" hidden="1">Градиент!#REF!</definedName>
    <definedName name="solver_lhs39" localSheetId="0" hidden="1">Градиент!#REF!</definedName>
    <definedName name="solver_lhs4" localSheetId="0" hidden="1">Градиент!#REF!</definedName>
    <definedName name="solver_lhs40" localSheetId="0" hidden="1">Градиент!#REF!</definedName>
    <definedName name="solver_lhs41" localSheetId="0" hidden="1">Градиент!#REF!</definedName>
    <definedName name="solver_lhs42" localSheetId="0" hidden="1">Градиент!#REF!</definedName>
    <definedName name="solver_lhs43" localSheetId="0" hidden="1">Градиент!#REF!</definedName>
    <definedName name="solver_lhs44" localSheetId="0" hidden="1">Градиент!#REF!</definedName>
    <definedName name="solver_lhs45" localSheetId="0" hidden="1">Градиент!#REF!</definedName>
    <definedName name="solver_lhs46" localSheetId="0" hidden="1">Градиент!#REF!</definedName>
    <definedName name="solver_lhs47" localSheetId="0" hidden="1">Градиент!#REF!</definedName>
    <definedName name="solver_lhs48" localSheetId="0" hidden="1">Градиент!#REF!</definedName>
    <definedName name="solver_lhs49" localSheetId="0" hidden="1">Градиент!#REF!</definedName>
    <definedName name="solver_lhs5" localSheetId="0" hidden="1">Градиент!#REF!</definedName>
    <definedName name="solver_lhs50" localSheetId="0" hidden="1">Градиент!#REF!</definedName>
    <definedName name="solver_lhs51" localSheetId="0" hidden="1">Градиент!#REF!</definedName>
    <definedName name="solver_lhs52" localSheetId="0" hidden="1">Градиент!#REF!</definedName>
    <definedName name="solver_lhs53" localSheetId="0" hidden="1">Градиент!#REF!</definedName>
    <definedName name="solver_lhs54" localSheetId="0" hidden="1">Градиент!#REF!</definedName>
    <definedName name="solver_lhs6" localSheetId="0" hidden="1">Градиент!#REF!</definedName>
    <definedName name="solver_lhs7" localSheetId="0" hidden="1">Градиент!#REF!</definedName>
    <definedName name="solver_lhs8" localSheetId="0" hidden="1">Градиент!#REF!</definedName>
    <definedName name="solver_lhs9" localSheetId="0" hidden="1">Градиент!#REF!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Градиент!#REF!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18" localSheetId="0" hidden="1">1</definedName>
    <definedName name="solver_rel19" localSheetId="0" hidden="1">3</definedName>
    <definedName name="solver_rel2" localSheetId="0" hidden="1">1</definedName>
    <definedName name="solver_rel20" localSheetId="0" hidden="1">1</definedName>
    <definedName name="solver_rel21" localSheetId="0" hidden="1">3</definedName>
    <definedName name="solver_rel22" localSheetId="0" hidden="1">1</definedName>
    <definedName name="solver_rel23" localSheetId="0" hidden="1">3</definedName>
    <definedName name="solver_rel24" localSheetId="0" hidden="1">1</definedName>
    <definedName name="solver_rel25" localSheetId="0" hidden="1">3</definedName>
    <definedName name="solver_rel26" localSheetId="0" hidden="1">1</definedName>
    <definedName name="solver_rel27" localSheetId="0" hidden="1">3</definedName>
    <definedName name="solver_rel28" localSheetId="0" hidden="1">1</definedName>
    <definedName name="solver_rel29" localSheetId="0" hidden="1">3</definedName>
    <definedName name="solver_rel3" localSheetId="0" hidden="1">3</definedName>
    <definedName name="solver_rel30" localSheetId="0" hidden="1">1</definedName>
    <definedName name="solver_rel31" localSheetId="0" hidden="1">3</definedName>
    <definedName name="solver_rel32" localSheetId="0" hidden="1">1</definedName>
    <definedName name="solver_rel33" localSheetId="0" hidden="1">3</definedName>
    <definedName name="solver_rel34" localSheetId="0" hidden="1">1</definedName>
    <definedName name="solver_rel35" localSheetId="0" hidden="1">3</definedName>
    <definedName name="solver_rel36" localSheetId="0" hidden="1">1</definedName>
    <definedName name="solver_rel37" localSheetId="0" hidden="1">3</definedName>
    <definedName name="solver_rel38" localSheetId="0" hidden="1">1</definedName>
    <definedName name="solver_rel39" localSheetId="0" hidden="1">3</definedName>
    <definedName name="solver_rel4" localSheetId="0" hidden="1">1</definedName>
    <definedName name="solver_rel40" localSheetId="0" hidden="1">1</definedName>
    <definedName name="solver_rel41" localSheetId="0" hidden="1">3</definedName>
    <definedName name="solver_rel42" localSheetId="0" hidden="1">1</definedName>
    <definedName name="solver_rel43" localSheetId="0" hidden="1">3</definedName>
    <definedName name="solver_rel44" localSheetId="0" hidden="1">1</definedName>
    <definedName name="solver_rel45" localSheetId="0" hidden="1">3</definedName>
    <definedName name="solver_rel46" localSheetId="0" hidden="1">1</definedName>
    <definedName name="solver_rel47" localSheetId="0" hidden="1">3</definedName>
    <definedName name="solver_rel48" localSheetId="0" hidden="1">1</definedName>
    <definedName name="solver_rel49" localSheetId="0" hidden="1">3</definedName>
    <definedName name="solver_rel5" localSheetId="0" hidden="1">3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1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0.55</definedName>
    <definedName name="solver_rhs10" localSheetId="0" hidden="1">2</definedName>
    <definedName name="solver_rhs11" localSheetId="0" hidden="1">0.55</definedName>
    <definedName name="solver_rhs12" localSheetId="0" hidden="1">2</definedName>
    <definedName name="solver_rhs13" localSheetId="0" hidden="1">0.55</definedName>
    <definedName name="solver_rhs14" localSheetId="0" hidden="1">2</definedName>
    <definedName name="solver_rhs15" localSheetId="0" hidden="1">0.55</definedName>
    <definedName name="solver_rhs16" localSheetId="0" hidden="1">2</definedName>
    <definedName name="solver_rhs17" localSheetId="0" hidden="1">0.55</definedName>
    <definedName name="solver_rhs18" localSheetId="0" hidden="1">2</definedName>
    <definedName name="solver_rhs19" localSheetId="0" hidden="1">0.55</definedName>
    <definedName name="solver_rhs2" localSheetId="0" hidden="1">1.5</definedName>
    <definedName name="solver_rhs20" localSheetId="0" hidden="1">2</definedName>
    <definedName name="solver_rhs21" localSheetId="0" hidden="1">0.55</definedName>
    <definedName name="solver_rhs22" localSheetId="0" hidden="1">2</definedName>
    <definedName name="solver_rhs23" localSheetId="0" hidden="1">0.55</definedName>
    <definedName name="solver_rhs24" localSheetId="0" hidden="1">2</definedName>
    <definedName name="solver_rhs25" localSheetId="0" hidden="1">0.55</definedName>
    <definedName name="solver_rhs26" localSheetId="0" hidden="1">1.5</definedName>
    <definedName name="solver_rhs27" localSheetId="0" hidden="1">0.55</definedName>
    <definedName name="solver_rhs28" localSheetId="0" hidden="1">1.5</definedName>
    <definedName name="solver_rhs29" localSheetId="0" hidden="1">0.55</definedName>
    <definedName name="solver_rhs3" localSheetId="0" hidden="1">0.55</definedName>
    <definedName name="solver_rhs30" localSheetId="0" hidden="1">1.5</definedName>
    <definedName name="solver_rhs31" localSheetId="0" hidden="1">0.55</definedName>
    <definedName name="solver_rhs32" localSheetId="0" hidden="1">1.5</definedName>
    <definedName name="solver_rhs33" localSheetId="0" hidden="1">0.55</definedName>
    <definedName name="solver_rhs34" localSheetId="0" hidden="1">1.5</definedName>
    <definedName name="solver_rhs35" localSheetId="0" hidden="1">0.7</definedName>
    <definedName name="solver_rhs36" localSheetId="0" hidden="1">1</definedName>
    <definedName name="solver_rhs37" localSheetId="0" hidden="1">0.55</definedName>
    <definedName name="solver_rhs38" localSheetId="0" hidden="1">1.5</definedName>
    <definedName name="solver_rhs39" localSheetId="0" hidden="1">0.7</definedName>
    <definedName name="solver_rhs4" localSheetId="0" hidden="1">1.5</definedName>
    <definedName name="solver_rhs40" localSheetId="0" hidden="1">1</definedName>
    <definedName name="solver_rhs41" localSheetId="0" hidden="1">0.55</definedName>
    <definedName name="solver_rhs42" localSheetId="0" hidden="1">1.5</definedName>
    <definedName name="solver_rhs43" localSheetId="0" hidden="1">0.7</definedName>
    <definedName name="solver_rhs44" localSheetId="0" hidden="1">1</definedName>
    <definedName name="solver_rhs45" localSheetId="0" hidden="1">0.55</definedName>
    <definedName name="solver_rhs46" localSheetId="0" hidden="1">1.5</definedName>
    <definedName name="solver_rhs47" localSheetId="0" hidden="1">0.7</definedName>
    <definedName name="solver_rhs48" localSheetId="0" hidden="1">1</definedName>
    <definedName name="solver_rhs49" localSheetId="0" hidden="1">0.55</definedName>
    <definedName name="solver_rhs5" localSheetId="0" hidden="1">0.55</definedName>
    <definedName name="solver_rhs50" localSheetId="0" hidden="1">1.5</definedName>
    <definedName name="solver_rhs51" localSheetId="0" hidden="1">0.7</definedName>
    <definedName name="solver_rhs52" localSheetId="0" hidden="1">1</definedName>
    <definedName name="solver_rhs53" localSheetId="0" hidden="1">0.55</definedName>
    <definedName name="solver_rhs54" localSheetId="0" hidden="1">1.5</definedName>
    <definedName name="solver_rhs6" localSheetId="0" hidden="1">2</definedName>
    <definedName name="solver_rhs7" localSheetId="0" hidden="1">0.55</definedName>
    <definedName name="solver_rhs8" localSheetId="0" hidden="1">2</definedName>
    <definedName name="solver_rhs9" localSheetId="0" hidden="1">0.55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T_C_">Градиент!$C$9</definedName>
    <definedName name="T_out_">Градиент!$E$36:$E$53</definedName>
    <definedName name="test_out_">Градиент!$S$21</definedName>
    <definedName name="Tres_C_">Градиент!$G$12</definedName>
    <definedName name="Tsc_C_">Градиент!$K$3</definedName>
    <definedName name="Tsep_C_">Градиент!$O$10</definedName>
    <definedName name="tsurf_">Градиент!$C$28</definedName>
    <definedName name="twf_">Градиент!$C$27</definedName>
    <definedName name="Udl_">Градиент!$C$22</definedName>
    <definedName name="wc_perc_">Градиент!$K$9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2" i="1" l="1"/>
  <c r="K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22.05.2018  Добавлен график - диаграмма рассогласованности PVT данных</t>
        </r>
      </text>
    </comment>
    <comment ref="A3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  <comment ref="H3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</commentList>
</comments>
</file>

<file path=xl/sharedStrings.xml><?xml version="1.0" encoding="utf-8"?>
<sst xmlns="http://schemas.openxmlformats.org/spreadsheetml/2006/main" count="75" uniqueCount="59">
  <si>
    <t>Калькулятор PVT свойств пластовых флюидов</t>
  </si>
  <si>
    <t>основан на Унифлок 7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</si>
  <si>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</si>
  <si>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</si>
  <si>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</si>
  <si>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</si>
  <si>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</si>
  <si>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</si>
  <si>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Набор корреляций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</si>
  <si>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</si>
  <si>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</si>
  <si>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</si>
  <si>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</si>
  <si>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</si>
  <si>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</si>
  <si>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</si>
  <si>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</si>
  <si>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</si>
  <si>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</si>
  <si>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</si>
  <si>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</si>
  <si>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</si>
  <si>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</si>
  <si>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</si>
  <si>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</si>
  <si>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</si>
  <si>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</si>
  <si>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</si>
  <si>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</si>
  <si>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</si>
  <si>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</si>
  <si>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</si>
  <si>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</si>
  <si>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</si>
  <si>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</si>
  <si>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</si>
  <si>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</si>
  <si>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</si>
  <si>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</si>
  <si>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вер 0.3</t>
  </si>
  <si>
    <t>Параметры скважины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</si>
  <si>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</si>
  <si>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м</t>
  </si>
  <si>
    <t>ΔH</t>
  </si>
  <si>
    <t>e</t>
  </si>
  <si>
    <t>Результаты расчета</t>
  </si>
  <si>
    <t>Т</t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</si>
  <si>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</si>
  <si>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</si>
  <si>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</si>
  <si>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surf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</si>
  <si>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</rPr>
      <t>gas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</si>
  <si>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l</t>
    </r>
  </si>
  <si>
    <r>
      <t>ΔP</t>
    </r>
    <r>
      <rPr>
        <vertAlign val="subscript"/>
        <sz val="11"/>
        <color theme="1"/>
        <rFont val="Calibri"/>
        <family val="2"/>
        <charset val="204"/>
      </rPr>
      <t>fric</t>
    </r>
  </si>
  <si>
    <r>
      <t>ΔP</t>
    </r>
    <r>
      <rPr>
        <vertAlign val="subscript"/>
        <sz val="11"/>
        <color theme="1"/>
        <rFont val="Calibri"/>
        <family val="2"/>
        <charset val="204"/>
      </rPr>
      <t>hydr</t>
    </r>
  </si>
  <si>
    <r>
      <t>R</t>
    </r>
    <r>
      <rPr>
        <vertAlign val="subscript"/>
        <sz val="11"/>
        <color theme="1"/>
        <rFont val="Calibri"/>
        <family val="2"/>
        <charset val="204"/>
      </rPr>
      <t>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</si>
  <si>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изм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</si>
  <si>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верт</t>
    </r>
  </si>
  <si>
    <t>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</si>
</sst>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wrapText="1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4" fillId="0" borderId="0" xfId="0" applyFont="1"/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Градиент!$C$35</c:f>
              <c:strCache>
                <c:ptCount val="1"/>
                <c:pt idx="0">
                  <c:v>Нверт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Градиент!$C$36:$C$53</c:f>
              <c:numCache>
                <c:formatCode>0</c:formatCode>
                <c:ptCount val="18"/>
                <c:pt idx="0">
                  <c:v>0</c:v>
                </c:pt>
                <c:pt idx="1">
                  <c:v>117.64705882352942</c:v>
                </c:pt>
                <c:pt idx="2">
                  <c:v>235.29411764705884</c:v>
                </c:pt>
                <c:pt idx="3">
                  <c:v>352.94117647058823</c:v>
                </c:pt>
                <c:pt idx="4">
                  <c:v>470.58823529411768</c:v>
                </c:pt>
                <c:pt idx="5">
                  <c:v>588.23529411764707</c:v>
                </c:pt>
                <c:pt idx="6">
                  <c:v>705.88235294117646</c:v>
                </c:pt>
                <c:pt idx="7">
                  <c:v>823.52941176470597</c:v>
                </c:pt>
                <c:pt idx="8">
                  <c:v>941.17647058823536</c:v>
                </c:pt>
                <c:pt idx="9">
                  <c:v>1058.8235294117646</c:v>
                </c:pt>
                <c:pt idx="10">
                  <c:v>1176.4705882352941</c:v>
                </c:pt>
                <c:pt idx="11">
                  <c:v>1294.1176470588234</c:v>
                </c:pt>
                <c:pt idx="12">
                  <c:v>1411.7647058823529</c:v>
                </c:pt>
                <c:pt idx="13">
                  <c:v>1529.4117647058824</c:v>
                </c:pt>
                <c:pt idx="14">
                  <c:v>1647.0588235294119</c:v>
                </c:pt>
                <c:pt idx="15">
                  <c:v>1764.7058823529412</c:v>
                </c:pt>
                <c:pt idx="16">
                  <c:v>1882.3529411764707</c:v>
                </c:pt>
                <c:pt idx="17">
                  <c:v>2000</c:v>
                </c:pt>
              </c:numCache>
            </c:numRef>
          </c:xVal>
          <c:yVal>
            <c:numRef>
              <c:f>Градиент!$B$36:$B$53</c:f>
              <c:numCache>
                <c:formatCode>0</c:formatCode>
                <c:ptCount val="18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588.23529411764707</c:v>
                </c:pt>
                <c:pt idx="5">
                  <c:v>735.29411764705878</c:v>
                </c:pt>
                <c:pt idx="6">
                  <c:v>882.35294117647061</c:v>
                </c:pt>
                <c:pt idx="7">
                  <c:v>1029.4117647058824</c:v>
                </c:pt>
                <c:pt idx="8">
                  <c:v>1176.4705882352941</c:v>
                </c:pt>
                <c:pt idx="9">
                  <c:v>1323.5294117647059</c:v>
                </c:pt>
                <c:pt idx="10">
                  <c:v>1470.5882352941176</c:v>
                </c:pt>
                <c:pt idx="11">
                  <c:v>1617.6470588235295</c:v>
                </c:pt>
                <c:pt idx="12">
                  <c:v>1764.7058823529412</c:v>
                </c:pt>
                <c:pt idx="13">
                  <c:v>1911.7647058823529</c:v>
                </c:pt>
                <c:pt idx="14">
                  <c:v>2058.8235294117649</c:v>
                </c:pt>
                <c:pt idx="15">
                  <c:v>2205.8823529411766</c:v>
                </c:pt>
                <c:pt idx="16">
                  <c:v>2352.9411764705883</c:v>
                </c:pt>
                <c:pt idx="17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5-419C-8EAA-0EAD4D0D1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361728"/>
        <c:axId val="1134698720"/>
      </c:scatterChart>
      <c:valAx>
        <c:axId val="113436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4698720"/>
        <c:crosses val="autoZero"/>
        <c:crossBetween val="midCat"/>
      </c:valAx>
      <c:valAx>
        <c:axId val="11346987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436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24</xdr:row>
          <xdr:rowOff>47625</xdr:rowOff>
        </xdr:from>
        <xdr:to>
          <xdr:col>10</xdr:col>
          <xdr:colOff>257175</xdr:colOff>
          <xdr:row>26</xdr:row>
          <xdr:rowOff>190500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67352CC1-B76A-48B5-8774-32528FCAC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53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100012</xdr:colOff>
      <xdr:row>54</xdr:row>
      <xdr:rowOff>100011</xdr:rowOff>
    </xdr:from>
    <xdr:to>
      <xdr:col>4</xdr:col>
      <xdr:colOff>514350</xdr:colOff>
      <xdr:row>81</xdr:row>
      <xdr:rowOff>66674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43AB0B9-B923-4ABF-A08E-1CC1945398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/>
  </sheetPr>
  <dimension ref="A1:S53"/>
  <sheetViews>
    <sheetView tabSelected="1" zoomScaleNormal="100" workbookViewId="0">
      <selection activeCell="P17" sqref="P16:P17"/>
    </sheetView>
  </sheetViews>
  <sheetFormatPr defaultRowHeight="15" outlineLevelRow="1" x14ac:dyDescent="0.25"/>
  <cols>
    <col min="1" max="1" width="7.28515625" style="12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2" t="s">
        <v>39</v>
      </c>
      <c r="J1" s="2" t="s">
        <v>25</v>
      </c>
      <c r="K1" s="2"/>
      <c r="L1" s="2"/>
    </row>
    <row r="2" spans="1:17" ht="18" x14ac:dyDescent="0.25">
      <c r="A2" s="17" t="s">
        <v>0</v>
      </c>
      <c r="B2" s="17"/>
      <c r="C2" s="17"/>
      <c r="D2" s="17"/>
      <c r="E2" s="17"/>
      <c r="J2" s="7" t="s">
        <v>28</v>
      </c>
      <c r="K2" s="10">
        <v>1</v>
      </c>
      <c r="L2" s="6" t="s">
        <v>7</v>
      </c>
    </row>
    <row r="3" spans="1:17" ht="18" customHeight="1" x14ac:dyDescent="0.25">
      <c r="A3" s="17" t="s">
        <v>1</v>
      </c>
      <c r="B3" s="17"/>
      <c r="C3" s="17"/>
      <c r="D3" s="17"/>
      <c r="E3" s="17"/>
      <c r="F3" s="16" t="s">
        <v>8</v>
      </c>
      <c r="G3" s="16"/>
      <c r="H3" s="10">
        <v>1</v>
      </c>
      <c r="J3" s="6" t="s">
        <v>29</v>
      </c>
      <c r="K3" s="10">
        <v>15</v>
      </c>
      <c r="L3" s="6" t="s">
        <v>26</v>
      </c>
    </row>
    <row r="6" spans="1:17" x14ac:dyDescent="0.25">
      <c r="B6" s="3" t="s">
        <v>2</v>
      </c>
      <c r="C6" s="4"/>
      <c r="D6" s="4"/>
      <c r="E6" s="2"/>
      <c r="F6" s="2"/>
      <c r="G6" s="11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4</v>
      </c>
      <c r="C7" s="2"/>
      <c r="D7" s="2"/>
      <c r="F7" s="2" t="s">
        <v>5</v>
      </c>
      <c r="G7" s="2"/>
      <c r="H7" s="2"/>
      <c r="J7" s="2" t="s">
        <v>10</v>
      </c>
      <c r="K7" s="2"/>
      <c r="L7" s="2"/>
      <c r="N7" s="18" t="s">
        <v>30</v>
      </c>
      <c r="O7" s="18"/>
      <c r="P7" s="18"/>
      <c r="Q7" s="18"/>
    </row>
    <row r="8" spans="1:17" ht="18" x14ac:dyDescent="0.25">
      <c r="B8" s="5" t="s">
        <v>12</v>
      </c>
      <c r="C8" s="10"/>
      <c r="D8" s="6" t="s">
        <v>3</v>
      </c>
      <c r="F8" s="7" t="s">
        <v>14</v>
      </c>
      <c r="G8" s="10">
        <v>0.82</v>
      </c>
      <c r="H8" s="6"/>
      <c r="J8" s="8" t="s">
        <v>34</v>
      </c>
      <c r="K8" s="10">
        <v>10</v>
      </c>
      <c r="L8" s="6" t="s">
        <v>35</v>
      </c>
      <c r="N8" s="7" t="s">
        <v>31</v>
      </c>
      <c r="O8" s="10">
        <v>0.1</v>
      </c>
      <c r="P8" s="6"/>
      <c r="Q8" s="2"/>
    </row>
    <row r="9" spans="1:17" ht="18" x14ac:dyDescent="0.25">
      <c r="B9" s="5" t="s">
        <v>13</v>
      </c>
      <c r="C9" s="10"/>
      <c r="D9" s="6" t="s">
        <v>27</v>
      </c>
      <c r="F9" s="6" t="s">
        <v>15</v>
      </c>
      <c r="G9" s="10">
        <v>1.1000000000000001</v>
      </c>
      <c r="H9" s="6"/>
      <c r="J9" s="6" t="s">
        <v>21</v>
      </c>
      <c r="K9" s="10">
        <v>12</v>
      </c>
      <c r="L9" s="6" t="s">
        <v>11</v>
      </c>
      <c r="N9" s="6" t="s">
        <v>32</v>
      </c>
      <c r="O9" s="10">
        <v>20</v>
      </c>
      <c r="P9" s="6" t="s">
        <v>3</v>
      </c>
      <c r="Q9" s="2"/>
    </row>
    <row r="10" spans="1:17" ht="18" x14ac:dyDescent="0.25">
      <c r="F10" s="6" t="s">
        <v>16</v>
      </c>
      <c r="G10" s="10">
        <v>1</v>
      </c>
      <c r="H10" s="6"/>
      <c r="J10" s="8" t="s">
        <v>36</v>
      </c>
      <c r="K10" s="13">
        <f>Ql_scm3day_*(1-wc_perc_/100)*gamma_oil_</f>
        <v>7.2160000000000002</v>
      </c>
      <c r="L10" s="6" t="s">
        <v>37</v>
      </c>
      <c r="N10" s="6" t="s">
        <v>33</v>
      </c>
      <c r="O10" s="10">
        <v>30</v>
      </c>
      <c r="P10" s="6" t="s">
        <v>27</v>
      </c>
      <c r="Q10" s="2"/>
    </row>
    <row r="11" spans="1:17" ht="18" x14ac:dyDescent="0.25">
      <c r="F11" s="8" t="s">
        <v>17</v>
      </c>
      <c r="G11" s="10">
        <v>250</v>
      </c>
      <c r="H11" s="6" t="s">
        <v>19</v>
      </c>
      <c r="J11" s="8" t="s">
        <v>20</v>
      </c>
      <c r="K11" s="10">
        <v>150</v>
      </c>
      <c r="L11" s="6" t="s">
        <v>19</v>
      </c>
    </row>
    <row r="12" spans="1:17" ht="18" x14ac:dyDescent="0.25">
      <c r="F12" s="6" t="s">
        <v>18</v>
      </c>
      <c r="G12" s="10">
        <v>90</v>
      </c>
      <c r="H12" s="6" t="s">
        <v>27</v>
      </c>
      <c r="J12" s="8" t="s">
        <v>20</v>
      </c>
      <c r="K12" s="14">
        <f>Rp_m3m3_/gamma_oil_</f>
        <v>182.92682926829269</v>
      </c>
      <c r="L12" s="6" t="s">
        <v>38</v>
      </c>
    </row>
    <row r="13" spans="1:17" x14ac:dyDescent="0.25">
      <c r="G13"/>
    </row>
    <row r="14" spans="1:17" x14ac:dyDescent="0.25">
      <c r="F14" s="2" t="s">
        <v>6</v>
      </c>
      <c r="G14" s="2"/>
      <c r="H14" s="2"/>
    </row>
    <row r="15" spans="1:17" ht="18" x14ac:dyDescent="0.25">
      <c r="F15" s="6" t="s">
        <v>22</v>
      </c>
      <c r="G15" s="10">
        <v>180</v>
      </c>
      <c r="H15" s="6" t="s">
        <v>3</v>
      </c>
    </row>
    <row r="16" spans="1:17" ht="18" x14ac:dyDescent="0.25">
      <c r="F16" s="8" t="s">
        <v>23</v>
      </c>
      <c r="G16" s="10">
        <v>1.8</v>
      </c>
      <c r="H16" s="6" t="s">
        <v>19</v>
      </c>
    </row>
    <row r="17" spans="2:19" ht="18" x14ac:dyDescent="0.25">
      <c r="F17" s="9" t="s">
        <v>24</v>
      </c>
      <c r="G17" s="10">
        <v>0.2</v>
      </c>
      <c r="H17" s="6" t="s">
        <v>9</v>
      </c>
    </row>
    <row r="19" spans="2:19" x14ac:dyDescent="0.25">
      <c r="B19" t="s">
        <v>40</v>
      </c>
    </row>
    <row r="20" spans="2:19" outlineLevel="1" x14ac:dyDescent="0.25"/>
    <row r="21" spans="2:19" ht="18" outlineLevel="1" x14ac:dyDescent="0.35">
      <c r="B21" s="15" t="s">
        <v>41</v>
      </c>
      <c r="C21" s="10">
        <v>2500</v>
      </c>
      <c r="D21" s="6" t="s">
        <v>42</v>
      </c>
      <c r="H21">
        <v>0</v>
      </c>
      <c r="S21">
        <v>18</v>
      </c>
    </row>
    <row r="22" spans="2:19" x14ac:dyDescent="0.25">
      <c r="B22" s="15" t="s">
        <v>43</v>
      </c>
      <c r="C22" s="10">
        <v>500</v>
      </c>
      <c r="D22" s="6" t="s">
        <v>42</v>
      </c>
    </row>
    <row r="23" spans="2:19" ht="18" x14ac:dyDescent="0.35">
      <c r="B23" s="15" t="s">
        <v>47</v>
      </c>
      <c r="C23" s="10">
        <v>2000</v>
      </c>
      <c r="D23" s="6" t="s">
        <v>42</v>
      </c>
    </row>
    <row r="24" spans="2:19" ht="18" x14ac:dyDescent="0.35">
      <c r="B24" s="15" t="s">
        <v>48</v>
      </c>
      <c r="C24" s="10">
        <v>125</v>
      </c>
      <c r="D24" s="6" t="s">
        <v>42</v>
      </c>
    </row>
    <row r="25" spans="2:19" ht="18" x14ac:dyDescent="0.35">
      <c r="B25" s="15" t="s">
        <v>49</v>
      </c>
      <c r="C25" s="10">
        <v>72</v>
      </c>
      <c r="D25" s="6" t="s">
        <v>42</v>
      </c>
    </row>
    <row r="26" spans="2:19" x14ac:dyDescent="0.25">
      <c r="B26" s="15" t="s">
        <v>44</v>
      </c>
      <c r="C26" s="10">
        <v>2.0000000000000001E-4</v>
      </c>
      <c r="D26" s="6" t="s">
        <v>42</v>
      </c>
    </row>
    <row r="27" spans="2:19" ht="18" x14ac:dyDescent="0.35">
      <c r="B27" s="15" t="s">
        <v>18</v>
      </c>
      <c r="C27" s="10">
        <v>35</v>
      </c>
      <c r="D27" s="6" t="s">
        <v>27</v>
      </c>
    </row>
    <row r="28" spans="2:19" ht="18" x14ac:dyDescent="0.35">
      <c r="B28" s="15" t="s">
        <v>50</v>
      </c>
      <c r="C28" s="10">
        <v>100</v>
      </c>
      <c r="D28" s="6" t="s">
        <v>27</v>
      </c>
    </row>
    <row r="33" spans="1:10" x14ac:dyDescent="0.25">
      <c r="B33" t="s">
        <v>45</v>
      </c>
    </row>
    <row r="35" spans="1:10" ht="18" x14ac:dyDescent="0.35">
      <c r="A35" s="12" t="s">
        <v>58</v>
      </c>
      <c r="B35" t="s">
        <v>56</v>
      </c>
      <c r="C35" t="s">
        <v>57</v>
      </c>
      <c r="D35" t="s">
        <v>12</v>
      </c>
      <c r="E35" t="s">
        <v>46</v>
      </c>
      <c r="F35" s="19" t="s">
        <v>51</v>
      </c>
      <c r="G35" s="1" t="s">
        <v>52</v>
      </c>
      <c r="H35" s="19" t="s">
        <v>55</v>
      </c>
      <c r="I35" s="19" t="s">
        <v>53</v>
      </c>
      <c r="J35" s="19" t="s">
        <v>54</v>
      </c>
    </row>
    <row r="36" spans="1:10" x14ac:dyDescent="0.25">
      <c r="A36" s="12">
        <v>1</v>
      </c>
      <c r="B36" s="20">
        <v>0</v>
      </c>
      <c r="C36" s="23">
        <v>0</v>
      </c>
    </row>
    <row r="37" spans="1:10" x14ac:dyDescent="0.25">
      <c r="A37" s="12">
        <v>2</v>
      </c>
      <c r="B37" s="21">
        <v>147.05882352941177</v>
      </c>
      <c r="C37" s="23">
        <v>117.64705882352942</v>
      </c>
    </row>
    <row r="38" spans="1:10" x14ac:dyDescent="0.25">
      <c r="A38" s="12">
        <v>3</v>
      </c>
      <c r="B38" s="21">
        <v>294.11764705882354</v>
      </c>
      <c r="C38" s="23">
        <v>235.29411764705884</v>
      </c>
    </row>
    <row r="39" spans="1:10" x14ac:dyDescent="0.25">
      <c r="A39" s="12">
        <v>4</v>
      </c>
      <c r="B39" s="21">
        <v>441.1764705882353</v>
      </c>
      <c r="C39" s="23">
        <v>352.94117647058823</v>
      </c>
    </row>
    <row r="40" spans="1:10" x14ac:dyDescent="0.25">
      <c r="A40" s="12">
        <v>5</v>
      </c>
      <c r="B40" s="21">
        <v>588.23529411764707</v>
      </c>
      <c r="C40" s="23">
        <v>470.58823529411768</v>
      </c>
    </row>
    <row r="41" spans="1:10" x14ac:dyDescent="0.25">
      <c r="A41" s="12">
        <v>6</v>
      </c>
      <c r="B41" s="21">
        <v>735.29411764705878</v>
      </c>
      <c r="C41" s="23">
        <v>588.23529411764707</v>
      </c>
    </row>
    <row r="42" spans="1:10" x14ac:dyDescent="0.25">
      <c r="A42" s="12">
        <v>7</v>
      </c>
      <c r="B42" s="21">
        <v>882.35294117647061</v>
      </c>
      <c r="C42" s="23">
        <v>705.88235294117646</v>
      </c>
    </row>
    <row r="43" spans="1:10" x14ac:dyDescent="0.25">
      <c r="A43" s="12">
        <v>8</v>
      </c>
      <c r="B43" s="21">
        <v>1029.4117647058824</v>
      </c>
      <c r="C43" s="23">
        <v>823.52941176470597</v>
      </c>
    </row>
    <row r="44" spans="1:10" x14ac:dyDescent="0.25">
      <c r="A44" s="12">
        <v>9</v>
      </c>
      <c r="B44" s="21">
        <v>1176.4705882352941</v>
      </c>
      <c r="C44" s="23">
        <v>941.17647058823536</v>
      </c>
    </row>
    <row r="45" spans="1:10" x14ac:dyDescent="0.25">
      <c r="A45" s="12">
        <v>10</v>
      </c>
      <c r="B45" s="21">
        <v>1323.5294117647059</v>
      </c>
      <c r="C45" s="23">
        <v>1058.8235294117646</v>
      </c>
    </row>
    <row r="46" spans="1:10" x14ac:dyDescent="0.25">
      <c r="A46" s="12">
        <v>11</v>
      </c>
      <c r="B46" s="21">
        <v>1470.5882352941176</v>
      </c>
      <c r="C46" s="23">
        <v>1176.4705882352941</v>
      </c>
    </row>
    <row r="47" spans="1:10" x14ac:dyDescent="0.25">
      <c r="A47" s="12">
        <v>12</v>
      </c>
      <c r="B47" s="21">
        <v>1617.6470588235295</v>
      </c>
      <c r="C47" s="23">
        <v>1294.1176470588234</v>
      </c>
    </row>
    <row r="48" spans="1:10" x14ac:dyDescent="0.25">
      <c r="A48" s="12">
        <v>13</v>
      </c>
      <c r="B48" s="21">
        <v>1764.7058823529412</v>
      </c>
      <c r="C48" s="23">
        <v>1411.7647058823529</v>
      </c>
    </row>
    <row r="49" spans="1:3" x14ac:dyDescent="0.25">
      <c r="A49" s="12">
        <v>14</v>
      </c>
      <c r="B49" s="21">
        <v>1911.7647058823529</v>
      </c>
      <c r="C49" s="23">
        <v>1529.4117647058824</v>
      </c>
    </row>
    <row r="50" spans="1:3" x14ac:dyDescent="0.25">
      <c r="A50" s="12">
        <v>15</v>
      </c>
      <c r="B50" s="21">
        <v>2058.8235294117649</v>
      </c>
      <c r="C50" s="23">
        <v>1647.0588235294119</v>
      </c>
    </row>
    <row r="51" spans="1:3" x14ac:dyDescent="0.25">
      <c r="A51" s="12">
        <v>16</v>
      </c>
      <c r="B51" s="21">
        <v>2205.8823529411766</v>
      </c>
      <c r="C51" s="23">
        <v>1764.7058823529412</v>
      </c>
    </row>
    <row r="52" spans="1:3" x14ac:dyDescent="0.25">
      <c r="A52" s="12">
        <v>17</v>
      </c>
      <c r="B52" s="21">
        <v>2352.9411764705883</v>
      </c>
      <c r="C52" s="23">
        <v>1882.3529411764707</v>
      </c>
    </row>
    <row r="53" spans="1:3" x14ac:dyDescent="0.25">
      <c r="A53" s="12">
        <v>18</v>
      </c>
      <c r="B53" s="22">
        <v>2500</v>
      </c>
      <c r="C53" s="23">
        <v>2000</v>
      </c>
    </row>
  </sheetData>
  <mergeCells count="4">
    <mergeCell ref="F3:G3"/>
    <mergeCell ref="A2:E2"/>
    <mergeCell ref="A3:E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7" r:id="rId4" name="Button 53">
              <controlPr defaultSize="0" print="0" autoFill="0" autoPict="0" macro="[0]!РАсчет">
                <anchor moveWithCells="1" sizeWithCells="1">
                  <from>
                    <xdr:col>7</xdr:col>
                    <xdr:colOff>542925</xdr:colOff>
                    <xdr:row>24</xdr:row>
                    <xdr:rowOff>47625</xdr:rowOff>
                  </from>
                  <to>
                    <xdr:col>10</xdr:col>
                    <xdr:colOff>257175</xdr:colOff>
                    <xdr:row>26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41</vt:i4>
      </vt:variant>
    </vt:vector>
  </HeadingPairs>
  <TitlesOfParts>
    <vt:vector size="42" baseType="lpstr">
      <vt:lpstr>Градиент</vt:lpstr>
      <vt:lpstr>betta_gas_out_</vt:lpstr>
      <vt:lpstr>Bob_m3m3_</vt:lpstr>
      <vt:lpstr>dcas_</vt:lpstr>
      <vt:lpstr>dtub_</vt:lpstr>
      <vt:lpstr>eps_</vt:lpstr>
      <vt:lpstr>gamma_gas_</vt:lpstr>
      <vt:lpstr>gamma_oil_</vt:lpstr>
      <vt:lpstr>gamma_w_</vt:lpstr>
      <vt:lpstr>Hl_out_</vt:lpstr>
      <vt:lpstr>Hmes_</vt:lpstr>
      <vt:lpstr>Hmes_out_</vt:lpstr>
      <vt:lpstr>Htub_</vt:lpstr>
      <vt:lpstr>Hvert_out_</vt:lpstr>
      <vt:lpstr>Hydr_correlation_</vt:lpstr>
      <vt:lpstr>Ksep_</vt:lpstr>
      <vt:lpstr>mu_cP_</vt:lpstr>
      <vt:lpstr>nout_</vt:lpstr>
      <vt:lpstr>P_atma_</vt:lpstr>
      <vt:lpstr>P_out_</vt:lpstr>
      <vt:lpstr>Pb_atma_</vt:lpstr>
      <vt:lpstr>Pfric_out_</vt:lpstr>
      <vt:lpstr>Phydr_out_</vt:lpstr>
      <vt:lpstr>Psc_atma_</vt:lpstr>
      <vt:lpstr>Psep_atma_</vt:lpstr>
      <vt:lpstr>PVT_correlation_</vt:lpstr>
      <vt:lpstr>Ql_scm3day_</vt:lpstr>
      <vt:lpstr>Qo_sctday_</vt:lpstr>
      <vt:lpstr>Rp_m3m3_</vt:lpstr>
      <vt:lpstr>Rp_tm3_</vt:lpstr>
      <vt:lpstr>Rs_out_</vt:lpstr>
      <vt:lpstr>Rsb_m3m3_</vt:lpstr>
      <vt:lpstr>T_C_</vt:lpstr>
      <vt:lpstr>T_out_</vt:lpstr>
      <vt:lpstr>test_out_</vt:lpstr>
      <vt:lpstr>Tres_C_</vt:lpstr>
      <vt:lpstr>Tsc_C_</vt:lpstr>
      <vt:lpstr>Tsep_C_</vt:lpstr>
      <vt:lpstr>tsurf_</vt:lpstr>
      <vt:lpstr>twf_</vt:lpstr>
      <vt:lpstr>Udl_</vt:lpstr>
      <vt:lpstr>wc_perc_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2018-10-21T16:51:37Z</dcterms:modified>
</cp:coreProperties>
</file>