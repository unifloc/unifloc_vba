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ИРМ\"/>
    </mc:Choice>
  </mc:AlternateContent>
  <xr:revisionPtr revIDLastSave="0" documentId="13_ncr:1_{E37E1C10-BAF9-4ABB-A4B9-46D55F3B92CA}" xr6:coauthVersionLast="37" xr6:coauthVersionMax="37" xr10:uidLastSave="{00000000-0000-0000-0000-000000000000}"/>
  <bookViews>
    <workbookView xWindow="0" yWindow="0" windowWidth="21943" windowHeight="8443" tabRatio="402" activeTab="1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21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1" i="4" l="1"/>
  <c r="K9" i="4"/>
  <c r="K8" i="4"/>
  <c r="V35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40" i="4"/>
  <c r="C49" i="4"/>
  <c r="C32" i="4"/>
  <c r="M40" i="4"/>
  <c r="C23" i="4"/>
  <c r="I32" i="4"/>
  <c r="C44" i="4"/>
  <c r="E33" i="4"/>
  <c r="I33" i="4"/>
  <c r="T35" i="4"/>
  <c r="M34" i="4"/>
  <c r="M35" i="4"/>
  <c r="T33" i="4"/>
  <c r="C33" i="4"/>
  <c r="M37" i="4"/>
  <c r="C27" i="4"/>
  <c r="M33" i="4"/>
  <c r="G23" i="4"/>
  <c r="E35" i="4"/>
  <c r="V33" i="4"/>
  <c r="I37" i="4"/>
  <c r="C26" i="4"/>
  <c r="E34" i="4"/>
  <c r="C37" i="4"/>
  <c r="E36" i="4"/>
  <c r="E37" i="4"/>
  <c r="I34" i="4"/>
  <c r="C28" i="4"/>
  <c r="I35" i="4"/>
  <c r="C34" i="4"/>
  <c r="E32" i="4"/>
  <c r="C43" i="4"/>
  <c r="C45" i="4"/>
  <c r="C35" i="4"/>
  <c r="V34" i="4"/>
  <c r="I36" i="4"/>
  <c r="M32" i="4"/>
  <c r="M36" i="4"/>
  <c r="C36" i="4"/>
  <c r="A1" i="4" l="1"/>
  <c r="A1" i="3"/>
  <c r="C10" i="2"/>
  <c r="T34" i="4"/>
  <c r="V36" i="4"/>
  <c r="T36" i="4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<sst xmlns="http://schemas.openxmlformats.org/spreadsheetml/2006/main" count="268" uniqueCount="176">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</sst>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8" borderId="0" xfId="0" applyFill="1" applyAlignment="1">
      <alignment horizontal="center" vertic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0.37273112971756645</c:v>
                </c:pt>
                <c:pt idx="1">
                  <c:v>0.44903144588389643</c:v>
                </c:pt>
                <c:pt idx="2">
                  <c:v>0.5273915470884375</c:v>
                </c:pt>
                <c:pt idx="3">
                  <c:v>0.5896952606139203</c:v>
                </c:pt>
                <c:pt idx="4">
                  <c:v>0.66591028560821264</c:v>
                </c:pt>
                <c:pt idx="5">
                  <c:v>0.73873633573106756</c:v>
                </c:pt>
                <c:pt idx="6">
                  <c:v>0.87367867481849726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18.5546875</c:v>
                </c:pt>
                <c:pt idx="1">
                  <c:v>25.745749241220718</c:v>
                </c:pt>
                <c:pt idx="2">
                  <c:v>34.164859183953098</c:v>
                </c:pt>
                <c:pt idx="3">
                  <c:v>43.750465083248137</c:v>
                </c:pt>
                <c:pt idx="4">
                  <c:v>54.350567379967011</c:v>
                </c:pt>
                <c:pt idx="5">
                  <c:v>65.923572194590136</c:v>
                </c:pt>
                <c:pt idx="6">
                  <c:v>78.524462143519557</c:v>
                </c:pt>
                <c:pt idx="7">
                  <c:v>92.203062895950396</c:v>
                </c:pt>
                <c:pt idx="8">
                  <c:v>105.54968529849593</c:v>
                </c:pt>
                <c:pt idx="9">
                  <c:v>118.35466354644016</c:v>
                </c:pt>
                <c:pt idx="10">
                  <c:v>130.55060671813649</c:v>
                </c:pt>
                <c:pt idx="11">
                  <c:v>142.13766104452128</c:v>
                </c:pt>
                <c:pt idx="12">
                  <c:v>153.12571956678426</c:v>
                </c:pt>
                <c:pt idx="13">
                  <c:v>163.51488951158555</c:v>
                </c:pt>
                <c:pt idx="14">
                  <c:v>169.19040574179164</c:v>
                </c:pt>
                <c:pt idx="15">
                  <c:v>173.27294874101116</c:v>
                </c:pt>
                <c:pt idx="16">
                  <c:v>181.18309665675298</c:v>
                </c:pt>
                <c:pt idx="17">
                  <c:v>183.24542144951729</c:v>
                </c:pt>
                <c:pt idx="18">
                  <c:v>184.49564946143971</c:v>
                </c:pt>
                <c:pt idx="19">
                  <c:v>185.74509851183748</c:v>
                </c:pt>
                <c:pt idx="20">
                  <c:v>186.99376899199459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6B8F2725-C704-4E76-A947-4F5F8C218D5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9CC23DC-3B9C-42A5-A4AD-E4B0DE5352F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D036318-6FAD-4DD3-8C93-860426061B6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A3EE5D-840E-4E27-95B9-4C9C0054A42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BE3DED-2A72-4400-B195-40B95F8461D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B345A2A-2BA2-4209-A4AF-7736099D096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</c:v>
                </c:pt>
                <c:pt idx="1">
                  <c:v>18.5546875</c:v>
                </c:pt>
                <c:pt idx="2">
                  <c:v>186.99376899199459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199571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14</xdr:row>
          <xdr:rowOff>208642</xdr:rowOff>
        </xdr:from>
        <xdr:to>
          <xdr:col>20</xdr:col>
          <xdr:colOff>584200</xdr:colOff>
          <xdr:row>17</xdr:row>
          <xdr:rowOff>78013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R16" sqref="R16"/>
    </sheetView>
  </sheetViews>
  <sheetFormatPr defaultRowHeight="14.6" x14ac:dyDescent="0.4"/>
  <sheetData>
    <row r="1" spans="1:5" x14ac:dyDescent="0.4">
      <c r="A1" t="str">
        <f>"вер "&amp;B1</f>
        <v>вер 7.3</v>
      </c>
      <c r="B1" s="18">
        <v>7.3</v>
      </c>
    </row>
    <row r="2" spans="1:5" x14ac:dyDescent="0.4">
      <c r="A2" t="s">
        <v>161</v>
      </c>
    </row>
    <row r="4" spans="1:5" x14ac:dyDescent="0.4">
      <c r="A4" s="63" t="str">
        <f>"Унифлок "&amp;версия_номер_</f>
        <v>Унифлок 7.3</v>
      </c>
      <c r="B4" s="63"/>
      <c r="C4" s="63"/>
      <c r="D4" s="63"/>
      <c r="E4" s="6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zoomScale="60" zoomScaleNormal="60" workbookViewId="0">
      <selection activeCell="K16" sqref="K16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7.3</v>
      </c>
      <c r="J1" s="2" t="s">
        <v>23</v>
      </c>
      <c r="K1" s="2"/>
      <c r="L1" s="2"/>
    </row>
    <row r="2" spans="1:17" ht="17.149999999999999" x14ac:dyDescent="0.4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4">
      <c r="F3" s="64" t="s">
        <v>74</v>
      </c>
      <c r="G3" s="6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5" t="s">
        <v>28</v>
      </c>
      <c r="O7" s="65"/>
      <c r="P7" s="65"/>
      <c r="Q7" s="65"/>
    </row>
    <row r="8" spans="1:17" ht="17.149999999999999" x14ac:dyDescent="0.4">
      <c r="B8" s="21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66">
        <f>Фонтан_расчет!Ql_scm3day_</f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21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66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66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4"/>
    <row r="22" spans="2:33" outlineLevel="1" x14ac:dyDescent="0.4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7.149999999999999" outlineLevel="1" x14ac:dyDescent="0.4">
      <c r="B23" s="5" t="s">
        <v>79</v>
      </c>
      <c r="C23" s="26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30</v>
      </c>
      <c r="H24" s="2"/>
    </row>
    <row r="25" spans="2:33" ht="17.149999999999999" outlineLevel="1" x14ac:dyDescent="0.4">
      <c r="B25" s="7" t="s">
        <v>15</v>
      </c>
      <c r="C25" s="28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30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6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31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6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34">
        <f>[1]!PVT_Rhoo_kgm3(Psc_atma_,Tsc_C_,gamma_gas_,gamma_oil_,gamma_w_,Rsb_m3m3_,,,,,,PVT_correlation_,Ksep_,Psep_atma_,Tsep_C_)</f>
        <v>860.00434407024829</v>
      </c>
      <c r="F32" s="35">
        <f t="shared" ref="F32:F37" si="0">(E32-C32)/E32</f>
        <v>3.1188543377398885E-3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37" t="s">
        <v>92</v>
      </c>
      <c r="R32" s="38">
        <v>0.86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0.46925466942242361</v>
      </c>
      <c r="AB32" s="40">
        <f>ABS(Pb_diff_)</f>
        <v>0.46925466942242361</v>
      </c>
      <c r="AD32" s="33" t="str">
        <f>Q34&amp; " = "&amp;IFERROR(TEXT(gamma_gas_diff_total_*100,"0.0") &amp; "%",TEXT(gamma_gas_diff_total_*100,"0,0") &amp; "%")</f>
        <v>Сумм откл = 21.0%</v>
      </c>
      <c r="AE32" s="33"/>
      <c r="AF32" s="2"/>
      <c r="AG32" s="2"/>
    </row>
    <row r="33" spans="2:33" ht="17.149999999999999" outlineLevel="1" x14ac:dyDescent="0.4">
      <c r="B33" s="5" t="s">
        <v>96</v>
      </c>
      <c r="C33" s="31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34">
        <f>[1]!PVT_Muo_cP(Psc_atma_,Tsc_C_,gamma_gas_,gamma_oil_,gamma_w_,Rsb_m3m3_,,,,,,PVT_correlation_,Ksep_,Psep_atma_,Tsep_C_)</f>
        <v>12.53061051510749</v>
      </c>
      <c r="F33" s="35">
        <f t="shared" si="0"/>
        <v>7.3499358570622106E-2</v>
      </c>
      <c r="G33" s="36"/>
      <c r="H33" s="5" t="s">
        <v>97</v>
      </c>
      <c r="I33" s="4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37" t="s">
        <v>99</v>
      </c>
      <c r="R33" s="38">
        <v>0.7</v>
      </c>
      <c r="S33" s="5" t="s">
        <v>79</v>
      </c>
      <c r="T33" s="34">
        <f>[1]!PVT_Pb_atma(Tres_C_,gamma_gas_,gamma_oil_,gamma_w_,Rsb_m3m3_,,,Tres_C_,,,PVT_correlation_,Ksep_,Psep_atma_,Tsep_C_)</f>
        <v>188.41428127342422</v>
      </c>
      <c r="U33" s="35">
        <f>(T33-C23)/T33</f>
        <v>0.46925466942242361</v>
      </c>
      <c r="V33" s="41">
        <f>[1]!PVT_Pb_atma(Tres_C_,gamma_gas_new_,gamma_oil_new_,gamma_w_,Rsb_m3m3_,,,Tres_C_,,,PVT_correlation_,Ksep_,Psep_atma_,Tsep_C_)</f>
        <v>188.41428127342422</v>
      </c>
      <c r="W33" s="42">
        <f>(V33-C23)/V33</f>
        <v>0.46925466942242361</v>
      </c>
      <c r="X33" s="33">
        <v>2</v>
      </c>
      <c r="Z33" s="7" t="s">
        <v>80</v>
      </c>
      <c r="AA33" s="39">
        <f>ABS(U34)</f>
        <v>0</v>
      </c>
      <c r="AB33" s="39">
        <f>ABS(W34)</f>
        <v>0</v>
      </c>
      <c r="AD33" s="33" t="str">
        <f>F9 &amp;" = "&amp;IFERROR(  TEXT(gamma_gas_,"0.00"),TEXT(gamma_gas_,"0,00")) &amp;",  "&amp; F8 &amp;" = "&amp;  IFERROR(TEXT(gamma_oil_,"0.00"),TEXT(gamma_oil_,"0,00"))</f>
        <v>γg = 0.70,  γo = 0.86</v>
      </c>
      <c r="AE33" s="33"/>
      <c r="AF33" s="2"/>
      <c r="AG33" s="2"/>
    </row>
    <row r="34" spans="2:33" ht="17.149999999999999" outlineLevel="1" x14ac:dyDescent="0.4">
      <c r="B34" s="5" t="s">
        <v>100</v>
      </c>
      <c r="C34" s="31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34">
        <f>[1]!PVT_Rs_m3m3(P_atma_,T_C_,gamma_gas_,gamma_oil_,gamma_w_,Rsb_m3m3_,,,,,,PVT_correlation_,Ksep_,Psep_atma_,Tsep_C_)</f>
        <v>29.625586135838734</v>
      </c>
      <c r="F34" s="35">
        <f t="shared" si="0"/>
        <v>-0.5774037294520562</v>
      </c>
      <c r="G34" s="36"/>
      <c r="H34" s="5" t="s">
        <v>101</v>
      </c>
      <c r="I34" s="30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6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43" t="s">
        <v>103</v>
      </c>
      <c r="R34" s="44">
        <f>((X33*W33^2+X34*W34^2+X35*W35^2+X36*W36^2+X37*W37^2+X38*W38^2)/SUM(X33:X38))^0.5</f>
        <v>0.20985706791754621</v>
      </c>
      <c r="S34" s="7" t="s">
        <v>80</v>
      </c>
      <c r="T34" s="45">
        <f>[1]!PVT_Bo_m3m3(T33,Tres_C_,gamma_gas_,gamma_oil_,gamma_w_,Rsb_m3m3_,,,,,,PVT_correlation_,Ksep_,Psep_atma_,Tsep_C_)</f>
        <v>1.287833096954804</v>
      </c>
      <c r="U34" s="35">
        <f>(T34-C26)/(T34-1)</f>
        <v>0</v>
      </c>
      <c r="V34" s="46">
        <f>[1]!PVT_Bo_m3m3(V33,Tres_C_,gamma_gas_new_,gamma_oil_new_,gamma_w_,Rsb_m3m3_,,,,,,PVT_correlation_,Ksep_,Psep_atma_,Tsep_C_)</f>
        <v>1.287833096954804</v>
      </c>
      <c r="W34" s="42">
        <f>(V34-C26)/(V34-1)</f>
        <v>0</v>
      </c>
      <c r="X34" s="33">
        <v>2</v>
      </c>
      <c r="Z34" s="8" t="s">
        <v>83</v>
      </c>
      <c r="AA34" s="39">
        <f>ABS(U36)</f>
        <v>0</v>
      </c>
      <c r="AB34" s="39">
        <f>ABS(W36)</f>
        <v>0</v>
      </c>
      <c r="AD34" s="33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33"/>
      <c r="AF34" s="2"/>
      <c r="AG34" s="2"/>
    </row>
    <row r="35" spans="2:33" ht="17.149999999999999" outlineLevel="1" x14ac:dyDescent="0.4">
      <c r="B35" s="5" t="s">
        <v>104</v>
      </c>
      <c r="C35" s="30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34">
        <f>[1]!PVT_Bo_m3m3(P_atma_,T_C_,gamma_gas_,gamma_oil_,gamma_w_,Rsb_m3m3_,,,,,,PVT_correlation_,Ksep_,Psep_atma_,Tsep_C_)</f>
        <v>1.076527064194055</v>
      </c>
      <c r="F35" s="35">
        <f t="shared" si="0"/>
        <v>-3.3766479855983168E-2</v>
      </c>
      <c r="G35" s="36"/>
      <c r="H35" s="5" t="s">
        <v>105</v>
      </c>
      <c r="I35" s="4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762.97043934947192</v>
      </c>
      <c r="U35" s="35">
        <f>(T35-C27)/T35</f>
        <v>3.8166850827630654E-2</v>
      </c>
      <c r="V35" s="41">
        <f>PVT_Rhoo_kgm3(C23,Tres_C_,gamma_gas_new_,gamma_oil_new_,gamma_w_,Rsb_m3m3_,,,,,,PVT_correlation_,Ksep_,Psep_atma_,Tsep_C_)</f>
        <v>762.97043934947192</v>
      </c>
      <c r="W35" s="42">
        <f>(V35-C27)/V35</f>
        <v>3.8166850827630654E-2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0</v>
      </c>
    </row>
    <row r="36" spans="2:33" ht="17.149999999999999" outlineLevel="1" x14ac:dyDescent="0.4">
      <c r="B36" s="5" t="s">
        <v>107</v>
      </c>
      <c r="C36" s="26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34">
        <f>[1]!PVT_Rhoo_kgm3(P_atma_,T_C_,gamma_gas_,gamma_oil_,gamma_w_,Rsb_m3m3_,,,,,,PVT_correlation_,Ksep_,Psep_atma_,Tsep_C_)</f>
        <v>822.39967247857055</v>
      </c>
      <c r="F36" s="35">
        <f t="shared" si="0"/>
        <v>1.667979153452058E-2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47">
        <f>[1]!PVT_Muo_cP(T33,Tres_C_,gamma_gas_,gamma_oil_,gamma_w_,Rsb_m3m3_,,,,,,PVT_correlation_,Ksep_,Psep_atma_,Tsep_C_)</f>
        <v>0.76612647633959408</v>
      </c>
      <c r="U36" s="35">
        <f>(T36-C28)/T36</f>
        <v>0</v>
      </c>
      <c r="V36" s="48">
        <f>[1]!PVT_Muo_cP(V33,Tres_C_,gamma_gas_new_,gamma_oil_new_,gamma_w_,Rsb_m3m3_,,,,,,PVT_correlation_,Ksep_,Psep_atma_,Tsep_C_)</f>
        <v>0.76612647633959408</v>
      </c>
      <c r="W36" s="42">
        <f>(V36-C28)/V36</f>
        <v>0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</v>
      </c>
    </row>
    <row r="37" spans="2:33" ht="17.149999999999999" outlineLevel="1" x14ac:dyDescent="0.4">
      <c r="B37" s="5" t="s">
        <v>111</v>
      </c>
      <c r="C37" s="31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34">
        <f>[1]!PVT_Muo_cP(P_atma_,T_C_,gamma_gas_,gamma_oil_,gamma_w_,Rsb_m3m3_,,,,,,PVT_correlation_,Ksep_,Psep_atma_,Tsep_C_)</f>
        <v>4.448291156906401</v>
      </c>
      <c r="F37" s="35">
        <f t="shared" si="0"/>
        <v>0.2297839183262913</v>
      </c>
      <c r="G37" s="36"/>
      <c r="H37" s="5" t="s">
        <v>112</v>
      </c>
      <c r="I37" s="4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42">
        <f>(R32-G8)/R32</f>
        <v>0</v>
      </c>
      <c r="X37" s="33">
        <v>2</v>
      </c>
    </row>
    <row r="38" spans="2:33" ht="17.149999999999999" outlineLevel="1" x14ac:dyDescent="0.4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2">
        <f>(R33-G9)/R33</f>
        <v>0</v>
      </c>
      <c r="X38" s="33">
        <v>2</v>
      </c>
      <c r="Z38" s="8" t="s">
        <v>81</v>
      </c>
      <c r="AA38" s="39">
        <f>ABS(U35)</f>
        <v>3.8166850827630654E-2</v>
      </c>
      <c r="AB38" s="39">
        <f>ABS(W35)</f>
        <v>3.8166850827630654E-2</v>
      </c>
    </row>
    <row r="39" spans="2:33" ht="17.149999999999999" outlineLevel="1" x14ac:dyDescent="0.4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ht="17.149999999999999" outlineLevel="1" x14ac:dyDescent="0.4">
      <c r="B40" s="60" t="s">
        <v>174</v>
      </c>
      <c r="C40" s="62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60" t="s">
        <v>175</v>
      </c>
      <c r="M40" s="62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6"/>
    </row>
    <row r="42" spans="2:33" outlineLevel="1" x14ac:dyDescent="0.4">
      <c r="B42" s="25" t="s">
        <v>120</v>
      </c>
      <c r="C42" s="2"/>
      <c r="D42" s="2"/>
      <c r="E42" s="32"/>
      <c r="F42" s="36"/>
      <c r="L42" s="36"/>
    </row>
    <row r="43" spans="2:33" ht="17.149999999999999" outlineLevel="1" x14ac:dyDescent="0.4">
      <c r="B43" s="7" t="s">
        <v>121</v>
      </c>
      <c r="C43" s="50">
        <f>[1]!MF_Qmix_m3day(Ql_scm3day_,wc_perc_,P_atma_,T_C_,gamma_gas_,gamma_oil_,gamma_w_,Rsb_m3m3_,Rp_m3m3_,Pb_atma_,Tres_C_,Bob_m3m3_,mu_cP_,PVT_correlation_,Ksep_,Psep_atma_,Tsep_C_)</f>
        <v>286.45044140535117</v>
      </c>
      <c r="D43" s="5" t="s">
        <v>33</v>
      </c>
      <c r="E43" s="32"/>
      <c r="F43" s="36"/>
      <c r="L43" s="36"/>
    </row>
    <row r="44" spans="2:33" ht="17.149999999999999" outlineLevel="1" x14ac:dyDescent="0.4">
      <c r="B44" s="5" t="s">
        <v>122</v>
      </c>
      <c r="C44" s="5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32"/>
      <c r="F44" s="36"/>
      <c r="X44">
        <f>gamma_gas_</f>
        <v>0.7</v>
      </c>
    </row>
    <row r="45" spans="2:33" ht="17.149999999999999" outlineLevel="1" x14ac:dyDescent="0.4">
      <c r="B45" s="5" t="s">
        <v>123</v>
      </c>
      <c r="C45" s="5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32"/>
      <c r="F45" s="36"/>
    </row>
    <row r="46" spans="2:33" ht="17.149999999999999" outlineLevel="1" x14ac:dyDescent="0.4">
      <c r="B46" s="5" t="s">
        <v>124</v>
      </c>
      <c r="E46" s="36"/>
      <c r="F46" s="36"/>
    </row>
    <row r="47" spans="2:33" ht="17.149999999999999" outlineLevel="1" x14ac:dyDescent="0.4">
      <c r="B47" s="5" t="s">
        <v>125</v>
      </c>
      <c r="E47" s="36"/>
      <c r="F47" s="36"/>
    </row>
    <row r="48" spans="2:33" ht="17.149999999999999" outlineLevel="1" x14ac:dyDescent="0.4">
      <c r="B48" s="5" t="s">
        <v>126</v>
      </c>
      <c r="E48" s="36"/>
      <c r="F48" s="36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6"/>
      <c r="F49" s="36"/>
    </row>
    <row r="50" spans="1:29" outlineLevel="1" x14ac:dyDescent="0.4">
      <c r="E50" s="36"/>
      <c r="F50" s="36"/>
    </row>
    <row r="51" spans="1:29" outlineLevel="1" x14ac:dyDescent="0.4">
      <c r="E51" s="36"/>
      <c r="F51" s="36"/>
    </row>
    <row r="52" spans="1:29" outlineLevel="1" x14ac:dyDescent="0.4"/>
    <row r="53" spans="1:29" outlineLevel="1" x14ac:dyDescent="0.4"/>
    <row r="54" spans="1:29" x14ac:dyDescent="0.4">
      <c r="L54" s="36"/>
    </row>
    <row r="55" spans="1:29" x14ac:dyDescent="0.4">
      <c r="B55" s="51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2"/>
      <c r="M55" s="52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4">
      <c r="B56" t="str">
        <f>"Температура = " &amp;T_C_&amp;" °С"</f>
        <v>Температура = 30 °С</v>
      </c>
      <c r="L56" s="36"/>
      <c r="M56" s="36"/>
    </row>
    <row r="57" spans="1:29" outlineLevel="1" x14ac:dyDescent="0.4">
      <c r="L57" s="36"/>
      <c r="M57" s="36"/>
    </row>
    <row r="58" spans="1:29" ht="17.149999999999999" outlineLevel="1" x14ac:dyDescent="0.4">
      <c r="A58" s="5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0" t="s">
        <v>166</v>
      </c>
      <c r="Q58" s="60" t="s">
        <v>167</v>
      </c>
      <c r="R58" s="60" t="s">
        <v>168</v>
      </c>
    </row>
    <row r="59" spans="1:29" outlineLevel="1" x14ac:dyDescent="0.4">
      <c r="A59" s="54">
        <v>1</v>
      </c>
      <c r="B59" s="5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54">
        <v>2</v>
      </c>
      <c r="B60" s="5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54">
        <v>3</v>
      </c>
      <c r="B61" s="5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54">
        <v>4</v>
      </c>
      <c r="B62" s="5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54">
        <v>5</v>
      </c>
      <c r="B63" s="5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32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54">
        <v>6</v>
      </c>
      <c r="B64" s="5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54">
        <v>7</v>
      </c>
      <c r="B65" s="5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54">
        <v>8</v>
      </c>
      <c r="B66" s="5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54">
        <v>9</v>
      </c>
      <c r="B67" s="5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54">
        <v>10</v>
      </c>
      <c r="B68" s="5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54">
        <v>11</v>
      </c>
      <c r="B69" s="5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54">
        <v>12</v>
      </c>
      <c r="B70" s="5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54">
        <v>13</v>
      </c>
      <c r="B71" s="5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54">
        <v>14</v>
      </c>
      <c r="B72" s="5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54">
        <v>15</v>
      </c>
      <c r="B73" s="5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54">
        <v>16</v>
      </c>
      <c r="B74" s="5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54">
        <v>17</v>
      </c>
      <c r="B75" s="5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54">
        <v>18</v>
      </c>
      <c r="B76" s="5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54">
        <v>19</v>
      </c>
      <c r="B77" s="5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54">
        <v>20</v>
      </c>
      <c r="B78" s="5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54">
        <v>21</v>
      </c>
      <c r="B79" s="5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54">
        <v>22</v>
      </c>
      <c r="B80" s="5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54">
        <v>23</v>
      </c>
      <c r="B81" s="5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54">
        <v>24</v>
      </c>
      <c r="B82" s="5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54">
        <v>25</v>
      </c>
      <c r="B83" s="5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54">
        <v>26</v>
      </c>
      <c r="B84" s="5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54">
        <v>27</v>
      </c>
      <c r="B85" s="5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54">
        <v>28</v>
      </c>
      <c r="B86" s="5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54">
        <v>29</v>
      </c>
      <c r="B87" s="5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54">
        <v>30</v>
      </c>
      <c r="B88" s="5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54">
        <v>31</v>
      </c>
      <c r="B89" s="5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54">
        <v>32</v>
      </c>
      <c r="B90" s="5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54">
        <v>33</v>
      </c>
      <c r="B91" s="5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54">
        <v>34</v>
      </c>
      <c r="B92" s="5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54">
        <v>35</v>
      </c>
      <c r="B93" s="5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54">
        <v>36</v>
      </c>
      <c r="B94" s="5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54">
        <v>37</v>
      </c>
      <c r="B95" s="5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54">
        <v>38</v>
      </c>
      <c r="B96" s="5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54">
        <v>39</v>
      </c>
      <c r="B97" s="5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54">
        <v>40</v>
      </c>
      <c r="B98" s="5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54">
        <v>41</v>
      </c>
      <c r="B99" s="5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G72" sqref="G72"/>
    </sheetView>
  </sheetViews>
  <sheetFormatPr defaultRowHeight="14.6" x14ac:dyDescent="0.4"/>
  <sheetData>
    <row r="1" spans="1:16" x14ac:dyDescent="0.4">
      <c r="A1" t="str">
        <f>версия_</f>
        <v>вер 7.3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9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8">
        <v>150</v>
      </c>
      <c r="J19" s="18">
        <v>0</v>
      </c>
      <c r="K19" s="5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8">
        <v>125</v>
      </c>
      <c r="J20" s="18">
        <v>500</v>
      </c>
      <c r="K20" s="5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8">
        <v>125</v>
      </c>
      <c r="J21" s="18">
        <v>2500</v>
      </c>
      <c r="K21" s="5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6"/>
      <c r="N39" s="16"/>
    </row>
    <row r="40" spans="1:29" x14ac:dyDescent="0.4">
      <c r="A40" s="11"/>
      <c r="B40" s="18"/>
      <c r="C40" s="18"/>
      <c r="G40" s="1"/>
      <c r="M40" s="16"/>
      <c r="N40" s="16"/>
    </row>
    <row r="41" spans="1:29" x14ac:dyDescent="0.4">
      <c r="A41" s="11"/>
      <c r="B41" s="18"/>
      <c r="C41" s="18"/>
      <c r="G41" s="1"/>
      <c r="M41" s="16"/>
      <c r="N41" s="16"/>
    </row>
    <row r="42" spans="1:29" x14ac:dyDescent="0.4">
      <c r="A42" s="11"/>
      <c r="B42" s="18"/>
      <c r="C42" s="18"/>
      <c r="G42" s="1"/>
      <c r="M42" s="16"/>
      <c r="N42" s="16"/>
    </row>
    <row r="43" spans="1:29" x14ac:dyDescent="0.4">
      <c r="A43" s="11"/>
      <c r="B43" s="18"/>
      <c r="C43" s="18"/>
      <c r="G43" s="1"/>
      <c r="M43" s="16"/>
      <c r="N43" s="16"/>
    </row>
    <row r="44" spans="1:29" x14ac:dyDescent="0.4">
      <c r="A44" s="11"/>
      <c r="B44" s="18"/>
      <c r="C44" s="18"/>
      <c r="G44" s="1"/>
      <c r="M44" s="16"/>
      <c r="N44" s="16"/>
    </row>
    <row r="45" spans="1:29" x14ac:dyDescent="0.4">
      <c r="A45" s="11"/>
      <c r="B45" s="18"/>
      <c r="C45" s="18"/>
      <c r="G45" s="1"/>
      <c r="M45" s="16"/>
      <c r="N45" s="16"/>
    </row>
    <row r="46" spans="1:29" x14ac:dyDescent="0.4">
      <c r="A46" s="11"/>
      <c r="B46" s="18"/>
      <c r="C46" s="18"/>
      <c r="G46" s="1"/>
    </row>
    <row r="47" spans="1:29" x14ac:dyDescent="0.4">
      <c r="A47" s="11"/>
      <c r="B47" s="18"/>
      <c r="C47" s="18"/>
      <c r="G47" s="1"/>
    </row>
    <row r="48" spans="1:29" x14ac:dyDescent="0.4">
      <c r="A48" s="11"/>
      <c r="B48" s="18"/>
      <c r="C48" s="18"/>
      <c r="G48" s="1"/>
    </row>
    <row r="49" spans="1:7" x14ac:dyDescent="0.4">
      <c r="A49" s="11"/>
      <c r="B49" s="18"/>
      <c r="C49" s="18"/>
      <c r="G49" s="1"/>
    </row>
    <row r="50" spans="1:7" x14ac:dyDescent="0.4">
      <c r="A50" s="11"/>
      <c r="B50" s="18"/>
      <c r="C50" s="18"/>
      <c r="G50" s="1"/>
    </row>
    <row r="51" spans="1:7" x14ac:dyDescent="0.4">
      <c r="A51" s="11"/>
      <c r="B51" s="18"/>
      <c r="C51" s="18"/>
      <c r="G51" s="1"/>
    </row>
    <row r="52" spans="1:7" x14ac:dyDescent="0.4">
      <c r="A52" s="11"/>
      <c r="B52" s="18"/>
      <c r="C52" s="18"/>
      <c r="G52" s="1"/>
    </row>
    <row r="53" spans="1:7" x14ac:dyDescent="0.4">
      <c r="A53" s="11"/>
      <c r="B53" s="18"/>
      <c r="C53" s="18"/>
      <c r="G53" s="1"/>
    </row>
    <row r="54" spans="1:7" x14ac:dyDescent="0.4">
      <c r="A54" s="11"/>
      <c r="B54" s="18"/>
      <c r="C54" s="18"/>
      <c r="G54" s="1"/>
    </row>
    <row r="55" spans="1:7" x14ac:dyDescent="0.4">
      <c r="A55" s="11"/>
      <c r="B55" s="18"/>
      <c r="C55" s="18"/>
      <c r="G55" s="1"/>
    </row>
    <row r="56" spans="1:7" x14ac:dyDescent="0.4">
      <c r="A56" s="11"/>
      <c r="B56" s="18"/>
      <c r="C56" s="18"/>
      <c r="G56" s="1"/>
    </row>
    <row r="57" spans="1:7" x14ac:dyDescent="0.4">
      <c r="A57" s="11"/>
      <c r="B57" s="18"/>
      <c r="C57" s="18"/>
      <c r="G57" s="1"/>
    </row>
    <row r="58" spans="1:7" x14ac:dyDescent="0.4">
      <c r="A58" s="11"/>
      <c r="B58" s="18"/>
      <c r="C58" s="18"/>
      <c r="G58" s="1"/>
    </row>
    <row r="59" spans="1:7" x14ac:dyDescent="0.4">
      <c r="A59" s="11"/>
      <c r="B59" s="18"/>
      <c r="C59" s="18"/>
      <c r="G59" s="1"/>
    </row>
    <row r="60" spans="1:7" x14ac:dyDescent="0.4">
      <c r="A60" s="11"/>
      <c r="B60" s="18"/>
      <c r="C60" s="18"/>
      <c r="G60" s="1"/>
    </row>
    <row r="61" spans="1:7" x14ac:dyDescent="0.4">
      <c r="A61" s="11"/>
      <c r="B61" s="18"/>
      <c r="C61" s="18"/>
      <c r="G61" s="1"/>
    </row>
    <row r="62" spans="1:7" x14ac:dyDescent="0.4">
      <c r="A62" s="11"/>
      <c r="B62" s="18"/>
      <c r="C62" s="18"/>
      <c r="G62" s="1"/>
    </row>
    <row r="63" spans="1:7" x14ac:dyDescent="0.4">
      <c r="A63" s="11"/>
      <c r="B63" s="18"/>
      <c r="C63" s="18"/>
      <c r="G63" s="1"/>
    </row>
    <row r="64" spans="1:7" x14ac:dyDescent="0.4">
      <c r="A64" s="11"/>
      <c r="B64" s="18"/>
      <c r="C64" s="18"/>
      <c r="G64" s="1"/>
    </row>
    <row r="65" spans="1:7" x14ac:dyDescent="0.4">
      <c r="A65" s="11"/>
      <c r="B65" s="18"/>
      <c r="C65" s="18"/>
      <c r="G65" s="1"/>
    </row>
    <row r="66" spans="1:7" x14ac:dyDescent="0.4">
      <c r="A66" s="11"/>
      <c r="B66" s="18"/>
      <c r="C66" s="18"/>
      <c r="G66" s="1"/>
    </row>
    <row r="67" spans="1:7" x14ac:dyDescent="0.4">
      <c r="A67" s="11"/>
      <c r="B67" s="18"/>
      <c r="C67" s="18"/>
      <c r="G67" s="1"/>
    </row>
    <row r="68" spans="1:7" x14ac:dyDescent="0.4">
      <c r="A68" s="11"/>
      <c r="B68" s="18"/>
      <c r="C68" s="18"/>
      <c r="G68" s="1"/>
    </row>
    <row r="69" spans="1:7" x14ac:dyDescent="0.4">
      <c r="A69" s="11"/>
      <c r="B69" s="18"/>
      <c r="C69" s="18"/>
      <c r="G69" s="1"/>
    </row>
    <row r="70" spans="1:7" x14ac:dyDescent="0.4">
      <c r="A70" s="11"/>
      <c r="B70" s="18"/>
      <c r="C70" s="18"/>
      <c r="G70" s="1"/>
    </row>
    <row r="71" spans="1:7" x14ac:dyDescent="0.4">
      <c r="A71" s="11"/>
      <c r="B71" s="18"/>
      <c r="C71" s="18"/>
      <c r="G71" s="1"/>
    </row>
    <row r="72" spans="1:7" x14ac:dyDescent="0.4">
      <c r="A72" s="11"/>
      <c r="B72" s="18"/>
      <c r="C72" s="18"/>
      <c r="G72" s="1"/>
    </row>
    <row r="73" spans="1:7" x14ac:dyDescent="0.4">
      <c r="A73" s="11"/>
      <c r="B73" s="18"/>
      <c r="C73" s="18"/>
      <c r="G73" s="1"/>
    </row>
    <row r="74" spans="1:7" x14ac:dyDescent="0.4">
      <c r="A74" s="11"/>
      <c r="B74" s="18"/>
      <c r="C74" s="18"/>
      <c r="G74" s="1"/>
    </row>
    <row r="75" spans="1:7" x14ac:dyDescent="0.4">
      <c r="A75" s="11"/>
      <c r="B75" s="18"/>
      <c r="C75" s="18"/>
      <c r="G75" s="1"/>
    </row>
    <row r="76" spans="1:7" x14ac:dyDescent="0.4">
      <c r="A76" s="11"/>
      <c r="B76" s="18"/>
      <c r="C76" s="18"/>
      <c r="G76" s="1"/>
    </row>
    <row r="77" spans="1:7" x14ac:dyDescent="0.4">
      <c r="A77" s="11"/>
      <c r="B77" s="18"/>
      <c r="C77" s="18"/>
      <c r="G77" s="1"/>
    </row>
    <row r="78" spans="1:7" x14ac:dyDescent="0.4">
      <c r="A78" s="11"/>
      <c r="B78" s="18"/>
      <c r="C78" s="18"/>
      <c r="G78" s="1"/>
    </row>
    <row r="79" spans="1:7" x14ac:dyDescent="0.4">
      <c r="A79" s="11"/>
      <c r="B79" s="18"/>
      <c r="C79" s="18"/>
      <c r="G79" s="1"/>
    </row>
    <row r="80" spans="1:7" x14ac:dyDescent="0.4">
      <c r="A80" s="11"/>
      <c r="B80" s="18"/>
      <c r="C80" s="18"/>
      <c r="G80" s="1"/>
    </row>
    <row r="81" spans="1:7" x14ac:dyDescent="0.4">
      <c r="A81" s="11"/>
      <c r="B81" s="18"/>
      <c r="C81" s="18"/>
      <c r="G81" s="1"/>
    </row>
    <row r="82" spans="1:7" x14ac:dyDescent="0.4">
      <c r="A82" s="11"/>
      <c r="B82" s="18"/>
      <c r="C82" s="18"/>
      <c r="G82" s="1"/>
    </row>
    <row r="83" spans="1:7" x14ac:dyDescent="0.4">
      <c r="A83" s="11"/>
      <c r="B83" s="18"/>
      <c r="C83" s="18"/>
      <c r="G83" s="1"/>
    </row>
    <row r="84" spans="1:7" x14ac:dyDescent="0.4">
      <c r="A84" s="11"/>
      <c r="B84" s="18"/>
      <c r="C84" s="18"/>
      <c r="G84" s="1"/>
    </row>
    <row r="85" spans="1:7" x14ac:dyDescent="0.4">
      <c r="A85" s="11"/>
      <c r="B85" s="18"/>
      <c r="C85" s="18"/>
      <c r="G85" s="1"/>
    </row>
    <row r="86" spans="1:7" x14ac:dyDescent="0.4">
      <c r="A86" s="11"/>
      <c r="B86" s="18"/>
      <c r="C86" s="18"/>
      <c r="G86" s="1"/>
    </row>
    <row r="87" spans="1:7" x14ac:dyDescent="0.4">
      <c r="A87" s="11"/>
      <c r="B87" s="18"/>
      <c r="C87" s="18"/>
      <c r="G87" s="1"/>
    </row>
    <row r="88" spans="1:7" x14ac:dyDescent="0.4">
      <c r="A88" s="11"/>
      <c r="B88" s="18"/>
      <c r="C88" s="18"/>
      <c r="G88" s="1"/>
    </row>
    <row r="89" spans="1:7" x14ac:dyDescent="0.4">
      <c r="A89" s="11"/>
      <c r="B89" s="18"/>
      <c r="C89" s="18"/>
      <c r="G89" s="1"/>
    </row>
    <row r="90" spans="1:7" x14ac:dyDescent="0.4">
      <c r="A90" s="11"/>
      <c r="B90" s="18"/>
      <c r="C90" s="18"/>
      <c r="G90" s="1"/>
    </row>
    <row r="91" spans="1:7" x14ac:dyDescent="0.4">
      <c r="A91" s="11"/>
      <c r="B91" s="18"/>
      <c r="C91" s="18"/>
      <c r="G91" s="1"/>
    </row>
    <row r="92" spans="1:7" x14ac:dyDescent="0.4">
      <c r="A92" s="11"/>
      <c r="B92" s="18"/>
      <c r="C92" s="18"/>
      <c r="G92" s="1"/>
    </row>
    <row r="93" spans="1:7" x14ac:dyDescent="0.4">
      <c r="A93" s="11"/>
      <c r="B93" s="18"/>
      <c r="C93" s="18"/>
      <c r="G93" s="1"/>
    </row>
    <row r="94" spans="1:7" x14ac:dyDescent="0.4">
      <c r="A94" s="11"/>
      <c r="B94" s="18"/>
      <c r="C94" s="18"/>
      <c r="G94" s="1"/>
    </row>
    <row r="95" spans="1:7" x14ac:dyDescent="0.4">
      <c r="A95" s="11"/>
      <c r="B95" s="18"/>
      <c r="C95" s="18"/>
      <c r="G95" s="1"/>
    </row>
    <row r="96" spans="1:7" x14ac:dyDescent="0.4">
      <c r="A96" s="11"/>
      <c r="B96" s="18"/>
      <c r="C96" s="18"/>
      <c r="G96" s="1"/>
    </row>
    <row r="97" spans="1:7" x14ac:dyDescent="0.4">
      <c r="A97" s="11"/>
      <c r="B97" s="18"/>
      <c r="C97" s="18"/>
      <c r="G97" s="1"/>
    </row>
    <row r="98" spans="1:7" x14ac:dyDescent="0.4">
      <c r="A98" s="11"/>
      <c r="B98" s="18"/>
      <c r="C98" s="18"/>
      <c r="G98" s="1"/>
    </row>
    <row r="99" spans="1:7" x14ac:dyDescent="0.4">
      <c r="A99" s="11"/>
      <c r="B99" s="18"/>
      <c r="C99" s="18"/>
      <c r="G99" s="1"/>
    </row>
    <row r="100" spans="1:7" x14ac:dyDescent="0.4">
      <c r="A100" s="11"/>
      <c r="B100" s="18"/>
      <c r="C100" s="18"/>
      <c r="G100" s="1"/>
    </row>
    <row r="101" spans="1:7" x14ac:dyDescent="0.4">
      <c r="A101" s="11"/>
      <c r="B101" s="18"/>
      <c r="C101" s="18"/>
      <c r="G101" s="1"/>
    </row>
    <row r="102" spans="1:7" x14ac:dyDescent="0.4">
      <c r="A102" s="11"/>
      <c r="B102" s="18"/>
      <c r="C102" s="18"/>
      <c r="G102" s="1"/>
    </row>
    <row r="103" spans="1:7" x14ac:dyDescent="0.4">
      <c r="A103" s="11"/>
      <c r="B103" s="18"/>
      <c r="C103" s="18"/>
      <c r="G103" s="1"/>
    </row>
    <row r="104" spans="1:7" x14ac:dyDescent="0.4">
      <c r="A104" s="11"/>
      <c r="B104" s="18"/>
      <c r="C104" s="18"/>
      <c r="G104" s="1"/>
    </row>
    <row r="105" spans="1:7" x14ac:dyDescent="0.4">
      <c r="A105" s="11"/>
      <c r="B105" s="18"/>
      <c r="C105" s="18"/>
      <c r="G105" s="1"/>
    </row>
    <row r="106" spans="1:7" x14ac:dyDescent="0.4">
      <c r="A106" s="11"/>
      <c r="B106" s="18"/>
      <c r="C106" s="18"/>
      <c r="G106" s="1"/>
    </row>
    <row r="107" spans="1:7" x14ac:dyDescent="0.4">
      <c r="A107" s="11"/>
      <c r="B107" s="18"/>
      <c r="C107" s="18"/>
      <c r="G107" s="1"/>
    </row>
    <row r="108" spans="1:7" x14ac:dyDescent="0.4">
      <c r="A108" s="11"/>
      <c r="B108" s="18"/>
      <c r="C108" s="18"/>
      <c r="G108" s="1"/>
    </row>
    <row r="109" spans="1:7" x14ac:dyDescent="0.4">
      <c r="A109" s="11"/>
      <c r="B109" s="18"/>
      <c r="C109" s="18"/>
      <c r="G109" s="1"/>
    </row>
    <row r="110" spans="1:7" x14ac:dyDescent="0.4">
      <c r="A110" s="11"/>
      <c r="B110" s="18"/>
      <c r="C110" s="18"/>
      <c r="G110" s="1"/>
    </row>
    <row r="111" spans="1:7" x14ac:dyDescent="0.4">
      <c r="A111" s="11"/>
      <c r="B111" s="18"/>
      <c r="C111" s="18"/>
      <c r="G111" s="1"/>
    </row>
    <row r="112" spans="1:7" x14ac:dyDescent="0.4">
      <c r="A112" s="11"/>
      <c r="B112" s="18"/>
      <c r="C112" s="18"/>
      <c r="G112" s="1"/>
    </row>
    <row r="113" spans="1:7" x14ac:dyDescent="0.4">
      <c r="A113" s="11"/>
      <c r="B113" s="18"/>
      <c r="C113" s="18"/>
      <c r="G113" s="1"/>
    </row>
    <row r="114" spans="1:7" x14ac:dyDescent="0.4">
      <c r="A114" s="11"/>
      <c r="B114" s="18"/>
      <c r="C114" s="18"/>
      <c r="G114" s="1"/>
    </row>
    <row r="115" spans="1:7" x14ac:dyDescent="0.4">
      <c r="A115" s="11"/>
      <c r="B115" s="18"/>
      <c r="C115" s="18"/>
      <c r="G115" s="1"/>
    </row>
    <row r="116" spans="1:7" x14ac:dyDescent="0.4">
      <c r="A116" s="11"/>
      <c r="B116" s="18"/>
      <c r="C116" s="18"/>
      <c r="G116" s="1"/>
    </row>
    <row r="117" spans="1:7" x14ac:dyDescent="0.4">
      <c r="A117" s="11"/>
      <c r="B117" s="18"/>
      <c r="C117" s="18"/>
      <c r="G117" s="1"/>
    </row>
    <row r="118" spans="1:7" x14ac:dyDescent="0.4">
      <c r="A118" s="11"/>
      <c r="B118" s="18"/>
      <c r="C118" s="18"/>
      <c r="G118" s="1"/>
    </row>
    <row r="119" spans="1:7" x14ac:dyDescent="0.4">
      <c r="A119" s="11"/>
      <c r="B119" s="18"/>
      <c r="C119" s="18"/>
      <c r="G119" s="1"/>
    </row>
    <row r="120" spans="1:7" x14ac:dyDescent="0.4">
      <c r="A120" s="11"/>
      <c r="B120" s="18"/>
      <c r="C120" s="18"/>
      <c r="G120" s="1"/>
    </row>
    <row r="121" spans="1:7" x14ac:dyDescent="0.4">
      <c r="A121" s="11"/>
      <c r="B121" s="18"/>
      <c r="C121" s="18"/>
      <c r="G121" s="1"/>
    </row>
    <row r="122" spans="1:7" x14ac:dyDescent="0.4">
      <c r="A122" s="11"/>
      <c r="B122" s="18"/>
      <c r="C122" s="18"/>
      <c r="G122" s="1"/>
    </row>
    <row r="123" spans="1:7" x14ac:dyDescent="0.4">
      <c r="A123" s="11"/>
      <c r="B123" s="18"/>
      <c r="C123" s="18"/>
      <c r="G123" s="1"/>
    </row>
    <row r="124" spans="1:7" x14ac:dyDescent="0.4">
      <c r="A124" s="11"/>
      <c r="B124" s="18"/>
      <c r="C124" s="18"/>
      <c r="G124" s="1"/>
    </row>
    <row r="125" spans="1:7" x14ac:dyDescent="0.4">
      <c r="A125" s="11"/>
      <c r="B125" s="18"/>
      <c r="C125" s="18"/>
      <c r="G125" s="1"/>
    </row>
    <row r="126" spans="1:7" x14ac:dyDescent="0.4">
      <c r="A126" s="11"/>
      <c r="B126" s="18"/>
      <c r="C126" s="18"/>
      <c r="G126" s="1"/>
    </row>
    <row r="127" spans="1:7" x14ac:dyDescent="0.4">
      <c r="A127" s="11"/>
      <c r="B127" s="18"/>
      <c r="C127" s="18"/>
      <c r="G127" s="1"/>
    </row>
    <row r="128" spans="1:7" x14ac:dyDescent="0.4">
      <c r="A128" s="11"/>
      <c r="B128" s="18"/>
      <c r="C128" s="18"/>
      <c r="G128" s="1"/>
    </row>
    <row r="129" spans="1:7" x14ac:dyDescent="0.4">
      <c r="A129" s="11"/>
      <c r="B129" s="18"/>
      <c r="C129" s="18"/>
      <c r="G129" s="1"/>
    </row>
    <row r="130" spans="1:7" x14ac:dyDescent="0.4">
      <c r="A130" s="11"/>
      <c r="B130" s="18"/>
      <c r="C130" s="18"/>
      <c r="G130" s="1"/>
    </row>
    <row r="131" spans="1:7" x14ac:dyDescent="0.4">
      <c r="A131" s="11"/>
      <c r="B131" s="18"/>
      <c r="C131" s="18"/>
      <c r="G131" s="1"/>
    </row>
    <row r="132" spans="1:7" x14ac:dyDescent="0.4">
      <c r="A132" s="11"/>
      <c r="B132" s="18"/>
      <c r="C132" s="18"/>
      <c r="G132" s="1"/>
    </row>
    <row r="133" spans="1:7" x14ac:dyDescent="0.4">
      <c r="A133" s="11"/>
      <c r="B133" s="18"/>
      <c r="C133" s="18"/>
      <c r="G133" s="1"/>
    </row>
    <row r="134" spans="1:7" x14ac:dyDescent="0.4">
      <c r="A134" s="11"/>
      <c r="B134" s="18"/>
      <c r="C134" s="18"/>
      <c r="G134" s="1"/>
    </row>
    <row r="135" spans="1:7" x14ac:dyDescent="0.4">
      <c r="A135" s="11"/>
      <c r="B135" s="18"/>
      <c r="C135" s="18"/>
      <c r="G135" s="1"/>
    </row>
    <row r="136" spans="1:7" x14ac:dyDescent="0.4">
      <c r="A136" s="11"/>
      <c r="B136" s="18"/>
      <c r="C136" s="18"/>
      <c r="G136" s="1"/>
    </row>
    <row r="137" spans="1:7" x14ac:dyDescent="0.4">
      <c r="A137" s="11"/>
      <c r="B137" s="18"/>
      <c r="C137" s="18"/>
      <c r="G137" s="1"/>
    </row>
    <row r="138" spans="1:7" x14ac:dyDescent="0.4">
      <c r="A138" s="11"/>
      <c r="B138" s="18"/>
      <c r="C138" s="18"/>
      <c r="G138" s="1"/>
    </row>
    <row r="139" spans="1:7" x14ac:dyDescent="0.4">
      <c r="A139" s="11"/>
      <c r="B139" s="18"/>
      <c r="C139" s="18"/>
      <c r="G139" s="1"/>
    </row>
    <row r="140" spans="1:7" x14ac:dyDescent="0.4">
      <c r="A140" s="11"/>
      <c r="B140" s="18"/>
      <c r="C140" s="18"/>
      <c r="G140" s="1"/>
    </row>
    <row r="141" spans="1:7" x14ac:dyDescent="0.4">
      <c r="A141" s="11"/>
      <c r="B141" s="18"/>
      <c r="C141" s="18"/>
      <c r="G141" s="1"/>
    </row>
    <row r="142" spans="1:7" x14ac:dyDescent="0.4">
      <c r="A142" s="11"/>
      <c r="B142" s="18"/>
      <c r="C142" s="18"/>
      <c r="G142" s="1"/>
    </row>
    <row r="143" spans="1:7" x14ac:dyDescent="0.4">
      <c r="A143" s="11"/>
      <c r="B143" s="18"/>
      <c r="C143" s="18"/>
      <c r="G143" s="1"/>
    </row>
    <row r="144" spans="1:7" x14ac:dyDescent="0.4">
      <c r="A144" s="11"/>
      <c r="B144" s="18"/>
      <c r="C144" s="18"/>
      <c r="G144" s="1"/>
    </row>
    <row r="145" spans="1:7" x14ac:dyDescent="0.4">
      <c r="A145" s="11"/>
      <c r="B145" s="18"/>
      <c r="C145" s="18"/>
      <c r="G145" s="1"/>
    </row>
    <row r="146" spans="1:7" x14ac:dyDescent="0.4">
      <c r="A146" s="11"/>
      <c r="B146" s="18"/>
      <c r="C146" s="18"/>
      <c r="G146" s="1"/>
    </row>
    <row r="147" spans="1:7" x14ac:dyDescent="0.4">
      <c r="A147" s="11"/>
      <c r="B147" s="18"/>
      <c r="C147" s="18"/>
      <c r="G147" s="1"/>
    </row>
    <row r="148" spans="1:7" x14ac:dyDescent="0.4">
      <c r="A148" s="11"/>
      <c r="B148" s="18"/>
      <c r="C148" s="18"/>
      <c r="G148" s="1"/>
    </row>
    <row r="149" spans="1:7" x14ac:dyDescent="0.4">
      <c r="A149" s="11"/>
      <c r="B149" s="18"/>
      <c r="C149" s="18"/>
      <c r="G149" s="1"/>
    </row>
    <row r="150" spans="1:7" x14ac:dyDescent="0.4">
      <c r="A150" s="11"/>
      <c r="B150" s="18"/>
      <c r="C150" s="18"/>
      <c r="G150" s="1"/>
    </row>
    <row r="151" spans="1:7" x14ac:dyDescent="0.4">
      <c r="A151" s="11"/>
      <c r="B151" s="18"/>
      <c r="C151" s="18"/>
      <c r="G151" s="1"/>
    </row>
    <row r="152" spans="1:7" x14ac:dyDescent="0.4">
      <c r="A152" s="11"/>
      <c r="B152" s="18"/>
      <c r="C152" s="18"/>
      <c r="G152" s="1"/>
    </row>
    <row r="153" spans="1:7" x14ac:dyDescent="0.4">
      <c r="A153" s="11"/>
      <c r="B153" s="18"/>
      <c r="C153" s="18"/>
      <c r="G153" s="1"/>
    </row>
    <row r="154" spans="1:7" x14ac:dyDescent="0.4">
      <c r="A154" s="11"/>
      <c r="B154" s="18"/>
      <c r="C154" s="18"/>
      <c r="G154" s="1"/>
    </row>
    <row r="155" spans="1:7" x14ac:dyDescent="0.4">
      <c r="A155" s="11"/>
      <c r="B155" s="18"/>
      <c r="C155" s="18"/>
      <c r="G155" s="1"/>
    </row>
    <row r="156" spans="1:7" x14ac:dyDescent="0.4">
      <c r="A156" s="11"/>
      <c r="B156" s="18"/>
      <c r="C156" s="18"/>
      <c r="G156" s="1"/>
    </row>
    <row r="157" spans="1:7" x14ac:dyDescent="0.4">
      <c r="A157" s="11"/>
      <c r="B157" s="18"/>
      <c r="C157" s="18"/>
      <c r="G157" s="1"/>
    </row>
    <row r="158" spans="1:7" x14ac:dyDescent="0.4">
      <c r="A158" s="11"/>
      <c r="B158" s="18"/>
      <c r="C158" s="18"/>
      <c r="G158" s="1"/>
    </row>
    <row r="159" spans="1:7" x14ac:dyDescent="0.4">
      <c r="A159" s="11"/>
      <c r="B159" s="18"/>
      <c r="C159" s="18"/>
      <c r="G159" s="1"/>
    </row>
    <row r="160" spans="1:7" x14ac:dyDescent="0.4">
      <c r="A160" s="11"/>
      <c r="B160" s="18"/>
      <c r="C160" s="18"/>
      <c r="G160" s="1"/>
    </row>
    <row r="161" spans="1:7" x14ac:dyDescent="0.4">
      <c r="A161" s="11"/>
      <c r="B161" s="18"/>
      <c r="C161" s="18"/>
      <c r="G161" s="1"/>
    </row>
    <row r="162" spans="1:7" x14ac:dyDescent="0.4">
      <c r="A162" s="11"/>
      <c r="B162" s="18"/>
      <c r="C162" s="18"/>
      <c r="G162" s="1"/>
    </row>
    <row r="163" spans="1:7" x14ac:dyDescent="0.4">
      <c r="A163" s="11"/>
      <c r="B163" s="18"/>
      <c r="C163" s="18"/>
      <c r="G163" s="1"/>
    </row>
    <row r="164" spans="1:7" x14ac:dyDescent="0.4">
      <c r="A164" s="11"/>
      <c r="B164" s="18"/>
      <c r="C164" s="18"/>
      <c r="G164" s="1"/>
    </row>
    <row r="165" spans="1:7" x14ac:dyDescent="0.4">
      <c r="A165" s="11"/>
      <c r="B165" s="18"/>
      <c r="C165" s="18"/>
      <c r="G165" s="1"/>
    </row>
    <row r="166" spans="1:7" x14ac:dyDescent="0.4">
      <c r="A166" s="11"/>
      <c r="B166" s="18"/>
      <c r="C166" s="18"/>
      <c r="G166" s="1"/>
    </row>
    <row r="167" spans="1:7" x14ac:dyDescent="0.4">
      <c r="A167" s="11"/>
      <c r="B167" s="18"/>
      <c r="C167" s="18"/>
      <c r="G167" s="1"/>
    </row>
    <row r="168" spans="1:7" x14ac:dyDescent="0.4">
      <c r="A168" s="11"/>
      <c r="B168" s="18"/>
      <c r="C168" s="18"/>
      <c r="G168" s="1"/>
    </row>
    <row r="169" spans="1:7" x14ac:dyDescent="0.4">
      <c r="A169" s="11"/>
      <c r="B169" s="18"/>
      <c r="C169" s="18"/>
      <c r="G169" s="1"/>
    </row>
    <row r="170" spans="1:7" x14ac:dyDescent="0.4">
      <c r="A170" s="11"/>
      <c r="B170" s="18"/>
      <c r="C170" s="18"/>
      <c r="G170" s="1"/>
    </row>
    <row r="171" spans="1:7" x14ac:dyDescent="0.4">
      <c r="A171" s="11"/>
      <c r="B171" s="18"/>
      <c r="C171" s="18"/>
      <c r="G171" s="1"/>
    </row>
    <row r="172" spans="1:7" x14ac:dyDescent="0.4">
      <c r="A172" s="11"/>
      <c r="B172" s="18"/>
      <c r="C172" s="18"/>
      <c r="G172" s="1"/>
    </row>
    <row r="173" spans="1:7" x14ac:dyDescent="0.4">
      <c r="A173" s="11"/>
      <c r="B173" s="18"/>
      <c r="C173" s="18"/>
      <c r="G173" s="1"/>
    </row>
    <row r="174" spans="1:7" x14ac:dyDescent="0.4">
      <c r="A174" s="11"/>
      <c r="B174" s="18"/>
      <c r="C174" s="18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zoomScale="70" zoomScaleNormal="70" workbookViewId="0"/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7.3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4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7.149999999999999" x14ac:dyDescent="0.4">
      <c r="B8" s="7" t="s">
        <v>34</v>
      </c>
      <c r="C8" s="12" t="s">
        <v>63</v>
      </c>
      <c r="D8" s="5" t="s">
        <v>35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5" t="s">
        <v>45</v>
      </c>
      <c r="Q10" s="29">
        <v>5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7.149999999999999" x14ac:dyDescent="0.55000000000000004">
      <c r="P11" s="15" t="s">
        <v>46</v>
      </c>
      <c r="Q11" s="29">
        <v>18.5546875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7.149999999999999" x14ac:dyDescent="0.55000000000000004">
      <c r="M12" t="s">
        <v>63</v>
      </c>
      <c r="P12" s="15" t="s">
        <v>47</v>
      </c>
      <c r="Q12" s="29">
        <v>186.99376899199459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</row>
    <row r="16" spans="1:34" x14ac:dyDescent="0.4">
      <c r="B16" s="2" t="s">
        <v>59</v>
      </c>
      <c r="C16" s="59">
        <v>0</v>
      </c>
      <c r="D16" s="59">
        <v>0</v>
      </c>
      <c r="E16" s="59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18.5546875</v>
      </c>
      <c r="P16">
        <v>0</v>
      </c>
      <c r="Q16">
        <v>30</v>
      </c>
      <c r="R16">
        <v>0</v>
      </c>
      <c r="S16">
        <v>0.37273112971756645</v>
      </c>
      <c r="U16">
        <v>0</v>
      </c>
      <c r="V16" s="61">
        <f>Pline_out_atma_</f>
        <v>5</v>
      </c>
    </row>
    <row r="17" spans="2:22" x14ac:dyDescent="0.4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25.745749241220718</v>
      </c>
      <c r="P17">
        <v>184.21052631578948</v>
      </c>
      <c r="Q17">
        <v>30.614035087719298</v>
      </c>
      <c r="R17">
        <v>175</v>
      </c>
      <c r="S17">
        <v>0.44903144588389643</v>
      </c>
      <c r="U17">
        <v>0</v>
      </c>
      <c r="V17" s="61">
        <f>Pbuf_out_atma_</f>
        <v>18.5546875</v>
      </c>
    </row>
    <row r="18" spans="2:22" x14ac:dyDescent="0.4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34.164859183953098</v>
      </c>
      <c r="P18">
        <v>368.42105263157896</v>
      </c>
      <c r="Q18">
        <v>31.228070175438596</v>
      </c>
      <c r="R18">
        <v>350</v>
      </c>
      <c r="S18">
        <v>0.5273915470884375</v>
      </c>
      <c r="U18">
        <f>Hperf_m_</f>
        <v>3500</v>
      </c>
      <c r="V18" s="61">
        <f>Pwf_out_atma_</f>
        <v>186.99376899199459</v>
      </c>
    </row>
    <row r="19" spans="2:22" x14ac:dyDescent="0.4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43.750465083248137</v>
      </c>
      <c r="P19">
        <v>552.63157894736844</v>
      </c>
      <c r="Q19">
        <v>31.842105263157894</v>
      </c>
      <c r="R19">
        <v>525</v>
      </c>
      <c r="S19">
        <v>0.5896952606139203</v>
      </c>
    </row>
    <row r="20" spans="2:22" x14ac:dyDescent="0.4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54.350567379967011</v>
      </c>
      <c r="P20">
        <v>736.84210526315792</v>
      </c>
      <c r="Q20">
        <v>32.456140350877192</v>
      </c>
      <c r="R20">
        <v>700</v>
      </c>
      <c r="S20">
        <v>0.66591028560821264</v>
      </c>
    </row>
    <row r="21" spans="2:22" x14ac:dyDescent="0.4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65.923572194590136</v>
      </c>
      <c r="P21">
        <v>921.0526315789474</v>
      </c>
      <c r="Q21">
        <v>33.070175438596493</v>
      </c>
      <c r="R21">
        <v>875</v>
      </c>
      <c r="S21">
        <v>0.73873633573106756</v>
      </c>
    </row>
    <row r="22" spans="2:22" x14ac:dyDescent="0.4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78.524462143519557</v>
      </c>
      <c r="P22">
        <v>1105.2631578947369</v>
      </c>
      <c r="Q22">
        <v>33.67</v>
      </c>
      <c r="R22">
        <v>1050</v>
      </c>
      <c r="S22">
        <v>0.87367867481849726</v>
      </c>
    </row>
    <row r="23" spans="2:22" x14ac:dyDescent="0.4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92.203062895950396</v>
      </c>
      <c r="P23">
        <v>1289.4736842105262</v>
      </c>
      <c r="Q23">
        <v>34.247368421052634</v>
      </c>
      <c r="R23">
        <v>1225</v>
      </c>
      <c r="S23">
        <v>1</v>
      </c>
    </row>
    <row r="24" spans="2:22" x14ac:dyDescent="0.4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105.54968529849593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4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118.35466354644016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4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130.55060671813649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4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142.13766104452128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4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153.12571956678426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4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163.51488951158555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4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169.19040574179164</v>
      </c>
      <c r="P30">
        <v>2500</v>
      </c>
      <c r="Q30">
        <v>75.92</v>
      </c>
      <c r="R30">
        <v>2450</v>
      </c>
      <c r="S30">
        <v>1</v>
      </c>
    </row>
    <row r="31" spans="2:22" x14ac:dyDescent="0.4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173.27294874101116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4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181.18309665675298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4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183.24542144951729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4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184.49564946143971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4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185.74509851183748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4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186.99376899199459</v>
      </c>
      <c r="P36">
        <v>3500</v>
      </c>
      <c r="Q36">
        <v>90</v>
      </c>
      <c r="R36">
        <v>3500</v>
      </c>
      <c r="S36">
        <v>1</v>
      </c>
    </row>
    <row r="37" spans="2:19" x14ac:dyDescent="0.4">
      <c r="B37" s="2"/>
      <c r="C37" s="20">
        <v>2500</v>
      </c>
      <c r="D37" s="20">
        <v>176.72349338287597</v>
      </c>
      <c r="E37" s="20">
        <v>53</v>
      </c>
    </row>
    <row r="38" spans="2:19" x14ac:dyDescent="0.4">
      <c r="C38" s="20">
        <v>2625</v>
      </c>
      <c r="D38" s="20">
        <v>186.511102757185</v>
      </c>
      <c r="E38" s="20">
        <v>54</v>
      </c>
    </row>
    <row r="39" spans="2:19" x14ac:dyDescent="0.4">
      <c r="C39" s="20">
        <v>2750</v>
      </c>
      <c r="D39" s="20">
        <v>196.298712131494</v>
      </c>
      <c r="E39" s="20">
        <v>55</v>
      </c>
    </row>
    <row r="40" spans="2:19" x14ac:dyDescent="0.4">
      <c r="C40" s="20">
        <v>2875</v>
      </c>
      <c r="D40" s="20">
        <v>206.08632150580399</v>
      </c>
      <c r="E40" s="20">
        <v>56</v>
      </c>
    </row>
    <row r="41" spans="2:19" x14ac:dyDescent="0.4">
      <c r="C41" s="20">
        <v>3000</v>
      </c>
      <c r="D41" s="20">
        <v>215.87393088011299</v>
      </c>
      <c r="E41" s="20">
        <v>57</v>
      </c>
    </row>
    <row r="42" spans="2:19" x14ac:dyDescent="0.4">
      <c r="C42" s="20">
        <v>3125</v>
      </c>
      <c r="D42" s="20">
        <v>225.66154025442199</v>
      </c>
      <c r="E42" s="20">
        <v>58</v>
      </c>
    </row>
    <row r="43" spans="2:19" x14ac:dyDescent="0.4">
      <c r="C43" s="20">
        <v>3250</v>
      </c>
      <c r="D43" s="20">
        <v>235.44914962873099</v>
      </c>
      <c r="E43" s="20">
        <v>59</v>
      </c>
    </row>
    <row r="44" spans="2:19" x14ac:dyDescent="0.4">
      <c r="C44" s="20">
        <v>3375</v>
      </c>
      <c r="D44" s="20">
        <v>245.23675900304099</v>
      </c>
      <c r="E44" s="20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2018-10-30T12:58:13Z</dcterms:modified>
</cp:coreProperties>
</file>