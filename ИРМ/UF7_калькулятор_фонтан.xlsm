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8443D8D2-BAB1-41EA-A0F6-EB1479C72898}" xr6:coauthVersionLast="41" xr6:coauthVersionMax="41" xr10:uidLastSave="{00000000-0000-0000-0000-000000000000}"/>
  <bookViews>
    <workbookView xWindow="-103" yWindow="-103" windowWidth="22149" windowHeight="12103" tabRatio="402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4" l="1"/>
  <c r="K9" i="4"/>
  <c r="K8" i="4"/>
  <c r="C49" i="4"/>
  <c r="T33" i="4"/>
  <c r="M35" i="4"/>
  <c r="I37" i="4"/>
  <c r="I33" i="4"/>
  <c r="C43" i="4"/>
  <c r="E36" i="4"/>
  <c r="E34" i="4"/>
  <c r="E32" i="4"/>
  <c r="T36" i="4"/>
  <c r="M37" i="4"/>
  <c r="I35" i="4"/>
  <c r="E37" i="4"/>
  <c r="E33" i="4"/>
  <c r="C23" i="4"/>
  <c r="V33" i="4"/>
  <c r="M32" i="4"/>
  <c r="C44" i="4"/>
  <c r="C35" i="4"/>
  <c r="C28" i="4"/>
  <c r="V36" i="4"/>
  <c r="V34" i="4"/>
  <c r="M40" i="4"/>
  <c r="M34" i="4"/>
  <c r="I36" i="4"/>
  <c r="I32" i="4"/>
  <c r="C40" i="4"/>
  <c r="C36" i="4"/>
  <c r="C34" i="4"/>
  <c r="C32" i="4"/>
  <c r="C26" i="4"/>
  <c r="T34" i="4"/>
  <c r="M33" i="4"/>
  <c r="C45" i="4"/>
  <c r="E35" i="4"/>
  <c r="G23" i="4"/>
  <c r="V35" i="4"/>
  <c r="M36" i="4"/>
  <c r="I34" i="4"/>
  <c r="C37" i="4"/>
  <c r="C33" i="4"/>
  <c r="C27" i="4"/>
  <c r="T35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<sst xmlns="http://schemas.openxmlformats.org/spreadsheetml/2006/main" count="273" uniqueCount="181">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</sst>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0.37248767726861487</c:v>
                </c:pt>
                <c:pt idx="1">
                  <c:v>0.44829913540071153</c:v>
                </c:pt>
                <c:pt idx="2">
                  <c:v>0.52585696398349357</c:v>
                </c:pt>
                <c:pt idx="3">
                  <c:v>0.58692163440342104</c:v>
                </c:pt>
                <c:pt idx="4">
                  <c:v>0.66136953924824293</c:v>
                </c:pt>
                <c:pt idx="5">
                  <c:v>0.73167545979787307</c:v>
                </c:pt>
                <c:pt idx="6">
                  <c:v>0.85084532001756574</c:v>
                </c:pt>
                <c:pt idx="7">
                  <c:v>0.98102692446753748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18.559660427544415</c:v>
                </c:pt>
                <c:pt idx="1">
                  <c:v>25.737953487080869</c:v>
                </c:pt>
                <c:pt idx="2">
                  <c:v>34.130348249943594</c:v>
                </c:pt>
                <c:pt idx="3">
                  <c:v>43.662680786974931</c:v>
                </c:pt>
                <c:pt idx="4">
                  <c:v>54.185458597730275</c:v>
                </c:pt>
                <c:pt idx="5">
                  <c:v>65.64260382769173</c:v>
                </c:pt>
                <c:pt idx="6">
                  <c:v>77.977404023116833</c:v>
                </c:pt>
                <c:pt idx="7">
                  <c:v>91.346729391052818</c:v>
                </c:pt>
                <c:pt idx="8">
                  <c:v>104.53512773581954</c:v>
                </c:pt>
                <c:pt idx="9">
                  <c:v>117.14409798103999</c:v>
                </c:pt>
                <c:pt idx="10">
                  <c:v>129.16091041260427</c:v>
                </c:pt>
                <c:pt idx="11">
                  <c:v>140.59340024087402</c:v>
                </c:pt>
                <c:pt idx="12">
                  <c:v>151.45100011161634</c:v>
                </c:pt>
                <c:pt idx="13">
                  <c:v>161.73526448154664</c:v>
                </c:pt>
                <c:pt idx="14">
                  <c:v>167.36316664864341</c:v>
                </c:pt>
                <c:pt idx="15">
                  <c:v>171.4178019257005</c:v>
                </c:pt>
                <c:pt idx="16">
                  <c:v>179.28944386005128</c:v>
                </c:pt>
                <c:pt idx="17">
                  <c:v>181.34684955191446</c:v>
                </c:pt>
                <c:pt idx="18">
                  <c:v>182.5953472178692</c:v>
                </c:pt>
                <c:pt idx="19">
                  <c:v>183.8434444592547</c:v>
                </c:pt>
                <c:pt idx="20">
                  <c:v>185.09137210958076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1092D902-E7FB-41C2-8023-6C1F3EB5C76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CA4542-4ECA-4177-8FB9-5053E9CE938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0F6BE2CD-6C70-461A-BD61-47649F8B74D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EB1BB9E-22C8-4E30-9AFD-5D0E2351E2D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4A0DAD-BA7C-4636-9789-8D7886E8F58D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6C89B6E-CA0E-443E-BD89-2FEF6AEF3EA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1</c:v>
                </c:pt>
                <c:pt idx="1">
                  <c:v>18.559660427544415</c:v>
                </c:pt>
                <c:pt idx="2">
                  <c:v>185.09137210958076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30.438441090043479</c:v>
                </c:pt>
                <c:pt idx="1">
                  <c:v>31.383445458884776</c:v>
                </c:pt>
                <c:pt idx="2">
                  <c:v>32.443382298933081</c:v>
                </c:pt>
                <c:pt idx="3">
                  <c:v>33.671872704166717</c:v>
                </c:pt>
                <c:pt idx="4">
                  <c:v>35.161998978297184</c:v>
                </c:pt>
                <c:pt idx="5">
                  <c:v>37.060633831313829</c:v>
                </c:pt>
                <c:pt idx="6">
                  <c:v>39.58159321651052</c:v>
                </c:pt>
                <c:pt idx="7">
                  <c:v>43.144525880094498</c:v>
                </c:pt>
                <c:pt idx="8">
                  <c:v>48.594103174909392</c:v>
                </c:pt>
                <c:pt idx="9">
                  <c:v>56.071361104326002</c:v>
                </c:pt>
                <c:pt idx="10">
                  <c:v>63.421779437179524</c:v>
                </c:pt>
                <c:pt idx="11">
                  <c:v>70.215194142259335</c:v>
                </c:pt>
                <c:pt idx="12">
                  <c:v>76.335809354014216</c:v>
                </c:pt>
                <c:pt idx="13">
                  <c:v>81.578857098400078</c:v>
                </c:pt>
                <c:pt idx="14">
                  <c:v>84.071969311134978</c:v>
                </c:pt>
                <c:pt idx="15">
                  <c:v>85.593742661908038</c:v>
                </c:pt>
                <c:pt idx="16">
                  <c:v>87.889967671145342</c:v>
                </c:pt>
                <c:pt idx="17">
                  <c:v>88.741767683314436</c:v>
                </c:pt>
                <c:pt idx="18">
                  <c:v>89.360927582489239</c:v>
                </c:pt>
                <c:pt idx="19">
                  <c:v>89.814445588423212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R16" sqref="R16"/>
    </sheetView>
  </sheetViews>
  <sheetFormatPr defaultRowHeight="14.6" x14ac:dyDescent="0.4"/>
  <sheetData>
    <row r="1" spans="1:5" x14ac:dyDescent="0.4">
      <c r="A1" t="str">
        <f>"вер "&amp;B1</f>
        <v>вер 7.3</v>
      </c>
      <c r="B1" s="16">
        <v>7.3</v>
      </c>
    </row>
    <row r="2" spans="1:5" x14ac:dyDescent="0.4">
      <c r="A2" t="s">
        <v>161</v>
      </c>
    </row>
    <row r="4" spans="1:5" x14ac:dyDescent="0.4">
      <c r="A4" s="53" t="str">
        <f>"Унифлок "&amp;версия_номер_</f>
        <v>Унифлок 7.3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26" zoomScaleNormal="100" workbookViewId="0">
      <selection activeCell="E41" sqref="E41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7.3</v>
      </c>
      <c r="J1" s="2" t="s">
        <v>23</v>
      </c>
      <c r="K1" s="2"/>
      <c r="L1" s="2"/>
    </row>
    <row r="2" spans="1:17" ht="17.149999999999999" x14ac:dyDescent="0.4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286.45044140535117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G72" sqref="G72"/>
    </sheetView>
  </sheetViews>
  <sheetFormatPr defaultRowHeight="14.6" x14ac:dyDescent="0.4"/>
  <sheetData>
    <row r="1" spans="1:16" x14ac:dyDescent="0.4">
      <c r="A1" t="str">
        <f>версия_</f>
        <v>вер 7.3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50" zoomScaleNormal="50" workbookViewId="0">
      <selection activeCell="P44" sqref="P44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7.3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1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100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25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260</v>
      </c>
      <c r="R7" s="5" t="s">
        <v>44</v>
      </c>
      <c r="AC7" t="s">
        <v>149</v>
      </c>
    </row>
    <row r="8" spans="1:34" ht="17.149999999999999" x14ac:dyDescent="0.4">
      <c r="B8" s="7" t="s">
        <v>34</v>
      </c>
      <c r="C8" s="12" t="s">
        <v>63</v>
      </c>
      <c r="D8" s="5" t="s">
        <v>35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1</v>
      </c>
      <c r="R10" s="5" t="s">
        <v>44</v>
      </c>
      <c r="S10" s="14" t="s">
        <v>55</v>
      </c>
      <c r="T10" s="25">
        <v>30.438441090043479</v>
      </c>
      <c r="U10" s="5" t="s">
        <v>25</v>
      </c>
    </row>
    <row r="11" spans="1:34" ht="17.149999999999999" x14ac:dyDescent="0.55000000000000004">
      <c r="P11" s="14" t="s">
        <v>46</v>
      </c>
      <c r="Q11" s="25">
        <v>18.559660427544415</v>
      </c>
      <c r="R11" s="5" t="s">
        <v>44</v>
      </c>
      <c r="S11" s="14" t="s">
        <v>56</v>
      </c>
      <c r="T11" s="25">
        <v>30.438441090043479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185.09137210958076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18.559660427544415</v>
      </c>
      <c r="P16">
        <v>0</v>
      </c>
      <c r="Q16">
        <v>30.438441090043479</v>
      </c>
      <c r="R16">
        <v>0</v>
      </c>
      <c r="S16">
        <v>0.37248767726861487</v>
      </c>
      <c r="U16">
        <v>0</v>
      </c>
      <c r="V16" s="50">
        <f>Pline_out_atma_</f>
        <v>1</v>
      </c>
    </row>
    <row r="17" spans="2:22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25.737953487080869</v>
      </c>
      <c r="P17">
        <v>184.21052631578948</v>
      </c>
      <c r="Q17">
        <v>31.383445458884776</v>
      </c>
      <c r="R17">
        <v>175</v>
      </c>
      <c r="S17">
        <v>0.44829913540071153</v>
      </c>
      <c r="U17">
        <v>0</v>
      </c>
      <c r="V17" s="50">
        <f>Pbuf_out_atma_</f>
        <v>18.559660427544415</v>
      </c>
    </row>
    <row r="18" spans="2:22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34.130348249943594</v>
      </c>
      <c r="P18">
        <v>368.42105263157896</v>
      </c>
      <c r="Q18">
        <v>32.443382298933081</v>
      </c>
      <c r="R18">
        <v>350</v>
      </c>
      <c r="S18">
        <v>0.52585696398349357</v>
      </c>
      <c r="U18">
        <f>Hperf_m_</f>
        <v>3500</v>
      </c>
      <c r="V18" s="50">
        <f>Pwf_out_atma_</f>
        <v>185.09137210958076</v>
      </c>
    </row>
    <row r="19" spans="2:22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43.662680786974931</v>
      </c>
      <c r="P19">
        <v>552.63157894736844</v>
      </c>
      <c r="Q19">
        <v>33.671872704166717</v>
      </c>
      <c r="R19">
        <v>525</v>
      </c>
      <c r="S19">
        <v>0.58692163440342104</v>
      </c>
    </row>
    <row r="20" spans="2:22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54.185458597730275</v>
      </c>
      <c r="P20">
        <v>736.84210526315792</v>
      </c>
      <c r="Q20">
        <v>35.161998978297184</v>
      </c>
      <c r="R20">
        <v>700</v>
      </c>
      <c r="S20">
        <v>0.66136953924824293</v>
      </c>
    </row>
    <row r="21" spans="2:22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65.64260382769173</v>
      </c>
      <c r="P21">
        <v>921.0526315789474</v>
      </c>
      <c r="Q21">
        <v>37.060633831313829</v>
      </c>
      <c r="R21">
        <v>875</v>
      </c>
      <c r="S21">
        <v>0.73167545979787307</v>
      </c>
    </row>
    <row r="22" spans="2:22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77.977404023116833</v>
      </c>
      <c r="P22">
        <v>1105.2631578947369</v>
      </c>
      <c r="Q22">
        <v>39.58159321651052</v>
      </c>
      <c r="R22">
        <v>1050</v>
      </c>
      <c r="S22">
        <v>0.85084532001756574</v>
      </c>
    </row>
    <row r="23" spans="2:22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91.346729391052818</v>
      </c>
      <c r="P23">
        <v>1289.4736842105262</v>
      </c>
      <c r="Q23">
        <v>43.144525880094498</v>
      </c>
      <c r="R23">
        <v>1225</v>
      </c>
      <c r="S23">
        <v>0.98102692446753748</v>
      </c>
    </row>
    <row r="24" spans="2:22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104.53512773581954</v>
      </c>
      <c r="P24">
        <v>1473.6842105263158</v>
      </c>
      <c r="Q24">
        <v>48.594103174909392</v>
      </c>
      <c r="R24">
        <v>1400</v>
      </c>
      <c r="S24">
        <v>1</v>
      </c>
    </row>
    <row r="25" spans="2:22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117.14409798103999</v>
      </c>
      <c r="P25">
        <v>1657.8947368421054</v>
      </c>
      <c r="Q25">
        <v>56.071361104326002</v>
      </c>
      <c r="R25">
        <v>1575</v>
      </c>
      <c r="S25">
        <v>1</v>
      </c>
    </row>
    <row r="26" spans="2:22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129.16091041260427</v>
      </c>
      <c r="P26">
        <v>1842.1052631578948</v>
      </c>
      <c r="Q26">
        <v>63.421779437179524</v>
      </c>
      <c r="R26">
        <v>1750</v>
      </c>
      <c r="S26">
        <v>1</v>
      </c>
    </row>
    <row r="27" spans="2:22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140.59340024087402</v>
      </c>
      <c r="P27">
        <v>2026.3157894736842</v>
      </c>
      <c r="Q27">
        <v>70.215194142259335</v>
      </c>
      <c r="R27">
        <v>1925</v>
      </c>
      <c r="S27">
        <v>1</v>
      </c>
    </row>
    <row r="28" spans="2:22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151.45100011161634</v>
      </c>
      <c r="P28">
        <v>2210.5263157894738</v>
      </c>
      <c r="Q28">
        <v>76.335809354014216</v>
      </c>
      <c r="R28">
        <v>2100</v>
      </c>
      <c r="S28">
        <v>1</v>
      </c>
    </row>
    <row r="29" spans="2:22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161.73526448154664</v>
      </c>
      <c r="P29">
        <v>2394.7368421052633</v>
      </c>
      <c r="Q29">
        <v>81.578857098400078</v>
      </c>
      <c r="R29">
        <v>2275</v>
      </c>
      <c r="S29">
        <v>1</v>
      </c>
    </row>
    <row r="30" spans="2:22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167.36316664864341</v>
      </c>
      <c r="P30">
        <v>2500</v>
      </c>
      <c r="Q30">
        <v>84.071969311134978</v>
      </c>
      <c r="R30">
        <v>2450</v>
      </c>
      <c r="S30">
        <v>1</v>
      </c>
    </row>
    <row r="31" spans="2:22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171.4178019257005</v>
      </c>
      <c r="P31">
        <v>2578.9473684210525</v>
      </c>
      <c r="Q31">
        <v>85.593742661908038</v>
      </c>
      <c r="R31">
        <v>2625</v>
      </c>
      <c r="S31">
        <v>1</v>
      </c>
    </row>
    <row r="32" spans="2:22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179.28944386005128</v>
      </c>
      <c r="P32">
        <v>2763.1578947368421</v>
      </c>
      <c r="Q32">
        <v>87.889967671145342</v>
      </c>
      <c r="R32">
        <v>2800</v>
      </c>
      <c r="S32">
        <v>1</v>
      </c>
    </row>
    <row r="33" spans="2:19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181.34684955191446</v>
      </c>
      <c r="P33">
        <v>2947.3684210526317</v>
      </c>
      <c r="Q33">
        <v>88.741767683314436</v>
      </c>
      <c r="R33">
        <v>2975</v>
      </c>
      <c r="S33">
        <v>1</v>
      </c>
    </row>
    <row r="34" spans="2:19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182.5953472178692</v>
      </c>
      <c r="P34">
        <v>3131.5789473684213</v>
      </c>
      <c r="Q34">
        <v>89.360927582489239</v>
      </c>
      <c r="R34">
        <v>3150</v>
      </c>
      <c r="S34">
        <v>1</v>
      </c>
    </row>
    <row r="35" spans="2:19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183.8434444592547</v>
      </c>
      <c r="P35">
        <v>3315.7894736842109</v>
      </c>
      <c r="Q35">
        <v>89.814445588423212</v>
      </c>
      <c r="R35">
        <v>3325</v>
      </c>
      <c r="S35">
        <v>1</v>
      </c>
    </row>
    <row r="36" spans="2:19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185.09137210958076</v>
      </c>
      <c r="P36">
        <v>3500</v>
      </c>
      <c r="Q36">
        <v>90</v>
      </c>
      <c r="R36">
        <v>3500</v>
      </c>
      <c r="S36">
        <v>1</v>
      </c>
    </row>
    <row r="37" spans="2:19" x14ac:dyDescent="0.4">
      <c r="B37" s="2"/>
      <c r="C37" s="18">
        <v>2500</v>
      </c>
      <c r="D37" s="18">
        <v>176.72349338287597</v>
      </c>
      <c r="E37" s="18">
        <v>53</v>
      </c>
    </row>
    <row r="38" spans="2:19" x14ac:dyDescent="0.4">
      <c r="C38" s="18">
        <v>2625</v>
      </c>
      <c r="D38" s="18">
        <v>186.511102757185</v>
      </c>
      <c r="E38" s="18">
        <v>54</v>
      </c>
    </row>
    <row r="39" spans="2:19" x14ac:dyDescent="0.4">
      <c r="C39" s="18">
        <v>2750</v>
      </c>
      <c r="D39" s="18">
        <v>196.298712131494</v>
      </c>
      <c r="E39" s="18">
        <v>55</v>
      </c>
    </row>
    <row r="40" spans="2:19" x14ac:dyDescent="0.4">
      <c r="C40" s="18">
        <v>2875</v>
      </c>
      <c r="D40" s="18">
        <v>206.08632150580399</v>
      </c>
      <c r="E40" s="18">
        <v>56</v>
      </c>
    </row>
    <row r="41" spans="2:19" x14ac:dyDescent="0.4">
      <c r="C41" s="18">
        <v>3000</v>
      </c>
      <c r="D41" s="18">
        <v>215.87393088011299</v>
      </c>
      <c r="E41" s="18">
        <v>57</v>
      </c>
    </row>
    <row r="42" spans="2:19" x14ac:dyDescent="0.4">
      <c r="C42" s="18">
        <v>3125</v>
      </c>
      <c r="D42" s="18">
        <v>225.66154025442199</v>
      </c>
      <c r="E42" s="18">
        <v>58</v>
      </c>
    </row>
    <row r="43" spans="2:19" x14ac:dyDescent="0.4">
      <c r="C43" s="18">
        <v>3250</v>
      </c>
      <c r="D43" s="18">
        <v>235.44914962873099</v>
      </c>
      <c r="E43" s="18">
        <v>59</v>
      </c>
    </row>
    <row r="44" spans="2:19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2019-03-17T12:54:14Z</dcterms:modified>
</cp:coreProperties>
</file>