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omments4.xml" ContentType="application/vnd.openxmlformats-officedocument.spreadsheetml.comment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ИРМ\"/>
    </mc:Choice>
  </mc:AlternateContent>
  <xr:revisionPtr revIDLastSave="0" documentId="13_ncr:1_{30F8DAA2-1654-4790-9DD9-54E3C894B939}" xr6:coauthVersionLast="41" xr6:coauthVersionMax="41" xr10:uidLastSave="{00000000-0000-0000-0000-000000000000}"/>
  <bookViews>
    <workbookView xWindow="-103" yWindow="-103" windowWidth="22149" windowHeight="12103" tabRatio="402" activeTab="1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Фонтан_расчет" sheetId="2" r:id="rId4"/>
  </sheets>
  <externalReferences>
    <externalReference r:id="rId5"/>
  </externalReferences>
  <definedNames>
    <definedName name="betta_fric_">Фонтан_расчет!$H$7</definedName>
    <definedName name="betta_grav_">Фонтан_расчет!$H$6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Фонтан_расчет!$J$2</definedName>
    <definedName name="correlation_PVT_fontan_">Фонтан_расчет!$E$2</definedName>
    <definedName name="correlation_T_fontan_">Фонтан_расчет!$O$2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lout_">Фонтан_расчет!$S$16:$S$36</definedName>
    <definedName name="Hlout_hmes_m_">Фонтан_расчет!$R$16:$R$36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Фонтан_расчет!$C$17:$C$352</definedName>
    <definedName name="hmes_out_">Фонтан_расчет!$H$16:$H$36</definedName>
    <definedName name="hmes_tamb_m_">'Конструкция фонтан'!$E$19:$E$38</definedName>
    <definedName name="hmes_tamb_out_m_" localSheetId="3">Фонтан_расчет!$K$16:$K$36</definedName>
    <definedName name="hmes_tamb_out_m_">'Конструкция фонтан'!$S$18:$S$38</definedName>
    <definedName name="Hout_">Фонтан_расчет!$N$17:$N$36</definedName>
    <definedName name="Hperf_m_">'Конструкция фонтан'!$C$9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3">Фонтан_расчет!$L$16:$L$36</definedName>
    <definedName name="HydrCorr_">Фонтан_расчет!$AA$6</definedName>
    <definedName name="HydrCorr_selector_">Фонтан_расчет!$AB$3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Фонтан_расчет!$D$17:$D$352</definedName>
    <definedName name="Pb_atma_" localSheetId="1">PVT!$G$15</definedName>
    <definedName name="Pb_diff_">PVT!$W$33</definedName>
    <definedName name="Pbuf_atma_">Фонтан_расчет!$Q$6</definedName>
    <definedName name="Pbuf_out_atma_">Фонтан_расчет!$Q$11</definedName>
    <definedName name="Plin_mes_atma_">Фонтан_расчет!$D$16</definedName>
    <definedName name="Pline_atma_">Фонтан_расчет!$Q$5</definedName>
    <definedName name="Pline_out_atma_">Фонтан_расчет!$Q$10</definedName>
    <definedName name="pmes_out_">Фонтан_расчет!$I$16:$I$36</definedName>
    <definedName name="Pout_">Фонтан_расчет!$O$17:$O$36</definedName>
    <definedName name="Pout_atma_">Фонтан_расчет!$O$16:$O$36</definedName>
    <definedName name="Pout_hmes_m_">Фонтан_расчет!$N$16:$N$36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VT_correlation_" localSheetId="1">PVT!$H$3</definedName>
    <definedName name="PVT_selector_">Фонтан_расчет!$X$3</definedName>
    <definedName name="Pwf_atma_">Фонтан_расчет!$Q$7</definedName>
    <definedName name="Pwf_out_atma_">Фонтан_расчет!$Q$12</definedName>
    <definedName name="Ql_scm3day_" localSheetId="1">PVT!$K$8</definedName>
    <definedName name="Ql_scm3day_" localSheetId="3">Фонтан_расчет!$C$6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3">Фонтан_расчет!$C$9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Фонтан_расчет!$E$17:$E$352</definedName>
    <definedName name="tamb_C_">'Конструкция фонтан'!$F$19:$F$38</definedName>
    <definedName name="tamb_out_C_" localSheetId="3">Фонтан_расчет!$M$16:$M$36</definedName>
    <definedName name="tamb_out_C_">'Конструкция фонтан'!$T$18:$T$38</definedName>
    <definedName name="Tbh_c_">Фонтан_расчет!$M$6</definedName>
    <definedName name="Tbuf_out_C_">Фонтан_расчет!$T$11</definedName>
    <definedName name="Tlin_mes_C_">Фонтан_расчет!$E$16</definedName>
    <definedName name="Tline_out_C_">Фонтан_расчет!$T$10</definedName>
    <definedName name="tmes_out_">Фонтан_расчет!$J$16:$J$36</definedName>
    <definedName name="Tout_C_">Фонтан_расчет!$Q$16:$Q$36</definedName>
    <definedName name="Tout_hmes_m_">Фонтан_расчет!$P$16:$P$36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Фонтан_расчет!$T$12</definedName>
    <definedName name="Twh_C_">Фонтан_расчет!$M$7</definedName>
    <definedName name="udl_out_m_">'Конструкция фонтан'!$R$18:$R$38</definedName>
    <definedName name="wc_perc_" localSheetId="1">PVT!$K$9</definedName>
    <definedName name="wc_perc_" localSheetId="3">Фонтан_расчет!$C$7</definedName>
    <definedName name="версия_">Унифлок!$A$1</definedName>
    <definedName name="версия_номер_">Унифлок!$B$1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40" i="4" l="1"/>
  <c r="K11" i="4" l="1"/>
  <c r="K9" i="4"/>
  <c r="K8" i="4"/>
  <c r="M37" i="4"/>
  <c r="M33" i="4"/>
  <c r="I35" i="4"/>
  <c r="C45" i="4"/>
  <c r="E37" i="4"/>
  <c r="E35" i="4"/>
  <c r="E33" i="4"/>
  <c r="G23" i="4"/>
  <c r="C23" i="4"/>
  <c r="C26" i="4" s="1"/>
  <c r="I37" i="4"/>
  <c r="C43" i="4"/>
  <c r="E34" i="4"/>
  <c r="C27" i="4"/>
  <c r="M40" i="4"/>
  <c r="I36" i="4"/>
  <c r="C32" i="4"/>
  <c r="V33" i="4"/>
  <c r="M36" i="4"/>
  <c r="M32" i="4"/>
  <c r="I34" i="4"/>
  <c r="C44" i="4"/>
  <c r="C37" i="4"/>
  <c r="C35" i="4"/>
  <c r="C33" i="4"/>
  <c r="C28" i="4"/>
  <c r="T35" i="4"/>
  <c r="T33" i="4"/>
  <c r="M35" i="4"/>
  <c r="I33" i="4"/>
  <c r="E36" i="4"/>
  <c r="E32" i="4"/>
  <c r="C49" i="4"/>
  <c r="M34" i="4"/>
  <c r="I32" i="4"/>
  <c r="C36" i="4"/>
  <c r="C34" i="4"/>
  <c r="V36" i="4"/>
  <c r="V34" i="4"/>
  <c r="T36" i="4"/>
  <c r="T34" i="4"/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V35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<sst xmlns="http://schemas.openxmlformats.org/spreadsheetml/2006/main" count="268" uniqueCount="176">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</sst>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56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Фонтан_расчет!$S$16:$S$36</c:f>
              <c:numCache>
                <c:formatCode>General</c:formatCode>
                <c:ptCount val="21"/>
                <c:pt idx="0">
                  <c:v>0.37273112971756645</c:v>
                </c:pt>
                <c:pt idx="1">
                  <c:v>0.44903144588389643</c:v>
                </c:pt>
                <c:pt idx="2">
                  <c:v>0.5273915470884375</c:v>
                </c:pt>
                <c:pt idx="3">
                  <c:v>0.5896952606139203</c:v>
                </c:pt>
                <c:pt idx="4">
                  <c:v>0.66591028560821264</c:v>
                </c:pt>
                <c:pt idx="5">
                  <c:v>0.73873633573106756</c:v>
                </c:pt>
                <c:pt idx="6">
                  <c:v>0.87367867481849726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Фонтан_расчет!$R$16:$R$36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Фонтан_расчет!$N$14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Фонтан_расчет!$O$16:$O$36</c:f>
              <c:numCache>
                <c:formatCode>General</c:formatCode>
                <c:ptCount val="21"/>
                <c:pt idx="0">
                  <c:v>18.5546875</c:v>
                </c:pt>
                <c:pt idx="1">
                  <c:v>25.745749241220718</c:v>
                </c:pt>
                <c:pt idx="2">
                  <c:v>34.164859183953098</c:v>
                </c:pt>
                <c:pt idx="3">
                  <c:v>43.750465083248137</c:v>
                </c:pt>
                <c:pt idx="4">
                  <c:v>54.350567379967011</c:v>
                </c:pt>
                <c:pt idx="5">
                  <c:v>65.923572194590136</c:v>
                </c:pt>
                <c:pt idx="6">
                  <c:v>78.524462143519557</c:v>
                </c:pt>
                <c:pt idx="7">
                  <c:v>92.203062895950396</c:v>
                </c:pt>
                <c:pt idx="8">
                  <c:v>105.54968529849593</c:v>
                </c:pt>
                <c:pt idx="9">
                  <c:v>118.35466354644016</c:v>
                </c:pt>
                <c:pt idx="10">
                  <c:v>130.55060671813649</c:v>
                </c:pt>
                <c:pt idx="11">
                  <c:v>142.13766104452128</c:v>
                </c:pt>
                <c:pt idx="12">
                  <c:v>153.12571956678426</c:v>
                </c:pt>
                <c:pt idx="13">
                  <c:v>163.51488951158555</c:v>
                </c:pt>
                <c:pt idx="14">
                  <c:v>169.19040574179164</c:v>
                </c:pt>
                <c:pt idx="15">
                  <c:v>173.27294874101116</c:v>
                </c:pt>
                <c:pt idx="16">
                  <c:v>181.18309665675298</c:v>
                </c:pt>
                <c:pt idx="17">
                  <c:v>183.24542144951729</c:v>
                </c:pt>
                <c:pt idx="18">
                  <c:v>184.49564946143971</c:v>
                </c:pt>
                <c:pt idx="19">
                  <c:v>185.74509851183748</c:v>
                </c:pt>
                <c:pt idx="20">
                  <c:v>186.99376899199459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Фонтан_расчет!$H$14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94E73063-E5B0-46F0-A547-614A8414D978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C8BB1A69-4927-4360-8459-6A9A4D1BF996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07102F9B-98A2-4505-BFDF-133527BD884B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526C3D6B-4D0F-40E5-BA43-716313781F60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D50CD4C-D87A-4091-8F71-1633B8AD583C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3A61ADD6-1908-4015-9DE5-AE8B7BC980DB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Фонтан_расчет!$V$16:$V$18</c:f>
              <c:numCache>
                <c:formatCode>0</c:formatCode>
                <c:ptCount val="3"/>
                <c:pt idx="0">
                  <c:v>5</c:v>
                </c:pt>
                <c:pt idx="1">
                  <c:v>18.5546875</c:v>
                </c:pt>
                <c:pt idx="2">
                  <c:v>186.99376899199459</c:v>
                </c:pt>
              </c:numCache>
            </c:numRef>
          </c:xVal>
          <c:yVal>
            <c:numRef>
              <c:f>Фонтан_расчет!$U$16:$U$18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Фонтан_расчет!$P$10:$P$12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Фонтан_расчет!$Q$16:$Q$36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Фонтан_расчет!$J$16:$J$36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0.xml><?xml version="1.0" encoding="utf-8"?>
<formControlPr xmlns="http://schemas.microsoft.com/office/spreadsheetml/2009/9/main" objectType="Drop" dropLines="6" dropStyle="combo" dx="22" fmlaLink="$AB$3" fmlaRange="$AC$3:$AC$8" noThreeD="1" sel="1" val="0"/>
</file>

<file path=xl/ctrlProps/ctrlProp11.xml><?xml version="1.0" encoding="utf-8"?>
<formControlPr xmlns="http://schemas.microsoft.com/office/spreadsheetml/2009/9/main" objectType="Drop" dropLines="3" dropStyle="combo" dx="22" fmlaLink="$AG$3" fmlaRange="$AH$3:$AH$5" noThreeD="1" sel="2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141514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7</xdr:row>
          <xdr:rowOff>201386</xdr:rowOff>
        </xdr:from>
        <xdr:to>
          <xdr:col>20</xdr:col>
          <xdr:colOff>598714</xdr:colOff>
          <xdr:row>11</xdr:row>
          <xdr:rowOff>59871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11</xdr:row>
          <xdr:rowOff>87086</xdr:rowOff>
        </xdr:from>
        <xdr:to>
          <xdr:col>20</xdr:col>
          <xdr:colOff>598714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10886</xdr:colOff>
          <xdr:row>14</xdr:row>
          <xdr:rowOff>206829</xdr:rowOff>
        </xdr:from>
        <xdr:to>
          <xdr:col>20</xdr:col>
          <xdr:colOff>582386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174171</xdr:colOff>
          <xdr:row>55</xdr:row>
          <xdr:rowOff>103414</xdr:rowOff>
        </xdr:from>
        <xdr:to>
          <xdr:col>21</xdr:col>
          <xdr:colOff>277586</xdr:colOff>
          <xdr:row>58</xdr:row>
          <xdr:rowOff>48986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65314</xdr:rowOff>
        </xdr:from>
        <xdr:to>
          <xdr:col>18</xdr:col>
          <xdr:colOff>288471</xdr:colOff>
          <xdr:row>14</xdr:row>
          <xdr:rowOff>27214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20</xdr:col>
      <xdr:colOff>325211</xdr:colOff>
      <xdr:row>15</xdr:row>
      <xdr:rowOff>78922</xdr:rowOff>
    </xdr:from>
    <xdr:to>
      <xdr:col>27</xdr:col>
      <xdr:colOff>506186</xdr:colOff>
      <xdr:row>46</xdr:row>
      <xdr:rowOff>145597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540204</xdr:colOff>
      <xdr:row>15</xdr:row>
      <xdr:rowOff>46265</xdr:rowOff>
    </xdr:from>
    <xdr:to>
      <xdr:col>35</xdr:col>
      <xdr:colOff>145369</xdr:colOff>
      <xdr:row>46</xdr:row>
      <xdr:rowOff>151039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332014</xdr:colOff>
          <xdr:row>3</xdr:row>
          <xdr:rowOff>141514</xdr:rowOff>
        </xdr:from>
        <xdr:to>
          <xdr:col>27</xdr:col>
          <xdr:colOff>353786</xdr:colOff>
          <xdr:row>7</xdr:row>
          <xdr:rowOff>59871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353786</xdr:colOff>
          <xdr:row>7</xdr:row>
          <xdr:rowOff>114300</xdr:rowOff>
        </xdr:from>
        <xdr:to>
          <xdr:col>27</xdr:col>
          <xdr:colOff>381000</xdr:colOff>
          <xdr:row>11</xdr:row>
          <xdr:rowOff>10886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10886</xdr:colOff>
          <xdr:row>2</xdr:row>
          <xdr:rowOff>38100</xdr:rowOff>
        </xdr:from>
        <xdr:to>
          <xdr:col>3</xdr:col>
          <xdr:colOff>598714</xdr:colOff>
          <xdr:row>3</xdr:row>
          <xdr:rowOff>59871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10886</xdr:colOff>
          <xdr:row>2</xdr:row>
          <xdr:rowOff>27214</xdr:rowOff>
        </xdr:from>
        <xdr:to>
          <xdr:col>9</xdr:col>
          <xdr:colOff>10886</xdr:colOff>
          <xdr:row>3</xdr:row>
          <xdr:rowOff>48986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10886</xdr:colOff>
          <xdr:row>2</xdr:row>
          <xdr:rowOff>10886</xdr:rowOff>
        </xdr:from>
        <xdr:to>
          <xdr:col>14</xdr:col>
          <xdr:colOff>0</xdr:colOff>
          <xdr:row>3</xdr:row>
          <xdr:rowOff>21771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7.4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MF_Mumix_cP"/>
      <definedName name="MF_Qmix_m3day"/>
      <definedName name="MF_Rhomix_kgm3"/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R16" sqref="R16"/>
    </sheetView>
  </sheetViews>
  <sheetFormatPr defaultRowHeight="14.6" x14ac:dyDescent="0.4"/>
  <sheetData>
    <row r="1" spans="1:5" x14ac:dyDescent="0.4">
      <c r="A1" t="str">
        <f>"вер "&amp;B1</f>
        <v>вер 7.3</v>
      </c>
      <c r="B1" s="16">
        <v>7.3</v>
      </c>
    </row>
    <row r="2" spans="1:5" x14ac:dyDescent="0.4">
      <c r="A2" t="s">
        <v>161</v>
      </c>
    </row>
    <row r="4" spans="1:5" x14ac:dyDescent="0.4">
      <c r="A4" s="53" t="str">
        <f>"Унифлок "&amp;версия_номер_</f>
        <v>Унифлок 7.3</v>
      </c>
      <c r="B4" s="53"/>
      <c r="C4" s="53"/>
      <c r="D4" s="53"/>
      <c r="E4" s="5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abSelected="1" topLeftCell="A26" zoomScaleNormal="100" workbookViewId="0">
      <selection activeCell="E41" sqref="E41"/>
    </sheetView>
  </sheetViews>
  <sheetFormatPr defaultRowHeight="14.6" outlineLevelRow="1" x14ac:dyDescent="0.4"/>
  <cols>
    <col min="1" max="1" width="7.3046875" style="11" customWidth="1"/>
    <col min="2" max="2" width="12.3046875" customWidth="1"/>
    <col min="4" max="4" width="10.15234375" customWidth="1"/>
    <col min="7" max="7" width="12.3046875" style="1" customWidth="1"/>
    <col min="8" max="8" width="13.15234375" customWidth="1"/>
    <col min="9" max="9" width="11" customWidth="1"/>
    <col min="13" max="13" width="10" customWidth="1"/>
    <col min="14" max="14" width="10.15234375" customWidth="1"/>
  </cols>
  <sheetData>
    <row r="1" spans="1:17" x14ac:dyDescent="0.4">
      <c r="A1" s="11" t="str">
        <f>версия_</f>
        <v>вер 7.3</v>
      </c>
      <c r="J1" s="2" t="s">
        <v>23</v>
      </c>
      <c r="K1" s="2"/>
      <c r="L1" s="2"/>
    </row>
    <row r="2" spans="1:17" ht="17.149999999999999" x14ac:dyDescent="0.4">
      <c r="A2" s="53" t="s">
        <v>0</v>
      </c>
      <c r="B2" s="53"/>
      <c r="C2" s="53"/>
      <c r="D2" s="53"/>
      <c r="E2" s="53"/>
      <c r="J2" s="6" t="s">
        <v>26</v>
      </c>
      <c r="K2" s="9">
        <v>1</v>
      </c>
      <c r="L2" s="5" t="s">
        <v>6</v>
      </c>
    </row>
    <row r="3" spans="1:17" ht="18" customHeight="1" x14ac:dyDescent="0.4">
      <c r="F3" s="54" t="s">
        <v>74</v>
      </c>
      <c r="G3" s="54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4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4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55" t="s">
        <v>28</v>
      </c>
      <c r="O7" s="55"/>
      <c r="P7" s="55"/>
      <c r="Q7" s="55"/>
    </row>
    <row r="8" spans="1:17" ht="17.149999999999999" x14ac:dyDescent="0.4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Фонтан_расчет!Ql_scm3day_</f>
        <v>100</v>
      </c>
      <c r="L8" s="5" t="s">
        <v>33</v>
      </c>
      <c r="N8" s="6" t="s">
        <v>29</v>
      </c>
      <c r="O8" s="9">
        <v>0</v>
      </c>
      <c r="P8" s="5"/>
      <c r="Q8" s="2"/>
    </row>
    <row r="9" spans="1:17" ht="17.149999999999999" x14ac:dyDescent="0.4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Фонтан_расчет!wc_perc_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7.149999999999999" x14ac:dyDescent="0.4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86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7.149999999999999" x14ac:dyDescent="0.4">
      <c r="F11" s="7" t="s">
        <v>15</v>
      </c>
      <c r="G11" s="9">
        <v>100</v>
      </c>
      <c r="H11" s="5" t="s">
        <v>17</v>
      </c>
      <c r="J11" s="7" t="s">
        <v>18</v>
      </c>
      <c r="K11" s="52">
        <f>Фонтан_расчет!Rp_m3m3_</f>
        <v>100</v>
      </c>
      <c r="L11" s="5" t="s">
        <v>17</v>
      </c>
    </row>
    <row r="12" spans="1:17" ht="17.149999999999999" x14ac:dyDescent="0.4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4">
      <c r="F13" s="2" t="s">
        <v>5</v>
      </c>
      <c r="G13" s="2"/>
      <c r="H13" s="2"/>
    </row>
    <row r="14" spans="1:17" ht="17.149999999999999" x14ac:dyDescent="0.4">
      <c r="F14" s="5" t="s">
        <v>16</v>
      </c>
      <c r="G14" s="9">
        <v>80</v>
      </c>
      <c r="H14" s="5" t="s">
        <v>75</v>
      </c>
    </row>
    <row r="15" spans="1:17" ht="17.149999999999999" x14ac:dyDescent="0.4">
      <c r="F15" s="5" t="s">
        <v>20</v>
      </c>
      <c r="G15" s="9">
        <v>100</v>
      </c>
      <c r="H15" s="5" t="s">
        <v>2</v>
      </c>
    </row>
    <row r="16" spans="1:17" ht="17.149999999999999" x14ac:dyDescent="0.4">
      <c r="F16" s="7" t="s">
        <v>21</v>
      </c>
      <c r="G16" s="9"/>
      <c r="H16" s="5" t="s">
        <v>17</v>
      </c>
    </row>
    <row r="17" spans="2:33" ht="17.149999999999999" x14ac:dyDescent="0.4">
      <c r="F17" s="8" t="s">
        <v>22</v>
      </c>
      <c r="G17" s="9"/>
      <c r="H17" s="5" t="s">
        <v>7</v>
      </c>
    </row>
    <row r="20" spans="2:33" x14ac:dyDescent="0.4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4"/>
    <row r="22" spans="2:33" outlineLevel="1" x14ac:dyDescent="0.4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7.149999999999999" outlineLevel="1" x14ac:dyDescent="0.4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7.149999999999999" outlineLevel="1" x14ac:dyDescent="0.4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7.149999999999999" outlineLevel="1" x14ac:dyDescent="0.4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7.149999999999999" outlineLevel="1" x14ac:dyDescent="0.4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7.149999999999999" outlineLevel="1" x14ac:dyDescent="0.4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7.149999999999999" outlineLevel="1" x14ac:dyDescent="0.4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4"/>
    <row r="30" spans="2:33" outlineLevel="1" x14ac:dyDescent="0.4"/>
    <row r="31" spans="2:33" outlineLevel="1" x14ac:dyDescent="0.4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7.149999999999999" outlineLevel="1" x14ac:dyDescent="0.55000000000000004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7.149999999999999" outlineLevel="1" x14ac:dyDescent="0.4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7.149999999999999" outlineLevel="1" x14ac:dyDescent="0.4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7.149999999999999" outlineLevel="1" x14ac:dyDescent="0.4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7.149999999999999" outlineLevel="1" x14ac:dyDescent="0.4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7.149999999999999" outlineLevel="1" x14ac:dyDescent="0.4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7.149999999999999" outlineLevel="1" x14ac:dyDescent="0.4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7.149999999999999" outlineLevel="1" x14ac:dyDescent="0.4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7.149999999999999" outlineLevel="1" x14ac:dyDescent="0.4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4">
      <c r="L41" s="31"/>
    </row>
    <row r="42" spans="2:33" outlineLevel="1" x14ac:dyDescent="0.4">
      <c r="B42" s="2" t="s">
        <v>120</v>
      </c>
      <c r="C42" s="2"/>
      <c r="D42" s="2"/>
      <c r="E42" s="28"/>
      <c r="F42" s="31"/>
      <c r="L42" s="31"/>
    </row>
    <row r="43" spans="2:33" ht="17.149999999999999" outlineLevel="1" x14ac:dyDescent="0.4">
      <c r="B43" s="7" t="s">
        <v>121</v>
      </c>
      <c r="C43" s="40">
        <f>[1]!MF_Qmix_m3day(Ql_scm3day_,wc_perc_,P_atma_,T_C_,gamma_gas_,gamma_oil_,gamma_w_,Rsb_m3m3_,Rp_m3m3_,Pb_atma_,Tres_C_,Bob_m3m3_,mu_cP_,PVT_correlation_,Ksep_,Psep_atma_,Tsep_C_)</f>
        <v>286.45044140535117</v>
      </c>
      <c r="D43" s="5" t="s">
        <v>33</v>
      </c>
      <c r="E43" s="28"/>
      <c r="F43" s="31"/>
      <c r="L43" s="31"/>
    </row>
    <row r="44" spans="2:33" ht="17.149999999999999" outlineLevel="1" x14ac:dyDescent="0.4">
      <c r="B44" s="5" t="s">
        <v>122</v>
      </c>
      <c r="C44" s="40">
        <f>[1]!MF_Rhomix_kgm3(Ql_scm3day_,wc_perc_,P_atma_,T_C_,gamma_gas_,gamma_oil_,gamma_w_,Rsb_m3m3_,Rp_m3m3_,Pb_atma_,Tres_C_,Bob_m3m3_,mu_cP_,PVT_correlation_,Ksep_,Psep_atma_,Tsep_C_)</f>
        <v>330.08118101029993</v>
      </c>
      <c r="D44" s="5" t="s">
        <v>82</v>
      </c>
      <c r="E44" s="28"/>
      <c r="F44" s="31"/>
      <c r="X44">
        <f>gamma_gas_</f>
        <v>0.7</v>
      </c>
    </row>
    <row r="45" spans="2:33" ht="17.149999999999999" outlineLevel="1" x14ac:dyDescent="0.4">
      <c r="B45" s="5" t="s">
        <v>123</v>
      </c>
      <c r="C45" s="40">
        <f>[1]!MF_Mumix_cP(Ql_scm3day_,wc_perc_,P_atma_,T_C_,gamma_gas_,gamma_oil_,gamma_w_,Rsb_m3m3_,Rp_m3m3_,Pb_atma_,Tres_C_,Bob_m3m3_,mu_cP_,PVT_correlation_,Ksep_,Psep_atma_,Tsep_C_)</f>
        <v>1.3355322038116846</v>
      </c>
      <c r="D45" s="5" t="s">
        <v>7</v>
      </c>
      <c r="E45" s="28"/>
      <c r="F45" s="31"/>
    </row>
    <row r="46" spans="2:33" ht="17.149999999999999" outlineLevel="1" x14ac:dyDescent="0.4">
      <c r="B46" s="5" t="s">
        <v>124</v>
      </c>
      <c r="E46" s="31"/>
      <c r="F46" s="31"/>
    </row>
    <row r="47" spans="2:33" ht="17.149999999999999" outlineLevel="1" x14ac:dyDescent="0.4">
      <c r="B47" s="5" t="s">
        <v>125</v>
      </c>
      <c r="E47" s="31"/>
      <c r="F47" s="31"/>
    </row>
    <row r="48" spans="2:33" ht="17.149999999999999" outlineLevel="1" x14ac:dyDescent="0.4">
      <c r="B48" s="5" t="s">
        <v>126</v>
      </c>
      <c r="E48" s="31"/>
      <c r="F48" s="31"/>
    </row>
    <row r="49" spans="1:29" outlineLevel="1" x14ac:dyDescent="0.4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4">
      <c r="E50" s="31"/>
      <c r="F50" s="31"/>
    </row>
    <row r="51" spans="1:29" outlineLevel="1" x14ac:dyDescent="0.4">
      <c r="E51" s="31"/>
      <c r="F51" s="31"/>
    </row>
    <row r="52" spans="1:29" outlineLevel="1" x14ac:dyDescent="0.4"/>
    <row r="53" spans="1:29" outlineLevel="1" x14ac:dyDescent="0.4"/>
    <row r="54" spans="1:29" x14ac:dyDescent="0.4">
      <c r="L54" s="31"/>
    </row>
    <row r="55" spans="1:29" x14ac:dyDescent="0.4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4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4">
      <c r="L57" s="31"/>
      <c r="M57" s="31"/>
    </row>
    <row r="58" spans="1:29" ht="17.149999999999999" outlineLevel="1" x14ac:dyDescent="0.4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4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4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4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4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4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4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4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4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4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4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4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4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4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4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4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4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4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4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4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4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4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4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4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4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4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4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4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4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4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4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4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4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4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4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4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4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4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4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4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4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4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4"/>
    <row r="101" spans="1:18" outlineLevel="1" x14ac:dyDescent="0.4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141514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21771</xdr:colOff>
                    <xdr:row>7</xdr:row>
                    <xdr:rowOff>201386</xdr:rowOff>
                  </from>
                  <to>
                    <xdr:col>20</xdr:col>
                    <xdr:colOff>598714</xdr:colOff>
                    <xdr:row>11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21771</xdr:colOff>
                    <xdr:row>11</xdr:row>
                    <xdr:rowOff>87086</xdr:rowOff>
                  </from>
                  <to>
                    <xdr:col>20</xdr:col>
                    <xdr:colOff>598714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10886</xdr:colOff>
                    <xdr:row>14</xdr:row>
                    <xdr:rowOff>206829</xdr:rowOff>
                  </from>
                  <to>
                    <xdr:col>20</xdr:col>
                    <xdr:colOff>582386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174171</xdr:colOff>
                    <xdr:row>55</xdr:row>
                    <xdr:rowOff>103414</xdr:rowOff>
                  </from>
                  <to>
                    <xdr:col>21</xdr:col>
                    <xdr:colOff>277586</xdr:colOff>
                    <xdr:row>58</xdr:row>
                    <xdr:rowOff>48986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>
      <selection activeCell="G72" sqref="G72"/>
    </sheetView>
  </sheetViews>
  <sheetFormatPr defaultRowHeight="14.6" x14ac:dyDescent="0.4"/>
  <sheetData>
    <row r="1" spans="1:16" x14ac:dyDescent="0.4">
      <c r="A1" t="str">
        <f>версия_</f>
        <v>вер 7.3</v>
      </c>
    </row>
    <row r="6" spans="1:16" x14ac:dyDescent="0.4">
      <c r="A6" s="11"/>
      <c r="B6" t="s">
        <v>37</v>
      </c>
      <c r="G6" s="1"/>
    </row>
    <row r="7" spans="1:16" x14ac:dyDescent="0.4">
      <c r="A7" s="11"/>
      <c r="G7" s="1"/>
    </row>
    <row r="8" spans="1:16" x14ac:dyDescent="0.4">
      <c r="A8" s="11"/>
      <c r="B8" s="17" t="s">
        <v>52</v>
      </c>
      <c r="C8" s="2"/>
      <c r="D8" s="2"/>
      <c r="G8" s="1"/>
    </row>
    <row r="9" spans="1:16" ht="17.149999999999999" x14ac:dyDescent="0.55000000000000004">
      <c r="A9" s="11"/>
      <c r="B9" s="14" t="s">
        <v>39</v>
      </c>
      <c r="C9" s="9">
        <v>3500</v>
      </c>
      <c r="D9" s="5" t="s">
        <v>38</v>
      </c>
      <c r="G9" s="1"/>
    </row>
    <row r="10" spans="1:16" ht="17.149999999999999" x14ac:dyDescent="0.55000000000000004">
      <c r="A10" s="11"/>
      <c r="B10" s="14" t="s">
        <v>40</v>
      </c>
      <c r="C10" s="9">
        <v>2500</v>
      </c>
      <c r="D10" s="5" t="s">
        <v>25</v>
      </c>
      <c r="G10" s="1"/>
    </row>
    <row r="11" spans="1:16" ht="17.149999999999999" x14ac:dyDescent="0.55000000000000004">
      <c r="A11" s="11"/>
      <c r="B11" s="14" t="s">
        <v>49</v>
      </c>
      <c r="C11" s="9">
        <v>140</v>
      </c>
      <c r="D11" s="5" t="s">
        <v>41</v>
      </c>
      <c r="G11" s="1"/>
    </row>
    <row r="12" spans="1:16" ht="17.149999999999999" x14ac:dyDescent="0.55000000000000004">
      <c r="A12" s="11"/>
      <c r="B12" s="14" t="s">
        <v>50</v>
      </c>
      <c r="C12" s="9">
        <v>65</v>
      </c>
      <c r="D12" s="5" t="s">
        <v>41</v>
      </c>
      <c r="G12" s="1"/>
    </row>
    <row r="13" spans="1:16" ht="17.149999999999999" x14ac:dyDescent="0.55000000000000004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4">
      <c r="A14" s="11"/>
      <c r="G14" s="1"/>
    </row>
    <row r="15" spans="1:16" x14ac:dyDescent="0.4">
      <c r="A15" s="11"/>
      <c r="G15" s="1"/>
    </row>
    <row r="16" spans="1:16" x14ac:dyDescent="0.4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7.149999999999999" x14ac:dyDescent="0.55000000000000004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4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4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4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4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4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4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4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4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4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4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4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4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4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4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4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4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4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4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4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4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4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4">
      <c r="A39" s="11"/>
      <c r="B39" s="9">
        <v>3500</v>
      </c>
      <c r="C39" s="9">
        <v>2500</v>
      </c>
      <c r="G39" s="1"/>
      <c r="M39" s="15"/>
      <c r="N39" s="15"/>
    </row>
    <row r="40" spans="1:29" x14ac:dyDescent="0.4">
      <c r="A40" s="11"/>
      <c r="B40" s="16"/>
      <c r="C40" s="16"/>
      <c r="G40" s="1"/>
      <c r="M40" s="15"/>
      <c r="N40" s="15"/>
    </row>
    <row r="41" spans="1:29" x14ac:dyDescent="0.4">
      <c r="A41" s="11"/>
      <c r="B41" s="16"/>
      <c r="C41" s="16"/>
      <c r="G41" s="1"/>
      <c r="M41" s="15"/>
      <c r="N41" s="15"/>
    </row>
    <row r="42" spans="1:29" x14ac:dyDescent="0.4">
      <c r="A42" s="11"/>
      <c r="B42" s="16"/>
      <c r="C42" s="16"/>
      <c r="G42" s="1"/>
      <c r="M42" s="15"/>
      <c r="N42" s="15"/>
    </row>
    <row r="43" spans="1:29" x14ac:dyDescent="0.4">
      <c r="A43" s="11"/>
      <c r="B43" s="16"/>
      <c r="C43" s="16"/>
      <c r="G43" s="1"/>
      <c r="M43" s="15"/>
      <c r="N43" s="15"/>
    </row>
    <row r="44" spans="1:29" x14ac:dyDescent="0.4">
      <c r="A44" s="11"/>
      <c r="B44" s="16"/>
      <c r="C44" s="16"/>
      <c r="G44" s="1"/>
      <c r="M44" s="15"/>
      <c r="N44" s="15"/>
    </row>
    <row r="45" spans="1:29" x14ac:dyDescent="0.4">
      <c r="A45" s="11"/>
      <c r="B45" s="16"/>
      <c r="C45" s="16"/>
      <c r="G45" s="1"/>
      <c r="M45" s="15"/>
      <c r="N45" s="15"/>
    </row>
    <row r="46" spans="1:29" x14ac:dyDescent="0.4">
      <c r="A46" s="11"/>
      <c r="B46" s="16"/>
      <c r="C46" s="16"/>
      <c r="G46" s="1"/>
    </row>
    <row r="47" spans="1:29" x14ac:dyDescent="0.4">
      <c r="A47" s="11"/>
      <c r="B47" s="16"/>
      <c r="C47" s="16"/>
      <c r="G47" s="1"/>
    </row>
    <row r="48" spans="1:29" x14ac:dyDescent="0.4">
      <c r="A48" s="11"/>
      <c r="B48" s="16"/>
      <c r="C48" s="16"/>
      <c r="G48" s="1"/>
    </row>
    <row r="49" spans="1:7" x14ac:dyDescent="0.4">
      <c r="A49" s="11"/>
      <c r="B49" s="16"/>
      <c r="C49" s="16"/>
      <c r="G49" s="1"/>
    </row>
    <row r="50" spans="1:7" x14ac:dyDescent="0.4">
      <c r="A50" s="11"/>
      <c r="B50" s="16"/>
      <c r="C50" s="16"/>
      <c r="G50" s="1"/>
    </row>
    <row r="51" spans="1:7" x14ac:dyDescent="0.4">
      <c r="A51" s="11"/>
      <c r="B51" s="16"/>
      <c r="C51" s="16"/>
      <c r="G51" s="1"/>
    </row>
    <row r="52" spans="1:7" x14ac:dyDescent="0.4">
      <c r="A52" s="11"/>
      <c r="B52" s="16"/>
      <c r="C52" s="16"/>
      <c r="G52" s="1"/>
    </row>
    <row r="53" spans="1:7" x14ac:dyDescent="0.4">
      <c r="A53" s="11"/>
      <c r="B53" s="16"/>
      <c r="C53" s="16"/>
      <c r="G53" s="1"/>
    </row>
    <row r="54" spans="1:7" x14ac:dyDescent="0.4">
      <c r="A54" s="11"/>
      <c r="B54" s="16"/>
      <c r="C54" s="16"/>
      <c r="G54" s="1"/>
    </row>
    <row r="55" spans="1:7" x14ac:dyDescent="0.4">
      <c r="A55" s="11"/>
      <c r="B55" s="16"/>
      <c r="C55" s="16"/>
      <c r="G55" s="1"/>
    </row>
    <row r="56" spans="1:7" x14ac:dyDescent="0.4">
      <c r="A56" s="11"/>
      <c r="B56" s="16"/>
      <c r="C56" s="16"/>
      <c r="G56" s="1"/>
    </row>
    <row r="57" spans="1:7" x14ac:dyDescent="0.4">
      <c r="A57" s="11"/>
      <c r="B57" s="16"/>
      <c r="C57" s="16"/>
      <c r="G57" s="1"/>
    </row>
    <row r="58" spans="1:7" x14ac:dyDescent="0.4">
      <c r="A58" s="11"/>
      <c r="B58" s="16"/>
      <c r="C58" s="16"/>
      <c r="G58" s="1"/>
    </row>
    <row r="59" spans="1:7" x14ac:dyDescent="0.4">
      <c r="A59" s="11"/>
      <c r="B59" s="16"/>
      <c r="C59" s="16"/>
      <c r="G59" s="1"/>
    </row>
    <row r="60" spans="1:7" x14ac:dyDescent="0.4">
      <c r="A60" s="11"/>
      <c r="B60" s="16"/>
      <c r="C60" s="16"/>
      <c r="G60" s="1"/>
    </row>
    <row r="61" spans="1:7" x14ac:dyDescent="0.4">
      <c r="A61" s="11"/>
      <c r="B61" s="16"/>
      <c r="C61" s="16"/>
      <c r="G61" s="1"/>
    </row>
    <row r="62" spans="1:7" x14ac:dyDescent="0.4">
      <c r="A62" s="11"/>
      <c r="B62" s="16"/>
      <c r="C62" s="16"/>
      <c r="G62" s="1"/>
    </row>
    <row r="63" spans="1:7" x14ac:dyDescent="0.4">
      <c r="A63" s="11"/>
      <c r="B63" s="16"/>
      <c r="C63" s="16"/>
      <c r="G63" s="1"/>
    </row>
    <row r="64" spans="1:7" x14ac:dyDescent="0.4">
      <c r="A64" s="11"/>
      <c r="B64" s="16"/>
      <c r="C64" s="16"/>
      <c r="G64" s="1"/>
    </row>
    <row r="65" spans="1:7" x14ac:dyDescent="0.4">
      <c r="A65" s="11"/>
      <c r="B65" s="16"/>
      <c r="C65" s="16"/>
      <c r="G65" s="1"/>
    </row>
    <row r="66" spans="1:7" x14ac:dyDescent="0.4">
      <c r="A66" s="11"/>
      <c r="B66" s="16"/>
      <c r="C66" s="16"/>
      <c r="G66" s="1"/>
    </row>
    <row r="67" spans="1:7" x14ac:dyDescent="0.4">
      <c r="A67" s="11"/>
      <c r="B67" s="16"/>
      <c r="C67" s="16"/>
      <c r="G67" s="1"/>
    </row>
    <row r="68" spans="1:7" x14ac:dyDescent="0.4">
      <c r="A68" s="11"/>
      <c r="B68" s="16"/>
      <c r="C68" s="16"/>
      <c r="G68" s="1"/>
    </row>
    <row r="69" spans="1:7" x14ac:dyDescent="0.4">
      <c r="A69" s="11"/>
      <c r="B69" s="16"/>
      <c r="C69" s="16"/>
      <c r="G69" s="1"/>
    </row>
    <row r="70" spans="1:7" x14ac:dyDescent="0.4">
      <c r="A70" s="11"/>
      <c r="B70" s="16"/>
      <c r="C70" s="16"/>
      <c r="G70" s="1"/>
    </row>
    <row r="71" spans="1:7" x14ac:dyDescent="0.4">
      <c r="A71" s="11"/>
      <c r="B71" s="16"/>
      <c r="C71" s="16"/>
      <c r="G71" s="1"/>
    </row>
    <row r="72" spans="1:7" x14ac:dyDescent="0.4">
      <c r="A72" s="11"/>
      <c r="B72" s="16"/>
      <c r="C72" s="16"/>
      <c r="G72" s="1"/>
    </row>
    <row r="73" spans="1:7" x14ac:dyDescent="0.4">
      <c r="A73" s="11"/>
      <c r="B73" s="16"/>
      <c r="C73" s="16"/>
      <c r="G73" s="1"/>
    </row>
    <row r="74" spans="1:7" x14ac:dyDescent="0.4">
      <c r="A74" s="11"/>
      <c r="B74" s="16"/>
      <c r="C74" s="16"/>
      <c r="G74" s="1"/>
    </row>
    <row r="75" spans="1:7" x14ac:dyDescent="0.4">
      <c r="A75" s="11"/>
      <c r="B75" s="16"/>
      <c r="C75" s="16"/>
      <c r="G75" s="1"/>
    </row>
    <row r="76" spans="1:7" x14ac:dyDescent="0.4">
      <c r="A76" s="11"/>
      <c r="B76" s="16"/>
      <c r="C76" s="16"/>
      <c r="G76" s="1"/>
    </row>
    <row r="77" spans="1:7" x14ac:dyDescent="0.4">
      <c r="A77" s="11"/>
      <c r="B77" s="16"/>
      <c r="C77" s="16"/>
      <c r="G77" s="1"/>
    </row>
    <row r="78" spans="1:7" x14ac:dyDescent="0.4">
      <c r="A78" s="11"/>
      <c r="B78" s="16"/>
      <c r="C78" s="16"/>
      <c r="G78" s="1"/>
    </row>
    <row r="79" spans="1:7" x14ac:dyDescent="0.4">
      <c r="A79" s="11"/>
      <c r="B79" s="16"/>
      <c r="C79" s="16"/>
      <c r="G79" s="1"/>
    </row>
    <row r="80" spans="1:7" x14ac:dyDescent="0.4">
      <c r="A80" s="11"/>
      <c r="B80" s="16"/>
      <c r="C80" s="16"/>
      <c r="G80" s="1"/>
    </row>
    <row r="81" spans="1:7" x14ac:dyDescent="0.4">
      <c r="A81" s="11"/>
      <c r="B81" s="16"/>
      <c r="C81" s="16"/>
      <c r="G81" s="1"/>
    </row>
    <row r="82" spans="1:7" x14ac:dyDescent="0.4">
      <c r="A82" s="11"/>
      <c r="B82" s="16"/>
      <c r="C82" s="16"/>
      <c r="G82" s="1"/>
    </row>
    <row r="83" spans="1:7" x14ac:dyDescent="0.4">
      <c r="A83" s="11"/>
      <c r="B83" s="16"/>
      <c r="C83" s="16"/>
      <c r="G83" s="1"/>
    </row>
    <row r="84" spans="1:7" x14ac:dyDescent="0.4">
      <c r="A84" s="11"/>
      <c r="B84" s="16"/>
      <c r="C84" s="16"/>
      <c r="G84" s="1"/>
    </row>
    <row r="85" spans="1:7" x14ac:dyDescent="0.4">
      <c r="A85" s="11"/>
      <c r="B85" s="16"/>
      <c r="C85" s="16"/>
      <c r="G85" s="1"/>
    </row>
    <row r="86" spans="1:7" x14ac:dyDescent="0.4">
      <c r="A86" s="11"/>
      <c r="B86" s="16"/>
      <c r="C86" s="16"/>
      <c r="G86" s="1"/>
    </row>
    <row r="87" spans="1:7" x14ac:dyDescent="0.4">
      <c r="A87" s="11"/>
      <c r="B87" s="16"/>
      <c r="C87" s="16"/>
      <c r="G87" s="1"/>
    </row>
    <row r="88" spans="1:7" x14ac:dyDescent="0.4">
      <c r="A88" s="11"/>
      <c r="B88" s="16"/>
      <c r="C88" s="16"/>
      <c r="G88" s="1"/>
    </row>
    <row r="89" spans="1:7" x14ac:dyDescent="0.4">
      <c r="A89" s="11"/>
      <c r="B89" s="16"/>
      <c r="C89" s="16"/>
      <c r="G89" s="1"/>
    </row>
    <row r="90" spans="1:7" x14ac:dyDescent="0.4">
      <c r="A90" s="11"/>
      <c r="B90" s="16"/>
      <c r="C90" s="16"/>
      <c r="G90" s="1"/>
    </row>
    <row r="91" spans="1:7" x14ac:dyDescent="0.4">
      <c r="A91" s="11"/>
      <c r="B91" s="16"/>
      <c r="C91" s="16"/>
      <c r="G91" s="1"/>
    </row>
    <row r="92" spans="1:7" x14ac:dyDescent="0.4">
      <c r="A92" s="11"/>
      <c r="B92" s="16"/>
      <c r="C92" s="16"/>
      <c r="G92" s="1"/>
    </row>
    <row r="93" spans="1:7" x14ac:dyDescent="0.4">
      <c r="A93" s="11"/>
      <c r="B93" s="16"/>
      <c r="C93" s="16"/>
      <c r="G93" s="1"/>
    </row>
    <row r="94" spans="1:7" x14ac:dyDescent="0.4">
      <c r="A94" s="11"/>
      <c r="B94" s="16"/>
      <c r="C94" s="16"/>
      <c r="G94" s="1"/>
    </row>
    <row r="95" spans="1:7" x14ac:dyDescent="0.4">
      <c r="A95" s="11"/>
      <c r="B95" s="16"/>
      <c r="C95" s="16"/>
      <c r="G95" s="1"/>
    </row>
    <row r="96" spans="1:7" x14ac:dyDescent="0.4">
      <c r="A96" s="11"/>
      <c r="B96" s="16"/>
      <c r="C96" s="16"/>
      <c r="G96" s="1"/>
    </row>
    <row r="97" spans="1:7" x14ac:dyDescent="0.4">
      <c r="A97" s="11"/>
      <c r="B97" s="16"/>
      <c r="C97" s="16"/>
      <c r="G97" s="1"/>
    </row>
    <row r="98" spans="1:7" x14ac:dyDescent="0.4">
      <c r="A98" s="11"/>
      <c r="B98" s="16"/>
      <c r="C98" s="16"/>
      <c r="G98" s="1"/>
    </row>
    <row r="99" spans="1:7" x14ac:dyDescent="0.4">
      <c r="A99" s="11"/>
      <c r="B99" s="16"/>
      <c r="C99" s="16"/>
      <c r="G99" s="1"/>
    </row>
    <row r="100" spans="1:7" x14ac:dyDescent="0.4">
      <c r="A100" s="11"/>
      <c r="B100" s="16"/>
      <c r="C100" s="16"/>
      <c r="G100" s="1"/>
    </row>
    <row r="101" spans="1:7" x14ac:dyDescent="0.4">
      <c r="A101" s="11"/>
      <c r="B101" s="16"/>
      <c r="C101" s="16"/>
      <c r="G101" s="1"/>
    </row>
    <row r="102" spans="1:7" x14ac:dyDescent="0.4">
      <c r="A102" s="11"/>
      <c r="B102" s="16"/>
      <c r="C102" s="16"/>
      <c r="G102" s="1"/>
    </row>
    <row r="103" spans="1:7" x14ac:dyDescent="0.4">
      <c r="A103" s="11"/>
      <c r="B103" s="16"/>
      <c r="C103" s="16"/>
      <c r="G103" s="1"/>
    </row>
    <row r="104" spans="1:7" x14ac:dyDescent="0.4">
      <c r="A104" s="11"/>
      <c r="B104" s="16"/>
      <c r="C104" s="16"/>
      <c r="G104" s="1"/>
    </row>
    <row r="105" spans="1:7" x14ac:dyDescent="0.4">
      <c r="A105" s="11"/>
      <c r="B105" s="16"/>
      <c r="C105" s="16"/>
      <c r="G105" s="1"/>
    </row>
    <row r="106" spans="1:7" x14ac:dyDescent="0.4">
      <c r="A106" s="11"/>
      <c r="B106" s="16"/>
      <c r="C106" s="16"/>
      <c r="G106" s="1"/>
    </row>
    <row r="107" spans="1:7" x14ac:dyDescent="0.4">
      <c r="A107" s="11"/>
      <c r="B107" s="16"/>
      <c r="C107" s="16"/>
      <c r="G107" s="1"/>
    </row>
    <row r="108" spans="1:7" x14ac:dyDescent="0.4">
      <c r="A108" s="11"/>
      <c r="B108" s="16"/>
      <c r="C108" s="16"/>
      <c r="G108" s="1"/>
    </row>
    <row r="109" spans="1:7" x14ac:dyDescent="0.4">
      <c r="A109" s="11"/>
      <c r="B109" s="16"/>
      <c r="C109" s="16"/>
      <c r="G109" s="1"/>
    </row>
    <row r="110" spans="1:7" x14ac:dyDescent="0.4">
      <c r="A110" s="11"/>
      <c r="B110" s="16"/>
      <c r="C110" s="16"/>
      <c r="G110" s="1"/>
    </row>
    <row r="111" spans="1:7" x14ac:dyDescent="0.4">
      <c r="A111" s="11"/>
      <c r="B111" s="16"/>
      <c r="C111" s="16"/>
      <c r="G111" s="1"/>
    </row>
    <row r="112" spans="1:7" x14ac:dyDescent="0.4">
      <c r="A112" s="11"/>
      <c r="B112" s="16"/>
      <c r="C112" s="16"/>
      <c r="G112" s="1"/>
    </row>
    <row r="113" spans="1:7" x14ac:dyDescent="0.4">
      <c r="A113" s="11"/>
      <c r="B113" s="16"/>
      <c r="C113" s="16"/>
      <c r="G113" s="1"/>
    </row>
    <row r="114" spans="1:7" x14ac:dyDescent="0.4">
      <c r="A114" s="11"/>
      <c r="B114" s="16"/>
      <c r="C114" s="16"/>
      <c r="G114" s="1"/>
    </row>
    <row r="115" spans="1:7" x14ac:dyDescent="0.4">
      <c r="A115" s="11"/>
      <c r="B115" s="16"/>
      <c r="C115" s="16"/>
      <c r="G115" s="1"/>
    </row>
    <row r="116" spans="1:7" x14ac:dyDescent="0.4">
      <c r="A116" s="11"/>
      <c r="B116" s="16"/>
      <c r="C116" s="16"/>
      <c r="G116" s="1"/>
    </row>
    <row r="117" spans="1:7" x14ac:dyDescent="0.4">
      <c r="A117" s="11"/>
      <c r="B117" s="16"/>
      <c r="C117" s="16"/>
      <c r="G117" s="1"/>
    </row>
    <row r="118" spans="1:7" x14ac:dyDescent="0.4">
      <c r="A118" s="11"/>
      <c r="B118" s="16"/>
      <c r="C118" s="16"/>
      <c r="G118" s="1"/>
    </row>
    <row r="119" spans="1:7" x14ac:dyDescent="0.4">
      <c r="A119" s="11"/>
      <c r="B119" s="16"/>
      <c r="C119" s="16"/>
      <c r="G119" s="1"/>
    </row>
    <row r="120" spans="1:7" x14ac:dyDescent="0.4">
      <c r="A120" s="11"/>
      <c r="B120" s="16"/>
      <c r="C120" s="16"/>
      <c r="G120" s="1"/>
    </row>
    <row r="121" spans="1:7" x14ac:dyDescent="0.4">
      <c r="A121" s="11"/>
      <c r="B121" s="16"/>
      <c r="C121" s="16"/>
      <c r="G121" s="1"/>
    </row>
    <row r="122" spans="1:7" x14ac:dyDescent="0.4">
      <c r="A122" s="11"/>
      <c r="B122" s="16"/>
      <c r="C122" s="16"/>
      <c r="G122" s="1"/>
    </row>
    <row r="123" spans="1:7" x14ac:dyDescent="0.4">
      <c r="A123" s="11"/>
      <c r="B123" s="16"/>
      <c r="C123" s="16"/>
      <c r="G123" s="1"/>
    </row>
    <row r="124" spans="1:7" x14ac:dyDescent="0.4">
      <c r="A124" s="11"/>
      <c r="B124" s="16"/>
      <c r="C124" s="16"/>
      <c r="G124" s="1"/>
    </row>
    <row r="125" spans="1:7" x14ac:dyDescent="0.4">
      <c r="A125" s="11"/>
      <c r="B125" s="16"/>
      <c r="C125" s="16"/>
      <c r="G125" s="1"/>
    </row>
    <row r="126" spans="1:7" x14ac:dyDescent="0.4">
      <c r="A126" s="11"/>
      <c r="B126" s="16"/>
      <c r="C126" s="16"/>
      <c r="G126" s="1"/>
    </row>
    <row r="127" spans="1:7" x14ac:dyDescent="0.4">
      <c r="A127" s="11"/>
      <c r="B127" s="16"/>
      <c r="C127" s="16"/>
      <c r="G127" s="1"/>
    </row>
    <row r="128" spans="1:7" x14ac:dyDescent="0.4">
      <c r="A128" s="11"/>
      <c r="B128" s="16"/>
      <c r="C128" s="16"/>
      <c r="G128" s="1"/>
    </row>
    <row r="129" spans="1:7" x14ac:dyDescent="0.4">
      <c r="A129" s="11"/>
      <c r="B129" s="16"/>
      <c r="C129" s="16"/>
      <c r="G129" s="1"/>
    </row>
    <row r="130" spans="1:7" x14ac:dyDescent="0.4">
      <c r="A130" s="11"/>
      <c r="B130" s="16"/>
      <c r="C130" s="16"/>
      <c r="G130" s="1"/>
    </row>
    <row r="131" spans="1:7" x14ac:dyDescent="0.4">
      <c r="A131" s="11"/>
      <c r="B131" s="16"/>
      <c r="C131" s="16"/>
      <c r="G131" s="1"/>
    </row>
    <row r="132" spans="1:7" x14ac:dyDescent="0.4">
      <c r="A132" s="11"/>
      <c r="B132" s="16"/>
      <c r="C132" s="16"/>
      <c r="G132" s="1"/>
    </row>
    <row r="133" spans="1:7" x14ac:dyDescent="0.4">
      <c r="A133" s="11"/>
      <c r="B133" s="16"/>
      <c r="C133" s="16"/>
      <c r="G133" s="1"/>
    </row>
    <row r="134" spans="1:7" x14ac:dyDescent="0.4">
      <c r="A134" s="11"/>
      <c r="B134" s="16"/>
      <c r="C134" s="16"/>
      <c r="G134" s="1"/>
    </row>
    <row r="135" spans="1:7" x14ac:dyDescent="0.4">
      <c r="A135" s="11"/>
      <c r="B135" s="16"/>
      <c r="C135" s="16"/>
      <c r="G135" s="1"/>
    </row>
    <row r="136" spans="1:7" x14ac:dyDescent="0.4">
      <c r="A136" s="11"/>
      <c r="B136" s="16"/>
      <c r="C136" s="16"/>
      <c r="G136" s="1"/>
    </row>
    <row r="137" spans="1:7" x14ac:dyDescent="0.4">
      <c r="A137" s="11"/>
      <c r="B137" s="16"/>
      <c r="C137" s="16"/>
      <c r="G137" s="1"/>
    </row>
    <row r="138" spans="1:7" x14ac:dyDescent="0.4">
      <c r="A138" s="11"/>
      <c r="B138" s="16"/>
      <c r="C138" s="16"/>
      <c r="G138" s="1"/>
    </row>
    <row r="139" spans="1:7" x14ac:dyDescent="0.4">
      <c r="A139" s="11"/>
      <c r="B139" s="16"/>
      <c r="C139" s="16"/>
      <c r="G139" s="1"/>
    </row>
    <row r="140" spans="1:7" x14ac:dyDescent="0.4">
      <c r="A140" s="11"/>
      <c r="B140" s="16"/>
      <c r="C140" s="16"/>
      <c r="G140" s="1"/>
    </row>
    <row r="141" spans="1:7" x14ac:dyDescent="0.4">
      <c r="A141" s="11"/>
      <c r="B141" s="16"/>
      <c r="C141" s="16"/>
      <c r="G141" s="1"/>
    </row>
    <row r="142" spans="1:7" x14ac:dyDescent="0.4">
      <c r="A142" s="11"/>
      <c r="B142" s="16"/>
      <c r="C142" s="16"/>
      <c r="G142" s="1"/>
    </row>
    <row r="143" spans="1:7" x14ac:dyDescent="0.4">
      <c r="A143" s="11"/>
      <c r="B143" s="16"/>
      <c r="C143" s="16"/>
      <c r="G143" s="1"/>
    </row>
    <row r="144" spans="1:7" x14ac:dyDescent="0.4">
      <c r="A144" s="11"/>
      <c r="B144" s="16"/>
      <c r="C144" s="16"/>
      <c r="G144" s="1"/>
    </row>
    <row r="145" spans="1:7" x14ac:dyDescent="0.4">
      <c r="A145" s="11"/>
      <c r="B145" s="16"/>
      <c r="C145" s="16"/>
      <c r="G145" s="1"/>
    </row>
    <row r="146" spans="1:7" x14ac:dyDescent="0.4">
      <c r="A146" s="11"/>
      <c r="B146" s="16"/>
      <c r="C146" s="16"/>
      <c r="G146" s="1"/>
    </row>
    <row r="147" spans="1:7" x14ac:dyDescent="0.4">
      <c r="A147" s="11"/>
      <c r="B147" s="16"/>
      <c r="C147" s="16"/>
      <c r="G147" s="1"/>
    </row>
    <row r="148" spans="1:7" x14ac:dyDescent="0.4">
      <c r="A148" s="11"/>
      <c r="B148" s="16"/>
      <c r="C148" s="16"/>
      <c r="G148" s="1"/>
    </row>
    <row r="149" spans="1:7" x14ac:dyDescent="0.4">
      <c r="A149" s="11"/>
      <c r="B149" s="16"/>
      <c r="C149" s="16"/>
      <c r="G149" s="1"/>
    </row>
    <row r="150" spans="1:7" x14ac:dyDescent="0.4">
      <c r="A150" s="11"/>
      <c r="B150" s="16"/>
      <c r="C150" s="16"/>
      <c r="G150" s="1"/>
    </row>
    <row r="151" spans="1:7" x14ac:dyDescent="0.4">
      <c r="A151" s="11"/>
      <c r="B151" s="16"/>
      <c r="C151" s="16"/>
      <c r="G151" s="1"/>
    </row>
    <row r="152" spans="1:7" x14ac:dyDescent="0.4">
      <c r="A152" s="11"/>
      <c r="B152" s="16"/>
      <c r="C152" s="16"/>
      <c r="G152" s="1"/>
    </row>
    <row r="153" spans="1:7" x14ac:dyDescent="0.4">
      <c r="A153" s="11"/>
      <c r="B153" s="16"/>
      <c r="C153" s="16"/>
      <c r="G153" s="1"/>
    </row>
    <row r="154" spans="1:7" x14ac:dyDescent="0.4">
      <c r="A154" s="11"/>
      <c r="B154" s="16"/>
      <c r="C154" s="16"/>
      <c r="G154" s="1"/>
    </row>
    <row r="155" spans="1:7" x14ac:dyDescent="0.4">
      <c r="A155" s="11"/>
      <c r="B155" s="16"/>
      <c r="C155" s="16"/>
      <c r="G155" s="1"/>
    </row>
    <row r="156" spans="1:7" x14ac:dyDescent="0.4">
      <c r="A156" s="11"/>
      <c r="B156" s="16"/>
      <c r="C156" s="16"/>
      <c r="G156" s="1"/>
    </row>
    <row r="157" spans="1:7" x14ac:dyDescent="0.4">
      <c r="A157" s="11"/>
      <c r="B157" s="16"/>
      <c r="C157" s="16"/>
      <c r="G157" s="1"/>
    </row>
    <row r="158" spans="1:7" x14ac:dyDescent="0.4">
      <c r="A158" s="11"/>
      <c r="B158" s="16"/>
      <c r="C158" s="16"/>
      <c r="G158" s="1"/>
    </row>
    <row r="159" spans="1:7" x14ac:dyDescent="0.4">
      <c r="A159" s="11"/>
      <c r="B159" s="16"/>
      <c r="C159" s="16"/>
      <c r="G159" s="1"/>
    </row>
    <row r="160" spans="1:7" x14ac:dyDescent="0.4">
      <c r="A160" s="11"/>
      <c r="B160" s="16"/>
      <c r="C160" s="16"/>
      <c r="G160" s="1"/>
    </row>
    <row r="161" spans="1:7" x14ac:dyDescent="0.4">
      <c r="A161" s="11"/>
      <c r="B161" s="16"/>
      <c r="C161" s="16"/>
      <c r="G161" s="1"/>
    </row>
    <row r="162" spans="1:7" x14ac:dyDescent="0.4">
      <c r="A162" s="11"/>
      <c r="B162" s="16"/>
      <c r="C162" s="16"/>
      <c r="G162" s="1"/>
    </row>
    <row r="163" spans="1:7" x14ac:dyDescent="0.4">
      <c r="A163" s="11"/>
      <c r="B163" s="16"/>
      <c r="C163" s="16"/>
      <c r="G163" s="1"/>
    </row>
    <row r="164" spans="1:7" x14ac:dyDescent="0.4">
      <c r="A164" s="11"/>
      <c r="B164" s="16"/>
      <c r="C164" s="16"/>
      <c r="G164" s="1"/>
    </row>
    <row r="165" spans="1:7" x14ac:dyDescent="0.4">
      <c r="A165" s="11"/>
      <c r="B165" s="16"/>
      <c r="C165" s="16"/>
      <c r="G165" s="1"/>
    </row>
    <row r="166" spans="1:7" x14ac:dyDescent="0.4">
      <c r="A166" s="11"/>
      <c r="B166" s="16"/>
      <c r="C166" s="16"/>
      <c r="G166" s="1"/>
    </row>
    <row r="167" spans="1:7" x14ac:dyDescent="0.4">
      <c r="A167" s="11"/>
      <c r="B167" s="16"/>
      <c r="C167" s="16"/>
      <c r="G167" s="1"/>
    </row>
    <row r="168" spans="1:7" x14ac:dyDescent="0.4">
      <c r="A168" s="11"/>
      <c r="B168" s="16"/>
      <c r="C168" s="16"/>
      <c r="G168" s="1"/>
    </row>
    <row r="169" spans="1:7" x14ac:dyDescent="0.4">
      <c r="A169" s="11"/>
      <c r="B169" s="16"/>
      <c r="C169" s="16"/>
      <c r="G169" s="1"/>
    </row>
    <row r="170" spans="1:7" x14ac:dyDescent="0.4">
      <c r="A170" s="11"/>
      <c r="B170" s="16"/>
      <c r="C170" s="16"/>
      <c r="G170" s="1"/>
    </row>
    <row r="171" spans="1:7" x14ac:dyDescent="0.4">
      <c r="A171" s="11"/>
      <c r="B171" s="16"/>
      <c r="C171" s="16"/>
      <c r="G171" s="1"/>
    </row>
    <row r="172" spans="1:7" x14ac:dyDescent="0.4">
      <c r="A172" s="11"/>
      <c r="B172" s="16"/>
      <c r="C172" s="16"/>
      <c r="G172" s="1"/>
    </row>
    <row r="173" spans="1:7" x14ac:dyDescent="0.4">
      <c r="A173" s="11"/>
      <c r="B173" s="16"/>
      <c r="C173" s="16"/>
      <c r="G173" s="1"/>
    </row>
    <row r="174" spans="1:7" x14ac:dyDescent="0.4">
      <c r="A174" s="11"/>
      <c r="B174" s="16"/>
      <c r="C174" s="16"/>
      <c r="G174" s="1"/>
    </row>
    <row r="175" spans="1:7" x14ac:dyDescent="0.4">
      <c r="A175" s="11"/>
      <c r="G175" s="1"/>
    </row>
    <row r="176" spans="1:7" x14ac:dyDescent="0.4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65314</xdr:rowOff>
                  </from>
                  <to>
                    <xdr:col>18</xdr:col>
                    <xdr:colOff>288471</xdr:colOff>
                    <xdr:row>14</xdr:row>
                    <xdr:rowOff>27214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opLeftCell="A13" zoomScale="70" zoomScaleNormal="70" workbookViewId="0"/>
  </sheetViews>
  <sheetFormatPr defaultRowHeight="14.6" x14ac:dyDescent="0.4"/>
  <cols>
    <col min="15" max="15" width="10.15234375" customWidth="1"/>
    <col min="22" max="22" width="10.69140625" customWidth="1"/>
  </cols>
  <sheetData>
    <row r="1" spans="1:34" x14ac:dyDescent="0.4">
      <c r="A1" t="str">
        <f>версия_</f>
        <v>вер 7.3</v>
      </c>
    </row>
    <row r="2" spans="1:34" x14ac:dyDescent="0.4">
      <c r="C2" t="s">
        <v>140</v>
      </c>
      <c r="E2">
        <f>X3-1</f>
        <v>0</v>
      </c>
      <c r="G2" t="s">
        <v>141</v>
      </c>
      <c r="J2">
        <f>AB3-1</f>
        <v>0</v>
      </c>
      <c r="L2" t="s">
        <v>142</v>
      </c>
      <c r="O2">
        <f>AG3-1</f>
        <v>1</v>
      </c>
      <c r="Y2" t="s">
        <v>151</v>
      </c>
      <c r="AC2" t="s">
        <v>152</v>
      </c>
      <c r="AG2" t="s">
        <v>153</v>
      </c>
    </row>
    <row r="3" spans="1:34" x14ac:dyDescent="0.4">
      <c r="X3">
        <v>1</v>
      </c>
      <c r="Y3" t="s">
        <v>143</v>
      </c>
      <c r="AB3">
        <v>1</v>
      </c>
      <c r="AC3" t="s">
        <v>145</v>
      </c>
      <c r="AG3">
        <v>2</v>
      </c>
      <c r="AH3" t="s">
        <v>160</v>
      </c>
    </row>
    <row r="4" spans="1:34" x14ac:dyDescent="0.4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7.149999999999999" x14ac:dyDescent="0.55000000000000004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</v>
      </c>
      <c r="R5" s="5" t="s">
        <v>44</v>
      </c>
      <c r="AC5" t="s">
        <v>147</v>
      </c>
      <c r="AH5" t="s">
        <v>154</v>
      </c>
    </row>
    <row r="6" spans="1:34" ht="17.149999999999999" x14ac:dyDescent="0.55000000000000004">
      <c r="B6" s="7" t="s">
        <v>32</v>
      </c>
      <c r="C6" s="9">
        <v>100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25</v>
      </c>
      <c r="R6" s="5" t="s">
        <v>44</v>
      </c>
      <c r="AC6" t="s">
        <v>148</v>
      </c>
    </row>
    <row r="7" spans="1:34" ht="17.149999999999999" x14ac:dyDescent="0.55000000000000004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260</v>
      </c>
      <c r="R7" s="5" t="s">
        <v>44</v>
      </c>
      <c r="AC7" t="s">
        <v>149</v>
      </c>
    </row>
    <row r="8" spans="1:34" ht="17.149999999999999" x14ac:dyDescent="0.4">
      <c r="B8" s="7" t="s">
        <v>34</v>
      </c>
      <c r="C8" s="12" t="s">
        <v>63</v>
      </c>
      <c r="D8" s="5" t="s">
        <v>35</v>
      </c>
      <c r="AC8" t="s">
        <v>150</v>
      </c>
    </row>
    <row r="9" spans="1:34" ht="17.149999999999999" x14ac:dyDescent="0.4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7.149999999999999" x14ac:dyDescent="0.55000000000000004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5</v>
      </c>
      <c r="R10" s="5" t="s">
        <v>44</v>
      </c>
      <c r="S10" s="14" t="s">
        <v>55</v>
      </c>
      <c r="T10" s="25">
        <v>30</v>
      </c>
      <c r="U10" s="5" t="s">
        <v>25</v>
      </c>
    </row>
    <row r="11" spans="1:34" ht="17.149999999999999" x14ac:dyDescent="0.55000000000000004">
      <c r="P11" s="14" t="s">
        <v>46</v>
      </c>
      <c r="Q11" s="25">
        <v>18.5546875</v>
      </c>
      <c r="R11" s="5" t="s">
        <v>44</v>
      </c>
      <c r="S11" s="14" t="s">
        <v>56</v>
      </c>
      <c r="T11" s="25">
        <v>30</v>
      </c>
      <c r="U11" s="5" t="s">
        <v>25</v>
      </c>
    </row>
    <row r="12" spans="1:34" ht="17.149999999999999" x14ac:dyDescent="0.55000000000000004">
      <c r="M12" t="s">
        <v>63</v>
      </c>
      <c r="P12" s="14" t="s">
        <v>47</v>
      </c>
      <c r="Q12" s="25">
        <v>186.99376899199459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4">
      <c r="D13" s="1"/>
    </row>
    <row r="14" spans="1:34" x14ac:dyDescent="0.4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29.15" x14ac:dyDescent="0.4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N15" s="1"/>
      <c r="O15" s="1"/>
      <c r="P15" s="1"/>
      <c r="Q15" s="1"/>
      <c r="R15" s="1"/>
      <c r="S15" s="1"/>
      <c r="U15" s="5" t="s">
        <v>170</v>
      </c>
      <c r="V15" s="1" t="s">
        <v>171</v>
      </c>
    </row>
    <row r="16" spans="1:34" x14ac:dyDescent="0.4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18.5546875</v>
      </c>
      <c r="P16">
        <v>0</v>
      </c>
      <c r="Q16">
        <v>30</v>
      </c>
      <c r="R16">
        <v>0</v>
      </c>
      <c r="S16">
        <v>0.37273112971756645</v>
      </c>
      <c r="U16">
        <v>0</v>
      </c>
      <c r="V16" s="50">
        <f>Pline_out_atma_</f>
        <v>5</v>
      </c>
    </row>
    <row r="17" spans="2:22" x14ac:dyDescent="0.4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30.614035087719298</v>
      </c>
      <c r="N17">
        <v>184.21052631578948</v>
      </c>
      <c r="O17">
        <v>25.745749241220718</v>
      </c>
      <c r="P17">
        <v>184.21052631578948</v>
      </c>
      <c r="Q17">
        <v>30.614035087719298</v>
      </c>
      <c r="R17">
        <v>175</v>
      </c>
      <c r="S17">
        <v>0.44903144588389643</v>
      </c>
      <c r="U17">
        <v>0</v>
      </c>
      <c r="V17" s="50">
        <f>Pbuf_out_atma_</f>
        <v>18.5546875</v>
      </c>
    </row>
    <row r="18" spans="2:22" x14ac:dyDescent="0.4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31.228070175438596</v>
      </c>
      <c r="N18">
        <v>368.42105263157896</v>
      </c>
      <c r="O18">
        <v>34.164859183953098</v>
      </c>
      <c r="P18">
        <v>368.42105263157896</v>
      </c>
      <c r="Q18">
        <v>31.228070175438596</v>
      </c>
      <c r="R18">
        <v>350</v>
      </c>
      <c r="S18">
        <v>0.5273915470884375</v>
      </c>
      <c r="U18">
        <f>Hperf_m_</f>
        <v>3500</v>
      </c>
      <c r="V18" s="50">
        <f>Pwf_out_atma_</f>
        <v>186.99376899199459</v>
      </c>
    </row>
    <row r="19" spans="2:22" x14ac:dyDescent="0.4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31.842105263157894</v>
      </c>
      <c r="N19">
        <v>552.63157894736844</v>
      </c>
      <c r="O19">
        <v>43.750465083248137</v>
      </c>
      <c r="P19">
        <v>552.63157894736844</v>
      </c>
      <c r="Q19">
        <v>31.842105263157894</v>
      </c>
      <c r="R19">
        <v>525</v>
      </c>
      <c r="S19">
        <v>0.5896952606139203</v>
      </c>
    </row>
    <row r="20" spans="2:22" x14ac:dyDescent="0.4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32.456140350877192</v>
      </c>
      <c r="N20">
        <v>736.84210526315792</v>
      </c>
      <c r="O20">
        <v>54.350567379967011</v>
      </c>
      <c r="P20">
        <v>736.84210526315792</v>
      </c>
      <c r="Q20">
        <v>32.456140350877192</v>
      </c>
      <c r="R20">
        <v>700</v>
      </c>
      <c r="S20">
        <v>0.66591028560821264</v>
      </c>
    </row>
    <row r="21" spans="2:22" x14ac:dyDescent="0.4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33.070175438596493</v>
      </c>
      <c r="N21">
        <v>921.0526315789474</v>
      </c>
      <c r="O21">
        <v>65.923572194590136</v>
      </c>
      <c r="P21">
        <v>921.0526315789474</v>
      </c>
      <c r="Q21">
        <v>33.070175438596493</v>
      </c>
      <c r="R21">
        <v>875</v>
      </c>
      <c r="S21">
        <v>0.73873633573106756</v>
      </c>
    </row>
    <row r="22" spans="2:22" x14ac:dyDescent="0.4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33.67</v>
      </c>
      <c r="N22">
        <v>1105.2631578947369</v>
      </c>
      <c r="O22">
        <v>78.524462143519557</v>
      </c>
      <c r="P22">
        <v>1105.2631578947369</v>
      </c>
      <c r="Q22">
        <v>33.67</v>
      </c>
      <c r="R22">
        <v>1050</v>
      </c>
      <c r="S22">
        <v>0.87367867481849726</v>
      </c>
    </row>
    <row r="23" spans="2:22" x14ac:dyDescent="0.4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34.247368421052634</v>
      </c>
      <c r="N23">
        <v>1289.4736842105262</v>
      </c>
      <c r="O23">
        <v>92.203062895950396</v>
      </c>
      <c r="P23">
        <v>1289.4736842105262</v>
      </c>
      <c r="Q23">
        <v>34.247368421052634</v>
      </c>
      <c r="R23">
        <v>1225</v>
      </c>
      <c r="S23">
        <v>1</v>
      </c>
    </row>
    <row r="24" spans="2:22" x14ac:dyDescent="0.4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34.801929824561405</v>
      </c>
      <c r="N24">
        <v>1473.6842105263158</v>
      </c>
      <c r="O24">
        <v>105.54968529849593</v>
      </c>
      <c r="P24">
        <v>1473.6842105263158</v>
      </c>
      <c r="Q24">
        <v>34.801929824561405</v>
      </c>
      <c r="R24">
        <v>1400</v>
      </c>
      <c r="S24">
        <v>1</v>
      </c>
    </row>
    <row r="25" spans="2:22" x14ac:dyDescent="0.4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40.511578947368434</v>
      </c>
      <c r="N25">
        <v>1657.8947368421054</v>
      </c>
      <c r="O25">
        <v>118.35466354644016</v>
      </c>
      <c r="P25">
        <v>1657.8947368421054</v>
      </c>
      <c r="Q25">
        <v>40.511578947368434</v>
      </c>
      <c r="R25">
        <v>1575</v>
      </c>
      <c r="S25">
        <v>1</v>
      </c>
    </row>
    <row r="26" spans="2:22" x14ac:dyDescent="0.4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48.920789473684216</v>
      </c>
      <c r="N26">
        <v>1842.1052631578948</v>
      </c>
      <c r="O26">
        <v>130.55060671813649</v>
      </c>
      <c r="P26">
        <v>1842.1052631578948</v>
      </c>
      <c r="Q26">
        <v>48.920789473684216</v>
      </c>
      <c r="R26">
        <v>1750</v>
      </c>
      <c r="S26">
        <v>1</v>
      </c>
    </row>
    <row r="27" spans="2:22" x14ac:dyDescent="0.4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56.959473684210522</v>
      </c>
      <c r="N27">
        <v>2026.3157894736842</v>
      </c>
      <c r="O27">
        <v>142.13766104452128</v>
      </c>
      <c r="P27">
        <v>2026.3157894736842</v>
      </c>
      <c r="Q27">
        <v>56.959473684210522</v>
      </c>
      <c r="R27">
        <v>1925</v>
      </c>
      <c r="S27">
        <v>1</v>
      </c>
    </row>
    <row r="28" spans="2:22" x14ac:dyDescent="0.4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64.627631578947373</v>
      </c>
      <c r="N28">
        <v>2210.5263157894738</v>
      </c>
      <c r="O28">
        <v>153.12571956678426</v>
      </c>
      <c r="P28">
        <v>2210.5263157894738</v>
      </c>
      <c r="Q28">
        <v>64.627631578947373</v>
      </c>
      <c r="R28">
        <v>2100</v>
      </c>
      <c r="S28">
        <v>1</v>
      </c>
    </row>
    <row r="29" spans="2:22" x14ac:dyDescent="0.4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71.91947368421053</v>
      </c>
      <c r="N29">
        <v>2394.7368421052633</v>
      </c>
      <c r="O29">
        <v>163.51488951158555</v>
      </c>
      <c r="P29">
        <v>2394.7368421052633</v>
      </c>
      <c r="Q29">
        <v>71.91947368421053</v>
      </c>
      <c r="R29">
        <v>2275</v>
      </c>
      <c r="S29">
        <v>1</v>
      </c>
    </row>
    <row r="30" spans="2:22" x14ac:dyDescent="0.4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75.92</v>
      </c>
      <c r="N30">
        <v>2500</v>
      </c>
      <c r="O30">
        <v>169.19040574179164</v>
      </c>
      <c r="P30">
        <v>2500</v>
      </c>
      <c r="Q30">
        <v>75.92</v>
      </c>
      <c r="R30">
        <v>2450</v>
      </c>
      <c r="S30">
        <v>1</v>
      </c>
    </row>
    <row r="31" spans="2:22" x14ac:dyDescent="0.4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78.829210526315777</v>
      </c>
      <c r="N31">
        <v>2578.9473684210525</v>
      </c>
      <c r="O31">
        <v>173.27294874101116</v>
      </c>
      <c r="P31">
        <v>2578.9473684210525</v>
      </c>
      <c r="Q31">
        <v>78.829210526315777</v>
      </c>
      <c r="R31">
        <v>2625</v>
      </c>
      <c r="S31">
        <v>1</v>
      </c>
    </row>
    <row r="32" spans="2:22" x14ac:dyDescent="0.4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85.368421052631589</v>
      </c>
      <c r="N32">
        <v>2763.1578947368421</v>
      </c>
      <c r="O32">
        <v>181.18309665675298</v>
      </c>
      <c r="P32">
        <v>2763.1578947368421</v>
      </c>
      <c r="Q32">
        <v>85.368421052631589</v>
      </c>
      <c r="R32">
        <v>2800</v>
      </c>
      <c r="S32">
        <v>1</v>
      </c>
    </row>
    <row r="33" spans="2:19" x14ac:dyDescent="0.4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87.351315789473688</v>
      </c>
      <c r="N33">
        <v>2947.3684210526317</v>
      </c>
      <c r="O33">
        <v>183.24542144951729</v>
      </c>
      <c r="P33">
        <v>2947.3684210526317</v>
      </c>
      <c r="Q33">
        <v>87.351315789473688</v>
      </c>
      <c r="R33">
        <v>2975</v>
      </c>
      <c r="S33">
        <v>1</v>
      </c>
    </row>
    <row r="34" spans="2:19" x14ac:dyDescent="0.4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88.234210526315792</v>
      </c>
      <c r="N34">
        <v>3131.5789473684213</v>
      </c>
      <c r="O34">
        <v>184.49564946143971</v>
      </c>
      <c r="P34">
        <v>3131.5789473684213</v>
      </c>
      <c r="Q34">
        <v>88.234210526315792</v>
      </c>
      <c r="R34">
        <v>3150</v>
      </c>
      <c r="S34">
        <v>1</v>
      </c>
    </row>
    <row r="35" spans="2:19" x14ac:dyDescent="0.4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89.117105263157882</v>
      </c>
      <c r="N35">
        <v>3315.7894736842109</v>
      </c>
      <c r="O35">
        <v>185.74509851183748</v>
      </c>
      <c r="P35">
        <v>3315.7894736842109</v>
      </c>
      <c r="Q35">
        <v>89.117105263157882</v>
      </c>
      <c r="R35">
        <v>3325</v>
      </c>
      <c r="S35">
        <v>1</v>
      </c>
    </row>
    <row r="36" spans="2:19" x14ac:dyDescent="0.4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186.99376899199459</v>
      </c>
      <c r="P36">
        <v>3500</v>
      </c>
      <c r="Q36">
        <v>90</v>
      </c>
      <c r="R36">
        <v>3500</v>
      </c>
      <c r="S36">
        <v>1</v>
      </c>
    </row>
    <row r="37" spans="2:19" x14ac:dyDescent="0.4">
      <c r="B37" s="2"/>
      <c r="C37" s="18">
        <v>2500</v>
      </c>
      <c r="D37" s="18">
        <v>176.72349338287597</v>
      </c>
      <c r="E37" s="18">
        <v>53</v>
      </c>
    </row>
    <row r="38" spans="2:19" x14ac:dyDescent="0.4">
      <c r="C38" s="18">
        <v>2625</v>
      </c>
      <c r="D38" s="18">
        <v>186.511102757185</v>
      </c>
      <c r="E38" s="18">
        <v>54</v>
      </c>
    </row>
    <row r="39" spans="2:19" x14ac:dyDescent="0.4">
      <c r="C39" s="18">
        <v>2750</v>
      </c>
      <c r="D39" s="18">
        <v>196.298712131494</v>
      </c>
      <c r="E39" s="18">
        <v>55</v>
      </c>
    </row>
    <row r="40" spans="2:19" x14ac:dyDescent="0.4">
      <c r="C40" s="18">
        <v>2875</v>
      </c>
      <c r="D40" s="18">
        <v>206.08632150580399</v>
      </c>
      <c r="E40" s="18">
        <v>56</v>
      </c>
    </row>
    <row r="41" spans="2:19" x14ac:dyDescent="0.4">
      <c r="C41" s="18">
        <v>3000</v>
      </c>
      <c r="D41" s="18">
        <v>215.87393088011299</v>
      </c>
      <c r="E41" s="18">
        <v>57</v>
      </c>
    </row>
    <row r="42" spans="2:19" x14ac:dyDescent="0.4">
      <c r="C42" s="18">
        <v>3125</v>
      </c>
      <c r="D42" s="18">
        <v>225.66154025442199</v>
      </c>
      <c r="E42" s="18">
        <v>58</v>
      </c>
    </row>
    <row r="43" spans="2:19" x14ac:dyDescent="0.4">
      <c r="C43" s="18">
        <v>3250</v>
      </c>
      <c r="D43" s="18">
        <v>235.44914962873099</v>
      </c>
      <c r="E43" s="18">
        <v>59</v>
      </c>
    </row>
    <row r="44" spans="2:19" x14ac:dyDescent="0.4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332014</xdr:colOff>
                    <xdr:row>3</xdr:row>
                    <xdr:rowOff>141514</xdr:rowOff>
                  </from>
                  <to>
                    <xdr:col>27</xdr:col>
                    <xdr:colOff>353786</xdr:colOff>
                    <xdr:row>7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353786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10886</xdr:colOff>
                    <xdr:row>2</xdr:row>
                    <xdr:rowOff>38100</xdr:rowOff>
                  </from>
                  <to>
                    <xdr:col>3</xdr:col>
                    <xdr:colOff>598714</xdr:colOff>
                    <xdr:row>3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10886</xdr:colOff>
                    <xdr:row>2</xdr:row>
                    <xdr:rowOff>27214</xdr:rowOff>
                  </from>
                  <to>
                    <xdr:col>9</xdr:col>
                    <xdr:colOff>10886</xdr:colOff>
                    <xdr:row>3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10886</xdr:colOff>
                    <xdr:row>2</xdr:row>
                    <xdr:rowOff>10886</xdr:rowOff>
                  </from>
                  <to>
                    <xdr:col>14</xdr:col>
                    <xdr:colOff>0</xdr:colOff>
                    <xdr:row>3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109</vt:i4>
      </vt:variant>
    </vt:vector>
  </HeadingPairs>
  <TitlesOfParts>
    <vt:vector size="113" baseType="lpstr">
      <vt:lpstr>Унифлок</vt:lpstr>
      <vt:lpstr>PVT</vt:lpstr>
      <vt:lpstr>Конструкция фонтан</vt:lpstr>
      <vt:lpstr>Фонтан_расчет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Фонтан_расчет!hmes_tamb_out_m_</vt:lpstr>
      <vt:lpstr>hmes_tamb_out_m_</vt:lpstr>
      <vt:lpstr>Hout_</vt:lpstr>
      <vt:lpstr>Hperf_m_</vt:lpstr>
      <vt:lpstr>Htub_m_</vt:lpstr>
      <vt:lpstr>hvert_incl_m_</vt:lpstr>
      <vt:lpstr>hvert_incl_out_m_</vt:lpstr>
      <vt:lpstr>Фонтан_расчет!hvert_tamb_out_m_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press_list0_</vt:lpstr>
      <vt:lpstr>press_list1_</vt:lpstr>
      <vt:lpstr>PVT!Psc_atma_</vt:lpstr>
      <vt:lpstr>PVT!Psep_atma_</vt:lpstr>
      <vt:lpstr>PVT!PVT_correlation_</vt:lpstr>
      <vt:lpstr>PVT_selector_</vt:lpstr>
      <vt:lpstr>Pwf_atma_</vt:lpstr>
      <vt:lpstr>Pwf_out_atma_</vt:lpstr>
      <vt:lpstr>PVT!Ql_scm3day_</vt:lpstr>
      <vt:lpstr>Фонтан_расчет!Ql_scm3day_</vt:lpstr>
      <vt:lpstr>PVT!Qo_sctday_</vt:lpstr>
      <vt:lpstr>rhoo_list1_</vt:lpstr>
      <vt:lpstr>rhoo_list2_</vt:lpstr>
      <vt:lpstr>rhoo_list3_</vt:lpstr>
      <vt:lpstr>PVT!Rp_m3m3_</vt:lpstr>
      <vt:lpstr>Фонтан_расчет!Rp_m3m3_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Фонтан_расчет!tamb_out_C_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udl_out_m_</vt:lpstr>
      <vt:lpstr>PVT!wc_perc_</vt:lpstr>
      <vt:lpstr>Фонтан_расчет!wc_perc_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2019-03-12T10:24:20Z</dcterms:modified>
</cp:coreProperties>
</file>