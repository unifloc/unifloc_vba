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B31075C4-65F9-439D-9AA7-A4119586D69A}" xr6:coauthVersionLast="41" xr6:coauthVersionMax="41" xr10:uidLastSave="{00000000-0000-0000-0000-000000000000}"/>
  <bookViews>
    <workbookView xWindow="-21720" yWindow="-7995" windowWidth="21840" windowHeight="3819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betta_fric_">Скважина_расчет!$H$7</definedName>
    <definedName name="betta_grav_">Скважина_расчет!$H$6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Скважина_расчет!$J$2</definedName>
    <definedName name="correlation_PVT_fontan_">Скважина_расчет!$E$2</definedName>
    <definedName name="correlation_T_fontan_">Скважина_расчет!$O$2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Скважина_расчет!$S$16:$S$36</definedName>
    <definedName name="Hlout_hmes_m_">Скважина_расчет!$R$16:$R$36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Скважина_расчет!$C$17:$C$352</definedName>
    <definedName name="hmes_out_">Скважина_расчет!$H$16:$H$36</definedName>
    <definedName name="hmes_tamb_m_">'Конструкция фонтан'!$E$19:$E$38</definedName>
    <definedName name="hmes_tamb_out_m_" localSheetId="4">Скважина_расчет!$K$16:$K$36</definedName>
    <definedName name="hmes_tamb_out_m_">'Конструкция фонтан'!$S$18:$S$38</definedName>
    <definedName name="Hout_">Скважина_расчет!$N$17:$N$36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Скважина_расчет!$L$16:$L$36</definedName>
    <definedName name="HydrCorr_">Скважина_расчет!$AA$6</definedName>
    <definedName name="HydrCorr_selector_">Скважина_расчет!$AB$3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Скважина_расчет!$D$17:$D$352</definedName>
    <definedName name="Pb_atma_" localSheetId="1">PVT!$G$15</definedName>
    <definedName name="Pb_diff_">PVT!$W$33</definedName>
    <definedName name="Pbuf_atma_">Скважина_расчет!$Q$6</definedName>
    <definedName name="Pbuf_out_atma_">Скважина_расчет!$Q$11</definedName>
    <definedName name="Pcas_atma_">Скважина_расчет!$Q$8</definedName>
    <definedName name="Pcas_hmes_">Скважина_расчет!$W$16:$W$36</definedName>
    <definedName name="Pcas_out_atma_">Скважина_расчет!$X$16:$X$36</definedName>
    <definedName name="Plin_mes_atma_">Скважина_расчет!$D$16</definedName>
    <definedName name="Pline_atma_">Скважина_расчет!$Q$5</definedName>
    <definedName name="Pline_out_atma_">Скважина_расчет!$Q$10</definedName>
    <definedName name="pmes_out_">Скважина_расчет!$I$16:$I$36</definedName>
    <definedName name="Pout_">Скважина_расчет!$O$17:$O$36</definedName>
    <definedName name="Pout_atma_">Скважина_расчет!$O$16:$O$36</definedName>
    <definedName name="Pout_hmes_m_">Скважина_расчет!$N$16:$N$36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Скважина_расчет!$X$3</definedName>
    <definedName name="Pwf_atma_">Скважина_расчет!$Q$7</definedName>
    <definedName name="Pwf_out_atma_">Скважина_расчет!$Q$12</definedName>
    <definedName name="Q_ESP_" localSheetId="3">УЭЦН!$C$32</definedName>
    <definedName name="Ql_scm3day_" localSheetId="1">PVT!$K$8</definedName>
    <definedName name="Ql_scm3day_" localSheetId="4">Скважина_расчет!$C$6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Скважина_расчет!$E$17:$E$352</definedName>
    <definedName name="tamb_C_">'Конструкция фонтан'!$F$19:$F$38</definedName>
    <definedName name="tamb_out_C_" localSheetId="4">Скважина_расчет!$M$16:$M$36</definedName>
    <definedName name="tamb_out_C_">'Конструкция фонтан'!$T$18:$T$38</definedName>
    <definedName name="Tbh_c_">Скважина_расчет!$M$6</definedName>
    <definedName name="Tbuf_out_C_">Скважина_расчет!$T$11</definedName>
    <definedName name="Tlin_mes_C_">Скважина_расчет!$E$16</definedName>
    <definedName name="Tline_out_C_">Скважина_расчет!$T$10</definedName>
    <definedName name="tmes_out_">Скважина_расчет!$J$16:$J$36</definedName>
    <definedName name="Tout_C_">Скважина_расчет!$Q$16:$Q$36</definedName>
    <definedName name="Tout_hmes_m_">Скважина_расчет!$P$16:$P$36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Скважина_расчет!$T$12</definedName>
    <definedName name="Twh_C_">Скважина_расчет!$M$7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Скважина_расчет!$C$7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B4" i="8"/>
  <c r="C7" i="7"/>
  <c r="C9" i="7" s="1"/>
  <c r="B3" i="8"/>
  <c r="C10" i="7"/>
  <c r="B5" i="8"/>
  <c r="C8" i="7"/>
  <c r="B8" i="8" a="1"/>
  <c r="B8" i="8" l="1"/>
  <c r="C8" i="8"/>
  <c r="G8" i="8"/>
  <c r="C9" i="8"/>
  <c r="G9" i="8"/>
  <c r="C10" i="8"/>
  <c r="G10" i="8"/>
  <c r="D8" i="8"/>
  <c r="H8" i="8"/>
  <c r="D9" i="8"/>
  <c r="H9" i="8"/>
  <c r="D10" i="8"/>
  <c r="H10" i="8"/>
  <c r="E8" i="8"/>
  <c r="I8" i="8"/>
  <c r="E9" i="8"/>
  <c r="I9" i="8"/>
  <c r="E10" i="8"/>
  <c r="I10" i="8"/>
  <c r="F8" i="8"/>
  <c r="B9" i="8"/>
  <c r="F9" i="8"/>
  <c r="B10" i="8"/>
  <c r="F10" i="8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C23" i="4"/>
  <c r="C45" i="4"/>
  <c r="C44" i="4"/>
  <c r="C28" i="4"/>
  <c r="I35" i="4"/>
  <c r="C40" i="4"/>
  <c r="C33" i="4"/>
  <c r="I34" i="4"/>
  <c r="T35" i="4"/>
  <c r="C35" i="4"/>
  <c r="E33" i="4"/>
  <c r="E35" i="4"/>
  <c r="C36" i="4"/>
  <c r="M34" i="4"/>
  <c r="C26" i="4"/>
  <c r="E32" i="4"/>
  <c r="M33" i="4"/>
  <c r="I36" i="4"/>
  <c r="M32" i="4"/>
  <c r="E36" i="4"/>
  <c r="M36" i="4"/>
  <c r="E37" i="4"/>
  <c r="C37" i="4"/>
  <c r="V33" i="4"/>
  <c r="I37" i="4"/>
  <c r="C34" i="4"/>
  <c r="G23" i="4"/>
  <c r="M37" i="4"/>
  <c r="V35" i="4"/>
  <c r="I33" i="4"/>
  <c r="I32" i="4"/>
  <c r="C32" i="4"/>
  <c r="T33" i="4"/>
  <c r="T34" i="4" s="1"/>
  <c r="M35" i="4"/>
  <c r="C43" i="4"/>
  <c r="M40" i="4"/>
  <c r="E34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V36" i="4"/>
  <c r="C27" i="4"/>
  <c r="V34" i="4"/>
  <c r="T36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<sst xmlns="http://schemas.openxmlformats.org/spreadsheetml/2006/main" count="293" uniqueCount="199">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</sst>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Скважина_расчет!$S$16:$S$36</c:f>
              <c:numCache>
                <c:formatCode>General</c:formatCode>
                <c:ptCount val="21"/>
                <c:pt idx="0">
                  <c:v>0.80107425964366674</c:v>
                </c:pt>
                <c:pt idx="1">
                  <c:v>0.8716415839764976</c:v>
                </c:pt>
                <c:pt idx="2">
                  <c:v>0.93029194441574181</c:v>
                </c:pt>
                <c:pt idx="3">
                  <c:v>0.97443468748687467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0.94680922212128138</c:v>
                </c:pt>
                <c:pt idx="15">
                  <c:v>0.9128444240623792</c:v>
                </c:pt>
                <c:pt idx="16">
                  <c:v>0.92983634841927165</c:v>
                </c:pt>
                <c:pt idx="17">
                  <c:v>0.93186631572234335</c:v>
                </c:pt>
                <c:pt idx="18">
                  <c:v>0.93382930778675088</c:v>
                </c:pt>
                <c:pt idx="19">
                  <c:v>0.93572819867896317</c:v>
                </c:pt>
                <c:pt idx="20">
                  <c:v>0.93756571915868725</c:v>
                </c:pt>
              </c:numCache>
            </c:numRef>
          </c:xVal>
          <c:yVal>
            <c:numRef>
              <c:f>Скважина_расчет!$R$16:$R$36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Скважина_расчет!$N$14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Скважина_расчет!$O$16:$O$36</c:f>
              <c:numCache>
                <c:formatCode>General</c:formatCode>
                <c:ptCount val="21"/>
                <c:pt idx="0">
                  <c:v>50.075531005859375</c:v>
                </c:pt>
                <c:pt idx="1">
                  <c:v>63.038238021369963</c:v>
                </c:pt>
                <c:pt idx="2">
                  <c:v>76.691485237570831</c:v>
                </c:pt>
                <c:pt idx="3">
                  <c:v>90.791130213370906</c:v>
                </c:pt>
                <c:pt idx="4">
                  <c:v>105.13693227171778</c:v>
                </c:pt>
                <c:pt idx="5">
                  <c:v>119.5306109826482</c:v>
                </c:pt>
                <c:pt idx="6">
                  <c:v>133.51407128900277</c:v>
                </c:pt>
                <c:pt idx="7">
                  <c:v>146.97029634920182</c:v>
                </c:pt>
                <c:pt idx="8">
                  <c:v>159.89756262640026</c:v>
                </c:pt>
                <c:pt idx="9">
                  <c:v>172.29969979558365</c:v>
                </c:pt>
                <c:pt idx="10">
                  <c:v>184.17357226903749</c:v>
                </c:pt>
                <c:pt idx="11">
                  <c:v>195.51695094422593</c:v>
                </c:pt>
                <c:pt idx="12">
                  <c:v>206.32830039676415</c:v>
                </c:pt>
                <c:pt idx="13">
                  <c:v>216.59827323864039</c:v>
                </c:pt>
                <c:pt idx="14">
                  <c:v>50</c:v>
                </c:pt>
                <c:pt idx="15">
                  <c:v>53.877486997724823</c:v>
                </c:pt>
                <c:pt idx="16">
                  <c:v>61.47704477626381</c:v>
                </c:pt>
                <c:pt idx="17">
                  <c:v>63.474597599648533</c:v>
                </c:pt>
                <c:pt idx="18">
                  <c:v>64.687010229089353</c:v>
                </c:pt>
                <c:pt idx="19">
                  <c:v>65.898819067056948</c:v>
                </c:pt>
                <c:pt idx="20">
                  <c:v>67.109948729626197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70822A6-C45B-4379-86DD-4E2C702D972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02C80ED-A5A9-4D61-B6AE-C357C87BAC1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81FEE9B2-3B2D-4F1E-8C73-3468587EF9F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43EED9D-FED3-49B0-8FA7-E0C6440D1C4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F2C790-77A7-4045-B469-16D8A0413E25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9B003EC-0949-46F9-86DF-9F475B5C46E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Скважина_расчет!$V$16:$V$18</c:f>
              <c:numCache>
                <c:formatCode>0</c:formatCode>
                <c:ptCount val="3"/>
                <c:pt idx="0">
                  <c:v>50</c:v>
                </c:pt>
                <c:pt idx="1">
                  <c:v>50.075531005859375</c:v>
                </c:pt>
                <c:pt idx="2">
                  <c:v>67.109948729626197</c:v>
                </c:pt>
              </c:numCache>
            </c:numRef>
          </c:xVal>
          <c:yVal>
            <c:numRef>
              <c:f>Скважина_расчет!$U$16:$U$18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Скважина_расчет!$X$16:$X$36</c:f>
              <c:numCache>
                <c:formatCode>General</c:formatCode>
                <c:ptCount val="2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19.797466966960407</c:v>
                </c:pt>
                <c:pt idx="17">
                  <c:v>27.834279416422973</c:v>
                </c:pt>
                <c:pt idx="18">
                  <c:v>35.543097741781111</c:v>
                </c:pt>
                <c:pt idx="19">
                  <c:v>42.929800597519474</c:v>
                </c:pt>
                <c:pt idx="20">
                  <c:v>50</c:v>
                </c:pt>
              </c:numCache>
            </c:numRef>
          </c:xVal>
          <c:yVal>
            <c:numRef>
              <c:f>Скважина_расчет!$W$16:$W$36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Скважина_расчет!$K$16:$K$36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Скважина_расчет!$H$16:$H$36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316920</xdr:colOff>
      <xdr:row>12</xdr:row>
      <xdr:rowOff>56113</xdr:rowOff>
    </xdr:from>
    <xdr:to>
      <xdr:col>32</xdr:col>
      <xdr:colOff>610380</xdr:colOff>
      <xdr:row>42</xdr:row>
      <xdr:rowOff>128619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2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Скважина_расчет!Ql_scm3day_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Скважина_расчет!wc_perc_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Скважина_расчет!Rp_m3m3_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7.5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G1" zoomScale="70" zoomScaleNormal="70" workbookViewId="0">
      <selection activeCell="AB47" sqref="AB47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2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</v>
      </c>
      <c r="R10" s="5" t="s">
        <v>44</v>
      </c>
      <c r="S10" s="14" t="s">
        <v>55</v>
      </c>
      <c r="T10" s="25">
        <v>60</v>
      </c>
      <c r="U10" s="5" t="s">
        <v>25</v>
      </c>
    </row>
    <row r="11" spans="1:34" ht="18" x14ac:dyDescent="0.35">
      <c r="P11" s="14" t="s">
        <v>46</v>
      </c>
      <c r="Q11" s="25">
        <v>50.075531005859375</v>
      </c>
      <c r="R11" s="5" t="s">
        <v>44</v>
      </c>
      <c r="S11" s="14" t="s">
        <v>56</v>
      </c>
      <c r="T11" s="25">
        <v>60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67.109948729626197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50.075531005859375</v>
      </c>
      <c r="P16">
        <v>0</v>
      </c>
      <c r="Q16">
        <v>60</v>
      </c>
      <c r="R16">
        <v>0</v>
      </c>
      <c r="S16">
        <v>0.80107425964366674</v>
      </c>
      <c r="U16">
        <v>0</v>
      </c>
      <c r="V16" s="50">
        <f>Pline_out_atma_</f>
        <v>50</v>
      </c>
      <c r="W16">
        <v>0</v>
      </c>
      <c r="X16">
        <v>15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63.038238021369963</v>
      </c>
      <c r="P17">
        <v>184.21052631578948</v>
      </c>
      <c r="Q17">
        <v>61.578947368421055</v>
      </c>
      <c r="R17">
        <v>175</v>
      </c>
      <c r="S17">
        <v>0.8716415839764976</v>
      </c>
      <c r="U17">
        <v>0</v>
      </c>
      <c r="V17" s="50">
        <f>Pbuf_out_atma_</f>
        <v>50.075531005859375</v>
      </c>
      <c r="W17">
        <v>125</v>
      </c>
      <c r="X17">
        <v>15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76.691485237570831</v>
      </c>
      <c r="P18">
        <v>368.42105263157896</v>
      </c>
      <c r="Q18">
        <v>63.157894736842103</v>
      </c>
      <c r="R18">
        <v>350</v>
      </c>
      <c r="S18">
        <v>0.93029194441574181</v>
      </c>
      <c r="U18">
        <f>Hperf_m_</f>
        <v>3500</v>
      </c>
      <c r="V18" s="50">
        <f>Pwf_out_atma_</f>
        <v>67.109948729626197</v>
      </c>
      <c r="W18">
        <v>250</v>
      </c>
      <c r="X18">
        <v>15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90.791130213370906</v>
      </c>
      <c r="P19">
        <v>552.63157894736844</v>
      </c>
      <c r="Q19">
        <v>64.736842105263165</v>
      </c>
      <c r="R19">
        <v>525</v>
      </c>
      <c r="S19">
        <v>0.97443468748687467</v>
      </c>
      <c r="W19">
        <v>375</v>
      </c>
      <c r="X19">
        <v>15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105.13693227171778</v>
      </c>
      <c r="P20">
        <v>736.84210526315792</v>
      </c>
      <c r="Q20">
        <v>66.315789473684205</v>
      </c>
      <c r="R20">
        <v>700</v>
      </c>
      <c r="S20">
        <v>1</v>
      </c>
      <c r="W20">
        <v>500</v>
      </c>
      <c r="X20">
        <v>15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119.5306109826482</v>
      </c>
      <c r="P21">
        <v>921.0526315789474</v>
      </c>
      <c r="Q21">
        <v>67.89473684210526</v>
      </c>
      <c r="R21">
        <v>875</v>
      </c>
      <c r="S21">
        <v>1</v>
      </c>
      <c r="W21">
        <v>625</v>
      </c>
      <c r="X21">
        <v>15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133.51407128900277</v>
      </c>
      <c r="P22">
        <v>1105.2631578947369</v>
      </c>
      <c r="Q22">
        <v>69.473684210526315</v>
      </c>
      <c r="R22">
        <v>1050</v>
      </c>
      <c r="S22">
        <v>1</v>
      </c>
      <c r="W22">
        <v>750</v>
      </c>
      <c r="X22">
        <v>15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146.97029634920182</v>
      </c>
      <c r="P23">
        <v>1289.4736842105262</v>
      </c>
      <c r="Q23">
        <v>71.05263157894737</v>
      </c>
      <c r="R23">
        <v>1225</v>
      </c>
      <c r="S23">
        <v>1</v>
      </c>
      <c r="W23">
        <v>875</v>
      </c>
      <c r="X23">
        <v>15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159.89756262640026</v>
      </c>
      <c r="P24">
        <v>1473.6842105263158</v>
      </c>
      <c r="Q24">
        <v>72.631578947368425</v>
      </c>
      <c r="R24">
        <v>1400</v>
      </c>
      <c r="S24">
        <v>1</v>
      </c>
      <c r="W24">
        <v>1000</v>
      </c>
      <c r="X24">
        <v>15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172.29969979558365</v>
      </c>
      <c r="P25">
        <v>1657.8947368421054</v>
      </c>
      <c r="Q25">
        <v>74.21052631578948</v>
      </c>
      <c r="R25">
        <v>1575</v>
      </c>
      <c r="S25">
        <v>1</v>
      </c>
      <c r="W25">
        <v>1125</v>
      </c>
      <c r="X25">
        <v>15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184.17357226903749</v>
      </c>
      <c r="P26">
        <v>1842.1052631578948</v>
      </c>
      <c r="Q26">
        <v>75.789473684210535</v>
      </c>
      <c r="R26">
        <v>1750</v>
      </c>
      <c r="S26">
        <v>1</v>
      </c>
      <c r="W26">
        <v>1250</v>
      </c>
      <c r="X26">
        <v>15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195.51695094422593</v>
      </c>
      <c r="P27">
        <v>2026.3157894736842</v>
      </c>
      <c r="Q27">
        <v>77.368421052631575</v>
      </c>
      <c r="R27">
        <v>1925</v>
      </c>
      <c r="S27">
        <v>1</v>
      </c>
      <c r="W27">
        <v>1375</v>
      </c>
      <c r="X27">
        <v>15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206.32830039676415</v>
      </c>
      <c r="P28">
        <v>2210.5263157894738</v>
      </c>
      <c r="Q28">
        <v>78.94736842105263</v>
      </c>
      <c r="R28">
        <v>2100</v>
      </c>
      <c r="S28">
        <v>1</v>
      </c>
      <c r="W28">
        <v>1500</v>
      </c>
      <c r="X28">
        <v>15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216.59827323864039</v>
      </c>
      <c r="P29">
        <v>2394.7368421052633</v>
      </c>
      <c r="Q29">
        <v>80.526315789473685</v>
      </c>
      <c r="R29">
        <v>2275</v>
      </c>
      <c r="S29">
        <v>1</v>
      </c>
      <c r="W29">
        <v>1625</v>
      </c>
      <c r="X29">
        <v>15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50</v>
      </c>
      <c r="P30">
        <v>2500</v>
      </c>
      <c r="Q30">
        <v>81.428571428571431</v>
      </c>
      <c r="R30">
        <v>2450</v>
      </c>
      <c r="S30">
        <v>0.94680922212128138</v>
      </c>
      <c r="W30">
        <v>1750</v>
      </c>
      <c r="X30">
        <v>15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53.877486997724823</v>
      </c>
      <c r="P31">
        <v>2578.9473684210525</v>
      </c>
      <c r="Q31">
        <v>82.10526315789474</v>
      </c>
      <c r="R31">
        <v>2625</v>
      </c>
      <c r="S31">
        <v>0.9128444240623792</v>
      </c>
      <c r="W31">
        <v>1875</v>
      </c>
      <c r="X31">
        <v>15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61.47704477626381</v>
      </c>
      <c r="P32">
        <v>2763.1578947368421</v>
      </c>
      <c r="Q32">
        <v>83.684210526315795</v>
      </c>
      <c r="R32">
        <v>2800</v>
      </c>
      <c r="S32">
        <v>0.92983634841927165</v>
      </c>
      <c r="W32">
        <v>2000</v>
      </c>
      <c r="X32">
        <v>19.797466966960407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63.474597599648533</v>
      </c>
      <c r="P33">
        <v>2947.3684210526317</v>
      </c>
      <c r="Q33">
        <v>85.26315789473685</v>
      </c>
      <c r="R33">
        <v>2975</v>
      </c>
      <c r="S33">
        <v>0.93186631572234335</v>
      </c>
      <c r="W33">
        <v>2125</v>
      </c>
      <c r="X33">
        <v>27.834279416422973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64.687010229089353</v>
      </c>
      <c r="P34">
        <v>3131.5789473684213</v>
      </c>
      <c r="Q34">
        <v>86.84210526315789</v>
      </c>
      <c r="R34">
        <v>3150</v>
      </c>
      <c r="S34">
        <v>0.93382930778675088</v>
      </c>
      <c r="W34">
        <v>2250</v>
      </c>
      <c r="X34">
        <v>35.543097741781111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65.898819067056948</v>
      </c>
      <c r="P35">
        <v>3315.7894736842109</v>
      </c>
      <c r="Q35">
        <v>88.421052631578959</v>
      </c>
      <c r="R35">
        <v>3325</v>
      </c>
      <c r="S35">
        <v>0.93572819867896317</v>
      </c>
      <c r="W35">
        <v>2375</v>
      </c>
      <c r="X35">
        <v>42.929800597519474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67.109948729626197</v>
      </c>
      <c r="P36">
        <v>3500</v>
      </c>
      <c r="Q36">
        <v>90</v>
      </c>
      <c r="R36">
        <v>3500</v>
      </c>
      <c r="S36">
        <v>0.93756571915868725</v>
      </c>
      <c r="W36">
        <v>2500</v>
      </c>
      <c r="X36">
        <v>50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I10"/>
  <sheetViews>
    <sheetView workbookViewId="0">
      <selection activeCell="B8" sqref="B8"/>
    </sheetView>
  </sheetViews>
  <sheetFormatPr defaultRowHeight="15" x14ac:dyDescent="0.25"/>
  <sheetData>
    <row r="3" spans="2:9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9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9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9" x14ac:dyDescent="0.25">
      <c r="B8">
        <f t="array" ref="B8:I10">[1]!Well_Plin_Pwf_atma(200,50,0,B3,B4,B5)</f>
        <v>204.66318931493976</v>
      </c>
      <c r="C8" t="str">
        <v>Plin</v>
      </c>
      <c r="D8">
        <v>204.66318931493976</v>
      </c>
      <c r="E8">
        <v>204.73211177306956</v>
      </c>
      <c r="F8">
        <v>351.21462726116425</v>
      </c>
      <c r="G8">
        <v>184.79538176287073</v>
      </c>
      <c r="H8">
        <v>200</v>
      </c>
      <c r="I8" t="str">
        <v>Давления атм, линейное, буферное, на выкиде насоса, на приеме насоса, забойное</v>
      </c>
    </row>
    <row r="9" spans="2:9" x14ac:dyDescent="0.25">
      <c r="B9">
        <v>25</v>
      </c>
      <c r="C9" t="str">
        <v>Tsurf</v>
      </c>
      <c r="D9">
        <v>25</v>
      </c>
      <c r="E9">
        <v>0</v>
      </c>
      <c r="F9">
        <v>18.530763721869096</v>
      </c>
      <c r="G9">
        <v>0</v>
      </c>
      <c r="H9">
        <v>85</v>
      </c>
      <c r="I9" t="str">
        <v>Температура С, на поверхности, буферное, на выкиде насоса, на приеме насоса, забойное</v>
      </c>
    </row>
    <row r="10" spans="2:9" x14ac:dyDescent="0.25">
      <c r="B10">
        <v>23.209640397701406</v>
      </c>
      <c r="C10" t="str">
        <v>I_A</v>
      </c>
      <c r="D10">
        <v>40406.712799093577</v>
      </c>
      <c r="E10">
        <v>23.209640397701406</v>
      </c>
      <c r="F10">
        <v>1.2060082921268449</v>
      </c>
      <c r="G10">
        <v>0.5</v>
      </c>
      <c r="H10">
        <v>0.35002557351192715</v>
      </c>
      <c r="I10" t="str">
        <v xml:space="preserve">Мощность, Ток, Загрузка, Сепарация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7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2019-03-17T18:54:05Z</dcterms:modified>
</cp:coreProperties>
</file>