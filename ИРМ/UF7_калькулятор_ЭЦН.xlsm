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08045C10-5252-4FE3-A0EB-BB2F684D9391}" xr6:coauthVersionLast="41" xr6:coauthVersionMax="41" xr10:uidLastSave="{00000000-0000-0000-0000-000000000000}"/>
  <bookViews>
    <workbookView xWindow="-21600" yWindow="4020" windowWidth="21420" windowHeight="19530" tabRatio="529" activeTab="4" xr2:uid="{00000000-000D-0000-FFFF-FFFF00000000}"/>
  </bookViews>
  <sheets>
    <sheet name="Унифлок" sheetId="6" r:id="rId1"/>
    <sheet name="PVT" sheetId="4" r:id="rId2"/>
    <sheet name="Конструкция" sheetId="3" r:id="rId3"/>
    <sheet name="УЭЦН" sheetId="7" r:id="rId4"/>
    <sheet name="Расчет" sheetId="2" r:id="rId5"/>
  </sheets>
  <externalReferences>
    <externalReference r:id="rId6"/>
  </externalReferences>
  <definedNames>
    <definedName name="betta_fric_">Расчет!$H$7</definedName>
    <definedName name="betta_grav_">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Расчет!$J$2</definedName>
    <definedName name="correlation_PVT_fontan_">Расчет!$E$2</definedName>
    <definedName name="correlation_T_fontan_">Расчет!$O$2</definedName>
    <definedName name="dcas_arr_mm_">Конструкция!$I$19:$I$38</definedName>
    <definedName name="dcas_mm_">Конструкция!$C$11</definedName>
    <definedName name="dcas_out_mm_">Конструкция!$V$18:$V$38</definedName>
    <definedName name="dchoke_mm_">Конструкция!$C$13</definedName>
    <definedName name="dtub_arr_mm_">Конструкция!$K$19:$K$38</definedName>
    <definedName name="dtub_mm_">Конструкция!$C$12</definedName>
    <definedName name="dtub_out_mm_">Конструкция!$X$18:$X$38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Расчет!$S$16:$S$36</definedName>
    <definedName name="Hlout_hmes_m_">Расчет!$R$16:$R$36</definedName>
    <definedName name="hmes_dcas_m_">Конструкция!$H$19:$H$38</definedName>
    <definedName name="hmes_dcas_out_m_">Конструкция!$U$18:$U$38</definedName>
    <definedName name="hmes_dtub_m_">Конструкция!$J$19:$J$38</definedName>
    <definedName name="hmes_dtub_out_m_">Конструкция!$W$18:$W$38</definedName>
    <definedName name="hmes_incl_m_">Конструкция!$B$19:$B$176</definedName>
    <definedName name="hmes_incl_out_m_">Конструкция!$P$18:$P$38</definedName>
    <definedName name="Hmes_mes_m_">Расчет!$C$17:$C$352</definedName>
    <definedName name="hmes_out_">Расчет!$H$16:$H$36</definedName>
    <definedName name="hmes_tamb_m_">Конструкция!$E$19:$E$38</definedName>
    <definedName name="hmes_tamb_out_m_" localSheetId="4">Расчет!$K$16:$K$36</definedName>
    <definedName name="hmes_tamb_out_m_">Конструкция!$S$18:$S$38</definedName>
    <definedName name="Hout_">Расчет!$N$17:$N$36</definedName>
    <definedName name="Hperf_m_">Конструкция!$C$9</definedName>
    <definedName name="Hpump_">УЭЦН!$C$16</definedName>
    <definedName name="Htub_m_">Конструкция!$C$10</definedName>
    <definedName name="hvert_incl_m_">Конструкция!$C$19:$C$176</definedName>
    <definedName name="hvert_incl_out_m_">Конструкция!$Q$18:$Q$38</definedName>
    <definedName name="hvert_tamb_out_m_" localSheetId="4">Расчет!$L$16:$L$36</definedName>
    <definedName name="HydrCorr_">Расчет!$AA$6</definedName>
    <definedName name="HydrCorr_selector_">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Расчет!$D$17:$D$352</definedName>
    <definedName name="Pb_atma_" localSheetId="1">PVT!$G$15</definedName>
    <definedName name="Pb_diff_">PVT!$W$33</definedName>
    <definedName name="Pbuf_atma_">Расчет!$Q$6</definedName>
    <definedName name="Pbuf_out_atma_">Расчет!$Q$11</definedName>
    <definedName name="Pcas_atma_">Расчет!$Q$8</definedName>
    <definedName name="Pcas_hmes_">Расчет!$W$16:$W$36</definedName>
    <definedName name="Pcas_out_atma_">Расчет!$X$16:$X$36</definedName>
    <definedName name="Plin_mes_atma_">Расчет!$D$16</definedName>
    <definedName name="Pline_atma_">Расчет!$Q$5</definedName>
    <definedName name="Pline_out_atma_">Расчет!$Q$10</definedName>
    <definedName name="pmes_out_">Расчет!$I$16:$I$36</definedName>
    <definedName name="Pout_">Расчет!$O$17:$O$36</definedName>
    <definedName name="Pout_atma_">Расчет!$O$16:$O$36</definedName>
    <definedName name="Pout_hmes_m_">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Расчет!$X$3</definedName>
    <definedName name="Pwf_atma_">Расчет!$Q$7</definedName>
    <definedName name="Pwf_out_atma_">Расчет!$Q$12</definedName>
    <definedName name="Q_ESP_" localSheetId="3">УЭЦН!$C$32</definedName>
    <definedName name="Ql_scm3day_" localSheetId="1">PVT!$K$8</definedName>
    <definedName name="Ql_scm3day_" localSheetId="4">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Расчет!$E$17:$E$352</definedName>
    <definedName name="tamb_C_">Конструкция!$F$19:$F$38</definedName>
    <definedName name="tamb_out_C_" localSheetId="4">Расчет!$M$16:$M$36</definedName>
    <definedName name="tamb_out_C_">Конструкция!$T$18:$T$38</definedName>
    <definedName name="Tbh_c_">Расчет!$M$6</definedName>
    <definedName name="Tbuf_out_C_">Расчет!$T$11</definedName>
    <definedName name="Tlin_mes_C_">Расчет!$E$16</definedName>
    <definedName name="Tline_out_C_">Расчет!$T$10</definedName>
    <definedName name="tmes_out_">Расчет!$J$16:$J$36</definedName>
    <definedName name="Tout_C_">Расчет!$Q$16:$Q$36</definedName>
    <definedName name="Tout_hmes_m_">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Расчет!$T$12</definedName>
    <definedName name="Twh_C_">Расчет!$M$7</definedName>
    <definedName name="U_V_">УЭЦН!$C$13</definedName>
    <definedName name="udl_out_m_">Конструкция!$R$18:$R$38</definedName>
    <definedName name="wc_perc_" localSheetId="1">PVT!$K$9</definedName>
    <definedName name="wc_perc_" localSheetId="4">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10" i="7"/>
  <c r="C8" i="7"/>
  <c r="K11" i="4" l="1"/>
  <c r="K9" i="4"/>
  <c r="K8" i="4"/>
  <c r="C44" i="4"/>
  <c r="C37" i="4"/>
  <c r="M37" i="4"/>
  <c r="M36" i="4"/>
  <c r="E37" i="4"/>
  <c r="E35" i="4"/>
  <c r="C32" i="4"/>
  <c r="I37" i="4"/>
  <c r="I36" i="4"/>
  <c r="T33" i="4"/>
  <c r="C9" i="7"/>
  <c r="C36" i="4"/>
  <c r="V33" i="4"/>
  <c r="C33" i="4"/>
  <c r="G23" i="4"/>
  <c r="M40" i="4"/>
  <c r="E34" i="4"/>
  <c r="I33" i="4"/>
  <c r="E32" i="4"/>
  <c r="C23" i="4"/>
  <c r="C34" i="4"/>
  <c r="C45" i="4"/>
  <c r="M32" i="4"/>
  <c r="M34" i="4"/>
  <c r="M33" i="4"/>
  <c r="E33" i="4"/>
  <c r="I32" i="4"/>
  <c r="I35" i="4"/>
  <c r="C40" i="4"/>
  <c r="C49" i="4"/>
  <c r="E36" i="4"/>
  <c r="T35" i="4"/>
  <c r="M35" i="4"/>
  <c r="C43" i="4"/>
  <c r="I34" i="4"/>
  <c r="C35" i="4"/>
  <c r="C28" i="4"/>
  <c r="C26" i="4"/>
  <c r="V35" i="4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2" s="1"/>
  <c r="AA36" i="4"/>
  <c r="AA35" i="4"/>
  <c r="AB36" i="4"/>
  <c r="AB35" i="4"/>
  <c r="W38" i="4"/>
  <c r="W37" i="4"/>
  <c r="T34" i="4"/>
  <c r="V36" i="4"/>
  <c r="V34" i="4"/>
  <c r="T36" i="4"/>
  <c r="C2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<sst xmlns="http://schemas.openxmlformats.org/spreadsheetml/2006/main" count="293" uniqueCount="199">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</sst>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Конструкция!$Q$18:$Q$38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Конструкция!$T$18:$T$38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Конструкция!$S$18:$S$38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Конструкция!$U$18:$U$38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Конструкция!$X$18:$X$38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Конструкция!$W$18:$W$38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Расчет!$S$16:$S$36</c:f>
              <c:numCache>
                <c:formatCode>General</c:formatCode>
                <c:ptCount val="21"/>
                <c:pt idx="0">
                  <c:v>0.764335692247611</c:v>
                </c:pt>
                <c:pt idx="1">
                  <c:v>0.8516882513950208</c:v>
                </c:pt>
                <c:pt idx="2">
                  <c:v>0.92063752090335049</c:v>
                </c:pt>
                <c:pt idx="3">
                  <c:v>0.96899444803232138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0.83121250911276245</c:v>
                </c:pt>
                <c:pt idx="15">
                  <c:v>0.70847199459621346</c:v>
                </c:pt>
                <c:pt idx="16">
                  <c:v>0.97420720419282447</c:v>
                </c:pt>
                <c:pt idx="17">
                  <c:v>0.97493112822880668</c:v>
                </c:pt>
                <c:pt idx="18">
                  <c:v>0.97563710454886343</c:v>
                </c:pt>
                <c:pt idx="19">
                  <c:v>0.97632586804477961</c:v>
                </c:pt>
                <c:pt idx="20">
                  <c:v>0.97699812366261596</c:v>
                </c:pt>
              </c:numCache>
            </c:numRef>
          </c:xVal>
          <c:yVal>
            <c:numRef>
              <c:f>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Расчет!$O$16:$O$36</c:f>
              <c:numCache>
                <c:formatCode>General</c:formatCode>
                <c:ptCount val="21"/>
                <c:pt idx="0">
                  <c:v>50.075531005859375</c:v>
                </c:pt>
                <c:pt idx="1">
                  <c:v>62.655292628120527</c:v>
                </c:pt>
                <c:pt idx="2">
                  <c:v>76.131550121876415</c:v>
                </c:pt>
                <c:pt idx="3">
                  <c:v>90.162696966154755</c:v>
                </c:pt>
                <c:pt idx="4">
                  <c:v>104.49358736047749</c:v>
                </c:pt>
                <c:pt idx="5">
                  <c:v>118.88499785121209</c:v>
                </c:pt>
                <c:pt idx="6">
                  <c:v>132.86673156189181</c:v>
                </c:pt>
                <c:pt idx="7">
                  <c:v>146.32163170103527</c:v>
                </c:pt>
                <c:pt idx="8">
                  <c:v>159.24785787227424</c:v>
                </c:pt>
                <c:pt idx="9">
                  <c:v>171.64916542342098</c:v>
                </c:pt>
                <c:pt idx="10">
                  <c:v>183.52237138494201</c:v>
                </c:pt>
                <c:pt idx="11">
                  <c:v>194.86521279609596</c:v>
                </c:pt>
                <c:pt idx="12">
                  <c:v>205.67612943090069</c:v>
                </c:pt>
                <c:pt idx="13">
                  <c:v>215.94575644211037</c:v>
                </c:pt>
                <c:pt idx="14">
                  <c:v>69.253898577360275</c:v>
                </c:pt>
                <c:pt idx="15">
                  <c:v>72.185551034978786</c:v>
                </c:pt>
                <c:pt idx="16">
                  <c:v>78.255849208226238</c:v>
                </c:pt>
                <c:pt idx="17">
                  <c:v>80.137407245268889</c:v>
                </c:pt>
                <c:pt idx="18">
                  <c:v>81.373950459630166</c:v>
                </c:pt>
                <c:pt idx="19">
                  <c:v>82.60827323137157</c:v>
                </c:pt>
                <c:pt idx="20">
                  <c:v>83.840379316928491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14C2EDB1-5856-45A4-BB8D-7B35329A814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4D69023A-813D-4D4D-8E26-24E9DA46979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F8CF5D09-4F48-4922-84A0-9DA2A2E780ED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1AAC12C-0555-4351-98B3-B51C7D2B02F3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F04B5E4-1DFD-4872-BFFE-762485047358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4EB9EDE-BFC9-4678-98BD-DA155C9C2EA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Расчет!$V$16:$V$18</c:f>
              <c:numCache>
                <c:formatCode>0</c:formatCode>
                <c:ptCount val="3"/>
                <c:pt idx="0">
                  <c:v>50</c:v>
                </c:pt>
                <c:pt idx="1">
                  <c:v>50.075531005859375</c:v>
                </c:pt>
                <c:pt idx="2">
                  <c:v>83.840379316928491</c:v>
                </c:pt>
              </c:numCache>
            </c:numRef>
          </c:xVal>
          <c:yVal>
            <c:numRef>
              <c:f>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Расчет!$X$16:$X$36</c:f>
              <c:numCache>
                <c:formatCode>General</c:formatCode>
                <c:ptCount val="21"/>
                <c:pt idx="0">
                  <c:v>15.000000000000004</c:v>
                </c:pt>
                <c:pt idx="1">
                  <c:v>15.000000000000004</c:v>
                </c:pt>
                <c:pt idx="2">
                  <c:v>15.000000000000004</c:v>
                </c:pt>
                <c:pt idx="3">
                  <c:v>15.000000000000004</c:v>
                </c:pt>
                <c:pt idx="4">
                  <c:v>15.000000000000004</c:v>
                </c:pt>
                <c:pt idx="5">
                  <c:v>15.000000000000004</c:v>
                </c:pt>
                <c:pt idx="6">
                  <c:v>15.000000000000004</c:v>
                </c:pt>
                <c:pt idx="7">
                  <c:v>15.000000000000004</c:v>
                </c:pt>
                <c:pt idx="8">
                  <c:v>15.000000000000004</c:v>
                </c:pt>
                <c:pt idx="9">
                  <c:v>15.000000000000004</c:v>
                </c:pt>
                <c:pt idx="10">
                  <c:v>15.000000000000004</c:v>
                </c:pt>
                <c:pt idx="11">
                  <c:v>15.000000000000004</c:v>
                </c:pt>
                <c:pt idx="12">
                  <c:v>15.000000000000004</c:v>
                </c:pt>
                <c:pt idx="13">
                  <c:v>15.000000000000004</c:v>
                </c:pt>
                <c:pt idx="14">
                  <c:v>23.263011274766676</c:v>
                </c:pt>
                <c:pt idx="15">
                  <c:v>31.748258882151902</c:v>
                </c:pt>
                <c:pt idx="16">
                  <c:v>39.927349390536996</c:v>
                </c:pt>
                <c:pt idx="17">
                  <c:v>47.725530787700606</c:v>
                </c:pt>
                <c:pt idx="18">
                  <c:v>55.209475521384675</c:v>
                </c:pt>
                <c:pt idx="19">
                  <c:v>62.383790176911468</c:v>
                </c:pt>
                <c:pt idx="20">
                  <c:v>69.253898577360275</c:v>
                </c:pt>
              </c:numCache>
            </c:numRef>
          </c:xVal>
          <c:yVal>
            <c:numRef>
              <c:f>Расчет!$W$16:$W$36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Расчет!$Q$16:$Q$36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Расчет!$M$16:$M$36</c:f>
              <c:numCache>
                <c:formatCode>General</c:formatCode>
                <c:ptCount val="21"/>
                <c:pt idx="0">
                  <c:v>60</c:v>
                </c:pt>
                <c:pt idx="1">
                  <c:v>61.578947368421055</c:v>
                </c:pt>
                <c:pt idx="2">
                  <c:v>63.157894736842103</c:v>
                </c:pt>
                <c:pt idx="3">
                  <c:v>64.736842105263165</c:v>
                </c:pt>
                <c:pt idx="4">
                  <c:v>66.315789473684205</c:v>
                </c:pt>
                <c:pt idx="5">
                  <c:v>67.89473684210526</c:v>
                </c:pt>
                <c:pt idx="6">
                  <c:v>69.473684210526315</c:v>
                </c:pt>
                <c:pt idx="7">
                  <c:v>71.05263157894737</c:v>
                </c:pt>
                <c:pt idx="8">
                  <c:v>72.631578947368425</c:v>
                </c:pt>
                <c:pt idx="9">
                  <c:v>74.21052631578948</c:v>
                </c:pt>
                <c:pt idx="10">
                  <c:v>75.789473684210535</c:v>
                </c:pt>
                <c:pt idx="11">
                  <c:v>77.368421052631575</c:v>
                </c:pt>
                <c:pt idx="12">
                  <c:v>78.94736842105263</c:v>
                </c:pt>
                <c:pt idx="13">
                  <c:v>80.526315789473685</c:v>
                </c:pt>
                <c:pt idx="14">
                  <c:v>81.428571428571431</c:v>
                </c:pt>
                <c:pt idx="15">
                  <c:v>82.10526315789474</c:v>
                </c:pt>
                <c:pt idx="16">
                  <c:v>83.684210526315795</c:v>
                </c:pt>
                <c:pt idx="17">
                  <c:v>85.26315789473685</c:v>
                </c:pt>
                <c:pt idx="18">
                  <c:v>86.84210526315789</c:v>
                </c:pt>
                <c:pt idx="19">
                  <c:v>88.421052631578959</c:v>
                </c:pt>
                <c:pt idx="20">
                  <c:v>90</c:v>
                </c:pt>
              </c:numCache>
            </c:numRef>
          </c:xVal>
          <c:yVal>
            <c:numRef>
              <c:f>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3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7</xdr:row>
          <xdr:rowOff>200025</xdr:rowOff>
        </xdr:from>
        <xdr:to>
          <xdr:col>20</xdr:col>
          <xdr:colOff>600075</xdr:colOff>
          <xdr:row>11</xdr:row>
          <xdr:rowOff>57150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19050</xdr:colOff>
          <xdr:row>11</xdr:row>
          <xdr:rowOff>85725</xdr:rowOff>
        </xdr:from>
        <xdr:to>
          <xdr:col>20</xdr:col>
          <xdr:colOff>600075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14</xdr:row>
          <xdr:rowOff>209550</xdr:rowOff>
        </xdr:from>
        <xdr:to>
          <xdr:col>20</xdr:col>
          <xdr:colOff>581025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55</xdr:row>
          <xdr:rowOff>104775</xdr:rowOff>
        </xdr:from>
        <xdr:to>
          <xdr:col>21</xdr:col>
          <xdr:colOff>276225</xdr:colOff>
          <xdr:row>58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525236</xdr:colOff>
      <xdr:row>40</xdr:row>
      <xdr:rowOff>68036</xdr:rowOff>
    </xdr:from>
    <xdr:to>
      <xdr:col>18</xdr:col>
      <xdr:colOff>83004</xdr:colOff>
      <xdr:row>64</xdr:row>
      <xdr:rowOff>182336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561848</xdr:colOff>
      <xdr:row>14</xdr:row>
      <xdr:rowOff>341863</xdr:rowOff>
    </xdr:from>
    <xdr:to>
      <xdr:col>29</xdr:col>
      <xdr:colOff>134130</xdr:colOff>
      <xdr:row>46</xdr:row>
      <xdr:rowOff>33369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4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5" x14ac:dyDescent="0.25"/>
  <sheetData>
    <row r="1" spans="1:5" x14ac:dyDescent="0.25">
      <c r="A1" t="str">
        <f>"вер "&amp;B1</f>
        <v>вер 7.5</v>
      </c>
      <c r="B1" s="16">
        <v>7.5</v>
      </c>
    </row>
    <row r="2" spans="1:5" x14ac:dyDescent="0.25">
      <c r="A2" t="s">
        <v>161</v>
      </c>
    </row>
    <row r="4" spans="1:5" x14ac:dyDescent="0.25">
      <c r="A4" s="59" t="str">
        <f>"Унифлок "&amp;версия_номер_</f>
        <v>Унифлок 7.5</v>
      </c>
      <c r="B4" s="59"/>
      <c r="C4" s="59"/>
      <c r="D4" s="59"/>
      <c r="E4" s="59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5" outlineLevelRow="1" x14ac:dyDescent="0.25"/>
  <cols>
    <col min="1" max="1" width="7.28515625" style="11" customWidth="1"/>
    <col min="2" max="2" width="12.28515625" customWidth="1"/>
    <col min="4" max="4" width="10.140625" customWidth="1"/>
    <col min="7" max="7" width="12.28515625" style="1" customWidth="1"/>
    <col min="8" max="8" width="13.140625" customWidth="1"/>
    <col min="9" max="9" width="11" customWidth="1"/>
    <col min="13" max="13" width="10" customWidth="1"/>
    <col min="14" max="14" width="10.140625" customWidth="1"/>
  </cols>
  <sheetData>
    <row r="1" spans="1:17" x14ac:dyDescent="0.25">
      <c r="A1" s="11" t="str">
        <f>версия_</f>
        <v>вер 7.5</v>
      </c>
      <c r="J1" s="2" t="s">
        <v>23</v>
      </c>
      <c r="K1" s="2"/>
      <c r="L1" s="2"/>
    </row>
    <row r="2" spans="1:17" ht="18" x14ac:dyDescent="0.25">
      <c r="A2" s="59" t="s">
        <v>0</v>
      </c>
      <c r="B2" s="59"/>
      <c r="C2" s="59"/>
      <c r="D2" s="59"/>
      <c r="E2" s="59"/>
      <c r="J2" s="6" t="s">
        <v>26</v>
      </c>
      <c r="K2" s="9">
        <v>1</v>
      </c>
      <c r="L2" s="5" t="s">
        <v>6</v>
      </c>
    </row>
    <row r="3" spans="1:17" ht="18" customHeight="1" x14ac:dyDescent="0.25">
      <c r="F3" s="60" t="s">
        <v>74</v>
      </c>
      <c r="G3" s="60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2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2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1" t="s">
        <v>28</v>
      </c>
      <c r="O7" s="61"/>
      <c r="P7" s="61"/>
      <c r="Q7" s="61"/>
    </row>
    <row r="8" spans="1:17" ht="18" x14ac:dyDescent="0.25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8" x14ac:dyDescent="0.2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8" x14ac:dyDescent="0.25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8" x14ac:dyDescent="0.25">
      <c r="F11" s="7" t="s">
        <v>15</v>
      </c>
      <c r="G11" s="9">
        <v>100</v>
      </c>
      <c r="H11" s="5" t="s">
        <v>17</v>
      </c>
      <c r="J11" s="7" t="s">
        <v>18</v>
      </c>
      <c r="K11" s="52">
        <f>Расчет!Rp_m3m3_</f>
        <v>100</v>
      </c>
      <c r="L11" s="5" t="s">
        <v>17</v>
      </c>
    </row>
    <row r="12" spans="1:17" ht="18" x14ac:dyDescent="0.2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25">
      <c r="F13" s="2" t="s">
        <v>5</v>
      </c>
      <c r="G13" s="2"/>
      <c r="H13" s="2"/>
    </row>
    <row r="14" spans="1:17" ht="18" x14ac:dyDescent="0.25">
      <c r="F14" s="5" t="s">
        <v>16</v>
      </c>
      <c r="G14" s="9">
        <v>80</v>
      </c>
      <c r="H14" s="5" t="s">
        <v>75</v>
      </c>
    </row>
    <row r="15" spans="1:17" ht="18" x14ac:dyDescent="0.25">
      <c r="F15" s="5" t="s">
        <v>20</v>
      </c>
      <c r="G15" s="9">
        <v>100</v>
      </c>
      <c r="H15" s="5" t="s">
        <v>2</v>
      </c>
    </row>
    <row r="16" spans="1:17" ht="18" x14ac:dyDescent="0.25">
      <c r="F16" s="7" t="s">
        <v>21</v>
      </c>
      <c r="G16" s="9"/>
      <c r="H16" s="5" t="s">
        <v>17</v>
      </c>
    </row>
    <row r="17" spans="2:33" ht="18" x14ac:dyDescent="0.25">
      <c r="F17" s="8" t="s">
        <v>22</v>
      </c>
      <c r="G17" s="9"/>
      <c r="H17" s="5" t="s">
        <v>7</v>
      </c>
    </row>
    <row r="20" spans="2:33" x14ac:dyDescent="0.25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25"/>
    <row r="22" spans="2:33" outlineLevel="1" x14ac:dyDescent="0.25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8" outlineLevel="1" x14ac:dyDescent="0.25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8" outlineLevel="1" x14ac:dyDescent="0.25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8" outlineLevel="1" x14ac:dyDescent="0.25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8" outlineLevel="1" x14ac:dyDescent="0.25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8" outlineLevel="1" x14ac:dyDescent="0.25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8" outlineLevel="1" x14ac:dyDescent="0.25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25"/>
    <row r="30" spans="2:33" outlineLevel="1" x14ac:dyDescent="0.25"/>
    <row r="31" spans="2:33" outlineLevel="1" x14ac:dyDescent="0.25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8" outlineLevel="1" x14ac:dyDescent="0.35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8" outlineLevel="1" x14ac:dyDescent="0.25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8" outlineLevel="1" x14ac:dyDescent="0.25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8" outlineLevel="1" x14ac:dyDescent="0.25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8" outlineLevel="1" x14ac:dyDescent="0.25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8" outlineLevel="1" x14ac:dyDescent="0.25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8" outlineLevel="1" x14ac:dyDescent="0.25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8" outlineLevel="1" x14ac:dyDescent="0.25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8" outlineLevel="1" x14ac:dyDescent="0.25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25">
      <c r="L41" s="31"/>
    </row>
    <row r="42" spans="2:33" outlineLevel="1" x14ac:dyDescent="0.25">
      <c r="B42" s="2" t="s">
        <v>120</v>
      </c>
      <c r="C42" s="2"/>
      <c r="D42" s="2"/>
      <c r="E42" s="28"/>
      <c r="F42" s="31"/>
      <c r="L42" s="31"/>
    </row>
    <row r="43" spans="2:33" ht="18" outlineLevel="1" x14ac:dyDescent="0.25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8" outlineLevel="1" x14ac:dyDescent="0.25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8" outlineLevel="1" x14ac:dyDescent="0.25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8" outlineLevel="1" x14ac:dyDescent="0.25">
      <c r="B46" s="5" t="s">
        <v>124</v>
      </c>
      <c r="E46" s="31"/>
      <c r="F46" s="31"/>
    </row>
    <row r="47" spans="2:33" ht="18" outlineLevel="1" x14ac:dyDescent="0.25">
      <c r="B47" s="5" t="s">
        <v>125</v>
      </c>
      <c r="E47" s="31"/>
      <c r="F47" s="31"/>
    </row>
    <row r="48" spans="2:33" ht="18" outlineLevel="1" x14ac:dyDescent="0.25">
      <c r="B48" s="5" t="s">
        <v>126</v>
      </c>
      <c r="E48" s="31"/>
      <c r="F48" s="31"/>
    </row>
    <row r="49" spans="1:29" outlineLevel="1" x14ac:dyDescent="0.25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25">
      <c r="E50" s="31"/>
      <c r="F50" s="31"/>
    </row>
    <row r="51" spans="1:29" outlineLevel="1" x14ac:dyDescent="0.25">
      <c r="E51" s="31"/>
      <c r="F51" s="31"/>
    </row>
    <row r="52" spans="1:29" outlineLevel="1" x14ac:dyDescent="0.25"/>
    <row r="53" spans="1:29" outlineLevel="1" x14ac:dyDescent="0.25"/>
    <row r="54" spans="1:29" x14ac:dyDescent="0.25">
      <c r="L54" s="31"/>
    </row>
    <row r="55" spans="1:29" x14ac:dyDescent="0.25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25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25">
      <c r="L57" s="31"/>
      <c r="M57" s="31"/>
    </row>
    <row r="58" spans="1:29" ht="18" outlineLevel="1" x14ac:dyDescent="0.25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25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25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25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25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25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25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25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25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25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25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25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25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25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25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25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25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25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25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25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25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25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25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25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25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25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25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25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25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25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25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25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25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25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25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25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25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25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25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25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25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25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25"/>
    <row r="101" spans="1:18" outlineLevel="1" x14ac:dyDescent="0.25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19050</xdr:colOff>
                    <xdr:row>7</xdr:row>
                    <xdr:rowOff>200025</xdr:rowOff>
                  </from>
                  <to>
                    <xdr:col>20</xdr:col>
                    <xdr:colOff>600075</xdr:colOff>
                    <xdr:row>11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19050</xdr:colOff>
                    <xdr:row>11</xdr:row>
                    <xdr:rowOff>85725</xdr:rowOff>
                  </from>
                  <to>
                    <xdr:col>20</xdr:col>
                    <xdr:colOff>600075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9525</xdr:colOff>
                    <xdr:row>14</xdr:row>
                    <xdr:rowOff>209550</xdr:rowOff>
                  </from>
                  <to>
                    <xdr:col>20</xdr:col>
                    <xdr:colOff>581025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171450</xdr:colOff>
                    <xdr:row>55</xdr:row>
                    <xdr:rowOff>104775</xdr:rowOff>
                  </from>
                  <to>
                    <xdr:col>21</xdr:col>
                    <xdr:colOff>276225</xdr:colOff>
                    <xdr:row>58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B1" sqref="B1"/>
    </sheetView>
  </sheetViews>
  <sheetFormatPr defaultRowHeight="15" x14ac:dyDescent="0.25"/>
  <sheetData>
    <row r="1" spans="1:16" x14ac:dyDescent="0.25">
      <c r="A1" t="str">
        <f>версия_</f>
        <v>вер 7.5</v>
      </c>
    </row>
    <row r="6" spans="1:16" x14ac:dyDescent="0.25">
      <c r="A6" s="11"/>
      <c r="B6" t="s">
        <v>37</v>
      </c>
      <c r="G6" s="1"/>
    </row>
    <row r="7" spans="1:16" x14ac:dyDescent="0.25">
      <c r="A7" s="11"/>
      <c r="G7" s="1"/>
    </row>
    <row r="8" spans="1:16" x14ac:dyDescent="0.25">
      <c r="A8" s="11"/>
      <c r="B8" s="17" t="s">
        <v>52</v>
      </c>
      <c r="C8" s="2"/>
      <c r="D8" s="2"/>
      <c r="G8" s="1"/>
    </row>
    <row r="9" spans="1:16" ht="18" x14ac:dyDescent="0.35">
      <c r="A9" s="11"/>
      <c r="B9" s="14" t="s">
        <v>39</v>
      </c>
      <c r="C9" s="9">
        <v>3500</v>
      </c>
      <c r="D9" s="5" t="s">
        <v>38</v>
      </c>
      <c r="G9" s="1"/>
    </row>
    <row r="10" spans="1:16" ht="18" x14ac:dyDescent="0.35">
      <c r="A10" s="11"/>
      <c r="B10" s="14" t="s">
        <v>40</v>
      </c>
      <c r="C10" s="9">
        <v>2500</v>
      </c>
      <c r="D10" s="5" t="s">
        <v>25</v>
      </c>
      <c r="G10" s="1"/>
    </row>
    <row r="11" spans="1:16" ht="18" x14ac:dyDescent="0.35">
      <c r="A11" s="11"/>
      <c r="B11" s="14" t="s">
        <v>49</v>
      </c>
      <c r="C11" s="9">
        <v>140</v>
      </c>
      <c r="D11" s="5" t="s">
        <v>41</v>
      </c>
      <c r="G11" s="1"/>
    </row>
    <row r="12" spans="1:16" ht="18" x14ac:dyDescent="0.35">
      <c r="A12" s="11"/>
      <c r="B12" s="14" t="s">
        <v>50</v>
      </c>
      <c r="C12" s="9">
        <v>65</v>
      </c>
      <c r="D12" s="5" t="s">
        <v>41</v>
      </c>
      <c r="G12" s="1"/>
    </row>
    <row r="13" spans="1:16" ht="18" x14ac:dyDescent="0.35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25">
      <c r="A14" s="11"/>
      <c r="G14" s="1"/>
    </row>
    <row r="15" spans="1:16" x14ac:dyDescent="0.25">
      <c r="A15" s="11"/>
      <c r="G15" s="1"/>
    </row>
    <row r="16" spans="1:16" x14ac:dyDescent="0.2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8" x14ac:dyDescent="0.35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2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2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2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2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2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2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2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2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2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2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2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2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2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2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2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2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2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2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2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2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2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25">
      <c r="A39" s="11"/>
      <c r="B39" s="9">
        <v>3500</v>
      </c>
      <c r="C39" s="9">
        <v>2500</v>
      </c>
      <c r="G39" s="1"/>
      <c r="M39" s="15"/>
      <c r="N39" s="15"/>
    </row>
    <row r="40" spans="1:29" x14ac:dyDescent="0.25">
      <c r="A40" s="11"/>
      <c r="B40" s="16"/>
      <c r="C40" s="16"/>
      <c r="G40" s="1"/>
      <c r="M40" s="15"/>
      <c r="N40" s="15"/>
    </row>
    <row r="41" spans="1:29" x14ac:dyDescent="0.25">
      <c r="A41" s="11"/>
      <c r="B41" s="16"/>
      <c r="C41" s="16"/>
      <c r="G41" s="1"/>
      <c r="M41" s="15"/>
      <c r="N41" s="15"/>
    </row>
    <row r="42" spans="1:29" x14ac:dyDescent="0.25">
      <c r="A42" s="11"/>
      <c r="B42" s="16"/>
      <c r="C42" s="16"/>
      <c r="G42" s="1"/>
      <c r="M42" s="15"/>
      <c r="N42" s="15"/>
    </row>
    <row r="43" spans="1:29" x14ac:dyDescent="0.25">
      <c r="A43" s="11"/>
      <c r="B43" s="16"/>
      <c r="C43" s="16"/>
      <c r="G43" s="1"/>
      <c r="M43" s="15"/>
      <c r="N43" s="15"/>
    </row>
    <row r="44" spans="1:29" x14ac:dyDescent="0.25">
      <c r="A44" s="11"/>
      <c r="B44" s="16"/>
      <c r="C44" s="16"/>
      <c r="G44" s="1"/>
      <c r="M44" s="15"/>
      <c r="N44" s="15"/>
    </row>
    <row r="45" spans="1:29" x14ac:dyDescent="0.25">
      <c r="A45" s="11"/>
      <c r="B45" s="16"/>
      <c r="C45" s="16"/>
      <c r="G45" s="1"/>
      <c r="M45" s="15"/>
      <c r="N45" s="15"/>
    </row>
    <row r="46" spans="1:29" x14ac:dyDescent="0.25">
      <c r="A46" s="11"/>
      <c r="B46" s="16"/>
      <c r="C46" s="16"/>
      <c r="G46" s="1"/>
    </row>
    <row r="47" spans="1:29" x14ac:dyDescent="0.25">
      <c r="A47" s="11"/>
      <c r="B47" s="16"/>
      <c r="C47" s="16"/>
      <c r="G47" s="1"/>
    </row>
    <row r="48" spans="1:29" x14ac:dyDescent="0.25">
      <c r="A48" s="11"/>
      <c r="B48" s="16"/>
      <c r="C48" s="16"/>
      <c r="G48" s="1"/>
    </row>
    <row r="49" spans="1:7" x14ac:dyDescent="0.25">
      <c r="A49" s="11"/>
      <c r="B49" s="16"/>
      <c r="C49" s="16"/>
      <c r="G49" s="1"/>
    </row>
    <row r="50" spans="1:7" x14ac:dyDescent="0.25">
      <c r="A50" s="11"/>
      <c r="B50" s="16"/>
      <c r="C50" s="16"/>
      <c r="G50" s="1"/>
    </row>
    <row r="51" spans="1:7" x14ac:dyDescent="0.25">
      <c r="A51" s="11"/>
      <c r="B51" s="16"/>
      <c r="C51" s="16"/>
      <c r="G51" s="1"/>
    </row>
    <row r="52" spans="1:7" x14ac:dyDescent="0.25">
      <c r="A52" s="11"/>
      <c r="B52" s="16"/>
      <c r="C52" s="16"/>
      <c r="G52" s="1"/>
    </row>
    <row r="53" spans="1:7" x14ac:dyDescent="0.25">
      <c r="A53" s="11"/>
      <c r="B53" s="16"/>
      <c r="C53" s="16"/>
      <c r="G53" s="1"/>
    </row>
    <row r="54" spans="1:7" x14ac:dyDescent="0.25">
      <c r="A54" s="11"/>
      <c r="B54" s="16"/>
      <c r="C54" s="16"/>
      <c r="G54" s="1"/>
    </row>
    <row r="55" spans="1:7" x14ac:dyDescent="0.25">
      <c r="A55" s="11"/>
      <c r="B55" s="16"/>
      <c r="C55" s="16"/>
      <c r="G55" s="1"/>
    </row>
    <row r="56" spans="1:7" x14ac:dyDescent="0.25">
      <c r="A56" s="11"/>
      <c r="B56" s="16"/>
      <c r="C56" s="16"/>
      <c r="G56" s="1"/>
    </row>
    <row r="57" spans="1:7" x14ac:dyDescent="0.25">
      <c r="A57" s="11"/>
      <c r="B57" s="16"/>
      <c r="C57" s="16"/>
      <c r="G57" s="1"/>
    </row>
    <row r="58" spans="1:7" x14ac:dyDescent="0.25">
      <c r="A58" s="11"/>
      <c r="B58" s="16"/>
      <c r="C58" s="16"/>
      <c r="G58" s="1"/>
    </row>
    <row r="59" spans="1:7" x14ac:dyDescent="0.25">
      <c r="A59" s="11"/>
      <c r="B59" s="16"/>
      <c r="C59" s="16"/>
      <c r="G59" s="1"/>
    </row>
    <row r="60" spans="1:7" x14ac:dyDescent="0.25">
      <c r="A60" s="11"/>
      <c r="B60" s="16"/>
      <c r="C60" s="16"/>
      <c r="G60" s="1"/>
    </row>
    <row r="61" spans="1:7" x14ac:dyDescent="0.25">
      <c r="A61" s="11"/>
      <c r="B61" s="16"/>
      <c r="C61" s="16"/>
      <c r="G61" s="1"/>
    </row>
    <row r="62" spans="1:7" x14ac:dyDescent="0.25">
      <c r="A62" s="11"/>
      <c r="B62" s="16"/>
      <c r="C62" s="16"/>
      <c r="G62" s="1"/>
    </row>
    <row r="63" spans="1:7" x14ac:dyDescent="0.25">
      <c r="A63" s="11"/>
      <c r="B63" s="16"/>
      <c r="C63" s="16"/>
      <c r="G63" s="1"/>
    </row>
    <row r="64" spans="1:7" x14ac:dyDescent="0.25">
      <c r="A64" s="11"/>
      <c r="B64" s="16"/>
      <c r="C64" s="16"/>
      <c r="G64" s="1"/>
    </row>
    <row r="65" spans="1:7" x14ac:dyDescent="0.25">
      <c r="A65" s="11"/>
      <c r="B65" s="16"/>
      <c r="C65" s="16"/>
      <c r="G65" s="1"/>
    </row>
    <row r="66" spans="1:7" x14ac:dyDescent="0.25">
      <c r="A66" s="11"/>
      <c r="B66" s="16"/>
      <c r="C66" s="16"/>
      <c r="G66" s="1"/>
    </row>
    <row r="67" spans="1:7" x14ac:dyDescent="0.25">
      <c r="A67" s="11"/>
      <c r="B67" s="16"/>
      <c r="C67" s="16"/>
      <c r="G67" s="1"/>
    </row>
    <row r="68" spans="1:7" x14ac:dyDescent="0.25">
      <c r="A68" s="11"/>
      <c r="B68" s="16"/>
      <c r="C68" s="16"/>
      <c r="G68" s="1"/>
    </row>
    <row r="69" spans="1:7" x14ac:dyDescent="0.25">
      <c r="A69" s="11"/>
      <c r="B69" s="16"/>
      <c r="C69" s="16"/>
      <c r="G69" s="1"/>
    </row>
    <row r="70" spans="1:7" x14ac:dyDescent="0.25">
      <c r="A70" s="11"/>
      <c r="B70" s="16"/>
      <c r="C70" s="16"/>
      <c r="G70" s="1"/>
    </row>
    <row r="71" spans="1:7" x14ac:dyDescent="0.25">
      <c r="A71" s="11"/>
      <c r="B71" s="16"/>
      <c r="C71" s="16"/>
      <c r="G71" s="1"/>
    </row>
    <row r="72" spans="1:7" x14ac:dyDescent="0.25">
      <c r="A72" s="11"/>
      <c r="B72" s="16"/>
      <c r="C72" s="16"/>
      <c r="G72" s="1"/>
    </row>
    <row r="73" spans="1:7" x14ac:dyDescent="0.25">
      <c r="A73" s="11"/>
      <c r="B73" s="16"/>
      <c r="C73" s="16"/>
      <c r="G73" s="1"/>
    </row>
    <row r="74" spans="1:7" x14ac:dyDescent="0.25">
      <c r="A74" s="11"/>
      <c r="B74" s="16"/>
      <c r="C74" s="16"/>
      <c r="G74" s="1"/>
    </row>
    <row r="75" spans="1:7" x14ac:dyDescent="0.25">
      <c r="A75" s="11"/>
      <c r="B75" s="16"/>
      <c r="C75" s="16"/>
      <c r="G75" s="1"/>
    </row>
    <row r="76" spans="1:7" x14ac:dyDescent="0.25">
      <c r="A76" s="11"/>
      <c r="B76" s="16"/>
      <c r="C76" s="16"/>
      <c r="G76" s="1"/>
    </row>
    <row r="77" spans="1:7" x14ac:dyDescent="0.25">
      <c r="A77" s="11"/>
      <c r="B77" s="16"/>
      <c r="C77" s="16"/>
      <c r="G77" s="1"/>
    </row>
    <row r="78" spans="1:7" x14ac:dyDescent="0.25">
      <c r="A78" s="11"/>
      <c r="B78" s="16"/>
      <c r="C78" s="16"/>
      <c r="G78" s="1"/>
    </row>
    <row r="79" spans="1:7" x14ac:dyDescent="0.25">
      <c r="A79" s="11"/>
      <c r="B79" s="16"/>
      <c r="C79" s="16"/>
      <c r="G79" s="1"/>
    </row>
    <row r="80" spans="1:7" x14ac:dyDescent="0.25">
      <c r="A80" s="11"/>
      <c r="B80" s="16"/>
      <c r="C80" s="16"/>
      <c r="G80" s="1"/>
    </row>
    <row r="81" spans="1:7" x14ac:dyDescent="0.25">
      <c r="A81" s="11"/>
      <c r="B81" s="16"/>
      <c r="C81" s="16"/>
      <c r="G81" s="1"/>
    </row>
    <row r="82" spans="1:7" x14ac:dyDescent="0.25">
      <c r="A82" s="11"/>
      <c r="B82" s="16"/>
      <c r="C82" s="16"/>
      <c r="G82" s="1"/>
    </row>
    <row r="83" spans="1:7" x14ac:dyDescent="0.25">
      <c r="A83" s="11"/>
      <c r="B83" s="16"/>
      <c r="C83" s="16"/>
      <c r="G83" s="1"/>
    </row>
    <row r="84" spans="1:7" x14ac:dyDescent="0.25">
      <c r="A84" s="11"/>
      <c r="B84" s="16"/>
      <c r="C84" s="16"/>
      <c r="G84" s="1"/>
    </row>
    <row r="85" spans="1:7" x14ac:dyDescent="0.25">
      <c r="A85" s="11"/>
      <c r="B85" s="16"/>
      <c r="C85" s="16"/>
      <c r="G85" s="1"/>
    </row>
    <row r="86" spans="1:7" x14ac:dyDescent="0.25">
      <c r="A86" s="11"/>
      <c r="B86" s="16"/>
      <c r="C86" s="16"/>
      <c r="G86" s="1"/>
    </row>
    <row r="87" spans="1:7" x14ac:dyDescent="0.25">
      <c r="A87" s="11"/>
      <c r="B87" s="16"/>
      <c r="C87" s="16"/>
      <c r="G87" s="1"/>
    </row>
    <row r="88" spans="1:7" x14ac:dyDescent="0.25">
      <c r="A88" s="11"/>
      <c r="B88" s="16"/>
      <c r="C88" s="16"/>
      <c r="G88" s="1"/>
    </row>
    <row r="89" spans="1:7" x14ac:dyDescent="0.25">
      <c r="A89" s="11"/>
      <c r="B89" s="16"/>
      <c r="C89" s="16"/>
      <c r="G89" s="1"/>
    </row>
    <row r="90" spans="1:7" x14ac:dyDescent="0.25">
      <c r="A90" s="11"/>
      <c r="B90" s="16"/>
      <c r="C90" s="16"/>
      <c r="G90" s="1"/>
    </row>
    <row r="91" spans="1:7" x14ac:dyDescent="0.25">
      <c r="A91" s="11"/>
      <c r="B91" s="16"/>
      <c r="C91" s="16"/>
      <c r="G91" s="1"/>
    </row>
    <row r="92" spans="1:7" x14ac:dyDescent="0.25">
      <c r="A92" s="11"/>
      <c r="B92" s="16"/>
      <c r="C92" s="16"/>
      <c r="G92" s="1"/>
    </row>
    <row r="93" spans="1:7" x14ac:dyDescent="0.25">
      <c r="A93" s="11"/>
      <c r="B93" s="16"/>
      <c r="C93" s="16"/>
      <c r="G93" s="1"/>
    </row>
    <row r="94" spans="1:7" x14ac:dyDescent="0.25">
      <c r="A94" s="11"/>
      <c r="B94" s="16"/>
      <c r="C94" s="16"/>
      <c r="G94" s="1"/>
    </row>
    <row r="95" spans="1:7" x14ac:dyDescent="0.25">
      <c r="A95" s="11"/>
      <c r="B95" s="16"/>
      <c r="C95" s="16"/>
      <c r="G95" s="1"/>
    </row>
    <row r="96" spans="1:7" x14ac:dyDescent="0.25">
      <c r="A96" s="11"/>
      <c r="B96" s="16"/>
      <c r="C96" s="16"/>
      <c r="G96" s="1"/>
    </row>
    <row r="97" spans="1:7" x14ac:dyDescent="0.25">
      <c r="A97" s="11"/>
      <c r="B97" s="16"/>
      <c r="C97" s="16"/>
      <c r="G97" s="1"/>
    </row>
    <row r="98" spans="1:7" x14ac:dyDescent="0.25">
      <c r="A98" s="11"/>
      <c r="B98" s="16"/>
      <c r="C98" s="16"/>
      <c r="G98" s="1"/>
    </row>
    <row r="99" spans="1:7" x14ac:dyDescent="0.25">
      <c r="A99" s="11"/>
      <c r="B99" s="16"/>
      <c r="C99" s="16"/>
      <c r="G99" s="1"/>
    </row>
    <row r="100" spans="1:7" x14ac:dyDescent="0.25">
      <c r="A100" s="11"/>
      <c r="B100" s="16"/>
      <c r="C100" s="16"/>
      <c r="G100" s="1"/>
    </row>
    <row r="101" spans="1:7" x14ac:dyDescent="0.25">
      <c r="A101" s="11"/>
      <c r="B101" s="16"/>
      <c r="C101" s="16"/>
      <c r="G101" s="1"/>
    </row>
    <row r="102" spans="1:7" x14ac:dyDescent="0.25">
      <c r="A102" s="11"/>
      <c r="B102" s="16"/>
      <c r="C102" s="16"/>
      <c r="G102" s="1"/>
    </row>
    <row r="103" spans="1:7" x14ac:dyDescent="0.25">
      <c r="A103" s="11"/>
      <c r="B103" s="16"/>
      <c r="C103" s="16"/>
      <c r="G103" s="1"/>
    </row>
    <row r="104" spans="1:7" x14ac:dyDescent="0.25">
      <c r="A104" s="11"/>
      <c r="B104" s="16"/>
      <c r="C104" s="16"/>
      <c r="G104" s="1"/>
    </row>
    <row r="105" spans="1:7" x14ac:dyDescent="0.25">
      <c r="A105" s="11"/>
      <c r="B105" s="16"/>
      <c r="C105" s="16"/>
      <c r="G105" s="1"/>
    </row>
    <row r="106" spans="1:7" x14ac:dyDescent="0.25">
      <c r="A106" s="11"/>
      <c r="B106" s="16"/>
      <c r="C106" s="16"/>
      <c r="G106" s="1"/>
    </row>
    <row r="107" spans="1:7" x14ac:dyDescent="0.25">
      <c r="A107" s="11"/>
      <c r="B107" s="16"/>
      <c r="C107" s="16"/>
      <c r="G107" s="1"/>
    </row>
    <row r="108" spans="1:7" x14ac:dyDescent="0.25">
      <c r="A108" s="11"/>
      <c r="B108" s="16"/>
      <c r="C108" s="16"/>
      <c r="G108" s="1"/>
    </row>
    <row r="109" spans="1:7" x14ac:dyDescent="0.25">
      <c r="A109" s="11"/>
      <c r="B109" s="16"/>
      <c r="C109" s="16"/>
      <c r="G109" s="1"/>
    </row>
    <row r="110" spans="1:7" x14ac:dyDescent="0.25">
      <c r="A110" s="11"/>
      <c r="B110" s="16"/>
      <c r="C110" s="16"/>
      <c r="G110" s="1"/>
    </row>
    <row r="111" spans="1:7" x14ac:dyDescent="0.25">
      <c r="A111" s="11"/>
      <c r="B111" s="16"/>
      <c r="C111" s="16"/>
      <c r="G111" s="1"/>
    </row>
    <row r="112" spans="1:7" x14ac:dyDescent="0.25">
      <c r="A112" s="11"/>
      <c r="B112" s="16"/>
      <c r="C112" s="16"/>
      <c r="G112" s="1"/>
    </row>
    <row r="113" spans="1:7" x14ac:dyDescent="0.25">
      <c r="A113" s="11"/>
      <c r="B113" s="16"/>
      <c r="C113" s="16"/>
      <c r="G113" s="1"/>
    </row>
    <row r="114" spans="1:7" x14ac:dyDescent="0.25">
      <c r="A114" s="11"/>
      <c r="B114" s="16"/>
      <c r="C114" s="16"/>
      <c r="G114" s="1"/>
    </row>
    <row r="115" spans="1:7" x14ac:dyDescent="0.25">
      <c r="A115" s="11"/>
      <c r="B115" s="16"/>
      <c r="C115" s="16"/>
      <c r="G115" s="1"/>
    </row>
    <row r="116" spans="1:7" x14ac:dyDescent="0.25">
      <c r="A116" s="11"/>
      <c r="B116" s="16"/>
      <c r="C116" s="16"/>
      <c r="G116" s="1"/>
    </row>
    <row r="117" spans="1:7" x14ac:dyDescent="0.25">
      <c r="A117" s="11"/>
      <c r="B117" s="16"/>
      <c r="C117" s="16"/>
      <c r="G117" s="1"/>
    </row>
    <row r="118" spans="1:7" x14ac:dyDescent="0.25">
      <c r="A118" s="11"/>
      <c r="B118" s="16"/>
      <c r="C118" s="16"/>
      <c r="G118" s="1"/>
    </row>
    <row r="119" spans="1:7" x14ac:dyDescent="0.25">
      <c r="A119" s="11"/>
      <c r="B119" s="16"/>
      <c r="C119" s="16"/>
      <c r="G119" s="1"/>
    </row>
    <row r="120" spans="1:7" x14ac:dyDescent="0.25">
      <c r="A120" s="11"/>
      <c r="B120" s="16"/>
      <c r="C120" s="16"/>
      <c r="G120" s="1"/>
    </row>
    <row r="121" spans="1:7" x14ac:dyDescent="0.25">
      <c r="A121" s="11"/>
      <c r="B121" s="16"/>
      <c r="C121" s="16"/>
      <c r="G121" s="1"/>
    </row>
    <row r="122" spans="1:7" x14ac:dyDescent="0.25">
      <c r="A122" s="11"/>
      <c r="B122" s="16"/>
      <c r="C122" s="16"/>
      <c r="G122" s="1"/>
    </row>
    <row r="123" spans="1:7" x14ac:dyDescent="0.25">
      <c r="A123" s="11"/>
      <c r="B123" s="16"/>
      <c r="C123" s="16"/>
      <c r="G123" s="1"/>
    </row>
    <row r="124" spans="1:7" x14ac:dyDescent="0.25">
      <c r="A124" s="11"/>
      <c r="B124" s="16"/>
      <c r="C124" s="16"/>
      <c r="G124" s="1"/>
    </row>
    <row r="125" spans="1:7" x14ac:dyDescent="0.25">
      <c r="A125" s="11"/>
      <c r="B125" s="16"/>
      <c r="C125" s="16"/>
      <c r="G125" s="1"/>
    </row>
    <row r="126" spans="1:7" x14ac:dyDescent="0.25">
      <c r="A126" s="11"/>
      <c r="B126" s="16"/>
      <c r="C126" s="16"/>
      <c r="G126" s="1"/>
    </row>
    <row r="127" spans="1:7" x14ac:dyDescent="0.25">
      <c r="A127" s="11"/>
      <c r="B127" s="16"/>
      <c r="C127" s="16"/>
      <c r="G127" s="1"/>
    </row>
    <row r="128" spans="1:7" x14ac:dyDescent="0.25">
      <c r="A128" s="11"/>
      <c r="B128" s="16"/>
      <c r="C128" s="16"/>
      <c r="G128" s="1"/>
    </row>
    <row r="129" spans="1:7" x14ac:dyDescent="0.25">
      <c r="A129" s="11"/>
      <c r="B129" s="16"/>
      <c r="C129" s="16"/>
      <c r="G129" s="1"/>
    </row>
    <row r="130" spans="1:7" x14ac:dyDescent="0.25">
      <c r="A130" s="11"/>
      <c r="B130" s="16"/>
      <c r="C130" s="16"/>
      <c r="G130" s="1"/>
    </row>
    <row r="131" spans="1:7" x14ac:dyDescent="0.25">
      <c r="A131" s="11"/>
      <c r="B131" s="16"/>
      <c r="C131" s="16"/>
      <c r="G131" s="1"/>
    </row>
    <row r="132" spans="1:7" x14ac:dyDescent="0.25">
      <c r="A132" s="11"/>
      <c r="B132" s="16"/>
      <c r="C132" s="16"/>
      <c r="G132" s="1"/>
    </row>
    <row r="133" spans="1:7" x14ac:dyDescent="0.25">
      <c r="A133" s="11"/>
      <c r="B133" s="16"/>
      <c r="C133" s="16"/>
      <c r="G133" s="1"/>
    </row>
    <row r="134" spans="1:7" x14ac:dyDescent="0.25">
      <c r="A134" s="11"/>
      <c r="B134" s="16"/>
      <c r="C134" s="16"/>
      <c r="G134" s="1"/>
    </row>
    <row r="135" spans="1:7" x14ac:dyDescent="0.25">
      <c r="A135" s="11"/>
      <c r="B135" s="16"/>
      <c r="C135" s="16"/>
      <c r="G135" s="1"/>
    </row>
    <row r="136" spans="1:7" x14ac:dyDescent="0.25">
      <c r="A136" s="11"/>
      <c r="B136" s="16"/>
      <c r="C136" s="16"/>
      <c r="G136" s="1"/>
    </row>
    <row r="137" spans="1:7" x14ac:dyDescent="0.25">
      <c r="A137" s="11"/>
      <c r="B137" s="16"/>
      <c r="C137" s="16"/>
      <c r="G137" s="1"/>
    </row>
    <row r="138" spans="1:7" x14ac:dyDescent="0.25">
      <c r="A138" s="11"/>
      <c r="B138" s="16"/>
      <c r="C138" s="16"/>
      <c r="G138" s="1"/>
    </row>
    <row r="139" spans="1:7" x14ac:dyDescent="0.25">
      <c r="A139" s="11"/>
      <c r="B139" s="16"/>
      <c r="C139" s="16"/>
      <c r="G139" s="1"/>
    </row>
    <row r="140" spans="1:7" x14ac:dyDescent="0.25">
      <c r="A140" s="11"/>
      <c r="B140" s="16"/>
      <c r="C140" s="16"/>
      <c r="G140" s="1"/>
    </row>
    <row r="141" spans="1:7" x14ac:dyDescent="0.25">
      <c r="A141" s="11"/>
      <c r="B141" s="16"/>
      <c r="C141" s="16"/>
      <c r="G141" s="1"/>
    </row>
    <row r="142" spans="1:7" x14ac:dyDescent="0.25">
      <c r="A142" s="11"/>
      <c r="B142" s="16"/>
      <c r="C142" s="16"/>
      <c r="G142" s="1"/>
    </row>
    <row r="143" spans="1:7" x14ac:dyDescent="0.25">
      <c r="A143" s="11"/>
      <c r="B143" s="16"/>
      <c r="C143" s="16"/>
      <c r="G143" s="1"/>
    </row>
    <row r="144" spans="1:7" x14ac:dyDescent="0.25">
      <c r="A144" s="11"/>
      <c r="B144" s="16"/>
      <c r="C144" s="16"/>
      <c r="G144" s="1"/>
    </row>
    <row r="145" spans="1:7" x14ac:dyDescent="0.25">
      <c r="A145" s="11"/>
      <c r="B145" s="16"/>
      <c r="C145" s="16"/>
      <c r="G145" s="1"/>
    </row>
    <row r="146" spans="1:7" x14ac:dyDescent="0.25">
      <c r="A146" s="11"/>
      <c r="B146" s="16"/>
      <c r="C146" s="16"/>
      <c r="G146" s="1"/>
    </row>
    <row r="147" spans="1:7" x14ac:dyDescent="0.25">
      <c r="A147" s="11"/>
      <c r="B147" s="16"/>
      <c r="C147" s="16"/>
      <c r="G147" s="1"/>
    </row>
    <row r="148" spans="1:7" x14ac:dyDescent="0.25">
      <c r="A148" s="11"/>
      <c r="B148" s="16"/>
      <c r="C148" s="16"/>
      <c r="G148" s="1"/>
    </row>
    <row r="149" spans="1:7" x14ac:dyDescent="0.25">
      <c r="A149" s="11"/>
      <c r="B149" s="16"/>
      <c r="C149" s="16"/>
      <c r="G149" s="1"/>
    </row>
    <row r="150" spans="1:7" x14ac:dyDescent="0.25">
      <c r="A150" s="11"/>
      <c r="B150" s="16"/>
      <c r="C150" s="16"/>
      <c r="G150" s="1"/>
    </row>
    <row r="151" spans="1:7" x14ac:dyDescent="0.25">
      <c r="A151" s="11"/>
      <c r="B151" s="16"/>
      <c r="C151" s="16"/>
      <c r="G151" s="1"/>
    </row>
    <row r="152" spans="1:7" x14ac:dyDescent="0.25">
      <c r="A152" s="11"/>
      <c r="B152" s="16"/>
      <c r="C152" s="16"/>
      <c r="G152" s="1"/>
    </row>
    <row r="153" spans="1:7" x14ac:dyDescent="0.25">
      <c r="A153" s="11"/>
      <c r="B153" s="16"/>
      <c r="C153" s="16"/>
      <c r="G153" s="1"/>
    </row>
    <row r="154" spans="1:7" x14ac:dyDescent="0.25">
      <c r="A154" s="11"/>
      <c r="B154" s="16"/>
      <c r="C154" s="16"/>
      <c r="G154" s="1"/>
    </row>
    <row r="155" spans="1:7" x14ac:dyDescent="0.25">
      <c r="A155" s="11"/>
      <c r="B155" s="16"/>
      <c r="C155" s="16"/>
      <c r="G155" s="1"/>
    </row>
    <row r="156" spans="1:7" x14ac:dyDescent="0.25">
      <c r="A156" s="11"/>
      <c r="B156" s="16"/>
      <c r="C156" s="16"/>
      <c r="G156" s="1"/>
    </row>
    <row r="157" spans="1:7" x14ac:dyDescent="0.25">
      <c r="A157" s="11"/>
      <c r="B157" s="16"/>
      <c r="C157" s="16"/>
      <c r="G157" s="1"/>
    </row>
    <row r="158" spans="1:7" x14ac:dyDescent="0.25">
      <c r="A158" s="11"/>
      <c r="B158" s="16"/>
      <c r="C158" s="16"/>
      <c r="G158" s="1"/>
    </row>
    <row r="159" spans="1:7" x14ac:dyDescent="0.25">
      <c r="A159" s="11"/>
      <c r="B159" s="16"/>
      <c r="C159" s="16"/>
      <c r="G159" s="1"/>
    </row>
    <row r="160" spans="1:7" x14ac:dyDescent="0.25">
      <c r="A160" s="11"/>
      <c r="B160" s="16"/>
      <c r="C160" s="16"/>
      <c r="G160" s="1"/>
    </row>
    <row r="161" spans="1:7" x14ac:dyDescent="0.25">
      <c r="A161" s="11"/>
      <c r="B161" s="16"/>
      <c r="C161" s="16"/>
      <c r="G161" s="1"/>
    </row>
    <row r="162" spans="1:7" x14ac:dyDescent="0.25">
      <c r="A162" s="11"/>
      <c r="B162" s="16"/>
      <c r="C162" s="16"/>
      <c r="G162" s="1"/>
    </row>
    <row r="163" spans="1:7" x14ac:dyDescent="0.25">
      <c r="A163" s="11"/>
      <c r="B163" s="16"/>
      <c r="C163" s="16"/>
      <c r="G163" s="1"/>
    </row>
    <row r="164" spans="1:7" x14ac:dyDescent="0.25">
      <c r="A164" s="11"/>
      <c r="B164" s="16"/>
      <c r="C164" s="16"/>
      <c r="G164" s="1"/>
    </row>
    <row r="165" spans="1:7" x14ac:dyDescent="0.25">
      <c r="A165" s="11"/>
      <c r="B165" s="16"/>
      <c r="C165" s="16"/>
      <c r="G165" s="1"/>
    </row>
    <row r="166" spans="1:7" x14ac:dyDescent="0.25">
      <c r="A166" s="11"/>
      <c r="B166" s="16"/>
      <c r="C166" s="16"/>
      <c r="G166" s="1"/>
    </row>
    <row r="167" spans="1:7" x14ac:dyDescent="0.25">
      <c r="A167" s="11"/>
      <c r="B167" s="16"/>
      <c r="C167" s="16"/>
      <c r="G167" s="1"/>
    </row>
    <row r="168" spans="1:7" x14ac:dyDescent="0.25">
      <c r="A168" s="11"/>
      <c r="B168" s="16"/>
      <c r="C168" s="16"/>
      <c r="G168" s="1"/>
    </row>
    <row r="169" spans="1:7" x14ac:dyDescent="0.25">
      <c r="A169" s="11"/>
      <c r="B169" s="16"/>
      <c r="C169" s="16"/>
      <c r="G169" s="1"/>
    </row>
    <row r="170" spans="1:7" x14ac:dyDescent="0.25">
      <c r="A170" s="11"/>
      <c r="B170" s="16"/>
      <c r="C170" s="16"/>
      <c r="G170" s="1"/>
    </row>
    <row r="171" spans="1:7" x14ac:dyDescent="0.25">
      <c r="A171" s="11"/>
      <c r="B171" s="16"/>
      <c r="C171" s="16"/>
      <c r="G171" s="1"/>
    </row>
    <row r="172" spans="1:7" x14ac:dyDescent="0.25">
      <c r="A172" s="11"/>
      <c r="B172" s="16"/>
      <c r="C172" s="16"/>
      <c r="G172" s="1"/>
    </row>
    <row r="173" spans="1:7" x14ac:dyDescent="0.25">
      <c r="A173" s="11"/>
      <c r="B173" s="16"/>
      <c r="C173" s="16"/>
      <c r="G173" s="1"/>
    </row>
    <row r="174" spans="1:7" x14ac:dyDescent="0.25">
      <c r="A174" s="11"/>
      <c r="B174" s="16"/>
      <c r="C174" s="16"/>
      <c r="G174" s="1"/>
    </row>
    <row r="175" spans="1:7" x14ac:dyDescent="0.25">
      <c r="A175" s="11"/>
      <c r="G175" s="1"/>
    </row>
    <row r="176" spans="1:7" x14ac:dyDescent="0.2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5" x14ac:dyDescent="0.25"/>
  <cols>
    <col min="2" max="2" width="21.140625" customWidth="1"/>
    <col min="8" max="8" width="9.42578125" bestFit="1" customWidth="1"/>
    <col min="10" max="10" width="10.42578125" customWidth="1"/>
  </cols>
  <sheetData>
    <row r="1" spans="1:11" x14ac:dyDescent="0.25">
      <c r="A1" t="str">
        <f>версия_</f>
        <v>вер 7.5</v>
      </c>
    </row>
    <row r="4" spans="1:11" x14ac:dyDescent="0.25">
      <c r="B4" s="53" t="s">
        <v>176</v>
      </c>
      <c r="C4" s="54">
        <v>80</v>
      </c>
      <c r="D4" s="53" t="s">
        <v>177</v>
      </c>
    </row>
    <row r="5" spans="1:11" x14ac:dyDescent="0.25">
      <c r="B5" s="53" t="s">
        <v>178</v>
      </c>
      <c r="C5" s="54">
        <v>2000</v>
      </c>
      <c r="D5" s="53" t="s">
        <v>179</v>
      </c>
      <c r="G5" t="s">
        <v>193</v>
      </c>
      <c r="H5">
        <f>G29</f>
        <v>22</v>
      </c>
    </row>
    <row r="6" spans="1:11" x14ac:dyDescent="0.25">
      <c r="B6" s="53" t="s">
        <v>180</v>
      </c>
      <c r="C6" s="54">
        <v>50</v>
      </c>
      <c r="D6" s="53" t="s">
        <v>181</v>
      </c>
    </row>
    <row r="7" spans="1:11" x14ac:dyDescent="0.25">
      <c r="B7" s="53" t="s">
        <v>182</v>
      </c>
      <c r="C7" s="55">
        <f>[1]!ESP_IDbyRate(ESP_rate_nom_)</f>
        <v>1006</v>
      </c>
      <c r="D7" s="53"/>
      <c r="H7" t="s">
        <v>192</v>
      </c>
      <c r="I7" t="s">
        <v>194</v>
      </c>
      <c r="J7" t="s">
        <v>195</v>
      </c>
      <c r="K7" t="s">
        <v>196</v>
      </c>
    </row>
    <row r="8" spans="1:11" x14ac:dyDescent="0.25">
      <c r="B8" s="53" t="s">
        <v>183</v>
      </c>
      <c r="C8" s="55" t="str">
        <f>[1]!ESP_name(ESP_ID_)</f>
        <v>ВНН5-80</v>
      </c>
      <c r="D8" s="53"/>
      <c r="G8">
        <v>1</v>
      </c>
      <c r="H8" s="56">
        <v>1</v>
      </c>
      <c r="I8" s="50">
        <v>2202.8561602786194</v>
      </c>
      <c r="J8" s="50">
        <v>29.186480609850001</v>
      </c>
      <c r="K8" s="58">
        <v>5.303653716400898E-3</v>
      </c>
    </row>
    <row r="9" spans="1:11" x14ac:dyDescent="0.25">
      <c r="B9" s="53" t="s">
        <v>184</v>
      </c>
      <c r="C9" s="55">
        <f>[1]!ESP_maxRate_m3day(ESP_freq_,ESP_ID_)*1</f>
        <v>175</v>
      </c>
      <c r="D9" s="53"/>
      <c r="G9">
        <v>2</v>
      </c>
      <c r="H9" s="57">
        <f t="shared" ref="H9:H29" si="0">(ESP_qmax_)/(pts_-1)+H8</f>
        <v>9.3333333333333339</v>
      </c>
      <c r="I9" s="50">
        <v>2201.1756613867001</v>
      </c>
      <c r="J9" s="50">
        <v>30.054284044519342</v>
      </c>
      <c r="K9" s="58">
        <v>5.9798422240257637E-2</v>
      </c>
    </row>
    <row r="10" spans="1:11" x14ac:dyDescent="0.25">
      <c r="B10" s="53" t="s">
        <v>185</v>
      </c>
      <c r="C10" s="55">
        <f>INT(ESP_head_nom_/[1]!ESP_head_m(ESP_rate_nom_,1,,ESP_ID_))</f>
        <v>334</v>
      </c>
      <c r="D10" s="53" t="s">
        <v>186</v>
      </c>
      <c r="G10">
        <v>3</v>
      </c>
      <c r="H10" s="57">
        <f t="shared" si="0"/>
        <v>17.666666666666668</v>
      </c>
      <c r="I10" s="50">
        <v>2213.9094679222317</v>
      </c>
      <c r="J10" s="50">
        <v>30.606863386339015</v>
      </c>
      <c r="K10" s="58">
        <v>0.12804941373365702</v>
      </c>
    </row>
    <row r="11" spans="1:11" x14ac:dyDescent="0.25">
      <c r="G11">
        <v>4</v>
      </c>
      <c r="H11" s="57">
        <f t="shared" si="0"/>
        <v>26</v>
      </c>
      <c r="I11" s="50">
        <v>2229.8692070987081</v>
      </c>
      <c r="J11" s="50">
        <v>30.958139368905435</v>
      </c>
      <c r="K11" s="58">
        <v>0.20292764396578544</v>
      </c>
    </row>
    <row r="12" spans="1:11" x14ac:dyDescent="0.25">
      <c r="G12">
        <v>5</v>
      </c>
      <c r="H12" s="57">
        <f t="shared" si="0"/>
        <v>34.333333333333336</v>
      </c>
      <c r="I12" s="50">
        <v>2240.2781240080917</v>
      </c>
      <c r="J12" s="50">
        <v>31.20173424449095</v>
      </c>
      <c r="K12" s="58">
        <v>0.27857044950224974</v>
      </c>
    </row>
    <row r="13" spans="1:11" x14ac:dyDescent="0.25">
      <c r="B13" t="s">
        <v>187</v>
      </c>
      <c r="C13">
        <v>1000</v>
      </c>
      <c r="D13" t="s">
        <v>190</v>
      </c>
      <c r="G13">
        <v>6</v>
      </c>
      <c r="H13" s="57">
        <f t="shared" si="0"/>
        <v>42.666666666666671</v>
      </c>
      <c r="I13" s="50">
        <v>2238.5363986108637</v>
      </c>
      <c r="J13" s="50">
        <v>31.412726700129479</v>
      </c>
      <c r="K13" s="58">
        <v>0.3502759601447491</v>
      </c>
    </row>
    <row r="14" spans="1:11" x14ac:dyDescent="0.25">
      <c r="B14" t="s">
        <v>188</v>
      </c>
      <c r="C14">
        <v>30</v>
      </c>
      <c r="D14" t="s">
        <v>191</v>
      </c>
      <c r="G14">
        <v>7</v>
      </c>
      <c r="H14" s="57">
        <f t="shared" si="0"/>
        <v>51.000000000000007</v>
      </c>
      <c r="I14" s="50">
        <v>2219.9864627260745</v>
      </c>
      <c r="J14" s="50">
        <v>31.649406773702047</v>
      </c>
      <c r="K14" s="58">
        <v>0.41439757137074601</v>
      </c>
    </row>
    <row r="15" spans="1:11" x14ac:dyDescent="0.25">
      <c r="G15">
        <v>8</v>
      </c>
      <c r="H15" s="57">
        <f t="shared" si="0"/>
        <v>59.333333333333343</v>
      </c>
      <c r="I15" s="50">
        <v>2181.6783170213971</v>
      </c>
      <c r="J15" s="50">
        <v>31.955030770022557</v>
      </c>
      <c r="K15" s="58">
        <v>0.46823841677313949</v>
      </c>
    </row>
    <row r="16" spans="1:11" x14ac:dyDescent="0.25">
      <c r="B16" t="s">
        <v>189</v>
      </c>
      <c r="C16">
        <f>Htub_m_</f>
        <v>2500</v>
      </c>
      <c r="D16" t="s">
        <v>38</v>
      </c>
      <c r="G16">
        <v>9</v>
      </c>
      <c r="H16" s="57">
        <f t="shared" si="0"/>
        <v>67.666666666666671</v>
      </c>
      <c r="I16" s="50">
        <v>2122.1348480031738</v>
      </c>
      <c r="J16" s="50">
        <v>32.359576176923255</v>
      </c>
      <c r="K16" s="58">
        <v>0.50994584049993563</v>
      </c>
    </row>
    <row r="17" spans="7:11" x14ac:dyDescent="0.25">
      <c r="G17">
        <v>10</v>
      </c>
      <c r="H17" s="57">
        <f t="shared" si="0"/>
        <v>76</v>
      </c>
      <c r="I17" s="50">
        <v>2041.1171450064667</v>
      </c>
      <c r="J17" s="50">
        <v>32.88149658134045</v>
      </c>
      <c r="K17" s="58">
        <v>0.53840586969392079</v>
      </c>
    </row>
    <row r="18" spans="7:11" x14ac:dyDescent="0.25">
      <c r="G18">
        <v>11</v>
      </c>
      <c r="H18" s="57">
        <f t="shared" si="0"/>
        <v>84.333333333333329</v>
      </c>
      <c r="I18" s="50">
        <v>1939.3898171851113</v>
      </c>
      <c r="J18" s="50">
        <v>33.529476585400104</v>
      </c>
      <c r="K18" s="58">
        <v>0.55313768693233167</v>
      </c>
    </row>
    <row r="19" spans="7:11" x14ac:dyDescent="0.25">
      <c r="G19">
        <v>12</v>
      </c>
      <c r="H19" s="57">
        <f t="shared" si="0"/>
        <v>92.666666666666657</v>
      </c>
      <c r="I19" s="50">
        <v>1818.4863105017628</v>
      </c>
      <c r="J19" s="50">
        <v>34.304186722503474</v>
      </c>
      <c r="K19" s="58">
        <v>0.55418810266652963</v>
      </c>
    </row>
    <row r="20" spans="7:11" x14ac:dyDescent="0.25">
      <c r="G20">
        <v>13</v>
      </c>
      <c r="H20" s="57">
        <f t="shared" si="0"/>
        <v>100.99999999999999</v>
      </c>
      <c r="I20" s="50">
        <v>1680.4742247179488</v>
      </c>
      <c r="J20" s="50">
        <v>35.200038373412738</v>
      </c>
      <c r="K20" s="58">
        <v>0.5420260276616683</v>
      </c>
    </row>
    <row r="21" spans="7:11" x14ac:dyDescent="0.25">
      <c r="G21">
        <v>14</v>
      </c>
      <c r="H21" s="57">
        <f t="shared" si="0"/>
        <v>109.33333333333331</v>
      </c>
      <c r="I21" s="50">
        <v>1527.7206303841197</v>
      </c>
      <c r="J21" s="50">
        <v>36.206938682336592</v>
      </c>
      <c r="K21" s="58">
        <v>0.51743694543637142</v>
      </c>
    </row>
    <row r="22" spans="7:11" x14ac:dyDescent="0.25">
      <c r="G22">
        <v>15</v>
      </c>
      <c r="H22" s="57">
        <f t="shared" si="0"/>
        <v>117.66666666666664</v>
      </c>
      <c r="I22" s="50">
        <v>1362.6573858296981</v>
      </c>
      <c r="J22" s="50">
        <v>37.312045473015914</v>
      </c>
      <c r="K22" s="58">
        <v>0.48141738470239931</v>
      </c>
    </row>
    <row r="23" spans="7:11" x14ac:dyDescent="0.25">
      <c r="G23">
        <v>16</v>
      </c>
      <c r="H23" s="57">
        <f t="shared" si="0"/>
        <v>125.99999999999997</v>
      </c>
      <c r="I23" s="50">
        <v>1187.5464541531296</v>
      </c>
      <c r="J23" s="50">
        <v>38.501522164809316</v>
      </c>
      <c r="K23" s="58">
        <v>0.43506939180432336</v>
      </c>
    </row>
    <row r="24" spans="7:11" x14ac:dyDescent="0.25">
      <c r="G24">
        <v>17</v>
      </c>
      <c r="H24" s="57">
        <f t="shared" si="0"/>
        <v>134.33333333333331</v>
      </c>
      <c r="I24" s="50">
        <v>1004.2452202119335</v>
      </c>
      <c r="J24" s="50">
        <v>39.762292688778885</v>
      </c>
      <c r="K24" s="58">
        <v>0.37949500315919615</v>
      </c>
    </row>
    <row r="25" spans="7:11" x14ac:dyDescent="0.25">
      <c r="G25">
        <v>18</v>
      </c>
      <c r="H25" s="57">
        <f t="shared" si="0"/>
        <v>142.66666666666666</v>
      </c>
      <c r="I25" s="50">
        <v>813.97180761275365</v>
      </c>
      <c r="J25" s="50">
        <v>41.083796403775679</v>
      </c>
      <c r="K25" s="58">
        <v>0.31569071769622825</v>
      </c>
    </row>
    <row r="26" spans="7:11" x14ac:dyDescent="0.25">
      <c r="G26">
        <v>19</v>
      </c>
      <c r="H26" s="57">
        <f t="shared" si="0"/>
        <v>151</v>
      </c>
      <c r="I26" s="50">
        <v>617.07039570140614</v>
      </c>
      <c r="J26" s="50">
        <v>42.459743012525372</v>
      </c>
      <c r="K26" s="58">
        <v>0.2444419692964519</v>
      </c>
    </row>
    <row r="27" spans="7:11" x14ac:dyDescent="0.25">
      <c r="G27">
        <v>20</v>
      </c>
      <c r="H27" s="57">
        <f t="shared" si="0"/>
        <v>159.33333333333334</v>
      </c>
      <c r="I27" s="50">
        <v>412.77653655292869</v>
      </c>
      <c r="J27" s="50">
        <v>43.889867477714084</v>
      </c>
      <c r="K27" s="58">
        <v>0.16621759923240109</v>
      </c>
    </row>
    <row r="28" spans="7:11" x14ac:dyDescent="0.25">
      <c r="G28">
        <v>21</v>
      </c>
      <c r="H28" s="57">
        <f t="shared" si="0"/>
        <v>167.66666666666669</v>
      </c>
      <c r="I28" s="50">
        <v>198.98247196164161</v>
      </c>
      <c r="J28" s="50">
        <v>45.38168493807359</v>
      </c>
      <c r="K28" s="58">
        <v>8.1064328607772129E-2</v>
      </c>
    </row>
    <row r="29" spans="7:11" x14ac:dyDescent="0.25">
      <c r="G29">
        <v>22</v>
      </c>
      <c r="H29" s="57">
        <f t="shared" si="0"/>
        <v>176.00000000000003</v>
      </c>
      <c r="I29" s="50">
        <v>0</v>
      </c>
      <c r="J29" s="50">
        <v>0</v>
      </c>
      <c r="K29" s="58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70" zoomScaleNormal="70" workbookViewId="0">
      <selection activeCell="I42" sqref="I42"/>
    </sheetView>
  </sheetViews>
  <sheetFormatPr defaultRowHeight="15" x14ac:dyDescent="0.25"/>
  <cols>
    <col min="15" max="15" width="10.140625" customWidth="1"/>
    <col min="22" max="22" width="10.7109375" customWidth="1"/>
  </cols>
  <sheetData>
    <row r="1" spans="1:34" x14ac:dyDescent="0.25">
      <c r="A1" t="str">
        <f>версия_</f>
        <v>вер 7.5</v>
      </c>
    </row>
    <row r="2" spans="1:34" x14ac:dyDescent="0.25">
      <c r="C2" t="s">
        <v>140</v>
      </c>
      <c r="E2">
        <f>X3-1</f>
        <v>0</v>
      </c>
      <c r="G2" t="s">
        <v>141</v>
      </c>
      <c r="J2">
        <f>AB3-1</f>
        <v>2</v>
      </c>
      <c r="L2" t="s">
        <v>142</v>
      </c>
      <c r="O2">
        <f>AG3-1</f>
        <v>0</v>
      </c>
      <c r="Y2" t="s">
        <v>151</v>
      </c>
      <c r="AC2" t="s">
        <v>152</v>
      </c>
      <c r="AG2" t="s">
        <v>153</v>
      </c>
    </row>
    <row r="3" spans="1:34" x14ac:dyDescent="0.25">
      <c r="X3">
        <v>1</v>
      </c>
      <c r="Y3" t="s">
        <v>143</v>
      </c>
      <c r="AB3">
        <v>3</v>
      </c>
      <c r="AC3" t="s">
        <v>145</v>
      </c>
      <c r="AG3">
        <v>1</v>
      </c>
      <c r="AH3" t="s">
        <v>160</v>
      </c>
    </row>
    <row r="4" spans="1:34" x14ac:dyDescent="0.2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8" x14ac:dyDescent="0.3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8" x14ac:dyDescent="0.35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8" x14ac:dyDescent="0.35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100</v>
      </c>
      <c r="R7" s="5" t="s">
        <v>44</v>
      </c>
      <c r="AC7" t="s">
        <v>149</v>
      </c>
    </row>
    <row r="8" spans="1:34" ht="18" x14ac:dyDescent="0.35">
      <c r="B8" s="7" t="s">
        <v>34</v>
      </c>
      <c r="C8" s="12" t="s">
        <v>63</v>
      </c>
      <c r="D8" s="5" t="s">
        <v>35</v>
      </c>
      <c r="P8" s="14" t="s">
        <v>197</v>
      </c>
      <c r="Q8" s="9">
        <v>15</v>
      </c>
      <c r="R8" s="5" t="s">
        <v>44</v>
      </c>
      <c r="AC8" t="s">
        <v>150</v>
      </c>
    </row>
    <row r="9" spans="1:34" ht="18" x14ac:dyDescent="0.2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8" x14ac:dyDescent="0.35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50</v>
      </c>
      <c r="R10" s="5" t="s">
        <v>44</v>
      </c>
      <c r="S10" s="14" t="s">
        <v>55</v>
      </c>
      <c r="T10" s="25">
        <v>60</v>
      </c>
      <c r="U10" s="5" t="s">
        <v>25</v>
      </c>
    </row>
    <row r="11" spans="1:34" ht="18" x14ac:dyDescent="0.35">
      <c r="P11" s="14" t="s">
        <v>46</v>
      </c>
      <c r="Q11" s="25">
        <v>50.075531005859375</v>
      </c>
      <c r="R11" s="5" t="s">
        <v>44</v>
      </c>
      <c r="S11" s="14" t="s">
        <v>56</v>
      </c>
      <c r="T11" s="25">
        <v>60</v>
      </c>
      <c r="U11" s="5" t="s">
        <v>25</v>
      </c>
    </row>
    <row r="12" spans="1:34" ht="18" x14ac:dyDescent="0.35">
      <c r="M12" t="s">
        <v>63</v>
      </c>
      <c r="P12" s="14" t="s">
        <v>47</v>
      </c>
      <c r="Q12" s="25">
        <v>83.840379316928491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25">
      <c r="D13" s="1"/>
    </row>
    <row r="14" spans="1:34" x14ac:dyDescent="0.2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30" x14ac:dyDescent="0.2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  <c r="W15" t="s">
        <v>198</v>
      </c>
    </row>
    <row r="16" spans="1:34" x14ac:dyDescent="0.2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60</v>
      </c>
      <c r="N16">
        <v>0</v>
      </c>
      <c r="O16">
        <v>50.075531005859375</v>
      </c>
      <c r="P16">
        <v>0</v>
      </c>
      <c r="Q16">
        <v>60</v>
      </c>
      <c r="R16">
        <v>0</v>
      </c>
      <c r="S16">
        <v>0.764335692247611</v>
      </c>
      <c r="U16">
        <v>0</v>
      </c>
      <c r="V16" s="50">
        <f>Pline_out_atma_</f>
        <v>50</v>
      </c>
      <c r="W16">
        <v>0</v>
      </c>
      <c r="X16">
        <v>15.000000000000004</v>
      </c>
    </row>
    <row r="17" spans="2:24" x14ac:dyDescent="0.2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61.578947368421055</v>
      </c>
      <c r="N17">
        <v>184.21052631578948</v>
      </c>
      <c r="O17">
        <v>62.655292628120527</v>
      </c>
      <c r="P17">
        <v>184.21052631578948</v>
      </c>
      <c r="Q17">
        <v>61.578947368421055</v>
      </c>
      <c r="R17">
        <v>175</v>
      </c>
      <c r="S17">
        <v>0.8516882513950208</v>
      </c>
      <c r="U17">
        <v>0</v>
      </c>
      <c r="V17" s="50">
        <f>Pbuf_out_atma_</f>
        <v>50.075531005859375</v>
      </c>
      <c r="W17">
        <v>125</v>
      </c>
      <c r="X17">
        <v>15.000000000000004</v>
      </c>
    </row>
    <row r="18" spans="2:24" x14ac:dyDescent="0.2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63.157894736842103</v>
      </c>
      <c r="N18">
        <v>368.42105263157896</v>
      </c>
      <c r="O18">
        <v>76.131550121876415</v>
      </c>
      <c r="P18">
        <v>368.42105263157896</v>
      </c>
      <c r="Q18">
        <v>63.157894736842103</v>
      </c>
      <c r="R18">
        <v>350</v>
      </c>
      <c r="S18">
        <v>0.92063752090335049</v>
      </c>
      <c r="U18">
        <f>Hperf_m_</f>
        <v>3500</v>
      </c>
      <c r="V18" s="50">
        <f>Pwf_out_atma_</f>
        <v>83.840379316928491</v>
      </c>
      <c r="W18">
        <v>250</v>
      </c>
      <c r="X18">
        <v>15.000000000000004</v>
      </c>
    </row>
    <row r="19" spans="2:24" x14ac:dyDescent="0.2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64.736842105263165</v>
      </c>
      <c r="N19">
        <v>552.63157894736844</v>
      </c>
      <c r="O19">
        <v>90.162696966154755</v>
      </c>
      <c r="P19">
        <v>552.63157894736844</v>
      </c>
      <c r="Q19">
        <v>64.736842105263165</v>
      </c>
      <c r="R19">
        <v>525</v>
      </c>
      <c r="S19">
        <v>0.96899444803232138</v>
      </c>
      <c r="W19">
        <v>375</v>
      </c>
      <c r="X19">
        <v>15.000000000000004</v>
      </c>
    </row>
    <row r="20" spans="2:24" x14ac:dyDescent="0.2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66.315789473684205</v>
      </c>
      <c r="N20">
        <v>736.84210526315792</v>
      </c>
      <c r="O20">
        <v>104.49358736047749</v>
      </c>
      <c r="P20">
        <v>736.84210526315792</v>
      </c>
      <c r="Q20">
        <v>66.315789473684205</v>
      </c>
      <c r="R20">
        <v>700</v>
      </c>
      <c r="S20">
        <v>1</v>
      </c>
      <c r="W20">
        <v>500</v>
      </c>
      <c r="X20">
        <v>15.000000000000004</v>
      </c>
    </row>
    <row r="21" spans="2:24" x14ac:dyDescent="0.2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67.89473684210526</v>
      </c>
      <c r="N21">
        <v>921.0526315789474</v>
      </c>
      <c r="O21">
        <v>118.88499785121209</v>
      </c>
      <c r="P21">
        <v>921.0526315789474</v>
      </c>
      <c r="Q21">
        <v>67.89473684210526</v>
      </c>
      <c r="R21">
        <v>875</v>
      </c>
      <c r="S21">
        <v>1</v>
      </c>
      <c r="W21">
        <v>625</v>
      </c>
      <c r="X21">
        <v>15.000000000000004</v>
      </c>
    </row>
    <row r="22" spans="2:24" x14ac:dyDescent="0.2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69.473684210526315</v>
      </c>
      <c r="N22">
        <v>1105.2631578947369</v>
      </c>
      <c r="O22">
        <v>132.86673156189181</v>
      </c>
      <c r="P22">
        <v>1105.2631578947369</v>
      </c>
      <c r="Q22">
        <v>69.473684210526315</v>
      </c>
      <c r="R22">
        <v>1050</v>
      </c>
      <c r="S22">
        <v>1</v>
      </c>
      <c r="W22">
        <v>750</v>
      </c>
      <c r="X22">
        <v>15.000000000000004</v>
      </c>
    </row>
    <row r="23" spans="2:24" x14ac:dyDescent="0.2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71.05263157894737</v>
      </c>
      <c r="N23">
        <v>1289.4736842105262</v>
      </c>
      <c r="O23">
        <v>146.32163170103527</v>
      </c>
      <c r="P23">
        <v>1289.4736842105262</v>
      </c>
      <c r="Q23">
        <v>71.05263157894737</v>
      </c>
      <c r="R23">
        <v>1225</v>
      </c>
      <c r="S23">
        <v>1</v>
      </c>
      <c r="W23">
        <v>875</v>
      </c>
      <c r="X23">
        <v>15.000000000000004</v>
      </c>
    </row>
    <row r="24" spans="2:24" x14ac:dyDescent="0.2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72.631578947368425</v>
      </c>
      <c r="N24">
        <v>1473.6842105263158</v>
      </c>
      <c r="O24">
        <v>159.24785787227424</v>
      </c>
      <c r="P24">
        <v>1473.6842105263158</v>
      </c>
      <c r="Q24">
        <v>72.631578947368425</v>
      </c>
      <c r="R24">
        <v>1400</v>
      </c>
      <c r="S24">
        <v>1</v>
      </c>
      <c r="W24">
        <v>1000</v>
      </c>
      <c r="X24">
        <v>15.000000000000004</v>
      </c>
    </row>
    <row r="25" spans="2:24" x14ac:dyDescent="0.2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74.21052631578948</v>
      </c>
      <c r="N25">
        <v>1657.8947368421054</v>
      </c>
      <c r="O25">
        <v>171.64916542342098</v>
      </c>
      <c r="P25">
        <v>1657.8947368421054</v>
      </c>
      <c r="Q25">
        <v>74.21052631578948</v>
      </c>
      <c r="R25">
        <v>1575</v>
      </c>
      <c r="S25">
        <v>1</v>
      </c>
      <c r="W25">
        <v>1125</v>
      </c>
      <c r="X25">
        <v>15.000000000000004</v>
      </c>
    </row>
    <row r="26" spans="2:24" x14ac:dyDescent="0.2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75.789473684210535</v>
      </c>
      <c r="N26">
        <v>1842.1052631578948</v>
      </c>
      <c r="O26">
        <v>183.52237138494201</v>
      </c>
      <c r="P26">
        <v>1842.1052631578948</v>
      </c>
      <c r="Q26">
        <v>75.789473684210535</v>
      </c>
      <c r="R26">
        <v>1750</v>
      </c>
      <c r="S26">
        <v>1</v>
      </c>
      <c r="W26">
        <v>1250</v>
      </c>
      <c r="X26">
        <v>15.000000000000004</v>
      </c>
    </row>
    <row r="27" spans="2:24" x14ac:dyDescent="0.2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77.368421052631575</v>
      </c>
      <c r="N27">
        <v>2026.3157894736842</v>
      </c>
      <c r="O27">
        <v>194.86521279609596</v>
      </c>
      <c r="P27">
        <v>2026.3157894736842</v>
      </c>
      <c r="Q27">
        <v>77.368421052631575</v>
      </c>
      <c r="R27">
        <v>1925</v>
      </c>
      <c r="S27">
        <v>1</v>
      </c>
      <c r="W27">
        <v>1375</v>
      </c>
      <c r="X27">
        <v>15.000000000000004</v>
      </c>
    </row>
    <row r="28" spans="2:24" x14ac:dyDescent="0.2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78.94736842105263</v>
      </c>
      <c r="N28">
        <v>2210.5263157894738</v>
      </c>
      <c r="O28">
        <v>205.67612943090069</v>
      </c>
      <c r="P28">
        <v>2210.5263157894738</v>
      </c>
      <c r="Q28">
        <v>78.94736842105263</v>
      </c>
      <c r="R28">
        <v>2100</v>
      </c>
      <c r="S28">
        <v>1</v>
      </c>
      <c r="W28">
        <v>1500</v>
      </c>
      <c r="X28">
        <v>15.000000000000004</v>
      </c>
    </row>
    <row r="29" spans="2:24" x14ac:dyDescent="0.2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80.526315789473685</v>
      </c>
      <c r="N29">
        <v>2394.7368421052633</v>
      </c>
      <c r="O29">
        <v>215.94575644211037</v>
      </c>
      <c r="P29">
        <v>2394.7368421052633</v>
      </c>
      <c r="Q29">
        <v>80.526315789473685</v>
      </c>
      <c r="R29">
        <v>2275</v>
      </c>
      <c r="S29">
        <v>1</v>
      </c>
      <c r="W29">
        <v>1625</v>
      </c>
      <c r="X29">
        <v>15.000000000000004</v>
      </c>
    </row>
    <row r="30" spans="2:24" x14ac:dyDescent="0.2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81.428571428571431</v>
      </c>
      <c r="N30">
        <v>2500</v>
      </c>
      <c r="O30">
        <v>69.253898577360275</v>
      </c>
      <c r="P30">
        <v>2500</v>
      </c>
      <c r="Q30">
        <v>81.428571428571431</v>
      </c>
      <c r="R30">
        <v>2450</v>
      </c>
      <c r="S30">
        <v>0.83121250911276245</v>
      </c>
      <c r="W30">
        <v>1750</v>
      </c>
      <c r="X30">
        <v>23.263011274766676</v>
      </c>
    </row>
    <row r="31" spans="2:24" x14ac:dyDescent="0.2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82.10526315789474</v>
      </c>
      <c r="N31">
        <v>2578.9473684210525</v>
      </c>
      <c r="O31">
        <v>72.185551034978786</v>
      </c>
      <c r="P31">
        <v>2578.9473684210525</v>
      </c>
      <c r="Q31">
        <v>82.10526315789474</v>
      </c>
      <c r="R31">
        <v>2625</v>
      </c>
      <c r="S31">
        <v>0.70847199459621346</v>
      </c>
      <c r="W31">
        <v>1875</v>
      </c>
      <c r="X31">
        <v>31.748258882151902</v>
      </c>
    </row>
    <row r="32" spans="2:24" x14ac:dyDescent="0.2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83.684210526315795</v>
      </c>
      <c r="N32">
        <v>2763.1578947368421</v>
      </c>
      <c r="O32">
        <v>78.255849208226238</v>
      </c>
      <c r="P32">
        <v>2763.1578947368421</v>
      </c>
      <c r="Q32">
        <v>83.684210526315795</v>
      </c>
      <c r="R32">
        <v>2800</v>
      </c>
      <c r="S32">
        <v>0.97420720419282447</v>
      </c>
      <c r="W32">
        <v>2000</v>
      </c>
      <c r="X32">
        <v>39.927349390536996</v>
      </c>
    </row>
    <row r="33" spans="2:24" x14ac:dyDescent="0.2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85.26315789473685</v>
      </c>
      <c r="N33">
        <v>2947.3684210526317</v>
      </c>
      <c r="O33">
        <v>80.137407245268889</v>
      </c>
      <c r="P33">
        <v>2947.3684210526317</v>
      </c>
      <c r="Q33">
        <v>85.26315789473685</v>
      </c>
      <c r="R33">
        <v>2975</v>
      </c>
      <c r="S33">
        <v>0.97493112822880668</v>
      </c>
      <c r="W33">
        <v>2125</v>
      </c>
      <c r="X33">
        <v>47.725530787700606</v>
      </c>
    </row>
    <row r="34" spans="2:24" x14ac:dyDescent="0.2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86.84210526315789</v>
      </c>
      <c r="N34">
        <v>3131.5789473684213</v>
      </c>
      <c r="O34">
        <v>81.373950459630166</v>
      </c>
      <c r="P34">
        <v>3131.5789473684213</v>
      </c>
      <c r="Q34">
        <v>86.84210526315789</v>
      </c>
      <c r="R34">
        <v>3150</v>
      </c>
      <c r="S34">
        <v>0.97563710454886343</v>
      </c>
      <c r="W34">
        <v>2250</v>
      </c>
      <c r="X34">
        <v>55.209475521384675</v>
      </c>
    </row>
    <row r="35" spans="2:24" x14ac:dyDescent="0.2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88.421052631578959</v>
      </c>
      <c r="N35">
        <v>3315.7894736842109</v>
      </c>
      <c r="O35">
        <v>82.60827323137157</v>
      </c>
      <c r="P35">
        <v>3315.7894736842109</v>
      </c>
      <c r="Q35">
        <v>88.421052631578959</v>
      </c>
      <c r="R35">
        <v>3325</v>
      </c>
      <c r="S35">
        <v>0.97632586804477961</v>
      </c>
      <c r="W35">
        <v>2375</v>
      </c>
      <c r="X35">
        <v>62.383790176911468</v>
      </c>
    </row>
    <row r="36" spans="2:24" x14ac:dyDescent="0.2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83.840379316928491</v>
      </c>
      <c r="P36">
        <v>3500</v>
      </c>
      <c r="Q36">
        <v>90</v>
      </c>
      <c r="R36">
        <v>3500</v>
      </c>
      <c r="S36">
        <v>0.97699812366261596</v>
      </c>
      <c r="W36">
        <v>2500</v>
      </c>
      <c r="X36">
        <v>69.253898577360275</v>
      </c>
    </row>
    <row r="37" spans="2:24" x14ac:dyDescent="0.25">
      <c r="B37" s="2"/>
      <c r="C37" s="18">
        <v>2500</v>
      </c>
      <c r="D37" s="18">
        <v>176.72349338287597</v>
      </c>
      <c r="E37" s="18">
        <v>53</v>
      </c>
    </row>
    <row r="38" spans="2:24" x14ac:dyDescent="0.25">
      <c r="C38" s="18">
        <v>2625</v>
      </c>
      <c r="D38" s="18">
        <v>186.511102757185</v>
      </c>
      <c r="E38" s="18">
        <v>54</v>
      </c>
    </row>
    <row r="39" spans="2:24" x14ac:dyDescent="0.25">
      <c r="C39" s="18">
        <v>2750</v>
      </c>
      <c r="D39" s="18">
        <v>196.298712131494</v>
      </c>
      <c r="E39" s="18">
        <v>55</v>
      </c>
    </row>
    <row r="40" spans="2:24" x14ac:dyDescent="0.25">
      <c r="C40" s="18">
        <v>2875</v>
      </c>
      <c r="D40" s="18">
        <v>206.08632150580399</v>
      </c>
      <c r="E40" s="18">
        <v>56</v>
      </c>
    </row>
    <row r="41" spans="2:24" x14ac:dyDescent="0.25">
      <c r="C41" s="18">
        <v>3000</v>
      </c>
      <c r="D41" s="18">
        <v>215.87393088011299</v>
      </c>
      <c r="E41" s="18">
        <v>57</v>
      </c>
    </row>
    <row r="42" spans="2:24" x14ac:dyDescent="0.25">
      <c r="C42" s="18">
        <v>3125</v>
      </c>
      <c r="D42" s="18">
        <v>225.66154025442199</v>
      </c>
      <c r="E42" s="18">
        <v>58</v>
      </c>
    </row>
    <row r="43" spans="2:24" x14ac:dyDescent="0.25">
      <c r="C43" s="18">
        <v>3250</v>
      </c>
      <c r="D43" s="18">
        <v>235.44914962873099</v>
      </c>
      <c r="E43" s="18">
        <v>59</v>
      </c>
    </row>
    <row r="44" spans="2:24" x14ac:dyDescent="0.2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131</vt:i4>
      </vt:variant>
    </vt:vector>
  </HeadingPairs>
  <TitlesOfParts>
    <vt:vector size="136" baseType="lpstr">
      <vt:lpstr>Унифлок</vt:lpstr>
      <vt:lpstr>PVT</vt:lpstr>
      <vt:lpstr>Конструкция</vt:lpstr>
      <vt:lpstr>УЭЦН</vt:lpstr>
      <vt:lpstr>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Pcas_atma_</vt:lpstr>
      <vt:lpstr>Pcas_hmes_</vt:lpstr>
      <vt:lpstr>Pcas_out_atma_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Расчет!Ql_scm3day_</vt:lpstr>
      <vt:lpstr>PVT!Qo_sctday_</vt:lpstr>
      <vt:lpstr>rhoo_list1_</vt:lpstr>
      <vt:lpstr>rhoo_list2_</vt:lpstr>
      <vt:lpstr>rhoo_list3_</vt:lpstr>
      <vt:lpstr>PVT!Rp_m3m3_</vt:lpstr>
      <vt:lpstr>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2019-03-26T20:26:05Z</dcterms:modified>
</cp:coreProperties>
</file>