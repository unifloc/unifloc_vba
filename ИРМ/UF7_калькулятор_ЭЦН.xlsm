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FE14B1A9-A968-4378-A1AE-6B0D5D9AA096}" xr6:coauthVersionLast="41" xr6:coauthVersionMax="41" xr10:uidLastSave="{00000000-0000-0000-0000-000000000000}"/>
  <bookViews>
    <workbookView xWindow="-21045" yWindow="10155" windowWidth="20985" windowHeight="19890" tabRatio="529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УЭЦН" sheetId="7" r:id="rId4"/>
    <sheet name="Скважина_расчет" sheetId="2" r:id="rId5"/>
    <sheet name="Лист1" sheetId="8" r:id="rId6"/>
  </sheets>
  <externalReferences>
    <externalReference r:id="rId7"/>
  </externalReferences>
  <definedNames>
    <definedName name="betta_fric_">Скважина_расчет!$H$7</definedName>
    <definedName name="betta_grav_">Скважина_расчет!$H$6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Скважина_расчет!$J$2</definedName>
    <definedName name="correlation_PVT_fontan_">Скважина_расчет!$E$2</definedName>
    <definedName name="correlation_T_fontan_">Скважина_расчет!$O$2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SP_eff_list_">УЭЦН!$K$8:$K$29</definedName>
    <definedName name="ESP_freq_">УЭЦН!$C$6</definedName>
    <definedName name="ESP_head_list_">УЭЦН!$I$8:$I$29</definedName>
    <definedName name="ESP_head_nom_">УЭЦН!$C$5</definedName>
    <definedName name="ESP_ID_">УЭЦН!$C$7</definedName>
    <definedName name="ESP_name_">УЭЦН!$C$8</definedName>
    <definedName name="ESP_power_list_">УЭЦН!$J$8:$J$29</definedName>
    <definedName name="ESP_qmax_">УЭЦН!$C$9</definedName>
    <definedName name="ESP_rate_list_">УЭЦН!$H$8:$H$29</definedName>
    <definedName name="ESP_rate_nom_">УЭЦН!$C$4</definedName>
    <definedName name="ESP_stages_">УЭЦН!$C$10</definedName>
    <definedName name="Freq_" localSheetId="3">УЭЦН!$C$34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УЭЦН!$C$33</definedName>
    <definedName name="Hlout_">Скважина_расчет!$S$16:$S$36</definedName>
    <definedName name="Hlout_hmes_m_">Скважина_расчет!$R$16:$R$36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Скважина_расчет!$C$17:$C$352</definedName>
    <definedName name="hmes_out_">Скважина_расчет!$H$16:$H$36</definedName>
    <definedName name="hmes_tamb_m_">'Конструкция фонтан'!$E$19:$E$38</definedName>
    <definedName name="hmes_tamb_out_m_" localSheetId="4">Скважина_расчет!$K$16:$K$36</definedName>
    <definedName name="hmes_tamb_out_m_">'Конструкция фонтан'!$S$18:$S$38</definedName>
    <definedName name="Hout_">Скважина_расчет!$N$17:$N$36</definedName>
    <definedName name="Hperf_m_">'Конструкция фонтан'!$C$9</definedName>
    <definedName name="Hpump_">УЭЦН!$C$16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Скважина_расчет!$L$16:$L$36</definedName>
    <definedName name="HydrCorr_">Скважина_расчет!$AA$6</definedName>
    <definedName name="HydrCorr_selector_">Скважина_расчет!$AB$3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Скважина_расчет!$D$17:$D$352</definedName>
    <definedName name="Pb_atma_" localSheetId="1">PVT!$G$15</definedName>
    <definedName name="Pb_diff_">PVT!$W$33</definedName>
    <definedName name="Pbuf_atma_">Скважина_расчет!$Q$6</definedName>
    <definedName name="Pbuf_out_atma_">Скважина_расчет!$Q$11</definedName>
    <definedName name="Pcas_atma_">Скважина_расчет!$Q$8</definedName>
    <definedName name="Pcas_hmes_">Скважина_расчет!$W$16:$W$36</definedName>
    <definedName name="Pcas_out_atma_">Скважина_расчет!$X$16:$X$36</definedName>
    <definedName name="Plin_mes_atma_">Скважина_расчет!$D$16</definedName>
    <definedName name="Pline_atma_">Скважина_расчет!$Q$5</definedName>
    <definedName name="Pline_out_atma_">Скважина_расчет!$Q$10</definedName>
    <definedName name="pmes_out_">Скважина_расчет!$I$16:$I$36</definedName>
    <definedName name="Pout_">Скважина_расчет!$O$17:$O$36</definedName>
    <definedName name="Pout_atma_">Скважина_расчет!$O$16:$O$36</definedName>
    <definedName name="Pout_hmes_m_">Скважина_расчет!$N$16:$N$36</definedName>
    <definedName name="Power_Motor_nom_">УЭЦН!$C$14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УЭЦН!$H$5</definedName>
    <definedName name="PumpID_" localSheetId="3">УЭЦН!$C$35</definedName>
    <definedName name="PVT_correlation_" localSheetId="1">PVT!$H$3</definedName>
    <definedName name="PVT_selector_">Скважина_расчет!$X$3</definedName>
    <definedName name="Pwf_atma_">Скважина_расчет!$Q$7</definedName>
    <definedName name="Pwf_out_atma_">Скважина_расчет!$Q$12</definedName>
    <definedName name="Q_ESP_" localSheetId="3">УЭЦН!$C$32</definedName>
    <definedName name="Ql_scm3day_" localSheetId="1">PVT!$K$8</definedName>
    <definedName name="Ql_scm3day_" localSheetId="4">Скважина_расчет!$C$6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Скважина_расчет!$C$9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Скважина_расчет!$E$17:$E$352</definedName>
    <definedName name="tamb_C_">'Конструкция фонтан'!$F$19:$F$38</definedName>
    <definedName name="tamb_out_C_" localSheetId="4">Скважина_расчет!$M$16:$M$36</definedName>
    <definedName name="tamb_out_C_">'Конструкция фонтан'!$T$18:$T$38</definedName>
    <definedName name="Tbh_c_">Скважина_расчет!$M$6</definedName>
    <definedName name="Tbuf_out_C_">Скважина_расчет!$T$11</definedName>
    <definedName name="Tlin_mes_C_">Скважина_расчет!$E$16</definedName>
    <definedName name="Tline_out_C_">Скважина_расчет!$T$10</definedName>
    <definedName name="tmes_out_">Скважина_расчет!$J$16:$J$36</definedName>
    <definedName name="Tout_C_">Скважина_расчет!$Q$16:$Q$36</definedName>
    <definedName name="Tout_hmes_m_">Скважина_расчет!$P$16:$P$36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Скважина_расчет!$T$12</definedName>
    <definedName name="Twh_C_">Скважина_расчет!$M$7</definedName>
    <definedName name="U_V_">УЭЦН!$C$13</definedName>
    <definedName name="udl_out_m_">'Конструкция фонтан'!$R$18:$R$38</definedName>
    <definedName name="wc_perc_" localSheetId="1">PVT!$K$9</definedName>
    <definedName name="wc_perc_" localSheetId="4">Скважина_расчет!$C$7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7" l="1"/>
  <c r="C16" i="7"/>
  <c r="A1" i="7"/>
  <c r="C7" i="7"/>
  <c r="C8" i="7"/>
  <c r="B4" i="8"/>
  <c r="B3" i="8"/>
  <c r="B8" i="8" a="1"/>
  <c r="C10" i="7"/>
  <c r="B5" i="8"/>
  <c r="B8" i="8" l="1"/>
  <c r="C8" i="8"/>
  <c r="G8" i="8"/>
  <c r="C9" i="8"/>
  <c r="G9" i="8"/>
  <c r="C10" i="8"/>
  <c r="G10" i="8"/>
  <c r="D8" i="8"/>
  <c r="H8" i="8"/>
  <c r="D9" i="8"/>
  <c r="H9" i="8"/>
  <c r="D10" i="8"/>
  <c r="H10" i="8"/>
  <c r="E8" i="8"/>
  <c r="I8" i="8"/>
  <c r="E9" i="8"/>
  <c r="I9" i="8"/>
  <c r="E10" i="8"/>
  <c r="I10" i="8"/>
  <c r="F8" i="8"/>
  <c r="B9" i="8"/>
  <c r="F9" i="8"/>
  <c r="B10" i="8"/>
  <c r="F10" i="8"/>
  <c r="K11" i="4"/>
  <c r="K9" i="4"/>
  <c r="K8" i="4"/>
  <c r="C9" i="7"/>
  <c r="C44" i="4"/>
  <c r="C33" i="4"/>
  <c r="E33" i="4"/>
  <c r="M32" i="4"/>
  <c r="C37" i="4"/>
  <c r="G23" i="4"/>
  <c r="I32" i="4"/>
  <c r="C43" i="4"/>
  <c r="M37" i="4"/>
  <c r="M40" i="4"/>
  <c r="I35" i="4"/>
  <c r="C36" i="4"/>
  <c r="M36" i="4"/>
  <c r="E34" i="4"/>
  <c r="C40" i="4"/>
  <c r="M34" i="4"/>
  <c r="E37" i="4"/>
  <c r="I33" i="4"/>
  <c r="C49" i="4"/>
  <c r="I34" i="4"/>
  <c r="E35" i="4"/>
  <c r="E32" i="4"/>
  <c r="E36" i="4"/>
  <c r="V33" i="4"/>
  <c r="C32" i="4"/>
  <c r="C23" i="4"/>
  <c r="T35" i="4"/>
  <c r="M33" i="4"/>
  <c r="I37" i="4"/>
  <c r="T33" i="4"/>
  <c r="C45" i="4"/>
  <c r="C35" i="4"/>
  <c r="I36" i="4"/>
  <c r="C34" i="4"/>
  <c r="M35" i="4"/>
  <c r="C28" i="4"/>
  <c r="V35" i="4"/>
  <c r="C26" i="4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2" s="1"/>
  <c r="AA36" i="4"/>
  <c r="AA35" i="4"/>
  <c r="AB36" i="4"/>
  <c r="AB35" i="4"/>
  <c r="W38" i="4"/>
  <c r="W37" i="4"/>
  <c r="T34" i="4"/>
  <c r="V34" i="4"/>
  <c r="T36" i="4"/>
  <c r="C27" i="4"/>
  <c r="V36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<sst xmlns="http://schemas.openxmlformats.org/spreadsheetml/2006/main" count="293" uniqueCount="199">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</sst>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2202.8561602786194</c:v>
                </c:pt>
                <c:pt idx="1">
                  <c:v>2201.1756613867001</c:v>
                </c:pt>
                <c:pt idx="2">
                  <c:v>2213.9094679222317</c:v>
                </c:pt>
                <c:pt idx="3">
                  <c:v>2229.8692070987081</c:v>
                </c:pt>
                <c:pt idx="4">
                  <c:v>2240.2781240080917</c:v>
                </c:pt>
                <c:pt idx="5">
                  <c:v>2238.5363986108637</c:v>
                </c:pt>
                <c:pt idx="6">
                  <c:v>2219.9864627260745</c:v>
                </c:pt>
                <c:pt idx="7">
                  <c:v>2181.6783170213971</c:v>
                </c:pt>
                <c:pt idx="8">
                  <c:v>2122.1348480031738</c:v>
                </c:pt>
                <c:pt idx="9">
                  <c:v>2041.1171450064667</c:v>
                </c:pt>
                <c:pt idx="10">
                  <c:v>1939.3898171851113</c:v>
                </c:pt>
                <c:pt idx="11">
                  <c:v>1818.4863105017628</c:v>
                </c:pt>
                <c:pt idx="12">
                  <c:v>1680.4742247179488</c:v>
                </c:pt>
                <c:pt idx="13">
                  <c:v>1527.7206303841197</c:v>
                </c:pt>
                <c:pt idx="14">
                  <c:v>1362.6573858296981</c:v>
                </c:pt>
                <c:pt idx="15">
                  <c:v>1187.5464541531296</c:v>
                </c:pt>
                <c:pt idx="16">
                  <c:v>1004.2452202119335</c:v>
                </c:pt>
                <c:pt idx="17">
                  <c:v>813.97180761275365</c:v>
                </c:pt>
                <c:pt idx="18">
                  <c:v>617.07039570140614</c:v>
                </c:pt>
                <c:pt idx="19">
                  <c:v>412.77653655292869</c:v>
                </c:pt>
                <c:pt idx="20">
                  <c:v>198.98247196164161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5.303653716400898E-3</c:v>
                </c:pt>
                <c:pt idx="1">
                  <c:v>5.9798422240257637E-2</c:v>
                </c:pt>
                <c:pt idx="2">
                  <c:v>0.12804941373365702</c:v>
                </c:pt>
                <c:pt idx="3">
                  <c:v>0.20292764396578544</c:v>
                </c:pt>
                <c:pt idx="4">
                  <c:v>0.27857044950224974</c:v>
                </c:pt>
                <c:pt idx="5">
                  <c:v>0.3502759601447491</c:v>
                </c:pt>
                <c:pt idx="6">
                  <c:v>0.41439757137074601</c:v>
                </c:pt>
                <c:pt idx="7">
                  <c:v>0.46823841677313949</c:v>
                </c:pt>
                <c:pt idx="8">
                  <c:v>0.50994584049993563</c:v>
                </c:pt>
                <c:pt idx="9">
                  <c:v>0.53840586969392079</c:v>
                </c:pt>
                <c:pt idx="10">
                  <c:v>0.55313768693233167</c:v>
                </c:pt>
                <c:pt idx="11">
                  <c:v>0.55418810266652963</c:v>
                </c:pt>
                <c:pt idx="12">
                  <c:v>0.5420260276616683</c:v>
                </c:pt>
                <c:pt idx="13">
                  <c:v>0.51743694543637142</c:v>
                </c:pt>
                <c:pt idx="14">
                  <c:v>0.48141738470239931</c:v>
                </c:pt>
                <c:pt idx="15">
                  <c:v>0.43506939180432336</c:v>
                </c:pt>
                <c:pt idx="16">
                  <c:v>0.37949500315919615</c:v>
                </c:pt>
                <c:pt idx="17">
                  <c:v>0.31569071769622825</c:v>
                </c:pt>
                <c:pt idx="18">
                  <c:v>0.2444419692964519</c:v>
                </c:pt>
                <c:pt idx="19">
                  <c:v>0.16621759923240109</c:v>
                </c:pt>
                <c:pt idx="20">
                  <c:v>8.1064328607772129E-2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29.186480609850001</c:v>
                </c:pt>
                <c:pt idx="1">
                  <c:v>30.054284044519342</c:v>
                </c:pt>
                <c:pt idx="2">
                  <c:v>30.606863386339015</c:v>
                </c:pt>
                <c:pt idx="3">
                  <c:v>30.958139368905435</c:v>
                </c:pt>
                <c:pt idx="4">
                  <c:v>31.20173424449095</c:v>
                </c:pt>
                <c:pt idx="5">
                  <c:v>31.412726700129479</c:v>
                </c:pt>
                <c:pt idx="6">
                  <c:v>31.649406773702047</c:v>
                </c:pt>
                <c:pt idx="7">
                  <c:v>31.955030770022557</c:v>
                </c:pt>
                <c:pt idx="8">
                  <c:v>32.359576176923255</c:v>
                </c:pt>
                <c:pt idx="9">
                  <c:v>32.88149658134045</c:v>
                </c:pt>
                <c:pt idx="10">
                  <c:v>33.529476585400104</c:v>
                </c:pt>
                <c:pt idx="11">
                  <c:v>34.304186722503474</c:v>
                </c:pt>
                <c:pt idx="12">
                  <c:v>35.200038373412738</c:v>
                </c:pt>
                <c:pt idx="13">
                  <c:v>36.206938682336592</c:v>
                </c:pt>
                <c:pt idx="14">
                  <c:v>37.312045473015914</c:v>
                </c:pt>
                <c:pt idx="15">
                  <c:v>38.501522164809316</c:v>
                </c:pt>
                <c:pt idx="16">
                  <c:v>39.762292688778885</c:v>
                </c:pt>
                <c:pt idx="17">
                  <c:v>41.083796403775679</c:v>
                </c:pt>
                <c:pt idx="18">
                  <c:v>42.459743012525372</c:v>
                </c:pt>
                <c:pt idx="19">
                  <c:v>43.889867477714084</c:v>
                </c:pt>
                <c:pt idx="20">
                  <c:v>45.38168493807359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Скважина_расчет!$S$16:$S$36</c:f>
              <c:numCache>
                <c:formatCode>General</c:formatCode>
                <c:ptCount val="21"/>
                <c:pt idx="0">
                  <c:v>0.80107425964366674</c:v>
                </c:pt>
                <c:pt idx="1">
                  <c:v>0.8716415839764976</c:v>
                </c:pt>
                <c:pt idx="2">
                  <c:v>0.93029194441574181</c:v>
                </c:pt>
                <c:pt idx="3">
                  <c:v>0.97443468748687467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0.97413801667780775</c:v>
                </c:pt>
                <c:pt idx="15">
                  <c:v>0.9603359811376958</c:v>
                </c:pt>
                <c:pt idx="16">
                  <c:v>0.97133278434957582</c:v>
                </c:pt>
                <c:pt idx="17">
                  <c:v>0.97248640123991481</c:v>
                </c:pt>
                <c:pt idx="18">
                  <c:v>0.97361588079655004</c:v>
                </c:pt>
                <c:pt idx="19">
                  <c:v>0.9747223241958255</c:v>
                </c:pt>
                <c:pt idx="20">
                  <c:v>0.97580665766590213</c:v>
                </c:pt>
              </c:numCache>
            </c:numRef>
          </c:xVal>
          <c:yVal>
            <c:numRef>
              <c:f>Скважина_расчет!$R$16:$R$36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Скважина_расчет!$N$14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Скважина_расчет!$O$16:$O$36</c:f>
              <c:numCache>
                <c:formatCode>General</c:formatCode>
                <c:ptCount val="21"/>
                <c:pt idx="0">
                  <c:v>50.075531005859375</c:v>
                </c:pt>
                <c:pt idx="1">
                  <c:v>63.038238021369963</c:v>
                </c:pt>
                <c:pt idx="2">
                  <c:v>76.691485237570831</c:v>
                </c:pt>
                <c:pt idx="3">
                  <c:v>90.791130213370906</c:v>
                </c:pt>
                <c:pt idx="4">
                  <c:v>105.13693227171778</c:v>
                </c:pt>
                <c:pt idx="5">
                  <c:v>119.5306109826482</c:v>
                </c:pt>
                <c:pt idx="6">
                  <c:v>133.51407128900277</c:v>
                </c:pt>
                <c:pt idx="7">
                  <c:v>146.97029634920182</c:v>
                </c:pt>
                <c:pt idx="8">
                  <c:v>159.89756262640026</c:v>
                </c:pt>
                <c:pt idx="9">
                  <c:v>172.29969979558365</c:v>
                </c:pt>
                <c:pt idx="10">
                  <c:v>184.17357226903749</c:v>
                </c:pt>
                <c:pt idx="11">
                  <c:v>195.51695094422593</c:v>
                </c:pt>
                <c:pt idx="12">
                  <c:v>206.32830039676415</c:v>
                </c:pt>
                <c:pt idx="13">
                  <c:v>216.59827323864039</c:v>
                </c:pt>
                <c:pt idx="14">
                  <c:v>69.721365402041982</c:v>
                </c:pt>
                <c:pt idx="15">
                  <c:v>73.706076972647224</c:v>
                </c:pt>
                <c:pt idx="16">
                  <c:v>81.461009697847643</c:v>
                </c:pt>
                <c:pt idx="17">
                  <c:v>83.488499412393139</c:v>
                </c:pt>
                <c:pt idx="18">
                  <c:v>84.716919700372372</c:v>
                </c:pt>
                <c:pt idx="19">
                  <c:v>85.943678566797573</c:v>
                </c:pt>
                <c:pt idx="20">
                  <c:v>87.168768692308362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Скважина_расчет!$H$14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AB64AC56-53B4-497D-A9BC-FCC069052EAA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89E648E-9D29-4FD0-A2A8-393AB23945B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5BF3FFC8-A2DE-4429-A0DF-6733852803F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021C8C9F-5BB2-4F08-B8B0-B7BEEB47B414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9EE317-E646-4F9D-A378-BB7E1D93557A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09BFFF3-3E33-465A-8882-6D31C4240C4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Скважина_расчет!$V$16:$V$18</c:f>
              <c:numCache>
                <c:formatCode>0</c:formatCode>
                <c:ptCount val="3"/>
                <c:pt idx="0">
                  <c:v>50</c:v>
                </c:pt>
                <c:pt idx="1">
                  <c:v>50.075531005859375</c:v>
                </c:pt>
                <c:pt idx="2">
                  <c:v>87.168768692308362</c:v>
                </c:pt>
              </c:numCache>
            </c:numRef>
          </c:xVal>
          <c:yVal>
            <c:numRef>
              <c:f>Скважина_расчет!$U$16:$U$18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Скважина_расчет!$P$10:$P$12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Скважина_расчет!$X$16:$X$36</c:f>
              <c:numCache>
                <c:formatCode>General</c:formatCode>
                <c:ptCount val="21"/>
                <c:pt idx="0">
                  <c:v>14.999999999999993</c:v>
                </c:pt>
                <c:pt idx="1">
                  <c:v>14.999999999999993</c:v>
                </c:pt>
                <c:pt idx="2">
                  <c:v>14.999999999999993</c:v>
                </c:pt>
                <c:pt idx="3">
                  <c:v>14.999999999999993</c:v>
                </c:pt>
                <c:pt idx="4">
                  <c:v>14.999999999999993</c:v>
                </c:pt>
                <c:pt idx="5">
                  <c:v>14.999999999999993</c:v>
                </c:pt>
                <c:pt idx="6">
                  <c:v>14.999999999999993</c:v>
                </c:pt>
                <c:pt idx="7">
                  <c:v>14.999999999999993</c:v>
                </c:pt>
                <c:pt idx="8">
                  <c:v>14.999999999999993</c:v>
                </c:pt>
                <c:pt idx="9">
                  <c:v>14.999999999999993</c:v>
                </c:pt>
                <c:pt idx="10">
                  <c:v>14.999999999999993</c:v>
                </c:pt>
                <c:pt idx="11">
                  <c:v>14.999999999999993</c:v>
                </c:pt>
                <c:pt idx="12">
                  <c:v>14.999999999999993</c:v>
                </c:pt>
                <c:pt idx="13">
                  <c:v>14.999999999999993</c:v>
                </c:pt>
                <c:pt idx="14">
                  <c:v>23.459476931994256</c:v>
                </c:pt>
                <c:pt idx="15">
                  <c:v>32.033709650304779</c:v>
                </c:pt>
                <c:pt idx="16">
                  <c:v>40.268499764089803</c:v>
                </c:pt>
                <c:pt idx="17">
                  <c:v>48.114720031037706</c:v>
                </c:pt>
                <c:pt idx="18">
                  <c:v>55.633900381955591</c:v>
                </c:pt>
                <c:pt idx="19">
                  <c:v>62.833057666001878</c:v>
                </c:pt>
                <c:pt idx="20">
                  <c:v>69.721365402041997</c:v>
                </c:pt>
              </c:numCache>
            </c:numRef>
          </c:xVal>
          <c:yVal>
            <c:numRef>
              <c:f>Скважина_расчет!$W$16:$W$36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Скважина_расчет!$Q$16:$Q$36</c:f>
              <c:numCache>
                <c:formatCode>General</c:formatCode>
                <c:ptCount val="21"/>
                <c:pt idx="0">
                  <c:v>60</c:v>
                </c:pt>
                <c:pt idx="1">
                  <c:v>61.578947368421055</c:v>
                </c:pt>
                <c:pt idx="2">
                  <c:v>63.157894736842103</c:v>
                </c:pt>
                <c:pt idx="3">
                  <c:v>64.736842105263165</c:v>
                </c:pt>
                <c:pt idx="4">
                  <c:v>66.315789473684205</c:v>
                </c:pt>
                <c:pt idx="5">
                  <c:v>67.89473684210526</c:v>
                </c:pt>
                <c:pt idx="6">
                  <c:v>69.473684210526315</c:v>
                </c:pt>
                <c:pt idx="7">
                  <c:v>71.05263157894737</c:v>
                </c:pt>
                <c:pt idx="8">
                  <c:v>72.631578947368425</c:v>
                </c:pt>
                <c:pt idx="9">
                  <c:v>74.21052631578948</c:v>
                </c:pt>
                <c:pt idx="10">
                  <c:v>75.789473684210535</c:v>
                </c:pt>
                <c:pt idx="11">
                  <c:v>77.368421052631575</c:v>
                </c:pt>
                <c:pt idx="12">
                  <c:v>78.94736842105263</c:v>
                </c:pt>
                <c:pt idx="13">
                  <c:v>80.526315789473685</c:v>
                </c:pt>
                <c:pt idx="14">
                  <c:v>81.428571428571431</c:v>
                </c:pt>
                <c:pt idx="15">
                  <c:v>82.10526315789474</c:v>
                </c:pt>
                <c:pt idx="16">
                  <c:v>83.684210526315795</c:v>
                </c:pt>
                <c:pt idx="17">
                  <c:v>85.26315789473685</c:v>
                </c:pt>
                <c:pt idx="18">
                  <c:v>86.84210526315789</c:v>
                </c:pt>
                <c:pt idx="19">
                  <c:v>88.421052631578959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Скважина_расчет!$M$16:$M$36</c:f>
              <c:numCache>
                <c:formatCode>General</c:formatCode>
                <c:ptCount val="21"/>
                <c:pt idx="0">
                  <c:v>60</c:v>
                </c:pt>
                <c:pt idx="1">
                  <c:v>61.578947368421055</c:v>
                </c:pt>
                <c:pt idx="2">
                  <c:v>63.157894736842103</c:v>
                </c:pt>
                <c:pt idx="3">
                  <c:v>64.736842105263165</c:v>
                </c:pt>
                <c:pt idx="4">
                  <c:v>66.315789473684205</c:v>
                </c:pt>
                <c:pt idx="5">
                  <c:v>67.89473684210526</c:v>
                </c:pt>
                <c:pt idx="6">
                  <c:v>69.473684210526315</c:v>
                </c:pt>
                <c:pt idx="7">
                  <c:v>71.05263157894737</c:v>
                </c:pt>
                <c:pt idx="8">
                  <c:v>72.631578947368425</c:v>
                </c:pt>
                <c:pt idx="9">
                  <c:v>74.21052631578948</c:v>
                </c:pt>
                <c:pt idx="10">
                  <c:v>75.789473684210535</c:v>
                </c:pt>
                <c:pt idx="11">
                  <c:v>77.368421052631575</c:v>
                </c:pt>
                <c:pt idx="12">
                  <c:v>78.94736842105263</c:v>
                </c:pt>
                <c:pt idx="13">
                  <c:v>80.526315789473685</c:v>
                </c:pt>
                <c:pt idx="14">
                  <c:v>81.428571428571431</c:v>
                </c:pt>
                <c:pt idx="15">
                  <c:v>82.10526315789474</c:v>
                </c:pt>
                <c:pt idx="16">
                  <c:v>83.684210526315795</c:v>
                </c:pt>
                <c:pt idx="17">
                  <c:v>85.26315789473685</c:v>
                </c:pt>
                <c:pt idx="18">
                  <c:v>86.84210526315789</c:v>
                </c:pt>
                <c:pt idx="19">
                  <c:v>88.421052631578959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Скважина_расчет!$J$16:$J$36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316920</xdr:colOff>
      <xdr:row>12</xdr:row>
      <xdr:rowOff>56113</xdr:rowOff>
    </xdr:from>
    <xdr:to>
      <xdr:col>32</xdr:col>
      <xdr:colOff>610380</xdr:colOff>
      <xdr:row>42</xdr:row>
      <xdr:rowOff>128619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ESP_head_m"/>
      <definedName name="ESP_IDbyRate"/>
      <definedName name="ESP_maxRate_m3day"/>
      <definedName name="ESP_name"/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Well_Encode_string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5" x14ac:dyDescent="0.25"/>
  <sheetData>
    <row r="1" spans="1:5" x14ac:dyDescent="0.25">
      <c r="A1" t="str">
        <f>"вер "&amp;B1</f>
        <v>вер 7.5</v>
      </c>
      <c r="B1" s="16">
        <v>7.5</v>
      </c>
    </row>
    <row r="2" spans="1:5" x14ac:dyDescent="0.25">
      <c r="A2" t="s">
        <v>161</v>
      </c>
    </row>
    <row r="4" spans="1:5" x14ac:dyDescent="0.25">
      <c r="A4" s="59" t="str">
        <f>"Унифлок "&amp;версия_номер_</f>
        <v>Унифлок 7.5</v>
      </c>
      <c r="B4" s="59"/>
      <c r="C4" s="59"/>
      <c r="D4" s="59"/>
      <c r="E4" s="59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7.5</v>
      </c>
      <c r="J1" s="2" t="s">
        <v>23</v>
      </c>
      <c r="K1" s="2"/>
      <c r="L1" s="2"/>
    </row>
    <row r="2" spans="1:17" ht="18" x14ac:dyDescent="0.25">
      <c r="A2" s="59" t="s">
        <v>0</v>
      </c>
      <c r="B2" s="59"/>
      <c r="C2" s="59"/>
      <c r="D2" s="59"/>
      <c r="E2" s="59"/>
      <c r="J2" s="6" t="s">
        <v>26</v>
      </c>
      <c r="K2" s="9">
        <v>1</v>
      </c>
      <c r="L2" s="5" t="s">
        <v>6</v>
      </c>
    </row>
    <row r="3" spans="1:17" ht="18" customHeight="1" x14ac:dyDescent="0.25">
      <c r="F3" s="60" t="s">
        <v>74</v>
      </c>
      <c r="G3" s="60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1" t="s">
        <v>28</v>
      </c>
      <c r="O7" s="61"/>
      <c r="P7" s="61"/>
      <c r="Q7" s="61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Скважина_расчет!Ql_scm3day_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Скважина_расчет!wc_perc_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Скважина_расчет!Rp_m3m3_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65.883601523230766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330.08118101029982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2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2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/>
  </sheetViews>
  <sheetFormatPr defaultRowHeight="15" x14ac:dyDescent="0.25"/>
  <sheetData>
    <row r="1" spans="1:16" x14ac:dyDescent="0.25">
      <c r="A1" t="str">
        <f>версия_</f>
        <v>вер 7.5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K29"/>
  <sheetViews>
    <sheetView zoomScale="80" zoomScaleNormal="80" workbookViewId="0">
      <selection activeCell="C16" sqref="C16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7.5</v>
      </c>
    </row>
    <row r="4" spans="1:11" x14ac:dyDescent="0.25">
      <c r="B4" s="53" t="s">
        <v>176</v>
      </c>
      <c r="C4" s="54">
        <v>80</v>
      </c>
      <c r="D4" s="53" t="s">
        <v>177</v>
      </c>
    </row>
    <row r="5" spans="1:11" x14ac:dyDescent="0.25">
      <c r="B5" s="53" t="s">
        <v>178</v>
      </c>
      <c r="C5" s="54">
        <v>2000</v>
      </c>
      <c r="D5" s="53" t="s">
        <v>179</v>
      </c>
      <c r="G5" t="s">
        <v>193</v>
      </c>
      <c r="H5">
        <f>G29</f>
        <v>22</v>
      </c>
    </row>
    <row r="6" spans="1:11" x14ac:dyDescent="0.25">
      <c r="B6" s="53" t="s">
        <v>180</v>
      </c>
      <c r="C6" s="54">
        <v>50</v>
      </c>
      <c r="D6" s="53" t="s">
        <v>181</v>
      </c>
    </row>
    <row r="7" spans="1:11" x14ac:dyDescent="0.25">
      <c r="B7" s="53" t="s">
        <v>182</v>
      </c>
      <c r="C7" s="55">
        <f>[1]!ESP_IDbyRate(ESP_rate_nom_)</f>
        <v>1006</v>
      </c>
      <c r="D7" s="53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3" t="s">
        <v>183</v>
      </c>
      <c r="C8" s="55" t="str">
        <f>[1]!ESP_name(ESP_ID_)</f>
        <v>ВНН5-80</v>
      </c>
      <c r="D8" s="53"/>
      <c r="G8">
        <v>1</v>
      </c>
      <c r="H8" s="56">
        <v>1</v>
      </c>
      <c r="I8" s="50">
        <v>2202.8561602786194</v>
      </c>
      <c r="J8" s="50">
        <v>29.186480609850001</v>
      </c>
      <c r="K8" s="58">
        <v>5.303653716400898E-3</v>
      </c>
    </row>
    <row r="9" spans="1:11" x14ac:dyDescent="0.25">
      <c r="B9" s="53" t="s">
        <v>184</v>
      </c>
      <c r="C9" s="55">
        <f>[1]!ESP_maxRate_m3day(ESP_freq_,ESP_ID_)*1</f>
        <v>175</v>
      </c>
      <c r="D9" s="53"/>
      <c r="G9">
        <v>2</v>
      </c>
      <c r="H9" s="57">
        <f t="shared" ref="H9:H29" si="0">(ESP_qmax_)/(pts_-1)+H8</f>
        <v>9.3333333333333339</v>
      </c>
      <c r="I9" s="50">
        <v>2201.1756613867001</v>
      </c>
      <c r="J9" s="50">
        <v>30.054284044519342</v>
      </c>
      <c r="K9" s="58">
        <v>5.9798422240257637E-2</v>
      </c>
    </row>
    <row r="10" spans="1:11" x14ac:dyDescent="0.25">
      <c r="B10" s="53" t="s">
        <v>185</v>
      </c>
      <c r="C10" s="55">
        <f>INT(ESP_head_nom_/[1]!ESP_head_m(ESP_rate_nom_,1,,ESP_ID_))</f>
        <v>334</v>
      </c>
      <c r="D10" s="53" t="s">
        <v>186</v>
      </c>
      <c r="G10">
        <v>3</v>
      </c>
      <c r="H10" s="57">
        <f t="shared" si="0"/>
        <v>17.666666666666668</v>
      </c>
      <c r="I10" s="50">
        <v>2213.9094679222317</v>
      </c>
      <c r="J10" s="50">
        <v>30.606863386339015</v>
      </c>
      <c r="K10" s="58">
        <v>0.12804941373365702</v>
      </c>
    </row>
    <row r="11" spans="1:11" x14ac:dyDescent="0.25">
      <c r="G11">
        <v>4</v>
      </c>
      <c r="H11" s="57">
        <f t="shared" si="0"/>
        <v>26</v>
      </c>
      <c r="I11" s="50">
        <v>2229.8692070987081</v>
      </c>
      <c r="J11" s="50">
        <v>30.958139368905435</v>
      </c>
      <c r="K11" s="58">
        <v>0.20292764396578544</v>
      </c>
    </row>
    <row r="12" spans="1:11" x14ac:dyDescent="0.25">
      <c r="G12">
        <v>5</v>
      </c>
      <c r="H12" s="57">
        <f t="shared" si="0"/>
        <v>34.333333333333336</v>
      </c>
      <c r="I12" s="50">
        <v>2240.2781240080917</v>
      </c>
      <c r="J12" s="50">
        <v>31.20173424449095</v>
      </c>
      <c r="K12" s="58">
        <v>0.27857044950224974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7">
        <f t="shared" si="0"/>
        <v>42.666666666666671</v>
      </c>
      <c r="I13" s="50">
        <v>2238.5363986108637</v>
      </c>
      <c r="J13" s="50">
        <v>31.412726700129479</v>
      </c>
      <c r="K13" s="58">
        <v>0.3502759601447491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7">
        <f t="shared" si="0"/>
        <v>51.000000000000007</v>
      </c>
      <c r="I14" s="50">
        <v>2219.9864627260745</v>
      </c>
      <c r="J14" s="50">
        <v>31.649406773702047</v>
      </c>
      <c r="K14" s="58">
        <v>0.41439757137074601</v>
      </c>
    </row>
    <row r="15" spans="1:11" x14ac:dyDescent="0.25">
      <c r="G15">
        <v>8</v>
      </c>
      <c r="H15" s="57">
        <f t="shared" si="0"/>
        <v>59.333333333333343</v>
      </c>
      <c r="I15" s="50">
        <v>2181.6783170213971</v>
      </c>
      <c r="J15" s="50">
        <v>31.955030770022557</v>
      </c>
      <c r="K15" s="58">
        <v>0.46823841677313949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7">
        <f t="shared" si="0"/>
        <v>67.666666666666671</v>
      </c>
      <c r="I16" s="50">
        <v>2122.1348480031738</v>
      </c>
      <c r="J16" s="50">
        <v>32.359576176923255</v>
      </c>
      <c r="K16" s="58">
        <v>0.50994584049993563</v>
      </c>
    </row>
    <row r="17" spans="7:11" x14ac:dyDescent="0.25">
      <c r="G17">
        <v>10</v>
      </c>
      <c r="H17" s="57">
        <f t="shared" si="0"/>
        <v>76</v>
      </c>
      <c r="I17" s="50">
        <v>2041.1171450064667</v>
      </c>
      <c r="J17" s="50">
        <v>32.88149658134045</v>
      </c>
      <c r="K17" s="58">
        <v>0.53840586969392079</v>
      </c>
    </row>
    <row r="18" spans="7:11" x14ac:dyDescent="0.25">
      <c r="G18">
        <v>11</v>
      </c>
      <c r="H18" s="57">
        <f t="shared" si="0"/>
        <v>84.333333333333329</v>
      </c>
      <c r="I18" s="50">
        <v>1939.3898171851113</v>
      </c>
      <c r="J18" s="50">
        <v>33.529476585400104</v>
      </c>
      <c r="K18" s="58">
        <v>0.55313768693233167</v>
      </c>
    </row>
    <row r="19" spans="7:11" x14ac:dyDescent="0.25">
      <c r="G19">
        <v>12</v>
      </c>
      <c r="H19" s="57">
        <f t="shared" si="0"/>
        <v>92.666666666666657</v>
      </c>
      <c r="I19" s="50">
        <v>1818.4863105017628</v>
      </c>
      <c r="J19" s="50">
        <v>34.304186722503474</v>
      </c>
      <c r="K19" s="58">
        <v>0.55418810266652963</v>
      </c>
    </row>
    <row r="20" spans="7:11" x14ac:dyDescent="0.25">
      <c r="G20">
        <v>13</v>
      </c>
      <c r="H20" s="57">
        <f t="shared" si="0"/>
        <v>100.99999999999999</v>
      </c>
      <c r="I20" s="50">
        <v>1680.4742247179488</v>
      </c>
      <c r="J20" s="50">
        <v>35.200038373412738</v>
      </c>
      <c r="K20" s="58">
        <v>0.5420260276616683</v>
      </c>
    </row>
    <row r="21" spans="7:11" x14ac:dyDescent="0.25">
      <c r="G21">
        <v>14</v>
      </c>
      <c r="H21" s="57">
        <f t="shared" si="0"/>
        <v>109.33333333333331</v>
      </c>
      <c r="I21" s="50">
        <v>1527.7206303841197</v>
      </c>
      <c r="J21" s="50">
        <v>36.206938682336592</v>
      </c>
      <c r="K21" s="58">
        <v>0.51743694543637142</v>
      </c>
    </row>
    <row r="22" spans="7:11" x14ac:dyDescent="0.25">
      <c r="G22">
        <v>15</v>
      </c>
      <c r="H22" s="57">
        <f t="shared" si="0"/>
        <v>117.66666666666664</v>
      </c>
      <c r="I22" s="50">
        <v>1362.6573858296981</v>
      </c>
      <c r="J22" s="50">
        <v>37.312045473015914</v>
      </c>
      <c r="K22" s="58">
        <v>0.48141738470239931</v>
      </c>
    </row>
    <row r="23" spans="7:11" x14ac:dyDescent="0.25">
      <c r="G23">
        <v>16</v>
      </c>
      <c r="H23" s="57">
        <f t="shared" si="0"/>
        <v>125.99999999999997</v>
      </c>
      <c r="I23" s="50">
        <v>1187.5464541531296</v>
      </c>
      <c r="J23" s="50">
        <v>38.501522164809316</v>
      </c>
      <c r="K23" s="58">
        <v>0.43506939180432336</v>
      </c>
    </row>
    <row r="24" spans="7:11" x14ac:dyDescent="0.25">
      <c r="G24">
        <v>17</v>
      </c>
      <c r="H24" s="57">
        <f t="shared" si="0"/>
        <v>134.33333333333331</v>
      </c>
      <c r="I24" s="50">
        <v>1004.2452202119335</v>
      </c>
      <c r="J24" s="50">
        <v>39.762292688778885</v>
      </c>
      <c r="K24" s="58">
        <v>0.37949500315919615</v>
      </c>
    </row>
    <row r="25" spans="7:11" x14ac:dyDescent="0.25">
      <c r="G25">
        <v>18</v>
      </c>
      <c r="H25" s="57">
        <f t="shared" si="0"/>
        <v>142.66666666666666</v>
      </c>
      <c r="I25" s="50">
        <v>813.97180761275365</v>
      </c>
      <c r="J25" s="50">
        <v>41.083796403775679</v>
      </c>
      <c r="K25" s="58">
        <v>0.31569071769622825</v>
      </c>
    </row>
    <row r="26" spans="7:11" x14ac:dyDescent="0.25">
      <c r="G26">
        <v>19</v>
      </c>
      <c r="H26" s="57">
        <f t="shared" si="0"/>
        <v>151</v>
      </c>
      <c r="I26" s="50">
        <v>617.07039570140614</v>
      </c>
      <c r="J26" s="50">
        <v>42.459743012525372</v>
      </c>
      <c r="K26" s="58">
        <v>0.2444419692964519</v>
      </c>
    </row>
    <row r="27" spans="7:11" x14ac:dyDescent="0.25">
      <c r="G27">
        <v>20</v>
      </c>
      <c r="H27" s="57">
        <f t="shared" si="0"/>
        <v>159.33333333333334</v>
      </c>
      <c r="I27" s="50">
        <v>412.77653655292869</v>
      </c>
      <c r="J27" s="50">
        <v>43.889867477714084</v>
      </c>
      <c r="K27" s="58">
        <v>0.16621759923240109</v>
      </c>
    </row>
    <row r="28" spans="7:11" x14ac:dyDescent="0.25">
      <c r="G28">
        <v>21</v>
      </c>
      <c r="H28" s="57">
        <f t="shared" si="0"/>
        <v>167.66666666666669</v>
      </c>
      <c r="I28" s="50">
        <v>198.98247196164161</v>
      </c>
      <c r="J28" s="50">
        <v>45.38168493807359</v>
      </c>
      <c r="K28" s="58">
        <v>8.1064328607772129E-2</v>
      </c>
    </row>
    <row r="29" spans="7:11" x14ac:dyDescent="0.25">
      <c r="G29">
        <v>22</v>
      </c>
      <c r="H29" s="57">
        <f t="shared" si="0"/>
        <v>176.00000000000003</v>
      </c>
      <c r="I29" s="50">
        <v>0</v>
      </c>
      <c r="J29" s="50">
        <v>0</v>
      </c>
      <c r="K29" s="5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topLeftCell="G1" zoomScale="70" zoomScaleNormal="70" workbookViewId="0">
      <selection activeCell="U23" sqref="U23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7.5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0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2</v>
      </c>
      <c r="AC3" t="s">
        <v>145</v>
      </c>
      <c r="AG3">
        <v>1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100</v>
      </c>
      <c r="R7" s="5" t="s">
        <v>44</v>
      </c>
      <c r="AC7" t="s">
        <v>149</v>
      </c>
    </row>
    <row r="8" spans="1:34" ht="18" x14ac:dyDescent="0.35">
      <c r="B8" s="7" t="s">
        <v>34</v>
      </c>
      <c r="C8" s="12" t="s">
        <v>63</v>
      </c>
      <c r="D8" s="5" t="s">
        <v>35</v>
      </c>
      <c r="P8" s="14" t="s">
        <v>197</v>
      </c>
      <c r="Q8" s="9">
        <v>15</v>
      </c>
      <c r="R8" s="5" t="s">
        <v>44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50</v>
      </c>
      <c r="R10" s="5" t="s">
        <v>44</v>
      </c>
      <c r="S10" s="14" t="s">
        <v>55</v>
      </c>
      <c r="T10" s="25">
        <v>60</v>
      </c>
      <c r="U10" s="5" t="s">
        <v>25</v>
      </c>
    </row>
    <row r="11" spans="1:34" ht="18" x14ac:dyDescent="0.35">
      <c r="P11" s="14" t="s">
        <v>46</v>
      </c>
      <c r="Q11" s="25">
        <v>50.075531005859375</v>
      </c>
      <c r="R11" s="5" t="s">
        <v>44</v>
      </c>
      <c r="S11" s="14" t="s">
        <v>56</v>
      </c>
      <c r="T11" s="25">
        <v>60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87.168768692308362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N15" s="1"/>
      <c r="O15" s="1"/>
      <c r="P15" s="1"/>
      <c r="Q15" s="1"/>
      <c r="R15" s="1"/>
      <c r="S15" s="1"/>
      <c r="U15" s="5" t="s">
        <v>170</v>
      </c>
      <c r="V15" s="1" t="s">
        <v>171</v>
      </c>
      <c r="W15" t="s">
        <v>198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60</v>
      </c>
      <c r="N16">
        <v>0</v>
      </c>
      <c r="O16">
        <v>50.075531005859375</v>
      </c>
      <c r="P16">
        <v>0</v>
      </c>
      <c r="Q16">
        <v>60</v>
      </c>
      <c r="R16">
        <v>0</v>
      </c>
      <c r="S16">
        <v>0.80107425964366674</v>
      </c>
      <c r="U16">
        <v>0</v>
      </c>
      <c r="V16" s="50">
        <f>Pline_out_atma_</f>
        <v>50</v>
      </c>
      <c r="W16">
        <v>0</v>
      </c>
      <c r="X16">
        <v>14.999999999999993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61.578947368421055</v>
      </c>
      <c r="N17">
        <v>184.21052631578948</v>
      </c>
      <c r="O17">
        <v>63.038238021369963</v>
      </c>
      <c r="P17">
        <v>184.21052631578948</v>
      </c>
      <c r="Q17">
        <v>61.578947368421055</v>
      </c>
      <c r="R17">
        <v>175</v>
      </c>
      <c r="S17">
        <v>0.8716415839764976</v>
      </c>
      <c r="U17">
        <v>0</v>
      </c>
      <c r="V17" s="50">
        <f>Pbuf_out_atma_</f>
        <v>50.075531005859375</v>
      </c>
      <c r="W17">
        <v>125</v>
      </c>
      <c r="X17">
        <v>14.999999999999993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63.157894736842103</v>
      </c>
      <c r="N18">
        <v>368.42105263157896</v>
      </c>
      <c r="O18">
        <v>76.691485237570831</v>
      </c>
      <c r="P18">
        <v>368.42105263157896</v>
      </c>
      <c r="Q18">
        <v>63.157894736842103</v>
      </c>
      <c r="R18">
        <v>350</v>
      </c>
      <c r="S18">
        <v>0.93029194441574181</v>
      </c>
      <c r="U18">
        <f>Hperf_m_</f>
        <v>3500</v>
      </c>
      <c r="V18" s="50">
        <f>Pwf_out_atma_</f>
        <v>87.168768692308362</v>
      </c>
      <c r="W18">
        <v>250</v>
      </c>
      <c r="X18">
        <v>14.999999999999993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64.736842105263165</v>
      </c>
      <c r="N19">
        <v>552.63157894736844</v>
      </c>
      <c r="O19">
        <v>90.791130213370906</v>
      </c>
      <c r="P19">
        <v>552.63157894736844</v>
      </c>
      <c r="Q19">
        <v>64.736842105263165</v>
      </c>
      <c r="R19">
        <v>525</v>
      </c>
      <c r="S19">
        <v>0.97443468748687467</v>
      </c>
      <c r="W19">
        <v>375</v>
      </c>
      <c r="X19">
        <v>14.999999999999993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66.315789473684205</v>
      </c>
      <c r="N20">
        <v>736.84210526315792</v>
      </c>
      <c r="O20">
        <v>105.13693227171778</v>
      </c>
      <c r="P20">
        <v>736.84210526315792</v>
      </c>
      <c r="Q20">
        <v>66.315789473684205</v>
      </c>
      <c r="R20">
        <v>700</v>
      </c>
      <c r="S20">
        <v>1</v>
      </c>
      <c r="W20">
        <v>500</v>
      </c>
      <c r="X20">
        <v>14.999999999999993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67.89473684210526</v>
      </c>
      <c r="N21">
        <v>921.0526315789474</v>
      </c>
      <c r="O21">
        <v>119.5306109826482</v>
      </c>
      <c r="P21">
        <v>921.0526315789474</v>
      </c>
      <c r="Q21">
        <v>67.89473684210526</v>
      </c>
      <c r="R21">
        <v>875</v>
      </c>
      <c r="S21">
        <v>1</v>
      </c>
      <c r="W21">
        <v>625</v>
      </c>
      <c r="X21">
        <v>14.999999999999993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69.473684210526315</v>
      </c>
      <c r="N22">
        <v>1105.2631578947369</v>
      </c>
      <c r="O22">
        <v>133.51407128900277</v>
      </c>
      <c r="P22">
        <v>1105.2631578947369</v>
      </c>
      <c r="Q22">
        <v>69.473684210526315</v>
      </c>
      <c r="R22">
        <v>1050</v>
      </c>
      <c r="S22">
        <v>1</v>
      </c>
      <c r="W22">
        <v>750</v>
      </c>
      <c r="X22">
        <v>14.999999999999993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71.05263157894737</v>
      </c>
      <c r="N23">
        <v>1289.4736842105262</v>
      </c>
      <c r="O23">
        <v>146.97029634920182</v>
      </c>
      <c r="P23">
        <v>1289.4736842105262</v>
      </c>
      <c r="Q23">
        <v>71.05263157894737</v>
      </c>
      <c r="R23">
        <v>1225</v>
      </c>
      <c r="S23">
        <v>1</v>
      </c>
      <c r="W23">
        <v>875</v>
      </c>
      <c r="X23">
        <v>14.999999999999993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72.631578947368425</v>
      </c>
      <c r="N24">
        <v>1473.6842105263158</v>
      </c>
      <c r="O24">
        <v>159.89756262640026</v>
      </c>
      <c r="P24">
        <v>1473.6842105263158</v>
      </c>
      <c r="Q24">
        <v>72.631578947368425</v>
      </c>
      <c r="R24">
        <v>1400</v>
      </c>
      <c r="S24">
        <v>1</v>
      </c>
      <c r="W24">
        <v>1000</v>
      </c>
      <c r="X24">
        <v>14.999999999999993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74.21052631578948</v>
      </c>
      <c r="N25">
        <v>1657.8947368421054</v>
      </c>
      <c r="O25">
        <v>172.29969979558365</v>
      </c>
      <c r="P25">
        <v>1657.8947368421054</v>
      </c>
      <c r="Q25">
        <v>74.21052631578948</v>
      </c>
      <c r="R25">
        <v>1575</v>
      </c>
      <c r="S25">
        <v>1</v>
      </c>
      <c r="W25">
        <v>1125</v>
      </c>
      <c r="X25">
        <v>14.999999999999993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75.789473684210535</v>
      </c>
      <c r="N26">
        <v>1842.1052631578948</v>
      </c>
      <c r="O26">
        <v>184.17357226903749</v>
      </c>
      <c r="P26">
        <v>1842.1052631578948</v>
      </c>
      <c r="Q26">
        <v>75.789473684210535</v>
      </c>
      <c r="R26">
        <v>1750</v>
      </c>
      <c r="S26">
        <v>1</v>
      </c>
      <c r="W26">
        <v>1250</v>
      </c>
      <c r="X26">
        <v>14.999999999999993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77.368421052631575</v>
      </c>
      <c r="N27">
        <v>2026.3157894736842</v>
      </c>
      <c r="O27">
        <v>195.51695094422593</v>
      </c>
      <c r="P27">
        <v>2026.3157894736842</v>
      </c>
      <c r="Q27">
        <v>77.368421052631575</v>
      </c>
      <c r="R27">
        <v>1925</v>
      </c>
      <c r="S27">
        <v>1</v>
      </c>
      <c r="W27">
        <v>1375</v>
      </c>
      <c r="X27">
        <v>14.999999999999993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78.94736842105263</v>
      </c>
      <c r="N28">
        <v>2210.5263157894738</v>
      </c>
      <c r="O28">
        <v>206.32830039676415</v>
      </c>
      <c r="P28">
        <v>2210.5263157894738</v>
      </c>
      <c r="Q28">
        <v>78.94736842105263</v>
      </c>
      <c r="R28">
        <v>2100</v>
      </c>
      <c r="S28">
        <v>1</v>
      </c>
      <c r="W28">
        <v>1500</v>
      </c>
      <c r="X28">
        <v>14.999999999999993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80.526315789473685</v>
      </c>
      <c r="N29">
        <v>2394.7368421052633</v>
      </c>
      <c r="O29">
        <v>216.59827323864039</v>
      </c>
      <c r="P29">
        <v>2394.7368421052633</v>
      </c>
      <c r="Q29">
        <v>80.526315789473685</v>
      </c>
      <c r="R29">
        <v>2275</v>
      </c>
      <c r="S29">
        <v>1</v>
      </c>
      <c r="W29">
        <v>1625</v>
      </c>
      <c r="X29">
        <v>14.999999999999993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81.428571428571431</v>
      </c>
      <c r="N30">
        <v>2500</v>
      </c>
      <c r="O30">
        <v>69.721365402041982</v>
      </c>
      <c r="P30">
        <v>2500</v>
      </c>
      <c r="Q30">
        <v>81.428571428571431</v>
      </c>
      <c r="R30">
        <v>2450</v>
      </c>
      <c r="S30">
        <v>0.97413801667780775</v>
      </c>
      <c r="W30">
        <v>1750</v>
      </c>
      <c r="X30">
        <v>23.459476931994256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82.10526315789474</v>
      </c>
      <c r="N31">
        <v>2578.9473684210525</v>
      </c>
      <c r="O31">
        <v>73.706076972647224</v>
      </c>
      <c r="P31">
        <v>2578.9473684210525</v>
      </c>
      <c r="Q31">
        <v>82.10526315789474</v>
      </c>
      <c r="R31">
        <v>2625</v>
      </c>
      <c r="S31">
        <v>0.9603359811376958</v>
      </c>
      <c r="W31">
        <v>1875</v>
      </c>
      <c r="X31">
        <v>32.033709650304779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83.684210526315795</v>
      </c>
      <c r="N32">
        <v>2763.1578947368421</v>
      </c>
      <c r="O32">
        <v>81.461009697847643</v>
      </c>
      <c r="P32">
        <v>2763.1578947368421</v>
      </c>
      <c r="Q32">
        <v>83.684210526315795</v>
      </c>
      <c r="R32">
        <v>2800</v>
      </c>
      <c r="S32">
        <v>0.97133278434957582</v>
      </c>
      <c r="W32">
        <v>2000</v>
      </c>
      <c r="X32">
        <v>40.268499764089803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85.26315789473685</v>
      </c>
      <c r="N33">
        <v>2947.3684210526317</v>
      </c>
      <c r="O33">
        <v>83.488499412393139</v>
      </c>
      <c r="P33">
        <v>2947.3684210526317</v>
      </c>
      <c r="Q33">
        <v>85.26315789473685</v>
      </c>
      <c r="R33">
        <v>2975</v>
      </c>
      <c r="S33">
        <v>0.97248640123991481</v>
      </c>
      <c r="W33">
        <v>2125</v>
      </c>
      <c r="X33">
        <v>48.114720031037706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86.84210526315789</v>
      </c>
      <c r="N34">
        <v>3131.5789473684213</v>
      </c>
      <c r="O34">
        <v>84.716919700372372</v>
      </c>
      <c r="P34">
        <v>3131.5789473684213</v>
      </c>
      <c r="Q34">
        <v>86.84210526315789</v>
      </c>
      <c r="R34">
        <v>3150</v>
      </c>
      <c r="S34">
        <v>0.97361588079655004</v>
      </c>
      <c r="W34">
        <v>2250</v>
      </c>
      <c r="X34">
        <v>55.633900381955591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88.421052631578959</v>
      </c>
      <c r="N35">
        <v>3315.7894736842109</v>
      </c>
      <c r="O35">
        <v>85.943678566797573</v>
      </c>
      <c r="P35">
        <v>3315.7894736842109</v>
      </c>
      <c r="Q35">
        <v>88.421052631578959</v>
      </c>
      <c r="R35">
        <v>3325</v>
      </c>
      <c r="S35">
        <v>0.9747223241958255</v>
      </c>
      <c r="W35">
        <v>2375</v>
      </c>
      <c r="X35">
        <v>62.833057666001878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87.168768692308362</v>
      </c>
      <c r="P36">
        <v>3500</v>
      </c>
      <c r="Q36">
        <v>90</v>
      </c>
      <c r="R36">
        <v>3500</v>
      </c>
      <c r="S36">
        <v>0.97580665766590213</v>
      </c>
      <c r="W36">
        <v>2500</v>
      </c>
      <c r="X36">
        <v>69.721365402041997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C38" s="18">
        <v>2625</v>
      </c>
      <c r="D38" s="18">
        <v>186.511102757185</v>
      </c>
      <c r="E38" s="18">
        <v>54</v>
      </c>
    </row>
    <row r="39" spans="2:24" x14ac:dyDescent="0.25">
      <c r="C39" s="18">
        <v>2750</v>
      </c>
      <c r="D39" s="18">
        <v>196.298712131494</v>
      </c>
      <c r="E39" s="18">
        <v>55</v>
      </c>
    </row>
    <row r="40" spans="2:24" x14ac:dyDescent="0.25">
      <c r="C40" s="18">
        <v>2875</v>
      </c>
      <c r="D40" s="18">
        <v>206.08632150580399</v>
      </c>
      <c r="E40" s="18">
        <v>56</v>
      </c>
    </row>
    <row r="41" spans="2:24" x14ac:dyDescent="0.25">
      <c r="C41" s="18">
        <v>3000</v>
      </c>
      <c r="D41" s="18">
        <v>215.87393088011299</v>
      </c>
      <c r="E41" s="18">
        <v>57</v>
      </c>
    </row>
    <row r="42" spans="2:24" x14ac:dyDescent="0.25">
      <c r="C42" s="18">
        <v>3125</v>
      </c>
      <c r="D42" s="18">
        <v>225.66154025442199</v>
      </c>
      <c r="E42" s="18">
        <v>58</v>
      </c>
    </row>
    <row r="43" spans="2:24" x14ac:dyDescent="0.25">
      <c r="C43" s="18">
        <v>3250</v>
      </c>
      <c r="D43" s="18">
        <v>235.44914962873099</v>
      </c>
      <c r="E43" s="18">
        <v>59</v>
      </c>
    </row>
    <row r="44" spans="2:24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I10"/>
  <sheetViews>
    <sheetView workbookViewId="0">
      <selection activeCell="B8" sqref="B8"/>
    </sheetView>
  </sheetViews>
  <sheetFormatPr defaultRowHeight="15" x14ac:dyDescent="0.25"/>
  <sheetData>
    <row r="3" spans="2:9" x14ac:dyDescent="0.25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9" x14ac:dyDescent="0.25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9" x14ac:dyDescent="0.25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9" x14ac:dyDescent="0.25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9" x14ac:dyDescent="0.25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9" x14ac:dyDescent="0.25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131</vt:i4>
      </vt:variant>
    </vt:vector>
  </HeadingPairs>
  <TitlesOfParts>
    <vt:vector size="137" baseType="lpstr">
      <vt:lpstr>Унифлок</vt:lpstr>
      <vt:lpstr>PVT</vt:lpstr>
      <vt:lpstr>Конструкция фонтан</vt:lpstr>
      <vt:lpstr>УЭЦН</vt:lpstr>
      <vt:lpstr>Скважина_расчет</vt:lpstr>
      <vt:lpstr>Лист1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УЭЦН!Freq_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УЭЦН!Head_ESP_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Скважина_расчет!hmes_tamb_out_m_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Скважина_расчет!hvert_tamb_out_m_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УЭЦН!PumpID_</vt:lpstr>
      <vt:lpstr>PVT!PVT_correlation_</vt:lpstr>
      <vt:lpstr>PVT_selector_</vt:lpstr>
      <vt:lpstr>Pwf_atma_</vt:lpstr>
      <vt:lpstr>Pwf_out_atma_</vt:lpstr>
      <vt:lpstr>УЭЦН!Q_ESP_</vt:lpstr>
      <vt:lpstr>PVT!Ql_scm3day_</vt:lpstr>
      <vt:lpstr>Скважина_расчет!Ql_scm3day_</vt:lpstr>
      <vt:lpstr>PVT!Qo_sctday_</vt:lpstr>
      <vt:lpstr>rhoo_list1_</vt:lpstr>
      <vt:lpstr>rhoo_list2_</vt:lpstr>
      <vt:lpstr>rhoo_list3_</vt:lpstr>
      <vt:lpstr>PVT!Rp_m3m3_</vt:lpstr>
      <vt:lpstr>Скважина_расчет!Rp_m3m3_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Скважина_расчет!tamb_out_C_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PVT!wc_perc_</vt:lpstr>
      <vt:lpstr>Скважина_расчет!wc_perc_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2019-03-24T19:23:36Z</dcterms:modified>
</cp:coreProperties>
</file>