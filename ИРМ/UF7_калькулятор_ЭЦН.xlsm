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B6062B9D-0462-4CC6-ABB8-469494284183}" xr6:coauthVersionLast="41" xr6:coauthVersionMax="41" xr10:uidLastSave="{00000000-0000-0000-0000-000000000000}"/>
  <bookViews>
    <workbookView xWindow="-103" yWindow="-103" windowWidth="22149" windowHeight="12103" tabRatio="529" activeTab="5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Фонтан_расчет" sheetId="2" r:id="rId5"/>
    <sheet name="Лист1" sheetId="8" r:id="rId6"/>
  </sheets>
  <externalReferences>
    <externalReference r:id="rId7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4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cas_atma_">Фонтан_расчет!$Q$8</definedName>
    <definedName name="Pcas_hmes_">Фонтан_расчет!$W$16:$W$36</definedName>
    <definedName name="Pcas_out_atma_">Фонтан_расчет!$X$16:$X$36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_ESP_" localSheetId="3">УЭЦН!$C$32</definedName>
    <definedName name="Ql_scm3day_" localSheetId="1">PVT!$K$8</definedName>
    <definedName name="Ql_scm3day_" localSheetId="4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4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_V_">УЭЦН!$C$13</definedName>
    <definedName name="udl_out_m_">'Конструкция фонтан'!$R$18:$R$38</definedName>
    <definedName name="wc_perc_" localSheetId="1">PVT!$K$9</definedName>
    <definedName name="wc_perc_" localSheetId="4">Фонтан_расчет!$C$7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B5" i="8"/>
  <c r="B8" i="8"/>
  <c r="B4" i="8"/>
  <c r="B3" i="8"/>
  <c r="C7" i="7"/>
  <c r="C8" i="7"/>
  <c r="C9" i="7"/>
  <c r="C10" i="7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K11" i="4"/>
  <c r="K9" i="4"/>
  <c r="K8" i="4"/>
  <c r="C49" i="4"/>
  <c r="E33" i="4"/>
  <c r="E36" i="4"/>
  <c r="I32" i="4"/>
  <c r="C33" i="4"/>
  <c r="G23" i="4"/>
  <c r="E34" i="4"/>
  <c r="C35" i="4"/>
  <c r="C37" i="4"/>
  <c r="M32" i="4"/>
  <c r="M34" i="4"/>
  <c r="M36" i="4"/>
  <c r="M33" i="4"/>
  <c r="I35" i="4"/>
  <c r="I37" i="4"/>
  <c r="C34" i="4"/>
  <c r="C23" i="4"/>
  <c r="E35" i="4"/>
  <c r="I33" i="4"/>
  <c r="E37" i="4"/>
  <c r="I34" i="4"/>
  <c r="M37" i="4"/>
  <c r="I36" i="4"/>
  <c r="M35" i="4"/>
  <c r="V33" i="4"/>
  <c r="V36" i="4" s="1"/>
  <c r="C43" i="4"/>
  <c r="M40" i="4"/>
  <c r="E32" i="4"/>
  <c r="T33" i="4"/>
  <c r="T34" i="4"/>
  <c r="C40" i="4"/>
  <c r="C32" i="4"/>
  <c r="C45" i="4"/>
  <c r="C36" i="4"/>
  <c r="C44" i="4"/>
  <c r="C28" i="4"/>
  <c r="T35" i="4"/>
  <c r="V35" i="4"/>
  <c r="C26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T36" i="4"/>
  <c r="V34" i="4"/>
  <c r="C2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<sst xmlns="http://schemas.openxmlformats.org/spreadsheetml/2006/main" count="298" uniqueCount="204">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</sst>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0.91781096048776034</c:v>
                </c:pt>
                <c:pt idx="1">
                  <c:v>0.99052192051827492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0.97719240395850981</c:v>
                </c:pt>
                <c:pt idx="15">
                  <c:v>0.9642110875201827</c:v>
                </c:pt>
                <c:pt idx="16">
                  <c:v>0.97343710934619132</c:v>
                </c:pt>
                <c:pt idx="17">
                  <c:v>0.9748989926662589</c:v>
                </c:pt>
                <c:pt idx="18">
                  <c:v>0.97632941371020332</c:v>
                </c:pt>
                <c:pt idx="19">
                  <c:v>0.97773374795118229</c:v>
                </c:pt>
                <c:pt idx="20">
                  <c:v>0.97927849709082737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50.062408965192958</c:v>
                </c:pt>
                <c:pt idx="1">
                  <c:v>64.994519146362791</c:v>
                </c:pt>
                <c:pt idx="2">
                  <c:v>80.303701664227802</c:v>
                </c:pt>
                <c:pt idx="3">
                  <c:v>95.659998857690454</c:v>
                </c:pt>
                <c:pt idx="4">
                  <c:v>111.0402431088666</c:v>
                </c:pt>
                <c:pt idx="5">
                  <c:v>126.41209512541708</c:v>
                </c:pt>
                <c:pt idx="6">
                  <c:v>141.32764453596513</c:v>
                </c:pt>
                <c:pt idx="7">
                  <c:v>155.66877106504631</c:v>
                </c:pt>
                <c:pt idx="8">
                  <c:v>169.43248441163837</c:v>
                </c:pt>
                <c:pt idx="9">
                  <c:v>182.58918157902363</c:v>
                </c:pt>
                <c:pt idx="10">
                  <c:v>195.11022390056502</c:v>
                </c:pt>
                <c:pt idx="11">
                  <c:v>207.00243057787156</c:v>
                </c:pt>
                <c:pt idx="12">
                  <c:v>218.27612467695252</c:v>
                </c:pt>
                <c:pt idx="13">
                  <c:v>228.93159997972646</c:v>
                </c:pt>
                <c:pt idx="14">
                  <c:v>71.959414484995676</c:v>
                </c:pt>
                <c:pt idx="15">
                  <c:v>75.954893644645537</c:v>
                </c:pt>
                <c:pt idx="16">
                  <c:v>83.706902248969911</c:v>
                </c:pt>
                <c:pt idx="17">
                  <c:v>85.729804379087909</c:v>
                </c:pt>
                <c:pt idx="18">
                  <c:v>86.956072965862973</c:v>
                </c:pt>
                <c:pt idx="19">
                  <c:v>88.181501273399022</c:v>
                </c:pt>
                <c:pt idx="20">
                  <c:v>89.406199580377418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694073C2-5301-426C-B730-73D9970E735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2B292ED-49D0-4C9D-8DA6-1017C48A6CF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10F5A30A-D181-4494-BDB9-56F024526AE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2692D92-62FE-4F90-ACEB-F704D00970D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C9C13A-5F5E-4E55-A1E2-97D47603AEDA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273B48A-20A9-4027-A191-9AB9A1E6254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49.996714275693947</c:v>
                </c:pt>
                <c:pt idx="1">
                  <c:v>50.062408965192958</c:v>
                </c:pt>
                <c:pt idx="2">
                  <c:v>89.406199580377418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Фонтан_расчет!$X$16:$X$36</c:f>
              <c:numCache>
                <c:formatCode>General</c:formatCode>
                <c:ptCount val="21"/>
                <c:pt idx="0">
                  <c:v>15.000000000000004</c:v>
                </c:pt>
                <c:pt idx="1">
                  <c:v>15.000000000000004</c:v>
                </c:pt>
                <c:pt idx="2">
                  <c:v>15.000000000000004</c:v>
                </c:pt>
                <c:pt idx="3">
                  <c:v>15.000000000000004</c:v>
                </c:pt>
                <c:pt idx="4">
                  <c:v>15.000000000000004</c:v>
                </c:pt>
                <c:pt idx="5">
                  <c:v>15.000000000000004</c:v>
                </c:pt>
                <c:pt idx="6">
                  <c:v>15.000000000000004</c:v>
                </c:pt>
                <c:pt idx="7">
                  <c:v>15.000000000000004</c:v>
                </c:pt>
                <c:pt idx="8">
                  <c:v>15.000000000000004</c:v>
                </c:pt>
                <c:pt idx="9">
                  <c:v>15.000000000000004</c:v>
                </c:pt>
                <c:pt idx="10">
                  <c:v>15.000000000000004</c:v>
                </c:pt>
                <c:pt idx="11">
                  <c:v>15.000000000000004</c:v>
                </c:pt>
                <c:pt idx="12">
                  <c:v>15.000000000000004</c:v>
                </c:pt>
                <c:pt idx="13">
                  <c:v>16.900623153339122</c:v>
                </c:pt>
                <c:pt idx="14">
                  <c:v>25.43268728749716</c:v>
                </c:pt>
                <c:pt idx="15">
                  <c:v>33.889118305234206</c:v>
                </c:pt>
                <c:pt idx="16">
                  <c:v>42.134005302960794</c:v>
                </c:pt>
                <c:pt idx="17">
                  <c:v>50.055762484632744</c:v>
                </c:pt>
                <c:pt idx="18">
                  <c:v>57.672263047834313</c:v>
                </c:pt>
                <c:pt idx="19">
                  <c:v>64.974190609317731</c:v>
                </c:pt>
                <c:pt idx="20">
                  <c:v>71.959414484995676</c:v>
                </c:pt>
              </c:numCache>
            </c:numRef>
          </c:xVal>
          <c:yVal>
            <c:numRef>
              <c:f>Фонтан_расчет!$W$16:$W$36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30.270021650084161</c:v>
                </c:pt>
                <c:pt idx="1">
                  <c:v>30.930622529342319</c:v>
                </c:pt>
                <c:pt idx="2">
                  <c:v>31.54723127460775</c:v>
                </c:pt>
                <c:pt idx="3">
                  <c:v>32.16126615722338</c:v>
                </c:pt>
                <c:pt idx="4">
                  <c:v>32.774856609244608</c:v>
                </c:pt>
                <c:pt idx="5">
                  <c:v>33.385205927082495</c:v>
                </c:pt>
                <c:pt idx="6">
                  <c:v>33.991722543167903</c:v>
                </c:pt>
                <c:pt idx="7">
                  <c:v>34.731170931894624</c:v>
                </c:pt>
                <c:pt idx="8">
                  <c:v>36.943793961185804</c:v>
                </c:pt>
                <c:pt idx="9">
                  <c:v>44.375307750285323</c:v>
                </c:pt>
                <c:pt idx="10">
                  <c:v>52.612917101393322</c:v>
                </c:pt>
                <c:pt idx="11">
                  <c:v>60.479857847374873</c:v>
                </c:pt>
                <c:pt idx="12">
                  <c:v>67.9750796993861</c:v>
                </c:pt>
                <c:pt idx="13">
                  <c:v>75.08394613742108</c:v>
                </c:pt>
                <c:pt idx="14">
                  <c:v>78.955089810630312</c:v>
                </c:pt>
                <c:pt idx="15">
                  <c:v>81.666373449936316</c:v>
                </c:pt>
                <c:pt idx="16">
                  <c:v>86.429141097049708</c:v>
                </c:pt>
                <c:pt idx="17">
                  <c:v>87.762326916899241</c:v>
                </c:pt>
                <c:pt idx="18">
                  <c:v>88.639539609088743</c:v>
                </c:pt>
                <c:pt idx="19">
                  <c:v>89.475059689779698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206829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212271</xdr:colOff>
          <xdr:row>1</xdr:row>
          <xdr:rowOff>10886</xdr:rowOff>
        </xdr:from>
        <xdr:to>
          <xdr:col>14</xdr:col>
          <xdr:colOff>59871</xdr:colOff>
          <xdr:row>3</xdr:row>
          <xdr:rowOff>54429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316920</xdr:colOff>
      <xdr:row>12</xdr:row>
      <xdr:rowOff>56113</xdr:rowOff>
    </xdr:from>
    <xdr:to>
      <xdr:col>32</xdr:col>
      <xdr:colOff>610380</xdr:colOff>
      <xdr:row>42</xdr:row>
      <xdr:rowOff>128619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4.6" x14ac:dyDescent="0.4"/>
  <sheetData>
    <row r="1" spans="1:5" x14ac:dyDescent="0.4">
      <c r="A1" t="str">
        <f>"вер "&amp;B1</f>
        <v>вер 7.5</v>
      </c>
      <c r="B1" s="16">
        <v>7.5</v>
      </c>
    </row>
    <row r="2" spans="1:5" x14ac:dyDescent="0.4">
      <c r="A2" t="s">
        <v>161</v>
      </c>
    </row>
    <row r="4" spans="1:5" x14ac:dyDescent="0.4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7.5</v>
      </c>
      <c r="J1" s="2" t="s">
        <v>23</v>
      </c>
      <c r="K1" s="2"/>
      <c r="L1" s="2"/>
    </row>
    <row r="2" spans="1:17" ht="17.149999999999999" x14ac:dyDescent="0.4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4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Фонтан_расчет!Ql_scm3day_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Фонтан_расчет!wc_perc_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Фонтан_расчет!Rp_m3m3_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206829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/>
  </sheetViews>
  <sheetFormatPr defaultRowHeight="14.6" x14ac:dyDescent="0.4"/>
  <sheetData>
    <row r="1" spans="1:16" x14ac:dyDescent="0.4">
      <c r="A1" t="str">
        <f>версия_</f>
        <v>вер 7.5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4.6" x14ac:dyDescent="0.4"/>
  <cols>
    <col min="2" max="2" width="21.07421875" customWidth="1"/>
    <col min="8" max="8" width="9.3828125" bestFit="1" customWidth="1"/>
    <col min="10" max="10" width="10.3828125" customWidth="1"/>
  </cols>
  <sheetData>
    <row r="1" spans="1:11" x14ac:dyDescent="0.4">
      <c r="A1" t="str">
        <f>версия_</f>
        <v>вер 7.5</v>
      </c>
    </row>
    <row r="4" spans="1:11" x14ac:dyDescent="0.4">
      <c r="B4" s="53" t="s">
        <v>181</v>
      </c>
      <c r="C4" s="54">
        <v>80</v>
      </c>
      <c r="D4" s="53" t="s">
        <v>182</v>
      </c>
    </row>
    <row r="5" spans="1:11" x14ac:dyDescent="0.4">
      <c r="B5" s="53" t="s">
        <v>183</v>
      </c>
      <c r="C5" s="54">
        <v>2000</v>
      </c>
      <c r="D5" s="53" t="s">
        <v>184</v>
      </c>
      <c r="G5" t="s">
        <v>198</v>
      </c>
      <c r="H5">
        <f>G29</f>
        <v>22</v>
      </c>
    </row>
    <row r="6" spans="1:11" x14ac:dyDescent="0.4">
      <c r="B6" s="53" t="s">
        <v>185</v>
      </c>
      <c r="C6" s="54">
        <v>50</v>
      </c>
      <c r="D6" s="53" t="s">
        <v>186</v>
      </c>
    </row>
    <row r="7" spans="1:11" x14ac:dyDescent="0.4">
      <c r="B7" s="53" t="s">
        <v>187</v>
      </c>
      <c r="C7" s="55">
        <f>[1]!ESP_IDbyRate(ESP_rate_nom_)</f>
        <v>1006</v>
      </c>
      <c r="D7" s="53"/>
      <c r="H7" t="s">
        <v>197</v>
      </c>
      <c r="I7" t="s">
        <v>199</v>
      </c>
      <c r="J7" t="s">
        <v>200</v>
      </c>
      <c r="K7" t="s">
        <v>201</v>
      </c>
    </row>
    <row r="8" spans="1:11" x14ac:dyDescent="0.4">
      <c r="B8" s="53" t="s">
        <v>188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4">
      <c r="B9" s="53" t="s">
        <v>189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4">
      <c r="B10" s="53" t="s">
        <v>190</v>
      </c>
      <c r="C10" s="55">
        <f>INT(ESP_head_nom_/[1]!ESP_head_m(ESP_rate_nom_,1,,ESP_ID_))</f>
        <v>334</v>
      </c>
      <c r="D10" s="53" t="s">
        <v>191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4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4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4">
      <c r="B13" t="s">
        <v>192</v>
      </c>
      <c r="C13">
        <v>1000</v>
      </c>
      <c r="D13" t="s">
        <v>195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4">
      <c r="B14" t="s">
        <v>193</v>
      </c>
      <c r="C14">
        <v>30</v>
      </c>
      <c r="D14" t="s">
        <v>196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4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4">
      <c r="B16" t="s">
        <v>194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4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4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4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4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4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4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4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4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4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4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4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4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4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212271</xdr:colOff>
                    <xdr:row>1</xdr:row>
                    <xdr:rowOff>10886</xdr:rowOff>
                  </from>
                  <to>
                    <xdr:col>14</xdr:col>
                    <xdr:colOff>59871</xdr:colOff>
                    <xdr:row>3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opLeftCell="G1" zoomScale="70" zoomScaleNormal="70" workbookViewId="0">
      <selection activeCell="V5" sqref="V5"/>
    </sheetView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7.5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2</v>
      </c>
      <c r="AC3" t="s">
        <v>145</v>
      </c>
      <c r="AG3">
        <v>3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7.149999999999999" x14ac:dyDescent="0.55000000000000004">
      <c r="B8" s="7" t="s">
        <v>34</v>
      </c>
      <c r="C8" s="12" t="s">
        <v>63</v>
      </c>
      <c r="D8" s="5" t="s">
        <v>35</v>
      </c>
      <c r="P8" s="14" t="s">
        <v>202</v>
      </c>
      <c r="Q8" s="9">
        <v>15</v>
      </c>
      <c r="R8" s="5" t="s">
        <v>44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49.996714275693947</v>
      </c>
      <c r="R10" s="5" t="s">
        <v>44</v>
      </c>
      <c r="S10" s="14" t="s">
        <v>55</v>
      </c>
      <c r="T10" s="25">
        <v>30.270021650084161</v>
      </c>
      <c r="U10" s="5" t="s">
        <v>25</v>
      </c>
    </row>
    <row r="11" spans="1:34" ht="17.149999999999999" x14ac:dyDescent="0.55000000000000004">
      <c r="P11" s="14" t="s">
        <v>46</v>
      </c>
      <c r="Q11" s="25">
        <v>50.062408965192958</v>
      </c>
      <c r="R11" s="5" t="s">
        <v>44</v>
      </c>
      <c r="S11" s="14" t="s">
        <v>56</v>
      </c>
      <c r="T11" s="25">
        <v>30.270021650084161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89.406199580377418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  <c r="W15" t="s">
        <v>203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50.062408965192958</v>
      </c>
      <c r="P16">
        <v>0</v>
      </c>
      <c r="Q16">
        <v>30.270021650084161</v>
      </c>
      <c r="R16">
        <v>0</v>
      </c>
      <c r="S16">
        <v>0.91781096048776034</v>
      </c>
      <c r="U16">
        <v>0</v>
      </c>
      <c r="V16" s="50">
        <f>Pline_out_atma_</f>
        <v>49.996714275693947</v>
      </c>
      <c r="W16">
        <v>0</v>
      </c>
      <c r="X16">
        <v>15.000000000000004</v>
      </c>
    </row>
    <row r="17" spans="2:24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64.994519146362791</v>
      </c>
      <c r="P17">
        <v>184.21052631578948</v>
      </c>
      <c r="Q17">
        <v>30.930622529342319</v>
      </c>
      <c r="R17">
        <v>175</v>
      </c>
      <c r="S17">
        <v>0.99052192051827492</v>
      </c>
      <c r="U17">
        <v>0</v>
      </c>
      <c r="V17" s="50">
        <f>Pbuf_out_atma_</f>
        <v>50.062408965192958</v>
      </c>
      <c r="W17">
        <v>125</v>
      </c>
      <c r="X17">
        <v>15.000000000000004</v>
      </c>
    </row>
    <row r="18" spans="2:24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80.303701664227802</v>
      </c>
      <c r="P18">
        <v>368.42105263157896</v>
      </c>
      <c r="Q18">
        <v>31.54723127460775</v>
      </c>
      <c r="R18">
        <v>350</v>
      </c>
      <c r="S18">
        <v>1</v>
      </c>
      <c r="U18">
        <f>Hperf_m_</f>
        <v>3500</v>
      </c>
      <c r="V18" s="50">
        <f>Pwf_out_atma_</f>
        <v>89.406199580377418</v>
      </c>
      <c r="W18">
        <v>250</v>
      </c>
      <c r="X18">
        <v>15.000000000000004</v>
      </c>
    </row>
    <row r="19" spans="2:24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95.659998857690454</v>
      </c>
      <c r="P19">
        <v>552.63157894736844</v>
      </c>
      <c r="Q19">
        <v>32.16126615722338</v>
      </c>
      <c r="R19">
        <v>525</v>
      </c>
      <c r="S19">
        <v>1</v>
      </c>
      <c r="W19">
        <v>375</v>
      </c>
      <c r="X19">
        <v>15.000000000000004</v>
      </c>
    </row>
    <row r="20" spans="2:24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111.0402431088666</v>
      </c>
      <c r="P20">
        <v>736.84210526315792</v>
      </c>
      <c r="Q20">
        <v>32.774856609244608</v>
      </c>
      <c r="R20">
        <v>700</v>
      </c>
      <c r="S20">
        <v>1</v>
      </c>
      <c r="W20">
        <v>500</v>
      </c>
      <c r="X20">
        <v>15.000000000000004</v>
      </c>
    </row>
    <row r="21" spans="2:24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126.41209512541708</v>
      </c>
      <c r="P21">
        <v>921.0526315789474</v>
      </c>
      <c r="Q21">
        <v>33.385205927082495</v>
      </c>
      <c r="R21">
        <v>875</v>
      </c>
      <c r="S21">
        <v>1</v>
      </c>
      <c r="W21">
        <v>625</v>
      </c>
      <c r="X21">
        <v>15.000000000000004</v>
      </c>
    </row>
    <row r="22" spans="2:24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141.32764453596513</v>
      </c>
      <c r="P22">
        <v>1105.2631578947369</v>
      </c>
      <c r="Q22">
        <v>33.991722543167903</v>
      </c>
      <c r="R22">
        <v>1050</v>
      </c>
      <c r="S22">
        <v>1</v>
      </c>
      <c r="W22">
        <v>750</v>
      </c>
      <c r="X22">
        <v>15.000000000000004</v>
      </c>
    </row>
    <row r="23" spans="2:24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155.66877106504631</v>
      </c>
      <c r="P23">
        <v>1289.4736842105262</v>
      </c>
      <c r="Q23">
        <v>34.731170931894624</v>
      </c>
      <c r="R23">
        <v>1225</v>
      </c>
      <c r="S23">
        <v>1</v>
      </c>
      <c r="W23">
        <v>875</v>
      </c>
      <c r="X23">
        <v>15.000000000000004</v>
      </c>
    </row>
    <row r="24" spans="2:24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169.43248441163837</v>
      </c>
      <c r="P24">
        <v>1473.6842105263158</v>
      </c>
      <c r="Q24">
        <v>36.943793961185804</v>
      </c>
      <c r="R24">
        <v>1400</v>
      </c>
      <c r="S24">
        <v>1</v>
      </c>
      <c r="W24">
        <v>1000</v>
      </c>
      <c r="X24">
        <v>15.000000000000004</v>
      </c>
    </row>
    <row r="25" spans="2:24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182.58918157902363</v>
      </c>
      <c r="P25">
        <v>1657.8947368421054</v>
      </c>
      <c r="Q25">
        <v>44.375307750285323</v>
      </c>
      <c r="R25">
        <v>1575</v>
      </c>
      <c r="S25">
        <v>1</v>
      </c>
      <c r="W25">
        <v>1125</v>
      </c>
      <c r="X25">
        <v>15.000000000000004</v>
      </c>
    </row>
    <row r="26" spans="2:24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195.11022390056502</v>
      </c>
      <c r="P26">
        <v>1842.1052631578948</v>
      </c>
      <c r="Q26">
        <v>52.612917101393322</v>
      </c>
      <c r="R26">
        <v>1750</v>
      </c>
      <c r="S26">
        <v>1</v>
      </c>
      <c r="W26">
        <v>1250</v>
      </c>
      <c r="X26">
        <v>15.000000000000004</v>
      </c>
    </row>
    <row r="27" spans="2:24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207.00243057787156</v>
      </c>
      <c r="P27">
        <v>2026.3157894736842</v>
      </c>
      <c r="Q27">
        <v>60.479857847374873</v>
      </c>
      <c r="R27">
        <v>1925</v>
      </c>
      <c r="S27">
        <v>1</v>
      </c>
      <c r="W27">
        <v>1375</v>
      </c>
      <c r="X27">
        <v>15.000000000000004</v>
      </c>
    </row>
    <row r="28" spans="2:24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218.27612467695252</v>
      </c>
      <c r="P28">
        <v>2210.5263157894738</v>
      </c>
      <c r="Q28">
        <v>67.9750796993861</v>
      </c>
      <c r="R28">
        <v>2100</v>
      </c>
      <c r="S28">
        <v>1</v>
      </c>
      <c r="W28">
        <v>1500</v>
      </c>
      <c r="X28">
        <v>15.000000000000004</v>
      </c>
    </row>
    <row r="29" spans="2:24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228.93159997972646</v>
      </c>
      <c r="P29">
        <v>2394.7368421052633</v>
      </c>
      <c r="Q29">
        <v>75.08394613742108</v>
      </c>
      <c r="R29">
        <v>2275</v>
      </c>
      <c r="S29">
        <v>1</v>
      </c>
      <c r="W29">
        <v>1625</v>
      </c>
      <c r="X29">
        <v>16.900623153339122</v>
      </c>
    </row>
    <row r="30" spans="2:24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71.959414484995676</v>
      </c>
      <c r="P30">
        <v>2500</v>
      </c>
      <c r="Q30">
        <v>78.955089810630312</v>
      </c>
      <c r="R30">
        <v>2450</v>
      </c>
      <c r="S30">
        <v>0.97719240395850981</v>
      </c>
      <c r="W30">
        <v>1750</v>
      </c>
      <c r="X30">
        <v>25.43268728749716</v>
      </c>
    </row>
    <row r="31" spans="2:24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75.954893644645537</v>
      </c>
      <c r="P31">
        <v>2578.9473684210525</v>
      </c>
      <c r="Q31">
        <v>81.666373449936316</v>
      </c>
      <c r="R31">
        <v>2625</v>
      </c>
      <c r="S31">
        <v>0.9642110875201827</v>
      </c>
      <c r="W31">
        <v>1875</v>
      </c>
      <c r="X31">
        <v>33.889118305234206</v>
      </c>
    </row>
    <row r="32" spans="2:24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83.706902248969911</v>
      </c>
      <c r="P32">
        <v>2763.1578947368421</v>
      </c>
      <c r="Q32">
        <v>86.429141097049708</v>
      </c>
      <c r="R32">
        <v>2800</v>
      </c>
      <c r="S32">
        <v>0.97343710934619132</v>
      </c>
      <c r="W32">
        <v>2000</v>
      </c>
      <c r="X32">
        <v>42.134005302960794</v>
      </c>
    </row>
    <row r="33" spans="2:24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85.729804379087909</v>
      </c>
      <c r="P33">
        <v>2947.3684210526317</v>
      </c>
      <c r="Q33">
        <v>87.762326916899241</v>
      </c>
      <c r="R33">
        <v>2975</v>
      </c>
      <c r="S33">
        <v>0.9748989926662589</v>
      </c>
      <c r="W33">
        <v>2125</v>
      </c>
      <c r="X33">
        <v>50.055762484632744</v>
      </c>
    </row>
    <row r="34" spans="2:24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86.956072965862973</v>
      </c>
      <c r="P34">
        <v>3131.5789473684213</v>
      </c>
      <c r="Q34">
        <v>88.639539609088743</v>
      </c>
      <c r="R34">
        <v>3150</v>
      </c>
      <c r="S34">
        <v>0.97632941371020332</v>
      </c>
      <c r="W34">
        <v>2250</v>
      </c>
      <c r="X34">
        <v>57.672263047834313</v>
      </c>
    </row>
    <row r="35" spans="2:24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88.181501273399022</v>
      </c>
      <c r="P35">
        <v>3315.7894736842109</v>
      </c>
      <c r="Q35">
        <v>89.475059689779698</v>
      </c>
      <c r="R35">
        <v>3325</v>
      </c>
      <c r="S35">
        <v>0.97773374795118229</v>
      </c>
      <c r="W35">
        <v>2375</v>
      </c>
      <c r="X35">
        <v>64.974190609317731</v>
      </c>
    </row>
    <row r="36" spans="2:24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89.406199580377418</v>
      </c>
      <c r="P36">
        <v>3500</v>
      </c>
      <c r="Q36">
        <v>90</v>
      </c>
      <c r="R36">
        <v>3500</v>
      </c>
      <c r="S36">
        <v>0.97927849709082737</v>
      </c>
      <c r="W36">
        <v>2500</v>
      </c>
      <c r="X36">
        <v>71.959414484995676</v>
      </c>
    </row>
    <row r="37" spans="2:24" x14ac:dyDescent="0.4">
      <c r="B37" s="2"/>
      <c r="C37" s="18">
        <v>2500</v>
      </c>
      <c r="D37" s="18">
        <v>176.72349338287597</v>
      </c>
      <c r="E37" s="18">
        <v>53</v>
      </c>
    </row>
    <row r="38" spans="2:24" x14ac:dyDescent="0.4">
      <c r="C38" s="18">
        <v>2625</v>
      </c>
      <c r="D38" s="18">
        <v>186.511102757185</v>
      </c>
      <c r="E38" s="18">
        <v>54</v>
      </c>
    </row>
    <row r="39" spans="2:24" x14ac:dyDescent="0.4">
      <c r="C39" s="18">
        <v>2750</v>
      </c>
      <c r="D39" s="18">
        <v>196.298712131494</v>
      </c>
      <c r="E39" s="18">
        <v>55</v>
      </c>
    </row>
    <row r="40" spans="2:24" x14ac:dyDescent="0.4">
      <c r="C40" s="18">
        <v>2875</v>
      </c>
      <c r="D40" s="18">
        <v>206.08632150580399</v>
      </c>
      <c r="E40" s="18">
        <v>56</v>
      </c>
    </row>
    <row r="41" spans="2:24" x14ac:dyDescent="0.4">
      <c r="C41" s="18">
        <v>3000</v>
      </c>
      <c r="D41" s="18">
        <v>215.87393088011299</v>
      </c>
      <c r="E41" s="18">
        <v>57</v>
      </c>
    </row>
    <row r="42" spans="2:24" x14ac:dyDescent="0.4">
      <c r="C42" s="18">
        <v>3125</v>
      </c>
      <c r="D42" s="18">
        <v>225.66154025442199</v>
      </c>
      <c r="E42" s="18">
        <v>58</v>
      </c>
    </row>
    <row r="43" spans="2:24" x14ac:dyDescent="0.4">
      <c r="C43" s="18">
        <v>3250</v>
      </c>
      <c r="D43" s="18">
        <v>235.44914962873099</v>
      </c>
      <c r="E43" s="18">
        <v>59</v>
      </c>
    </row>
    <row r="44" spans="2:24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B8"/>
  <sheetViews>
    <sheetView tabSelected="1" workbookViewId="0">
      <selection activeCell="B6" sqref="B6"/>
    </sheetView>
  </sheetViews>
  <sheetFormatPr defaultRowHeight="14.6" x14ac:dyDescent="0.4"/>
  <sheetData>
    <row r="3" spans="2:2" x14ac:dyDescent="0.4">
      <c r="B3" t="str">
        <f>Well_Encode_string()</f>
        <v>Hperf_m:2000,00000;Hpump_m:1800,00000;Udl_m:0,00000;dCas_mm:150,00000;dTub_mm:72,00000;dchoke_mm:15,00000;roughness_m:0,00010;Tbh_C:85,00000;Twh_C:25,00000;</v>
      </c>
    </row>
    <row r="4" spans="2:2" x14ac:dyDescent="0.4">
      <c r="B4" t="str">
        <f>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2" x14ac:dyDescent="0.4">
      <c r="B5" t="str">
        <f>ESP_Encode_string(1006,2000,50)</f>
        <v>ESP_ID:1006,00000;HeadNom_m:2000,00000;ESPfreq_Hz:50,00000;ESP_U_V:1000,00000;MotorPowerNom_kW:30,00000;Tint_C:85,00000;Tdis_C:25,00000;KsepGS_fr:0,00000;</v>
      </c>
    </row>
    <row r="8" spans="2:2" x14ac:dyDescent="0.4">
      <c r="B8">
        <f>Well_Plin_Pwf_atma(200,30,0,B3,B4,B5)</f>
        <v>213.12791539321242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7" baseType="lpstr">
      <vt:lpstr>Унифлок</vt:lpstr>
      <vt:lpstr>PVT</vt:lpstr>
      <vt:lpstr>Конструкция фонтан</vt:lpstr>
      <vt:lpstr>УЭЦН</vt:lpstr>
      <vt:lpstr>Фонтан_расчет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2019-03-17T07:17:31Z</dcterms:modified>
</cp:coreProperties>
</file>