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6AB9B218-1CE7-4AB0-86F9-6056F904EBCA}" xr6:coauthVersionLast="41" xr6:coauthVersionMax="41" xr10:uidLastSave="{00000000-0000-0000-0000-000000000000}"/>
  <bookViews>
    <workbookView xWindow="-103" yWindow="-103" windowWidth="22149" windowHeight="12103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Фонтан_расчет" sheetId="2" r:id="rId5"/>
  </sheets>
  <externalReferences>
    <externalReference r:id="rId6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4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_ESP_" localSheetId="3">УЭЦН!$C$32</definedName>
    <definedName name="Ql_scm3day_" localSheetId="1">PVT!$K$8</definedName>
    <definedName name="Ql_scm3day_" localSheetId="4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4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_V_">УЭЦН!$C$13</definedName>
    <definedName name="udl_out_m_">'Конструкция фонтан'!$R$18:$R$38</definedName>
    <definedName name="wc_perc_" localSheetId="1">PVT!$K$9</definedName>
    <definedName name="wc_perc_" localSheetId="4">Фонтан_расчет!$C$7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C7" i="7"/>
  <c r="C10" i="7"/>
  <c r="C9" i="7"/>
  <c r="C8" i="7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K11" i="4"/>
  <c r="K9" i="4"/>
  <c r="K8" i="4"/>
  <c r="C49" i="4"/>
  <c r="I33" i="4"/>
  <c r="E32" i="4"/>
  <c r="M34" i="4"/>
  <c r="C36" i="4"/>
  <c r="I34" i="4"/>
  <c r="E37" i="4"/>
  <c r="T33" i="4"/>
  <c r="C43" i="4"/>
  <c r="M32" i="4"/>
  <c r="I36" i="4"/>
  <c r="C34" i="4"/>
  <c r="C35" i="4"/>
  <c r="M33" i="4"/>
  <c r="E35" i="4"/>
  <c r="M36" i="4"/>
  <c r="I37" i="4"/>
  <c r="C40" i="4"/>
  <c r="T34" i="4"/>
  <c r="G23" i="4"/>
  <c r="C33" i="4"/>
  <c r="M37" i="4"/>
  <c r="M35" i="4"/>
  <c r="E36" i="4"/>
  <c r="C37" i="4"/>
  <c r="I32" i="4"/>
  <c r="C32" i="4"/>
  <c r="T36" i="4"/>
  <c r="I35" i="4"/>
  <c r="E33" i="4"/>
  <c r="C44" i="4"/>
  <c r="E34" i="4"/>
  <c r="M40" i="4"/>
  <c r="V33" i="4"/>
  <c r="C45" i="4"/>
  <c r="C23" i="4"/>
  <c r="V34" i="4"/>
  <c r="V36" i="4"/>
  <c r="C28" i="4"/>
  <c r="T35" i="4"/>
  <c r="C26" i="4"/>
  <c r="C27" i="4"/>
  <c r="V35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<sst xmlns="http://schemas.openxmlformats.org/spreadsheetml/2006/main" count="295" uniqueCount="202">
  <si>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</si>
  <si>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</si>
  <si>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</si>
  <si>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</si>
  <si>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</si>
  <si>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</si>
  <si>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</si>
  <si>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</si>
  <si>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</si>
  <si>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</si>
  <si>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</si>
  <si>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</si>
  <si>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</si>
  <si>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</si>
  <si>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</si>
  <si>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</si>
  <si>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</si>
  <si>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</si>
  <si>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</si>
  <si>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</si>
  <si>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</si>
  <si>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</si>
  <si>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</si>
  <si>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</si>
  <si>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</si>
  <si>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</si>
  <si>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</si>
  <si>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</si>
  <si>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</si>
  <si>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</si>
  <si>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</si>
  <si>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</si>
  <si>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</si>
  <si>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</si>
  <si>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</si>
  <si>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</si>
  <si>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</si>
  <si>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</si>
  <si>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</si>
  <si>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</si>
  <si>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</si>
  <si>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</si>
  <si>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</si>
  <si>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</si>
  <si>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</si>
  <si>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</si>
  <si>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</si>
  <si>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</si>
  <si>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</si>
  <si>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</si>
  <si>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</si>
  <si>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</si>
  <si>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</si>
  <si>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</si>
  <si>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</si>
  <si>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</si>
  <si>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</si>
  <si>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</si>
  <si>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</si>
  <si>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</si>
  <si>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</si>
  <si>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</si>
  <si>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</si>
  <si>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</si>
  <si>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</si>
  <si>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</si>
  <si>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</si>
  <si>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</si>
  <si>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</si>
  <si>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</si>
  <si>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</si>
  <si>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</si>
  <si>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</si>
  <si>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</si>
  <si>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</si>
  <si>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</si>
  <si>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</si>
  <si>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</si>
  <si>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</si>
  <si>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</si>
  <si>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</si>
  <si>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</si>
  <si>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</si>
  <si>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</si>
  <si>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</si>
  <si>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</si>
  <si>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</si>
  <si>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</si>
  <si>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</si>
  <si>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</si>
  <si>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</si>
  <si>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</si>
  <si>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</si>
  <si>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</si>
  <si>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</si>
  <si>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</si>
  <si>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</si>
  <si>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</si>
  <si>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</si>
  <si>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</si>
  <si>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</si>
  <si>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</si>
  <si>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</si>
  <si>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</si>
  <si>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</si>
  <si>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</si>
  <si>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</si>
  <si>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</si>
  <si>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</si>
  <si>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</si>
  <si>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</si>
  <si>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</si>
  <si>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</si>
  <si>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</si>
  <si>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</si>
  <si>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</si>
  <si>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</si>
  <si>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</si>
  <si>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</si>
  <si>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</si>
  <si>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</si>
  <si>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</si>
  <si>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</si>
  <si>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</si>
  <si>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</si>
  <si>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</si>
  <si>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</si>
  <si>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</si>
  <si>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</si>
  <si>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</si>
  <si>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</si>
  <si>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</si>
  <si>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</si>
  <si>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</si>
  <si>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</si>
  <si>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</si>
  <si>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</si>
  <si>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</si>
  <si>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</si>
  <si>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</si>
  <si>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</si>
  <si>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</si>
  <si>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</si>
  <si>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</si>
  <si>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</si>
  <si>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</si>
  <si>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</si>
  <si>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</si>
  <si>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</si>
  <si>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</si>
  <si>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</si>
  <si>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</si>
  <si>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</si>
  <si>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</si>
  <si>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</si>
  <si>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</si>
  <si>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</si>
  <si>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</si>
  <si>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</si>
  <si>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</si>
  <si>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</si>
  <si>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</si>
  <si>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</si>
  <si>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</si>
  <si>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</si>
  <si>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</si>
  <si>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</si>
  <si>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</si>
  <si>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</si>
  <si>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</si>
  <si>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</si>
  <si>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</si>
  <si>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</si>
  <si>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</si>
  <si>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</si>
  <si>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</si>
  <si>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hmes ptub</t>
  </si>
  <si>
    <t>Ptub</t>
  </si>
  <si>
    <t>Ttub</t>
  </si>
  <si>
    <t>Hl</t>
  </si>
  <si>
    <t>Tamb</t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</si>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</sst>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0.91781096048776034</c:v>
                </c:pt>
                <c:pt idx="1">
                  <c:v>0.99052192051827492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0.97719240395850981</c:v>
                </c:pt>
                <c:pt idx="15">
                  <c:v>0.9642110875201827</c:v>
                </c:pt>
                <c:pt idx="16">
                  <c:v>0.97343710934619132</c:v>
                </c:pt>
                <c:pt idx="17">
                  <c:v>0.9748989926662589</c:v>
                </c:pt>
                <c:pt idx="18">
                  <c:v>0.97632941371020332</c:v>
                </c:pt>
                <c:pt idx="19">
                  <c:v>0.97773374795118229</c:v>
                </c:pt>
                <c:pt idx="20">
                  <c:v>0.97927849709082737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50.062408965192958</c:v>
                </c:pt>
                <c:pt idx="1">
                  <c:v>64.994519146362791</c:v>
                </c:pt>
                <c:pt idx="2">
                  <c:v>80.303701664227802</c:v>
                </c:pt>
                <c:pt idx="3">
                  <c:v>95.659998857690454</c:v>
                </c:pt>
                <c:pt idx="4">
                  <c:v>111.0402431088666</c:v>
                </c:pt>
                <c:pt idx="5">
                  <c:v>126.41209512541708</c:v>
                </c:pt>
                <c:pt idx="6">
                  <c:v>141.32764453596513</c:v>
                </c:pt>
                <c:pt idx="7">
                  <c:v>155.66877106504631</c:v>
                </c:pt>
                <c:pt idx="8">
                  <c:v>169.43248441163837</c:v>
                </c:pt>
                <c:pt idx="9">
                  <c:v>182.58918157902363</c:v>
                </c:pt>
                <c:pt idx="10">
                  <c:v>195.11022390056502</c:v>
                </c:pt>
                <c:pt idx="11">
                  <c:v>207.00243057787156</c:v>
                </c:pt>
                <c:pt idx="12">
                  <c:v>218.27612467695252</c:v>
                </c:pt>
                <c:pt idx="13">
                  <c:v>228.93159997972646</c:v>
                </c:pt>
                <c:pt idx="14">
                  <c:v>71.959414484995676</c:v>
                </c:pt>
                <c:pt idx="15">
                  <c:v>75.954893644645537</c:v>
                </c:pt>
                <c:pt idx="16">
                  <c:v>83.706902248969911</c:v>
                </c:pt>
                <c:pt idx="17">
                  <c:v>85.729804379087909</c:v>
                </c:pt>
                <c:pt idx="18">
                  <c:v>86.956072965862973</c:v>
                </c:pt>
                <c:pt idx="19">
                  <c:v>88.181501273399022</c:v>
                </c:pt>
                <c:pt idx="20">
                  <c:v>89.406199580377418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A41AA9DA-7615-4BB3-8806-7F3710AD2AE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A98926C-1C2B-4F6A-9B1C-7506A8052C4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5A3C4104-07BC-4E38-B34F-41C4FC54B9A3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B08F46C-985E-49CF-8713-420F1179DC2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C33669-3A56-4DD5-B7B0-41B95040E5D4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F0E33295-4DA8-4A2D-8DC6-697FD4E929D7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49.996714275693947</c:v>
                </c:pt>
                <c:pt idx="1">
                  <c:v>50.062408965192958</c:v>
                </c:pt>
                <c:pt idx="2">
                  <c:v>89.406199580377418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30.270021650084161</c:v>
                </c:pt>
                <c:pt idx="1">
                  <c:v>30.930622529342319</c:v>
                </c:pt>
                <c:pt idx="2">
                  <c:v>31.54723127460775</c:v>
                </c:pt>
                <c:pt idx="3">
                  <c:v>32.16126615722338</c:v>
                </c:pt>
                <c:pt idx="4">
                  <c:v>32.774856609244608</c:v>
                </c:pt>
                <c:pt idx="5">
                  <c:v>33.385205927082495</c:v>
                </c:pt>
                <c:pt idx="6">
                  <c:v>33.991722543167903</c:v>
                </c:pt>
                <c:pt idx="7">
                  <c:v>34.731170931894624</c:v>
                </c:pt>
                <c:pt idx="8">
                  <c:v>36.943793961185804</c:v>
                </c:pt>
                <c:pt idx="9">
                  <c:v>44.375307750285323</c:v>
                </c:pt>
                <c:pt idx="10">
                  <c:v>52.612917101393322</c:v>
                </c:pt>
                <c:pt idx="11">
                  <c:v>60.479857847374873</c:v>
                </c:pt>
                <c:pt idx="12">
                  <c:v>67.9750796993861</c:v>
                </c:pt>
                <c:pt idx="13">
                  <c:v>75.08394613742108</c:v>
                </c:pt>
                <c:pt idx="14">
                  <c:v>78.955089810630312</c:v>
                </c:pt>
                <c:pt idx="15">
                  <c:v>81.666373449936316</c:v>
                </c:pt>
                <c:pt idx="16">
                  <c:v>86.429141097049708</c:v>
                </c:pt>
                <c:pt idx="17">
                  <c:v>87.762326916899241</c:v>
                </c:pt>
                <c:pt idx="18">
                  <c:v>88.639539609088743</c:v>
                </c:pt>
                <c:pt idx="19">
                  <c:v>89.475059689779698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201386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10886</xdr:colOff>
          <xdr:row>14</xdr:row>
          <xdr:rowOff>206829</xdr:rowOff>
        </xdr:from>
        <xdr:to>
          <xdr:col>20</xdr:col>
          <xdr:colOff>582386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212271</xdr:colOff>
          <xdr:row>1</xdr:row>
          <xdr:rowOff>10886</xdr:rowOff>
        </xdr:from>
        <xdr:to>
          <xdr:col>14</xdr:col>
          <xdr:colOff>59871</xdr:colOff>
          <xdr:row>3</xdr:row>
          <xdr:rowOff>54429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216355</xdr:colOff>
      <xdr:row>14</xdr:row>
      <xdr:rowOff>351065</xdr:rowOff>
    </xdr:from>
    <xdr:to>
      <xdr:col>29</xdr:col>
      <xdr:colOff>506187</xdr:colOff>
      <xdr:row>46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598714</xdr:colOff>
          <xdr:row>3</xdr:row>
          <xdr:rowOff>59871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10886</xdr:colOff>
          <xdr:row>3</xdr:row>
          <xdr:rowOff>48986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21771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4.6" x14ac:dyDescent="0.4"/>
  <sheetData>
    <row r="1" spans="1:5" x14ac:dyDescent="0.4">
      <c r="A1" t="str">
        <f>"вер "&amp;B1</f>
        <v>вер 7.5</v>
      </c>
      <c r="B1" s="16">
        <v>7.5</v>
      </c>
    </row>
    <row r="2" spans="1:5" x14ac:dyDescent="0.4">
      <c r="A2" t="s">
        <v>161</v>
      </c>
    </row>
    <row r="4" spans="1:5" x14ac:dyDescent="0.4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7.5</v>
      </c>
      <c r="J1" s="2" t="s">
        <v>23</v>
      </c>
      <c r="K1" s="2"/>
      <c r="L1" s="2"/>
    </row>
    <row r="2" spans="1:17" ht="17.149999999999999" x14ac:dyDescent="0.4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4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7.149999999999999" x14ac:dyDescent="0.4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Фонтан_расчет!Ql_scm3day_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Фонтан_расчет!wc_perc_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52">
        <f>Фонтан_расчет!Rp_m3m3_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"/>
    <row r="22" spans="2:33" outlineLevel="1" x14ac:dyDescent="0.4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7.149999999999999" outlineLevel="1" x14ac:dyDescent="0.4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7.149999999999999" outlineLevel="1" x14ac:dyDescent="0.4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7.149999999999999" outlineLevel="1" x14ac:dyDescent="0.4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7.149999999999999" outlineLevel="1" x14ac:dyDescent="0.4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7.149999999999999" outlineLevel="1" x14ac:dyDescent="0.4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7.149999999999999" outlineLevel="1" x14ac:dyDescent="0.4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7.149999999999999" outlineLevel="1" x14ac:dyDescent="0.4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7.149999999999999" outlineLevel="1" x14ac:dyDescent="0.4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7.149999999999999" outlineLevel="1" x14ac:dyDescent="0.4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1"/>
    </row>
    <row r="42" spans="2:33" outlineLevel="1" x14ac:dyDescent="0.4">
      <c r="B42" s="2" t="s">
        <v>120</v>
      </c>
      <c r="C42" s="2"/>
      <c r="D42" s="2"/>
      <c r="E42" s="28"/>
      <c r="F42" s="31"/>
      <c r="L42" s="31"/>
    </row>
    <row r="43" spans="2:33" ht="17.149999999999999" outlineLevel="1" x14ac:dyDescent="0.4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7.149999999999999" outlineLevel="1" x14ac:dyDescent="0.4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7.149999999999999" outlineLevel="1" x14ac:dyDescent="0.4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7.149999999999999" outlineLevel="1" x14ac:dyDescent="0.4">
      <c r="B46" s="5" t="s">
        <v>124</v>
      </c>
      <c r="E46" s="31"/>
      <c r="F46" s="31"/>
    </row>
    <row r="47" spans="2:33" ht="17.149999999999999" outlineLevel="1" x14ac:dyDescent="0.4">
      <c r="B47" s="5" t="s">
        <v>125</v>
      </c>
      <c r="E47" s="31"/>
      <c r="F47" s="31"/>
    </row>
    <row r="48" spans="2:33" ht="17.149999999999999" outlineLevel="1" x14ac:dyDescent="0.4">
      <c r="B48" s="5" t="s">
        <v>126</v>
      </c>
      <c r="E48" s="31"/>
      <c r="F48" s="31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">
      <c r="E50" s="31"/>
      <c r="F50" s="31"/>
    </row>
    <row r="51" spans="1:29" outlineLevel="1" x14ac:dyDescent="0.4">
      <c r="E51" s="31"/>
      <c r="F51" s="31"/>
    </row>
    <row r="52" spans="1:29" outlineLevel="1" x14ac:dyDescent="0.4"/>
    <row r="53" spans="1:29" outlineLevel="1" x14ac:dyDescent="0.4"/>
    <row r="54" spans="1:29" x14ac:dyDescent="0.4">
      <c r="L54" s="31"/>
    </row>
    <row r="55" spans="1:29" x14ac:dyDescent="0.4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">
      <c r="L57" s="31"/>
      <c r="M57" s="31"/>
    </row>
    <row r="58" spans="1:29" ht="17.149999999999999" outlineLevel="1" x14ac:dyDescent="0.4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206829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/>
  </sheetViews>
  <sheetFormatPr defaultRowHeight="14.6" x14ac:dyDescent="0.4"/>
  <sheetData>
    <row r="1" spans="1:16" x14ac:dyDescent="0.4">
      <c r="A1" t="str">
        <f>версия_</f>
        <v>вер 7.5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7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5"/>
      <c r="N39" s="15"/>
    </row>
    <row r="40" spans="1:29" x14ac:dyDescent="0.4">
      <c r="A40" s="11"/>
      <c r="B40" s="16"/>
      <c r="C40" s="16"/>
      <c r="G40" s="1"/>
      <c r="M40" s="15"/>
      <c r="N40" s="15"/>
    </row>
    <row r="41" spans="1:29" x14ac:dyDescent="0.4">
      <c r="A41" s="11"/>
      <c r="B41" s="16"/>
      <c r="C41" s="16"/>
      <c r="G41" s="1"/>
      <c r="M41" s="15"/>
      <c r="N41" s="15"/>
    </row>
    <row r="42" spans="1:29" x14ac:dyDescent="0.4">
      <c r="A42" s="11"/>
      <c r="B42" s="16"/>
      <c r="C42" s="16"/>
      <c r="G42" s="1"/>
      <c r="M42" s="15"/>
      <c r="N42" s="15"/>
    </row>
    <row r="43" spans="1:29" x14ac:dyDescent="0.4">
      <c r="A43" s="11"/>
      <c r="B43" s="16"/>
      <c r="C43" s="16"/>
      <c r="G43" s="1"/>
      <c r="M43" s="15"/>
      <c r="N43" s="15"/>
    </row>
    <row r="44" spans="1:29" x14ac:dyDescent="0.4">
      <c r="A44" s="11"/>
      <c r="B44" s="16"/>
      <c r="C44" s="16"/>
      <c r="G44" s="1"/>
      <c r="M44" s="15"/>
      <c r="N44" s="15"/>
    </row>
    <row r="45" spans="1:29" x14ac:dyDescent="0.4">
      <c r="A45" s="11"/>
      <c r="B45" s="16"/>
      <c r="C45" s="16"/>
      <c r="G45" s="1"/>
      <c r="M45" s="15"/>
      <c r="N45" s="15"/>
    </row>
    <row r="46" spans="1:29" x14ac:dyDescent="0.4">
      <c r="A46" s="11"/>
      <c r="B46" s="16"/>
      <c r="C46" s="16"/>
      <c r="G46" s="1"/>
    </row>
    <row r="47" spans="1:29" x14ac:dyDescent="0.4">
      <c r="A47" s="11"/>
      <c r="B47" s="16"/>
      <c r="C47" s="16"/>
      <c r="G47" s="1"/>
    </row>
    <row r="48" spans="1:29" x14ac:dyDescent="0.4">
      <c r="A48" s="11"/>
      <c r="B48" s="16"/>
      <c r="C48" s="16"/>
      <c r="G48" s="1"/>
    </row>
    <row r="49" spans="1:7" x14ac:dyDescent="0.4">
      <c r="A49" s="11"/>
      <c r="B49" s="16"/>
      <c r="C49" s="16"/>
      <c r="G49" s="1"/>
    </row>
    <row r="50" spans="1:7" x14ac:dyDescent="0.4">
      <c r="A50" s="11"/>
      <c r="B50" s="16"/>
      <c r="C50" s="16"/>
      <c r="G50" s="1"/>
    </row>
    <row r="51" spans="1:7" x14ac:dyDescent="0.4">
      <c r="A51" s="11"/>
      <c r="B51" s="16"/>
      <c r="C51" s="16"/>
      <c r="G51" s="1"/>
    </row>
    <row r="52" spans="1:7" x14ac:dyDescent="0.4">
      <c r="A52" s="11"/>
      <c r="B52" s="16"/>
      <c r="C52" s="16"/>
      <c r="G52" s="1"/>
    </row>
    <row r="53" spans="1:7" x14ac:dyDescent="0.4">
      <c r="A53" s="11"/>
      <c r="B53" s="16"/>
      <c r="C53" s="16"/>
      <c r="G53" s="1"/>
    </row>
    <row r="54" spans="1:7" x14ac:dyDescent="0.4">
      <c r="A54" s="11"/>
      <c r="B54" s="16"/>
      <c r="C54" s="16"/>
      <c r="G54" s="1"/>
    </row>
    <row r="55" spans="1:7" x14ac:dyDescent="0.4">
      <c r="A55" s="11"/>
      <c r="B55" s="16"/>
      <c r="C55" s="16"/>
      <c r="G55" s="1"/>
    </row>
    <row r="56" spans="1:7" x14ac:dyDescent="0.4">
      <c r="A56" s="11"/>
      <c r="B56" s="16"/>
      <c r="C56" s="16"/>
      <c r="G56" s="1"/>
    </row>
    <row r="57" spans="1:7" x14ac:dyDescent="0.4">
      <c r="A57" s="11"/>
      <c r="B57" s="16"/>
      <c r="C57" s="16"/>
      <c r="G57" s="1"/>
    </row>
    <row r="58" spans="1:7" x14ac:dyDescent="0.4">
      <c r="A58" s="11"/>
      <c r="B58" s="16"/>
      <c r="C58" s="16"/>
      <c r="G58" s="1"/>
    </row>
    <row r="59" spans="1:7" x14ac:dyDescent="0.4">
      <c r="A59" s="11"/>
      <c r="B59" s="16"/>
      <c r="C59" s="16"/>
      <c r="G59" s="1"/>
    </row>
    <row r="60" spans="1:7" x14ac:dyDescent="0.4">
      <c r="A60" s="11"/>
      <c r="B60" s="16"/>
      <c r="C60" s="16"/>
      <c r="G60" s="1"/>
    </row>
    <row r="61" spans="1:7" x14ac:dyDescent="0.4">
      <c r="A61" s="11"/>
      <c r="B61" s="16"/>
      <c r="C61" s="16"/>
      <c r="G61" s="1"/>
    </row>
    <row r="62" spans="1:7" x14ac:dyDescent="0.4">
      <c r="A62" s="11"/>
      <c r="B62" s="16"/>
      <c r="C62" s="16"/>
      <c r="G62" s="1"/>
    </row>
    <row r="63" spans="1:7" x14ac:dyDescent="0.4">
      <c r="A63" s="11"/>
      <c r="B63" s="16"/>
      <c r="C63" s="16"/>
      <c r="G63" s="1"/>
    </row>
    <row r="64" spans="1:7" x14ac:dyDescent="0.4">
      <c r="A64" s="11"/>
      <c r="B64" s="16"/>
      <c r="C64" s="16"/>
      <c r="G64" s="1"/>
    </row>
    <row r="65" spans="1:7" x14ac:dyDescent="0.4">
      <c r="A65" s="11"/>
      <c r="B65" s="16"/>
      <c r="C65" s="16"/>
      <c r="G65" s="1"/>
    </row>
    <row r="66" spans="1:7" x14ac:dyDescent="0.4">
      <c r="A66" s="11"/>
      <c r="B66" s="16"/>
      <c r="C66" s="16"/>
      <c r="G66" s="1"/>
    </row>
    <row r="67" spans="1:7" x14ac:dyDescent="0.4">
      <c r="A67" s="11"/>
      <c r="B67" s="16"/>
      <c r="C67" s="16"/>
      <c r="G67" s="1"/>
    </row>
    <row r="68" spans="1:7" x14ac:dyDescent="0.4">
      <c r="A68" s="11"/>
      <c r="B68" s="16"/>
      <c r="C68" s="16"/>
      <c r="G68" s="1"/>
    </row>
    <row r="69" spans="1:7" x14ac:dyDescent="0.4">
      <c r="A69" s="11"/>
      <c r="B69" s="16"/>
      <c r="C69" s="16"/>
      <c r="G69" s="1"/>
    </row>
    <row r="70" spans="1:7" x14ac:dyDescent="0.4">
      <c r="A70" s="11"/>
      <c r="B70" s="16"/>
      <c r="C70" s="16"/>
      <c r="G70" s="1"/>
    </row>
    <row r="71" spans="1:7" x14ac:dyDescent="0.4">
      <c r="A71" s="11"/>
      <c r="B71" s="16"/>
      <c r="C71" s="16"/>
      <c r="G71" s="1"/>
    </row>
    <row r="72" spans="1:7" x14ac:dyDescent="0.4">
      <c r="A72" s="11"/>
      <c r="B72" s="16"/>
      <c r="C72" s="16"/>
      <c r="G72" s="1"/>
    </row>
    <row r="73" spans="1:7" x14ac:dyDescent="0.4">
      <c r="A73" s="11"/>
      <c r="B73" s="16"/>
      <c r="C73" s="16"/>
      <c r="G73" s="1"/>
    </row>
    <row r="74" spans="1:7" x14ac:dyDescent="0.4">
      <c r="A74" s="11"/>
      <c r="B74" s="16"/>
      <c r="C74" s="16"/>
      <c r="G74" s="1"/>
    </row>
    <row r="75" spans="1:7" x14ac:dyDescent="0.4">
      <c r="A75" s="11"/>
      <c r="B75" s="16"/>
      <c r="C75" s="16"/>
      <c r="G75" s="1"/>
    </row>
    <row r="76" spans="1:7" x14ac:dyDescent="0.4">
      <c r="A76" s="11"/>
      <c r="B76" s="16"/>
      <c r="C76" s="16"/>
      <c r="G76" s="1"/>
    </row>
    <row r="77" spans="1:7" x14ac:dyDescent="0.4">
      <c r="A77" s="11"/>
      <c r="B77" s="16"/>
      <c r="C77" s="16"/>
      <c r="G77" s="1"/>
    </row>
    <row r="78" spans="1:7" x14ac:dyDescent="0.4">
      <c r="A78" s="11"/>
      <c r="B78" s="16"/>
      <c r="C78" s="16"/>
      <c r="G78" s="1"/>
    </row>
    <row r="79" spans="1:7" x14ac:dyDescent="0.4">
      <c r="A79" s="11"/>
      <c r="B79" s="16"/>
      <c r="C79" s="16"/>
      <c r="G79" s="1"/>
    </row>
    <row r="80" spans="1:7" x14ac:dyDescent="0.4">
      <c r="A80" s="11"/>
      <c r="B80" s="16"/>
      <c r="C80" s="16"/>
      <c r="G80" s="1"/>
    </row>
    <row r="81" spans="1:7" x14ac:dyDescent="0.4">
      <c r="A81" s="11"/>
      <c r="B81" s="16"/>
      <c r="C81" s="16"/>
      <c r="G81" s="1"/>
    </row>
    <row r="82" spans="1:7" x14ac:dyDescent="0.4">
      <c r="A82" s="11"/>
      <c r="B82" s="16"/>
      <c r="C82" s="16"/>
      <c r="G82" s="1"/>
    </row>
    <row r="83" spans="1:7" x14ac:dyDescent="0.4">
      <c r="A83" s="11"/>
      <c r="B83" s="16"/>
      <c r="C83" s="16"/>
      <c r="G83" s="1"/>
    </row>
    <row r="84" spans="1:7" x14ac:dyDescent="0.4">
      <c r="A84" s="11"/>
      <c r="B84" s="16"/>
      <c r="C84" s="16"/>
      <c r="G84" s="1"/>
    </row>
    <row r="85" spans="1:7" x14ac:dyDescent="0.4">
      <c r="A85" s="11"/>
      <c r="B85" s="16"/>
      <c r="C85" s="16"/>
      <c r="G85" s="1"/>
    </row>
    <row r="86" spans="1:7" x14ac:dyDescent="0.4">
      <c r="A86" s="11"/>
      <c r="B86" s="16"/>
      <c r="C86" s="16"/>
      <c r="G86" s="1"/>
    </row>
    <row r="87" spans="1:7" x14ac:dyDescent="0.4">
      <c r="A87" s="11"/>
      <c r="B87" s="16"/>
      <c r="C87" s="16"/>
      <c r="G87" s="1"/>
    </row>
    <row r="88" spans="1:7" x14ac:dyDescent="0.4">
      <c r="A88" s="11"/>
      <c r="B88" s="16"/>
      <c r="C88" s="16"/>
      <c r="G88" s="1"/>
    </row>
    <row r="89" spans="1:7" x14ac:dyDescent="0.4">
      <c r="A89" s="11"/>
      <c r="B89" s="16"/>
      <c r="C89" s="16"/>
      <c r="G89" s="1"/>
    </row>
    <row r="90" spans="1:7" x14ac:dyDescent="0.4">
      <c r="A90" s="11"/>
      <c r="B90" s="16"/>
      <c r="C90" s="16"/>
      <c r="G90" s="1"/>
    </row>
    <row r="91" spans="1:7" x14ac:dyDescent="0.4">
      <c r="A91" s="11"/>
      <c r="B91" s="16"/>
      <c r="C91" s="16"/>
      <c r="G91" s="1"/>
    </row>
    <row r="92" spans="1:7" x14ac:dyDescent="0.4">
      <c r="A92" s="11"/>
      <c r="B92" s="16"/>
      <c r="C92" s="16"/>
      <c r="G92" s="1"/>
    </row>
    <row r="93" spans="1:7" x14ac:dyDescent="0.4">
      <c r="A93" s="11"/>
      <c r="B93" s="16"/>
      <c r="C93" s="16"/>
      <c r="G93" s="1"/>
    </row>
    <row r="94" spans="1:7" x14ac:dyDescent="0.4">
      <c r="A94" s="11"/>
      <c r="B94" s="16"/>
      <c r="C94" s="16"/>
      <c r="G94" s="1"/>
    </row>
    <row r="95" spans="1:7" x14ac:dyDescent="0.4">
      <c r="A95" s="11"/>
      <c r="B95" s="16"/>
      <c r="C95" s="16"/>
      <c r="G95" s="1"/>
    </row>
    <row r="96" spans="1:7" x14ac:dyDescent="0.4">
      <c r="A96" s="11"/>
      <c r="B96" s="16"/>
      <c r="C96" s="16"/>
      <c r="G96" s="1"/>
    </row>
    <row r="97" spans="1:7" x14ac:dyDescent="0.4">
      <c r="A97" s="11"/>
      <c r="B97" s="16"/>
      <c r="C97" s="16"/>
      <c r="G97" s="1"/>
    </row>
    <row r="98" spans="1:7" x14ac:dyDescent="0.4">
      <c r="A98" s="11"/>
      <c r="B98" s="16"/>
      <c r="C98" s="16"/>
      <c r="G98" s="1"/>
    </row>
    <row r="99" spans="1:7" x14ac:dyDescent="0.4">
      <c r="A99" s="11"/>
      <c r="B99" s="16"/>
      <c r="C99" s="16"/>
      <c r="G99" s="1"/>
    </row>
    <row r="100" spans="1:7" x14ac:dyDescent="0.4">
      <c r="A100" s="11"/>
      <c r="B100" s="16"/>
      <c r="C100" s="16"/>
      <c r="G100" s="1"/>
    </row>
    <row r="101" spans="1:7" x14ac:dyDescent="0.4">
      <c r="A101" s="11"/>
      <c r="B101" s="16"/>
      <c r="C101" s="16"/>
      <c r="G101" s="1"/>
    </row>
    <row r="102" spans="1:7" x14ac:dyDescent="0.4">
      <c r="A102" s="11"/>
      <c r="B102" s="16"/>
      <c r="C102" s="16"/>
      <c r="G102" s="1"/>
    </row>
    <row r="103" spans="1:7" x14ac:dyDescent="0.4">
      <c r="A103" s="11"/>
      <c r="B103" s="16"/>
      <c r="C103" s="16"/>
      <c r="G103" s="1"/>
    </row>
    <row r="104" spans="1:7" x14ac:dyDescent="0.4">
      <c r="A104" s="11"/>
      <c r="B104" s="16"/>
      <c r="C104" s="16"/>
      <c r="G104" s="1"/>
    </row>
    <row r="105" spans="1:7" x14ac:dyDescent="0.4">
      <c r="A105" s="11"/>
      <c r="B105" s="16"/>
      <c r="C105" s="16"/>
      <c r="G105" s="1"/>
    </row>
    <row r="106" spans="1:7" x14ac:dyDescent="0.4">
      <c r="A106" s="11"/>
      <c r="B106" s="16"/>
      <c r="C106" s="16"/>
      <c r="G106" s="1"/>
    </row>
    <row r="107" spans="1:7" x14ac:dyDescent="0.4">
      <c r="A107" s="11"/>
      <c r="B107" s="16"/>
      <c r="C107" s="16"/>
      <c r="G107" s="1"/>
    </row>
    <row r="108" spans="1:7" x14ac:dyDescent="0.4">
      <c r="A108" s="11"/>
      <c r="B108" s="16"/>
      <c r="C108" s="16"/>
      <c r="G108" s="1"/>
    </row>
    <row r="109" spans="1:7" x14ac:dyDescent="0.4">
      <c r="A109" s="11"/>
      <c r="B109" s="16"/>
      <c r="C109" s="16"/>
      <c r="G109" s="1"/>
    </row>
    <row r="110" spans="1:7" x14ac:dyDescent="0.4">
      <c r="A110" s="11"/>
      <c r="B110" s="16"/>
      <c r="C110" s="16"/>
      <c r="G110" s="1"/>
    </row>
    <row r="111" spans="1:7" x14ac:dyDescent="0.4">
      <c r="A111" s="11"/>
      <c r="B111" s="16"/>
      <c r="C111" s="16"/>
      <c r="G111" s="1"/>
    </row>
    <row r="112" spans="1:7" x14ac:dyDescent="0.4">
      <c r="A112" s="11"/>
      <c r="B112" s="16"/>
      <c r="C112" s="16"/>
      <c r="G112" s="1"/>
    </row>
    <row r="113" spans="1:7" x14ac:dyDescent="0.4">
      <c r="A113" s="11"/>
      <c r="B113" s="16"/>
      <c r="C113" s="16"/>
      <c r="G113" s="1"/>
    </row>
    <row r="114" spans="1:7" x14ac:dyDescent="0.4">
      <c r="A114" s="11"/>
      <c r="B114" s="16"/>
      <c r="C114" s="16"/>
      <c r="G114" s="1"/>
    </row>
    <row r="115" spans="1:7" x14ac:dyDescent="0.4">
      <c r="A115" s="11"/>
      <c r="B115" s="16"/>
      <c r="C115" s="16"/>
      <c r="G115" s="1"/>
    </row>
    <row r="116" spans="1:7" x14ac:dyDescent="0.4">
      <c r="A116" s="11"/>
      <c r="B116" s="16"/>
      <c r="C116" s="16"/>
      <c r="G116" s="1"/>
    </row>
    <row r="117" spans="1:7" x14ac:dyDescent="0.4">
      <c r="A117" s="11"/>
      <c r="B117" s="16"/>
      <c r="C117" s="16"/>
      <c r="G117" s="1"/>
    </row>
    <row r="118" spans="1:7" x14ac:dyDescent="0.4">
      <c r="A118" s="11"/>
      <c r="B118" s="16"/>
      <c r="C118" s="16"/>
      <c r="G118" s="1"/>
    </row>
    <row r="119" spans="1:7" x14ac:dyDescent="0.4">
      <c r="A119" s="11"/>
      <c r="B119" s="16"/>
      <c r="C119" s="16"/>
      <c r="G119" s="1"/>
    </row>
    <row r="120" spans="1:7" x14ac:dyDescent="0.4">
      <c r="A120" s="11"/>
      <c r="B120" s="16"/>
      <c r="C120" s="16"/>
      <c r="G120" s="1"/>
    </row>
    <row r="121" spans="1:7" x14ac:dyDescent="0.4">
      <c r="A121" s="11"/>
      <c r="B121" s="16"/>
      <c r="C121" s="16"/>
      <c r="G121" s="1"/>
    </row>
    <row r="122" spans="1:7" x14ac:dyDescent="0.4">
      <c r="A122" s="11"/>
      <c r="B122" s="16"/>
      <c r="C122" s="16"/>
      <c r="G122" s="1"/>
    </row>
    <row r="123" spans="1:7" x14ac:dyDescent="0.4">
      <c r="A123" s="11"/>
      <c r="B123" s="16"/>
      <c r="C123" s="16"/>
      <c r="G123" s="1"/>
    </row>
    <row r="124" spans="1:7" x14ac:dyDescent="0.4">
      <c r="A124" s="11"/>
      <c r="B124" s="16"/>
      <c r="C124" s="16"/>
      <c r="G124" s="1"/>
    </row>
    <row r="125" spans="1:7" x14ac:dyDescent="0.4">
      <c r="A125" s="11"/>
      <c r="B125" s="16"/>
      <c r="C125" s="16"/>
      <c r="G125" s="1"/>
    </row>
    <row r="126" spans="1:7" x14ac:dyDescent="0.4">
      <c r="A126" s="11"/>
      <c r="B126" s="16"/>
      <c r="C126" s="16"/>
      <c r="G126" s="1"/>
    </row>
    <row r="127" spans="1:7" x14ac:dyDescent="0.4">
      <c r="A127" s="11"/>
      <c r="B127" s="16"/>
      <c r="C127" s="16"/>
      <c r="G127" s="1"/>
    </row>
    <row r="128" spans="1:7" x14ac:dyDescent="0.4">
      <c r="A128" s="11"/>
      <c r="B128" s="16"/>
      <c r="C128" s="16"/>
      <c r="G128" s="1"/>
    </row>
    <row r="129" spans="1:7" x14ac:dyDescent="0.4">
      <c r="A129" s="11"/>
      <c r="B129" s="16"/>
      <c r="C129" s="16"/>
      <c r="G129" s="1"/>
    </row>
    <row r="130" spans="1:7" x14ac:dyDescent="0.4">
      <c r="A130" s="11"/>
      <c r="B130" s="16"/>
      <c r="C130" s="16"/>
      <c r="G130" s="1"/>
    </row>
    <row r="131" spans="1:7" x14ac:dyDescent="0.4">
      <c r="A131" s="11"/>
      <c r="B131" s="16"/>
      <c r="C131" s="16"/>
      <c r="G131" s="1"/>
    </row>
    <row r="132" spans="1:7" x14ac:dyDescent="0.4">
      <c r="A132" s="11"/>
      <c r="B132" s="16"/>
      <c r="C132" s="16"/>
      <c r="G132" s="1"/>
    </row>
    <row r="133" spans="1:7" x14ac:dyDescent="0.4">
      <c r="A133" s="11"/>
      <c r="B133" s="16"/>
      <c r="C133" s="16"/>
      <c r="G133" s="1"/>
    </row>
    <row r="134" spans="1:7" x14ac:dyDescent="0.4">
      <c r="A134" s="11"/>
      <c r="B134" s="16"/>
      <c r="C134" s="16"/>
      <c r="G134" s="1"/>
    </row>
    <row r="135" spans="1:7" x14ac:dyDescent="0.4">
      <c r="A135" s="11"/>
      <c r="B135" s="16"/>
      <c r="C135" s="16"/>
      <c r="G135" s="1"/>
    </row>
    <row r="136" spans="1:7" x14ac:dyDescent="0.4">
      <c r="A136" s="11"/>
      <c r="B136" s="16"/>
      <c r="C136" s="16"/>
      <c r="G136" s="1"/>
    </row>
    <row r="137" spans="1:7" x14ac:dyDescent="0.4">
      <c r="A137" s="11"/>
      <c r="B137" s="16"/>
      <c r="C137" s="16"/>
      <c r="G137" s="1"/>
    </row>
    <row r="138" spans="1:7" x14ac:dyDescent="0.4">
      <c r="A138" s="11"/>
      <c r="B138" s="16"/>
      <c r="C138" s="16"/>
      <c r="G138" s="1"/>
    </row>
    <row r="139" spans="1:7" x14ac:dyDescent="0.4">
      <c r="A139" s="11"/>
      <c r="B139" s="16"/>
      <c r="C139" s="16"/>
      <c r="G139" s="1"/>
    </row>
    <row r="140" spans="1:7" x14ac:dyDescent="0.4">
      <c r="A140" s="11"/>
      <c r="B140" s="16"/>
      <c r="C140" s="16"/>
      <c r="G140" s="1"/>
    </row>
    <row r="141" spans="1:7" x14ac:dyDescent="0.4">
      <c r="A141" s="11"/>
      <c r="B141" s="16"/>
      <c r="C141" s="16"/>
      <c r="G141" s="1"/>
    </row>
    <row r="142" spans="1:7" x14ac:dyDescent="0.4">
      <c r="A142" s="11"/>
      <c r="B142" s="16"/>
      <c r="C142" s="16"/>
      <c r="G142" s="1"/>
    </row>
    <row r="143" spans="1:7" x14ac:dyDescent="0.4">
      <c r="A143" s="11"/>
      <c r="B143" s="16"/>
      <c r="C143" s="16"/>
      <c r="G143" s="1"/>
    </row>
    <row r="144" spans="1:7" x14ac:dyDescent="0.4">
      <c r="A144" s="11"/>
      <c r="B144" s="16"/>
      <c r="C144" s="16"/>
      <c r="G144" s="1"/>
    </row>
    <row r="145" spans="1:7" x14ac:dyDescent="0.4">
      <c r="A145" s="11"/>
      <c r="B145" s="16"/>
      <c r="C145" s="16"/>
      <c r="G145" s="1"/>
    </row>
    <row r="146" spans="1:7" x14ac:dyDescent="0.4">
      <c r="A146" s="11"/>
      <c r="B146" s="16"/>
      <c r="C146" s="16"/>
      <c r="G146" s="1"/>
    </row>
    <row r="147" spans="1:7" x14ac:dyDescent="0.4">
      <c r="A147" s="11"/>
      <c r="B147" s="16"/>
      <c r="C147" s="16"/>
      <c r="G147" s="1"/>
    </row>
    <row r="148" spans="1:7" x14ac:dyDescent="0.4">
      <c r="A148" s="11"/>
      <c r="B148" s="16"/>
      <c r="C148" s="16"/>
      <c r="G148" s="1"/>
    </row>
    <row r="149" spans="1:7" x14ac:dyDescent="0.4">
      <c r="A149" s="11"/>
      <c r="B149" s="16"/>
      <c r="C149" s="16"/>
      <c r="G149" s="1"/>
    </row>
    <row r="150" spans="1:7" x14ac:dyDescent="0.4">
      <c r="A150" s="11"/>
      <c r="B150" s="16"/>
      <c r="C150" s="16"/>
      <c r="G150" s="1"/>
    </row>
    <row r="151" spans="1:7" x14ac:dyDescent="0.4">
      <c r="A151" s="11"/>
      <c r="B151" s="16"/>
      <c r="C151" s="16"/>
      <c r="G151" s="1"/>
    </row>
    <row r="152" spans="1:7" x14ac:dyDescent="0.4">
      <c r="A152" s="11"/>
      <c r="B152" s="16"/>
      <c r="C152" s="16"/>
      <c r="G152" s="1"/>
    </row>
    <row r="153" spans="1:7" x14ac:dyDescent="0.4">
      <c r="A153" s="11"/>
      <c r="B153" s="16"/>
      <c r="C153" s="16"/>
      <c r="G153" s="1"/>
    </row>
    <row r="154" spans="1:7" x14ac:dyDescent="0.4">
      <c r="A154" s="11"/>
      <c r="B154" s="16"/>
      <c r="C154" s="16"/>
      <c r="G154" s="1"/>
    </row>
    <row r="155" spans="1:7" x14ac:dyDescent="0.4">
      <c r="A155" s="11"/>
      <c r="B155" s="16"/>
      <c r="C155" s="16"/>
      <c r="G155" s="1"/>
    </row>
    <row r="156" spans="1:7" x14ac:dyDescent="0.4">
      <c r="A156" s="11"/>
      <c r="B156" s="16"/>
      <c r="C156" s="16"/>
      <c r="G156" s="1"/>
    </row>
    <row r="157" spans="1:7" x14ac:dyDescent="0.4">
      <c r="A157" s="11"/>
      <c r="B157" s="16"/>
      <c r="C157" s="16"/>
      <c r="G157" s="1"/>
    </row>
    <row r="158" spans="1:7" x14ac:dyDescent="0.4">
      <c r="A158" s="11"/>
      <c r="B158" s="16"/>
      <c r="C158" s="16"/>
      <c r="G158" s="1"/>
    </row>
    <row r="159" spans="1:7" x14ac:dyDescent="0.4">
      <c r="A159" s="11"/>
      <c r="B159" s="16"/>
      <c r="C159" s="16"/>
      <c r="G159" s="1"/>
    </row>
    <row r="160" spans="1:7" x14ac:dyDescent="0.4">
      <c r="A160" s="11"/>
      <c r="B160" s="16"/>
      <c r="C160" s="16"/>
      <c r="G160" s="1"/>
    </row>
    <row r="161" spans="1:7" x14ac:dyDescent="0.4">
      <c r="A161" s="11"/>
      <c r="B161" s="16"/>
      <c r="C161" s="16"/>
      <c r="G161" s="1"/>
    </row>
    <row r="162" spans="1:7" x14ac:dyDescent="0.4">
      <c r="A162" s="11"/>
      <c r="B162" s="16"/>
      <c r="C162" s="16"/>
      <c r="G162" s="1"/>
    </row>
    <row r="163" spans="1:7" x14ac:dyDescent="0.4">
      <c r="A163" s="11"/>
      <c r="B163" s="16"/>
      <c r="C163" s="16"/>
      <c r="G163" s="1"/>
    </row>
    <row r="164" spans="1:7" x14ac:dyDescent="0.4">
      <c r="A164" s="11"/>
      <c r="B164" s="16"/>
      <c r="C164" s="16"/>
      <c r="G164" s="1"/>
    </row>
    <row r="165" spans="1:7" x14ac:dyDescent="0.4">
      <c r="A165" s="11"/>
      <c r="B165" s="16"/>
      <c r="C165" s="16"/>
      <c r="G165" s="1"/>
    </row>
    <row r="166" spans="1:7" x14ac:dyDescent="0.4">
      <c r="A166" s="11"/>
      <c r="B166" s="16"/>
      <c r="C166" s="16"/>
      <c r="G166" s="1"/>
    </row>
    <row r="167" spans="1:7" x14ac:dyDescent="0.4">
      <c r="A167" s="11"/>
      <c r="B167" s="16"/>
      <c r="C167" s="16"/>
      <c r="G167" s="1"/>
    </row>
    <row r="168" spans="1:7" x14ac:dyDescent="0.4">
      <c r="A168" s="11"/>
      <c r="B168" s="16"/>
      <c r="C168" s="16"/>
      <c r="G168" s="1"/>
    </row>
    <row r="169" spans="1:7" x14ac:dyDescent="0.4">
      <c r="A169" s="11"/>
      <c r="B169" s="16"/>
      <c r="C169" s="16"/>
      <c r="G169" s="1"/>
    </row>
    <row r="170" spans="1:7" x14ac:dyDescent="0.4">
      <c r="A170" s="11"/>
      <c r="B170" s="16"/>
      <c r="C170" s="16"/>
      <c r="G170" s="1"/>
    </row>
    <row r="171" spans="1:7" x14ac:dyDescent="0.4">
      <c r="A171" s="11"/>
      <c r="B171" s="16"/>
      <c r="C171" s="16"/>
      <c r="G171" s="1"/>
    </row>
    <row r="172" spans="1:7" x14ac:dyDescent="0.4">
      <c r="A172" s="11"/>
      <c r="B172" s="16"/>
      <c r="C172" s="16"/>
      <c r="G172" s="1"/>
    </row>
    <row r="173" spans="1:7" x14ac:dyDescent="0.4">
      <c r="A173" s="11"/>
      <c r="B173" s="16"/>
      <c r="C173" s="16"/>
      <c r="G173" s="1"/>
    </row>
    <row r="174" spans="1:7" x14ac:dyDescent="0.4">
      <c r="A174" s="11"/>
      <c r="B174" s="16"/>
      <c r="C174" s="16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4.6" x14ac:dyDescent="0.4"/>
  <cols>
    <col min="2" max="2" width="21.07421875" customWidth="1"/>
    <col min="8" max="8" width="9.3828125" bestFit="1" customWidth="1"/>
    <col min="10" max="10" width="10.3828125" customWidth="1"/>
  </cols>
  <sheetData>
    <row r="1" spans="1:11" x14ac:dyDescent="0.4">
      <c r="A1" t="str">
        <f>версия_</f>
        <v>вер 7.5</v>
      </c>
    </row>
    <row r="4" spans="1:11" x14ac:dyDescent="0.4">
      <c r="B4" s="53" t="s">
        <v>181</v>
      </c>
      <c r="C4" s="54">
        <v>80</v>
      </c>
      <c r="D4" s="53" t="s">
        <v>182</v>
      </c>
    </row>
    <row r="5" spans="1:11" x14ac:dyDescent="0.4">
      <c r="B5" s="53" t="s">
        <v>183</v>
      </c>
      <c r="C5" s="54">
        <v>2000</v>
      </c>
      <c r="D5" s="53" t="s">
        <v>184</v>
      </c>
      <c r="G5" t="s">
        <v>198</v>
      </c>
      <c r="H5">
        <f>G29</f>
        <v>22</v>
      </c>
    </row>
    <row r="6" spans="1:11" x14ac:dyDescent="0.4">
      <c r="B6" s="53" t="s">
        <v>185</v>
      </c>
      <c r="C6" s="54">
        <v>50</v>
      </c>
      <c r="D6" s="53" t="s">
        <v>186</v>
      </c>
    </row>
    <row r="7" spans="1:11" x14ac:dyDescent="0.4">
      <c r="B7" s="53" t="s">
        <v>187</v>
      </c>
      <c r="C7" s="55">
        <f>[1]!ESP_IDbyRate(ESP_rate_nom_)</f>
        <v>1006</v>
      </c>
      <c r="D7" s="53"/>
      <c r="H7" t="s">
        <v>197</v>
      </c>
      <c r="I7" t="s">
        <v>199</v>
      </c>
      <c r="J7" t="s">
        <v>200</v>
      </c>
      <c r="K7" t="s">
        <v>201</v>
      </c>
    </row>
    <row r="8" spans="1:11" x14ac:dyDescent="0.4">
      <c r="B8" s="53" t="s">
        <v>188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4">
      <c r="B9" s="53" t="s">
        <v>189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4">
      <c r="B10" s="53" t="s">
        <v>190</v>
      </c>
      <c r="C10" s="55">
        <f>INT(ESP_head_nom_/[1]!ESP_head_m(ESP_rate_nom_,1,,ESP_ID_))</f>
        <v>334</v>
      </c>
      <c r="D10" s="53" t="s">
        <v>191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4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4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4">
      <c r="B13" t="s">
        <v>192</v>
      </c>
      <c r="C13">
        <v>1000</v>
      </c>
      <c r="D13" t="s">
        <v>195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4">
      <c r="B14" t="s">
        <v>193</v>
      </c>
      <c r="C14">
        <v>30</v>
      </c>
      <c r="D14" t="s">
        <v>196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4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4">
      <c r="B16" t="s">
        <v>194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4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4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4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4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4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4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4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4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4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4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4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4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4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212271</xdr:colOff>
                    <xdr:row>1</xdr:row>
                    <xdr:rowOff>10886</xdr:rowOff>
                  </from>
                  <to>
                    <xdr:col>14</xdr:col>
                    <xdr:colOff>59871</xdr:colOff>
                    <xdr:row>3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topLeftCell="J1" zoomScale="70" zoomScaleNormal="70" workbookViewId="0">
      <selection activeCell="U3" sqref="U3"/>
    </sheetView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7.5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2</v>
      </c>
      <c r="AC3" t="s">
        <v>145</v>
      </c>
      <c r="AG3">
        <v>3</v>
      </c>
      <c r="AH3" t="s">
        <v>160</v>
      </c>
    </row>
    <row r="4" spans="1:34" x14ac:dyDescent="0.4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7.149999999999999" x14ac:dyDescent="0.4">
      <c r="B8" s="7" t="s">
        <v>34</v>
      </c>
      <c r="C8" s="12" t="s">
        <v>63</v>
      </c>
      <c r="D8" s="5" t="s">
        <v>35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49.996714275693947</v>
      </c>
      <c r="R10" s="5" t="s">
        <v>44</v>
      </c>
      <c r="S10" s="14" t="s">
        <v>55</v>
      </c>
      <c r="T10" s="25">
        <v>30.270021650084161</v>
      </c>
      <c r="U10" s="5" t="s">
        <v>25</v>
      </c>
    </row>
    <row r="11" spans="1:34" ht="17.149999999999999" x14ac:dyDescent="0.55000000000000004">
      <c r="P11" s="14" t="s">
        <v>46</v>
      </c>
      <c r="Q11" s="25">
        <v>50.062408965192958</v>
      </c>
      <c r="R11" s="5" t="s">
        <v>44</v>
      </c>
      <c r="S11" s="14" t="s">
        <v>56</v>
      </c>
      <c r="T11" s="25">
        <v>30.270021650084161</v>
      </c>
      <c r="U11" s="5" t="s">
        <v>25</v>
      </c>
    </row>
    <row r="12" spans="1:34" ht="17.149999999999999" x14ac:dyDescent="0.55000000000000004">
      <c r="M12" t="s">
        <v>63</v>
      </c>
      <c r="P12" s="14" t="s">
        <v>47</v>
      </c>
      <c r="Q12" s="25">
        <v>89.406199580377418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180</v>
      </c>
      <c r="N15" s="1" t="s">
        <v>176</v>
      </c>
      <c r="O15" s="1" t="s">
        <v>177</v>
      </c>
      <c r="P15" s="1"/>
      <c r="Q15" s="1" t="s">
        <v>178</v>
      </c>
      <c r="R15" s="1"/>
      <c r="S15" s="1" t="s">
        <v>179</v>
      </c>
      <c r="U15" s="5" t="s">
        <v>170</v>
      </c>
      <c r="V15" s="1" t="s">
        <v>171</v>
      </c>
    </row>
    <row r="16" spans="1:34" x14ac:dyDescent="0.4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50.062408965192958</v>
      </c>
      <c r="P16">
        <v>0</v>
      </c>
      <c r="Q16">
        <v>30.270021650084161</v>
      </c>
      <c r="R16">
        <v>0</v>
      </c>
      <c r="S16">
        <v>0.91781096048776034</v>
      </c>
      <c r="U16">
        <v>0</v>
      </c>
      <c r="V16" s="50">
        <f>Pline_out_atma_</f>
        <v>49.996714275693947</v>
      </c>
    </row>
    <row r="17" spans="2:22" x14ac:dyDescent="0.4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64.994519146362791</v>
      </c>
      <c r="P17">
        <v>184.21052631578948</v>
      </c>
      <c r="Q17">
        <v>30.930622529342319</v>
      </c>
      <c r="R17">
        <v>175</v>
      </c>
      <c r="S17">
        <v>0.99052192051827492</v>
      </c>
      <c r="U17">
        <v>0</v>
      </c>
      <c r="V17" s="50">
        <f>Pbuf_out_atma_</f>
        <v>50.062408965192958</v>
      </c>
    </row>
    <row r="18" spans="2:22" x14ac:dyDescent="0.4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80.303701664227802</v>
      </c>
      <c r="P18">
        <v>368.42105263157896</v>
      </c>
      <c r="Q18">
        <v>31.54723127460775</v>
      </c>
      <c r="R18">
        <v>350</v>
      </c>
      <c r="S18">
        <v>1</v>
      </c>
      <c r="U18">
        <f>Hperf_m_</f>
        <v>3500</v>
      </c>
      <c r="V18" s="50">
        <f>Pwf_out_atma_</f>
        <v>89.406199580377418</v>
      </c>
    </row>
    <row r="19" spans="2:22" x14ac:dyDescent="0.4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95.659998857690454</v>
      </c>
      <c r="P19">
        <v>552.63157894736844</v>
      </c>
      <c r="Q19">
        <v>32.16126615722338</v>
      </c>
      <c r="R19">
        <v>525</v>
      </c>
      <c r="S19">
        <v>1</v>
      </c>
    </row>
    <row r="20" spans="2:22" x14ac:dyDescent="0.4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111.0402431088666</v>
      </c>
      <c r="P20">
        <v>736.84210526315792</v>
      </c>
      <c r="Q20">
        <v>32.774856609244608</v>
      </c>
      <c r="R20">
        <v>700</v>
      </c>
      <c r="S20">
        <v>1</v>
      </c>
    </row>
    <row r="21" spans="2:22" x14ac:dyDescent="0.4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126.41209512541708</v>
      </c>
      <c r="P21">
        <v>921.0526315789474</v>
      </c>
      <c r="Q21">
        <v>33.385205927082495</v>
      </c>
      <c r="R21">
        <v>875</v>
      </c>
      <c r="S21">
        <v>1</v>
      </c>
    </row>
    <row r="22" spans="2:22" x14ac:dyDescent="0.4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141.32764453596513</v>
      </c>
      <c r="P22">
        <v>1105.2631578947369</v>
      </c>
      <c r="Q22">
        <v>33.991722543167903</v>
      </c>
      <c r="R22">
        <v>1050</v>
      </c>
      <c r="S22">
        <v>1</v>
      </c>
    </row>
    <row r="23" spans="2:22" x14ac:dyDescent="0.4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155.66877106504631</v>
      </c>
      <c r="P23">
        <v>1289.4736842105262</v>
      </c>
      <c r="Q23">
        <v>34.731170931894624</v>
      </c>
      <c r="R23">
        <v>1225</v>
      </c>
      <c r="S23">
        <v>1</v>
      </c>
    </row>
    <row r="24" spans="2:22" x14ac:dyDescent="0.4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169.43248441163837</v>
      </c>
      <c r="P24">
        <v>1473.6842105263158</v>
      </c>
      <c r="Q24">
        <v>36.943793961185804</v>
      </c>
      <c r="R24">
        <v>1400</v>
      </c>
      <c r="S24">
        <v>1</v>
      </c>
    </row>
    <row r="25" spans="2:22" x14ac:dyDescent="0.4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182.58918157902363</v>
      </c>
      <c r="P25">
        <v>1657.8947368421054</v>
      </c>
      <c r="Q25">
        <v>44.375307750285323</v>
      </c>
      <c r="R25">
        <v>1575</v>
      </c>
      <c r="S25">
        <v>1</v>
      </c>
    </row>
    <row r="26" spans="2:22" x14ac:dyDescent="0.4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195.11022390056502</v>
      </c>
      <c r="P26">
        <v>1842.1052631578948</v>
      </c>
      <c r="Q26">
        <v>52.612917101393322</v>
      </c>
      <c r="R26">
        <v>1750</v>
      </c>
      <c r="S26">
        <v>1</v>
      </c>
    </row>
    <row r="27" spans="2:22" x14ac:dyDescent="0.4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207.00243057787156</v>
      </c>
      <c r="P27">
        <v>2026.3157894736842</v>
      </c>
      <c r="Q27">
        <v>60.479857847374873</v>
      </c>
      <c r="R27">
        <v>1925</v>
      </c>
      <c r="S27">
        <v>1</v>
      </c>
    </row>
    <row r="28" spans="2:22" x14ac:dyDescent="0.4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218.27612467695252</v>
      </c>
      <c r="P28">
        <v>2210.5263157894738</v>
      </c>
      <c r="Q28">
        <v>67.9750796993861</v>
      </c>
      <c r="R28">
        <v>2100</v>
      </c>
      <c r="S28">
        <v>1</v>
      </c>
    </row>
    <row r="29" spans="2:22" x14ac:dyDescent="0.4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228.93159997972646</v>
      </c>
      <c r="P29">
        <v>2394.7368421052633</v>
      </c>
      <c r="Q29">
        <v>75.08394613742108</v>
      </c>
      <c r="R29">
        <v>2275</v>
      </c>
      <c r="S29">
        <v>1</v>
      </c>
    </row>
    <row r="30" spans="2:22" x14ac:dyDescent="0.4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71.959414484995676</v>
      </c>
      <c r="P30">
        <v>2500</v>
      </c>
      <c r="Q30">
        <v>78.955089810630312</v>
      </c>
      <c r="R30">
        <v>2450</v>
      </c>
      <c r="S30">
        <v>0.97719240395850981</v>
      </c>
    </row>
    <row r="31" spans="2:22" x14ac:dyDescent="0.4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75.954893644645537</v>
      </c>
      <c r="P31">
        <v>2578.9473684210525</v>
      </c>
      <c r="Q31">
        <v>81.666373449936316</v>
      </c>
      <c r="R31">
        <v>2625</v>
      </c>
      <c r="S31">
        <v>0.9642110875201827</v>
      </c>
    </row>
    <row r="32" spans="2:22" x14ac:dyDescent="0.4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83.706902248969911</v>
      </c>
      <c r="P32">
        <v>2763.1578947368421</v>
      </c>
      <c r="Q32">
        <v>86.429141097049708</v>
      </c>
      <c r="R32">
        <v>2800</v>
      </c>
      <c r="S32">
        <v>0.97343710934619132</v>
      </c>
    </row>
    <row r="33" spans="2:19" x14ac:dyDescent="0.4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85.729804379087909</v>
      </c>
      <c r="P33">
        <v>2947.3684210526317</v>
      </c>
      <c r="Q33">
        <v>87.762326916899241</v>
      </c>
      <c r="R33">
        <v>2975</v>
      </c>
      <c r="S33">
        <v>0.9748989926662589</v>
      </c>
    </row>
    <row r="34" spans="2:19" x14ac:dyDescent="0.4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86.956072965862973</v>
      </c>
      <c r="P34">
        <v>3131.5789473684213</v>
      </c>
      <c r="Q34">
        <v>88.639539609088743</v>
      </c>
      <c r="R34">
        <v>3150</v>
      </c>
      <c r="S34">
        <v>0.97632941371020332</v>
      </c>
    </row>
    <row r="35" spans="2:19" x14ac:dyDescent="0.4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88.181501273399022</v>
      </c>
      <c r="P35">
        <v>3315.7894736842109</v>
      </c>
      <c r="Q35">
        <v>89.475059689779698</v>
      </c>
      <c r="R35">
        <v>3325</v>
      </c>
      <c r="S35">
        <v>0.97773374795118229</v>
      </c>
    </row>
    <row r="36" spans="2:19" x14ac:dyDescent="0.4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89.406199580377418</v>
      </c>
      <c r="P36">
        <v>3500</v>
      </c>
      <c r="Q36">
        <v>90</v>
      </c>
      <c r="R36">
        <v>3500</v>
      </c>
      <c r="S36">
        <v>0.97927849709082737</v>
      </c>
    </row>
    <row r="37" spans="2:19" x14ac:dyDescent="0.4">
      <c r="B37" s="2"/>
      <c r="C37" s="18">
        <v>2500</v>
      </c>
      <c r="D37" s="18">
        <v>176.72349338287597</v>
      </c>
      <c r="E37" s="18">
        <v>53</v>
      </c>
    </row>
    <row r="38" spans="2:19" x14ac:dyDescent="0.4">
      <c r="C38" s="18">
        <v>2625</v>
      </c>
      <c r="D38" s="18">
        <v>186.511102757185</v>
      </c>
      <c r="E38" s="18">
        <v>54</v>
      </c>
    </row>
    <row r="39" spans="2:19" x14ac:dyDescent="0.4">
      <c r="C39" s="18">
        <v>2750</v>
      </c>
      <c r="D39" s="18">
        <v>196.298712131494</v>
      </c>
      <c r="E39" s="18">
        <v>55</v>
      </c>
    </row>
    <row r="40" spans="2:19" x14ac:dyDescent="0.4">
      <c r="C40" s="18">
        <v>2875</v>
      </c>
      <c r="D40" s="18">
        <v>206.08632150580399</v>
      </c>
      <c r="E40" s="18">
        <v>56</v>
      </c>
    </row>
    <row r="41" spans="2:19" x14ac:dyDescent="0.4">
      <c r="C41" s="18">
        <v>3000</v>
      </c>
      <c r="D41" s="18">
        <v>215.87393088011299</v>
      </c>
      <c r="E41" s="18">
        <v>57</v>
      </c>
    </row>
    <row r="42" spans="2:19" x14ac:dyDescent="0.4">
      <c r="C42" s="18">
        <v>3125</v>
      </c>
      <c r="D42" s="18">
        <v>225.66154025442199</v>
      </c>
      <c r="E42" s="18">
        <v>58</v>
      </c>
    </row>
    <row r="43" spans="2:19" x14ac:dyDescent="0.4">
      <c r="C43" s="18">
        <v>3250</v>
      </c>
      <c r="D43" s="18">
        <v>235.44914962873099</v>
      </c>
      <c r="E43" s="18">
        <v>59</v>
      </c>
    </row>
    <row r="44" spans="2:19" x14ac:dyDescent="0.4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128</vt:i4>
      </vt:variant>
    </vt:vector>
  </HeadingPairs>
  <TitlesOfParts>
    <vt:vector size="133" baseType="lpstr">
      <vt:lpstr>Унифлок</vt:lpstr>
      <vt:lpstr>PVT</vt:lpstr>
      <vt:lpstr>Конструкция фонтан</vt:lpstr>
      <vt:lpstr>УЭЦН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2019-03-16T14:37:39Z</dcterms:modified>
</cp:coreProperties>
</file>