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F52D6BBB-E141-4ECC-9347-383EFAAA5EDB}" xr6:coauthVersionLast="41" xr6:coauthVersionMax="41" xr10:uidLastSave="{00000000-0000-0000-0000-000000000000}"/>
  <bookViews>
    <workbookView xWindow="-103" yWindow="-103" windowWidth="22149" windowHeight="12103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out_">Скважина_расчет!$N$17:$N$36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_ESP_" localSheetId="3">УЭЦН!$C$32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B8" i="8" a="1"/>
  <c r="B4" i="8"/>
  <c r="B3" i="8"/>
  <c r="B5" i="8"/>
  <c r="C7" i="7"/>
  <c r="C9" i="7"/>
  <c r="C10" i="7"/>
  <c r="C8" i="7"/>
  <c r="B8" i="8" l="1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F8" i="8"/>
  <c r="B9" i="8"/>
  <c r="F9" i="8"/>
  <c r="B10" i="8"/>
  <c r="F10" i="8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C33" i="4"/>
  <c r="C37" i="4"/>
  <c r="M33" i="4"/>
  <c r="C23" i="4"/>
  <c r="I34" i="4"/>
  <c r="V33" i="4"/>
  <c r="T33" i="4"/>
  <c r="C45" i="4"/>
  <c r="T35" i="4"/>
  <c r="I37" i="4"/>
  <c r="I36" i="4"/>
  <c r="C44" i="4"/>
  <c r="C35" i="4"/>
  <c r="C34" i="4"/>
  <c r="M35" i="4"/>
  <c r="C28" i="4"/>
  <c r="E33" i="4"/>
  <c r="G23" i="4"/>
  <c r="M32" i="4"/>
  <c r="I35" i="4"/>
  <c r="E35" i="4"/>
  <c r="M37" i="4"/>
  <c r="C43" i="4"/>
  <c r="T34" i="4"/>
  <c r="C36" i="4"/>
  <c r="V35" i="4"/>
  <c r="E36" i="4"/>
  <c r="E34" i="4"/>
  <c r="M34" i="4"/>
  <c r="I33" i="4"/>
  <c r="M40" i="4"/>
  <c r="C40" i="4"/>
  <c r="C26" i="4"/>
  <c r="I32" i="4"/>
  <c r="M36" i="4"/>
  <c r="E37" i="4"/>
  <c r="E32" i="4"/>
  <c r="C32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V36" i="4"/>
  <c r="V34" i="4"/>
  <c r="C27" i="4"/>
  <c r="T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<sst xmlns="http://schemas.openxmlformats.org/spreadsheetml/2006/main" count="293" uniqueCount="199">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</sst>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0.80107425964366674</c:v>
                </c:pt>
                <c:pt idx="1">
                  <c:v>0.8716415839764976</c:v>
                </c:pt>
                <c:pt idx="2">
                  <c:v>0.93029194441574181</c:v>
                </c:pt>
                <c:pt idx="3">
                  <c:v>0.97443468748687467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0.94680922212128138</c:v>
                </c:pt>
                <c:pt idx="15">
                  <c:v>0.9128444240623792</c:v>
                </c:pt>
                <c:pt idx="16">
                  <c:v>0.92983634841927165</c:v>
                </c:pt>
                <c:pt idx="17">
                  <c:v>0.93186631572234335</c:v>
                </c:pt>
                <c:pt idx="18">
                  <c:v>0.93382930778675088</c:v>
                </c:pt>
                <c:pt idx="19">
                  <c:v>0.93572819867896317</c:v>
                </c:pt>
                <c:pt idx="20">
                  <c:v>0.93756571915868725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63.038238021369963</c:v>
                </c:pt>
                <c:pt idx="2">
                  <c:v>76.691485237570831</c:v>
                </c:pt>
                <c:pt idx="3">
                  <c:v>90.791130213370906</c:v>
                </c:pt>
                <c:pt idx="4">
                  <c:v>105.13693227171778</c:v>
                </c:pt>
                <c:pt idx="5">
                  <c:v>119.5306109826482</c:v>
                </c:pt>
                <c:pt idx="6">
                  <c:v>133.51407128900277</c:v>
                </c:pt>
                <c:pt idx="7">
                  <c:v>146.97029634920182</c:v>
                </c:pt>
                <c:pt idx="8">
                  <c:v>159.89756262640026</c:v>
                </c:pt>
                <c:pt idx="9">
                  <c:v>172.29969979558365</c:v>
                </c:pt>
                <c:pt idx="10">
                  <c:v>184.17357226903749</c:v>
                </c:pt>
                <c:pt idx="11">
                  <c:v>195.51695094422593</c:v>
                </c:pt>
                <c:pt idx="12">
                  <c:v>206.32830039676415</c:v>
                </c:pt>
                <c:pt idx="13">
                  <c:v>216.59827323864039</c:v>
                </c:pt>
                <c:pt idx="14">
                  <c:v>50</c:v>
                </c:pt>
                <c:pt idx="15">
                  <c:v>53.877486997724823</c:v>
                </c:pt>
                <c:pt idx="16">
                  <c:v>61.47704477626381</c:v>
                </c:pt>
                <c:pt idx="17">
                  <c:v>63.474597599648533</c:v>
                </c:pt>
                <c:pt idx="18">
                  <c:v>64.687010229089353</c:v>
                </c:pt>
                <c:pt idx="19">
                  <c:v>65.898819067056948</c:v>
                </c:pt>
                <c:pt idx="20">
                  <c:v>67.109948729626197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E20A310-B720-4E4A-8EE8-E4F9C2C924F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CAD868D-4BE0-41D2-8B99-7047550479E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983396D6-8526-41CC-8841-9D4721A777D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E08E02E-4D73-450B-ABAF-585AF6B1CA9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6E3A18-5B4C-4796-A42C-441C5A57B364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93292CC-9789-4DC7-9323-2FE376CA446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67.109948729626197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19.797466966960407</c:v>
                </c:pt>
                <c:pt idx="17">
                  <c:v>27.834279416422973</c:v>
                </c:pt>
                <c:pt idx="18">
                  <c:v>35.543097741781111</c:v>
                </c:pt>
                <c:pt idx="19">
                  <c:v>42.929800597519474</c:v>
                </c:pt>
                <c:pt idx="20">
                  <c:v>50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3" t="s">
        <v>176</v>
      </c>
      <c r="C4" s="54">
        <v>80</v>
      </c>
      <c r="D4" s="53" t="s">
        <v>177</v>
      </c>
    </row>
    <row r="5" spans="1:11" x14ac:dyDescent="0.4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4">
      <c r="B6" s="53" t="s">
        <v>180</v>
      </c>
      <c r="C6" s="54">
        <v>50</v>
      </c>
      <c r="D6" s="53" t="s">
        <v>181</v>
      </c>
    </row>
    <row r="7" spans="1:11" x14ac:dyDescent="0.4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4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" zoomScale="70" zoomScaleNormal="70" workbookViewId="0">
      <selection activeCell="S31" sqref="S31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7.149999999999999" x14ac:dyDescent="0.55000000000000004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67.109948729626197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198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0.80107425964366674</v>
      </c>
      <c r="U16">
        <v>0</v>
      </c>
      <c r="V16" s="50">
        <f>Pline_out_atma_</f>
        <v>50</v>
      </c>
      <c r="W16">
        <v>0</v>
      </c>
      <c r="X16">
        <v>15</v>
      </c>
    </row>
    <row r="17" spans="2:24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63.038238021369963</v>
      </c>
      <c r="P17">
        <v>184.21052631578948</v>
      </c>
      <c r="Q17">
        <v>61.578947368421055</v>
      </c>
      <c r="R17">
        <v>175</v>
      </c>
      <c r="S17">
        <v>0.8716415839764976</v>
      </c>
      <c r="U17">
        <v>0</v>
      </c>
      <c r="V17" s="50">
        <f>Pbuf_out_atma_</f>
        <v>50.075531005859375</v>
      </c>
      <c r="W17">
        <v>125</v>
      </c>
      <c r="X17">
        <v>15</v>
      </c>
    </row>
    <row r="18" spans="2:24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76.691485237570831</v>
      </c>
      <c r="P18">
        <v>368.42105263157896</v>
      </c>
      <c r="Q18">
        <v>63.157894736842103</v>
      </c>
      <c r="R18">
        <v>350</v>
      </c>
      <c r="S18">
        <v>0.93029194441574181</v>
      </c>
      <c r="U18">
        <f>Hperf_m_</f>
        <v>3500</v>
      </c>
      <c r="V18" s="50">
        <f>Pwf_out_atma_</f>
        <v>67.109948729626197</v>
      </c>
      <c r="W18">
        <v>250</v>
      </c>
      <c r="X18">
        <v>15</v>
      </c>
    </row>
    <row r="19" spans="2:24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90.791130213370906</v>
      </c>
      <c r="P19">
        <v>552.63157894736844</v>
      </c>
      <c r="Q19">
        <v>64.736842105263165</v>
      </c>
      <c r="R19">
        <v>525</v>
      </c>
      <c r="S19">
        <v>0.97443468748687467</v>
      </c>
      <c r="W19">
        <v>375</v>
      </c>
      <c r="X19">
        <v>15</v>
      </c>
    </row>
    <row r="20" spans="2:24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105.13693227171778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15</v>
      </c>
    </row>
    <row r="21" spans="2:24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119.5306109826482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15</v>
      </c>
    </row>
    <row r="22" spans="2:24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133.51407128900277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15</v>
      </c>
    </row>
    <row r="23" spans="2:24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146.97029634920182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15</v>
      </c>
    </row>
    <row r="24" spans="2:24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159.89756262640026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15</v>
      </c>
    </row>
    <row r="25" spans="2:24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172.29969979558365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15</v>
      </c>
    </row>
    <row r="26" spans="2:24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184.17357226903749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15</v>
      </c>
    </row>
    <row r="27" spans="2:24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195.51695094422593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15</v>
      </c>
    </row>
    <row r="28" spans="2:24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206.32830039676415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15</v>
      </c>
    </row>
    <row r="29" spans="2:24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216.59827323864039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15</v>
      </c>
    </row>
    <row r="30" spans="2:24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50</v>
      </c>
      <c r="P30">
        <v>2500</v>
      </c>
      <c r="Q30">
        <v>81.428571428571431</v>
      </c>
      <c r="R30">
        <v>2450</v>
      </c>
      <c r="S30">
        <v>0.94680922212128138</v>
      </c>
      <c r="W30">
        <v>1750</v>
      </c>
      <c r="X30">
        <v>15</v>
      </c>
    </row>
    <row r="31" spans="2:24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53.877486997724823</v>
      </c>
      <c r="P31">
        <v>2578.9473684210525</v>
      </c>
      <c r="Q31">
        <v>82.10526315789474</v>
      </c>
      <c r="R31">
        <v>2625</v>
      </c>
      <c r="S31">
        <v>0.9128444240623792</v>
      </c>
      <c r="W31">
        <v>1875</v>
      </c>
      <c r="X31">
        <v>15</v>
      </c>
    </row>
    <row r="32" spans="2:24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61.47704477626381</v>
      </c>
      <c r="P32">
        <v>2763.1578947368421</v>
      </c>
      <c r="Q32">
        <v>83.684210526315795</v>
      </c>
      <c r="R32">
        <v>2800</v>
      </c>
      <c r="S32">
        <v>0.92983634841927165</v>
      </c>
      <c r="W32">
        <v>2000</v>
      </c>
      <c r="X32">
        <v>19.797466966960407</v>
      </c>
    </row>
    <row r="33" spans="2:24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63.474597599648533</v>
      </c>
      <c r="P33">
        <v>2947.3684210526317</v>
      </c>
      <c r="Q33">
        <v>85.26315789473685</v>
      </c>
      <c r="R33">
        <v>2975</v>
      </c>
      <c r="S33">
        <v>0.93186631572234335</v>
      </c>
      <c r="W33">
        <v>2125</v>
      </c>
      <c r="X33">
        <v>27.834279416422973</v>
      </c>
    </row>
    <row r="34" spans="2:24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64.687010229089353</v>
      </c>
      <c r="P34">
        <v>3131.5789473684213</v>
      </c>
      <c r="Q34">
        <v>86.84210526315789</v>
      </c>
      <c r="R34">
        <v>3150</v>
      </c>
      <c r="S34">
        <v>0.93382930778675088</v>
      </c>
      <c r="W34">
        <v>2250</v>
      </c>
      <c r="X34">
        <v>35.543097741781111</v>
      </c>
    </row>
    <row r="35" spans="2:24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65.898819067056948</v>
      </c>
      <c r="P35">
        <v>3315.7894736842109</v>
      </c>
      <c r="Q35">
        <v>88.421052631578959</v>
      </c>
      <c r="R35">
        <v>3325</v>
      </c>
      <c r="S35">
        <v>0.93572819867896317</v>
      </c>
      <c r="W35">
        <v>2375</v>
      </c>
      <c r="X35">
        <v>42.929800597519474</v>
      </c>
    </row>
    <row r="36" spans="2:24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67.109948729626197</v>
      </c>
      <c r="P36">
        <v>3500</v>
      </c>
      <c r="Q36">
        <v>90</v>
      </c>
      <c r="R36">
        <v>3500</v>
      </c>
      <c r="S36">
        <v>0.93756571915868725</v>
      </c>
      <c r="W36">
        <v>2500</v>
      </c>
      <c r="X36">
        <v>50</v>
      </c>
    </row>
    <row r="37" spans="2:24" x14ac:dyDescent="0.4">
      <c r="B37" s="2"/>
      <c r="C37" s="18">
        <v>2500</v>
      </c>
      <c r="D37" s="18">
        <v>176.72349338287597</v>
      </c>
      <c r="E37" s="18">
        <v>53</v>
      </c>
    </row>
    <row r="38" spans="2:24" x14ac:dyDescent="0.4">
      <c r="C38" s="18">
        <v>2625</v>
      </c>
      <c r="D38" s="18">
        <v>186.511102757185</v>
      </c>
      <c r="E38" s="18">
        <v>54</v>
      </c>
    </row>
    <row r="39" spans="2:24" x14ac:dyDescent="0.4">
      <c r="C39" s="18">
        <v>2750</v>
      </c>
      <c r="D39" s="18">
        <v>196.298712131494</v>
      </c>
      <c r="E39" s="18">
        <v>55</v>
      </c>
    </row>
    <row r="40" spans="2:24" x14ac:dyDescent="0.4">
      <c r="C40" s="18">
        <v>2875</v>
      </c>
      <c r="D40" s="18">
        <v>206.08632150580399</v>
      </c>
      <c r="E40" s="18">
        <v>56</v>
      </c>
    </row>
    <row r="41" spans="2:24" x14ac:dyDescent="0.4">
      <c r="C41" s="18">
        <v>3000</v>
      </c>
      <c r="D41" s="18">
        <v>215.87393088011299</v>
      </c>
      <c r="E41" s="18">
        <v>57</v>
      </c>
    </row>
    <row r="42" spans="2:24" x14ac:dyDescent="0.4">
      <c r="C42" s="18">
        <v>3125</v>
      </c>
      <c r="D42" s="18">
        <v>225.66154025442199</v>
      </c>
      <c r="E42" s="18">
        <v>58</v>
      </c>
    </row>
    <row r="43" spans="2:24" x14ac:dyDescent="0.4">
      <c r="C43" s="18">
        <v>3250</v>
      </c>
      <c r="D43" s="18">
        <v>235.44914962873099</v>
      </c>
      <c r="E43" s="18">
        <v>59</v>
      </c>
    </row>
    <row r="44" spans="2:24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4.6" x14ac:dyDescent="0.4"/>
  <sheetData>
    <row r="3" spans="2:9" x14ac:dyDescent="0.4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4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4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4">
      <c r="B8">
        <f t="array" ref="B8:I10">Well_Plin_Pwf_atma(200,50,0,B3,B4,B5)</f>
        <v>204.66318931493976</v>
      </c>
      <c r="C8" t="str">
        <v>Plin</v>
      </c>
      <c r="D8">
        <v>204.66318931493976</v>
      </c>
      <c r="E8">
        <v>204.73211177306956</v>
      </c>
      <c r="F8">
        <v>351.21462726116425</v>
      </c>
      <c r="G8">
        <v>184.79538176287073</v>
      </c>
      <c r="H8">
        <v>200</v>
      </c>
      <c r="I8" t="str">
        <v>Давления атм, линейное, буферное, на выкиде насоса, на приеме насоса, забойное</v>
      </c>
    </row>
    <row r="9" spans="2:9" x14ac:dyDescent="0.4">
      <c r="B9">
        <v>25</v>
      </c>
      <c r="C9" t="str">
        <v>Tsurf</v>
      </c>
      <c r="D9">
        <v>25</v>
      </c>
      <c r="E9">
        <v>0</v>
      </c>
      <c r="F9">
        <v>18.530763721869096</v>
      </c>
      <c r="G9">
        <v>0</v>
      </c>
      <c r="H9">
        <v>85</v>
      </c>
      <c r="I9" t="str">
        <v>Температура С, на поверхности, буферное, на выкиде насоса, на приеме насоса, забойное</v>
      </c>
    </row>
    <row r="10" spans="2:9" x14ac:dyDescent="0.4">
      <c r="B10">
        <v>23.209640397701406</v>
      </c>
      <c r="C10" t="str">
        <v>I_A</v>
      </c>
      <c r="D10">
        <v>40406.712799093577</v>
      </c>
      <c r="E10">
        <v>23.209640397701406</v>
      </c>
      <c r="F10">
        <v>1.2060082921268449</v>
      </c>
      <c r="G10">
        <v>0.5</v>
      </c>
      <c r="H10">
        <v>0.35002557351192715</v>
      </c>
      <c r="I10" t="str">
        <v xml:space="preserve">Мощность, Ток, Загрузка, Сепарация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7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2019-03-17T15:49:17Z</dcterms:modified>
</cp:coreProperties>
</file>