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E:\unifloc\курс энергоффективность\"/>
    </mc:Choice>
  </mc:AlternateContent>
  <xr:revisionPtr revIDLastSave="0" documentId="13_ncr:1_{8A235D23-8557-405C-B38C-E7D08C43AAA8}" xr6:coauthVersionLast="47" xr6:coauthVersionMax="47" xr10:uidLastSave="{00000000-0000-0000-0000-000000000000}"/>
  <bookViews>
    <workbookView xWindow="-120" yWindow="-120" windowWidth="38640" windowHeight="21390" xr2:uid="{C884D96D-27C7-42EA-B77A-48D3B0A5705B}"/>
  </bookViews>
  <sheets>
    <sheet name="Лист1" sheetId="1" r:id="rId1"/>
  </sheets>
  <externalReferences>
    <externalReference r:id="rId2"/>
  </externalReferences>
  <definedNames>
    <definedName name="esp_json">Лист1!$F$15</definedName>
    <definedName name="feed_json">Лист1!$C$18</definedName>
    <definedName name="feed_sep_gas">Лист1!$C$27</definedName>
    <definedName name="PVT_json">Лист1!$C$13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I44" i="1"/>
  <c r="I47" i="1"/>
  <c r="I48" i="1"/>
  <c r="I49" i="1"/>
  <c r="I50" i="1"/>
  <c r="I51" i="1"/>
  <c r="I52" i="1"/>
  <c r="I53" i="1"/>
  <c r="I54" i="1"/>
  <c r="I42" i="1"/>
  <c r="C24" i="1"/>
  <c r="C23" i="1"/>
  <c r="F7" i="1"/>
  <c r="F8" i="1"/>
  <c r="F15" i="1"/>
  <c r="C13" i="1"/>
  <c r="C18" i="1" s="1"/>
  <c r="C25" i="1" l="1"/>
  <c r="I8" i="1"/>
  <c r="I46" i="1" s="1"/>
  <c r="C27" i="1"/>
  <c r="L53" i="1"/>
  <c r="L54" i="1" s="1"/>
  <c r="H56" i="1" s="1" a="1"/>
  <c r="I7" i="1" l="1"/>
  <c r="H56" i="1"/>
  <c r="H74" i="1"/>
  <c r="H63" i="1"/>
  <c r="H69" i="1"/>
  <c r="H64" i="1"/>
  <c r="H58" i="1"/>
  <c r="H76" i="1"/>
  <c r="H70" i="1"/>
  <c r="H66" i="1"/>
  <c r="H59" i="1"/>
  <c r="H57" i="1"/>
  <c r="H71" i="1"/>
  <c r="H75" i="1"/>
  <c r="H60" i="1"/>
  <c r="H65" i="1"/>
  <c r="H72" i="1"/>
  <c r="H61" i="1"/>
  <c r="H68" i="1"/>
  <c r="H73" i="1"/>
  <c r="H67" i="1"/>
  <c r="H62" i="1"/>
  <c r="H17" i="1" a="1"/>
  <c r="S36" i="1"/>
  <c r="S35" i="1"/>
  <c r="S23" i="1"/>
  <c r="S34" i="1"/>
  <c r="S22" i="1"/>
  <c r="S33" i="1"/>
  <c r="S21" i="1"/>
  <c r="S32" i="1"/>
  <c r="S20" i="1"/>
  <c r="S31" i="1"/>
  <c r="S24" i="1"/>
  <c r="S30" i="1"/>
  <c r="S29" i="1"/>
  <c r="S28" i="1"/>
  <c r="S39" i="1"/>
  <c r="S27" i="1"/>
  <c r="S38" i="1"/>
  <c r="S26" i="1"/>
  <c r="S37" i="1"/>
  <c r="S25" i="1"/>
  <c r="M21" i="1" l="1"/>
  <c r="R19" i="1"/>
  <c r="M30" i="1"/>
  <c r="O27" i="1"/>
  <c r="R34" i="1"/>
  <c r="M37" i="1"/>
  <c r="H36" i="1"/>
  <c r="O37" i="1"/>
  <c r="R26" i="1"/>
  <c r="P21" i="1"/>
  <c r="J31" i="1"/>
  <c r="H39" i="1"/>
  <c r="R32" i="1"/>
  <c r="H17" i="1"/>
  <c r="N32" i="1"/>
  <c r="L28" i="1"/>
  <c r="P27" i="1"/>
  <c r="Q32" i="1"/>
  <c r="R38" i="1"/>
  <c r="N30" i="1"/>
  <c r="M22" i="1"/>
  <c r="Q17" i="1"/>
  <c r="O21" i="1"/>
  <c r="P20" i="1"/>
  <c r="L18" i="1"/>
  <c r="J25" i="1"/>
  <c r="P25" i="1"/>
  <c r="K26" i="1"/>
  <c r="L24" i="1"/>
  <c r="H27" i="1"/>
  <c r="Q34" i="1"/>
  <c r="K18" i="1"/>
  <c r="R18" i="1"/>
  <c r="K22" i="1"/>
  <c r="L30" i="1"/>
  <c r="O34" i="1"/>
  <c r="O18" i="1"/>
  <c r="K21" i="1"/>
  <c r="I23" i="1"/>
  <c r="N20" i="1"/>
  <c r="Q20" i="1"/>
  <c r="Q35" i="1"/>
  <c r="H26" i="1"/>
  <c r="L29" i="1"/>
  <c r="P23" i="1"/>
  <c r="Q33" i="1"/>
  <c r="N33" i="1"/>
  <c r="K38" i="1"/>
  <c r="M20" i="1"/>
  <c r="L39" i="1"/>
  <c r="Q39" i="1"/>
  <c r="I27" i="1"/>
  <c r="I25" i="1"/>
  <c r="R27" i="1"/>
  <c r="I19" i="1"/>
  <c r="L35" i="1"/>
  <c r="J23" i="1"/>
  <c r="P34" i="1"/>
  <c r="P31" i="1"/>
  <c r="L34" i="1"/>
  <c r="J36" i="1"/>
  <c r="J32" i="1"/>
  <c r="R33" i="1"/>
  <c r="L20" i="1"/>
  <c r="I34" i="1"/>
  <c r="O19" i="1"/>
  <c r="R36" i="1"/>
  <c r="I24" i="1"/>
  <c r="N28" i="1"/>
  <c r="H32" i="1"/>
  <c r="O29" i="1"/>
  <c r="O20" i="1"/>
  <c r="J29" i="1"/>
  <c r="J38" i="1"/>
  <c r="J30" i="1"/>
  <c r="K17" i="1"/>
  <c r="Q30" i="1"/>
  <c r="H37" i="1"/>
  <c r="Q23" i="1"/>
  <c r="H22" i="1"/>
  <c r="R23" i="1"/>
  <c r="N25" i="1"/>
  <c r="O22" i="1"/>
  <c r="J20" i="1"/>
  <c r="I36" i="1"/>
  <c r="M33" i="1"/>
  <c r="P17" i="1"/>
  <c r="O28" i="1"/>
  <c r="K23" i="1"/>
  <c r="K29" i="1"/>
  <c r="R24" i="1"/>
  <c r="I37" i="1"/>
  <c r="O24" i="1"/>
  <c r="Q31" i="1"/>
  <c r="N39" i="1"/>
  <c r="Q22" i="1"/>
  <c r="I33" i="1"/>
  <c r="O30" i="1"/>
  <c r="Q27" i="1"/>
  <c r="M34" i="1"/>
  <c r="H20" i="1"/>
  <c r="N36" i="1"/>
  <c r="K25" i="1"/>
  <c r="P39" i="1"/>
  <c r="L32" i="1"/>
  <c r="L26" i="1"/>
  <c r="M26" i="1"/>
  <c r="R29" i="1"/>
  <c r="J19" i="1"/>
  <c r="M23" i="1"/>
  <c r="O33" i="1"/>
  <c r="L25" i="1"/>
  <c r="L27" i="1"/>
  <c r="K33" i="1"/>
  <c r="J21" i="1"/>
  <c r="Q24" i="1"/>
  <c r="R35" i="1"/>
  <c r="J22" i="1"/>
  <c r="R20" i="1"/>
  <c r="I39" i="1"/>
  <c r="N34" i="1"/>
  <c r="I21" i="1"/>
  <c r="N38" i="1"/>
  <c r="H18" i="1"/>
  <c r="H38" i="1"/>
  <c r="K28" i="1"/>
  <c r="M39" i="1"/>
  <c r="P22" i="1"/>
  <c r="L21" i="1"/>
  <c r="R37" i="1"/>
  <c r="N23" i="1"/>
  <c r="K32" i="1"/>
  <c r="M25" i="1"/>
  <c r="O17" i="1"/>
  <c r="H28" i="1"/>
  <c r="K34" i="1"/>
  <c r="K19" i="1"/>
  <c r="J26" i="1"/>
  <c r="M31" i="1"/>
  <c r="H34" i="1"/>
  <c r="H21" i="1"/>
  <c r="P36" i="1"/>
  <c r="I26" i="1"/>
  <c r="P38" i="1"/>
  <c r="K35" i="1"/>
  <c r="M38" i="1"/>
  <c r="O31" i="1"/>
  <c r="Q28" i="1"/>
  <c r="O39" i="1"/>
  <c r="M18" i="1"/>
  <c r="O25" i="1"/>
  <c r="N19" i="1"/>
  <c r="N27" i="1"/>
  <c r="P30" i="1"/>
  <c r="O35" i="1"/>
  <c r="R28" i="1"/>
  <c r="I38" i="1"/>
  <c r="K39" i="1"/>
  <c r="P35" i="1"/>
  <c r="L23" i="1"/>
  <c r="I30" i="1"/>
  <c r="Q25" i="1"/>
  <c r="J39" i="1"/>
  <c r="P29" i="1"/>
  <c r="N24" i="1"/>
  <c r="I18" i="1"/>
  <c r="R21" i="1"/>
  <c r="O23" i="1"/>
  <c r="R22" i="1"/>
  <c r="Q37" i="1"/>
  <c r="Q19" i="1"/>
  <c r="H25" i="1"/>
  <c r="K30" i="1"/>
  <c r="J28" i="1"/>
  <c r="P32" i="1"/>
  <c r="L37" i="1"/>
  <c r="H19" i="1"/>
  <c r="M28" i="1"/>
  <c r="R30" i="1"/>
  <c r="I35" i="1"/>
  <c r="Q26" i="1"/>
  <c r="H35" i="1"/>
  <c r="H23" i="1"/>
  <c r="I28" i="1"/>
  <c r="I32" i="1"/>
  <c r="P18" i="1"/>
  <c r="I31" i="1"/>
  <c r="M24" i="1"/>
  <c r="N18" i="1"/>
  <c r="L38" i="1"/>
  <c r="L19" i="1"/>
  <c r="N31" i="1"/>
  <c r="J35" i="1"/>
  <c r="H29" i="1"/>
  <c r="K20" i="1"/>
  <c r="L33" i="1"/>
  <c r="J27" i="1"/>
  <c r="M19" i="1"/>
  <c r="Q21" i="1"/>
  <c r="K24" i="1"/>
  <c r="I29" i="1"/>
  <c r="N35" i="1"/>
  <c r="N26" i="1"/>
  <c r="M17" i="1"/>
  <c r="H30" i="1"/>
  <c r="R17" i="1"/>
  <c r="P33" i="1"/>
  <c r="Q38" i="1"/>
  <c r="K27" i="1"/>
  <c r="P24" i="1"/>
  <c r="J24" i="1"/>
  <c r="H33" i="1"/>
  <c r="H31" i="1"/>
  <c r="H24" i="1"/>
  <c r="R31" i="1"/>
  <c r="N17" i="1"/>
  <c r="R39" i="1"/>
  <c r="K37" i="1"/>
  <c r="K36" i="1"/>
  <c r="K31" i="1"/>
  <c r="I20" i="1"/>
  <c r="N37" i="1"/>
  <c r="M36" i="1"/>
  <c r="M29" i="1"/>
  <c r="O26" i="1"/>
  <c r="L17" i="1"/>
  <c r="L22" i="1"/>
  <c r="J33" i="1"/>
  <c r="O36" i="1"/>
  <c r="M32" i="1"/>
  <c r="P19" i="1"/>
  <c r="J18" i="1"/>
  <c r="J37" i="1"/>
  <c r="J34" i="1"/>
  <c r="Q36" i="1"/>
  <c r="I22" i="1"/>
  <c r="M35" i="1"/>
  <c r="O38" i="1"/>
  <c r="L31" i="1"/>
  <c r="M27" i="1"/>
  <c r="P26" i="1"/>
  <c r="R25" i="1"/>
  <c r="Q29" i="1"/>
  <c r="I17" i="1"/>
  <c r="L36" i="1"/>
  <c r="N22" i="1"/>
  <c r="N21" i="1"/>
  <c r="O32" i="1"/>
  <c r="J17" i="1"/>
  <c r="N29" i="1"/>
  <c r="P28" i="1"/>
  <c r="Q18" i="1"/>
  <c r="P37" i="1"/>
  <c r="I45" i="1"/>
  <c r="I63" i="1" a="1"/>
  <c r="I60" i="1" a="1"/>
  <c r="I74" i="1" a="1"/>
  <c r="I75" i="1" a="1"/>
  <c r="I56" i="1" a="1"/>
  <c r="I71" i="1" a="1"/>
  <c r="I65" i="1" a="1"/>
  <c r="I57" i="1" a="1"/>
  <c r="I59" i="1" a="1"/>
  <c r="I72" i="1" a="1"/>
  <c r="I66" i="1" a="1"/>
  <c r="I70" i="1" a="1"/>
  <c r="I76" i="1" a="1"/>
  <c r="I68" i="1" a="1"/>
  <c r="I58" i="1" a="1"/>
  <c r="I62" i="1" a="1"/>
  <c r="I67" i="1" a="1"/>
  <c r="I73" i="1" a="1"/>
  <c r="I61" i="1" a="1"/>
  <c r="I64" i="1" a="1"/>
  <c r="I69" i="1" a="1"/>
  <c r="O69" i="1" l="1"/>
  <c r="R69" i="1"/>
  <c r="Q69" i="1"/>
  <c r="L69" i="1"/>
  <c r="M69" i="1"/>
  <c r="N69" i="1"/>
  <c r="S69" i="1"/>
  <c r="I69" i="1"/>
  <c r="K69" i="1"/>
  <c r="J69" i="1"/>
  <c r="P69" i="1"/>
  <c r="M64" i="1"/>
  <c r="Q64" i="1"/>
  <c r="S64" i="1"/>
  <c r="K64" i="1"/>
  <c r="N64" i="1"/>
  <c r="O64" i="1"/>
  <c r="P64" i="1"/>
  <c r="I64" i="1"/>
  <c r="R64" i="1"/>
  <c r="J64" i="1"/>
  <c r="L64" i="1"/>
  <c r="K61" i="1"/>
  <c r="N61" i="1"/>
  <c r="I61" i="1"/>
  <c r="J61" i="1"/>
  <c r="P61" i="1"/>
  <c r="O61" i="1"/>
  <c r="M61" i="1"/>
  <c r="L61" i="1"/>
  <c r="Q61" i="1"/>
  <c r="R61" i="1"/>
  <c r="S61" i="1"/>
  <c r="M73" i="1"/>
  <c r="N73" i="1"/>
  <c r="O73" i="1"/>
  <c r="J73" i="1"/>
  <c r="P73" i="1"/>
  <c r="R73" i="1"/>
  <c r="S73" i="1"/>
  <c r="Q73" i="1"/>
  <c r="I73" i="1"/>
  <c r="K73" i="1"/>
  <c r="L73" i="1"/>
  <c r="P67" i="1"/>
  <c r="K67" i="1"/>
  <c r="J67" i="1"/>
  <c r="S67" i="1"/>
  <c r="I67" i="1"/>
  <c r="L67" i="1"/>
  <c r="O67" i="1"/>
  <c r="Q67" i="1"/>
  <c r="R67" i="1"/>
  <c r="M67" i="1"/>
  <c r="N67" i="1"/>
  <c r="O62" i="1"/>
  <c r="P62" i="1"/>
  <c r="R62" i="1"/>
  <c r="Q62" i="1"/>
  <c r="J62" i="1"/>
  <c r="S62" i="1"/>
  <c r="I62" i="1"/>
  <c r="L62" i="1"/>
  <c r="K62" i="1"/>
  <c r="M62" i="1"/>
  <c r="N62" i="1"/>
  <c r="K58" i="1"/>
  <c r="M58" i="1"/>
  <c r="Q58" i="1"/>
  <c r="N58" i="1"/>
  <c r="P58" i="1"/>
  <c r="R58" i="1"/>
  <c r="S58" i="1"/>
  <c r="I58" i="1"/>
  <c r="O58" i="1"/>
  <c r="L58" i="1"/>
  <c r="J58" i="1"/>
  <c r="S68" i="1"/>
  <c r="O68" i="1"/>
  <c r="I68" i="1"/>
  <c r="R68" i="1"/>
  <c r="J68" i="1"/>
  <c r="K68" i="1"/>
  <c r="M68" i="1"/>
  <c r="P68" i="1"/>
  <c r="L68" i="1"/>
  <c r="Q68" i="1"/>
  <c r="N68" i="1"/>
  <c r="K76" i="1"/>
  <c r="R76" i="1"/>
  <c r="L76" i="1"/>
  <c r="Q76" i="1"/>
  <c r="M76" i="1"/>
  <c r="N76" i="1"/>
  <c r="O76" i="1"/>
  <c r="P76" i="1"/>
  <c r="I76" i="1"/>
  <c r="S76" i="1"/>
  <c r="J76" i="1"/>
  <c r="K70" i="1"/>
  <c r="I70" i="1"/>
  <c r="M70" i="1"/>
  <c r="N70" i="1"/>
  <c r="P70" i="1"/>
  <c r="Q70" i="1"/>
  <c r="L70" i="1"/>
  <c r="O70" i="1"/>
  <c r="J70" i="1"/>
  <c r="R70" i="1"/>
  <c r="S70" i="1"/>
  <c r="O66" i="1"/>
  <c r="P66" i="1"/>
  <c r="Q66" i="1"/>
  <c r="J66" i="1"/>
  <c r="K66" i="1"/>
  <c r="L66" i="1"/>
  <c r="S66" i="1"/>
  <c r="N66" i="1"/>
  <c r="M66" i="1"/>
  <c r="R66" i="1"/>
  <c r="I66" i="1"/>
  <c r="Q72" i="1"/>
  <c r="P72" i="1"/>
  <c r="R72" i="1"/>
  <c r="S72" i="1"/>
  <c r="M72" i="1"/>
  <c r="N72" i="1"/>
  <c r="K72" i="1"/>
  <c r="J72" i="1"/>
  <c r="L72" i="1"/>
  <c r="I72" i="1"/>
  <c r="O72" i="1"/>
  <c r="I59" i="1"/>
  <c r="N59" i="1"/>
  <c r="L59" i="1"/>
  <c r="K59" i="1"/>
  <c r="O59" i="1"/>
  <c r="P59" i="1"/>
  <c r="S59" i="1"/>
  <c r="J59" i="1"/>
  <c r="M59" i="1"/>
  <c r="Q59" i="1"/>
  <c r="R59" i="1"/>
  <c r="J57" i="1"/>
  <c r="K57" i="1"/>
  <c r="O57" i="1"/>
  <c r="Q57" i="1"/>
  <c r="L57" i="1"/>
  <c r="M57" i="1"/>
  <c r="S57" i="1"/>
  <c r="R57" i="1"/>
  <c r="N57" i="1"/>
  <c r="I57" i="1"/>
  <c r="P57" i="1"/>
  <c r="N65" i="1"/>
  <c r="R65" i="1"/>
  <c r="S65" i="1"/>
  <c r="P65" i="1"/>
  <c r="O65" i="1"/>
  <c r="Q65" i="1"/>
  <c r="K65" i="1"/>
  <c r="L65" i="1"/>
  <c r="I65" i="1"/>
  <c r="M65" i="1"/>
  <c r="J65" i="1"/>
  <c r="J71" i="1"/>
  <c r="I71" i="1"/>
  <c r="M71" i="1"/>
  <c r="N71" i="1"/>
  <c r="O71" i="1"/>
  <c r="K71" i="1"/>
  <c r="Q71" i="1"/>
  <c r="L71" i="1"/>
  <c r="P71" i="1"/>
  <c r="R71" i="1"/>
  <c r="S71" i="1"/>
  <c r="Q56" i="1"/>
  <c r="R56" i="1"/>
  <c r="N56" i="1"/>
  <c r="L56" i="1"/>
  <c r="M56" i="1"/>
  <c r="O56" i="1"/>
  <c r="S56" i="1"/>
  <c r="P56" i="1"/>
  <c r="I56" i="1"/>
  <c r="J56" i="1"/>
  <c r="K56" i="1"/>
  <c r="N75" i="1"/>
  <c r="Q75" i="1"/>
  <c r="R75" i="1"/>
  <c r="O75" i="1"/>
  <c r="I75" i="1"/>
  <c r="K75" i="1"/>
  <c r="L75" i="1"/>
  <c r="P75" i="1"/>
  <c r="S75" i="1"/>
  <c r="M75" i="1"/>
  <c r="J75" i="1"/>
  <c r="N74" i="1"/>
  <c r="O74" i="1"/>
  <c r="P74" i="1"/>
  <c r="Q74" i="1"/>
  <c r="R74" i="1"/>
  <c r="S74" i="1"/>
  <c r="L74" i="1"/>
  <c r="J74" i="1"/>
  <c r="M74" i="1"/>
  <c r="I74" i="1"/>
  <c r="K74" i="1"/>
  <c r="S60" i="1"/>
  <c r="I60" i="1"/>
  <c r="O60" i="1"/>
  <c r="J60" i="1"/>
  <c r="K60" i="1"/>
  <c r="R60" i="1"/>
  <c r="M60" i="1"/>
  <c r="N60" i="1"/>
  <c r="L60" i="1"/>
  <c r="P60" i="1"/>
  <c r="Q60" i="1"/>
  <c r="Q63" i="1"/>
  <c r="S63" i="1"/>
  <c r="I63" i="1"/>
  <c r="J63" i="1"/>
  <c r="L63" i="1"/>
  <c r="M63" i="1"/>
  <c r="N63" i="1"/>
  <c r="R63" i="1"/>
  <c r="K63" i="1"/>
  <c r="O63" i="1"/>
  <c r="P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rnt</author>
  </authors>
  <commentList>
    <comment ref="C4" authorId="0" shapeId="0" xr:uid="{A596F626-DBD6-423F-9818-0EC31D31D67F}">
      <text>
        <r>
          <rPr>
            <sz val="9"/>
            <color indexed="81"/>
            <rFont val="Tahoma"/>
            <charset val="1"/>
          </rPr>
          <t>Удельная плотность газа по воздуху</t>
        </r>
      </text>
    </comment>
    <comment ref="F4" authorId="0" shapeId="0" xr:uid="{2A60F834-4FE8-4FC6-BE6D-C7D44A9A09CD}">
      <text>
        <r>
          <rPr>
            <sz val="9"/>
            <color indexed="81"/>
            <rFont val="Tahoma"/>
            <charset val="1"/>
          </rPr>
          <t>Номинальная подача ЭЦН, для которой задается номинальный напор.Нужна для определения ID насоса. Если ID задать непосредственно, то можно не указывать</t>
        </r>
      </text>
    </comment>
    <comment ref="I4" authorId="0" shapeId="0" xr:uid="{18A4F380-6A07-42DF-958F-58AE424F77D1}">
      <text>
        <r>
          <rPr>
            <sz val="9"/>
            <color indexed="81"/>
            <rFont val="Tahoma"/>
            <charset val="1"/>
          </rPr>
          <t>Давление начала расчета. Если calc_along_flow=1 то давление на приеме, иначе на выкиде</t>
        </r>
      </text>
    </comment>
    <comment ref="C5" authorId="0" shapeId="0" xr:uid="{88037DB1-81C0-4C53-91B3-0348BA523D3C}">
      <text>
        <r>
          <rPr>
            <sz val="9"/>
            <color indexed="81"/>
            <rFont val="Tahoma"/>
            <charset val="1"/>
          </rPr>
          <t>Удельная плотность нефти по воде</t>
        </r>
      </text>
    </comment>
    <comment ref="F5" authorId="0" shapeId="0" xr:uid="{BBB414DD-4249-4402-B91A-90793E0AE7DB}">
      <text>
        <r>
          <rPr>
            <sz val="9"/>
            <color indexed="81"/>
            <rFont val="Tahoma"/>
            <charset val="1"/>
          </rPr>
          <t>Номинальный напор ЭЦН. Нужен для определения количества ступеней насоса. Если кол-во ступеней задать явно, то можно не указывать</t>
        </r>
      </text>
    </comment>
    <comment ref="I5" authorId="0" shapeId="0" xr:uid="{A825E7BC-015B-4A2F-9DC3-91CF68F01720}">
      <text>
        <r>
          <rPr>
            <sz val="9"/>
            <color indexed="81"/>
            <rFont val="Tahoma"/>
            <charset val="1"/>
          </rPr>
          <t>Температура на приеме С</t>
        </r>
      </text>
    </comment>
    <comment ref="C6" authorId="0" shapeId="0" xr:uid="{89AC7E7A-2DDE-4BC2-80ED-49148DC2A2C0}">
      <text>
        <r>
          <rPr>
            <sz val="9"/>
            <color indexed="81"/>
            <rFont val="Tahoma"/>
            <charset val="1"/>
          </rPr>
          <t>Удельная плотность воды (по воде)</t>
        </r>
      </text>
    </comment>
    <comment ref="F6" authorId="0" shapeId="0" xr:uid="{E5712F88-70D2-4388-94EA-FFE0C32B9745}">
      <text>
        <r>
          <rPr>
            <sz val="9"/>
            <color indexed="81"/>
            <rFont val="Tahoma"/>
            <charset val="1"/>
          </rPr>
          <t xml:space="preserve">Номинальная частота питающего тока. Обычно 50 Гц. Для зарубежных ЭЦН может быть 60 Гц. Для ПЭД с двумя парами полюсов может быть 100 Гц. </t>
        </r>
      </text>
    </comment>
    <comment ref="I6" authorId="0" shapeId="0" xr:uid="{AD34799D-8A0B-480B-9493-ABB66D3F2C46}">
      <text>
        <r>
          <rPr>
            <sz val="9"/>
            <color indexed="81"/>
            <rFont val="Tahoma"/>
            <charset val="1"/>
          </rPr>
          <t>Температура на выкиде. Если задана то температура по ступеням ЭЦН меняется линейно. Если задано -1 то температура на выкиде рассчитывается</t>
        </r>
      </text>
    </comment>
    <comment ref="C7" authorId="0" shapeId="0" xr:uid="{CC95FE79-15A1-4D7F-A8F6-E21A7671D8B3}">
      <text>
        <r>
          <rPr>
            <sz val="9"/>
            <color indexed="81"/>
            <rFont val="Tahoma"/>
            <charset val="1"/>
          </rPr>
          <t>Газосодержание при давлении насыщения, м3/м3</t>
        </r>
      </text>
    </comment>
    <comment ref="F7" authorId="0" shapeId="0" xr:uid="{54C09A05-12A8-40AE-9F4A-287B30E823AC}">
      <text>
        <r>
          <rPr>
            <sz val="9"/>
            <color indexed="81"/>
            <rFont val="Tahoma"/>
            <charset val="1"/>
          </rPr>
          <t xml:space="preserve">ID (номер) насоса в базе данных. Вычисляется по номинальной подаче. Может быть задан явно, тогда номинальная подача игнорируется. ID и номинальная частота определяют модель насоса. </t>
        </r>
      </text>
    </comment>
    <comment ref="I7" authorId="0" shapeId="0" xr:uid="{8C9736E9-01D0-4009-A757-6D314457C742}">
      <text>
        <r>
          <rPr>
            <sz val="9"/>
            <color indexed="81"/>
            <rFont val="Tahoma"/>
            <charset val="1"/>
          </rPr>
          <t>json определяющий параметры потока флюидов</t>
        </r>
      </text>
    </comment>
    <comment ref="C8" authorId="0" shapeId="0" xr:uid="{C25096F9-98AD-4C0A-811A-62D933D24A35}">
      <text>
        <r>
          <rPr>
            <sz val="9"/>
            <color indexed="81"/>
            <rFont val="Tahoma"/>
            <charset val="1"/>
          </rPr>
          <t>Давление насыщения при заданной температуре, атма</t>
        </r>
      </text>
    </comment>
    <comment ref="F8" authorId="0" shapeId="0" xr:uid="{2B68E6E8-6E3F-4621-9128-CB16AAF68DA8}">
      <text>
        <r>
          <rPr>
            <sz val="9"/>
            <color indexed="81"/>
            <rFont val="Tahoma"/>
            <charset val="1"/>
          </rPr>
          <t xml:space="preserve">Количество ступеней ЭЦН. Вычисляется по номинальному напору. Может быть задано явно, тогда номинальный напор игнорируется.  </t>
        </r>
      </text>
    </comment>
    <comment ref="I8" authorId="0" shapeId="0" xr:uid="{C87C6022-4F1D-4528-9062-131E1AB45DC0}">
      <text>
        <r>
          <rPr>
            <sz val="9"/>
            <color indexed="81"/>
            <rFont val="Tahoma"/>
            <charset val="1"/>
          </rPr>
          <t>json задающий параметры ЭЦН. Используйте encode_ESP_pump() для генерации</t>
        </r>
      </text>
    </comment>
    <comment ref="C9" authorId="0" shapeId="0" xr:uid="{A50DDAE4-6DC7-44AA-84B2-431FC336E6FB}">
      <text>
        <r>
          <rPr>
            <sz val="9"/>
            <color indexed="81"/>
            <rFont val="Tahoma"/>
            <charset val="1"/>
          </rPr>
          <t>Температура пласта, при которой определено давление насыщения, С</t>
        </r>
      </text>
    </comment>
    <comment ref="F9" authorId="0" shapeId="0" xr:uid="{4E0E7851-3756-40A2-BAA3-A65572E2B39F}">
      <text>
        <r>
          <rPr>
            <sz val="9"/>
            <color indexed="81"/>
            <rFont val="Tahoma"/>
            <charset val="1"/>
          </rPr>
          <t xml:space="preserve">Калибровочный множитель на напор ступени.   </t>
        </r>
      </text>
    </comment>
    <comment ref="I9" authorId="0" shapeId="0" xr:uid="{D344C026-AF8D-4769-AC20-FF11D727FC77}">
      <text>
        <r>
          <rPr>
            <sz val="9"/>
            <color indexed="81"/>
            <rFont val="Tahoma"/>
            <charset val="1"/>
          </rPr>
          <t>Частота вращения вала ЭЦН</t>
        </r>
      </text>
    </comment>
    <comment ref="C10" authorId="0" shapeId="0" xr:uid="{3895C479-55DD-4B30-B0E0-FECFA2C4444E}">
      <text>
        <r>
          <rPr>
            <sz val="9"/>
            <color indexed="81"/>
            <rFont val="Tahoma"/>
            <charset val="1"/>
          </rPr>
          <t>Объемный коэффициент нефти при давлении насыщения и пластовой температуре, м3/м3</t>
        </r>
      </text>
    </comment>
    <comment ref="F10" authorId="0" shapeId="0" xr:uid="{C6DB85F1-2584-4ADB-A217-E46766A7A756}">
      <text>
        <r>
          <rPr>
            <sz val="9"/>
            <color indexed="81"/>
            <rFont val="Tahoma"/>
            <charset val="1"/>
          </rPr>
          <t xml:space="preserve">Калибровочный множитель на подачу ступени.   </t>
        </r>
      </text>
    </comment>
    <comment ref="I10" authorId="0" shapeId="0" xr:uid="{A0A8D2CC-491D-4584-BBE7-F5FDA39910C5}">
      <text>
        <r>
          <rPr>
            <sz val="9"/>
            <color indexed="81"/>
            <rFont val="Tahoma"/>
            <charset val="1"/>
          </rPr>
          <t>Флаг направления расчета. Если 1 то расчет от приема к выкиду. Если 0 то от выкида к приему</t>
        </r>
      </text>
    </comment>
    <comment ref="C11" authorId="0" shapeId="0" xr:uid="{F564CBBC-BC51-4FC4-8798-82A091706923}">
      <text>
        <r>
          <rPr>
            <sz val="9"/>
            <color indexed="81"/>
            <rFont val="Tahoma"/>
            <charset val="1"/>
          </rPr>
          <t>Вязкость нефти при давлении насыщения и пластовой температуре, сП</t>
        </r>
      </text>
    </comment>
    <comment ref="F11" authorId="0" shapeId="0" xr:uid="{95CA873D-4CD1-4C96-974A-970573A48486}">
      <text>
        <r>
          <rPr>
            <sz val="9"/>
            <color indexed="81"/>
            <rFont val="Tahoma"/>
            <charset val="1"/>
          </rPr>
          <t xml:space="preserve">Калибровочный множитель на мощностную характеристику ступени.   </t>
        </r>
      </text>
    </comment>
    <comment ref="I11" authorId="0" shapeId="0" xr:uid="{EA00BF3F-D2C5-4DD1-B78D-A3BB799BA694}">
      <text>
        <r>
          <rPr>
            <sz val="9"/>
            <color indexed="81"/>
            <rFont val="Tahoma"/>
            <charset val="1"/>
          </rPr>
          <t>Параметры расчета и вывода результатов (show_array, show_log, num_value, show_json)</t>
        </r>
      </text>
    </comment>
    <comment ref="C12" authorId="0" shapeId="0" xr:uid="{14E218D7-BD7C-4687-B674-69737AF71D11}">
      <text>
        <r>
          <rPr>
            <sz val="9"/>
            <color indexed="81"/>
            <rFont val="Tahoma"/>
            <charset val="1"/>
          </rPr>
          <t>Набор PVT корреляций. 0 - на основе корреляции Стендинга для газосодержания, 1 - на основе корреляции Веларда Маккейна для газосодержания</t>
        </r>
      </text>
    </comment>
    <comment ref="F12" authorId="0" shapeId="0" xr:uid="{6ECDED8A-E9F7-43FB-9118-28B4B95901F0}">
      <text>
        <r>
          <rPr>
            <sz val="9"/>
            <color indexed="81"/>
            <rFont val="Tahoma"/>
            <charset val="1"/>
          </rPr>
          <t xml:space="preserve">Модель корректировки РНХ из за влияния газа. 0 - нет корректировки. 1 - стандратный ЭЦН с пределом по газу 25%. 2 - ЭЦН с газостабилизирующими модулями с пределом по газу 50% 4 - ЭЦН с осевым модулем с пределом по газу 75%, 5 - ЭЦН с пределом 25% на основе стендовых испытаний Горидько К.А. </t>
        </r>
      </text>
    </comment>
    <comment ref="I12" authorId="0" shapeId="0" xr:uid="{E38E9572-B594-4A9B-BC63-3548724972AA}">
      <text>
        <r>
          <rPr>
            <sz val="9"/>
            <color indexed="81"/>
            <rFont val="Tahoma"/>
            <charset val="1"/>
          </rPr>
          <t>Измеренная глубина установки ЭЦН. Удобно использовать для построения графиков из результатов</t>
        </r>
      </text>
    </comment>
    <comment ref="F13" authorId="0" shapeId="0" xr:uid="{200B5A83-9C0F-4F7D-8DED-50B28C0A0182}">
      <text>
        <r>
          <rPr>
            <sz val="9"/>
            <color indexed="81"/>
            <rFont val="Tahoma"/>
            <charset val="1"/>
          </rPr>
          <t xml:space="preserve">Экспериментальная опция. Определяет будет ли корректировка по газу применяться ко всем ступеням ЭЦН одинаково (0), или к каждой ступени индивидуально (1).  </t>
        </r>
      </text>
    </comment>
    <comment ref="I13" authorId="0" shapeId="0" xr:uid="{DA8A2826-9982-4878-8270-59FE982FCFB9}">
      <text>
        <r>
          <rPr>
            <sz val="9"/>
            <color indexed="81"/>
            <rFont val="Tahoma"/>
            <charset val="1"/>
          </rPr>
          <t>Дебит жидкости, если задан переоределяет параметры потока ст.м3/сут</t>
        </r>
      </text>
    </comment>
    <comment ref="C14" authorId="0" shapeId="0" xr:uid="{33343C37-161D-4975-8247-89C10E7D9EE7}">
      <text>
        <r>
          <rPr>
            <sz val="9"/>
            <color indexed="81"/>
            <rFont val="Tahoma"/>
            <charset val="1"/>
          </rPr>
          <t>Дебит жидкости в стандартных условиях</t>
        </r>
      </text>
    </comment>
    <comment ref="F14" authorId="0" shapeId="0" xr:uid="{F6D8F7BF-BC69-470E-9A46-08E8E57B9C17}">
      <text>
        <r>
          <rPr>
            <sz val="9"/>
            <color indexed="81"/>
            <rFont val="Tahoma"/>
            <charset val="1"/>
          </rPr>
          <t xml:space="preserve">Шаг интегрирования перепада давления в ЭЦН. 1 значит интегрирование по отдельным ступеням Целое число более 1 определяет шаг интегрирования. 10 - расчет пакетами по 10 ступеней. Большой шаг ускоряет расчет, но вносит численную ошибку интегрирования </t>
        </r>
      </text>
    </comment>
    <comment ref="I14" authorId="0" shapeId="0" xr:uid="{D8891223-4749-44F4-BD08-4F5CCE12BCCA}">
      <text>
        <r>
          <rPr>
            <sz val="9"/>
            <color indexed="81"/>
            <rFont val="Tahoma"/>
            <charset val="1"/>
          </rPr>
          <t>Обводненность, если задана переоределяет параметры потока %</t>
        </r>
      </text>
    </comment>
    <comment ref="C15" authorId="0" shapeId="0" xr:uid="{4FA36F2B-34A9-47C4-9CFB-3E7FAE31404E}">
      <text>
        <r>
          <rPr>
            <sz val="9"/>
            <color indexed="81"/>
            <rFont val="Tahoma"/>
            <charset val="1"/>
          </rPr>
          <t>Обводненность, %</t>
        </r>
      </text>
    </comment>
    <comment ref="F15" authorId="0" shapeId="0" xr:uid="{D40B9A0F-3927-415C-BE23-30C4A2C2174F}">
      <text>
        <r>
          <rPr>
            <sz val="9"/>
            <color indexed="81"/>
            <rFont val="Tahoma"/>
            <charset val="1"/>
          </rPr>
          <t>закодированные в json параметры ЭЦН. Могут быть заданы с использованием ID насоса и количества ступеней или на основе номинальной подачи и номинального напора</t>
        </r>
      </text>
    </comment>
    <comment ref="I15" authorId="0" shapeId="0" xr:uid="{B5B510AE-6705-4209-B2E9-2D17886BDF99}">
      <text>
        <r>
          <rPr>
            <sz val="9"/>
            <color indexed="81"/>
            <rFont val="Tahoma"/>
            <charset val="1"/>
          </rPr>
          <t>Газовый фактор, если задан переоределяет параметры потока м3/м3</t>
        </r>
      </text>
    </comment>
    <comment ref="C16" authorId="0" shapeId="0" xr:uid="{9A152F8A-A572-446A-A1E5-4683F23B831F}">
      <text>
        <r>
          <rPr>
            <sz val="9"/>
            <color indexed="81"/>
            <rFont val="Tahoma"/>
            <charset val="1"/>
          </rPr>
          <t>Газовый фактор, м3/м3</t>
        </r>
      </text>
    </comment>
    <comment ref="I16" authorId="0" shapeId="0" xr:uid="{FB25CDB8-0129-4129-AFE1-C7889A6F8431}">
      <text>
        <r>
          <rPr>
            <sz val="9"/>
            <color indexed="81"/>
            <rFont val="Tahoma"/>
            <charset val="1"/>
          </rPr>
          <t>Дебит свободного газа, если задан переоределяет параметры потока ст.м3/сут</t>
        </r>
      </text>
    </comment>
    <comment ref="C17" authorId="0" shapeId="0" xr:uid="{7C565F4A-800C-4701-810D-0E2AECF141D9}">
      <text>
        <r>
          <rPr>
            <sz val="9"/>
            <color indexed="81"/>
            <rFont val="Tahoma"/>
            <charset val="1"/>
          </rPr>
          <t>Дебит свободного газа в потоке ст.м3/сут. Свободный газ в потоке дополняет газ выделившийся из нефти.</t>
        </r>
      </text>
    </comment>
    <comment ref="C22" authorId="0" shapeId="0" xr:uid="{09796A2F-0187-4C59-B691-E893FF29C296}">
      <text>
        <r>
          <rPr>
            <sz val="9"/>
            <color indexed="81"/>
            <rFont val="Tahoma"/>
            <charset val="1"/>
          </rPr>
          <t>Коэффициент сепарации газа, д.е.</t>
        </r>
      </text>
    </comment>
    <comment ref="C23" authorId="0" shapeId="0" xr:uid="{ED4359E7-C7F4-4F5D-B31E-238B99D83610}">
      <text>
        <r>
          <rPr>
            <sz val="9"/>
            <color indexed="81"/>
            <rFont val="Tahoma"/>
            <charset val="1"/>
          </rPr>
          <t>Давление сепарации, атм</t>
        </r>
      </text>
    </comment>
    <comment ref="C24" authorId="0" shapeId="0" xr:uid="{03A6F177-9787-4AC2-BF40-87C7247E3E33}">
      <text>
        <r>
          <rPr>
            <sz val="9"/>
            <color indexed="81"/>
            <rFont val="Tahoma"/>
            <charset val="1"/>
          </rPr>
          <t>Температура сепарации, С</t>
        </r>
      </text>
    </comment>
    <comment ref="C25" authorId="0" shapeId="0" xr:uid="{440D1EDE-F534-4EF5-A260-C05B6476ED97}">
      <text>
        <r>
          <rPr>
            <sz val="9"/>
            <color indexed="81"/>
            <rFont val="Tahoma"/>
            <charset val="1"/>
          </rPr>
          <t>json строка с параметрами потока флюидов. Установите ссылку на ячейку с параметрами флюида</t>
        </r>
      </text>
    </comment>
    <comment ref="C26" authorId="0" shapeId="0" xr:uid="{AFF3DF61-6C6F-4130-BCA7-4B269C743098}">
      <text>
        <r>
          <rPr>
            <sz val="9"/>
            <color indexed="81"/>
            <rFont val="Tahoma"/>
            <charset val="1"/>
          </rPr>
          <t>Коэффициент фазной неравновесности:1 - соответвует полному растворению газа в нефти при повышении давления;0 - при повышении давления газ только сжимается, но не растворяется в нефти.Может принимать промежуточные значения.</t>
        </r>
      </text>
    </comment>
    <comment ref="C27" authorId="0" shapeId="0" xr:uid="{E64E0855-C1BE-4147-B770-0A331BD93B26}">
      <text>
        <r>
          <rPr>
            <sz val="9"/>
            <color indexed="81"/>
            <rFont val="Tahoma"/>
            <charset val="1"/>
          </rPr>
          <t>Расчетная json строка с параметрами потока флюидов (feed) после сепарации газа</t>
        </r>
      </text>
    </comment>
    <comment ref="I42" authorId="0" shapeId="0" xr:uid="{95D8D801-036C-46A3-813A-0A1148B21857}">
      <text>
        <r>
          <rPr>
            <sz val="9"/>
            <color indexed="81"/>
            <rFont val="Tahoma"/>
            <charset val="1"/>
          </rPr>
          <t>Давление начала расчета. Если calc_along_flow=1 то давление на приеме, иначе на выкиде</t>
        </r>
      </text>
    </comment>
    <comment ref="I43" authorId="0" shapeId="0" xr:uid="{C2A0A10D-99AD-48F4-9021-E605022053A7}">
      <text>
        <r>
          <rPr>
            <sz val="9"/>
            <color indexed="81"/>
            <rFont val="Tahoma"/>
            <charset val="1"/>
          </rPr>
          <t>Температура на приеме С</t>
        </r>
      </text>
    </comment>
    <comment ref="I44" authorId="0" shapeId="0" xr:uid="{465C5DF6-05AE-490D-A94E-E8ABB3ECCA03}">
      <text>
        <r>
          <rPr>
            <sz val="9"/>
            <color indexed="81"/>
            <rFont val="Tahoma"/>
            <charset val="1"/>
          </rPr>
          <t>Температура на выкиде. Если задана то температура по ступеням ЭЦН меняется линейно. Если задано -1 то температура на выкиде рассчитывается</t>
        </r>
      </text>
    </comment>
    <comment ref="I45" authorId="0" shapeId="0" xr:uid="{7B7F4354-DA4B-4244-9F2D-1758318BF7D8}">
      <text>
        <r>
          <rPr>
            <sz val="9"/>
            <color indexed="81"/>
            <rFont val="Tahoma"/>
            <charset val="1"/>
          </rPr>
          <t>json определяющий параметры потока флюидов</t>
        </r>
      </text>
    </comment>
    <comment ref="I46" authorId="0" shapeId="0" xr:uid="{2E24398B-8A63-4697-8B75-8F5845C9ED74}">
      <text>
        <r>
          <rPr>
            <sz val="9"/>
            <color indexed="81"/>
            <rFont val="Tahoma"/>
            <charset val="1"/>
          </rPr>
          <t>json задающий параметры ЭЦН. Используйте encode_ESP_pump() для генерации</t>
        </r>
      </text>
    </comment>
    <comment ref="I47" authorId="0" shapeId="0" xr:uid="{5118D1AA-2029-4809-BEB1-1AC2C7A72DC6}">
      <text>
        <r>
          <rPr>
            <sz val="9"/>
            <color indexed="81"/>
            <rFont val="Tahoma"/>
            <charset val="1"/>
          </rPr>
          <t>Частота вращения вала ЭЦН</t>
        </r>
      </text>
    </comment>
    <comment ref="I48" authorId="0" shapeId="0" xr:uid="{BED7D9BD-E913-40EF-9D01-DE51BA58F0B2}">
      <text>
        <r>
          <rPr>
            <sz val="9"/>
            <color indexed="81"/>
            <rFont val="Tahoma"/>
            <charset val="1"/>
          </rPr>
          <t>Флаг направления расчета. Если 1 то расчет от приема к выкиду. Если 0 то от выкида к приему</t>
        </r>
      </text>
    </comment>
    <comment ref="I49" authorId="0" shapeId="0" xr:uid="{E136A81F-FE70-4D57-B99C-AB8E0251D6DC}">
      <text>
        <r>
          <rPr>
            <sz val="9"/>
            <color indexed="81"/>
            <rFont val="Tahoma"/>
            <charset val="1"/>
          </rPr>
          <t>Параметры расчета и вывода результатов (show_array, show_log, num_value, show_json)</t>
        </r>
      </text>
    </comment>
    <comment ref="I50" authorId="0" shapeId="0" xr:uid="{AB6E958C-EDE8-48B1-83CE-E7D6598184D8}">
      <text>
        <r>
          <rPr>
            <sz val="9"/>
            <color indexed="81"/>
            <rFont val="Tahoma"/>
            <charset val="1"/>
          </rPr>
          <t>Измеренная глубина установки ЭЦН. Удобно использовать для построения графиков из результатов</t>
        </r>
      </text>
    </comment>
    <comment ref="I51" authorId="0" shapeId="0" xr:uid="{F4BB1B8C-F60A-4EA9-9460-6481B7FC8F19}">
      <text>
        <r>
          <rPr>
            <sz val="9"/>
            <color indexed="81"/>
            <rFont val="Tahoma"/>
            <charset val="1"/>
          </rPr>
          <t>Дебит жидкости, если задан переоределяет параметры потока ст.м3/сут</t>
        </r>
      </text>
    </comment>
    <comment ref="I52" authorId="0" shapeId="0" xr:uid="{7CCB9F01-484B-4827-90CD-F752989205C9}">
      <text>
        <r>
          <rPr>
            <sz val="9"/>
            <color indexed="81"/>
            <rFont val="Tahoma"/>
            <charset val="1"/>
          </rPr>
          <t>Обводненность, если задана переоределяет параметры потока %</t>
        </r>
      </text>
    </comment>
    <comment ref="L52" authorId="0" shapeId="0" xr:uid="{CB4F207F-348E-4C06-9392-F50734D3172E}">
      <text>
        <r>
          <rPr>
            <sz val="9"/>
            <color indexed="81"/>
            <rFont val="Tahoma"/>
            <charset val="1"/>
          </rPr>
          <t>Нижняя граница диапазона построения графиков</t>
        </r>
      </text>
    </comment>
    <comment ref="I53" authorId="0" shapeId="0" xr:uid="{D55BFD30-55B9-4A2E-BA9A-3B87682BBF44}">
      <text>
        <r>
          <rPr>
            <sz val="9"/>
            <color indexed="81"/>
            <rFont val="Tahoma"/>
            <charset val="1"/>
          </rPr>
          <t>Газовый фактор, если задан переоределяет параметры потока м3/м3</t>
        </r>
      </text>
    </comment>
    <comment ref="L53" authorId="0" shapeId="0" xr:uid="{0C6FB0F5-5D5A-4923-BF09-358416945A4D}">
      <text>
        <r>
          <rPr>
            <sz val="9"/>
            <color indexed="81"/>
            <rFont val="Tahoma"/>
            <charset val="1"/>
          </rPr>
          <t>Верхняя граница диапазона построения графиков</t>
        </r>
      </text>
    </comment>
    <comment ref="I54" authorId="0" shapeId="0" xr:uid="{C9D09EAC-E692-4FF9-8E2D-4CA819D4D2BF}">
      <text>
        <r>
          <rPr>
            <sz val="9"/>
            <color indexed="81"/>
            <rFont val="Tahoma"/>
            <charset val="1"/>
          </rPr>
          <t>Дебит свободного газа, если задан переоределяет параметры потока ст.м3/сут</t>
        </r>
      </text>
    </comment>
    <comment ref="H55" authorId="0" shapeId="0" xr:uid="{CB5786E6-4BF7-43C8-B80A-4A2AF101A5D4}">
      <text>
        <r>
          <rPr>
            <sz val="9"/>
            <color indexed="81"/>
            <rFont val="Tahoma"/>
            <charset val="1"/>
          </rPr>
          <t>Дебит жидкости, ст.м3/сут задается для построения графиков</t>
        </r>
      </text>
    </comment>
    <comment ref="I55" authorId="0" shapeId="0" xr:uid="{FC7F727B-E024-47DD-A6A7-AD55135BF623}">
      <text>
        <r>
          <rPr>
            <sz val="9"/>
            <color indexed="81"/>
            <rFont val="Tahoma"/>
            <charset val="1"/>
          </rPr>
          <t>Давление на выкиде ЭЦН или на приеме ЭЦН в зависимости от флага calc_along_flow</t>
        </r>
      </text>
    </comment>
    <comment ref="J55" authorId="0" shapeId="0" xr:uid="{2C92FD41-D4C6-45B9-A040-39A999315CEE}">
      <text>
        <r>
          <rPr>
            <sz val="9"/>
            <color indexed="81"/>
            <rFont val="Tahoma"/>
            <charset val="1"/>
          </rPr>
          <t>Давление на приеме ЭЦН, атма</t>
        </r>
      </text>
    </comment>
    <comment ref="K55" authorId="0" shapeId="0" xr:uid="{446C119C-D822-4D82-882A-6BF07A442539}">
      <text>
        <r>
          <rPr>
            <sz val="9"/>
            <color indexed="81"/>
            <rFont val="Tahoma"/>
            <charset val="1"/>
          </rPr>
          <t>Температура на приеме ЭЦН, С</t>
        </r>
      </text>
    </comment>
    <comment ref="L55" authorId="0" shapeId="0" xr:uid="{C9A629DB-3964-4921-AF75-BF782AAE9140}">
      <text>
        <r>
          <rPr>
            <sz val="9"/>
            <color indexed="81"/>
            <rFont val="Tahoma"/>
            <charset val="1"/>
          </rPr>
          <t>Давление на выкиде ЭЦН, атма</t>
        </r>
      </text>
    </comment>
    <comment ref="M55" authorId="0" shapeId="0" xr:uid="{3B82B018-C579-47C6-83C4-B78939325002}">
      <text>
        <r>
          <rPr>
            <sz val="9"/>
            <color indexed="81"/>
            <rFont val="Tahoma"/>
            <charset val="1"/>
          </rPr>
          <t>Температура на выкиде ЭЦН, С</t>
        </r>
      </text>
    </comment>
    <comment ref="N55" authorId="0" shapeId="0" xr:uid="{F3A88FCD-5FB8-416B-A486-1854F06A41EA}">
      <text>
        <r>
          <rPr>
            <sz val="9"/>
            <color indexed="81"/>
            <rFont val="Tahoma"/>
            <charset val="1"/>
          </rPr>
          <t>Расчетный напор ЭЦН, суммируется по ступеням, м</t>
        </r>
      </text>
    </comment>
    <comment ref="O55" authorId="0" shapeId="0" xr:uid="{BDE00216-E0F5-46F8-9A59-AA869A65F18A}">
      <text>
        <r>
          <rPr>
            <sz val="9"/>
            <color indexed="81"/>
            <rFont val="Tahoma"/>
            <charset val="1"/>
          </rPr>
          <t>Средний КПД ЭЦН, %</t>
        </r>
      </text>
    </comment>
    <comment ref="P55" authorId="0" shapeId="0" xr:uid="{3556A353-48C9-4010-8F2F-87C04871C2C4}">
      <text>
        <r>
          <rPr>
            <sz val="9"/>
            <color indexed="81"/>
            <rFont val="Tahoma"/>
            <charset val="1"/>
          </rPr>
          <t>Полезная гидравлическая мощность развиваемая ЭЦН, Вт</t>
        </r>
      </text>
    </comment>
    <comment ref="Q55" authorId="0" shapeId="0" xr:uid="{42488E72-A0F4-4B74-AA88-0FB29AAD957A}">
      <text>
        <r>
          <rPr>
            <sz val="9"/>
            <color indexed="81"/>
            <rFont val="Tahoma"/>
            <charset val="1"/>
          </rPr>
          <t>Потребляемая механическая мощность с вала для ЭЦН, Вт</t>
        </r>
      </text>
    </comment>
    <comment ref="R55" authorId="0" shapeId="0" xr:uid="{C0CEB10C-E8EA-4ACE-B66E-B2EC36ECACF3}">
      <text>
        <r>
          <rPr>
            <sz val="9"/>
            <color indexed="81"/>
            <rFont val="Tahoma"/>
            <charset val="1"/>
          </rPr>
          <t>Оценка поправки на влияние газа</t>
        </r>
      </text>
    </comment>
  </commentList>
</comments>
</file>

<file path=xl/sharedStrings.xml><?xml version="1.0" encoding="utf-8"?>
<sst xmlns="http://schemas.openxmlformats.org/spreadsheetml/2006/main" count="118" uniqueCount="57">
  <si>
    <t>Свойства флюидов</t>
  </si>
  <si>
    <t>gamma_gas</t>
  </si>
  <si>
    <t>gamma_oil</t>
  </si>
  <si>
    <t>gamma_wat</t>
  </si>
  <si>
    <t>rsb_m3m3</t>
  </si>
  <si>
    <t>pb_atma</t>
  </si>
  <si>
    <t>t_res_C</t>
  </si>
  <si>
    <t>bob_m3m3</t>
  </si>
  <si>
    <t>muob_cP</t>
  </si>
  <si>
    <t>pvt_corr_set</t>
  </si>
  <si>
    <t>PVT</t>
  </si>
  <si>
    <t>q_liq_sm3day</t>
  </si>
  <si>
    <t>fw_perc</t>
  </si>
  <si>
    <t>rp_m3m3</t>
  </si>
  <si>
    <t>q_gas_free_sm3day</t>
  </si>
  <si>
    <t>feed</t>
  </si>
  <si>
    <t xml:space="preserve"> </t>
  </si>
  <si>
    <t>ЭЦН</t>
  </si>
  <si>
    <t>ESP_q_nom</t>
  </si>
  <si>
    <t>ESP_head_nom</t>
  </si>
  <si>
    <t>freq_nom</t>
  </si>
  <si>
    <t>ESP_ID</t>
  </si>
  <si>
    <t>num_stages</t>
  </si>
  <si>
    <t>calibr_head</t>
  </si>
  <si>
    <t>calibr_rate</t>
  </si>
  <si>
    <t>calibr_power</t>
  </si>
  <si>
    <t>gas_correct_model</t>
  </si>
  <si>
    <t>gas_correct_stage_by_stage</t>
  </si>
  <si>
    <t>dnum_stages_integrate</t>
  </si>
  <si>
    <t>encode_esp_pump</t>
  </si>
  <si>
    <t>p_atma</t>
  </si>
  <si>
    <t>t_intake_C</t>
  </si>
  <si>
    <t>t_dis_C</t>
  </si>
  <si>
    <t>json_ESP_pump</t>
  </si>
  <si>
    <t>freq_Hz</t>
  </si>
  <si>
    <t>calc_along_flow</t>
  </si>
  <si>
    <t>param</t>
  </si>
  <si>
    <t>{"show_array":1}</t>
  </si>
  <si>
    <t>h_mes_top</t>
  </si>
  <si>
    <t>Расчет распределения давления в ЭЦН</t>
  </si>
  <si>
    <t>k_sep</t>
  </si>
  <si>
    <t>t_C</t>
  </si>
  <si>
    <t>sol_factor</t>
  </si>
  <si>
    <t>new feed</t>
  </si>
  <si>
    <t>q_min</t>
  </si>
  <si>
    <t>q_max</t>
  </si>
  <si>
    <t>q_list</t>
  </si>
  <si>
    <t>p_dis_atma</t>
  </si>
  <si>
    <t>p_int_atma</t>
  </si>
  <si>
    <t>t_int_C</t>
  </si>
  <si>
    <t>head_m</t>
  </si>
  <si>
    <t>eff_ESP_d, %</t>
  </si>
  <si>
    <t>power_fluid_W</t>
  </si>
  <si>
    <t>power_ESP_W</t>
  </si>
  <si>
    <t>gas_correction</t>
  </si>
  <si>
    <t>log</t>
  </si>
  <si>
    <t>Сепарация газа из потока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</si>
</sst>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FAFA"/>
        <bgColor indexed="64"/>
      </patternFill>
    </fill>
    <fill>
      <patternFill patternType="solid">
        <fgColor rgb="FFDCFAA0"/>
        <bgColor indexed="64"/>
      </patternFill>
    </fill>
    <fill>
      <patternFill patternType="solid">
        <fgColor rgb="FFE1C8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6" borderId="0" xfId="0" applyNumberFormat="1" applyFill="1"/>
    <xf numFmtId="1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Pressure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Лист1!$H$20:$H$39</c:f>
              <c:numCache>
                <c:formatCode>0</c:formatCode>
                <c:ptCount val="20"/>
                <c:pt idx="0">
                  <c:v>0</c:v>
                </c:pt>
                <c:pt idx="1">
                  <c:v>13.157894736842104</c:v>
                </c:pt>
                <c:pt idx="2">
                  <c:v>26.315789473684209</c:v>
                </c:pt>
                <c:pt idx="3">
                  <c:v>39.473684210526315</c:v>
                </c:pt>
                <c:pt idx="4">
                  <c:v>52.631578947368418</c:v>
                </c:pt>
                <c:pt idx="5">
                  <c:v>65.78947368421052</c:v>
                </c:pt>
                <c:pt idx="6">
                  <c:v>78.94736842105263</c:v>
                </c:pt>
                <c:pt idx="7">
                  <c:v>92.105263157894726</c:v>
                </c:pt>
                <c:pt idx="8">
                  <c:v>105.26315789473684</c:v>
                </c:pt>
                <c:pt idx="9">
                  <c:v>118.42105263157895</c:v>
                </c:pt>
                <c:pt idx="10">
                  <c:v>131.57894736842104</c:v>
                </c:pt>
                <c:pt idx="11">
                  <c:v>144.73684210526315</c:v>
                </c:pt>
                <c:pt idx="12">
                  <c:v>157.89473684210526</c:v>
                </c:pt>
                <c:pt idx="13">
                  <c:v>171.05263157894737</c:v>
                </c:pt>
                <c:pt idx="14">
                  <c:v>184.21052631578945</c:v>
                </c:pt>
                <c:pt idx="15">
                  <c:v>197.36842105263156</c:v>
                </c:pt>
                <c:pt idx="16">
                  <c:v>210.52631578947367</c:v>
                </c:pt>
                <c:pt idx="17">
                  <c:v>223.68421052631578</c:v>
                </c:pt>
                <c:pt idx="18">
                  <c:v>236.84210526315789</c:v>
                </c:pt>
                <c:pt idx="19">
                  <c:v>250</c:v>
                </c:pt>
              </c:numCache>
            </c:numRef>
          </c:xVal>
          <c:yVal>
            <c:numRef>
              <c:f>Лист1!$J$20:$J$39</c:f>
              <c:numCache>
                <c:formatCode>0</c:formatCode>
                <c:ptCount val="20"/>
                <c:pt idx="0">
                  <c:v>50</c:v>
                </c:pt>
                <c:pt idx="1">
                  <c:v>54.805479061835577</c:v>
                </c:pt>
                <c:pt idx="2">
                  <c:v>60.177974098654872</c:v>
                </c:pt>
                <c:pt idx="3">
                  <c:v>66.027079114334981</c:v>
                </c:pt>
                <c:pt idx="4">
                  <c:v>72.449099364392964</c:v>
                </c:pt>
                <c:pt idx="5">
                  <c:v>79.3493800032509</c:v>
                </c:pt>
                <c:pt idx="6">
                  <c:v>86.428156270034393</c:v>
                </c:pt>
                <c:pt idx="7">
                  <c:v>93.513929424955393</c:v>
                </c:pt>
                <c:pt idx="8">
                  <c:v>100.60496009756802</c:v>
                </c:pt>
                <c:pt idx="9">
                  <c:v>107.70001063729681</c:v>
                </c:pt>
                <c:pt idx="10">
                  <c:v>114.79863492563553</c:v>
                </c:pt>
                <c:pt idx="11">
                  <c:v>121.90012143685536</c:v>
                </c:pt>
                <c:pt idx="12">
                  <c:v>129.0036961456544</c:v>
                </c:pt>
                <c:pt idx="13">
                  <c:v>136.10904133188166</c:v>
                </c:pt>
                <c:pt idx="14">
                  <c:v>143.21583017258308</c:v>
                </c:pt>
                <c:pt idx="15">
                  <c:v>150.32357361702807</c:v>
                </c:pt>
                <c:pt idx="16">
                  <c:v>157.43203692809863</c:v>
                </c:pt>
                <c:pt idx="17">
                  <c:v>164.54102313901916</c:v>
                </c:pt>
                <c:pt idx="18">
                  <c:v>171.65024486177865</c:v>
                </c:pt>
                <c:pt idx="19">
                  <c:v>178.75953731327525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E5C-43BD-B5F5-4350C41BE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33391"/>
        <c:axId val="746344911"/>
      </c:scatterChart>
      <c:valAx>
        <c:axId val="74633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44911"/>
        <c:crosses val="autoZero"/>
        <c:crossBetween val="midCat"/>
      </c:valAx>
      <c:valAx>
        <c:axId val="7463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P, atma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3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gas fraction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Лист1!$H$20:$H$39</c:f>
              <c:numCache>
                <c:formatCode>0</c:formatCode>
                <c:ptCount val="20"/>
                <c:pt idx="0">
                  <c:v>0</c:v>
                </c:pt>
                <c:pt idx="1">
                  <c:v>13.157894736842104</c:v>
                </c:pt>
                <c:pt idx="2">
                  <c:v>26.315789473684209</c:v>
                </c:pt>
                <c:pt idx="3">
                  <c:v>39.473684210526315</c:v>
                </c:pt>
                <c:pt idx="4">
                  <c:v>52.631578947368418</c:v>
                </c:pt>
                <c:pt idx="5">
                  <c:v>65.78947368421052</c:v>
                </c:pt>
                <c:pt idx="6">
                  <c:v>78.94736842105263</c:v>
                </c:pt>
                <c:pt idx="7">
                  <c:v>92.105263157894726</c:v>
                </c:pt>
                <c:pt idx="8">
                  <c:v>105.26315789473684</c:v>
                </c:pt>
                <c:pt idx="9">
                  <c:v>118.42105263157895</c:v>
                </c:pt>
                <c:pt idx="10">
                  <c:v>131.57894736842104</c:v>
                </c:pt>
                <c:pt idx="11">
                  <c:v>144.73684210526315</c:v>
                </c:pt>
                <c:pt idx="12">
                  <c:v>157.89473684210526</c:v>
                </c:pt>
                <c:pt idx="13">
                  <c:v>171.05263157894737</c:v>
                </c:pt>
                <c:pt idx="14">
                  <c:v>184.21052631578945</c:v>
                </c:pt>
                <c:pt idx="15">
                  <c:v>197.36842105263156</c:v>
                </c:pt>
                <c:pt idx="16">
                  <c:v>210.52631578947367</c:v>
                </c:pt>
                <c:pt idx="17">
                  <c:v>223.68421052631578</c:v>
                </c:pt>
                <c:pt idx="18">
                  <c:v>236.84210526315789</c:v>
                </c:pt>
                <c:pt idx="19">
                  <c:v>250</c:v>
                </c:pt>
              </c:numCache>
            </c:numRef>
          </c:xVal>
          <c:yVal>
            <c:numRef>
              <c:f>Лист1!$L$20:$L$39</c:f>
              <c:numCache>
                <c:formatCode>0</c:formatCode>
                <c:ptCount val="20"/>
                <c:pt idx="0">
                  <c:v>35.633063195516534</c:v>
                </c:pt>
                <c:pt idx="1">
                  <c:v>33.374058256778198</c:v>
                </c:pt>
                <c:pt idx="2">
                  <c:v>25.010423042345327</c:v>
                </c:pt>
                <c:pt idx="3">
                  <c:v>17.544162207969009</c:v>
                </c:pt>
                <c:pt idx="4">
                  <c:v>9.5451633561224778</c:v>
                </c:pt>
                <c:pt idx="5">
                  <c:v>2.0642121885891771</c:v>
                </c:pt>
                <c:pt idx="6">
                  <c:v>9.0880749085223417E-16</c:v>
                </c:pt>
                <c:pt idx="7">
                  <c:v>8.3284450711908443E-16</c:v>
                </c:pt>
                <c:pt idx="8">
                  <c:v>7.6907708868081552E-16</c:v>
                </c:pt>
                <c:pt idx="9">
                  <c:v>7.1443323015645357E-16</c:v>
                </c:pt>
                <c:pt idx="10">
                  <c:v>6.6793108734302791E-16</c:v>
                </c:pt>
                <c:pt idx="11">
                  <c:v>6.2806685048352208E-16</c:v>
                </c:pt>
                <c:pt idx="12">
                  <c:v>5.9320937771701686E-16</c:v>
                </c:pt>
                <c:pt idx="13">
                  <c:v>5.628209828784834E-16</c:v>
                </c:pt>
                <c:pt idx="14">
                  <c:v>5.3638667115292794E-16</c:v>
                </c:pt>
                <c:pt idx="15">
                  <c:v>5.1289663932980283E-16</c:v>
                </c:pt>
                <c:pt idx="16">
                  <c:v>4.9201163852504219E-16</c:v>
                </c:pt>
                <c:pt idx="17">
                  <c:v>4.7361104591864502E-16</c:v>
                </c:pt>
                <c:pt idx="18">
                  <c:v>4.5703254491183788E-16</c:v>
                </c:pt>
                <c:pt idx="19">
                  <c:v>4.4204504139257104E-16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E9C-4AE7-942C-8CDD15D92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48271"/>
        <c:axId val="746330511"/>
      </c:scatterChart>
      <c:valAx>
        <c:axId val="74634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30511"/>
        <c:crosses val="autoZero"/>
        <c:crossBetween val="midCat"/>
      </c:valAx>
      <c:valAx>
        <c:axId val="74633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48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q_mix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Лист1!$H$20:$H$39</c:f>
              <c:numCache>
                <c:formatCode>0</c:formatCode>
                <c:ptCount val="20"/>
                <c:pt idx="0">
                  <c:v>0</c:v>
                </c:pt>
                <c:pt idx="1">
                  <c:v>13.157894736842104</c:v>
                </c:pt>
                <c:pt idx="2">
                  <c:v>26.315789473684209</c:v>
                </c:pt>
                <c:pt idx="3">
                  <c:v>39.473684210526315</c:v>
                </c:pt>
                <c:pt idx="4">
                  <c:v>52.631578947368418</c:v>
                </c:pt>
                <c:pt idx="5">
                  <c:v>65.78947368421052</c:v>
                </c:pt>
                <c:pt idx="6">
                  <c:v>78.94736842105263</c:v>
                </c:pt>
                <c:pt idx="7">
                  <c:v>92.105263157894726</c:v>
                </c:pt>
                <c:pt idx="8">
                  <c:v>105.26315789473684</c:v>
                </c:pt>
                <c:pt idx="9">
                  <c:v>118.42105263157895</c:v>
                </c:pt>
                <c:pt idx="10">
                  <c:v>131.57894736842104</c:v>
                </c:pt>
                <c:pt idx="11">
                  <c:v>144.73684210526315</c:v>
                </c:pt>
                <c:pt idx="12">
                  <c:v>157.89473684210526</c:v>
                </c:pt>
                <c:pt idx="13">
                  <c:v>171.05263157894737</c:v>
                </c:pt>
                <c:pt idx="14">
                  <c:v>184.21052631578945</c:v>
                </c:pt>
                <c:pt idx="15">
                  <c:v>197.36842105263156</c:v>
                </c:pt>
                <c:pt idx="16">
                  <c:v>210.52631578947367</c:v>
                </c:pt>
                <c:pt idx="17">
                  <c:v>223.68421052631578</c:v>
                </c:pt>
                <c:pt idx="18">
                  <c:v>236.84210526315789</c:v>
                </c:pt>
                <c:pt idx="19">
                  <c:v>250</c:v>
                </c:pt>
              </c:numCache>
            </c:numRef>
          </c:xVal>
          <c:yVal>
            <c:numRef>
              <c:f>Лист1!$M$20:$M$39</c:f>
              <c:numCache>
                <c:formatCode>0</c:formatCode>
                <c:ptCount val="20"/>
                <c:pt idx="0">
                  <c:v>49.467538887141167</c:v>
                </c:pt>
                <c:pt idx="1">
                  <c:v>48.014575383861057</c:v>
                </c:pt>
                <c:pt idx="2">
                  <c:v>43.007240063777303</c:v>
                </c:pt>
                <c:pt idx="3">
                  <c:v>39.409622386597924</c:v>
                </c:pt>
                <c:pt idx="4">
                  <c:v>36.288401453727715</c:v>
                </c:pt>
                <c:pt idx="5">
                  <c:v>33.812417679593167</c:v>
                </c:pt>
                <c:pt idx="6">
                  <c:v>33.153913265391175</c:v>
                </c:pt>
                <c:pt idx="7">
                  <c:v>33.124636870906393</c:v>
                </c:pt>
                <c:pt idx="8">
                  <c:v>33.101098553890957</c:v>
                </c:pt>
                <c:pt idx="9">
                  <c:v>33.081842315231739</c:v>
                </c:pt>
                <c:pt idx="10">
                  <c:v>33.066398101555642</c:v>
                </c:pt>
                <c:pt idx="11">
                  <c:v>33.054065197868901</c:v>
                </c:pt>
                <c:pt idx="12">
                  <c:v>33.044089495287558</c:v>
                </c:pt>
                <c:pt idx="13">
                  <c:v>33.036233314940354</c:v>
                </c:pt>
                <c:pt idx="14">
                  <c:v>33.030272452052415</c:v>
                </c:pt>
                <c:pt idx="15">
                  <c:v>33.025741373544754</c:v>
                </c:pt>
                <c:pt idx="16">
                  <c:v>33.022492913655171</c:v>
                </c:pt>
                <c:pt idx="17">
                  <c:v>33.020488509954156</c:v>
                </c:pt>
                <c:pt idx="18">
                  <c:v>33.019413362111067</c:v>
                </c:pt>
                <c:pt idx="19">
                  <c:v>33.019163275952515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2FD-4541-A870-2CB208DAE111}"/>
            </c:ext>
          </c:extLst>
        </c:ser>
        <c:ser>
          <c:idx val="1"/>
          <c:order val="1"/>
          <c:tx>
            <c:v>q_liq_sm3/day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Лист1!$H$20:$H$39</c:f>
              <c:numCache>
                <c:formatCode>0</c:formatCode>
                <c:ptCount val="20"/>
                <c:pt idx="0">
                  <c:v>0</c:v>
                </c:pt>
                <c:pt idx="1">
                  <c:v>13.157894736842104</c:v>
                </c:pt>
                <c:pt idx="2">
                  <c:v>26.315789473684209</c:v>
                </c:pt>
                <c:pt idx="3">
                  <c:v>39.473684210526315</c:v>
                </c:pt>
                <c:pt idx="4">
                  <c:v>52.631578947368418</c:v>
                </c:pt>
                <c:pt idx="5">
                  <c:v>65.78947368421052</c:v>
                </c:pt>
                <c:pt idx="6">
                  <c:v>78.94736842105263</c:v>
                </c:pt>
                <c:pt idx="7">
                  <c:v>92.105263157894726</c:v>
                </c:pt>
                <c:pt idx="8">
                  <c:v>105.26315789473684</c:v>
                </c:pt>
                <c:pt idx="9">
                  <c:v>118.42105263157895</c:v>
                </c:pt>
                <c:pt idx="10">
                  <c:v>131.57894736842104</c:v>
                </c:pt>
                <c:pt idx="11">
                  <c:v>144.73684210526315</c:v>
                </c:pt>
                <c:pt idx="12">
                  <c:v>157.89473684210526</c:v>
                </c:pt>
                <c:pt idx="13">
                  <c:v>171.05263157894737</c:v>
                </c:pt>
                <c:pt idx="14">
                  <c:v>184.21052631578945</c:v>
                </c:pt>
                <c:pt idx="15">
                  <c:v>197.36842105263156</c:v>
                </c:pt>
                <c:pt idx="16">
                  <c:v>210.52631578947367</c:v>
                </c:pt>
                <c:pt idx="17">
                  <c:v>223.68421052631578</c:v>
                </c:pt>
                <c:pt idx="18">
                  <c:v>236.84210526315789</c:v>
                </c:pt>
                <c:pt idx="19">
                  <c:v>250</c:v>
                </c:pt>
              </c:numCache>
            </c:numRef>
          </c:xVal>
          <c:yVal>
            <c:numRef>
              <c:f>Лист1!$S$20:$S$39</c:f>
              <c:numCache>
                <c:formatCode>General</c:formatCode>
                <c:ptCount val="2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2FD-4541-A870-2CB208DAE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56911"/>
        <c:axId val="746328111"/>
      </c:scatterChart>
      <c:valAx>
        <c:axId val="74635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28111"/>
        <c:crosses val="autoZero"/>
        <c:crossBetween val="midCat"/>
      </c:valAx>
      <c:valAx>
        <c:axId val="7463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m3/day,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56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temperature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Лист1!$H$20:$H$39</c:f>
              <c:numCache>
                <c:formatCode>0</c:formatCode>
                <c:ptCount val="20"/>
                <c:pt idx="0">
                  <c:v>0</c:v>
                </c:pt>
                <c:pt idx="1">
                  <c:v>13.157894736842104</c:v>
                </c:pt>
                <c:pt idx="2">
                  <c:v>26.315789473684209</c:v>
                </c:pt>
                <c:pt idx="3">
                  <c:v>39.473684210526315</c:v>
                </c:pt>
                <c:pt idx="4">
                  <c:v>52.631578947368418</c:v>
                </c:pt>
                <c:pt idx="5">
                  <c:v>65.78947368421052</c:v>
                </c:pt>
                <c:pt idx="6">
                  <c:v>78.94736842105263</c:v>
                </c:pt>
                <c:pt idx="7">
                  <c:v>92.105263157894726</c:v>
                </c:pt>
                <c:pt idx="8">
                  <c:v>105.26315789473684</c:v>
                </c:pt>
                <c:pt idx="9">
                  <c:v>118.42105263157895</c:v>
                </c:pt>
                <c:pt idx="10">
                  <c:v>131.57894736842104</c:v>
                </c:pt>
                <c:pt idx="11">
                  <c:v>144.73684210526315</c:v>
                </c:pt>
                <c:pt idx="12">
                  <c:v>157.89473684210526</c:v>
                </c:pt>
                <c:pt idx="13">
                  <c:v>171.05263157894737</c:v>
                </c:pt>
                <c:pt idx="14">
                  <c:v>184.21052631578945</c:v>
                </c:pt>
                <c:pt idx="15">
                  <c:v>197.36842105263156</c:v>
                </c:pt>
                <c:pt idx="16">
                  <c:v>210.52631578947367</c:v>
                </c:pt>
                <c:pt idx="17">
                  <c:v>223.68421052631578</c:v>
                </c:pt>
                <c:pt idx="18">
                  <c:v>236.84210526315789</c:v>
                </c:pt>
                <c:pt idx="19">
                  <c:v>250</c:v>
                </c:pt>
              </c:numCache>
            </c:numRef>
          </c:xVal>
          <c:yVal>
            <c:numRef>
              <c:f>Лист1!$K$20:$K$39</c:f>
              <c:numCache>
                <c:formatCode>0</c:formatCode>
                <c:ptCount val="20"/>
                <c:pt idx="0">
                  <c:v>30</c:v>
                </c:pt>
                <c:pt idx="1">
                  <c:v>30.579391044777203</c:v>
                </c:pt>
                <c:pt idx="2">
                  <c:v>31.256367246788994</c:v>
                </c:pt>
                <c:pt idx="3">
                  <c:v>32.015908157979112</c:v>
                </c:pt>
                <c:pt idx="4">
                  <c:v>32.874527165240323</c:v>
                </c:pt>
                <c:pt idx="5">
                  <c:v>33.815198630652432</c:v>
                </c:pt>
                <c:pt idx="6">
                  <c:v>34.785338191298287</c:v>
                </c:pt>
                <c:pt idx="7">
                  <c:v>35.754878007837434</c:v>
                </c:pt>
                <c:pt idx="8">
                  <c:v>36.723631136222217</c:v>
                </c:pt>
                <c:pt idx="9">
                  <c:v>37.691488042725645</c:v>
                </c:pt>
                <c:pt idx="10">
                  <c:v>38.658221134345119</c:v>
                </c:pt>
                <c:pt idx="11">
                  <c:v>39.623712289213287</c:v>
                </c:pt>
                <c:pt idx="12">
                  <c:v>40.587986095826388</c:v>
                </c:pt>
                <c:pt idx="13">
                  <c:v>41.550891851880522</c:v>
                </c:pt>
                <c:pt idx="14">
                  <c:v>42.512279035236006</c:v>
                </c:pt>
                <c:pt idx="15">
                  <c:v>43.472272088615803</c:v>
                </c:pt>
                <c:pt idx="16">
                  <c:v>44.430787053290132</c:v>
                </c:pt>
                <c:pt idx="17">
                  <c:v>45.387598483548949</c:v>
                </c:pt>
                <c:pt idx="18">
                  <c:v>46.342913724578892</c:v>
                </c:pt>
                <c:pt idx="19">
                  <c:v>47.296711323132541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A7E-46B9-9AF5-C2F71633E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29071"/>
        <c:axId val="746343951"/>
      </c:scatterChart>
      <c:scatterChart>
        <c:scatterStyle val="lineMarker"/>
        <c:varyColors val="0"/>
        <c:ser>
          <c:idx val="1"/>
          <c:order val="1"/>
          <c:tx>
            <c:v>viscosity cP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Лист1!$H$20:$H$39</c:f>
              <c:numCache>
                <c:formatCode>0</c:formatCode>
                <c:ptCount val="20"/>
                <c:pt idx="0">
                  <c:v>0</c:v>
                </c:pt>
                <c:pt idx="1">
                  <c:v>13.157894736842104</c:v>
                </c:pt>
                <c:pt idx="2">
                  <c:v>26.315789473684209</c:v>
                </c:pt>
                <c:pt idx="3">
                  <c:v>39.473684210526315</c:v>
                </c:pt>
                <c:pt idx="4">
                  <c:v>52.631578947368418</c:v>
                </c:pt>
                <c:pt idx="5">
                  <c:v>65.78947368421052</c:v>
                </c:pt>
                <c:pt idx="6">
                  <c:v>78.94736842105263</c:v>
                </c:pt>
                <c:pt idx="7">
                  <c:v>92.105263157894726</c:v>
                </c:pt>
                <c:pt idx="8">
                  <c:v>105.26315789473684</c:v>
                </c:pt>
                <c:pt idx="9">
                  <c:v>118.42105263157895</c:v>
                </c:pt>
                <c:pt idx="10">
                  <c:v>131.57894736842104</c:v>
                </c:pt>
                <c:pt idx="11">
                  <c:v>144.73684210526315</c:v>
                </c:pt>
                <c:pt idx="12">
                  <c:v>157.89473684210526</c:v>
                </c:pt>
                <c:pt idx="13">
                  <c:v>171.05263157894737</c:v>
                </c:pt>
                <c:pt idx="14">
                  <c:v>184.21052631578945</c:v>
                </c:pt>
                <c:pt idx="15">
                  <c:v>197.36842105263156</c:v>
                </c:pt>
                <c:pt idx="16">
                  <c:v>210.52631578947367</c:v>
                </c:pt>
                <c:pt idx="17">
                  <c:v>223.68421052631578</c:v>
                </c:pt>
                <c:pt idx="18">
                  <c:v>236.84210526315789</c:v>
                </c:pt>
                <c:pt idx="19">
                  <c:v>250</c:v>
                </c:pt>
              </c:numCache>
            </c:numRef>
          </c:xVal>
          <c:yVal>
            <c:numRef>
              <c:f>Лист1!$Q$20:$Q$39</c:f>
              <c:numCache>
                <c:formatCode>0</c:formatCode>
                <c:ptCount val="20"/>
                <c:pt idx="0">
                  <c:v>2.6664401898340917</c:v>
                </c:pt>
                <c:pt idx="1">
                  <c:v>2.6430766362160698</c:v>
                </c:pt>
                <c:pt idx="2">
                  <c:v>2.553829323064341</c:v>
                </c:pt>
                <c:pt idx="3">
                  <c:v>2.4696614521293552</c:v>
                </c:pt>
                <c:pt idx="4">
                  <c:v>2.3776307646561503</c:v>
                </c:pt>
                <c:pt idx="5">
                  <c:v>2.2858754106820456</c:v>
                </c:pt>
                <c:pt idx="6">
                  <c:v>2.2220261664600409</c:v>
                </c:pt>
                <c:pt idx="7">
                  <c:v>2.175975643476896</c:v>
                </c:pt>
                <c:pt idx="8">
                  <c:v>2.1362742487839466</c:v>
                </c:pt>
                <c:pt idx="9">
                  <c:v>2.1016850263964004</c:v>
                </c:pt>
                <c:pt idx="10">
                  <c:v>2.0720127238921235</c:v>
                </c:pt>
                <c:pt idx="11">
                  <c:v>2.0466455961016163</c:v>
                </c:pt>
                <c:pt idx="12">
                  <c:v>2.0247394533314127</c:v>
                </c:pt>
                <c:pt idx="13">
                  <c:v>2.0061018539787527</c:v>
                </c:pt>
                <c:pt idx="14">
                  <c:v>1.99052113111684</c:v>
                </c:pt>
                <c:pt idx="15">
                  <c:v>1.9773344380334172</c:v>
                </c:pt>
                <c:pt idx="16">
                  <c:v>1.9663561709657384</c:v>
                </c:pt>
                <c:pt idx="17">
                  <c:v>1.9575724309642601</c:v>
                </c:pt>
                <c:pt idx="18">
                  <c:v>1.9504571011081302</c:v>
                </c:pt>
                <c:pt idx="19">
                  <c:v>1.9448371474974508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A7E-46B9-9AF5-C2F71633E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52591"/>
        <c:axId val="746333391"/>
      </c:scatterChart>
      <c:valAx>
        <c:axId val="74632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43951"/>
        <c:crosses val="autoZero"/>
        <c:crossBetween val="midCat"/>
      </c:valAx>
      <c:valAx>
        <c:axId val="7463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29071"/>
        <c:crosses val="autoZero"/>
        <c:crossBetween val="midCat"/>
      </c:valAx>
      <c:valAx>
        <c:axId val="7463333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viscosity, 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52591"/>
        <c:crosses val="max"/>
        <c:crossBetween val="midCat"/>
      </c:valAx>
      <c:valAx>
        <c:axId val="746352591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74633339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gas multiplier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Лист1!$H$20:$H$39</c:f>
              <c:numCache>
                <c:formatCode>0</c:formatCode>
                <c:ptCount val="20"/>
                <c:pt idx="0">
                  <c:v>0</c:v>
                </c:pt>
                <c:pt idx="1">
                  <c:v>13.157894736842104</c:v>
                </c:pt>
                <c:pt idx="2">
                  <c:v>26.315789473684209</c:v>
                </c:pt>
                <c:pt idx="3">
                  <c:v>39.473684210526315</c:v>
                </c:pt>
                <c:pt idx="4">
                  <c:v>52.631578947368418</c:v>
                </c:pt>
                <c:pt idx="5">
                  <c:v>65.78947368421052</c:v>
                </c:pt>
                <c:pt idx="6">
                  <c:v>78.94736842105263</c:v>
                </c:pt>
                <c:pt idx="7">
                  <c:v>92.105263157894726</c:v>
                </c:pt>
                <c:pt idx="8">
                  <c:v>105.26315789473684</c:v>
                </c:pt>
                <c:pt idx="9">
                  <c:v>118.42105263157895</c:v>
                </c:pt>
                <c:pt idx="10">
                  <c:v>131.57894736842104</c:v>
                </c:pt>
                <c:pt idx="11">
                  <c:v>144.73684210526315</c:v>
                </c:pt>
                <c:pt idx="12">
                  <c:v>157.89473684210526</c:v>
                </c:pt>
                <c:pt idx="13">
                  <c:v>171.05263157894737</c:v>
                </c:pt>
                <c:pt idx="14">
                  <c:v>184.21052631578945</c:v>
                </c:pt>
                <c:pt idx="15">
                  <c:v>197.36842105263156</c:v>
                </c:pt>
                <c:pt idx="16">
                  <c:v>210.52631578947367</c:v>
                </c:pt>
                <c:pt idx="17">
                  <c:v>223.68421052631578</c:v>
                </c:pt>
                <c:pt idx="18">
                  <c:v>236.84210526315789</c:v>
                </c:pt>
                <c:pt idx="19">
                  <c:v>250</c:v>
                </c:pt>
              </c:numCache>
            </c:numRef>
          </c:xVal>
          <c:yVal>
            <c:numRef>
              <c:f>Лист1!$R$20:$R$39</c:f>
              <c:numCache>
                <c:formatCode>0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C8-4CF9-AB43-9689F5C2A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49231"/>
        <c:axId val="746339631"/>
      </c:scatterChart>
      <c:valAx>
        <c:axId val="74634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39631"/>
        <c:crosses val="autoZero"/>
        <c:crossBetween val="midCat"/>
      </c:valAx>
      <c:valAx>
        <c:axId val="74633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 multiplier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49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efficiency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Лист1!$H$21:$H$39</c:f>
              <c:numCache>
                <c:formatCode>0</c:formatCode>
                <c:ptCount val="19"/>
                <c:pt idx="0">
                  <c:v>13.157894736842104</c:v>
                </c:pt>
                <c:pt idx="1">
                  <c:v>26.315789473684209</c:v>
                </c:pt>
                <c:pt idx="2">
                  <c:v>39.473684210526315</c:v>
                </c:pt>
                <c:pt idx="3">
                  <c:v>52.631578947368418</c:v>
                </c:pt>
                <c:pt idx="4">
                  <c:v>65.78947368421052</c:v>
                </c:pt>
                <c:pt idx="5">
                  <c:v>78.94736842105263</c:v>
                </c:pt>
                <c:pt idx="6">
                  <c:v>92.105263157894726</c:v>
                </c:pt>
                <c:pt idx="7">
                  <c:v>105.26315789473684</c:v>
                </c:pt>
                <c:pt idx="8">
                  <c:v>118.42105263157895</c:v>
                </c:pt>
                <c:pt idx="9">
                  <c:v>131.57894736842104</c:v>
                </c:pt>
                <c:pt idx="10">
                  <c:v>144.73684210526315</c:v>
                </c:pt>
                <c:pt idx="11">
                  <c:v>157.89473684210526</c:v>
                </c:pt>
                <c:pt idx="12">
                  <c:v>171.05263157894737</c:v>
                </c:pt>
                <c:pt idx="13">
                  <c:v>184.21052631578945</c:v>
                </c:pt>
                <c:pt idx="14">
                  <c:v>197.36842105263156</c:v>
                </c:pt>
                <c:pt idx="15">
                  <c:v>210.52631578947367</c:v>
                </c:pt>
                <c:pt idx="16">
                  <c:v>223.68421052631578</c:v>
                </c:pt>
                <c:pt idx="17">
                  <c:v>236.84210526315789</c:v>
                </c:pt>
                <c:pt idx="18">
                  <c:v>250</c:v>
                </c:pt>
              </c:numCache>
            </c:numRef>
          </c:xVal>
          <c:yVal>
            <c:numRef>
              <c:f>Лист1!$P$21:$P$39</c:f>
              <c:numCache>
                <c:formatCode>0</c:formatCode>
                <c:ptCount val="19"/>
                <c:pt idx="0">
                  <c:v>38.021927079310977</c:v>
                </c:pt>
                <c:pt idx="1">
                  <c:v>34.386658821174457</c:v>
                </c:pt>
                <c:pt idx="2">
                  <c:v>31.711374025780138</c:v>
                </c:pt>
                <c:pt idx="3">
                  <c:v>29.354899079403989</c:v>
                </c:pt>
                <c:pt idx="4">
                  <c:v>27.46910385900604</c:v>
                </c:pt>
                <c:pt idx="5">
                  <c:v>26.965723175493984</c:v>
                </c:pt>
                <c:pt idx="6">
                  <c:v>26.94329533626124</c:v>
                </c:pt>
                <c:pt idx="7">
                  <c:v>26.925261962934421</c:v>
                </c:pt>
                <c:pt idx="8">
                  <c:v>26.910508394012005</c:v>
                </c:pt>
                <c:pt idx="9">
                  <c:v>26.898674905235065</c:v>
                </c:pt>
                <c:pt idx="10">
                  <c:v>26.889224955510954</c:v>
                </c:pt>
                <c:pt idx="11">
                  <c:v>26.881580965484986</c:v>
                </c:pt>
                <c:pt idx="12">
                  <c:v>26.875560934495013</c:v>
                </c:pt>
                <c:pt idx="13">
                  <c:v>26.870993154188973</c:v>
                </c:pt>
                <c:pt idx="14">
                  <c:v>26.867520964201169</c:v>
                </c:pt>
                <c:pt idx="15">
                  <c:v>26.865031625773916</c:v>
                </c:pt>
                <c:pt idx="16">
                  <c:v>26.863495612068601</c:v>
                </c:pt>
                <c:pt idx="17">
                  <c:v>26.862671702116781</c:v>
                </c:pt>
                <c:pt idx="18">
                  <c:v>26.862480055146825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ADE-4009-8DA0-0FCB4EBF0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359791"/>
        <c:axId val="746360271"/>
      </c:scatterChart>
      <c:valAx>
        <c:axId val="74635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60271"/>
        <c:crosses val="autoZero"/>
        <c:crossBetween val="midCat"/>
      </c:valAx>
      <c:valAx>
        <c:axId val="74636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6359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p_discharge_atma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Лист1!$L$56:$L$76</c:f>
              <c:numCache>
                <c:formatCode>0</c:formatCode>
                <c:ptCount val="21"/>
                <c:pt idx="0">
                  <c:v>130.7975463104392</c:v>
                </c:pt>
                <c:pt idx="1">
                  <c:v>176.28245854175069</c:v>
                </c:pt>
                <c:pt idx="2">
                  <c:v>178.43644344049812</c:v>
                </c:pt>
                <c:pt idx="3">
                  <c:v>178.84260207169569</c:v>
                </c:pt>
                <c:pt idx="4">
                  <c:v>178.31369628761402</c:v>
                </c:pt>
                <c:pt idx="5">
                  <c:v>176.86756265056189</c:v>
                </c:pt>
                <c:pt idx="6">
                  <c:v>174.11225159018227</c:v>
                </c:pt>
                <c:pt idx="7">
                  <c:v>169.26490123878145</c:v>
                </c:pt>
                <c:pt idx="8">
                  <c:v>161.46199593926704</c:v>
                </c:pt>
                <c:pt idx="9">
                  <c:v>150.57449195211004</c:v>
                </c:pt>
                <c:pt idx="10">
                  <c:v>136.48460358469779</c:v>
                </c:pt>
                <c:pt idx="11">
                  <c:v>116.21776421748828</c:v>
                </c:pt>
                <c:pt idx="12">
                  <c:v>50.15124613786201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9-4542-91C9-5BFE8EC67F88}"/>
            </c:ext>
          </c:extLst>
        </c:ser>
        <c:ser>
          <c:idx val="1"/>
          <c:order val="1"/>
          <c:tx>
            <c:v>p_intake_atma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Лист1!$J$56:$J$76</c:f>
              <c:numCache>
                <c:formatCode>0</c:formatCode>
                <c:ptCount val="2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79-4542-91C9-5BFE8EC67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648943"/>
        <c:axId val="844646543"/>
      </c:scatterChart>
      <c:valAx>
        <c:axId val="84464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646543"/>
        <c:crosses val="autoZero"/>
        <c:crossBetween val="midCat"/>
      </c:valAx>
      <c:valAx>
        <c:axId val="84464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P, atma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64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t_intake_C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Лист1!$K$56:$K$76</c:f>
              <c:numCache>
                <c:formatCode>0</c:formatCode>
                <c:ptCount val="2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A8-4A7B-B3C4-9E7ECC68942C}"/>
            </c:ext>
          </c:extLst>
        </c:ser>
        <c:ser>
          <c:idx val="1"/>
          <c:order val="1"/>
          <c:tx>
            <c:v>t_discharge_C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Лист1!$M$56:$M$76</c:f>
              <c:numCache>
                <c:formatCode>0</c:formatCode>
                <c:ptCount val="21"/>
                <c:pt idx="0">
                  <c:v>299</c:v>
                </c:pt>
                <c:pt idx="1">
                  <c:v>90.873764330310962</c:v>
                </c:pt>
                <c:pt idx="2">
                  <c:v>61.032335666278492</c:v>
                </c:pt>
                <c:pt idx="3">
                  <c:v>49.676464928197824</c:v>
                </c:pt>
                <c:pt idx="4">
                  <c:v>43.645349134371365</c:v>
                </c:pt>
                <c:pt idx="5">
                  <c:v>39.931474323972544</c:v>
                </c:pt>
                <c:pt idx="6">
                  <c:v>37.505928985092943</c:v>
                </c:pt>
                <c:pt idx="7">
                  <c:v>35.92253728315977</c:v>
                </c:pt>
                <c:pt idx="8">
                  <c:v>34.972859181816816</c:v>
                </c:pt>
                <c:pt idx="9">
                  <c:v>34.525557629822302</c:v>
                </c:pt>
                <c:pt idx="10">
                  <c:v>34.459495325038503</c:v>
                </c:pt>
                <c:pt idx="11">
                  <c:v>34.776892088951385</c:v>
                </c:pt>
                <c:pt idx="12">
                  <c:v>33.731621457937649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A8-4A7B-B3C4-9E7ECC689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640303"/>
        <c:axId val="844641263"/>
      </c:scatterChart>
      <c:valAx>
        <c:axId val="84464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641263"/>
        <c:crosses val="autoZero"/>
        <c:crossBetween val="midCat"/>
      </c:valAx>
      <c:valAx>
        <c:axId val="8446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64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efficiency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Лист1!$O$56:$O$76</c:f>
              <c:numCache>
                <c:formatCode>0</c:formatCode>
                <c:ptCount val="21"/>
                <c:pt idx="0">
                  <c:v>1.5616241560169262</c:v>
                </c:pt>
                <c:pt idx="1">
                  <c:v>9.6246808922992138</c:v>
                </c:pt>
                <c:pt idx="2">
                  <c:v>17.717916585563199</c:v>
                </c:pt>
                <c:pt idx="3">
                  <c:v>25.525059651552635</c:v>
                </c:pt>
                <c:pt idx="4">
                  <c:v>33.062301911062598</c:v>
                </c:pt>
                <c:pt idx="5">
                  <c:v>40.216435048157486</c:v>
                </c:pt>
                <c:pt idx="6">
                  <c:v>46.604765953229801</c:v>
                </c:pt>
                <c:pt idx="7">
                  <c:v>51.605086884046322</c:v>
                </c:pt>
                <c:pt idx="8">
                  <c:v>54.37738648747824</c:v>
                </c:pt>
                <c:pt idx="9">
                  <c:v>54.323045328929354</c:v>
                </c:pt>
                <c:pt idx="10">
                  <c:v>51.180915741388809</c:v>
                </c:pt>
                <c:pt idx="11">
                  <c:v>43.365790373866851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F-47DD-A2E8-A2F84E238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651823"/>
        <c:axId val="844652303"/>
      </c:scatterChart>
      <c:valAx>
        <c:axId val="84465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652303"/>
        <c:crosses val="autoZero"/>
        <c:crossBetween val="midCat"/>
      </c:valAx>
      <c:valAx>
        <c:axId val="8446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65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head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Лист1!$N$56:$N$76</c:f>
              <c:numCache>
                <c:formatCode>0</c:formatCode>
                <c:ptCount val="21"/>
                <c:pt idx="0">
                  <c:v>1653.6581253364745</c:v>
                </c:pt>
                <c:pt idx="1">
                  <c:v>1668.3858647824316</c:v>
                </c:pt>
                <c:pt idx="2">
                  <c:v>1675.2738516304776</c:v>
                </c:pt>
                <c:pt idx="3">
                  <c:v>1673.6432631882608</c:v>
                </c:pt>
                <c:pt idx="4">
                  <c:v>1663.6042954505101</c:v>
                </c:pt>
                <c:pt idx="5">
                  <c:v>1643.5309766111006</c:v>
                </c:pt>
                <c:pt idx="6">
                  <c:v>1608.0616743126373</c:v>
                </c:pt>
                <c:pt idx="7">
                  <c:v>1547.7497900243109</c:v>
                </c:pt>
                <c:pt idx="8">
                  <c:v>1451.0873176842204</c:v>
                </c:pt>
                <c:pt idx="9">
                  <c:v>1316.7999930621993</c:v>
                </c:pt>
                <c:pt idx="10">
                  <c:v>1143.3268888023506</c:v>
                </c:pt>
                <c:pt idx="11">
                  <c:v>894.12579996315753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C1-4EA3-A5BC-700C6761F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671023"/>
        <c:axId val="844651823"/>
      </c:scatterChart>
      <c:valAx>
        <c:axId val="84467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651823"/>
        <c:crosses val="autoZero"/>
        <c:crossBetween val="midCat"/>
      </c:valAx>
      <c:valAx>
        <c:axId val="84465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head,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467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power hydraulic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Лист1!$P$56:$P$76</c:f>
              <c:numCache>
                <c:formatCode>0</c:formatCode>
                <c:ptCount val="21"/>
                <c:pt idx="0">
                  <c:v>172.29545316063098</c:v>
                </c:pt>
                <c:pt idx="1">
                  <c:v>1686.1504526769168</c:v>
                </c:pt>
                <c:pt idx="2">
                  <c:v>3211.6759561292047</c:v>
                </c:pt>
                <c:pt idx="3">
                  <c:v>4725.6360629455685</c:v>
                </c:pt>
                <c:pt idx="4">
                  <c:v>6205.2766326446126</c:v>
                </c:pt>
                <c:pt idx="5">
                  <c:v>7620.1933747219418</c:v>
                </c:pt>
                <c:pt idx="6">
                  <c:v>8913.3799822939964</c:v>
                </c:pt>
                <c:pt idx="7">
                  <c:v>9982.0442399421427</c:v>
                </c:pt>
                <c:pt idx="8">
                  <c:v>10673.978778362916</c:v>
                </c:pt>
                <c:pt idx="9">
                  <c:v>10879.80447131176</c:v>
                </c:pt>
                <c:pt idx="10">
                  <c:v>10482.893581866012</c:v>
                </c:pt>
                <c:pt idx="11">
                  <c:v>9008.5146305965063</c:v>
                </c:pt>
                <c:pt idx="12">
                  <c:v>88.981235120439749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C6-428F-B41F-1B6DCC855DC2}"/>
            </c:ext>
          </c:extLst>
        </c:ser>
        <c:ser>
          <c:idx val="1"/>
          <c:order val="1"/>
          <c:tx>
            <c:v>power shaft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Лист1!$Q$56:$Q$76</c:f>
              <c:numCache>
                <c:formatCode>0</c:formatCode>
                <c:ptCount val="21"/>
                <c:pt idx="0">
                  <c:v>11033.093494153372</c:v>
                </c:pt>
                <c:pt idx="1">
                  <c:v>17519.027088222942</c:v>
                </c:pt>
                <c:pt idx="2">
                  <c:v>18126.713378626708</c:v>
                </c:pt>
                <c:pt idx="3">
                  <c:v>18513.712122346082</c:v>
                </c:pt>
                <c:pt idx="4">
                  <c:v>18768.434966617784</c:v>
                </c:pt>
                <c:pt idx="5">
                  <c:v>18947.958379694974</c:v>
                </c:pt>
                <c:pt idx="6">
                  <c:v>19125.468822735889</c:v>
                </c:pt>
                <c:pt idx="7">
                  <c:v>19343.140071387195</c:v>
                </c:pt>
                <c:pt idx="8">
                  <c:v>19629.444274268069</c:v>
                </c:pt>
                <c:pt idx="9">
                  <c:v>20027.972300584181</c:v>
                </c:pt>
                <c:pt idx="10">
                  <c:v>20482.035989420059</c:v>
                </c:pt>
                <c:pt idx="11">
                  <c:v>20773.320520465433</c:v>
                </c:pt>
                <c:pt idx="12">
                  <c:v>10070.875293398716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C6-428F-B41F-1B6DCC855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821903"/>
        <c:axId val="845808463"/>
      </c:scatterChart>
      <c:valAx>
        <c:axId val="84582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5808463"/>
        <c:crosses val="autoZero"/>
        <c:crossBetween val="midCat"/>
      </c:valAx>
      <c:valAx>
        <c:axId val="8458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5821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gas correction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Лист1!$H$56:$H$76</c:f>
              <c:numCache>
                <c:formatCode>0</c:formatCode>
                <c:ptCount val="21"/>
                <c:pt idx="0">
                  <c:v>1</c:v>
                </c:pt>
                <c:pt idx="1">
                  <c:v>9.6999999999999993</c:v>
                </c:pt>
                <c:pt idx="2">
                  <c:v>18.399999999999999</c:v>
                </c:pt>
                <c:pt idx="3">
                  <c:v>27.1</c:v>
                </c:pt>
                <c:pt idx="4">
                  <c:v>35.799999999999997</c:v>
                </c:pt>
                <c:pt idx="5">
                  <c:v>44.5</c:v>
                </c:pt>
                <c:pt idx="6">
                  <c:v>53.2</c:v>
                </c:pt>
                <c:pt idx="7">
                  <c:v>61.9</c:v>
                </c:pt>
                <c:pt idx="8">
                  <c:v>70.599999999999994</c:v>
                </c:pt>
                <c:pt idx="9">
                  <c:v>79.3</c:v>
                </c:pt>
                <c:pt idx="10">
                  <c:v>88</c:v>
                </c:pt>
                <c:pt idx="11">
                  <c:v>96.7</c:v>
                </c:pt>
                <c:pt idx="12">
                  <c:v>105.4</c:v>
                </c:pt>
                <c:pt idx="13">
                  <c:v>114.1</c:v>
                </c:pt>
                <c:pt idx="14">
                  <c:v>122.8</c:v>
                </c:pt>
                <c:pt idx="15">
                  <c:v>131.5</c:v>
                </c:pt>
                <c:pt idx="16">
                  <c:v>140.19999999999999</c:v>
                </c:pt>
                <c:pt idx="17">
                  <c:v>148.9</c:v>
                </c:pt>
                <c:pt idx="18">
                  <c:v>157.6</c:v>
                </c:pt>
                <c:pt idx="19">
                  <c:v>166.3</c:v>
                </c:pt>
                <c:pt idx="20">
                  <c:v>175</c:v>
                </c:pt>
              </c:numCache>
            </c:numRef>
          </c:xVal>
          <c:yVal>
            <c:numRef>
              <c:f>Лист1!$R$56:$R$76</c:f>
              <c:numCache>
                <c:formatCode>0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97-461C-AD4F-DCE40DA81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819023"/>
        <c:axId val="845801263"/>
      </c:scatterChart>
      <c:valAx>
        <c:axId val="84581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5801263"/>
        <c:crosses val="autoZero"/>
        <c:crossBetween val="midCat"/>
      </c:valAx>
      <c:valAx>
        <c:axId val="84580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581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26</xdr:col>
      <xdr:colOff>0</xdr:colOff>
      <xdr:row>13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4769B95-A33F-381A-2C5F-BA0A1A204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13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EDD72E2-A9CA-52AF-4E89-43FB81590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25</xdr:row>
      <xdr:rowOff>0</xdr:rowOff>
    </xdr:from>
    <xdr:to>
      <xdr:col>26</xdr:col>
      <xdr:colOff>0</xdr:colOff>
      <xdr:row>37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B5C9A8A-1017-E06F-DE98-BB11DCE85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33</xdr:col>
      <xdr:colOff>0</xdr:colOff>
      <xdr:row>13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CCE0AD5-B4E1-FC71-7684-FA082B656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13</xdr:row>
      <xdr:rowOff>0</xdr:rowOff>
    </xdr:from>
    <xdr:to>
      <xdr:col>33</xdr:col>
      <xdr:colOff>0</xdr:colOff>
      <xdr:row>25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12776B1-87A8-9CFA-03F4-20A1ACF14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33</xdr:col>
      <xdr:colOff>0</xdr:colOff>
      <xdr:row>37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23D374A-8ED5-CC40-C671-90AB6F56C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29</xdr:row>
      <xdr:rowOff>44822</xdr:rowOff>
    </xdr:from>
    <xdr:to>
      <xdr:col>6</xdr:col>
      <xdr:colOff>324970</xdr:colOff>
      <xdr:row>46</xdr:row>
      <xdr:rowOff>179294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9AF4BBB-F941-4DA3-888A-8D63E7C06B84}"/>
            </a:ext>
          </a:extLst>
        </xdr:cNvPr>
        <xdr:cNvSpPr txBox="1"/>
      </xdr:nvSpPr>
      <xdr:spPr>
        <a:xfrm>
          <a:off x="605118" y="5569322"/>
          <a:ext cx="4672852" cy="3372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Вопросы для рассмотрения</a:t>
          </a:r>
        </a:p>
        <a:p>
          <a:r>
            <a:rPr lang="ru-RU" sz="1100"/>
            <a:t>1.</a:t>
          </a:r>
          <a:r>
            <a:rPr lang="ru-RU" sz="1100" baseline="0"/>
            <a:t> Как влияет давление на приеме насоса на перепад давления в насосе?</a:t>
          </a:r>
        </a:p>
        <a:p>
          <a:r>
            <a:rPr lang="ru-RU" sz="1100" baseline="0"/>
            <a:t>2. Как меняется температура внутри насоса? Когда она меняется сильнее?</a:t>
          </a:r>
        </a:p>
        <a:p>
          <a:r>
            <a:rPr lang="ru-RU" sz="1100" baseline="0"/>
            <a:t>3. Как влияет модель деградации по газу на перепад давления в насосе?</a:t>
          </a:r>
        </a:p>
        <a:p>
          <a:r>
            <a:rPr lang="ru-RU" sz="1100" baseline="0"/>
            <a:t>4. Как влияет направление расчета на графики?</a:t>
          </a:r>
        </a:p>
        <a:p>
          <a:r>
            <a:rPr lang="ru-RU" sz="1100" baseline="0"/>
            <a:t>5. Как влияет обводненность на работу ЭЦН?</a:t>
          </a:r>
        </a:p>
        <a:p>
          <a:r>
            <a:rPr lang="ru-RU" sz="1100" baseline="0"/>
            <a:t>6. Как влияет газовый фактор на работу ЭЦН?</a:t>
          </a:r>
        </a:p>
        <a:p>
          <a:endParaRPr lang="ru-RU" sz="1100"/>
        </a:p>
        <a:p>
          <a:r>
            <a:rPr lang="ru-RU" sz="1100"/>
            <a:t>Постройте графики</a:t>
          </a:r>
        </a:p>
        <a:p>
          <a:r>
            <a:rPr lang="ru-RU" sz="1100"/>
            <a:t>1. Зависимости перепада давления ЭЦН от коэффициента сепарации при фиксированном давлении на приеме насоса</a:t>
          </a:r>
        </a:p>
        <a:p>
          <a:r>
            <a:rPr lang="ru-RU" sz="1100" baseline="0"/>
            <a:t>2. Зависимости предельного давления на приеме насоса при котором ЭЦН способе развить заданный перепад давления от коэффициента сепарации </a:t>
          </a:r>
        </a:p>
      </xdr:txBody>
    </xdr:sp>
    <xdr:clientData/>
  </xdr:twoCellAnchor>
  <xdr:twoCellAnchor>
    <xdr:from>
      <xdr:col>19</xdr:col>
      <xdr:colOff>0</xdr:colOff>
      <xdr:row>41</xdr:row>
      <xdr:rowOff>0</xdr:rowOff>
    </xdr:from>
    <xdr:to>
      <xdr:col>26</xdr:col>
      <xdr:colOff>0</xdr:colOff>
      <xdr:row>53</xdr:row>
      <xdr:rowOff>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B23A18A-97C7-7FBA-4304-2414184F0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53</xdr:row>
      <xdr:rowOff>0</xdr:rowOff>
    </xdr:from>
    <xdr:to>
      <xdr:col>26</xdr:col>
      <xdr:colOff>0</xdr:colOff>
      <xdr:row>65</xdr:row>
      <xdr:rowOff>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93F2FF5-2C0F-A847-CC38-C304ECD1B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65</xdr:row>
      <xdr:rowOff>0</xdr:rowOff>
    </xdr:from>
    <xdr:to>
      <xdr:col>26</xdr:col>
      <xdr:colOff>0</xdr:colOff>
      <xdr:row>77</xdr:row>
      <xdr:rowOff>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1CA22EE4-81A0-0547-11E0-29CB012D7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0</xdr:colOff>
      <xdr:row>41</xdr:row>
      <xdr:rowOff>0</xdr:rowOff>
    </xdr:from>
    <xdr:to>
      <xdr:col>33</xdr:col>
      <xdr:colOff>0</xdr:colOff>
      <xdr:row>53</xdr:row>
      <xdr:rowOff>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B5BA0D95-B84E-1D19-98C8-10A471E1B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0</xdr:colOff>
      <xdr:row>53</xdr:row>
      <xdr:rowOff>0</xdr:rowOff>
    </xdr:from>
    <xdr:to>
      <xdr:col>33</xdr:col>
      <xdr:colOff>0</xdr:colOff>
      <xdr:row>65</xdr:row>
      <xdr:rowOff>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1802062-2F13-06A7-C8F6-A17EF9199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0</xdr:colOff>
      <xdr:row>65</xdr:row>
      <xdr:rowOff>0</xdr:rowOff>
    </xdr:from>
    <xdr:to>
      <xdr:col>33</xdr:col>
      <xdr:colOff>0</xdr:colOff>
      <xdr:row>77</xdr:row>
      <xdr:rowOff>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18FDA3C0-31C5-54FE-AFFA-9262DE943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unifloc\unifloc_vba\UniflocVBA_7.xlam" TargetMode="External"/><Relationship Id="rId1" Type="http://schemas.openxmlformats.org/officeDocument/2006/relationships/externalLinkPath" Target="/unifloc/unifloc_vba/UniflocVBA_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</sheetNames>
    <definedNames>
      <definedName name="decode_json"/>
      <definedName name="encode_ESP_pump"/>
      <definedName name="encode_feed"/>
      <definedName name="encode_linspace"/>
      <definedName name="encode_PVT"/>
      <definedName name="ESP_calc_stages_num"/>
      <definedName name="ESP_id_by_rate"/>
      <definedName name="ESP_p_atma"/>
      <definedName name="ESP_rate_max_sm3day"/>
      <definedName name="feed_mod_separate_ga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C3CB-52A8-43BE-BD46-DC38101F78F2}">
  <sheetPr codeName="Лист1"/>
  <dimension ref="B2:T77"/>
  <sheetViews>
    <sheetView tabSelected="1" zoomScale="85" zoomScaleNormal="85" workbookViewId="0">
      <selection activeCell="B2" sqref="B2"/>
    </sheetView>
  </sheetViews>
  <sheetFormatPr defaultRowHeight="15" x14ac:dyDescent="0.25"/>
  <cols>
    <col min="2" max="2" width="19.5703125" customWidth="1"/>
    <col min="5" max="5" width="18.42578125" customWidth="1"/>
    <col min="8" max="8" width="18.140625" customWidth="1"/>
  </cols>
  <sheetData>
    <row r="2" spans="2:10" x14ac:dyDescent="0.25">
      <c r="B2" t="s">
        <v>0</v>
      </c>
      <c r="E2" t="s">
        <v>17</v>
      </c>
      <c r="H2" t="s">
        <v>39</v>
      </c>
    </row>
    <row r="4" spans="2:10" x14ac:dyDescent="0.25">
      <c r="B4" s="1" t="s">
        <v>1</v>
      </c>
      <c r="C4" s="2">
        <v>0.6</v>
      </c>
      <c r="E4" s="1" t="s">
        <v>18</v>
      </c>
      <c r="F4" s="2">
        <v>80</v>
      </c>
      <c r="H4" s="1" t="s">
        <v>30</v>
      </c>
      <c r="I4" s="2">
        <v>50</v>
      </c>
    </row>
    <row r="5" spans="2:10" x14ac:dyDescent="0.25">
      <c r="B5" s="1" t="s">
        <v>2</v>
      </c>
      <c r="C5" s="2">
        <v>0.86</v>
      </c>
      <c r="E5" s="1" t="s">
        <v>19</v>
      </c>
      <c r="F5" s="2">
        <v>1500</v>
      </c>
      <c r="H5" s="1" t="s">
        <v>31</v>
      </c>
      <c r="I5" s="2">
        <v>30</v>
      </c>
    </row>
    <row r="6" spans="2:10" x14ac:dyDescent="0.25">
      <c r="B6" s="1" t="s">
        <v>3</v>
      </c>
      <c r="C6" s="2">
        <v>1.1000000000000001</v>
      </c>
      <c r="E6" s="1" t="s">
        <v>20</v>
      </c>
      <c r="F6" s="2">
        <v>50</v>
      </c>
      <c r="H6" s="1" t="s">
        <v>32</v>
      </c>
      <c r="I6" s="2">
        <v>-1</v>
      </c>
    </row>
    <row r="7" spans="2:10" x14ac:dyDescent="0.25">
      <c r="B7" s="1" t="s">
        <v>4</v>
      </c>
      <c r="C7" s="2">
        <v>120</v>
      </c>
      <c r="E7" s="1" t="s">
        <v>21</v>
      </c>
      <c r="F7" s="4">
        <f>[1]!ESP_id_by_rate(F4, F6)</f>
        <v>1006</v>
      </c>
      <c r="H7" s="1" t="s">
        <v>15</v>
      </c>
      <c r="I7" s="4" t="str">
        <f>feed_sep_gas</f>
        <v>{"gamma_gas":0.6,"gamma_oil":0.86,"gamma_wat":1.1,"rsb_m3m3":78.635,"pb_atma":91.956,"t_res_C":80,"bob_m3m3":1.138,"muob_cP":0.772,"PVT_corr_set":0,"q_liq_sm3day":30,"fw_perc":0,"rp_m3m3":78.635}</v>
      </c>
      <c r="J7" t="s">
        <v>16</v>
      </c>
    </row>
    <row r="8" spans="2:10" x14ac:dyDescent="0.25">
      <c r="B8" s="1" t="s">
        <v>5</v>
      </c>
      <c r="C8" s="2">
        <v>130</v>
      </c>
      <c r="E8" s="1" t="s">
        <v>22</v>
      </c>
      <c r="F8" s="4">
        <f>[1]!ESP_calc_stages_num(F7,F5,F6,F4)</f>
        <v>250</v>
      </c>
      <c r="H8" s="1" t="s">
        <v>33</v>
      </c>
      <c r="I8" s="4" t="str">
        <f>esp_json</f>
        <v>{"q_nom_sm3day":80,"head_nom_m":1500,"freq_nom_Hz":50,"name":"ESP-80-1500","ESP_ID":1006,"num_stages":250,"gas_correct_model":0,"gas_correct_stage_by_stage":1,"calibr_head":1,"calibr_power":1,"calibr_rate":1,"dnum_stages_integrate":10}</v>
      </c>
      <c r="J8" t="s">
        <v>16</v>
      </c>
    </row>
    <row r="9" spans="2:10" x14ac:dyDescent="0.25">
      <c r="B9" s="1" t="s">
        <v>6</v>
      </c>
      <c r="C9" s="2">
        <v>80</v>
      </c>
      <c r="E9" s="1" t="s">
        <v>23</v>
      </c>
      <c r="F9" s="2">
        <v>1</v>
      </c>
      <c r="H9" s="1" t="s">
        <v>34</v>
      </c>
      <c r="I9" s="2">
        <v>50</v>
      </c>
      <c r="J9" t="s">
        <v>16</v>
      </c>
    </row>
    <row r="10" spans="2:10" x14ac:dyDescent="0.25">
      <c r="B10" s="1" t="s">
        <v>7</v>
      </c>
      <c r="C10" s="2">
        <v>1.2</v>
      </c>
      <c r="E10" s="1" t="s">
        <v>24</v>
      </c>
      <c r="F10" s="2">
        <v>1</v>
      </c>
      <c r="H10" s="1" t="s">
        <v>35</v>
      </c>
      <c r="I10" s="2">
        <v>1</v>
      </c>
      <c r="J10" t="s">
        <v>16</v>
      </c>
    </row>
    <row r="11" spans="2:10" x14ac:dyDescent="0.25">
      <c r="B11" s="1" t="s">
        <v>8</v>
      </c>
      <c r="C11" s="2">
        <v>0.6</v>
      </c>
      <c r="E11" s="1" t="s">
        <v>25</v>
      </c>
      <c r="F11" s="2">
        <v>1</v>
      </c>
      <c r="H11" s="1" t="s">
        <v>36</v>
      </c>
      <c r="I11" s="2" t="s">
        <v>37</v>
      </c>
      <c r="J11" t="s">
        <v>16</v>
      </c>
    </row>
    <row r="12" spans="2:10" x14ac:dyDescent="0.25">
      <c r="B12" s="1" t="s">
        <v>9</v>
      </c>
      <c r="C12" s="2">
        <v>0</v>
      </c>
      <c r="E12" s="1" t="s">
        <v>26</v>
      </c>
      <c r="F12" s="2">
        <v>0</v>
      </c>
      <c r="H12" s="1" t="s">
        <v>38</v>
      </c>
      <c r="I12" s="2">
        <v>1000</v>
      </c>
    </row>
    <row r="13" spans="2:10" x14ac:dyDescent="0.25">
      <c r="B13" s="1" t="s">
        <v>10</v>
      </c>
      <c r="C13" s="3" t="str">
        <f>[1]!encode_PVT(C4,C5,C6,C7,C8,C9,C10,C11,C12)</f>
        <v>{"gamma_gas":0.6,"gamma_oil":0.86,"gamma_wat":1.1,"rsb_m3m3":120,"pb_atma":130,"t_res_C":80,"bob_m3m3":1.2,"muob_cP":0.6,"PVT_corr_set":0}</v>
      </c>
      <c r="D13" t="s">
        <v>16</v>
      </c>
      <c r="E13" s="1" t="s">
        <v>27</v>
      </c>
      <c r="F13" s="2">
        <v>1</v>
      </c>
      <c r="H13" s="1" t="s">
        <v>11</v>
      </c>
      <c r="I13" s="2"/>
    </row>
    <row r="14" spans="2:10" x14ac:dyDescent="0.25">
      <c r="B14" s="1" t="s">
        <v>11</v>
      </c>
      <c r="C14" s="2">
        <v>30</v>
      </c>
      <c r="E14" s="1" t="s">
        <v>28</v>
      </c>
      <c r="F14" s="2">
        <v>10</v>
      </c>
      <c r="H14" s="1" t="s">
        <v>12</v>
      </c>
      <c r="I14" s="2"/>
    </row>
    <row r="15" spans="2:10" x14ac:dyDescent="0.25">
      <c r="B15" s="1" t="s">
        <v>12</v>
      </c>
      <c r="C15" s="2">
        <v>0</v>
      </c>
      <c r="E15" s="1" t="s">
        <v>29</v>
      </c>
      <c r="F15" s="3" t="str">
        <f>[1]!encode_ESP_pump(, , F6, F7, F8, F9, F10, F11, F12, F13, F14)</f>
        <v>{"q_nom_sm3day":80,"head_nom_m":1500,"freq_nom_Hz":50,"name":"ESP-80-1500","ESP_ID":1006,"num_stages":250,"gas_correct_model":0,"gas_correct_stage_by_stage":1,"calibr_head":1,"calibr_power":1,"calibr_rate":1,"dnum_stages_integrate":10}</v>
      </c>
      <c r="G15" t="s">
        <v>16</v>
      </c>
      <c r="H15" s="1" t="s">
        <v>13</v>
      </c>
      <c r="I15" s="2"/>
    </row>
    <row r="16" spans="2:10" x14ac:dyDescent="0.25">
      <c r="B16" s="1" t="s">
        <v>13</v>
      </c>
      <c r="C16" s="2">
        <v>120</v>
      </c>
      <c r="H16" s="1" t="s">
        <v>14</v>
      </c>
      <c r="I16" s="2"/>
    </row>
    <row r="17" spans="2:19" x14ac:dyDescent="0.25">
      <c r="B17" s="1" t="s">
        <v>14</v>
      </c>
      <c r="C17" s="2">
        <v>0</v>
      </c>
      <c r="H17" s="6">
        <f t="array" ref="H17:R39">[1]!ESP_p_atma(I4, I5, I6, I7, I8,  I9, I10, I11, I12, I13, I14, I15, I16)</f>
        <v>178.75953731327525</v>
      </c>
      <c r="I17" s="6">
        <v>50</v>
      </c>
      <c r="J17" s="6">
        <v>30</v>
      </c>
      <c r="K17" s="6">
        <v>178.75953731327525</v>
      </c>
      <c r="L17" s="6">
        <v>47.296711323132541</v>
      </c>
      <c r="M17" s="6">
        <v>1671.2321684199558</v>
      </c>
      <c r="N17" s="6">
        <v>28.065807667042016</v>
      </c>
      <c r="O17" s="6">
        <v>5223.7950405127012</v>
      </c>
      <c r="P17" s="6">
        <v>18612.665997305543</v>
      </c>
      <c r="Q17" s="6">
        <v>1</v>
      </c>
      <c r="R17" s="6" t="str">
        <v>["set show_log=1 in param to show calc log"]</v>
      </c>
    </row>
    <row r="18" spans="2:19" x14ac:dyDescent="0.25">
      <c r="B18" s="1" t="s">
        <v>15</v>
      </c>
      <c r="C18" s="3" t="str">
        <f>[1]!encode_feed(C14,C15,C16,C17,C13)</f>
        <v>{"gamma_gas":0.6,"gamma_oil":0.86,"gamma_wat":1.1,"rsb_m3m3":120,"pb_atma":130,"t_res_C":80,"bob_m3m3":1.2,"muob_cP":0.6,"PVT_corr_set":0,"q_liq_sm3day":30,"fw_perc":0,"rp_m3m3":120}</v>
      </c>
      <c r="D18" t="s">
        <v>16</v>
      </c>
      <c r="H18" s="6" t="str">
        <v>p_dis_atma</v>
      </c>
      <c r="I18" s="6" t="str">
        <v>p_int_atma</v>
      </c>
      <c r="J18" s="6" t="str">
        <v>t_int_C</v>
      </c>
      <c r="K18" s="6" t="str">
        <v>p_dis_atma</v>
      </c>
      <c r="L18" s="6" t="str">
        <v>t_dis_C</v>
      </c>
      <c r="M18" s="6" t="str">
        <v>head_m</v>
      </c>
      <c r="N18" s="6" t="str">
        <v>eff_ESP_d, %</v>
      </c>
      <c r="O18" s="6" t="str">
        <v>power_fluid_W</v>
      </c>
      <c r="P18" s="6" t="str">
        <v>power_ESP_W</v>
      </c>
      <c r="Q18" s="6" t="str">
        <v>gas_correction</v>
      </c>
      <c r="R18" s="6" t="str">
        <v>log</v>
      </c>
    </row>
    <row r="19" spans="2:19" x14ac:dyDescent="0.25">
      <c r="H19" s="6" t="str">
        <v>n_stage</v>
      </c>
      <c r="I19" s="6" t="str">
        <v>length_m</v>
      </c>
      <c r="J19" s="6" t="str">
        <v>p_atma</v>
      </c>
      <c r="K19" s="6" t="str">
        <v>t_C</v>
      </c>
      <c r="L19" s="6" t="str">
        <v>gas_fraction, %</v>
      </c>
      <c r="M19" s="6" t="str">
        <v>qmix_rm3day</v>
      </c>
      <c r="N19" s="6" t="str">
        <v>Power_fluid_W</v>
      </c>
      <c r="O19" s="6" t="str">
        <v>Power_ESP_W</v>
      </c>
      <c r="P19" s="6" t="str">
        <v>eff fluid, %</v>
      </c>
      <c r="Q19" s="6" t="str">
        <v>mu_stage_cP</v>
      </c>
      <c r="R19" s="6" t="str">
        <v>gas correction, %</v>
      </c>
      <c r="S19" t="s">
        <v>11</v>
      </c>
    </row>
    <row r="20" spans="2:19" x14ac:dyDescent="0.25">
      <c r="H20" s="6">
        <v>0</v>
      </c>
      <c r="I20" s="6">
        <v>1012.5</v>
      </c>
      <c r="J20" s="6">
        <v>50</v>
      </c>
      <c r="K20" s="6">
        <v>30</v>
      </c>
      <c r="L20" s="6">
        <v>35.633063195516534</v>
      </c>
      <c r="M20" s="6">
        <v>49.467538887141167</v>
      </c>
      <c r="N20" s="6">
        <v>0</v>
      </c>
      <c r="O20" s="6">
        <v>0</v>
      </c>
      <c r="P20" s="6">
        <v>0</v>
      </c>
      <c r="Q20" s="6">
        <v>2.6664401898340917</v>
      </c>
      <c r="R20" s="6">
        <v>100</v>
      </c>
      <c r="S20">
        <f>[1]!decode_json($I$7,,"q_liq_sm3day",1)</f>
        <v>30</v>
      </c>
    </row>
    <row r="21" spans="2:19" x14ac:dyDescent="0.25">
      <c r="B21" t="s">
        <v>56</v>
      </c>
      <c r="H21" s="6">
        <v>13.157894736842104</v>
      </c>
      <c r="I21" s="6">
        <v>1011.8421052631579</v>
      </c>
      <c r="J21" s="6">
        <v>54.805479061835577</v>
      </c>
      <c r="K21" s="6">
        <v>30.579391044777203</v>
      </c>
      <c r="L21" s="6">
        <v>33.374058256778198</v>
      </c>
      <c r="M21" s="6">
        <v>48.014575383861057</v>
      </c>
      <c r="N21" s="6">
        <v>272.05716890138012</v>
      </c>
      <c r="O21" s="6">
        <v>711.91258394825854</v>
      </c>
      <c r="P21" s="6">
        <v>38.021927079310977</v>
      </c>
      <c r="Q21" s="6">
        <v>2.6430766362160698</v>
      </c>
      <c r="R21" s="6">
        <v>100</v>
      </c>
      <c r="S21">
        <f>[1]!decode_json($I$7,,"q_liq_sm3day",1)</f>
        <v>30</v>
      </c>
    </row>
    <row r="22" spans="2:19" x14ac:dyDescent="0.25">
      <c r="B22" s="1" t="s">
        <v>40</v>
      </c>
      <c r="C22" s="2">
        <v>0.56999999999999995</v>
      </c>
      <c r="H22" s="6">
        <v>26.315789473684209</v>
      </c>
      <c r="I22" s="6">
        <v>1011.1842105263158</v>
      </c>
      <c r="J22" s="6">
        <v>60.177974098654872</v>
      </c>
      <c r="K22" s="6">
        <v>31.256367246788994</v>
      </c>
      <c r="L22" s="6">
        <v>25.010423042345327</v>
      </c>
      <c r="M22" s="6">
        <v>43.007240063777303</v>
      </c>
      <c r="N22" s="6">
        <v>545.51139851733706</v>
      </c>
      <c r="O22" s="6">
        <v>1500.4189043656709</v>
      </c>
      <c r="P22" s="6">
        <v>34.386658821174457</v>
      </c>
      <c r="Q22" s="6">
        <v>2.553829323064341</v>
      </c>
      <c r="R22" s="6">
        <v>100</v>
      </c>
      <c r="S22">
        <f>[1]!decode_json($I$7,,"q_liq_sm3day",1)</f>
        <v>30</v>
      </c>
    </row>
    <row r="23" spans="2:19" x14ac:dyDescent="0.25">
      <c r="B23" s="1" t="s">
        <v>30</v>
      </c>
      <c r="C23" s="2">
        <f>I4</f>
        <v>50</v>
      </c>
      <c r="D23" t="s">
        <v>16</v>
      </c>
      <c r="H23" s="6">
        <v>39.473684210526315</v>
      </c>
      <c r="I23" s="6">
        <v>1010.5263157894736</v>
      </c>
      <c r="J23" s="6">
        <v>66.027079114334981</v>
      </c>
      <c r="K23" s="6">
        <v>32.015908157979112</v>
      </c>
      <c r="L23" s="6">
        <v>17.544162207969009</v>
      </c>
      <c r="M23" s="6">
        <v>39.409622386597924</v>
      </c>
      <c r="N23" s="6">
        <v>819.73538362379338</v>
      </c>
      <c r="O23" s="6">
        <v>2353.7160537085965</v>
      </c>
      <c r="P23" s="6">
        <v>31.711374025780138</v>
      </c>
      <c r="Q23" s="6">
        <v>2.4696614521293552</v>
      </c>
      <c r="R23" s="6">
        <v>100</v>
      </c>
      <c r="S23">
        <f>[1]!decode_json($I$7,,"q_liq_sm3day",1)</f>
        <v>30</v>
      </c>
    </row>
    <row r="24" spans="2:19" x14ac:dyDescent="0.25">
      <c r="B24" s="1" t="s">
        <v>41</v>
      </c>
      <c r="C24" s="2">
        <f>I5</f>
        <v>30</v>
      </c>
      <c r="H24" s="6">
        <v>52.631578947368418</v>
      </c>
      <c r="I24" s="6">
        <v>1009.8684210526316</v>
      </c>
      <c r="J24" s="6">
        <v>72.449099364392964</v>
      </c>
      <c r="K24" s="6">
        <v>32.874527165240323</v>
      </c>
      <c r="L24" s="6">
        <v>9.5451633561224778</v>
      </c>
      <c r="M24" s="6">
        <v>36.288401453727715</v>
      </c>
      <c r="N24" s="6">
        <v>1094.5714975204028</v>
      </c>
      <c r="O24" s="6">
        <v>3285.0282018346875</v>
      </c>
      <c r="P24" s="6">
        <v>29.354899079403989</v>
      </c>
      <c r="Q24" s="6">
        <v>2.3776307646561503</v>
      </c>
      <c r="R24" s="6">
        <v>100</v>
      </c>
      <c r="S24">
        <f>[1]!decode_json($I$7,,"q_liq_sm3day",1)</f>
        <v>30</v>
      </c>
    </row>
    <row r="25" spans="2:19" x14ac:dyDescent="0.25">
      <c r="B25" s="1" t="s">
        <v>15</v>
      </c>
      <c r="C25" s="4" t="str">
        <f>feed_json</f>
        <v>{"gamma_gas":0.6,"gamma_oil":0.86,"gamma_wat":1.1,"rsb_m3m3":120,"pb_atma":130,"t_res_C":80,"bob_m3m3":1.2,"muob_cP":0.6,"PVT_corr_set":0,"q_liq_sm3day":30,"fw_perc":0,"rp_m3m3":120}</v>
      </c>
      <c r="D25" t="s">
        <v>16</v>
      </c>
      <c r="H25" s="6">
        <v>65.78947368421052</v>
      </c>
      <c r="I25" s="6">
        <v>1009.2105263157895</v>
      </c>
      <c r="J25" s="6">
        <v>79.3493800032509</v>
      </c>
      <c r="K25" s="6">
        <v>33.815198630652432</v>
      </c>
      <c r="L25" s="6">
        <v>2.0642121885891771</v>
      </c>
      <c r="M25" s="6">
        <v>33.812417679593167</v>
      </c>
      <c r="N25" s="6">
        <v>1369.7484754828808</v>
      </c>
      <c r="O25" s="6">
        <v>4281.4312201992661</v>
      </c>
      <c r="P25" s="6">
        <v>27.46910385900604</v>
      </c>
      <c r="Q25" s="6">
        <v>2.2858754106820456</v>
      </c>
      <c r="R25" s="6">
        <v>100</v>
      </c>
      <c r="S25">
        <f>[1]!decode_json($I$7,,"q_liq_sm3day",1)</f>
        <v>30</v>
      </c>
    </row>
    <row r="26" spans="2:19" x14ac:dyDescent="0.25">
      <c r="B26" s="1" t="s">
        <v>42</v>
      </c>
      <c r="C26" s="2">
        <v>1</v>
      </c>
      <c r="H26" s="6">
        <v>78.94736842105263</v>
      </c>
      <c r="I26" s="6">
        <v>1008.5526315789474</v>
      </c>
      <c r="J26" s="6">
        <v>86.428156270034393</v>
      </c>
      <c r="K26" s="6">
        <v>34.785338191298287</v>
      </c>
      <c r="L26" s="6">
        <v>9.0880749085223417E-16</v>
      </c>
      <c r="M26" s="6">
        <v>33.153913265391175</v>
      </c>
      <c r="N26" s="6">
        <v>1645.0266866909885</v>
      </c>
      <c r="O26" s="6">
        <v>5302.1079161028865</v>
      </c>
      <c r="P26" s="6">
        <v>26.965723175493984</v>
      </c>
      <c r="Q26" s="6">
        <v>2.2220261664600409</v>
      </c>
      <c r="R26" s="6">
        <v>100</v>
      </c>
      <c r="S26">
        <f>[1]!decode_json($I$7,,"q_liq_sm3day",1)</f>
        <v>30</v>
      </c>
    </row>
    <row r="27" spans="2:19" x14ac:dyDescent="0.25">
      <c r="B27" s="1" t="s">
        <v>43</v>
      </c>
      <c r="C27" s="3" t="str">
        <f>[1]!feed_mod_separate_gas(C22,C23,C24,C25,C26)</f>
        <v>{"gamma_gas":0.6,"gamma_oil":0.86,"gamma_wat":1.1,"rsb_m3m3":78.635,"pb_atma":91.956,"t_res_C":80,"bob_m3m3":1.138,"muob_cP":0.772,"PVT_corr_set":0,"q_liq_sm3day":30,"fw_perc":0,"rp_m3m3":78.635}</v>
      </c>
      <c r="H27" s="6">
        <v>92.105263157894726</v>
      </c>
      <c r="I27" s="6">
        <v>1007.8947368421053</v>
      </c>
      <c r="J27" s="6">
        <v>93.513929424955393</v>
      </c>
      <c r="K27" s="6">
        <v>35.754878007837434</v>
      </c>
      <c r="L27" s="6">
        <v>8.3284450711908443E-16</v>
      </c>
      <c r="M27" s="6">
        <v>33.124636870906393</v>
      </c>
      <c r="N27" s="6">
        <v>1920.3083768887318</v>
      </c>
      <c r="O27" s="6">
        <v>6323.7355355328182</v>
      </c>
      <c r="P27" s="6">
        <v>26.94329533626124</v>
      </c>
      <c r="Q27" s="6">
        <v>2.175975643476896</v>
      </c>
      <c r="R27" s="6">
        <v>100</v>
      </c>
      <c r="S27">
        <f>[1]!decode_json($I$7,,"q_liq_sm3day",1)</f>
        <v>30</v>
      </c>
    </row>
    <row r="28" spans="2:19" x14ac:dyDescent="0.25">
      <c r="H28" s="6">
        <v>105.26315789473684</v>
      </c>
      <c r="I28" s="6">
        <v>1007.2368421052631</v>
      </c>
      <c r="J28" s="6">
        <v>100.60496009756802</v>
      </c>
      <c r="K28" s="6">
        <v>36.723631136222217</v>
      </c>
      <c r="L28" s="6">
        <v>7.6907708868081552E-16</v>
      </c>
      <c r="M28" s="6">
        <v>33.101098553890957</v>
      </c>
      <c r="N28" s="6">
        <v>2195.5926680672474</v>
      </c>
      <c r="O28" s="6">
        <v>7346.0776681722036</v>
      </c>
      <c r="P28" s="6">
        <v>26.925261962934421</v>
      </c>
      <c r="Q28" s="6">
        <v>2.1362742487839466</v>
      </c>
      <c r="R28" s="6">
        <v>100</v>
      </c>
      <c r="S28">
        <f>[1]!decode_json($I$7,,"q_liq_sm3day",1)</f>
        <v>30</v>
      </c>
    </row>
    <row r="29" spans="2:19" x14ac:dyDescent="0.25">
      <c r="H29" s="6">
        <v>118.42105263157895</v>
      </c>
      <c r="I29" s="6">
        <v>1006.578947368421</v>
      </c>
      <c r="J29" s="6">
        <v>107.70001063729681</v>
      </c>
      <c r="K29" s="6">
        <v>37.691488042725645</v>
      </c>
      <c r="L29" s="6">
        <v>7.1443323015645357E-16</v>
      </c>
      <c r="M29" s="6">
        <v>33.081842315231739</v>
      </c>
      <c r="N29" s="6">
        <v>2470.8789403613423</v>
      </c>
      <c r="O29" s="6">
        <v>8368.9661027787733</v>
      </c>
      <c r="P29" s="6">
        <v>26.910508394012005</v>
      </c>
      <c r="Q29" s="6">
        <v>2.1016850263964004</v>
      </c>
      <c r="R29" s="6">
        <v>100</v>
      </c>
      <c r="S29">
        <f>[1]!decode_json($I$7,,"q_liq_sm3day",1)</f>
        <v>30</v>
      </c>
    </row>
    <row r="30" spans="2:19" x14ac:dyDescent="0.25">
      <c r="H30" s="6">
        <v>131.57894736842104</v>
      </c>
      <c r="I30" s="6">
        <v>1005.921052631579</v>
      </c>
      <c r="J30" s="6">
        <v>114.79863492563553</v>
      </c>
      <c r="K30" s="6">
        <v>38.658221134345119</v>
      </c>
      <c r="L30" s="6">
        <v>6.6793108734302791E-16</v>
      </c>
      <c r="M30" s="6">
        <v>33.066398101555642</v>
      </c>
      <c r="N30" s="6">
        <v>2746.1669684423277</v>
      </c>
      <c r="O30" s="6">
        <v>9392.3402039092325</v>
      </c>
      <c r="P30" s="6">
        <v>26.898674905235065</v>
      </c>
      <c r="Q30" s="6">
        <v>2.0720127238921235</v>
      </c>
      <c r="R30" s="6">
        <v>100</v>
      </c>
      <c r="S30">
        <f>[1]!decode_json($I$7,,"q_liq_sm3day",1)</f>
        <v>30</v>
      </c>
    </row>
    <row r="31" spans="2:19" x14ac:dyDescent="0.25">
      <c r="H31" s="6">
        <v>144.73684210526315</v>
      </c>
      <c r="I31" s="6">
        <v>1005.2631578947369</v>
      </c>
      <c r="J31" s="6">
        <v>121.90012143685536</v>
      </c>
      <c r="K31" s="6">
        <v>39.623712289213287</v>
      </c>
      <c r="L31" s="6">
        <v>6.2806685048352208E-16</v>
      </c>
      <c r="M31" s="6">
        <v>33.054065197868901</v>
      </c>
      <c r="N31" s="6">
        <v>3021.456399041394</v>
      </c>
      <c r="O31" s="6">
        <v>10416.103271158077</v>
      </c>
      <c r="P31" s="6">
        <v>26.889224955510954</v>
      </c>
      <c r="Q31" s="6">
        <v>2.0466455961016163</v>
      </c>
      <c r="R31" s="6">
        <v>100</v>
      </c>
      <c r="S31">
        <f>[1]!decode_json($I$7,,"q_liq_sm3day",1)</f>
        <v>30</v>
      </c>
    </row>
    <row r="32" spans="2:19" x14ac:dyDescent="0.25">
      <c r="H32" s="6">
        <v>157.89473684210526</v>
      </c>
      <c r="I32" s="6">
        <v>1004.6052631578947</v>
      </c>
      <c r="J32" s="6">
        <v>129.0036961456544</v>
      </c>
      <c r="K32" s="6">
        <v>40.587986095826388</v>
      </c>
      <c r="L32" s="6">
        <v>5.9320937771701686E-16</v>
      </c>
      <c r="M32" s="6">
        <v>33.044089495287558</v>
      </c>
      <c r="N32" s="6">
        <v>3296.7468507684925</v>
      </c>
      <c r="O32" s="6">
        <v>11440.150114182999</v>
      </c>
      <c r="P32" s="6">
        <v>26.881580965484986</v>
      </c>
      <c r="Q32" s="6">
        <v>2.0247394533314127</v>
      </c>
      <c r="R32" s="6">
        <v>100</v>
      </c>
      <c r="S32">
        <f>[1]!decode_json($I$7,,"q_liq_sm3day",1)</f>
        <v>30</v>
      </c>
    </row>
    <row r="33" spans="8:19" x14ac:dyDescent="0.25">
      <c r="H33" s="6">
        <v>171.05263157894737</v>
      </c>
      <c r="I33" s="6">
        <v>1003.9473684210526</v>
      </c>
      <c r="J33" s="6">
        <v>136.10904133188166</v>
      </c>
      <c r="K33" s="6">
        <v>41.550891851880522</v>
      </c>
      <c r="L33" s="6">
        <v>5.628209828784834E-16</v>
      </c>
      <c r="M33" s="6">
        <v>33.036233314940354</v>
      </c>
      <c r="N33" s="6">
        <v>3572.0381669056819</v>
      </c>
      <c r="O33" s="6">
        <v>12464.437554449298</v>
      </c>
      <c r="P33" s="6">
        <v>26.875560934495013</v>
      </c>
      <c r="Q33" s="6">
        <v>2.0061018539787527</v>
      </c>
      <c r="R33" s="6">
        <v>100</v>
      </c>
      <c r="S33">
        <f>[1]!decode_json($I$7,,"q_liq_sm3day",1)</f>
        <v>30</v>
      </c>
    </row>
    <row r="34" spans="8:19" x14ac:dyDescent="0.25">
      <c r="H34" s="6">
        <v>184.21052631578945</v>
      </c>
      <c r="I34" s="6">
        <v>1003.2894736842105</v>
      </c>
      <c r="J34" s="6">
        <v>143.21583017258308</v>
      </c>
      <c r="K34" s="6">
        <v>42.512279035236006</v>
      </c>
      <c r="L34" s="6">
        <v>5.3638667115292794E-16</v>
      </c>
      <c r="M34" s="6">
        <v>33.030272452052415</v>
      </c>
      <c r="N34" s="6">
        <v>3847.3301869589827</v>
      </c>
      <c r="O34" s="6">
        <v>13488.921177356271</v>
      </c>
      <c r="P34" s="6">
        <v>26.870993154188973</v>
      </c>
      <c r="Q34" s="6">
        <v>1.99052113111684</v>
      </c>
      <c r="R34" s="6">
        <v>100</v>
      </c>
      <c r="S34">
        <f>[1]!decode_json($I$7,,"q_liq_sm3day",1)</f>
        <v>30</v>
      </c>
    </row>
    <row r="35" spans="8:19" x14ac:dyDescent="0.25">
      <c r="H35" s="6">
        <v>197.36842105263156</v>
      </c>
      <c r="I35" s="6">
        <v>1002.6315789473684</v>
      </c>
      <c r="J35" s="6">
        <v>150.32357361702807</v>
      </c>
      <c r="K35" s="6">
        <v>43.472272088615803</v>
      </c>
      <c r="L35" s="6">
        <v>5.1289663932980283E-16</v>
      </c>
      <c r="M35" s="6">
        <v>33.025741373544754</v>
      </c>
      <c r="N35" s="6">
        <v>4122.6226720002196</v>
      </c>
      <c r="O35" s="6">
        <v>14513.53452362453</v>
      </c>
      <c r="P35" s="6">
        <v>26.867520964201169</v>
      </c>
      <c r="Q35" s="6">
        <v>1.9773344380334172</v>
      </c>
      <c r="R35" s="6">
        <v>100</v>
      </c>
      <c r="S35">
        <f>[1]!decode_json($I$7,,"q_liq_sm3day",1)</f>
        <v>30</v>
      </c>
    </row>
    <row r="36" spans="8:19" x14ac:dyDescent="0.25">
      <c r="H36" s="6">
        <v>210.52631578947367</v>
      </c>
      <c r="I36" s="6">
        <v>1001.9736842105264</v>
      </c>
      <c r="J36" s="6">
        <v>157.43203692809863</v>
      </c>
      <c r="K36" s="6">
        <v>44.430787053290132</v>
      </c>
      <c r="L36" s="6">
        <v>4.9201163852504219E-16</v>
      </c>
      <c r="M36" s="6">
        <v>33.022492913655171</v>
      </c>
      <c r="N36" s="6">
        <v>4397.9155074540531</v>
      </c>
      <c r="O36" s="6">
        <v>15538.24569393509</v>
      </c>
      <c r="P36" s="6">
        <v>26.865031625773916</v>
      </c>
      <c r="Q36" s="6">
        <v>1.9663561709657384</v>
      </c>
      <c r="R36" s="6">
        <v>100</v>
      </c>
      <c r="S36">
        <f>[1]!decode_json($I$7,,"q_liq_sm3day",1)</f>
        <v>30</v>
      </c>
    </row>
    <row r="37" spans="8:19" x14ac:dyDescent="0.25">
      <c r="H37" s="6">
        <v>223.68421052631578</v>
      </c>
      <c r="I37" s="6">
        <v>1001.3157894736842</v>
      </c>
      <c r="J37" s="6">
        <v>164.54102313901916</v>
      </c>
      <c r="K37" s="6">
        <v>45.387598483548949</v>
      </c>
      <c r="L37" s="6">
        <v>4.7361104591864502E-16</v>
      </c>
      <c r="M37" s="6">
        <v>33.020488509954156</v>
      </c>
      <c r="N37" s="6">
        <v>4673.2085973116564</v>
      </c>
      <c r="O37" s="6">
        <v>16563.027921911693</v>
      </c>
      <c r="P37" s="6">
        <v>26.863495612068601</v>
      </c>
      <c r="Q37" s="6">
        <v>1.9575724309642601</v>
      </c>
      <c r="R37" s="6">
        <v>100</v>
      </c>
      <c r="S37">
        <f>[1]!decode_json($I$7,,"q_liq_sm3day",1)</f>
        <v>30</v>
      </c>
    </row>
    <row r="38" spans="8:19" x14ac:dyDescent="0.25">
      <c r="H38" s="6">
        <v>236.84210526315789</v>
      </c>
      <c r="I38" s="6">
        <v>1000.6578947368421</v>
      </c>
      <c r="J38" s="6">
        <v>171.65024486177865</v>
      </c>
      <c r="K38" s="6">
        <v>46.342913724578892</v>
      </c>
      <c r="L38" s="6">
        <v>4.5703254491183788E-16</v>
      </c>
      <c r="M38" s="6">
        <v>33.019413362111067</v>
      </c>
      <c r="N38" s="6">
        <v>4948.5018017141792</v>
      </c>
      <c r="O38" s="6">
        <v>17587.842153901081</v>
      </c>
      <c r="P38" s="6">
        <v>26.862671702116781</v>
      </c>
      <c r="Q38" s="6">
        <v>1.9504571011081302</v>
      </c>
      <c r="R38" s="6">
        <v>100</v>
      </c>
      <c r="S38">
        <f>[1]!decode_json($I$7,,"q_liq_sm3day",1)</f>
        <v>30</v>
      </c>
    </row>
    <row r="39" spans="8:19" x14ac:dyDescent="0.25">
      <c r="H39" s="6">
        <v>250</v>
      </c>
      <c r="I39" s="6">
        <v>1000</v>
      </c>
      <c r="J39" s="6">
        <v>178.75953731327525</v>
      </c>
      <c r="K39" s="6">
        <v>47.296711323132541</v>
      </c>
      <c r="L39" s="6">
        <v>4.4204504139257104E-16</v>
      </c>
      <c r="M39" s="6">
        <v>33.019163275952515</v>
      </c>
      <c r="N39" s="6">
        <v>5223.7950405127012</v>
      </c>
      <c r="O39" s="6">
        <v>18612.665997305543</v>
      </c>
      <c r="P39" s="6">
        <v>26.862480055146825</v>
      </c>
      <c r="Q39" s="6">
        <v>1.9448371474974508</v>
      </c>
      <c r="R39" s="6">
        <v>100</v>
      </c>
      <c r="S39">
        <f>[1]!decode_json($I$7,,"q_liq_sm3day",1)</f>
        <v>30</v>
      </c>
    </row>
    <row r="42" spans="8:19" x14ac:dyDescent="0.25">
      <c r="H42" s="1" t="s">
        <v>30</v>
      </c>
      <c r="I42" s="2">
        <f>I4</f>
        <v>50</v>
      </c>
    </row>
    <row r="43" spans="8:19" x14ac:dyDescent="0.25">
      <c r="H43" s="1" t="s">
        <v>31</v>
      </c>
      <c r="I43" s="2">
        <f t="shared" ref="I43:I54" si="0">I5</f>
        <v>30</v>
      </c>
    </row>
    <row r="44" spans="8:19" x14ac:dyDescent="0.25">
      <c r="H44" s="1" t="s">
        <v>32</v>
      </c>
      <c r="I44" s="2">
        <f t="shared" si="0"/>
        <v>-1</v>
      </c>
    </row>
    <row r="45" spans="8:19" x14ac:dyDescent="0.25">
      <c r="H45" s="1" t="s">
        <v>15</v>
      </c>
      <c r="I45" s="2" t="str">
        <f t="shared" si="0"/>
        <v>{"gamma_gas":0.6,"gamma_oil":0.86,"gamma_wat":1.1,"rsb_m3m3":78.635,"pb_atma":91.956,"t_res_C":80,"bob_m3m3":1.138,"muob_cP":0.772,"PVT_corr_set":0,"q_liq_sm3day":30,"fw_perc":0,"rp_m3m3":78.635}</v>
      </c>
      <c r="J45" t="s">
        <v>16</v>
      </c>
    </row>
    <row r="46" spans="8:19" x14ac:dyDescent="0.25">
      <c r="H46" s="1" t="s">
        <v>33</v>
      </c>
      <c r="I46" s="2" t="str">
        <f t="shared" si="0"/>
        <v>{"q_nom_sm3day":80,"head_nom_m":1500,"freq_nom_Hz":50,"name":"ESP-80-1500","ESP_ID":1006,"num_stages":250,"gas_correct_model":0,"gas_correct_stage_by_stage":1,"calibr_head":1,"calibr_power":1,"calibr_rate":1,"dnum_stages_integrate":10}</v>
      </c>
      <c r="J46" t="s">
        <v>16</v>
      </c>
    </row>
    <row r="47" spans="8:19" x14ac:dyDescent="0.25">
      <c r="H47" s="1" t="s">
        <v>34</v>
      </c>
      <c r="I47" s="2">
        <f t="shared" si="0"/>
        <v>50</v>
      </c>
      <c r="J47" t="s">
        <v>16</v>
      </c>
    </row>
    <row r="48" spans="8:19" x14ac:dyDescent="0.25">
      <c r="H48" s="1" t="s">
        <v>35</v>
      </c>
      <c r="I48" s="2">
        <f t="shared" si="0"/>
        <v>1</v>
      </c>
      <c r="J48" t="s">
        <v>16</v>
      </c>
    </row>
    <row r="49" spans="8:20" x14ac:dyDescent="0.25">
      <c r="H49" s="1" t="s">
        <v>36</v>
      </c>
      <c r="I49" s="2" t="str">
        <f t="shared" si="0"/>
        <v>{"show_array":1}</v>
      </c>
      <c r="J49" t="s">
        <v>16</v>
      </c>
    </row>
    <row r="50" spans="8:20" x14ac:dyDescent="0.25">
      <c r="H50" s="1" t="s">
        <v>38</v>
      </c>
      <c r="I50" s="2">
        <f t="shared" si="0"/>
        <v>1000</v>
      </c>
    </row>
    <row r="51" spans="8:20" x14ac:dyDescent="0.25">
      <c r="H51" s="1" t="s">
        <v>11</v>
      </c>
      <c r="I51" s="2">
        <f t="shared" si="0"/>
        <v>0</v>
      </c>
    </row>
    <row r="52" spans="8:20" x14ac:dyDescent="0.25">
      <c r="H52" s="1" t="s">
        <v>12</v>
      </c>
      <c r="I52" s="2">
        <f t="shared" si="0"/>
        <v>0</v>
      </c>
      <c r="K52" s="1" t="s">
        <v>44</v>
      </c>
      <c r="L52" s="2">
        <v>1</v>
      </c>
    </row>
    <row r="53" spans="8:20" x14ac:dyDescent="0.25">
      <c r="H53" s="1" t="s">
        <v>13</v>
      </c>
      <c r="I53" s="2">
        <f t="shared" si="0"/>
        <v>0</v>
      </c>
      <c r="K53" s="1" t="s">
        <v>45</v>
      </c>
      <c r="L53" s="2">
        <f>[1]!ESP_rate_max_sm3day(I46,I47,1)</f>
        <v>175</v>
      </c>
    </row>
    <row r="54" spans="8:20" x14ac:dyDescent="0.25">
      <c r="H54" s="1" t="s">
        <v>14</v>
      </c>
      <c r="I54" s="2">
        <f t="shared" si="0"/>
        <v>0</v>
      </c>
      <c r="K54" s="1" t="s">
        <v>46</v>
      </c>
      <c r="L54" s="4" t="str">
        <f>[1]!encode_linspace(L52,L53,20)</f>
        <v>[1,9.7,18.4,27.1,35.8,44.5,53.2,61.9,70.6,79.3,88,96.7,105.4,114.1,122.8,131.5,140.2,148.9,157.6,166.3,175]</v>
      </c>
      <c r="M54" t="s">
        <v>16</v>
      </c>
    </row>
    <row r="55" spans="8:20" x14ac:dyDescent="0.25">
      <c r="H55" s="6" t="s">
        <v>11</v>
      </c>
      <c r="I55" s="6" t="s">
        <v>47</v>
      </c>
      <c r="J55" s="6" t="s">
        <v>48</v>
      </c>
      <c r="K55" s="6" t="s">
        <v>49</v>
      </c>
      <c r="L55" s="6" t="s">
        <v>47</v>
      </c>
      <c r="M55" s="6" t="s">
        <v>32</v>
      </c>
      <c r="N55" s="6" t="s">
        <v>50</v>
      </c>
      <c r="O55" s="6" t="s">
        <v>51</v>
      </c>
      <c r="P55" s="6" t="s">
        <v>52</v>
      </c>
      <c r="Q55" s="6" t="s">
        <v>53</v>
      </c>
      <c r="R55" s="6" t="s">
        <v>54</v>
      </c>
      <c r="S55" s="5" t="s">
        <v>55</v>
      </c>
      <c r="T55" t="s">
        <v>16</v>
      </c>
    </row>
    <row r="56" spans="8:20" x14ac:dyDescent="0.25">
      <c r="H56" s="6">
        <f t="array" ref="H56:H76">[1]!decode_json(L54)</f>
        <v>1</v>
      </c>
      <c r="I56" s="6">
        <f t="array" ref="I56:S56">[1]!ESP_p_atma($I$42,$I$43,$I$44,$I$45,$I$46,$I$47,$I$48,$I$49,$I$50,$H$56,$I$52,$I$53,$I$54)</f>
        <v>130.7975463104392</v>
      </c>
      <c r="J56" s="6">
        <v>50</v>
      </c>
      <c r="K56" s="6">
        <v>30</v>
      </c>
      <c r="L56" s="6">
        <v>130.7975463104392</v>
      </c>
      <c r="M56" s="6">
        <v>299</v>
      </c>
      <c r="N56" s="6">
        <v>1653.6581253364745</v>
      </c>
      <c r="O56" s="6">
        <v>1.5616241560169262</v>
      </c>
      <c r="P56" s="6">
        <v>172.29545316063098</v>
      </c>
      <c r="Q56" s="6">
        <v>11033.093494153372</v>
      </c>
      <c r="R56" s="6">
        <v>1</v>
      </c>
      <c r="S56" s="5" t="str">
        <v>["set show_log=1 in param to show calc log"]</v>
      </c>
      <c r="T56" t="s">
        <v>16</v>
      </c>
    </row>
    <row r="57" spans="8:20" x14ac:dyDescent="0.25">
      <c r="H57" s="6">
        <v>9.6999999999999993</v>
      </c>
      <c r="I57" s="6">
        <f t="array" ref="I57:S57">[1]!ESP_p_atma($I$42,$I$43,$I$44,$I$45,$I$46,$I$47,$I$48,$I$49,$I$50,$H$57,$I$52,$I$53,$I$54)</f>
        <v>176.28245854175069</v>
      </c>
      <c r="J57" s="6">
        <v>50</v>
      </c>
      <c r="K57" s="6">
        <v>30</v>
      </c>
      <c r="L57" s="6">
        <v>176.28245854175069</v>
      </c>
      <c r="M57" s="6">
        <v>90.873764330310962</v>
      </c>
      <c r="N57" s="6">
        <v>1668.3858647824316</v>
      </c>
      <c r="O57" s="6">
        <v>9.6246808922992138</v>
      </c>
      <c r="P57" s="6">
        <v>1686.1504526769168</v>
      </c>
      <c r="Q57" s="6">
        <v>17519.027088222942</v>
      </c>
      <c r="R57" s="6">
        <v>1</v>
      </c>
      <c r="S57" s="5" t="str">
        <v>["set show_log=1 in param to show calc log"]</v>
      </c>
      <c r="T57" t="s">
        <v>16</v>
      </c>
    </row>
    <row r="58" spans="8:20" x14ac:dyDescent="0.25">
      <c r="H58" s="6">
        <v>18.399999999999999</v>
      </c>
      <c r="I58" s="6">
        <f t="array" ref="I58:S58">[1]!ESP_p_atma($I$42,$I$43,$I$44,$I$45,$I$46,$I$47,$I$48,$I$49,$I$50,$H$58,$I$52,$I$53,$I$54)</f>
        <v>178.43644344049812</v>
      </c>
      <c r="J58" s="6">
        <v>50</v>
      </c>
      <c r="K58" s="6">
        <v>30</v>
      </c>
      <c r="L58" s="6">
        <v>178.43644344049812</v>
      </c>
      <c r="M58" s="6">
        <v>61.032335666278492</v>
      </c>
      <c r="N58" s="6">
        <v>1675.2738516304776</v>
      </c>
      <c r="O58" s="6">
        <v>17.717916585563199</v>
      </c>
      <c r="P58" s="6">
        <v>3211.6759561292047</v>
      </c>
      <c r="Q58" s="6">
        <v>18126.713378626708</v>
      </c>
      <c r="R58" s="6">
        <v>1</v>
      </c>
      <c r="S58" s="5" t="str">
        <v>["set show_log=1 in param to show calc log"]</v>
      </c>
      <c r="T58" t="s">
        <v>16</v>
      </c>
    </row>
    <row r="59" spans="8:20" x14ac:dyDescent="0.25">
      <c r="H59" s="6">
        <v>27.1</v>
      </c>
      <c r="I59" s="6">
        <f t="array" ref="I59:S59">[1]!ESP_p_atma($I$42,$I$43,$I$44,$I$45,$I$46,$I$47,$I$48,$I$49,$I$50,$H$59,$I$52,$I$53,$I$54)</f>
        <v>178.84260207169569</v>
      </c>
      <c r="J59" s="6">
        <v>50</v>
      </c>
      <c r="K59" s="6">
        <v>30</v>
      </c>
      <c r="L59" s="6">
        <v>178.84260207169569</v>
      </c>
      <c r="M59" s="6">
        <v>49.676464928197824</v>
      </c>
      <c r="N59" s="6">
        <v>1673.6432631882608</v>
      </c>
      <c r="O59" s="6">
        <v>25.525059651552635</v>
      </c>
      <c r="P59" s="6">
        <v>4725.6360629455685</v>
      </c>
      <c r="Q59" s="6">
        <v>18513.712122346082</v>
      </c>
      <c r="R59" s="6">
        <v>1</v>
      </c>
      <c r="S59" s="5" t="str">
        <v>["set show_log=1 in param to show calc log"]</v>
      </c>
      <c r="T59" t="s">
        <v>16</v>
      </c>
    </row>
    <row r="60" spans="8:20" x14ac:dyDescent="0.25">
      <c r="H60" s="6">
        <v>35.799999999999997</v>
      </c>
      <c r="I60" s="6">
        <f t="array" ref="I60:S60">[1]!ESP_p_atma($I$42,$I$43,$I$44,$I$45,$I$46,$I$47,$I$48,$I$49,$I$50,$H$60,$I$52,$I$53,$I$54)</f>
        <v>178.31369628761402</v>
      </c>
      <c r="J60" s="6">
        <v>50</v>
      </c>
      <c r="K60" s="6">
        <v>30</v>
      </c>
      <c r="L60" s="6">
        <v>178.31369628761402</v>
      </c>
      <c r="M60" s="6">
        <v>43.645349134371365</v>
      </c>
      <c r="N60" s="6">
        <v>1663.6042954505101</v>
      </c>
      <c r="O60" s="6">
        <v>33.062301911062598</v>
      </c>
      <c r="P60" s="6">
        <v>6205.2766326446126</v>
      </c>
      <c r="Q60" s="6">
        <v>18768.434966617784</v>
      </c>
      <c r="R60" s="6">
        <v>1</v>
      </c>
      <c r="S60" s="5" t="str">
        <v>["set show_log=1 in param to show calc log"]</v>
      </c>
      <c r="T60" t="s">
        <v>16</v>
      </c>
    </row>
    <row r="61" spans="8:20" x14ac:dyDescent="0.25">
      <c r="H61" s="6">
        <v>44.5</v>
      </c>
      <c r="I61" s="6">
        <f t="array" ref="I61:S61">[1]!ESP_p_atma($I$42,$I$43,$I$44,$I$45,$I$46,$I$47,$I$48,$I$49,$I$50,$H$61,$I$52,$I$53,$I$54)</f>
        <v>176.86756265056189</v>
      </c>
      <c r="J61" s="6">
        <v>50</v>
      </c>
      <c r="K61" s="6">
        <v>30</v>
      </c>
      <c r="L61" s="6">
        <v>176.86756265056189</v>
      </c>
      <c r="M61" s="6">
        <v>39.931474323972544</v>
      </c>
      <c r="N61" s="6">
        <v>1643.5309766111006</v>
      </c>
      <c r="O61" s="6">
        <v>40.216435048157486</v>
      </c>
      <c r="P61" s="6">
        <v>7620.1933747219418</v>
      </c>
      <c r="Q61" s="6">
        <v>18947.958379694974</v>
      </c>
      <c r="R61" s="6">
        <v>1</v>
      </c>
      <c r="S61" s="5" t="str">
        <v>["set show_log=1 in param to show calc log"]</v>
      </c>
      <c r="T61" t="s">
        <v>16</v>
      </c>
    </row>
    <row r="62" spans="8:20" x14ac:dyDescent="0.25">
      <c r="H62" s="6">
        <v>53.2</v>
      </c>
      <c r="I62" s="6">
        <f t="array" ref="I62:S62">[1]!ESP_p_atma($I$42,$I$43,$I$44,$I$45,$I$46,$I$47,$I$48,$I$49,$I$50,$H$62,$I$52,$I$53,$I$54)</f>
        <v>174.11225159018227</v>
      </c>
      <c r="J62" s="6">
        <v>50</v>
      </c>
      <c r="K62" s="6">
        <v>30</v>
      </c>
      <c r="L62" s="6">
        <v>174.11225159018227</v>
      </c>
      <c r="M62" s="6">
        <v>37.505928985092943</v>
      </c>
      <c r="N62" s="6">
        <v>1608.0616743126373</v>
      </c>
      <c r="O62" s="6">
        <v>46.604765953229801</v>
      </c>
      <c r="P62" s="6">
        <v>8913.3799822939964</v>
      </c>
      <c r="Q62" s="6">
        <v>19125.468822735889</v>
      </c>
      <c r="R62" s="6">
        <v>1</v>
      </c>
      <c r="S62" s="5" t="str">
        <v>["set show_log=1 in param to show calc log"]</v>
      </c>
      <c r="T62" t="s">
        <v>16</v>
      </c>
    </row>
    <row r="63" spans="8:20" x14ac:dyDescent="0.25">
      <c r="H63" s="6">
        <v>61.9</v>
      </c>
      <c r="I63" s="6">
        <f t="array" ref="I63:S63">[1]!ESP_p_atma($I$42,$I$43,$I$44,$I$45,$I$46,$I$47,$I$48,$I$49,$I$50,$H$63,$I$52,$I$53,$I$54)</f>
        <v>169.26490123878145</v>
      </c>
      <c r="J63" s="6">
        <v>50</v>
      </c>
      <c r="K63" s="6">
        <v>30</v>
      </c>
      <c r="L63" s="6">
        <v>169.26490123878145</v>
      </c>
      <c r="M63" s="6">
        <v>35.92253728315977</v>
      </c>
      <c r="N63" s="6">
        <v>1547.7497900243109</v>
      </c>
      <c r="O63" s="6">
        <v>51.605086884046322</v>
      </c>
      <c r="P63" s="6">
        <v>9982.0442399421427</v>
      </c>
      <c r="Q63" s="6">
        <v>19343.140071387195</v>
      </c>
      <c r="R63" s="6">
        <v>1</v>
      </c>
      <c r="S63" s="5" t="str">
        <v>["set show_log=1 in param to show calc log"]</v>
      </c>
      <c r="T63" t="s">
        <v>16</v>
      </c>
    </row>
    <row r="64" spans="8:20" x14ac:dyDescent="0.25">
      <c r="H64" s="6">
        <v>70.599999999999994</v>
      </c>
      <c r="I64" s="6">
        <f t="array" ref="I64:S64">[1]!ESP_p_atma($I$42,$I$43,$I$44,$I$45,$I$46,$I$47,$I$48,$I$49,$I$50,$H$64,$I$52,$I$53,$I$54)</f>
        <v>161.46199593926704</v>
      </c>
      <c r="J64" s="6">
        <v>50</v>
      </c>
      <c r="K64" s="6">
        <v>30</v>
      </c>
      <c r="L64" s="6">
        <v>161.46199593926704</v>
      </c>
      <c r="M64" s="6">
        <v>34.972859181816816</v>
      </c>
      <c r="N64" s="6">
        <v>1451.0873176842204</v>
      </c>
      <c r="O64" s="6">
        <v>54.37738648747824</v>
      </c>
      <c r="P64" s="6">
        <v>10673.978778362916</v>
      </c>
      <c r="Q64" s="6">
        <v>19629.444274268069</v>
      </c>
      <c r="R64" s="6">
        <v>1</v>
      </c>
      <c r="S64" s="5" t="str">
        <v>["set show_log=1 in param to show calc log"]</v>
      </c>
      <c r="T64" t="s">
        <v>16</v>
      </c>
    </row>
    <row r="65" spans="8:20" x14ac:dyDescent="0.25">
      <c r="H65" s="6">
        <v>79.3</v>
      </c>
      <c r="I65" s="6">
        <f t="array" ref="I65:S65">[1]!ESP_p_atma($I$42,$I$43,$I$44,$I$45,$I$46,$I$47,$I$48,$I$49,$I$50,$H$65,$I$52,$I$53,$I$54)</f>
        <v>150.57449195211004</v>
      </c>
      <c r="J65" s="6">
        <v>50</v>
      </c>
      <c r="K65" s="6">
        <v>30</v>
      </c>
      <c r="L65" s="6">
        <v>150.57449195211004</v>
      </c>
      <c r="M65" s="6">
        <v>34.525557629822302</v>
      </c>
      <c r="N65" s="6">
        <v>1316.7999930621993</v>
      </c>
      <c r="O65" s="6">
        <v>54.323045328929354</v>
      </c>
      <c r="P65" s="6">
        <v>10879.80447131176</v>
      </c>
      <c r="Q65" s="6">
        <v>20027.972300584181</v>
      </c>
      <c r="R65" s="6">
        <v>1</v>
      </c>
      <c r="S65" s="5" t="str">
        <v>["set show_log=1 in param to show calc log"]</v>
      </c>
      <c r="T65" t="s">
        <v>16</v>
      </c>
    </row>
    <row r="66" spans="8:20" x14ac:dyDescent="0.25">
      <c r="H66" s="6">
        <v>88</v>
      </c>
      <c r="I66" s="6">
        <f t="array" ref="I66:S66">[1]!ESP_p_atma($I$42,$I$43,$I$44,$I$45,$I$46,$I$47,$I$48,$I$49,$I$50,$H$66,$I$52,$I$53,$I$54)</f>
        <v>136.48460358469779</v>
      </c>
      <c r="J66" s="6">
        <v>50</v>
      </c>
      <c r="K66" s="6">
        <v>30</v>
      </c>
      <c r="L66" s="6">
        <v>136.48460358469779</v>
      </c>
      <c r="M66" s="6">
        <v>34.459495325038503</v>
      </c>
      <c r="N66" s="6">
        <v>1143.3268888023506</v>
      </c>
      <c r="O66" s="6">
        <v>51.180915741388809</v>
      </c>
      <c r="P66" s="6">
        <v>10482.893581866012</v>
      </c>
      <c r="Q66" s="6">
        <v>20482.035989420059</v>
      </c>
      <c r="R66" s="6">
        <v>1</v>
      </c>
      <c r="S66" s="5" t="str">
        <v>["set show_log=1 in param to show calc log"]</v>
      </c>
      <c r="T66" t="s">
        <v>16</v>
      </c>
    </row>
    <row r="67" spans="8:20" x14ac:dyDescent="0.25">
      <c r="H67" s="6">
        <v>96.7</v>
      </c>
      <c r="I67" s="6">
        <f t="array" ref="I67:S67">[1]!ESP_p_atma($I$42,$I$43,$I$44,$I$45,$I$46,$I$47,$I$48,$I$49,$I$50,$H$67,$I$52,$I$53,$I$54)</f>
        <v>116.21776421748828</v>
      </c>
      <c r="J67" s="6">
        <v>50</v>
      </c>
      <c r="K67" s="6">
        <v>30</v>
      </c>
      <c r="L67" s="6">
        <v>116.21776421748828</v>
      </c>
      <c r="M67" s="6">
        <v>34.776892088951385</v>
      </c>
      <c r="N67" s="6">
        <v>894.12579996315753</v>
      </c>
      <c r="O67" s="6">
        <v>43.365790373866851</v>
      </c>
      <c r="P67" s="6">
        <v>9008.5146305965063</v>
      </c>
      <c r="Q67" s="6">
        <v>20773.320520465433</v>
      </c>
      <c r="R67" s="6">
        <v>1</v>
      </c>
      <c r="S67" s="5" t="str">
        <v>["set show_log=1 in param to show calc log"]</v>
      </c>
      <c r="T67" t="s">
        <v>16</v>
      </c>
    </row>
    <row r="68" spans="8:20" x14ac:dyDescent="0.25">
      <c r="H68" s="6">
        <v>105.4</v>
      </c>
      <c r="I68" s="6">
        <f t="array" ref="I68:S68">[1]!ESP_p_atma($I$42,$I$43,$I$44,$I$45,$I$46,$I$47,$I$48,$I$49,$I$50,$H$68,$I$52,$I$53,$I$54)</f>
        <v>50.15124613786201</v>
      </c>
      <c r="J68" s="6">
        <v>50</v>
      </c>
      <c r="K68" s="6">
        <v>30</v>
      </c>
      <c r="L68" s="6">
        <v>50.15124613786201</v>
      </c>
      <c r="M68" s="6">
        <v>33.731621457937649</v>
      </c>
      <c r="N68" s="6">
        <v>0</v>
      </c>
      <c r="O68" s="6">
        <v>0</v>
      </c>
      <c r="P68" s="6">
        <v>88.981235120439749</v>
      </c>
      <c r="Q68" s="6">
        <v>10070.875293398716</v>
      </c>
      <c r="R68" s="6">
        <v>1</v>
      </c>
      <c r="S68" s="5" t="str">
        <v>["set show_log=1 in param to show calc log"]</v>
      </c>
      <c r="T68" t="s">
        <v>16</v>
      </c>
    </row>
    <row r="69" spans="8:20" x14ac:dyDescent="0.25">
      <c r="H69" s="6">
        <v>114.1</v>
      </c>
      <c r="I69" s="6">
        <f t="array" ref="I69:S69">[1]!ESP_p_atma($I$42,$I$43,$I$44,$I$45,$I$46,$I$47,$I$48,$I$49,$I$50,$H$69,$I$52,$I$53,$I$54)</f>
        <v>0.9</v>
      </c>
      <c r="J69" s="6">
        <v>50</v>
      </c>
      <c r="K69" s="6">
        <v>30</v>
      </c>
      <c r="L69" s="6">
        <v>0.9</v>
      </c>
      <c r="M69" s="6">
        <v>30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5" t="str">
        <v>["set show_log=1 in param to show calc log"]</v>
      </c>
      <c r="T69" t="s">
        <v>16</v>
      </c>
    </row>
    <row r="70" spans="8:20" x14ac:dyDescent="0.25">
      <c r="H70" s="6">
        <v>122.8</v>
      </c>
      <c r="I70" s="6">
        <f t="array" ref="I70:S70">[1]!ESP_p_atma($I$42,$I$43,$I$44,$I$45,$I$46,$I$47,$I$48,$I$49,$I$50,$H$70,$I$52,$I$53,$I$54)</f>
        <v>0.9</v>
      </c>
      <c r="J70" s="6">
        <v>50</v>
      </c>
      <c r="K70" s="6">
        <v>30</v>
      </c>
      <c r="L70" s="6">
        <v>0.9</v>
      </c>
      <c r="M70" s="6">
        <v>30</v>
      </c>
      <c r="N70" s="6">
        <v>0</v>
      </c>
      <c r="O70" s="6">
        <v>0</v>
      </c>
      <c r="P70" s="6">
        <v>0</v>
      </c>
      <c r="Q70" s="6">
        <v>0</v>
      </c>
      <c r="R70" s="6">
        <v>1</v>
      </c>
      <c r="S70" s="5" t="str">
        <v>["set show_log=1 in param to show calc log"]</v>
      </c>
      <c r="T70" t="s">
        <v>16</v>
      </c>
    </row>
    <row r="71" spans="8:20" x14ac:dyDescent="0.25">
      <c r="H71" s="6">
        <v>131.5</v>
      </c>
      <c r="I71" s="6">
        <f t="array" ref="I71:S71">[1]!ESP_p_atma($I$42,$I$43,$I$44,$I$45,$I$46,$I$47,$I$48,$I$49,$I$50,$H$71,$I$52,$I$53,$I$54)</f>
        <v>0.9</v>
      </c>
      <c r="J71" s="6">
        <v>50</v>
      </c>
      <c r="K71" s="6">
        <v>30</v>
      </c>
      <c r="L71" s="6">
        <v>0.9</v>
      </c>
      <c r="M71" s="6">
        <v>30</v>
      </c>
      <c r="N71" s="6">
        <v>0</v>
      </c>
      <c r="O71" s="6">
        <v>0</v>
      </c>
      <c r="P71" s="6">
        <v>0</v>
      </c>
      <c r="Q71" s="6">
        <v>0</v>
      </c>
      <c r="R71" s="6">
        <v>1</v>
      </c>
      <c r="S71" s="5" t="str">
        <v>["set show_log=1 in param to show calc log"]</v>
      </c>
      <c r="T71" t="s">
        <v>16</v>
      </c>
    </row>
    <row r="72" spans="8:20" x14ac:dyDescent="0.25">
      <c r="H72" s="6">
        <v>140.19999999999999</v>
      </c>
      <c r="I72" s="6">
        <f t="array" ref="I72:S72">[1]!ESP_p_atma($I$42,$I$43,$I$44,$I$45,$I$46,$I$47,$I$48,$I$49,$I$50,$H$72,$I$52,$I$53,$I$54)</f>
        <v>0.9</v>
      </c>
      <c r="J72" s="6">
        <v>50</v>
      </c>
      <c r="K72" s="6">
        <v>30</v>
      </c>
      <c r="L72" s="6">
        <v>0.9</v>
      </c>
      <c r="M72" s="6">
        <v>30</v>
      </c>
      <c r="N72" s="6">
        <v>0</v>
      </c>
      <c r="O72" s="6">
        <v>0</v>
      </c>
      <c r="P72" s="6">
        <v>0</v>
      </c>
      <c r="Q72" s="6">
        <v>0</v>
      </c>
      <c r="R72" s="6">
        <v>1</v>
      </c>
      <c r="S72" s="5" t="str">
        <v>["set show_log=1 in param to show calc log"]</v>
      </c>
      <c r="T72" t="s">
        <v>16</v>
      </c>
    </row>
    <row r="73" spans="8:20" x14ac:dyDescent="0.25">
      <c r="H73" s="6">
        <v>148.9</v>
      </c>
      <c r="I73" s="6">
        <f t="array" ref="I73:S73">[1]!ESP_p_atma($I$42,$I$43,$I$44,$I$45,$I$46,$I$47,$I$48,$I$49,$I$50,$H$73,$I$52,$I$53,$I$54)</f>
        <v>0.9</v>
      </c>
      <c r="J73" s="6">
        <v>50</v>
      </c>
      <c r="K73" s="6">
        <v>30</v>
      </c>
      <c r="L73" s="6">
        <v>0.9</v>
      </c>
      <c r="M73" s="6">
        <v>30</v>
      </c>
      <c r="N73" s="6">
        <v>0</v>
      </c>
      <c r="O73" s="6">
        <v>0</v>
      </c>
      <c r="P73" s="6">
        <v>0</v>
      </c>
      <c r="Q73" s="6">
        <v>0</v>
      </c>
      <c r="R73" s="6">
        <v>1</v>
      </c>
      <c r="S73" s="5" t="str">
        <v>["set show_log=1 in param to show calc log"]</v>
      </c>
      <c r="T73" t="s">
        <v>16</v>
      </c>
    </row>
    <row r="74" spans="8:20" x14ac:dyDescent="0.25">
      <c r="H74" s="6">
        <v>157.6</v>
      </c>
      <c r="I74" s="6">
        <f t="array" ref="I74:S74">[1]!ESP_p_atma($I$42,$I$43,$I$44,$I$45,$I$46,$I$47,$I$48,$I$49,$I$50,$H$74,$I$52,$I$53,$I$54)</f>
        <v>0.9</v>
      </c>
      <c r="J74" s="6">
        <v>50</v>
      </c>
      <c r="K74" s="6">
        <v>30</v>
      </c>
      <c r="L74" s="6">
        <v>0.9</v>
      </c>
      <c r="M74" s="6">
        <v>30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5" t="str">
        <v>["set show_log=1 in param to show calc log"]</v>
      </c>
      <c r="T74" t="s">
        <v>16</v>
      </c>
    </row>
    <row r="75" spans="8:20" x14ac:dyDescent="0.25">
      <c r="H75" s="6">
        <v>166.3</v>
      </c>
      <c r="I75" s="6">
        <f t="array" ref="I75:S75">[1]!ESP_p_atma($I$42,$I$43,$I$44,$I$45,$I$46,$I$47,$I$48,$I$49,$I$50,$H$75,$I$52,$I$53,$I$54)</f>
        <v>0.9</v>
      </c>
      <c r="J75" s="6">
        <v>50</v>
      </c>
      <c r="K75" s="6">
        <v>30</v>
      </c>
      <c r="L75" s="6">
        <v>0.9</v>
      </c>
      <c r="M75" s="6">
        <v>30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5" t="str">
        <v>["set show_log=1 in param to show calc log"]</v>
      </c>
      <c r="T75" t="s">
        <v>16</v>
      </c>
    </row>
    <row r="76" spans="8:20" x14ac:dyDescent="0.25">
      <c r="H76" s="6">
        <v>175</v>
      </c>
      <c r="I76" s="6">
        <f t="array" ref="I76:S76">[1]!ESP_p_atma($I$42,$I$43,$I$44,$I$45,$I$46,$I$47,$I$48,$I$49,$I$50,$H$76,$I$52,$I$53,$I$54)</f>
        <v>0.9</v>
      </c>
      <c r="J76" s="6">
        <v>50</v>
      </c>
      <c r="K76" s="6">
        <v>30</v>
      </c>
      <c r="L76" s="6">
        <v>0.9</v>
      </c>
      <c r="M76" s="6">
        <v>30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5" t="str">
        <v>["set show_log=1 in param to show calc log"]</v>
      </c>
      <c r="T76" t="s">
        <v>16</v>
      </c>
    </row>
    <row r="77" spans="8:20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esp_json</vt:lpstr>
      <vt:lpstr>feed_json</vt:lpstr>
      <vt:lpstr>feed_sep_gas</vt:lpstr>
      <vt:lpstr>PVT_json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rnt</dc:creator>
  <cp:lastModifiedBy>rnt</cp:lastModifiedBy>
  <dcterms:created xsi:type="dcterms:W3CDTF">2025-05-12T12:25:24Z</dcterms:created>
  <dcterms:modified xsi:type="dcterms:W3CDTF">2025-05-12T14:02:07Z</dcterms:modified>
</cp:coreProperties>
</file>