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ЭтаКнига" defaultThemeVersion="202300"/>
  <mc:AlternateContent xmlns:mc="http://schemas.openxmlformats.org/markup-compatibility/2006">
    <mc:Choice Requires="x15">
      <x15ac:absPath xmlns:x15ac="http://schemas.microsoft.com/office/spreadsheetml/2010/11/ac" url="E:\unifloc\курс энергоффективность\"/>
    </mc:Choice>
  </mc:AlternateContent>
  <xr:revisionPtr revIDLastSave="0" documentId="13_ncr:1_{7E3711B3-7B02-4F33-A511-A1FE3729823B}" xr6:coauthVersionLast="47" xr6:coauthVersionMax="47" xr10:uidLastSave="{00000000-0000-0000-0000-000000000000}"/>
  <bookViews>
    <workbookView xWindow="-120" yWindow="-120" windowWidth="38640" windowHeight="21390" xr2:uid="{3428F8E8-9031-422D-81E1-03FE4B960FC4}"/>
  </bookViews>
  <sheets>
    <sheet name="Лист1" sheetId="1" r:id="rId1"/>
  </sheets>
  <externalReferences>
    <externalReference r:id="rId2"/>
  </externalReferences>
  <definedNames>
    <definedName name="esp_efficiency">Лист1!$I$68</definedName>
    <definedName name="esp_json">Лист1!$C$40</definedName>
    <definedName name="esp_power_kW">Лист1!$I$69</definedName>
    <definedName name="feed_json">Лист1!$C$18</definedName>
    <definedName name="gas_fraction_at_pump">Лист1!$I$67</definedName>
    <definedName name="h_crit_m">Лист1!$I$57</definedName>
    <definedName name="h_dyn_m">Лист1!$I$56</definedName>
    <definedName name="IPR_json">Лист1!$AA$11</definedName>
    <definedName name="ksep_gas_d">Лист1!$I$58</definedName>
    <definedName name="ksep_liq_d">Лист1!$I$59</definedName>
    <definedName name="p_buf_atma">Лист1!$I$50</definedName>
    <definedName name="p_cas_atma">Лист1!$I$51</definedName>
    <definedName name="p_cas_limit_atma">Лист1!$I$55</definedName>
    <definedName name="p_dis_atma">Лист1!$I$53</definedName>
    <definedName name="p_intake_atma">Лист1!$I$52</definedName>
    <definedName name="p_wf_atma">Лист1!$I$54</definedName>
    <definedName name="pipe_diam">Лист1!$M$4</definedName>
    <definedName name="pipe_diam_1">Лист1!$P$4</definedName>
    <definedName name="pipe_trajectory">Лист1!$J$4</definedName>
    <definedName name="prod_index">Лист1!$AA$10</definedName>
    <definedName name="PVT_json">Лист1!$C$13</definedName>
    <definedName name="q_gas_cas_sm3day">Лист1!$I$66</definedName>
    <definedName name="q_gas_tub_sm3day">Лист1!$I$64</definedName>
    <definedName name="q_liq_cas_sm3day">Лист1!$I$65</definedName>
    <definedName name="q_liq_sm3day">Лист1!$I$49</definedName>
    <definedName name="q_liq_tub_sm3day">Лист1!$I$63</definedName>
    <definedName name="t_dis_C">Лист1!$I$62</definedName>
    <definedName name="t_intake_C">Лист1!$I$61</definedName>
    <definedName name="t_model">Лист1!$W$17</definedName>
    <definedName name="t_surf_C">Лист1!$I$60</definedName>
    <definedName name="well_res_from_pwf">Лист1!$F$48</definedName>
    <definedName name="Рбуф">Лист1!$F$4</definedName>
    <definedName name="Рзаб">Лист1!$F$6</definedName>
    <definedName name="Рзатр">Лист1!$F$5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" i="1" l="1"/>
  <c r="P9" i="1"/>
  <c r="P10" i="1"/>
  <c r="M10" i="1"/>
  <c r="M9" i="1"/>
  <c r="F42" i="1"/>
  <c r="F27" i="1"/>
  <c r="AA11" i="1"/>
  <c r="AA10" i="1"/>
  <c r="M4" i="1"/>
  <c r="P4" i="1"/>
  <c r="C32" i="1"/>
  <c r="C33" i="1"/>
  <c r="C40" i="1" s="1"/>
  <c r="W16" i="1"/>
  <c r="W17" i="1" s="1"/>
  <c r="J4" i="1"/>
  <c r="C13" i="1"/>
  <c r="C18" i="1" s="1"/>
  <c r="F41" i="1" l="1"/>
  <c r="AD4" i="1"/>
  <c r="F29" i="1"/>
  <c r="F30" i="1"/>
  <c r="F36" i="1"/>
  <c r="F33" i="1"/>
  <c r="F31" i="1"/>
  <c r="F32" i="1"/>
  <c r="AD5" i="1"/>
  <c r="F48" i="1"/>
  <c r="F49" i="1" a="1"/>
  <c r="AE6" i="1" a="1"/>
  <c r="AC6" i="1" a="1"/>
  <c r="AC15" i="1" l="1"/>
  <c r="AC17" i="1"/>
  <c r="AD24" i="1"/>
  <c r="AC26" i="1"/>
  <c r="AD21" i="1"/>
  <c r="AD23" i="1"/>
  <c r="AC25" i="1"/>
  <c r="AC12" i="1"/>
  <c r="AD8" i="1"/>
  <c r="AC22" i="1"/>
  <c r="AC18" i="1"/>
  <c r="AD19" i="1"/>
  <c r="AD6" i="1"/>
  <c r="AD26" i="1"/>
  <c r="AD12" i="1"/>
  <c r="AC21" i="1"/>
  <c r="AC23" i="1"/>
  <c r="AC7" i="1"/>
  <c r="AD9" i="1"/>
  <c r="AD11" i="1"/>
  <c r="AC13" i="1"/>
  <c r="AD15" i="1"/>
  <c r="AD17" i="1"/>
  <c r="AC19" i="1"/>
  <c r="AC6" i="1"/>
  <c r="AD7" i="1"/>
  <c r="AC16" i="1"/>
  <c r="AD13" i="1"/>
  <c r="AD10" i="1"/>
  <c r="AC24" i="1"/>
  <c r="AD25" i="1"/>
  <c r="AD20" i="1"/>
  <c r="AD16" i="1"/>
  <c r="AC8" i="1"/>
  <c r="AD22" i="1"/>
  <c r="AC14" i="1"/>
  <c r="AC9" i="1"/>
  <c r="AC11" i="1"/>
  <c r="AD18" i="1"/>
  <c r="AC20" i="1"/>
  <c r="AC10" i="1"/>
  <c r="AD14" i="1"/>
  <c r="AE22" i="1"/>
  <c r="AE14" i="1"/>
  <c r="AE16" i="1"/>
  <c r="AE6" i="1"/>
  <c r="AE9" i="1"/>
  <c r="AF23" i="1"/>
  <c r="AE20" i="1"/>
  <c r="AE13" i="1"/>
  <c r="AE10" i="1"/>
  <c r="AE25" i="1"/>
  <c r="AF13" i="1"/>
  <c r="AF6" i="1"/>
  <c r="AF22" i="1"/>
  <c r="AE26" i="1"/>
  <c r="AF16" i="1"/>
  <c r="AF12" i="1"/>
  <c r="AE23" i="1"/>
  <c r="AF8" i="1"/>
  <c r="AE17" i="1"/>
  <c r="AF18" i="1"/>
  <c r="AF17" i="1"/>
  <c r="AF20" i="1"/>
  <c r="AF11" i="1"/>
  <c r="AE21" i="1"/>
  <c r="AE12" i="1"/>
  <c r="AE8" i="1"/>
  <c r="AE7" i="1"/>
  <c r="AF9" i="1"/>
  <c r="AE18" i="1"/>
  <c r="AF14" i="1"/>
  <c r="AE19" i="1"/>
  <c r="AF10" i="1"/>
  <c r="AF26" i="1"/>
  <c r="AE11" i="1"/>
  <c r="AE15" i="1"/>
  <c r="AF7" i="1"/>
  <c r="AF15" i="1"/>
  <c r="AF25" i="1"/>
  <c r="AF21" i="1"/>
  <c r="AF24" i="1"/>
  <c r="AF19" i="1"/>
  <c r="AE24" i="1"/>
  <c r="F57" i="1"/>
  <c r="F60" i="1"/>
  <c r="G50" i="1"/>
  <c r="F51" i="1"/>
  <c r="G51" i="1"/>
  <c r="G54" i="1"/>
  <c r="G57" i="1"/>
  <c r="G60" i="1"/>
  <c r="F52" i="1"/>
  <c r="F49" i="1"/>
  <c r="F58" i="1"/>
  <c r="F55" i="1"/>
  <c r="G52" i="1"/>
  <c r="G49" i="1"/>
  <c r="G58" i="1"/>
  <c r="G55" i="1"/>
  <c r="F53" i="1"/>
  <c r="F50" i="1"/>
  <c r="F59" i="1"/>
  <c r="F56" i="1"/>
  <c r="G53" i="1"/>
  <c r="G56" i="1"/>
  <c r="G59" i="1"/>
  <c r="F54" i="1"/>
  <c r="L49" i="1" a="1"/>
  <c r="R49" i="1" a="1"/>
  <c r="P49" i="1" a="1"/>
  <c r="N49" i="1" a="1"/>
  <c r="H49" i="1" a="1"/>
  <c r="J49" i="1" a="1"/>
  <c r="J50" i="1" l="1"/>
  <c r="K50" i="1"/>
  <c r="J52" i="1"/>
  <c r="K49" i="1"/>
  <c r="J51" i="1"/>
  <c r="K51" i="1"/>
  <c r="K52" i="1"/>
  <c r="J49" i="1"/>
  <c r="I56" i="1"/>
  <c r="I62" i="1"/>
  <c r="H64" i="1"/>
  <c r="I65" i="1"/>
  <c r="H55" i="1"/>
  <c r="I69" i="1"/>
  <c r="H58" i="1"/>
  <c r="H57" i="1"/>
  <c r="H65" i="1"/>
  <c r="H59" i="1"/>
  <c r="H66" i="1"/>
  <c r="I64" i="1"/>
  <c r="I66" i="1"/>
  <c r="H62" i="1"/>
  <c r="I68" i="1"/>
  <c r="I52" i="1"/>
  <c r="I55" i="1"/>
  <c r="I53" i="1"/>
  <c r="H67" i="1"/>
  <c r="I61" i="1"/>
  <c r="I59" i="1"/>
  <c r="I49" i="1"/>
  <c r="H63" i="1"/>
  <c r="I54" i="1"/>
  <c r="H50" i="1"/>
  <c r="I60" i="1"/>
  <c r="I57" i="1"/>
  <c r="H61" i="1"/>
  <c r="H56" i="1"/>
  <c r="H68" i="1"/>
  <c r="I50" i="1"/>
  <c r="F19" i="1" s="1"/>
  <c r="H51" i="1"/>
  <c r="I51" i="1"/>
  <c r="F20" i="1" s="1"/>
  <c r="H60" i="1"/>
  <c r="H52" i="1"/>
  <c r="H69" i="1"/>
  <c r="H54" i="1"/>
  <c r="I67" i="1"/>
  <c r="I63" i="1"/>
  <c r="H49" i="1"/>
  <c r="I58" i="1"/>
  <c r="H53" i="1"/>
  <c r="O49" i="1"/>
  <c r="N50" i="1"/>
  <c r="O50" i="1"/>
  <c r="O51" i="1"/>
  <c r="N51" i="1"/>
  <c r="N49" i="1"/>
  <c r="N52" i="1"/>
  <c r="O52" i="1"/>
  <c r="Q49" i="1"/>
  <c r="P50" i="1"/>
  <c r="P51" i="1"/>
  <c r="Q51" i="1"/>
  <c r="P52" i="1"/>
  <c r="P49" i="1"/>
  <c r="Q50" i="1"/>
  <c r="Q52" i="1"/>
  <c r="R51" i="1"/>
  <c r="S51" i="1"/>
  <c r="R52" i="1"/>
  <c r="S52" i="1"/>
  <c r="S49" i="1"/>
  <c r="R50" i="1"/>
  <c r="R49" i="1"/>
  <c r="S50" i="1"/>
  <c r="L49" i="1"/>
  <c r="L50" i="1"/>
  <c r="M50" i="1"/>
  <c r="L51" i="1"/>
  <c r="M51" i="1"/>
  <c r="M49" i="1"/>
  <c r="L52" i="1"/>
  <c r="M52" i="1"/>
  <c r="J54" i="1" a="1"/>
  <c r="N54" i="1" a="1"/>
  <c r="Q54" i="1" a="1"/>
  <c r="R54" i="1" a="1"/>
  <c r="K54" i="1" a="1"/>
  <c r="L54" i="1" a="1"/>
  <c r="O54" i="1" a="1"/>
  <c r="S54" i="1" a="1"/>
  <c r="M54" i="1" a="1"/>
  <c r="P54" i="1" a="1"/>
  <c r="P78" i="1" l="1"/>
  <c r="P59" i="1"/>
  <c r="P77" i="1"/>
  <c r="P65" i="1"/>
  <c r="P56" i="1"/>
  <c r="P66" i="1"/>
  <c r="P60" i="1"/>
  <c r="P62" i="1"/>
  <c r="P57" i="1"/>
  <c r="P68" i="1"/>
  <c r="P63" i="1"/>
  <c r="P72" i="1"/>
  <c r="P69" i="1"/>
  <c r="P55" i="1"/>
  <c r="P64" i="1"/>
  <c r="P54" i="1"/>
  <c r="P71" i="1"/>
  <c r="P70" i="1"/>
  <c r="P74" i="1"/>
  <c r="P75" i="1"/>
  <c r="P61" i="1"/>
  <c r="P58" i="1"/>
  <c r="P67" i="1"/>
  <c r="P73" i="1"/>
  <c r="P76" i="1"/>
  <c r="M70" i="1"/>
  <c r="M55" i="1"/>
  <c r="M75" i="1"/>
  <c r="M56" i="1"/>
  <c r="M57" i="1"/>
  <c r="M69" i="1"/>
  <c r="M54" i="1"/>
  <c r="M74" i="1"/>
  <c r="M73" i="1"/>
  <c r="M58" i="1"/>
  <c r="M66" i="1"/>
  <c r="M59" i="1"/>
  <c r="M64" i="1"/>
  <c r="M71" i="1"/>
  <c r="M76" i="1"/>
  <c r="M68" i="1"/>
  <c r="M62" i="1"/>
  <c r="M65" i="1"/>
  <c r="M60" i="1"/>
  <c r="M78" i="1"/>
  <c r="M72" i="1"/>
  <c r="M61" i="1"/>
  <c r="M77" i="1"/>
  <c r="M67" i="1"/>
  <c r="M63" i="1"/>
  <c r="S62" i="1"/>
  <c r="S56" i="1"/>
  <c r="S81" i="1"/>
  <c r="S61" i="1"/>
  <c r="S60" i="1"/>
  <c r="S85" i="1"/>
  <c r="S86" i="1"/>
  <c r="S68" i="1"/>
  <c r="S58" i="1"/>
  <c r="S77" i="1"/>
  <c r="S64" i="1"/>
  <c r="S54" i="1"/>
  <c r="S63" i="1"/>
  <c r="S76" i="1"/>
  <c r="S66" i="1"/>
  <c r="S67" i="1"/>
  <c r="S70" i="1"/>
  <c r="S79" i="1"/>
  <c r="S78" i="1"/>
  <c r="S83" i="1"/>
  <c r="S55" i="1"/>
  <c r="S73" i="1"/>
  <c r="S80" i="1"/>
  <c r="S72" i="1"/>
  <c r="S71" i="1"/>
  <c r="S84" i="1"/>
  <c r="S74" i="1"/>
  <c r="S75" i="1"/>
  <c r="S65" i="1"/>
  <c r="S82" i="1"/>
  <c r="S57" i="1"/>
  <c r="S69" i="1"/>
  <c r="S87" i="1"/>
  <c r="S59" i="1"/>
  <c r="O54" i="1"/>
  <c r="O87" i="1"/>
  <c r="O55" i="1"/>
  <c r="O68" i="1"/>
  <c r="O77" i="1"/>
  <c r="O81" i="1"/>
  <c r="O84" i="1"/>
  <c r="O60" i="1"/>
  <c r="O86" i="1"/>
  <c r="O64" i="1"/>
  <c r="O67" i="1"/>
  <c r="O85" i="1"/>
  <c r="O59" i="1"/>
  <c r="O72" i="1"/>
  <c r="O62" i="1"/>
  <c r="O63" i="1"/>
  <c r="O76" i="1"/>
  <c r="O78" i="1"/>
  <c r="O65" i="1"/>
  <c r="O74" i="1"/>
  <c r="O73" i="1"/>
  <c r="O58" i="1"/>
  <c r="O79" i="1"/>
  <c r="O56" i="1"/>
  <c r="O80" i="1"/>
  <c r="O57" i="1"/>
  <c r="O66" i="1"/>
  <c r="O71" i="1"/>
  <c r="O61" i="1"/>
  <c r="O70" i="1"/>
  <c r="O75" i="1"/>
  <c r="O82" i="1"/>
  <c r="O69" i="1"/>
  <c r="O83" i="1"/>
  <c r="L75" i="1"/>
  <c r="L68" i="1"/>
  <c r="L61" i="1"/>
  <c r="L69" i="1"/>
  <c r="L73" i="1"/>
  <c r="L66" i="1"/>
  <c r="L59" i="1"/>
  <c r="L78" i="1"/>
  <c r="L64" i="1"/>
  <c r="L76" i="1"/>
  <c r="L62" i="1"/>
  <c r="L55" i="1"/>
  <c r="L54" i="1"/>
  <c r="L74" i="1"/>
  <c r="L71" i="1"/>
  <c r="L77" i="1"/>
  <c r="L72" i="1"/>
  <c r="L58" i="1"/>
  <c r="L67" i="1"/>
  <c r="L65" i="1"/>
  <c r="L63" i="1"/>
  <c r="L60" i="1"/>
  <c r="L56" i="1"/>
  <c r="L57" i="1"/>
  <c r="L70" i="1"/>
  <c r="K73" i="1"/>
  <c r="K58" i="1"/>
  <c r="K71" i="1"/>
  <c r="K59" i="1"/>
  <c r="K77" i="1"/>
  <c r="K67" i="1"/>
  <c r="K70" i="1"/>
  <c r="K65" i="1"/>
  <c r="K56" i="1"/>
  <c r="K60" i="1"/>
  <c r="K63" i="1"/>
  <c r="K54" i="1"/>
  <c r="K74" i="1"/>
  <c r="K72" i="1"/>
  <c r="K78" i="1"/>
  <c r="K55" i="1"/>
  <c r="K62" i="1"/>
  <c r="K68" i="1"/>
  <c r="K75" i="1"/>
  <c r="K66" i="1"/>
  <c r="K57" i="1"/>
  <c r="K61" i="1"/>
  <c r="K76" i="1"/>
  <c r="K69" i="1"/>
  <c r="K64" i="1"/>
  <c r="R83" i="1"/>
  <c r="R80" i="1"/>
  <c r="R66" i="1"/>
  <c r="R60" i="1"/>
  <c r="R57" i="1"/>
  <c r="R82" i="1"/>
  <c r="R62" i="1"/>
  <c r="R61" i="1"/>
  <c r="R87" i="1"/>
  <c r="R65" i="1"/>
  <c r="R67" i="1"/>
  <c r="R69" i="1"/>
  <c r="R86" i="1"/>
  <c r="R78" i="1"/>
  <c r="R79" i="1"/>
  <c r="R73" i="1"/>
  <c r="R63" i="1"/>
  <c r="R55" i="1"/>
  <c r="R54" i="1"/>
  <c r="R68" i="1"/>
  <c r="R74" i="1"/>
  <c r="R77" i="1"/>
  <c r="R58" i="1"/>
  <c r="R64" i="1"/>
  <c r="R59" i="1"/>
  <c r="R56" i="1"/>
  <c r="R81" i="1"/>
  <c r="R71" i="1"/>
  <c r="R72" i="1"/>
  <c r="R85" i="1"/>
  <c r="R75" i="1"/>
  <c r="R76" i="1"/>
  <c r="R70" i="1"/>
  <c r="R84" i="1"/>
  <c r="Q60" i="1"/>
  <c r="Q63" i="1"/>
  <c r="Q69" i="1"/>
  <c r="Q57" i="1"/>
  <c r="Q77" i="1"/>
  <c r="Q64" i="1"/>
  <c r="Q68" i="1"/>
  <c r="Q56" i="1"/>
  <c r="Q54" i="1"/>
  <c r="Q66" i="1"/>
  <c r="Q58" i="1"/>
  <c r="Q72" i="1"/>
  <c r="Q75" i="1"/>
  <c r="Q59" i="1"/>
  <c r="Q65" i="1"/>
  <c r="Q71" i="1"/>
  <c r="Q61" i="1"/>
  <c r="Q67" i="1"/>
  <c r="Q78" i="1"/>
  <c r="Q70" i="1"/>
  <c r="Q73" i="1"/>
  <c r="Q76" i="1"/>
  <c r="Q55" i="1"/>
  <c r="Q62" i="1"/>
  <c r="Q74" i="1"/>
  <c r="N67" i="1"/>
  <c r="N70" i="1"/>
  <c r="N60" i="1"/>
  <c r="N71" i="1"/>
  <c r="N74" i="1"/>
  <c r="N64" i="1"/>
  <c r="N61" i="1"/>
  <c r="N86" i="1"/>
  <c r="N72" i="1"/>
  <c r="N66" i="1"/>
  <c r="N82" i="1"/>
  <c r="N68" i="1"/>
  <c r="N73" i="1"/>
  <c r="N76" i="1"/>
  <c r="N59" i="1"/>
  <c r="N84" i="1"/>
  <c r="N81" i="1"/>
  <c r="N63" i="1"/>
  <c r="N87" i="1"/>
  <c r="N80" i="1"/>
  <c r="N56" i="1"/>
  <c r="N54" i="1"/>
  <c r="N55" i="1"/>
  <c r="N85" i="1"/>
  <c r="N79" i="1"/>
  <c r="N57" i="1"/>
  <c r="N65" i="1"/>
  <c r="N83" i="1"/>
  <c r="N69" i="1"/>
  <c r="N58" i="1"/>
  <c r="N75" i="1"/>
  <c r="N62" i="1"/>
  <c r="N78" i="1"/>
  <c r="N77" i="1"/>
  <c r="J77" i="1"/>
  <c r="J57" i="1"/>
  <c r="J61" i="1"/>
  <c r="J76" i="1"/>
  <c r="J65" i="1"/>
  <c r="J78" i="1"/>
  <c r="J66" i="1"/>
  <c r="J62" i="1"/>
  <c r="J55" i="1"/>
  <c r="J67" i="1"/>
  <c r="J74" i="1"/>
  <c r="J69" i="1"/>
  <c r="J68" i="1"/>
  <c r="J71" i="1"/>
  <c r="J64" i="1"/>
  <c r="J72" i="1"/>
  <c r="J70" i="1"/>
  <c r="J73" i="1"/>
  <c r="J60" i="1"/>
  <c r="J63" i="1"/>
  <c r="J59" i="1"/>
  <c r="J75" i="1"/>
  <c r="J54" i="1"/>
  <c r="J58" i="1"/>
  <c r="J5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rnt</author>
  </authors>
  <commentList>
    <comment ref="C4" authorId="0" shapeId="0" xr:uid="{9E462DD2-305A-4A09-AFF4-E8BA599C5577}">
      <text>
        <r>
          <rPr>
            <sz val="9"/>
            <color indexed="81"/>
            <rFont val="Tahoma"/>
            <charset val="1"/>
          </rPr>
          <t>Удельная плотность газа по воздуху</t>
        </r>
      </text>
    </comment>
    <comment ref="J4" authorId="0" shapeId="0" xr:uid="{4C733A9F-69B3-473E-8ABB-EE5D73C1AF32}">
      <text>
        <r>
          <rPr>
            <sz val="9"/>
            <color indexed="81"/>
            <rFont val="Tahoma"/>
            <charset val="1"/>
          </rPr>
          <t>Закодированная в json траектория/инклинометрия.</t>
        </r>
      </text>
    </comment>
    <comment ref="M4" authorId="0" shapeId="0" xr:uid="{88F11AB2-AF28-4963-B0F0-8C2AC6389045}">
      <text>
        <r>
          <rPr>
            <sz val="9"/>
            <color indexed="81"/>
            <rFont val="Tahoma"/>
            <charset val="1"/>
          </rPr>
          <t>Закодированные в json данные по диаметру трубы вдоль измеренной длины.</t>
        </r>
      </text>
    </comment>
    <comment ref="P4" authorId="0" shapeId="0" xr:uid="{97161D15-0B9C-44AD-9D07-B401C164B17D}">
      <text>
        <r>
          <rPr>
            <sz val="9"/>
            <color indexed="81"/>
            <rFont val="Tahoma"/>
            <charset val="1"/>
          </rPr>
          <t>Закодированные в json данные по диаметру трубы вдоль измеренной длины.</t>
        </r>
      </text>
    </comment>
    <comment ref="W4" authorId="0" shapeId="0" xr:uid="{5F5FC308-23C9-4E13-8993-3DF4914BA056}">
      <text>
        <r>
          <rPr>
            <sz val="9"/>
            <color indexed="81"/>
            <rFont val="Tahoma"/>
            <charset val="1"/>
          </rPr>
          <t>json с закодированными параметрами температурной модели.Измените номер модели в функции encode_t_model() для смены модели: 0 - температура линейно меняется по длине, 1 - температура флюида равна температуре среды,2 - температура рассчитывается с учетом эмиссии тепла в окружающую среду</t>
        </r>
      </text>
    </comment>
    <comment ref="C5" authorId="0" shapeId="0" xr:uid="{0371932F-6AE1-4231-9C9D-EB8C39A903C9}">
      <text>
        <r>
          <rPr>
            <sz val="9"/>
            <color indexed="81"/>
            <rFont val="Tahoma"/>
            <charset val="1"/>
          </rPr>
          <t>Удельная плотность нефти по воде</t>
        </r>
      </text>
    </comment>
    <comment ref="I5" authorId="0" shapeId="0" xr:uid="{4A8822F6-5BA7-4479-93C8-AB66CB55ADA6}">
      <text>
        <r>
          <rPr>
            <sz val="9"/>
            <color indexed="81"/>
            <rFont val="Tahoma"/>
            <charset val="1"/>
          </rPr>
          <t>Траектория/инклинометрия. Зависимость вертикльной глубины от измеренной длины.</t>
        </r>
      </text>
    </comment>
    <comment ref="M5" authorId="0" shapeId="0" xr:uid="{D2D1604E-3854-43F4-81D8-CD7EB2E0850C}">
      <text>
        <r>
          <rPr>
            <sz val="9"/>
            <color indexed="81"/>
            <rFont val="Tahoma"/>
            <charset val="1"/>
          </rPr>
          <t>Шероховатость трубы, м</t>
        </r>
      </text>
    </comment>
    <comment ref="P5" authorId="0" shapeId="0" xr:uid="{22D300DF-8E01-4815-818E-0DFF7C4B21AB}">
      <text>
        <r>
          <rPr>
            <sz val="9"/>
            <color indexed="81"/>
            <rFont val="Tahoma"/>
            <charset val="1"/>
          </rPr>
          <t>Шероховатость трубы, м</t>
        </r>
      </text>
    </comment>
    <comment ref="W5" authorId="0" shapeId="0" xr:uid="{92335E20-785F-4E3A-A928-A65A2477D9E7}">
      <text>
        <r>
          <rPr>
            <sz val="9"/>
            <color indexed="81"/>
            <rFont val="Tahoma"/>
            <charset val="1"/>
          </rPr>
          <t>температура в начале трубы. для режима расчета 0</t>
        </r>
      </text>
    </comment>
    <comment ref="C6" authorId="0" shapeId="0" xr:uid="{56EDFF8C-4F21-4E62-920B-9AF49AB497E3}">
      <text>
        <r>
          <rPr>
            <sz val="9"/>
            <color indexed="81"/>
            <rFont val="Tahoma"/>
            <charset val="1"/>
          </rPr>
          <t>Удельная плотность воды (по воде)</t>
        </r>
      </text>
    </comment>
    <comment ref="L6" authorId="0" shapeId="0" xr:uid="{73DBDD90-CFCD-457E-AFC4-9FFD9FBBB900}">
      <text>
        <r>
          <rPr>
            <sz val="9"/>
            <color indexed="81"/>
            <rFont val="Tahoma"/>
            <charset val="1"/>
          </rPr>
          <t>Диаметры трубы в зависимости от измеренной длины. На указанной длине диаметр меняется скачком.</t>
        </r>
      </text>
    </comment>
    <comment ref="O6" authorId="0" shapeId="0" xr:uid="{814DF756-38FF-4780-974A-DDB00DE86DA0}">
      <text>
        <r>
          <rPr>
            <sz val="9"/>
            <color indexed="81"/>
            <rFont val="Tahoma"/>
            <charset val="1"/>
          </rPr>
          <t>Диаметры трубы в зависимости от измеренной длины. На указанной длине диаметр меняется скачком.</t>
        </r>
      </text>
    </comment>
    <comment ref="W6" authorId="0" shapeId="0" xr:uid="{9B58421A-575A-4D1A-A6F0-60DFCD0324BA}">
      <text>
        <r>
          <rPr>
            <sz val="9"/>
            <color indexed="81"/>
            <rFont val="Tahoma"/>
            <charset val="1"/>
          </rPr>
          <t>температура в конце трубы. для режима расчета 0</t>
        </r>
      </text>
    </comment>
    <comment ref="C7" authorId="0" shapeId="0" xr:uid="{91C6C20D-BC1C-4F2E-A258-DD6204082F21}">
      <text>
        <r>
          <rPr>
            <sz val="9"/>
            <color indexed="81"/>
            <rFont val="Tahoma"/>
            <charset val="1"/>
          </rPr>
          <t>Газосодержание при давлении насыщения, м3/м3</t>
        </r>
      </text>
    </comment>
    <comment ref="W7" authorId="0" shapeId="0" xr:uid="{AC5B18C6-42E7-485F-A474-883005EEABA1}">
      <text>
        <r>
          <rPr>
            <sz val="9"/>
            <color indexed="81"/>
            <rFont val="Tahoma"/>
            <charset val="1"/>
          </rPr>
          <t>теплопроводность пласта WmC. для режима расчета 2</t>
        </r>
      </text>
    </comment>
    <comment ref="C8" authorId="0" shapeId="0" xr:uid="{B3D9F6D8-E91D-48CD-8ADC-87819F9521CB}">
      <text>
        <r>
          <rPr>
            <sz val="9"/>
            <color indexed="81"/>
            <rFont val="Tahoma"/>
            <charset val="1"/>
          </rPr>
          <t>Давление насыщения при заданной температуре, атма</t>
        </r>
      </text>
    </comment>
    <comment ref="W8" authorId="0" shapeId="0" xr:uid="{EBDFA250-C427-4DB2-8B1D-27590A855AC6}">
      <text>
        <r>
          <rPr>
            <sz val="9"/>
            <color indexed="81"/>
            <rFont val="Tahoma"/>
            <charset val="1"/>
          </rPr>
          <t>теплоемкость пласта JkgC. для режима расчета 2</t>
        </r>
      </text>
    </comment>
    <comment ref="C9" authorId="0" shapeId="0" xr:uid="{443BB094-DCEB-491C-88B5-E50C95A7F9F6}">
      <text>
        <r>
          <rPr>
            <sz val="9"/>
            <color indexed="81"/>
            <rFont val="Tahoma"/>
            <charset val="1"/>
          </rPr>
          <t>Температура пласта, при которой определено давление насыщения, С</t>
        </r>
      </text>
    </comment>
    <comment ref="W9" authorId="0" shapeId="0" xr:uid="{84C73452-E4AC-4825-A068-5FE0A92414B2}">
      <text>
        <r>
          <rPr>
            <sz val="9"/>
            <color indexed="81"/>
            <rFont val="Tahoma"/>
            <charset val="1"/>
          </rPr>
          <t>теплопроводность цементного камня WmC. для режима расчета 2</t>
        </r>
      </text>
    </comment>
    <comment ref="C10" authorId="0" shapeId="0" xr:uid="{8464F04E-94AB-49F1-8BAC-00FB17E60DDE}">
      <text>
        <r>
          <rPr>
            <sz val="9"/>
            <color indexed="81"/>
            <rFont val="Tahoma"/>
            <charset val="1"/>
          </rPr>
          <t>Объемный коэффициент нефти при давлении насыщения и пластовой температуре, м3/м3</t>
        </r>
      </text>
    </comment>
    <comment ref="W10" authorId="0" shapeId="0" xr:uid="{C3DC0BA3-647A-464B-9832-552CFC1A331A}">
      <text>
        <r>
          <rPr>
            <sz val="9"/>
            <color indexed="81"/>
            <rFont val="Tahoma"/>
            <charset val="1"/>
          </rPr>
          <t>теплопроводность эксплуатационной колонны WmC. для режима расчета 2</t>
        </r>
      </text>
    </comment>
    <comment ref="C11" authorId="0" shapeId="0" xr:uid="{C1C95992-6A06-44C7-B381-FDF99AEBC638}">
      <text>
        <r>
          <rPr>
            <sz val="9"/>
            <color indexed="81"/>
            <rFont val="Tahoma"/>
            <charset val="1"/>
          </rPr>
          <t>Вязкость нефти при давлении насыщения и пластовой температуре, сП</t>
        </r>
      </text>
    </comment>
    <comment ref="W11" authorId="0" shapeId="0" xr:uid="{0092E7DA-8851-41FD-8DB0-943AE41C5572}">
      <text>
        <r>
          <rPr>
            <sz val="9"/>
            <color indexed="81"/>
            <rFont val="Tahoma"/>
            <charset val="1"/>
          </rPr>
          <t>теплопроводность НКТ WmC. для режима расчета 2</t>
        </r>
      </text>
    </comment>
    <comment ref="C12" authorId="0" shapeId="0" xr:uid="{C0100CC8-D36D-413E-8903-4B51C68A0703}">
      <text>
        <r>
          <rPr>
            <sz val="9"/>
            <color indexed="81"/>
            <rFont val="Tahoma"/>
            <charset val="1"/>
          </rPr>
          <t>Набор PVT корреляций. 0 - на основе корреляции Стендинга для газосодержания, 1 - на основе корреляции Веларда Маккейна для газосодержания</t>
        </r>
      </text>
    </comment>
    <comment ref="W12" authorId="0" shapeId="0" xr:uid="{F9690862-DA05-41EF-9768-1612C1FF49FB}">
      <text>
        <r>
          <rPr>
            <sz val="9"/>
            <color indexed="81"/>
            <rFont val="Tahoma"/>
            <charset val="1"/>
          </rPr>
          <t>теплопередача через жидкость в затрубе Wm2C. для режима расчета 2</t>
        </r>
      </text>
    </comment>
    <comment ref="W13" authorId="0" shapeId="0" xr:uid="{2706AF59-5B9E-4C8B-9614-BB469D63A2CB}">
      <text>
        <r>
          <rPr>
            <sz val="9"/>
            <color indexed="81"/>
            <rFont val="Tahoma"/>
            <charset val="1"/>
          </rPr>
          <t>теплопередача через газ в затрубе Wm2C. для режима расчета 2</t>
        </r>
      </text>
    </comment>
    <comment ref="C14" authorId="0" shapeId="0" xr:uid="{24C342C6-9447-47E3-8A6F-D2F6972B2273}">
      <text>
        <r>
          <rPr>
            <sz val="9"/>
            <color indexed="81"/>
            <rFont val="Tahoma"/>
            <charset val="1"/>
          </rPr>
          <t>Дебит жидкости в стандартных условиях</t>
        </r>
      </text>
    </comment>
    <comment ref="W14" authorId="0" shapeId="0" xr:uid="{5FCE31BD-493B-4A71-896D-C69AE54E50FB}">
      <text>
        <r>
          <rPr>
            <sz val="9"/>
            <color indexed="81"/>
            <rFont val="Tahoma"/>
            <charset val="1"/>
          </rPr>
          <t>теплопередача через жидкость в эксплуатационной колонне ниже насоса Wm2C. для режима расчета 2</t>
        </r>
      </text>
    </comment>
    <comment ref="C15" authorId="0" shapeId="0" xr:uid="{B5B7717A-E3E1-49FE-B7F7-1F42FA0A54CE}">
      <text>
        <r>
          <rPr>
            <sz val="9"/>
            <color indexed="81"/>
            <rFont val="Tahoma"/>
            <charset val="1"/>
          </rPr>
          <t>Обводненность, %</t>
        </r>
      </text>
    </comment>
    <comment ref="W15" authorId="0" shapeId="0" xr:uid="{58859AEF-7C99-4A8E-B500-0216D7D20F7D}">
      <text>
        <r>
          <rPr>
            <sz val="9"/>
            <color indexed="81"/>
            <rFont val="Tahoma"/>
            <charset val="1"/>
          </rPr>
          <t>время на которое оценивается температура. для режима расчета 2</t>
        </r>
      </text>
    </comment>
    <comment ref="C16" authorId="0" shapeId="0" xr:uid="{0044CC85-D90C-4E1C-B347-2EE405686FE6}">
      <text>
        <r>
          <rPr>
            <sz val="9"/>
            <color indexed="81"/>
            <rFont val="Tahoma"/>
            <charset val="1"/>
          </rPr>
          <t>Газовый фактор, м3/м3</t>
        </r>
      </text>
    </comment>
    <comment ref="C17" authorId="0" shapeId="0" xr:uid="{46544D45-0F2D-4260-8FA9-C254E73C77D1}">
      <text>
        <r>
          <rPr>
            <sz val="9"/>
            <color indexed="81"/>
            <rFont val="Tahoma"/>
            <charset val="1"/>
          </rPr>
          <t>Дебит свободного газа в потоке ст.м3/сут. Свободный газ в потоке дополняет газ выделившийся из нефти.</t>
        </r>
      </text>
    </comment>
    <comment ref="W17" authorId="0" shapeId="0" xr:uid="{42391561-1332-40E0-9265-DD951256A34F}">
      <text>
        <r>
          <rPr>
            <sz val="9"/>
            <color indexed="81"/>
            <rFont val="Tahoma"/>
            <charset val="1"/>
          </rPr>
          <t>итоговый json для расчетов</t>
        </r>
      </text>
    </comment>
    <comment ref="W18" authorId="0" shapeId="0" xr:uid="{1E30DA9A-F359-4E8C-AA01-73879C8EE959}">
      <text>
        <r>
          <rPr>
            <sz val="9"/>
            <color indexed="81"/>
            <rFont val="Tahoma"/>
            <charset val="1"/>
          </rPr>
          <t>Задание массива зависимости температуры окружающей среды от вертикальной глубины (геотермы)</t>
        </r>
      </text>
    </comment>
    <comment ref="V20" authorId="0" shapeId="0" xr:uid="{1BFB1599-6A50-4CB1-87E3-B524CB95B0CC}">
      <text>
        <r>
          <rPr>
            <sz val="9"/>
            <color indexed="81"/>
            <rFont val="Tahoma"/>
            <charset val="1"/>
          </rPr>
          <t>Таблица значений вертикальной глубины</t>
        </r>
      </text>
    </comment>
    <comment ref="W20" authorId="0" shapeId="0" xr:uid="{14CCE4E7-E5CB-4598-A7B7-61543AC1514D}">
      <text>
        <r>
          <rPr>
            <sz val="9"/>
            <color indexed="81"/>
            <rFont val="Tahoma"/>
            <charset val="1"/>
          </rPr>
          <t>Таблица значение температуры на соответствующих глубинах</t>
        </r>
      </text>
    </comment>
    <comment ref="E27" authorId="0" shapeId="0" xr:uid="{19663A9E-8295-47E8-B31E-A8B638E1E086}">
      <text>
        <r>
          <rPr>
            <sz val="9"/>
            <color indexed="81"/>
            <rFont val="Tahoma"/>
            <charset val="1"/>
          </rPr>
          <t>Забойное давление, атма</t>
        </r>
      </text>
    </comment>
    <comment ref="E28" authorId="0" shapeId="0" xr:uid="{5B1440E6-7B87-45A9-98BA-9CC65EC025C3}">
      <text>
        <r>
          <rPr>
            <sz val="9"/>
            <color indexed="81"/>
            <rFont val="Tahoma"/>
            <charset val="1"/>
          </rPr>
          <t>Температура флюида на забое, С</t>
        </r>
      </text>
    </comment>
    <comment ref="C29" authorId="0" shapeId="0" xr:uid="{B49DBE04-66E0-46D5-BE80-28215ECF61A6}">
      <text>
        <r>
          <rPr>
            <sz val="9"/>
            <color indexed="81"/>
            <rFont val="Tahoma"/>
            <charset val="1"/>
          </rPr>
          <t>Номинальная подача ЭЦН, для которой задается номинальный напор.Нужна для определения ID насоса. Если ID задать непосредственно, то можно не указывать</t>
        </r>
      </text>
    </comment>
    <comment ref="E29" authorId="0" shapeId="0" xr:uid="{9F9A9A2D-188D-4617-BFB2-4ABEC3681272}">
      <text>
        <r>
          <rPr>
            <sz val="9"/>
            <color indexed="81"/>
            <rFont val="Tahoma"/>
            <charset val="1"/>
          </rPr>
          <t>Поток флюида из пласта. Используйте encode_feed</t>
        </r>
      </text>
    </comment>
    <comment ref="C30" authorId="0" shapeId="0" xr:uid="{30F70E45-F4E9-4F95-9ACE-3F1E14480F8C}">
      <text>
        <r>
          <rPr>
            <sz val="9"/>
            <color indexed="81"/>
            <rFont val="Tahoma"/>
            <charset val="1"/>
          </rPr>
          <t>Номинальный напор ЭЦН. Нужен для определения количества ступеней насоса. Если кол-во ступеней задать явно, то можно не указывать</t>
        </r>
      </text>
    </comment>
    <comment ref="E30" authorId="0" shapeId="0" xr:uid="{9E80C811-0C2C-457A-A0B5-394193316950}">
      <text>
        <r>
          <rPr>
            <sz val="9"/>
            <color indexed="81"/>
            <rFont val="Tahoma"/>
            <charset val="1"/>
          </rPr>
          <t>Траектория скважины. Глубина, м. или используйте encode_pipe_trajectory для сложной траектории</t>
        </r>
      </text>
    </comment>
    <comment ref="C31" authorId="0" shapeId="0" xr:uid="{3613C8C8-081F-4AF9-9BFD-DE8CD2D58129}">
      <text>
        <r>
          <rPr>
            <sz val="9"/>
            <color indexed="81"/>
            <rFont val="Tahoma"/>
            <charset val="1"/>
          </rPr>
          <t xml:space="preserve">Номинальная частота питающего тока. Обычно 50 Гц. Для зарубежных ЭЦН может быть 60 Гц. Для ПЭД с двумя парами полюсов может быть 100 Гц. </t>
        </r>
      </text>
    </comment>
    <comment ref="E31" authorId="0" shapeId="0" xr:uid="{26CEBCD6-B484-457F-9817-1F03665235A7}">
      <text>
        <r>
          <rPr>
            <sz val="9"/>
            <color indexed="81"/>
            <rFont val="Tahoma"/>
            <charset val="1"/>
          </rPr>
          <t>Диаметр нкт внутр., мм или json кодирующий диаметры скважины, используйте encode_pipe_diam</t>
        </r>
      </text>
    </comment>
    <comment ref="C32" authorId="0" shapeId="0" xr:uid="{0ACA7844-DF19-4959-8BE2-6AF2722520DB}">
      <text>
        <r>
          <rPr>
            <sz val="9"/>
            <color indexed="81"/>
            <rFont val="Tahoma"/>
            <charset val="1"/>
          </rPr>
          <t xml:space="preserve">ID (номер) насоса в базе данных. Вычисляется по номинальной подаче. Может быть задан явно, тогда номинальная подача игнорируется. ID и номинальная частота определяют модель насоса. </t>
        </r>
      </text>
    </comment>
    <comment ref="E32" authorId="0" shapeId="0" xr:uid="{6261B185-096D-4A7D-9BC0-39EFDA0F281B}">
      <text>
        <r>
          <rPr>
            <sz val="9"/>
            <color indexed="81"/>
            <rFont val="Tahoma"/>
            <charset val="1"/>
          </rPr>
          <t>Диаметр эксплуатационной колонны внутр., мм или json кодирующий диаметры скважины, используйте encode_pipe_diam</t>
        </r>
      </text>
    </comment>
    <comment ref="C33" authorId="0" shapeId="0" xr:uid="{27494A40-BDF7-428A-91D8-CE827FAEB05A}">
      <text>
        <r>
          <rPr>
            <sz val="9"/>
            <color indexed="81"/>
            <rFont val="Tahoma"/>
            <charset val="1"/>
          </rPr>
          <t xml:space="preserve">Количество ступеней ЭЦН. Вычисляется по номинальному напору. Может быть задано явно, тогда номинальный напор игнорируется.  </t>
        </r>
      </text>
    </comment>
    <comment ref="E33" authorId="0" shapeId="0" xr:uid="{487BBE99-4AFA-4F62-8D6D-E6F03C8428A6}">
      <text>
        <r>
          <rPr>
            <sz val="9"/>
            <color indexed="81"/>
            <rFont val="Tahoma"/>
            <charset val="1"/>
          </rPr>
          <t>Температурная модель, используйте encode_t_model</t>
        </r>
      </text>
    </comment>
    <comment ref="C34" authorId="0" shapeId="0" xr:uid="{17782CC8-2582-484F-B64B-14C5342B0F2D}">
      <text>
        <r>
          <rPr>
            <sz val="9"/>
            <color indexed="81"/>
            <rFont val="Tahoma"/>
            <charset val="1"/>
          </rPr>
          <t xml:space="preserve">Калибровочный множитель на напор ступени.   </t>
        </r>
      </text>
    </comment>
    <comment ref="E34" authorId="0" shapeId="0" xr:uid="{A798B56F-DF01-4FC4-972A-73DF28C03E2E}">
      <text>
        <r>
          <rPr>
            <sz val="9"/>
            <color indexed="81"/>
            <rFont val="Tahoma"/>
            <charset val="1"/>
          </rPr>
          <t>Глубина верхних дыр перфорации, точка расчета забойного давления</t>
        </r>
      </text>
    </comment>
    <comment ref="C35" authorId="0" shapeId="0" xr:uid="{B79924DB-B49F-4490-9DA9-3CEF19B79433}">
      <text>
        <r>
          <rPr>
            <sz val="9"/>
            <color indexed="81"/>
            <rFont val="Tahoma"/>
            <charset val="1"/>
          </rPr>
          <t xml:space="preserve">Калибровочный множитель на подачу ступени.   </t>
        </r>
      </text>
    </comment>
    <comment ref="E35" authorId="0" shapeId="0" xr:uid="{71219853-B478-4ECE-84A0-8B670B8228D2}">
      <text>
        <r>
          <rPr>
            <sz val="9"/>
            <color indexed="81"/>
            <rFont val="Tahoma"/>
            <charset val="1"/>
          </rPr>
          <t>Глубина спуска ЭЦН. верх НКТ</t>
        </r>
      </text>
    </comment>
    <comment ref="C36" authorId="0" shapeId="0" xr:uid="{FFE68375-00BC-4358-8A5B-53AC10EDCB8B}">
      <text>
        <r>
          <rPr>
            <sz val="9"/>
            <color indexed="81"/>
            <rFont val="Tahoma"/>
            <charset val="1"/>
          </rPr>
          <t xml:space="preserve">Калибровочный множитель на мощностную характеристику ступени.   </t>
        </r>
      </text>
    </comment>
    <comment ref="E36" authorId="0" shapeId="0" xr:uid="{B8979C95-4CCB-4730-8A42-5E864CB3AED4}">
      <text>
        <r>
          <rPr>
            <sz val="9"/>
            <color indexed="81"/>
            <rFont val="Tahoma"/>
            <charset val="1"/>
          </rPr>
          <t>Параметры ЭЦН, используйте encode_esp_pump, если не заданы, то скважина фонтанирующая</t>
        </r>
      </text>
    </comment>
    <comment ref="C37" authorId="0" shapeId="0" xr:uid="{CBFA4EA5-9AFF-4668-82C0-E3CC94D82266}">
      <text>
        <r>
          <rPr>
            <sz val="9"/>
            <color indexed="81"/>
            <rFont val="Tahoma"/>
            <charset val="1"/>
          </rPr>
          <t xml:space="preserve">Модель корректировки РНХ из за влияния газа. 0 - нет корректировки. 1 - стандратный ЭЦН с пределом по газу 25%. 2 - ЭЦН с газостабилизирующими модулями с пределом по газу 50% 4 - ЭЦН с осевым модулем с пределом по газу 75%, 5 - ЭЦН с пределом 25% на основе стендовых испытаний Горидько К.А. </t>
        </r>
      </text>
    </comment>
    <comment ref="E37" authorId="0" shapeId="0" xr:uid="{AE69831F-10E0-4CF5-8EF4-7BFCA068267A}">
      <text>
        <r>
          <rPr>
            <sz val="9"/>
            <color indexed="81"/>
            <rFont val="Tahoma"/>
            <charset val="1"/>
          </rPr>
          <t>Частота ЭЦН, Гц</t>
        </r>
      </text>
    </comment>
    <comment ref="C38" authorId="0" shapeId="0" xr:uid="{D9774820-2150-4A5B-B049-5FBB127A5962}">
      <text>
        <r>
          <rPr>
            <sz val="9"/>
            <color indexed="81"/>
            <rFont val="Tahoma"/>
            <charset val="1"/>
          </rPr>
          <t xml:space="preserve">Экспериментальная опция. Определяет будет ли корректировка по газу применяться ко всем ступеням ЭЦН одинаково (0), или к каждой ступени индивидуально (1).  </t>
        </r>
      </text>
    </comment>
    <comment ref="E38" authorId="0" shapeId="0" xr:uid="{7EEFBB52-D4D6-4761-99E1-A99EB13FB6B7}">
      <text>
        <r>
          <rPr>
            <sz val="9"/>
            <color indexed="81"/>
            <rFont val="Tahoma"/>
            <charset val="1"/>
          </rPr>
          <t>Отношение ПКВ (работа на цикл)</t>
        </r>
      </text>
    </comment>
    <comment ref="C39" authorId="0" shapeId="0" xr:uid="{C9BF6A0C-27AD-463F-9135-4E91F714CF7E}">
      <text>
        <r>
          <rPr>
            <sz val="9"/>
            <color indexed="81"/>
            <rFont val="Tahoma"/>
            <charset val="1"/>
          </rPr>
          <t xml:space="preserve">Шаг интегрирования перепада давления в ЭЦН. 1 значит интегрирование по отдельным ступеням Целое число более 1 определяет шаг интегрирования. 10 - расчет пакетами по 10 ступеней. Большой шаг ускоряет расчет, но вносит численную ошибку интегрирования </t>
        </r>
      </text>
    </comment>
    <comment ref="E39" authorId="0" shapeId="0" xr:uid="{5137F870-B0E8-44EC-B472-D68980CD893E}">
      <text>
        <r>
          <rPr>
            <sz val="9"/>
            <color indexed="81"/>
            <rFont val="Tahoma"/>
            <charset val="1"/>
          </rPr>
          <t>Общий коэффициент сепарации газа на приеме ЭЦН, если задано число или json - используйте encode_ESP_separation для кодирования</t>
        </r>
      </text>
    </comment>
    <comment ref="C40" authorId="0" shapeId="0" xr:uid="{12E513A9-EF0D-4F95-AF7E-4BC790E7131A}">
      <text>
        <r>
          <rPr>
            <sz val="9"/>
            <color indexed="81"/>
            <rFont val="Tahoma"/>
            <charset val="1"/>
          </rPr>
          <t>закодированные в json параметры ЭЦН. Могут быть заданы с использованием ID насоса и количества ступеней или на основе номинальной подачи и номинального напора</t>
        </r>
      </text>
    </comment>
    <comment ref="E40" authorId="0" shapeId="0" xr:uid="{8C1BDAD9-B65A-4C93-BF23-053A951E5B06}">
      <text>
        <r>
          <rPr>
            <sz val="9"/>
            <color indexed="81"/>
            <rFont val="Tahoma"/>
            <charset val="1"/>
          </rPr>
          <t>Диаметр приемной сетки ЭЦН для расчета сепарации, число мм.</t>
        </r>
      </text>
    </comment>
    <comment ref="E41" authorId="0" shapeId="0" xr:uid="{3F0E2AF3-7310-48BF-BF06-E5BDE772EF30}">
      <text>
        <r>
          <rPr>
            <sz val="9"/>
            <color indexed="81"/>
            <rFont val="Tahoma"/>
            <charset val="1"/>
          </rPr>
          <t>Параметры пласта, используйте encode_ipr, если не заданы, считается для постоянного дебита из feed_json</t>
        </r>
      </text>
    </comment>
    <comment ref="E42" authorId="0" shapeId="0" xr:uid="{AF87F0CC-33AA-426E-AF26-DA4CABD9F574}">
      <text>
        <r>
          <rPr>
            <sz val="9"/>
            <color indexed="81"/>
            <rFont val="Tahoma"/>
            <charset val="1"/>
          </rPr>
          <t>Затрубное давление, если задано будет рассчитан h_dyn_m</t>
        </r>
      </text>
    </comment>
    <comment ref="E43" authorId="0" shapeId="0" xr:uid="{0CC8EFEA-DDBE-4641-AE64-E3623B1C1E57}">
      <text>
        <r>
          <rPr>
            <sz val="9"/>
            <color indexed="81"/>
            <rFont val="Tahoma"/>
            <charset val="1"/>
          </rPr>
          <t>Критическая температура для АСПО в результатах будет вычислена глубина достижения t_crit_C</t>
        </r>
      </text>
    </comment>
    <comment ref="E44" authorId="0" shapeId="0" xr:uid="{1B773B32-48B6-4CC6-8299-937E6E93858C}">
      <text>
        <r>
          <rPr>
            <sz val="9"/>
            <color indexed="81"/>
            <rFont val="Tahoma"/>
            <charset val="1"/>
          </rPr>
          <t>Калибровка для гидравлической корреляции по гравитации</t>
        </r>
      </text>
    </comment>
    <comment ref="E45" authorId="0" shapeId="0" xr:uid="{CB28A837-63A9-4537-BE47-BFFAA24BEB19}">
      <text>
        <r>
          <rPr>
            <sz val="9"/>
            <color indexed="81"/>
            <rFont val="Tahoma"/>
            <charset val="1"/>
          </rPr>
          <t>Калибровка для гидравлической корреляции по трению</t>
        </r>
      </text>
    </comment>
    <comment ref="E46" authorId="0" shapeId="0" xr:uid="{75500B33-5C5A-4849-92AA-793B9DA52842}">
      <text>
        <r>
          <rPr>
            <sz val="9"/>
            <color indexed="81"/>
            <rFont val="Tahoma"/>
            <charset val="1"/>
          </rPr>
          <t>Номер гидравлической корреляции, как для трубы</t>
        </r>
      </text>
    </comment>
    <comment ref="E47" authorId="0" shapeId="0" xr:uid="{DF719014-54C6-41E1-A862-917687ACDF2F}">
      <text>
        <r>
          <rPr>
            <sz val="9"/>
            <color indexed="81"/>
            <rFont val="Tahoma"/>
            <charset val="1"/>
          </rPr>
          <t>Флаг, если 1 то будет рассчитано только давление, если 0 - то результат json с кривыми</t>
        </r>
      </text>
    </comment>
    <comment ref="F49" authorId="0" shapeId="0" xr:uid="{898D766E-4A5F-4F46-A418-1B2BCA39BB76}">
      <text>
        <r>
          <rPr>
            <sz val="9"/>
            <color indexed="81"/>
            <rFont val="Tahoma"/>
            <charset val="1"/>
          </rPr>
          <t>Словарь с режимными данными работы скважины</t>
        </r>
      </text>
    </comment>
    <comment ref="H49" authorId="0" shapeId="0" xr:uid="{ED538902-C89A-436D-81FD-3E418C0B7071}">
      <text>
        <r>
          <rPr>
            <sz val="9"/>
            <color indexed="81"/>
            <rFont val="Tahoma"/>
            <charset val="1"/>
          </rPr>
          <t>Дебит жидкости из пласта ст.м3/сут</t>
        </r>
      </text>
    </comment>
    <comment ref="F50" authorId="0" shapeId="0" xr:uid="{71770BE2-4301-4986-B2D6-EB48B8B30F88}">
      <text>
        <r>
          <rPr>
            <sz val="9"/>
            <color indexed="81"/>
            <rFont val="Tahoma"/>
            <charset val="1"/>
          </rPr>
          <t>Словарь с данными по распределению давления в НКТ</t>
        </r>
      </text>
    </comment>
    <comment ref="H50" authorId="0" shapeId="0" xr:uid="{B4B25ED0-8701-4EE3-AE71-B122FBC2063B}">
      <text>
        <r>
          <rPr>
            <sz val="9"/>
            <color indexed="81"/>
            <rFont val="Tahoma"/>
            <charset val="1"/>
          </rPr>
          <t>Буферное давление, расчетное, атма</t>
        </r>
      </text>
    </comment>
    <comment ref="F51" authorId="0" shapeId="0" xr:uid="{6EC75FA6-8E74-4F1A-A5B0-62C32B7CBEEB}">
      <text>
        <r>
          <rPr>
            <sz val="9"/>
            <color indexed="81"/>
            <rFont val="Tahoma"/>
            <charset val="1"/>
          </rPr>
          <t>Словарь с данными по распределению давления в между насосом (низом НКТ) и перфорацией</t>
        </r>
      </text>
    </comment>
    <comment ref="H51" authorId="0" shapeId="0" xr:uid="{D3BF7378-C7B2-40AA-AC2A-4C83C6D29074}">
      <text>
        <r>
          <rPr>
            <sz val="9"/>
            <color indexed="81"/>
            <rFont val="Tahoma"/>
            <charset val="1"/>
          </rPr>
          <t>Затрубное давление, расчетной, атма</t>
        </r>
      </text>
    </comment>
    <comment ref="F52" authorId="0" shapeId="0" xr:uid="{1276D863-A3CF-4FFD-9450-C55761ABC614}">
      <text>
        <r>
          <rPr>
            <sz val="9"/>
            <color indexed="81"/>
            <rFont val="Tahoma"/>
            <charset val="1"/>
          </rPr>
          <t>Словарь с данными по распределению температуры в НКТ</t>
        </r>
      </text>
    </comment>
    <comment ref="H52" authorId="0" shapeId="0" xr:uid="{DDFEBA17-5AE6-428B-AACA-A5617FA8C1F1}">
      <text>
        <r>
          <rPr>
            <sz val="9"/>
            <color indexed="81"/>
            <rFont val="Tahoma"/>
            <charset val="1"/>
          </rPr>
          <t>Давление на приеме ЭЦН (низ НКТ), атма</t>
        </r>
      </text>
    </comment>
    <comment ref="F53" authorId="0" shapeId="0" xr:uid="{B53EF672-CC57-40C9-9963-C5E60543963C}">
      <text>
        <r>
          <rPr>
            <sz val="9"/>
            <color indexed="81"/>
            <rFont val="Tahoma"/>
            <charset val="1"/>
          </rPr>
          <t>Словарь с данными по распределению давления в межтрубном пространстве скважины</t>
        </r>
      </text>
    </comment>
    <comment ref="H53" authorId="0" shapeId="0" xr:uid="{A9A83A3B-E00B-4EF6-84D8-89C7E2A53B5D}">
      <text>
        <r>
          <rPr>
            <sz val="9"/>
            <color indexed="81"/>
            <rFont val="Tahoma"/>
            <charset val="1"/>
          </rPr>
          <t>Давление на выкиде ЭЦН, атма</t>
        </r>
      </text>
    </comment>
    <comment ref="F54" authorId="0" shapeId="0" xr:uid="{B8432514-8FD7-43C0-AA0D-EF703EEACC75}">
      <text>
        <r>
          <rPr>
            <sz val="9"/>
            <color indexed="81"/>
            <rFont val="Tahoma"/>
            <charset val="1"/>
          </rPr>
          <t>Словарь с данными по распределению температуры окружающей среды</t>
        </r>
      </text>
    </comment>
    <comment ref="H54" authorId="0" shapeId="0" xr:uid="{8274946A-7B8C-4DFC-B375-4F58A27EF867}">
      <text>
        <r>
          <rPr>
            <sz val="9"/>
            <color indexed="81"/>
            <rFont val="Tahoma"/>
            <charset val="1"/>
          </rPr>
          <t>Забойное давление, атма</t>
        </r>
      </text>
    </comment>
    <comment ref="F55" authorId="0" shapeId="0" xr:uid="{F07647D4-67E9-4F4D-A398-A49636843ACD}">
      <text>
        <r>
          <rPr>
            <sz val="9"/>
            <color indexed="81"/>
            <rFont val="Tahoma"/>
            <charset val="1"/>
          </rPr>
          <t>Словарь с данными по ЭЦН</t>
        </r>
      </text>
    </comment>
    <comment ref="H55" authorId="0" shapeId="0" xr:uid="{C37CE49A-249B-4B76-A645-6F5EC283A62B}">
      <text>
        <r>
          <rPr>
            <sz val="9"/>
            <color indexed="81"/>
            <rFont val="Tahoma"/>
            <charset val="1"/>
          </rPr>
          <t>Предельное значение затрубного давления м. Такое затрубное давление при котором в затрубе нет жидкости</t>
        </r>
      </text>
    </comment>
    <comment ref="F56" authorId="0" shapeId="0" xr:uid="{64F46C23-2FDF-4A3F-B938-C39030355F15}">
      <text>
        <r>
          <rPr>
            <sz val="9"/>
            <color indexed="81"/>
            <rFont val="Tahoma"/>
            <charset val="1"/>
          </rPr>
          <t>Словарь с данными по сепарации газа</t>
        </r>
      </text>
    </comment>
    <comment ref="H56" authorId="0" shapeId="0" xr:uid="{AD241847-C56D-4356-8D12-75F5A8273D8E}">
      <text>
        <r>
          <rPr>
            <sz val="9"/>
            <color indexed="81"/>
            <rFont val="Tahoma"/>
            <charset val="1"/>
          </rPr>
          <t>Динамический уровень, м</t>
        </r>
      </text>
    </comment>
    <comment ref="F57" authorId="0" shapeId="0" xr:uid="{17C3B6BC-3AF6-4DA8-9EEE-010E9B60D37C}">
      <text>
        <r>
          <rPr>
            <sz val="9"/>
            <color indexed="81"/>
            <rFont val="Tahoma"/>
            <charset val="1"/>
          </rPr>
          <t>Словарь с данными по потоку флюида из пласта</t>
        </r>
      </text>
    </comment>
    <comment ref="H57" authorId="0" shapeId="0" xr:uid="{04A57325-CF68-45A5-A757-915F7E204428}">
      <text>
        <r>
          <rPr>
            <sz val="9"/>
            <color indexed="81"/>
            <rFont val="Tahoma"/>
            <charset val="1"/>
          </rPr>
          <t>Критическая глубина достижения критической температуры, м</t>
        </r>
      </text>
    </comment>
    <comment ref="F58" authorId="0" shapeId="0" xr:uid="{8D3E9069-5FE0-4862-965A-1948215CD336}">
      <text>
        <r>
          <rPr>
            <sz val="9"/>
            <color indexed="81"/>
            <rFont val="Tahoma"/>
            <charset val="1"/>
          </rPr>
          <t>Словарь с данными по потоку флюида в ЭЦН и НКТ (после полной сепарации)</t>
        </r>
      </text>
    </comment>
    <comment ref="H58" authorId="0" shapeId="0" xr:uid="{161E5836-951E-4639-A529-B85640291BB3}">
      <text>
        <r>
          <rPr>
            <sz val="9"/>
            <color indexed="81"/>
            <rFont val="Tahoma"/>
            <charset val="1"/>
          </rPr>
          <t>Общий коэффициент сепарации газа на приеме, д.е.</t>
        </r>
      </text>
    </comment>
    <comment ref="F59" authorId="0" shapeId="0" xr:uid="{AA321EC7-80E9-4146-B117-36BB84D5EC8D}">
      <text>
        <r>
          <rPr>
            <sz val="9"/>
            <color indexed="81"/>
            <rFont val="Tahoma"/>
            <charset val="1"/>
          </rPr>
          <t>Словарь с данными по потоку флюида в затрубе</t>
        </r>
      </text>
    </comment>
    <comment ref="H59" authorId="0" shapeId="0" xr:uid="{4762EB87-C1EE-48DA-A4C2-20123CF37CF2}">
      <text>
        <r>
          <rPr>
            <sz val="9"/>
            <color indexed="81"/>
            <rFont val="Tahoma"/>
            <charset val="1"/>
          </rPr>
          <t>Коэффициент деления потока жидкости на приеме, д.е.</t>
        </r>
      </text>
    </comment>
    <comment ref="F60" authorId="0" shapeId="0" xr:uid="{0A6DAF14-8B09-4FBD-B9C9-B3288A5CBEA6}">
      <text>
        <r>
          <rPr>
            <sz val="9"/>
            <color indexed="81"/>
            <rFont val="Tahoma"/>
            <charset val="1"/>
          </rPr>
          <t>Словарь с данными по потоку флюида после натуральной сепарации (то, что идет в гс)</t>
        </r>
      </text>
    </comment>
    <comment ref="H60" authorId="0" shapeId="0" xr:uid="{2CCBC17C-939F-41FD-BA05-BCFE89D05A03}">
      <text>
        <r>
          <rPr>
            <sz val="9"/>
            <color indexed="81"/>
            <rFont val="Tahoma"/>
            <charset val="1"/>
          </rPr>
          <t>Температура потока на поверхности, расчетная, С</t>
        </r>
      </text>
    </comment>
    <comment ref="H61" authorId="0" shapeId="0" xr:uid="{46613217-A16F-4034-9C6A-EA925212B3B8}">
      <text>
        <r>
          <rPr>
            <sz val="9"/>
            <color indexed="81"/>
            <rFont val="Tahoma"/>
            <charset val="1"/>
          </rPr>
          <t>Температура на приеме ЭЦН, С</t>
        </r>
      </text>
    </comment>
    <comment ref="H62" authorId="0" shapeId="0" xr:uid="{C1600990-7596-4A92-85F9-8AA80F46726E}">
      <text>
        <r>
          <rPr>
            <sz val="9"/>
            <color indexed="81"/>
            <rFont val="Tahoma"/>
            <charset val="1"/>
          </rPr>
          <t>Температура на выкиде ЭЦН, С</t>
        </r>
      </text>
    </comment>
    <comment ref="H63" authorId="0" shapeId="0" xr:uid="{B5BAE9E6-03A0-4D92-99B9-FE20DF784416}">
      <text>
        <r>
          <rPr>
            <sz val="9"/>
            <color indexed="81"/>
            <rFont val="Tahoma"/>
            <charset val="1"/>
          </rPr>
          <t>Дебит жидкости в ЭЦН и НКТ, ст. м3/сут. Может отличаться от пластового для ПКВ или ФЧЗ</t>
        </r>
      </text>
    </comment>
    <comment ref="H64" authorId="0" shapeId="0" xr:uid="{CBB56700-414A-473F-8990-EE620754EDFB}">
      <text>
        <r>
          <rPr>
            <sz val="9"/>
            <color indexed="81"/>
            <rFont val="Tahoma"/>
            <charset val="1"/>
          </rPr>
          <t>Дебит газа в НКТ, общий ст.м3/сут</t>
        </r>
      </text>
    </comment>
    <comment ref="H65" authorId="0" shapeId="0" xr:uid="{3F273735-BE04-4806-99BE-028A71DE7B89}">
      <text>
        <r>
          <rPr>
            <sz val="9"/>
            <color indexed="81"/>
            <rFont val="Tahoma"/>
            <charset val="1"/>
          </rPr>
          <t>Дебит жидкости в затрубе, ст.м3/сут</t>
        </r>
      </text>
    </comment>
    <comment ref="H66" authorId="0" shapeId="0" xr:uid="{260891D3-BDF4-4A8F-9254-AABD0423ED1C}">
      <text>
        <r>
          <rPr>
            <sz val="9"/>
            <color indexed="81"/>
            <rFont val="Tahoma"/>
            <charset val="1"/>
          </rPr>
          <t>Дебит газа в затрубе, общий ст.м3/сут, газ в затрубе - то что ушло в затруб при сепарации газа на приеме ЭЦН</t>
        </r>
      </text>
    </comment>
    <comment ref="H67" authorId="0" shapeId="0" xr:uid="{0B241F59-14F0-40A7-B7F4-5218803C5BD8}">
      <text>
        <r>
          <rPr>
            <sz val="9"/>
            <color indexed="81"/>
            <rFont val="Tahoma"/>
            <charset val="1"/>
          </rPr>
          <t>Объемная доля газа на приеме ЭЦН после сепарации</t>
        </r>
      </text>
    </comment>
    <comment ref="H68" authorId="0" shapeId="0" xr:uid="{F52FD3AE-D4EB-4AF8-92A7-800E6D4885E5}">
      <text>
        <r>
          <rPr>
            <sz val="9"/>
            <color indexed="81"/>
            <rFont val="Tahoma"/>
            <charset val="1"/>
          </rPr>
          <t>КПД ЭЦН</t>
        </r>
      </text>
    </comment>
    <comment ref="H69" authorId="0" shapeId="0" xr:uid="{BF6A0455-6909-4EB7-99D7-C4A96CFAA9FA}">
      <text>
        <r>
          <rPr>
            <sz val="9"/>
            <color indexed="81"/>
            <rFont val="Tahoma"/>
            <charset val="1"/>
          </rPr>
          <t>Мощность потребляемая ЭЦН с вала, кВт</t>
        </r>
      </text>
    </comment>
  </commentList>
</comments>
</file>

<file path=xl/sharedStrings.xml><?xml version="1.0" encoding="utf-8"?>
<sst xmlns="http://schemas.openxmlformats.org/spreadsheetml/2006/main" count="118" uniqueCount="88">
  <si>
    <t>Свойства флюидов</t>
  </si>
  <si>
    <t>gamma_gas</t>
  </si>
  <si>
    <t>gamma_oil</t>
  </si>
  <si>
    <t>gamma_wat</t>
  </si>
  <si>
    <t>rsb_m3m3</t>
  </si>
  <si>
    <t>pb_atma</t>
  </si>
  <si>
    <t>t_res_C</t>
  </si>
  <si>
    <t>bob_m3m3</t>
  </si>
  <si>
    <t>muob_cP</t>
  </si>
  <si>
    <t>pvt_corr_set</t>
  </si>
  <si>
    <t>PVT</t>
  </si>
  <si>
    <t>q_liq_sm3day</t>
  </si>
  <si>
    <t>fw_perc</t>
  </si>
  <si>
    <t>rp_m3m3</t>
  </si>
  <si>
    <t>q_gas_free_sm3day</t>
  </si>
  <si>
    <t>feed</t>
  </si>
  <si>
    <t xml:space="preserve"> </t>
  </si>
  <si>
    <t>Режим работы скважины</t>
  </si>
  <si>
    <t>Рбуф</t>
  </si>
  <si>
    <t>Рзатр</t>
  </si>
  <si>
    <t>Конструкция</t>
  </si>
  <si>
    <t>trajectory</t>
  </si>
  <si>
    <t>hmes, m</t>
  </si>
  <si>
    <t>hvert, m</t>
  </si>
  <si>
    <t>roughness_m</t>
  </si>
  <si>
    <t>diameter</t>
  </si>
  <si>
    <t>diam, mm</t>
  </si>
  <si>
    <t>pipe diams</t>
  </si>
  <si>
    <t>Температурная модель</t>
  </si>
  <si>
    <t>t model</t>
  </si>
  <si>
    <t>t_start_C</t>
  </si>
  <si>
    <t>t_end_C</t>
  </si>
  <si>
    <t>thermal_conductivity_formation_WmC</t>
  </si>
  <si>
    <t>specific_heat_capacity_formation_JkgC</t>
  </si>
  <si>
    <t>thermal_conductivity_cement_WmC</t>
  </si>
  <si>
    <t>thermal_conductivity_tubing_WmC</t>
  </si>
  <si>
    <t>thermal_conductivity_casing_WmC</t>
  </si>
  <si>
    <t>heat_transfer_casing_liquid_Wm2C</t>
  </si>
  <si>
    <t>heat_transfer_casing_gas_Wm2C</t>
  </si>
  <si>
    <t xml:space="preserve">heat_transfer_fluid_convection_Wm2C </t>
  </si>
  <si>
    <t>time_calc_hr</t>
  </si>
  <si>
    <t>param</t>
  </si>
  <si>
    <t>json</t>
  </si>
  <si>
    <t>ambient temperature</t>
  </si>
  <si>
    <t>t amb, C</t>
  </si>
  <si>
    <t>p_wf_atma</t>
  </si>
  <si>
    <t>t_wf_C</t>
  </si>
  <si>
    <t>feed_json</t>
  </si>
  <si>
    <t>d_tub_id_mm</t>
  </si>
  <si>
    <t>d_cas_id_mm</t>
  </si>
  <si>
    <t>t_model</t>
  </si>
  <si>
    <t>h_perf_m</t>
  </si>
  <si>
    <t>h_esp_m</t>
  </si>
  <si>
    <t>esp_json</t>
  </si>
  <si>
    <t>esp_freq</t>
  </si>
  <si>
    <t>pkv_ratio</t>
  </si>
  <si>
    <t>ksep</t>
  </si>
  <si>
    <t>dint_mm</t>
  </si>
  <si>
    <t>IPR_json</t>
  </si>
  <si>
    <t>p_cas_atma</t>
  </si>
  <si>
    <t>t_crit_C</t>
  </si>
  <si>
    <t>calibr_grav</t>
  </si>
  <si>
    <t>calibr_fric</t>
  </si>
  <si>
    <t>flow_corr</t>
  </si>
  <si>
    <t>fast</t>
  </si>
  <si>
    <t>ESP_q_nom</t>
  </si>
  <si>
    <t>ESP_head_nom</t>
  </si>
  <si>
    <t>freq_nom</t>
  </si>
  <si>
    <t>ESP_ID</t>
  </si>
  <si>
    <t>num_stages</t>
  </si>
  <si>
    <t>calibr_head</t>
  </si>
  <si>
    <t>calibr_rate</t>
  </si>
  <si>
    <t>calibr_power</t>
  </si>
  <si>
    <t>gas_correct_model</t>
  </si>
  <si>
    <t>gas_correct_stage_by_stage</t>
  </si>
  <si>
    <t>dnum_stages_integrate</t>
  </si>
  <si>
    <t>encode_esp_pump</t>
  </si>
  <si>
    <t>ЭЦН</t>
  </si>
  <si>
    <t>Рзаб</t>
  </si>
  <si>
    <t>Невязки</t>
  </si>
  <si>
    <t>p_res_atma</t>
  </si>
  <si>
    <t>q_liq_test_sm3day</t>
  </si>
  <si>
    <t>p_wf_test_atma</t>
  </si>
  <si>
    <t>feed json</t>
  </si>
  <si>
    <t>PI_sm3dayatm</t>
  </si>
  <si>
    <t>IPR</t>
  </si>
  <si>
    <t>ipr json</t>
  </si>
  <si>
    <t>ipr_curve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</si>
</sst>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charset val="204"/>
      <scheme val="minor"/>
    </font>
    <font>
      <sz val="9"/>
      <color indexed="81"/>
      <name val="Tahoma"/>
      <charset val="1"/>
    </font>
  </fonts>
  <fills count="10">
    <fill>
      <patternFill patternType="none"/>
    </fill>
    <fill>
      <patternFill patternType="gray125"/>
    </fill>
    <fill>
      <patternFill patternType="solid">
        <fgColor rgb="FFDCDCD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0FAFA"/>
        <bgColor indexed="64"/>
      </patternFill>
    </fill>
    <fill>
      <patternFill patternType="solid">
        <fgColor rgb="FFDCFAA0"/>
        <bgColor indexed="64"/>
      </patternFill>
    </fill>
    <fill>
      <patternFill patternType="solid">
        <fgColor rgb="FFFAFAA0"/>
        <bgColor indexed="64"/>
      </patternFill>
    </fill>
    <fill>
      <patternFill patternType="solid">
        <fgColor rgb="FFF0FAA0"/>
        <bgColor indexed="64"/>
      </patternFill>
    </fill>
    <fill>
      <patternFill patternType="solid">
        <fgColor rgb="FFF5FAA0"/>
        <bgColor indexed="64"/>
      </patternFill>
    </fill>
    <fill>
      <patternFill patternType="solid">
        <fgColor rgb="FFE1C89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pressure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pressure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Лист1!$K$54:$K$78</c:f>
              <c:numCache>
                <c:formatCode>General</c:formatCode>
                <c:ptCount val="25"/>
                <c:pt idx="0">
                  <c:v>10.002000000000001</c:v>
                </c:pt>
                <c:pt idx="1">
                  <c:v>12.105</c:v>
                </c:pt>
                <c:pt idx="2">
                  <c:v>14.385999999999999</c:v>
                </c:pt>
                <c:pt idx="3">
                  <c:v>16.835000000000001</c:v>
                </c:pt>
                <c:pt idx="4">
                  <c:v>19.445</c:v>
                </c:pt>
                <c:pt idx="5">
                  <c:v>22.204999999999998</c:v>
                </c:pt>
                <c:pt idx="6">
                  <c:v>25.082000000000001</c:v>
                </c:pt>
                <c:pt idx="7">
                  <c:v>28.021000000000001</c:v>
                </c:pt>
                <c:pt idx="8">
                  <c:v>30.995000000000001</c:v>
                </c:pt>
                <c:pt idx="9">
                  <c:v>34.000999999999998</c:v>
                </c:pt>
                <c:pt idx="10">
                  <c:v>37.042000000000002</c:v>
                </c:pt>
                <c:pt idx="11">
                  <c:v>40.127000000000002</c:v>
                </c:pt>
                <c:pt idx="12">
                  <c:v>43.253999999999998</c:v>
                </c:pt>
                <c:pt idx="13">
                  <c:v>46.42</c:v>
                </c:pt>
                <c:pt idx="14">
                  <c:v>49.62</c:v>
                </c:pt>
                <c:pt idx="15">
                  <c:v>52.850999999999999</c:v>
                </c:pt>
                <c:pt idx="16">
                  <c:v>56.11</c:v>
                </c:pt>
                <c:pt idx="17">
                  <c:v>59.393999999999998</c:v>
                </c:pt>
                <c:pt idx="18">
                  <c:v>62.701000000000001</c:v>
                </c:pt>
                <c:pt idx="19">
                  <c:v>66.025999999999996</c:v>
                </c:pt>
                <c:pt idx="20">
                  <c:v>69.367000000000004</c:v>
                </c:pt>
                <c:pt idx="21">
                  <c:v>72.722999999999999</c:v>
                </c:pt>
                <c:pt idx="22">
                  <c:v>76.087999999999994</c:v>
                </c:pt>
                <c:pt idx="23">
                  <c:v>78.501000000000005</c:v>
                </c:pt>
                <c:pt idx="24">
                  <c:v>24.54</c:v>
                </c:pt>
              </c:numCache>
            </c:numRef>
          </c:xVal>
          <c:yVal>
            <c:numRef>
              <c:f>Лист1!$J$54:$J$78</c:f>
              <c:numCache>
                <c:formatCode>General</c:formatCode>
                <c:ptCount val="25"/>
                <c:pt idx="0">
                  <c:v>0</c:v>
                </c:pt>
                <c:pt idx="1">
                  <c:v>44.021999999999998</c:v>
                </c:pt>
                <c:pt idx="2">
                  <c:v>88.043000000000006</c:v>
                </c:pt>
                <c:pt idx="3">
                  <c:v>132.065</c:v>
                </c:pt>
                <c:pt idx="4">
                  <c:v>176.08699999999999</c:v>
                </c:pt>
                <c:pt idx="5">
                  <c:v>220.10900000000001</c:v>
                </c:pt>
                <c:pt idx="6">
                  <c:v>264.13</c:v>
                </c:pt>
                <c:pt idx="7">
                  <c:v>308.15199999999999</c:v>
                </c:pt>
                <c:pt idx="8">
                  <c:v>352.17399999999998</c:v>
                </c:pt>
                <c:pt idx="9">
                  <c:v>396.19600000000003</c:v>
                </c:pt>
                <c:pt idx="10">
                  <c:v>440.21699999999998</c:v>
                </c:pt>
                <c:pt idx="11">
                  <c:v>484.23899999999998</c:v>
                </c:pt>
                <c:pt idx="12">
                  <c:v>528.26099999999997</c:v>
                </c:pt>
                <c:pt idx="13">
                  <c:v>572.28300000000002</c:v>
                </c:pt>
                <c:pt idx="14">
                  <c:v>616.30399999999997</c:v>
                </c:pt>
                <c:pt idx="15">
                  <c:v>660.32600000000002</c:v>
                </c:pt>
                <c:pt idx="16">
                  <c:v>704.34799999999996</c:v>
                </c:pt>
                <c:pt idx="17">
                  <c:v>748.37</c:v>
                </c:pt>
                <c:pt idx="18">
                  <c:v>792.39099999999996</c:v>
                </c:pt>
                <c:pt idx="19">
                  <c:v>836.41300000000001</c:v>
                </c:pt>
                <c:pt idx="20">
                  <c:v>880.43499999999995</c:v>
                </c:pt>
                <c:pt idx="21">
                  <c:v>924.45699999999999</c:v>
                </c:pt>
                <c:pt idx="22">
                  <c:v>968.47799999999995</c:v>
                </c:pt>
                <c:pt idx="23">
                  <c:v>1000</c:v>
                </c:pt>
                <c:pt idx="24">
                  <c:v>1012.5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71B-48FF-BDDC-1DAF57C452F9}"/>
            </c:ext>
          </c:extLst>
        </c:ser>
        <c:ser>
          <c:idx val="1"/>
          <c:order val="1"/>
          <c:tx>
            <c:v>pressure annulus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Лист1!$Q$54:$Q$78</c:f>
              <c:numCache>
                <c:formatCode>General</c:formatCode>
                <c:ptCount val="25"/>
                <c:pt idx="0">
                  <c:v>12</c:v>
                </c:pt>
                <c:pt idx="1">
                  <c:v>12.04</c:v>
                </c:pt>
                <c:pt idx="2">
                  <c:v>12.08</c:v>
                </c:pt>
                <c:pt idx="3">
                  <c:v>12.119</c:v>
                </c:pt>
                <c:pt idx="4">
                  <c:v>12.159000000000001</c:v>
                </c:pt>
                <c:pt idx="5">
                  <c:v>12.199</c:v>
                </c:pt>
                <c:pt idx="6">
                  <c:v>12.239000000000001</c:v>
                </c:pt>
                <c:pt idx="7">
                  <c:v>12.278</c:v>
                </c:pt>
                <c:pt idx="8">
                  <c:v>12.318</c:v>
                </c:pt>
                <c:pt idx="9">
                  <c:v>12.356999999999999</c:v>
                </c:pt>
                <c:pt idx="10">
                  <c:v>12.397</c:v>
                </c:pt>
                <c:pt idx="11">
                  <c:v>12.436999999999999</c:v>
                </c:pt>
                <c:pt idx="12">
                  <c:v>12.476000000000001</c:v>
                </c:pt>
                <c:pt idx="13">
                  <c:v>12.515000000000001</c:v>
                </c:pt>
                <c:pt idx="14">
                  <c:v>12.555</c:v>
                </c:pt>
                <c:pt idx="15">
                  <c:v>12.593999999999999</c:v>
                </c:pt>
                <c:pt idx="16">
                  <c:v>12.622999999999999</c:v>
                </c:pt>
                <c:pt idx="17">
                  <c:v>12.942</c:v>
                </c:pt>
                <c:pt idx="18">
                  <c:v>14.148</c:v>
                </c:pt>
                <c:pt idx="19">
                  <c:v>15.429</c:v>
                </c:pt>
                <c:pt idx="20">
                  <c:v>17.058</c:v>
                </c:pt>
                <c:pt idx="21">
                  <c:v>18.829000000000001</c:v>
                </c:pt>
                <c:pt idx="22">
                  <c:v>20.681000000000001</c:v>
                </c:pt>
                <c:pt idx="23">
                  <c:v>22.608000000000001</c:v>
                </c:pt>
                <c:pt idx="24">
                  <c:v>24.54</c:v>
                </c:pt>
              </c:numCache>
            </c:numRef>
          </c:xVal>
          <c:yVal>
            <c:numRef>
              <c:f>Лист1!$P$54:$P$78</c:f>
              <c:numCache>
                <c:formatCode>General</c:formatCode>
                <c:ptCount val="25"/>
                <c:pt idx="0">
                  <c:v>0</c:v>
                </c:pt>
                <c:pt idx="1">
                  <c:v>44.021999999999998</c:v>
                </c:pt>
                <c:pt idx="2">
                  <c:v>88.043000000000006</c:v>
                </c:pt>
                <c:pt idx="3">
                  <c:v>132.065</c:v>
                </c:pt>
                <c:pt idx="4">
                  <c:v>176.08699999999999</c:v>
                </c:pt>
                <c:pt idx="5">
                  <c:v>220.10900000000001</c:v>
                </c:pt>
                <c:pt idx="6">
                  <c:v>264.13</c:v>
                </c:pt>
                <c:pt idx="7">
                  <c:v>308.15199999999999</c:v>
                </c:pt>
                <c:pt idx="8">
                  <c:v>352.17399999999998</c:v>
                </c:pt>
                <c:pt idx="9">
                  <c:v>396.19600000000003</c:v>
                </c:pt>
                <c:pt idx="10">
                  <c:v>440.21699999999998</c:v>
                </c:pt>
                <c:pt idx="11">
                  <c:v>484.23899999999998</c:v>
                </c:pt>
                <c:pt idx="12">
                  <c:v>528.26099999999997</c:v>
                </c:pt>
                <c:pt idx="13">
                  <c:v>572.28300000000002</c:v>
                </c:pt>
                <c:pt idx="14">
                  <c:v>616.30399999999997</c:v>
                </c:pt>
                <c:pt idx="15">
                  <c:v>660.32600000000002</c:v>
                </c:pt>
                <c:pt idx="16">
                  <c:v>692.21299999999997</c:v>
                </c:pt>
                <c:pt idx="17">
                  <c:v>704.34799999999996</c:v>
                </c:pt>
                <c:pt idx="18">
                  <c:v>748.37</c:v>
                </c:pt>
                <c:pt idx="19">
                  <c:v>792.39099999999996</c:v>
                </c:pt>
                <c:pt idx="20">
                  <c:v>836.41300000000001</c:v>
                </c:pt>
                <c:pt idx="21">
                  <c:v>880.43499999999995</c:v>
                </c:pt>
                <c:pt idx="22">
                  <c:v>924.45699999999999</c:v>
                </c:pt>
                <c:pt idx="23">
                  <c:v>968.47799999999995</c:v>
                </c:pt>
                <c:pt idx="24">
                  <c:v>1012.5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71B-48FF-BDDC-1DAF57C452F9}"/>
            </c:ext>
          </c:extLst>
        </c:ser>
        <c:ser>
          <c:idx val="2"/>
          <c:order val="2"/>
          <c:tx>
            <c:v>pressure below pump 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Лист1!$M$54:$M$78</c:f>
              <c:numCache>
                <c:formatCode>General</c:formatCode>
                <c:ptCount val="25"/>
                <c:pt idx="0">
                  <c:v>24.54</c:v>
                </c:pt>
                <c:pt idx="1">
                  <c:v>26.077999999999999</c:v>
                </c:pt>
                <c:pt idx="2">
                  <c:v>27.617000000000001</c:v>
                </c:pt>
                <c:pt idx="3">
                  <c:v>29.152999999999999</c:v>
                </c:pt>
                <c:pt idx="4">
                  <c:v>30.687999999999999</c:v>
                </c:pt>
                <c:pt idx="5">
                  <c:v>32.222000000000001</c:v>
                </c:pt>
                <c:pt idx="6">
                  <c:v>33.753</c:v>
                </c:pt>
                <c:pt idx="7">
                  <c:v>35.283999999999999</c:v>
                </c:pt>
                <c:pt idx="8">
                  <c:v>36.811999999999998</c:v>
                </c:pt>
                <c:pt idx="9">
                  <c:v>38.338999999999999</c:v>
                </c:pt>
                <c:pt idx="10">
                  <c:v>39.865000000000002</c:v>
                </c:pt>
                <c:pt idx="11">
                  <c:v>41.387</c:v>
                </c:pt>
                <c:pt idx="12">
                  <c:v>42.91</c:v>
                </c:pt>
                <c:pt idx="13">
                  <c:v>44.429000000000002</c:v>
                </c:pt>
                <c:pt idx="14">
                  <c:v>45.947000000000003</c:v>
                </c:pt>
                <c:pt idx="15">
                  <c:v>47.463000000000001</c:v>
                </c:pt>
                <c:pt idx="16">
                  <c:v>48.975999999999999</c:v>
                </c:pt>
                <c:pt idx="17">
                  <c:v>50.488999999999997</c:v>
                </c:pt>
                <c:pt idx="18">
                  <c:v>51.997</c:v>
                </c:pt>
                <c:pt idx="19">
                  <c:v>53.503999999999998</c:v>
                </c:pt>
                <c:pt idx="20">
                  <c:v>55.009</c:v>
                </c:pt>
                <c:pt idx="21">
                  <c:v>56.51</c:v>
                </c:pt>
                <c:pt idx="22">
                  <c:v>58.011000000000003</c:v>
                </c:pt>
                <c:pt idx="23">
                  <c:v>59.506999999999998</c:v>
                </c:pt>
                <c:pt idx="24">
                  <c:v>61.002000000000002</c:v>
                </c:pt>
              </c:numCache>
            </c:numRef>
          </c:xVal>
          <c:yVal>
            <c:numRef>
              <c:f>Лист1!$L$54:$L$78</c:f>
              <c:numCache>
                <c:formatCode>General</c:formatCode>
                <c:ptCount val="25"/>
                <c:pt idx="0">
                  <c:v>1012.5</c:v>
                </c:pt>
                <c:pt idx="1">
                  <c:v>1032.8119999999999</c:v>
                </c:pt>
                <c:pt idx="2">
                  <c:v>1053.125</c:v>
                </c:pt>
                <c:pt idx="3">
                  <c:v>1073.4380000000001</c:v>
                </c:pt>
                <c:pt idx="4">
                  <c:v>1093.75</c:v>
                </c:pt>
                <c:pt idx="5">
                  <c:v>1114.0619999999999</c:v>
                </c:pt>
                <c:pt idx="6">
                  <c:v>1134.375</c:v>
                </c:pt>
                <c:pt idx="7">
                  <c:v>1154.6880000000001</c:v>
                </c:pt>
                <c:pt idx="8">
                  <c:v>1175</c:v>
                </c:pt>
                <c:pt idx="9">
                  <c:v>1195.3119999999999</c:v>
                </c:pt>
                <c:pt idx="10">
                  <c:v>1215.625</c:v>
                </c:pt>
                <c:pt idx="11">
                  <c:v>1235.9380000000001</c:v>
                </c:pt>
                <c:pt idx="12">
                  <c:v>1256.25</c:v>
                </c:pt>
                <c:pt idx="13">
                  <c:v>1276.5619999999999</c:v>
                </c:pt>
                <c:pt idx="14">
                  <c:v>1296.875</c:v>
                </c:pt>
                <c:pt idx="15">
                  <c:v>1317.1880000000001</c:v>
                </c:pt>
                <c:pt idx="16">
                  <c:v>1337.5</c:v>
                </c:pt>
                <c:pt idx="17">
                  <c:v>1357.8119999999999</c:v>
                </c:pt>
                <c:pt idx="18">
                  <c:v>1378.125</c:v>
                </c:pt>
                <c:pt idx="19">
                  <c:v>1398.4380000000001</c:v>
                </c:pt>
                <c:pt idx="20">
                  <c:v>1418.75</c:v>
                </c:pt>
                <c:pt idx="21">
                  <c:v>1439.0619999999999</c:v>
                </c:pt>
                <c:pt idx="22">
                  <c:v>1459.375</c:v>
                </c:pt>
                <c:pt idx="23">
                  <c:v>1479.6880000000001</c:v>
                </c:pt>
                <c:pt idx="24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71B-48FF-BDDC-1DAF57C45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7351983"/>
        <c:axId val="847360143"/>
      </c:scatterChart>
      <c:valAx>
        <c:axId val="847351983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47360143"/>
        <c:crosses val="autoZero"/>
        <c:crossBetween val="midCat"/>
      </c:valAx>
      <c:valAx>
        <c:axId val="847360143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 mes,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473519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temperature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temperature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Лист1!$O$54:$O$87</c:f>
              <c:numCache>
                <c:formatCode>General</c:formatCode>
                <c:ptCount val="34"/>
                <c:pt idx="0">
                  <c:v>25.338000000000001</c:v>
                </c:pt>
                <c:pt idx="1">
                  <c:v>26.192</c:v>
                </c:pt>
                <c:pt idx="2">
                  <c:v>27.04</c:v>
                </c:pt>
                <c:pt idx="3">
                  <c:v>27.882999999999999</c:v>
                </c:pt>
                <c:pt idx="4">
                  <c:v>28.72</c:v>
                </c:pt>
                <c:pt idx="5">
                  <c:v>29.550999999999998</c:v>
                </c:pt>
                <c:pt idx="6">
                  <c:v>30.376000000000001</c:v>
                </c:pt>
                <c:pt idx="7">
                  <c:v>31.186</c:v>
                </c:pt>
                <c:pt idx="8">
                  <c:v>31.984000000000002</c:v>
                </c:pt>
                <c:pt idx="9">
                  <c:v>32.765999999999998</c:v>
                </c:pt>
                <c:pt idx="10">
                  <c:v>33.533000000000001</c:v>
                </c:pt>
                <c:pt idx="11">
                  <c:v>34.283999999999999</c:v>
                </c:pt>
                <c:pt idx="12">
                  <c:v>35.018999999999998</c:v>
                </c:pt>
                <c:pt idx="13">
                  <c:v>35.731000000000002</c:v>
                </c:pt>
                <c:pt idx="14">
                  <c:v>36.424999999999997</c:v>
                </c:pt>
                <c:pt idx="15">
                  <c:v>37.097999999999999</c:v>
                </c:pt>
                <c:pt idx="16">
                  <c:v>37.779000000000003</c:v>
                </c:pt>
                <c:pt idx="17">
                  <c:v>38.636000000000003</c:v>
                </c:pt>
                <c:pt idx="18">
                  <c:v>40.073999999999998</c:v>
                </c:pt>
                <c:pt idx="19">
                  <c:v>41.578000000000003</c:v>
                </c:pt>
                <c:pt idx="20">
                  <c:v>43.142000000000003</c:v>
                </c:pt>
                <c:pt idx="21">
                  <c:v>44.774000000000001</c:v>
                </c:pt>
                <c:pt idx="22">
                  <c:v>46.481999999999999</c:v>
                </c:pt>
                <c:pt idx="23">
                  <c:v>48.274999999999999</c:v>
                </c:pt>
                <c:pt idx="24">
                  <c:v>50.161999999999999</c:v>
                </c:pt>
                <c:pt idx="25">
                  <c:v>42.651000000000003</c:v>
                </c:pt>
                <c:pt idx="26">
                  <c:v>45.191000000000003</c:v>
                </c:pt>
                <c:pt idx="27">
                  <c:v>47.875</c:v>
                </c:pt>
                <c:pt idx="28">
                  <c:v>50.764000000000003</c:v>
                </c:pt>
                <c:pt idx="29">
                  <c:v>53.94</c:v>
                </c:pt>
                <c:pt idx="30">
                  <c:v>57.521000000000001</c:v>
                </c:pt>
                <c:pt idx="31">
                  <c:v>61.668999999999997</c:v>
                </c:pt>
                <c:pt idx="32">
                  <c:v>66.603999999999999</c:v>
                </c:pt>
                <c:pt idx="33">
                  <c:v>72.631</c:v>
                </c:pt>
              </c:numCache>
            </c:numRef>
          </c:xVal>
          <c:yVal>
            <c:numRef>
              <c:f>Лист1!$N$54:$N$87</c:f>
              <c:numCache>
                <c:formatCode>General</c:formatCode>
                <c:ptCount val="34"/>
                <c:pt idx="0">
                  <c:v>0</c:v>
                </c:pt>
                <c:pt idx="1">
                  <c:v>41.667000000000002</c:v>
                </c:pt>
                <c:pt idx="2">
                  <c:v>83.332999999999998</c:v>
                </c:pt>
                <c:pt idx="3">
                  <c:v>125</c:v>
                </c:pt>
                <c:pt idx="4">
                  <c:v>166.667</c:v>
                </c:pt>
                <c:pt idx="5">
                  <c:v>208.333</c:v>
                </c:pt>
                <c:pt idx="6">
                  <c:v>250</c:v>
                </c:pt>
                <c:pt idx="7">
                  <c:v>291.66699999999997</c:v>
                </c:pt>
                <c:pt idx="8">
                  <c:v>333.33300000000003</c:v>
                </c:pt>
                <c:pt idx="9">
                  <c:v>375</c:v>
                </c:pt>
                <c:pt idx="10">
                  <c:v>416.66699999999997</c:v>
                </c:pt>
                <c:pt idx="11">
                  <c:v>458.33300000000003</c:v>
                </c:pt>
                <c:pt idx="12">
                  <c:v>500</c:v>
                </c:pt>
                <c:pt idx="13">
                  <c:v>541.66700000000003</c:v>
                </c:pt>
                <c:pt idx="14">
                  <c:v>583.33299999999997</c:v>
                </c:pt>
                <c:pt idx="15">
                  <c:v>625</c:v>
                </c:pt>
                <c:pt idx="16">
                  <c:v>666.66700000000003</c:v>
                </c:pt>
                <c:pt idx="17">
                  <c:v>708.33299999999997</c:v>
                </c:pt>
                <c:pt idx="18">
                  <c:v>750</c:v>
                </c:pt>
                <c:pt idx="19">
                  <c:v>791.66700000000003</c:v>
                </c:pt>
                <c:pt idx="20">
                  <c:v>833.33299999999997</c:v>
                </c:pt>
                <c:pt idx="21">
                  <c:v>875</c:v>
                </c:pt>
                <c:pt idx="22">
                  <c:v>916.66700000000003</c:v>
                </c:pt>
                <c:pt idx="23">
                  <c:v>958.33299999999997</c:v>
                </c:pt>
                <c:pt idx="24">
                  <c:v>1000</c:v>
                </c:pt>
                <c:pt idx="25">
                  <c:v>1012.5</c:v>
                </c:pt>
                <c:pt idx="26">
                  <c:v>1066.6669999999999</c:v>
                </c:pt>
                <c:pt idx="27">
                  <c:v>1120.8330000000001</c:v>
                </c:pt>
                <c:pt idx="28">
                  <c:v>1175</c:v>
                </c:pt>
                <c:pt idx="29">
                  <c:v>1229.1669999999999</c:v>
                </c:pt>
                <c:pt idx="30">
                  <c:v>1283.3330000000001</c:v>
                </c:pt>
                <c:pt idx="31">
                  <c:v>1337.5</c:v>
                </c:pt>
                <c:pt idx="32">
                  <c:v>1391.6669999999999</c:v>
                </c:pt>
                <c:pt idx="33">
                  <c:v>1445.8330000000001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2EE-442B-B2AB-F7680B8B3BA8}"/>
            </c:ext>
          </c:extLst>
        </c:ser>
        <c:ser>
          <c:idx val="1"/>
          <c:order val="1"/>
          <c:tx>
            <c:v>temperature ambient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Лист1!$S$54:$S$87</c:f>
              <c:numCache>
                <c:formatCode>General</c:formatCode>
                <c:ptCount val="34"/>
                <c:pt idx="0">
                  <c:v>10</c:v>
                </c:pt>
                <c:pt idx="1">
                  <c:v>11.042</c:v>
                </c:pt>
                <c:pt idx="2">
                  <c:v>12.083</c:v>
                </c:pt>
                <c:pt idx="3">
                  <c:v>13.125</c:v>
                </c:pt>
                <c:pt idx="4">
                  <c:v>14.167</c:v>
                </c:pt>
                <c:pt idx="5">
                  <c:v>15.208</c:v>
                </c:pt>
                <c:pt idx="6">
                  <c:v>16.25</c:v>
                </c:pt>
                <c:pt idx="7">
                  <c:v>17.292000000000002</c:v>
                </c:pt>
                <c:pt idx="8">
                  <c:v>18.332999999999998</c:v>
                </c:pt>
                <c:pt idx="9">
                  <c:v>19.375</c:v>
                </c:pt>
                <c:pt idx="10">
                  <c:v>20.417000000000002</c:v>
                </c:pt>
                <c:pt idx="11">
                  <c:v>21.457999999999998</c:v>
                </c:pt>
                <c:pt idx="12">
                  <c:v>22.5</c:v>
                </c:pt>
                <c:pt idx="13">
                  <c:v>23.542000000000002</c:v>
                </c:pt>
                <c:pt idx="14">
                  <c:v>24.582999999999998</c:v>
                </c:pt>
                <c:pt idx="15">
                  <c:v>25.625</c:v>
                </c:pt>
                <c:pt idx="16">
                  <c:v>26.667000000000002</c:v>
                </c:pt>
                <c:pt idx="17">
                  <c:v>27.707999999999998</c:v>
                </c:pt>
                <c:pt idx="18">
                  <c:v>28.75</c:v>
                </c:pt>
                <c:pt idx="19">
                  <c:v>29.792000000000002</c:v>
                </c:pt>
                <c:pt idx="20">
                  <c:v>30.832999999999998</c:v>
                </c:pt>
                <c:pt idx="21">
                  <c:v>31.875</c:v>
                </c:pt>
                <c:pt idx="22">
                  <c:v>32.917000000000002</c:v>
                </c:pt>
                <c:pt idx="23">
                  <c:v>33.957999999999998</c:v>
                </c:pt>
                <c:pt idx="24">
                  <c:v>35</c:v>
                </c:pt>
                <c:pt idx="25">
                  <c:v>35.506</c:v>
                </c:pt>
                <c:pt idx="26">
                  <c:v>37.700000000000003</c:v>
                </c:pt>
                <c:pt idx="27">
                  <c:v>39.893999999999998</c:v>
                </c:pt>
                <c:pt idx="28">
                  <c:v>42.088000000000001</c:v>
                </c:pt>
                <c:pt idx="29">
                  <c:v>44.280999999999999</c:v>
                </c:pt>
                <c:pt idx="30">
                  <c:v>46.475000000000001</c:v>
                </c:pt>
                <c:pt idx="31">
                  <c:v>48.668999999999997</c:v>
                </c:pt>
                <c:pt idx="32">
                  <c:v>50.863</c:v>
                </c:pt>
                <c:pt idx="33">
                  <c:v>53.055999999999997</c:v>
                </c:pt>
              </c:numCache>
            </c:numRef>
          </c:xVal>
          <c:yVal>
            <c:numRef>
              <c:f>Лист1!$R$54:$R$87</c:f>
              <c:numCache>
                <c:formatCode>General</c:formatCode>
                <c:ptCount val="34"/>
                <c:pt idx="0">
                  <c:v>0</c:v>
                </c:pt>
                <c:pt idx="1">
                  <c:v>41.667000000000002</c:v>
                </c:pt>
                <c:pt idx="2">
                  <c:v>83.332999999999998</c:v>
                </c:pt>
                <c:pt idx="3">
                  <c:v>125</c:v>
                </c:pt>
                <c:pt idx="4">
                  <c:v>166.667</c:v>
                </c:pt>
                <c:pt idx="5">
                  <c:v>208.333</c:v>
                </c:pt>
                <c:pt idx="6">
                  <c:v>250</c:v>
                </c:pt>
                <c:pt idx="7">
                  <c:v>291.66699999999997</c:v>
                </c:pt>
                <c:pt idx="8">
                  <c:v>333.33300000000003</c:v>
                </c:pt>
                <c:pt idx="9">
                  <c:v>375</c:v>
                </c:pt>
                <c:pt idx="10">
                  <c:v>416.66699999999997</c:v>
                </c:pt>
                <c:pt idx="11">
                  <c:v>458.33300000000003</c:v>
                </c:pt>
                <c:pt idx="12">
                  <c:v>500</c:v>
                </c:pt>
                <c:pt idx="13">
                  <c:v>541.66700000000003</c:v>
                </c:pt>
                <c:pt idx="14">
                  <c:v>583.33299999999997</c:v>
                </c:pt>
                <c:pt idx="15">
                  <c:v>625</c:v>
                </c:pt>
                <c:pt idx="16">
                  <c:v>666.66700000000003</c:v>
                </c:pt>
                <c:pt idx="17">
                  <c:v>708.33299999999997</c:v>
                </c:pt>
                <c:pt idx="18">
                  <c:v>750</c:v>
                </c:pt>
                <c:pt idx="19">
                  <c:v>791.66700000000003</c:v>
                </c:pt>
                <c:pt idx="20">
                  <c:v>833.33299999999997</c:v>
                </c:pt>
                <c:pt idx="21">
                  <c:v>875</c:v>
                </c:pt>
                <c:pt idx="22">
                  <c:v>916.66700000000003</c:v>
                </c:pt>
                <c:pt idx="23">
                  <c:v>958.33299999999997</c:v>
                </c:pt>
                <c:pt idx="24">
                  <c:v>1000</c:v>
                </c:pt>
                <c:pt idx="25">
                  <c:v>1012.5</c:v>
                </c:pt>
                <c:pt idx="26">
                  <c:v>1066.6669999999999</c:v>
                </c:pt>
                <c:pt idx="27">
                  <c:v>1120.8330000000001</c:v>
                </c:pt>
                <c:pt idx="28">
                  <c:v>1175</c:v>
                </c:pt>
                <c:pt idx="29">
                  <c:v>1229.1669999999999</c:v>
                </c:pt>
                <c:pt idx="30">
                  <c:v>1283.3330000000001</c:v>
                </c:pt>
                <c:pt idx="31">
                  <c:v>1337.5</c:v>
                </c:pt>
                <c:pt idx="32">
                  <c:v>1391.6669999999999</c:v>
                </c:pt>
                <c:pt idx="33">
                  <c:v>1445.8330000000001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2EE-442B-B2AB-F7680B8B3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7364463"/>
        <c:axId val="847379823"/>
      </c:scatterChart>
      <c:valAx>
        <c:axId val="847364463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47379823"/>
        <c:crosses val="autoZero"/>
        <c:crossBetween val="midCat"/>
      </c:valAx>
      <c:valAx>
        <c:axId val="847379823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 vert,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473644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IPR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Лист1!$AC$7:$AC$26</c:f>
              <c:numCache>
                <c:formatCode>General</c:formatCode>
                <c:ptCount val="20"/>
                <c:pt idx="0">
                  <c:v>0</c:v>
                </c:pt>
                <c:pt idx="1">
                  <c:v>2.2000000000000002</c:v>
                </c:pt>
                <c:pt idx="2">
                  <c:v>4.5999999999999996</c:v>
                </c:pt>
                <c:pt idx="3">
                  <c:v>7</c:v>
                </c:pt>
                <c:pt idx="4">
                  <c:v>9.4</c:v>
                </c:pt>
                <c:pt idx="5">
                  <c:v>11.8</c:v>
                </c:pt>
                <c:pt idx="6">
                  <c:v>14.1</c:v>
                </c:pt>
                <c:pt idx="7">
                  <c:v>16.5</c:v>
                </c:pt>
                <c:pt idx="8">
                  <c:v>18.899999999999999</c:v>
                </c:pt>
                <c:pt idx="9">
                  <c:v>21.3</c:v>
                </c:pt>
                <c:pt idx="10">
                  <c:v>23.6</c:v>
                </c:pt>
                <c:pt idx="11">
                  <c:v>25.8</c:v>
                </c:pt>
                <c:pt idx="12">
                  <c:v>27.7</c:v>
                </c:pt>
                <c:pt idx="13">
                  <c:v>29.4</c:v>
                </c:pt>
                <c:pt idx="14">
                  <c:v>30.9</c:v>
                </c:pt>
                <c:pt idx="15">
                  <c:v>32.200000000000003</c:v>
                </c:pt>
                <c:pt idx="16">
                  <c:v>33.200000000000003</c:v>
                </c:pt>
                <c:pt idx="17">
                  <c:v>34.1</c:v>
                </c:pt>
                <c:pt idx="18">
                  <c:v>34.6</c:v>
                </c:pt>
                <c:pt idx="19">
                  <c:v>35</c:v>
                </c:pt>
              </c:numCache>
            </c:numRef>
          </c:xVal>
          <c:yVal>
            <c:numRef>
              <c:f>Лист1!$AD$7:$AD$26</c:f>
              <c:numCache>
                <c:formatCode>General</c:formatCode>
                <c:ptCount val="20"/>
                <c:pt idx="0">
                  <c:v>251</c:v>
                </c:pt>
                <c:pt idx="1">
                  <c:v>237.8</c:v>
                </c:pt>
                <c:pt idx="2">
                  <c:v>224.7</c:v>
                </c:pt>
                <c:pt idx="3">
                  <c:v>211.5</c:v>
                </c:pt>
                <c:pt idx="4">
                  <c:v>198.4</c:v>
                </c:pt>
                <c:pt idx="5">
                  <c:v>185.2</c:v>
                </c:pt>
                <c:pt idx="6">
                  <c:v>172.1</c:v>
                </c:pt>
                <c:pt idx="7">
                  <c:v>158.9</c:v>
                </c:pt>
                <c:pt idx="8">
                  <c:v>145.69999999999999</c:v>
                </c:pt>
                <c:pt idx="9">
                  <c:v>132.6</c:v>
                </c:pt>
                <c:pt idx="10">
                  <c:v>119.4</c:v>
                </c:pt>
                <c:pt idx="11">
                  <c:v>106.3</c:v>
                </c:pt>
                <c:pt idx="12">
                  <c:v>93.1</c:v>
                </c:pt>
                <c:pt idx="13">
                  <c:v>79.900000000000006</c:v>
                </c:pt>
                <c:pt idx="14">
                  <c:v>66.8</c:v>
                </c:pt>
                <c:pt idx="15">
                  <c:v>53.6</c:v>
                </c:pt>
                <c:pt idx="16">
                  <c:v>40.5</c:v>
                </c:pt>
                <c:pt idx="17">
                  <c:v>27.3</c:v>
                </c:pt>
                <c:pt idx="18">
                  <c:v>14.2</c:v>
                </c:pt>
                <c:pt idx="1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E4-41D4-B6AF-1CEEB8D5BBF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Лист1!$I$49</c:f>
              <c:numCache>
                <c:formatCode>General</c:formatCode>
                <c:ptCount val="1"/>
                <c:pt idx="0">
                  <c:v>31.5</c:v>
                </c:pt>
              </c:numCache>
            </c:numRef>
          </c:xVal>
          <c:yVal>
            <c:numRef>
              <c:f>Лист1!$F$6</c:f>
              <c:numCache>
                <c:formatCode>General</c:formatCode>
                <c:ptCount val="1"/>
                <c:pt idx="0">
                  <c:v>61.001679468486856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9E4-41D4-B6AF-1CEEB8D5B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9780383"/>
        <c:axId val="1049767423"/>
      </c:scatterChart>
      <c:valAx>
        <c:axId val="10497803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Qliq, sm3/day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49767423"/>
        <c:crosses val="autoZero"/>
        <c:crossBetween val="midCat"/>
      </c:valAx>
      <c:valAx>
        <c:axId val="104976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Pwf, atma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497803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IPR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Лист1!$AE$7:$AE$26</c:f>
              <c:numCache>
                <c:formatCode>General</c:formatCode>
                <c:ptCount val="20"/>
                <c:pt idx="0">
                  <c:v>0</c:v>
                </c:pt>
                <c:pt idx="1">
                  <c:v>2.2000000000000002</c:v>
                </c:pt>
                <c:pt idx="2">
                  <c:v>4.5999999999999996</c:v>
                </c:pt>
                <c:pt idx="3">
                  <c:v>7</c:v>
                </c:pt>
                <c:pt idx="4">
                  <c:v>9.4</c:v>
                </c:pt>
                <c:pt idx="5">
                  <c:v>11.8</c:v>
                </c:pt>
                <c:pt idx="6">
                  <c:v>14.1</c:v>
                </c:pt>
                <c:pt idx="7">
                  <c:v>16.5</c:v>
                </c:pt>
                <c:pt idx="8">
                  <c:v>18.899999999999999</c:v>
                </c:pt>
                <c:pt idx="9">
                  <c:v>21.3</c:v>
                </c:pt>
                <c:pt idx="10">
                  <c:v>23.6</c:v>
                </c:pt>
                <c:pt idx="11">
                  <c:v>25.8</c:v>
                </c:pt>
                <c:pt idx="12">
                  <c:v>27.7</c:v>
                </c:pt>
                <c:pt idx="13">
                  <c:v>29.4</c:v>
                </c:pt>
                <c:pt idx="14">
                  <c:v>30.9</c:v>
                </c:pt>
                <c:pt idx="15">
                  <c:v>32.200000000000003</c:v>
                </c:pt>
                <c:pt idx="16">
                  <c:v>33.200000000000003</c:v>
                </c:pt>
                <c:pt idx="17">
                  <c:v>34.1</c:v>
                </c:pt>
                <c:pt idx="18">
                  <c:v>34.6</c:v>
                </c:pt>
                <c:pt idx="19">
                  <c:v>35</c:v>
                </c:pt>
              </c:numCache>
            </c:numRef>
          </c:xVal>
          <c:yVal>
            <c:numRef>
              <c:f>Лист1!$AF$7:$AF$26</c:f>
              <c:numCache>
                <c:formatCode>General</c:formatCode>
                <c:ptCount val="20"/>
                <c:pt idx="0">
                  <c:v>80</c:v>
                </c:pt>
                <c:pt idx="1">
                  <c:v>80.5</c:v>
                </c:pt>
                <c:pt idx="2">
                  <c:v>81.099999999999994</c:v>
                </c:pt>
                <c:pt idx="3">
                  <c:v>81.7</c:v>
                </c:pt>
                <c:pt idx="4">
                  <c:v>82.3</c:v>
                </c:pt>
                <c:pt idx="5">
                  <c:v>82.8</c:v>
                </c:pt>
                <c:pt idx="6">
                  <c:v>83.4</c:v>
                </c:pt>
                <c:pt idx="7">
                  <c:v>84</c:v>
                </c:pt>
                <c:pt idx="8">
                  <c:v>84.6</c:v>
                </c:pt>
                <c:pt idx="9">
                  <c:v>85.2</c:v>
                </c:pt>
                <c:pt idx="10">
                  <c:v>85.5</c:v>
                </c:pt>
                <c:pt idx="11">
                  <c:v>85.5</c:v>
                </c:pt>
                <c:pt idx="12">
                  <c:v>85.5</c:v>
                </c:pt>
                <c:pt idx="13">
                  <c:v>85.5</c:v>
                </c:pt>
                <c:pt idx="14">
                  <c:v>85.4</c:v>
                </c:pt>
                <c:pt idx="15">
                  <c:v>85.2</c:v>
                </c:pt>
                <c:pt idx="16">
                  <c:v>85.2</c:v>
                </c:pt>
                <c:pt idx="17">
                  <c:v>85.1</c:v>
                </c:pt>
                <c:pt idx="18">
                  <c:v>85.1</c:v>
                </c:pt>
                <c:pt idx="19">
                  <c:v>85.1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6E-46DC-A727-FB67C1326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9769343"/>
        <c:axId val="1049765503"/>
      </c:scatterChart>
      <c:valAx>
        <c:axId val="10497693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Qliq, sm3/day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49765503"/>
        <c:crosses val="autoZero"/>
        <c:crossBetween val="midCat"/>
      </c:valAx>
      <c:valAx>
        <c:axId val="1049765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 fluid, 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497693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114300</xdr:colOff>
      <xdr:row>21</xdr:row>
      <xdr:rowOff>152400</xdr:rowOff>
    </xdr:from>
    <xdr:to>
      <xdr:col>14</xdr:col>
      <xdr:colOff>114300</xdr:colOff>
      <xdr:row>46</xdr:row>
      <xdr:rowOff>152400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AB741290-B100-612E-75AD-D8BDA559FC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114300</xdr:colOff>
      <xdr:row>21</xdr:row>
      <xdr:rowOff>161925</xdr:rowOff>
    </xdr:from>
    <xdr:to>
      <xdr:col>20</xdr:col>
      <xdr:colOff>323850</xdr:colOff>
      <xdr:row>46</xdr:row>
      <xdr:rowOff>161925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E978E5B2-8FBD-8596-9546-B4E34E0C9C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4</xdr:row>
          <xdr:rowOff>161925</xdr:rowOff>
        </xdr:from>
        <xdr:to>
          <xdr:col>7</xdr:col>
          <xdr:colOff>866775</xdr:colOff>
          <xdr:row>7</xdr:row>
          <xdr:rowOff>95250</xdr:rowOff>
        </xdr:to>
        <xdr:sp macro="" textlink="">
          <xdr:nvSpPr>
            <xdr:cNvPr id="1128" name="Button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ptos Narrow"/>
                </a:rPr>
                <a:t>Подобрать Рзаб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47625</xdr:colOff>
      <xdr:row>23</xdr:row>
      <xdr:rowOff>171449</xdr:rowOff>
    </xdr:from>
    <xdr:to>
      <xdr:col>28</xdr:col>
      <xdr:colOff>600075</xdr:colOff>
      <xdr:row>46</xdr:row>
      <xdr:rowOff>28574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A783B708-1EDA-4BCD-AA06-AF87413B6B4B}"/>
            </a:ext>
          </a:extLst>
        </xdr:cNvPr>
        <xdr:cNvSpPr txBox="1"/>
      </xdr:nvSpPr>
      <xdr:spPr>
        <a:xfrm>
          <a:off x="15821025" y="4552949"/>
          <a:ext cx="5943600" cy="423862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Вопросы</a:t>
          </a:r>
        </a:p>
        <a:p>
          <a:r>
            <a:rPr lang="ru-RU" sz="1100"/>
            <a:t>1. Подберите наилучший</a:t>
          </a:r>
          <a:r>
            <a:rPr lang="ru-RU" sz="1100" baseline="0"/>
            <a:t> насос под скважинные условия.</a:t>
          </a:r>
          <a:endParaRPr lang="en-US" sz="1100" baseline="0"/>
        </a:p>
        <a:p>
          <a:r>
            <a:rPr lang="en-US" sz="1100" baseline="0"/>
            <a:t>2. </a:t>
          </a:r>
          <a:r>
            <a:rPr lang="ru-RU" sz="1100" baseline="0"/>
            <a:t>Объясните все графики на листе</a:t>
          </a:r>
        </a:p>
        <a:p>
          <a:r>
            <a:rPr lang="ru-RU" sz="1100" baseline="0"/>
            <a:t>3. Сравните постоянный режим работы  и периодический (установите </a:t>
          </a:r>
          <a:r>
            <a:rPr lang="en-US" sz="1100" baseline="0"/>
            <a:t>pkv_ratio</a:t>
          </a:r>
          <a:r>
            <a:rPr lang="ru-RU" sz="1100" baseline="0"/>
            <a:t> от 0 до 1). Подберите наилучший насос с учетом возможностей периодического режима работы.</a:t>
          </a:r>
          <a:endParaRPr lang="ru-RU" sz="1100"/>
        </a:p>
        <a:p>
          <a:endParaRPr lang="ru-RU" sz="1100"/>
        </a:p>
        <a:p>
          <a:r>
            <a:rPr lang="ru-RU" sz="1100"/>
            <a:t>Постройте графики</a:t>
          </a:r>
        </a:p>
        <a:p>
          <a:r>
            <a:rPr lang="ru-RU" sz="1100"/>
            <a:t>1. Зависимости КПД УЭЦН от  разных параметров (коэффициента сепарации, глубины спуска,</a:t>
          </a:r>
          <a:r>
            <a:rPr lang="ru-RU" sz="1100" baseline="0"/>
            <a:t> частоты и пр</a:t>
          </a:r>
          <a:r>
            <a:rPr lang="ru-RU" sz="1100"/>
            <a:t>). Что сильнее влияет на КПД?</a:t>
          </a:r>
        </a:p>
        <a:p>
          <a:r>
            <a:rPr lang="ru-RU" sz="1100"/>
            <a:t>2. Постройте</a:t>
          </a:r>
          <a:r>
            <a:rPr lang="ru-RU" sz="1100" baseline="0"/>
            <a:t> графики узлового анализа</a:t>
          </a:r>
          <a:endParaRPr lang="ru-RU" sz="1100"/>
        </a:p>
        <a:p>
          <a:endParaRPr lang="ru-RU" sz="1100"/>
        </a:p>
        <a:p>
          <a:endParaRPr lang="ru-RU" sz="1100" baseline="0"/>
        </a:p>
      </xdr:txBody>
    </xdr:sp>
    <xdr:clientData/>
  </xdr:twoCellAnchor>
  <xdr:twoCellAnchor>
    <xdr:from>
      <xdr:col>24</xdr:col>
      <xdr:colOff>497541</xdr:colOff>
      <xdr:row>6</xdr:row>
      <xdr:rowOff>15687</xdr:rowOff>
    </xdr:from>
    <xdr:to>
      <xdr:col>32</xdr:col>
      <xdr:colOff>101974</xdr:colOff>
      <xdr:row>16</xdr:row>
      <xdr:rowOff>139512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172E5E74-7CD5-C29F-F103-4935A5503C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291353</xdr:colOff>
      <xdr:row>5</xdr:row>
      <xdr:rowOff>168088</xdr:rowOff>
    </xdr:from>
    <xdr:to>
      <xdr:col>38</xdr:col>
      <xdr:colOff>526676</xdr:colOff>
      <xdr:row>17</xdr:row>
      <xdr:rowOff>11206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952AFE67-F857-3228-3A78-C6794D0503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unifloc\unifloc_vba\UniflocVBA_7.xlam" TargetMode="External"/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fo"/>
    </sheetNames>
    <definedNames>
      <definedName name="decode_json"/>
      <definedName name="decode_json_crv"/>
      <definedName name="encode_ESP_pump"/>
      <definedName name="encode_feed"/>
      <definedName name="encode_ipr"/>
      <definedName name="encode_json"/>
      <definedName name="encode_pipe_diam"/>
      <definedName name="encode_pipe_trajectory"/>
      <definedName name="encode_PVT"/>
      <definedName name="encode_t_model"/>
      <definedName name="ESP_calc_stages_num"/>
      <definedName name="ESP_id_by_rate"/>
      <definedName name="IPR_crv"/>
      <definedName name="IPR_pi_sm3dayatm"/>
      <definedName name="well_calc_from_pwf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4C370-B6C9-4551-91E3-C772DF2562B7}">
  <sheetPr codeName="Лист1"/>
  <dimension ref="B2:AF87"/>
  <sheetViews>
    <sheetView tabSelected="1" zoomScale="85" zoomScaleNormal="85" workbookViewId="0">
      <selection activeCell="F39" sqref="F39"/>
    </sheetView>
  </sheetViews>
  <sheetFormatPr defaultRowHeight="15" x14ac:dyDescent="0.25"/>
  <cols>
    <col min="2" max="2" width="19" customWidth="1"/>
    <col min="5" max="5" width="17.28515625" customWidth="1"/>
    <col min="6" max="6" width="12" customWidth="1"/>
    <col min="7" max="7" width="9.85546875" customWidth="1"/>
    <col min="8" max="8" width="16.140625" customWidth="1"/>
    <col min="9" max="10" width="12.5703125" customWidth="1"/>
    <col min="12" max="12" width="14" customWidth="1"/>
    <col min="13" max="13" width="10" customWidth="1"/>
    <col min="15" max="15" width="12.5703125" customWidth="1"/>
    <col min="22" max="22" width="26" customWidth="1"/>
  </cols>
  <sheetData>
    <row r="2" spans="2:32" x14ac:dyDescent="0.25">
      <c r="B2" t="s">
        <v>0</v>
      </c>
      <c r="E2" t="s">
        <v>17</v>
      </c>
      <c r="I2" t="s">
        <v>20</v>
      </c>
      <c r="V2" t="s">
        <v>28</v>
      </c>
    </row>
    <row r="4" spans="2:32" x14ac:dyDescent="0.25">
      <c r="B4" s="1" t="s">
        <v>1</v>
      </c>
      <c r="C4" s="2">
        <v>0.6</v>
      </c>
      <c r="E4" t="s">
        <v>18</v>
      </c>
      <c r="F4">
        <v>10</v>
      </c>
      <c r="I4" s="1" t="s">
        <v>21</v>
      </c>
      <c r="J4" s="3" t="str">
        <f>[1]!encode_pipe_trajectory(I7:J10)</f>
        <v>{"hmes_m":[0,1000,2000,2500],"hvert_m":[0,1000,1900,2300]}</v>
      </c>
      <c r="K4" t="s">
        <v>16</v>
      </c>
      <c r="L4" s="1" t="s">
        <v>27</v>
      </c>
      <c r="M4" s="3" t="str">
        <f>[1]!encode_pipe_diam(L7:M10,M5)</f>
        <v>{"diam_list_mm":{"hmes_m":[0,500,2100],"diam_int_mm":[62,62,62]},"roughness_m":0.0001}</v>
      </c>
      <c r="N4" t="s">
        <v>16</v>
      </c>
      <c r="O4" s="1" t="s">
        <v>27</v>
      </c>
      <c r="P4" s="3" t="str">
        <f>[1]!encode_pipe_diam(O7:P10,P5)</f>
        <v>{"diam_list_mm":{"hmes_m":[0,500,2100],"diam_int_mm":[135,135,135]},"roughness_m":0.0001}</v>
      </c>
      <c r="Q4" t="s">
        <v>16</v>
      </c>
      <c r="V4" s="1" t="s">
        <v>29</v>
      </c>
      <c r="W4" s="2">
        <v>2</v>
      </c>
      <c r="Z4" t="s">
        <v>85</v>
      </c>
      <c r="AC4" s="1" t="s">
        <v>86</v>
      </c>
      <c r="AD4" s="4" t="str">
        <f>IPR_json</f>
        <v>{"model":"Vogel","p_res_atma":250,"t_res_C":80,"pi_sm3dayatm":0.18146,"feed":{"gamma_gas":0.6,"gamma_oil":0.86,"gamma_wat":1.1,"rsb_m3m3":120,"pb_atma":130,"t_res_C":80,"bob_m3m3":1.2,"muob_cP":0.6,"PVT_corr_set":0,"q_liq_sm3day":30,"fw_perc":10,"rp_m3m3":120}}</v>
      </c>
      <c r="AE4" t="s">
        <v>16</v>
      </c>
    </row>
    <row r="5" spans="2:32" x14ac:dyDescent="0.25">
      <c r="B5" s="1" t="s">
        <v>2</v>
      </c>
      <c r="C5" s="2">
        <v>0.86</v>
      </c>
      <c r="E5" t="s">
        <v>19</v>
      </c>
      <c r="F5">
        <v>12</v>
      </c>
      <c r="I5" s="1" t="s">
        <v>21</v>
      </c>
      <c r="J5" s="1"/>
      <c r="L5" s="1" t="s">
        <v>24</v>
      </c>
      <c r="M5" s="2">
        <v>1E-4</v>
      </c>
      <c r="O5" s="1" t="s">
        <v>24</v>
      </c>
      <c r="P5" s="2">
        <v>1E-4</v>
      </c>
      <c r="V5" s="1" t="s">
        <v>30</v>
      </c>
      <c r="W5" s="2">
        <v>15</v>
      </c>
      <c r="AC5" s="1" t="s">
        <v>87</v>
      </c>
      <c r="AD5" s="4" t="str">
        <f>[1]!IPR_crv($AD$4)</f>
        <v>{"pcrv":{"curve_x":"q_liq (IPR)","curve_y":"p_wf (IPR)","q_liq (IPR)":[0,2.2,4.6,7,9.4,11.8,14.1,16.5,18.9,21.3,23.6,25.8,27.7,29.4,30.9,32.2,33.2,34.1,34.6,35],"p_wf (IPR)":[251,237.8,224.7,211.5,198.4,185.2,172.1,158.9,145.7,132.6,119.4,106.3,93.1,79.9,66.8,53.6,40.5,27.3,14.2,1]},"tcrv":{"curve_x":"q_liq (IPR)","curve_y":"t_fluid (IPR)","q_liq (IPR)":[0,2.2,4.6,7,9.4,11.8,14.1,16.5,18.9,21.3,23.6,25.8,27.7,29.4,30.9,32.2,33.2,34.1,34.6,35],"t_fluid (IPR)":[80,80.5,81.1,81.7,82.3,82.8,83.4,84,84.6,85.2,85.5,85.5,85.5,85.5,85.4,85.2,85.2,85.1,85.1,85.1]}}</v>
      </c>
      <c r="AE5" t="s">
        <v>16</v>
      </c>
    </row>
    <row r="6" spans="2:32" x14ac:dyDescent="0.25">
      <c r="B6" s="1" t="s">
        <v>3</v>
      </c>
      <c r="C6" s="2">
        <v>1.1000000000000001</v>
      </c>
      <c r="E6" t="s">
        <v>78</v>
      </c>
      <c r="F6">
        <v>61.001679468486856</v>
      </c>
      <c r="I6" s="1" t="s">
        <v>22</v>
      </c>
      <c r="J6" s="1" t="s">
        <v>23</v>
      </c>
      <c r="L6" s="1" t="s">
        <v>25</v>
      </c>
      <c r="M6" s="1"/>
      <c r="O6" s="1" t="s">
        <v>25</v>
      </c>
      <c r="P6" s="1"/>
      <c r="V6" s="1" t="s">
        <v>31</v>
      </c>
      <c r="W6" s="2">
        <v>80</v>
      </c>
      <c r="Z6" s="1" t="s">
        <v>80</v>
      </c>
      <c r="AA6" s="2">
        <v>250</v>
      </c>
      <c r="AC6" s="8" t="str">
        <f t="array" ref="AC6:AD26">[1]!decode_json_crv([1]!decode_json($AD$5,,"pcrv",1))</f>
        <v>q_liq (IPR)</v>
      </c>
      <c r="AD6" s="8" t="str">
        <v>p_wf (IPR)</v>
      </c>
      <c r="AE6" s="8" t="str">
        <f t="array" ref="AE6:AF26">[1]!decode_json_crv([1]!decode_json($AD$5,,"tcrv",1))</f>
        <v>q_liq (IPR)</v>
      </c>
      <c r="AF6" s="8" t="str">
        <v>t_fluid (IPR)</v>
      </c>
    </row>
    <row r="7" spans="2:32" x14ac:dyDescent="0.25">
      <c r="B7" s="1" t="s">
        <v>4</v>
      </c>
      <c r="C7" s="2">
        <v>120</v>
      </c>
      <c r="I7" s="2">
        <v>0</v>
      </c>
      <c r="J7" s="2">
        <v>0</v>
      </c>
      <c r="L7" s="1" t="s">
        <v>22</v>
      </c>
      <c r="M7" s="1" t="s">
        <v>26</v>
      </c>
      <c r="O7" s="1" t="s">
        <v>22</v>
      </c>
      <c r="P7" s="1" t="s">
        <v>26</v>
      </c>
      <c r="T7" t="s">
        <v>16</v>
      </c>
      <c r="V7" s="1" t="s">
        <v>32</v>
      </c>
      <c r="W7" s="2">
        <v>2.4251999999999998</v>
      </c>
      <c r="Z7" s="1" t="s">
        <v>81</v>
      </c>
      <c r="AA7" s="2">
        <v>30</v>
      </c>
      <c r="AC7" s="8">
        <v>0</v>
      </c>
      <c r="AD7" s="8">
        <v>251</v>
      </c>
      <c r="AE7" s="8">
        <v>0</v>
      </c>
      <c r="AF7" s="8">
        <v>80</v>
      </c>
    </row>
    <row r="8" spans="2:32" x14ac:dyDescent="0.25">
      <c r="B8" s="1" t="s">
        <v>5</v>
      </c>
      <c r="C8" s="2">
        <v>130</v>
      </c>
      <c r="I8" s="2">
        <v>1000</v>
      </c>
      <c r="J8" s="2">
        <v>1000</v>
      </c>
      <c r="L8" s="2">
        <v>0</v>
      </c>
      <c r="M8" s="2">
        <v>62</v>
      </c>
      <c r="O8" s="2">
        <v>0</v>
      </c>
      <c r="P8" s="2">
        <v>135</v>
      </c>
      <c r="V8" s="1" t="s">
        <v>33</v>
      </c>
      <c r="W8" s="2">
        <v>200</v>
      </c>
      <c r="Z8" s="1" t="s">
        <v>82</v>
      </c>
      <c r="AA8" s="2">
        <v>75</v>
      </c>
      <c r="AC8" s="8">
        <v>2.2000000000000002</v>
      </c>
      <c r="AD8" s="8">
        <v>237.8</v>
      </c>
      <c r="AE8" s="8">
        <v>2.2000000000000002</v>
      </c>
      <c r="AF8" s="8">
        <v>80.5</v>
      </c>
    </row>
    <row r="9" spans="2:32" x14ac:dyDescent="0.25">
      <c r="B9" s="1" t="s">
        <v>6</v>
      </c>
      <c r="C9" s="2">
        <v>80</v>
      </c>
      <c r="I9" s="2">
        <v>2000</v>
      </c>
      <c r="J9" s="2">
        <v>1900</v>
      </c>
      <c r="L9" s="2">
        <v>500</v>
      </c>
      <c r="M9" s="2">
        <f>M8</f>
        <v>62</v>
      </c>
      <c r="O9" s="2">
        <v>500</v>
      </c>
      <c r="P9" s="2">
        <f>P8</f>
        <v>135</v>
      </c>
      <c r="T9" t="s">
        <v>16</v>
      </c>
      <c r="V9" s="1" t="s">
        <v>34</v>
      </c>
      <c r="W9" s="2">
        <v>6.9649999999999999</v>
      </c>
      <c r="Z9" s="1" t="s">
        <v>83</v>
      </c>
      <c r="AA9" s="4" t="str">
        <f>feed_json</f>
        <v>{"gamma_gas":0.6,"gamma_oil":0.86,"gamma_wat":1.1,"rsb_m3m3":120,"pb_atma":130,"t_res_C":80,"bob_m3m3":1.2,"muob_cP":0.6,"PVT_corr_set":0,"q_liq_sm3day":30,"fw_perc":10,"rp_m3m3":120}</v>
      </c>
      <c r="AC9" s="8">
        <v>4.5999999999999996</v>
      </c>
      <c r="AD9" s="8">
        <v>224.7</v>
      </c>
      <c r="AE9" s="8">
        <v>4.5999999999999996</v>
      </c>
      <c r="AF9" s="8">
        <v>81.099999999999994</v>
      </c>
    </row>
    <row r="10" spans="2:32" x14ac:dyDescent="0.25">
      <c r="B10" s="1" t="s">
        <v>7</v>
      </c>
      <c r="C10" s="2">
        <v>1.2</v>
      </c>
      <c r="I10" s="2">
        <v>2500</v>
      </c>
      <c r="J10" s="2">
        <v>2300</v>
      </c>
      <c r="L10" s="2">
        <v>2100</v>
      </c>
      <c r="M10" s="2">
        <f>M8</f>
        <v>62</v>
      </c>
      <c r="O10" s="2">
        <v>2100</v>
      </c>
      <c r="P10" s="2">
        <f>P8</f>
        <v>135</v>
      </c>
      <c r="V10" s="1" t="s">
        <v>35</v>
      </c>
      <c r="W10" s="2">
        <v>32</v>
      </c>
      <c r="Z10" s="1" t="s">
        <v>84</v>
      </c>
      <c r="AA10" s="4">
        <f>[1]!IPR_pi_sm3dayatm(AA11, AA7, AA8)</f>
        <v>0.18146086666234523</v>
      </c>
      <c r="AC10" s="8">
        <v>7</v>
      </c>
      <c r="AD10" s="8">
        <v>211.5</v>
      </c>
      <c r="AE10" s="8">
        <v>7</v>
      </c>
      <c r="AF10" s="8">
        <v>81.7</v>
      </c>
    </row>
    <row r="11" spans="2:32" x14ac:dyDescent="0.25">
      <c r="B11" s="1" t="s">
        <v>8</v>
      </c>
      <c r="C11" s="2">
        <v>0.6</v>
      </c>
      <c r="V11" s="1" t="s">
        <v>36</v>
      </c>
      <c r="W11" s="2">
        <v>32</v>
      </c>
      <c r="Z11" s="1" t="s">
        <v>85</v>
      </c>
      <c r="AA11" s="3" t="str">
        <f>[1]!encode_ipr(AA6, AA7, AA8,,AA9)</f>
        <v>{"model":"Vogel","p_res_atma":250,"t_res_C":80,"pi_sm3dayatm":0.18146,"feed":{"gamma_gas":0.6,"gamma_oil":0.86,"gamma_wat":1.1,"rsb_m3m3":120,"pb_atma":130,"t_res_C":80,"bob_m3m3":1.2,"muob_cP":0.6,"PVT_corr_set":0,"q_liq_sm3day":30,"fw_perc":10,"rp_m3m3":120}}</v>
      </c>
      <c r="AC11" s="8">
        <v>9.4</v>
      </c>
      <c r="AD11" s="8">
        <v>198.4</v>
      </c>
      <c r="AE11" s="8">
        <v>9.4</v>
      </c>
      <c r="AF11" s="8">
        <v>82.3</v>
      </c>
    </row>
    <row r="12" spans="2:32" x14ac:dyDescent="0.25">
      <c r="B12" s="1" t="s">
        <v>9</v>
      </c>
      <c r="C12" s="2">
        <v>0</v>
      </c>
      <c r="V12" s="1" t="s">
        <v>37</v>
      </c>
      <c r="W12" s="2">
        <v>200</v>
      </c>
      <c r="AC12" s="8">
        <v>11.8</v>
      </c>
      <c r="AD12" s="8">
        <v>185.2</v>
      </c>
      <c r="AE12" s="8">
        <v>11.8</v>
      </c>
      <c r="AF12" s="8">
        <v>82.8</v>
      </c>
    </row>
    <row r="13" spans="2:32" x14ac:dyDescent="0.25">
      <c r="B13" s="1" t="s">
        <v>10</v>
      </c>
      <c r="C13" s="3" t="str">
        <f>[1]!encode_PVT(C4,C5,C6,C7,C8,C9,C10,C11,C12)</f>
        <v>{"gamma_gas":0.6,"gamma_oil":0.86,"gamma_wat":1.1,"rsb_m3m3":120,"pb_atma":130,"t_res_C":80,"bob_m3m3":1.2,"muob_cP":0.6,"PVT_corr_set":0}</v>
      </c>
      <c r="D13" t="s">
        <v>16</v>
      </c>
      <c r="V13" s="1" t="s">
        <v>38</v>
      </c>
      <c r="W13" s="2">
        <v>10</v>
      </c>
      <c r="AC13" s="8">
        <v>14.1</v>
      </c>
      <c r="AD13" s="8">
        <v>172.1</v>
      </c>
      <c r="AE13" s="8">
        <v>14.1</v>
      </c>
      <c r="AF13" s="8">
        <v>83.4</v>
      </c>
    </row>
    <row r="14" spans="2:32" x14ac:dyDescent="0.25">
      <c r="B14" s="1" t="s">
        <v>11</v>
      </c>
      <c r="C14" s="2">
        <v>30</v>
      </c>
      <c r="V14" s="1" t="s">
        <v>39</v>
      </c>
      <c r="W14" s="2">
        <v>200</v>
      </c>
      <c r="AC14" s="8">
        <v>16.5</v>
      </c>
      <c r="AD14" s="8">
        <v>158.9</v>
      </c>
      <c r="AE14" s="8">
        <v>16.5</v>
      </c>
      <c r="AF14" s="8">
        <v>84</v>
      </c>
    </row>
    <row r="15" spans="2:32" x14ac:dyDescent="0.25">
      <c r="B15" s="1" t="s">
        <v>12</v>
      </c>
      <c r="C15" s="2">
        <v>10</v>
      </c>
      <c r="Q15" t="s">
        <v>16</v>
      </c>
      <c r="V15" s="1" t="s">
        <v>40</v>
      </c>
      <c r="W15" s="2">
        <v>240</v>
      </c>
      <c r="AC15" s="8">
        <v>18.899999999999999</v>
      </c>
      <c r="AD15" s="8">
        <v>145.69999999999999</v>
      </c>
      <c r="AE15" s="8">
        <v>18.899999999999999</v>
      </c>
      <c r="AF15" s="8">
        <v>84.6</v>
      </c>
    </row>
    <row r="16" spans="2:32" x14ac:dyDescent="0.25">
      <c r="B16" s="1" t="s">
        <v>13</v>
      </c>
      <c r="C16" s="2">
        <v>120</v>
      </c>
      <c r="V16" s="1" t="s">
        <v>41</v>
      </c>
      <c r="W16" s="4" t="str">
        <f>[1]!encode_json(V7:W15)</f>
        <v>{"thermal_conductivity_formation_WmC":2.4252,"specific_heat_capacity_formation_JkgC":200,"thermal_conductivity_cement_WmC":6.965,"thermal_conductivity_tubing_WmC":32,"thermal_conductivity_casing_WmC":32,"heat_transfer_casing_liquid_Wm2C":200,"heat_transfer_casing_gas_Wm2C":10,"heat_transfer_fluid_convection_Wm2C ":200,"time_calc_hr":240}</v>
      </c>
      <c r="X16" t="s">
        <v>16</v>
      </c>
      <c r="AC16" s="8">
        <v>21.3</v>
      </c>
      <c r="AD16" s="8">
        <v>132.6</v>
      </c>
      <c r="AE16" s="8">
        <v>21.3</v>
      </c>
      <c r="AF16" s="8">
        <v>85.2</v>
      </c>
    </row>
    <row r="17" spans="2:32" x14ac:dyDescent="0.25">
      <c r="B17" s="1" t="s">
        <v>14</v>
      </c>
      <c r="C17" s="2">
        <v>0</v>
      </c>
      <c r="V17" s="1" t="s">
        <v>42</v>
      </c>
      <c r="W17" s="3" t="str">
        <f>[1]!encode_t_model(W4,V20:W23,W5,W6,W16)</f>
        <v>{"t_model":2,"thermal_conductivity_formation_WmC":2.4252,"specific_heat_capacity_formation_JkgC":200,"thermal_conductivity_cement_WmC":6.965,"thermal_conductivity_tubing_WmC":32,"thermal_conductivity_casing_WmC":32,"heat_transfer_casing_liquid_Wm2C":200,"heat_transfer_casing_gas_Wm2C":10,"heat_transfer_fluid_convection_Wm2C ":200,"time_calc_hr":240,"t_list_C":{"hvert_m":[0,1000,2000,2500],"t_C":[10,35,80,90]}}</v>
      </c>
      <c r="X17" t="s">
        <v>16</v>
      </c>
      <c r="AC17" s="8">
        <v>23.6</v>
      </c>
      <c r="AD17" s="8">
        <v>119.4</v>
      </c>
      <c r="AE17" s="8">
        <v>23.6</v>
      </c>
      <c r="AF17" s="8">
        <v>85.5</v>
      </c>
    </row>
    <row r="18" spans="2:32" x14ac:dyDescent="0.25">
      <c r="B18" s="1" t="s">
        <v>15</v>
      </c>
      <c r="C18" s="3" t="str">
        <f>[1]!encode_feed(C14,C15,C16,C17,C13)</f>
        <v>{"gamma_gas":0.6,"gamma_oil":0.86,"gamma_wat":1.1,"rsb_m3m3":120,"pb_atma":130,"t_res_C":80,"bob_m3m3":1.2,"muob_cP":0.6,"PVT_corr_set":0,"q_liq_sm3day":30,"fw_perc":10,"rp_m3m3":120}</v>
      </c>
      <c r="D18" t="s">
        <v>16</v>
      </c>
      <c r="E18" t="s">
        <v>79</v>
      </c>
      <c r="V18" s="1" t="s">
        <v>43</v>
      </c>
      <c r="W18" s="1"/>
      <c r="AC18" s="8">
        <v>25.8</v>
      </c>
      <c r="AD18" s="8">
        <v>106.3</v>
      </c>
      <c r="AE18" s="8">
        <v>25.8</v>
      </c>
      <c r="AF18" s="8">
        <v>85.5</v>
      </c>
    </row>
    <row r="19" spans="2:32" x14ac:dyDescent="0.25">
      <c r="E19" t="s">
        <v>18</v>
      </c>
      <c r="F19">
        <f>Рбуф-p_buf_atma</f>
        <v>0</v>
      </c>
      <c r="V19" s="1" t="s">
        <v>23</v>
      </c>
      <c r="W19" s="2" t="s">
        <v>44</v>
      </c>
      <c r="AC19" s="8">
        <v>27.7</v>
      </c>
      <c r="AD19" s="8">
        <v>93.1</v>
      </c>
      <c r="AE19" s="8">
        <v>27.7</v>
      </c>
      <c r="AF19" s="8">
        <v>85.5</v>
      </c>
    </row>
    <row r="20" spans="2:32" x14ac:dyDescent="0.25">
      <c r="E20" t="s">
        <v>19</v>
      </c>
      <c r="F20">
        <f>Рзатр-p_cas_atma</f>
        <v>0</v>
      </c>
      <c r="V20" s="2">
        <v>0</v>
      </c>
      <c r="W20" s="2">
        <v>10</v>
      </c>
      <c r="AC20" s="8">
        <v>29.4</v>
      </c>
      <c r="AD20" s="8">
        <v>79.900000000000006</v>
      </c>
      <c r="AE20" s="8">
        <v>29.4</v>
      </c>
      <c r="AF20" s="8">
        <v>85.5</v>
      </c>
    </row>
    <row r="21" spans="2:32" x14ac:dyDescent="0.25">
      <c r="V21" s="2">
        <v>1000</v>
      </c>
      <c r="W21" s="2">
        <v>35</v>
      </c>
      <c r="AC21" s="8">
        <v>30.9</v>
      </c>
      <c r="AD21" s="8">
        <v>66.8</v>
      </c>
      <c r="AE21" s="8">
        <v>30.9</v>
      </c>
      <c r="AF21" s="8">
        <v>85.4</v>
      </c>
    </row>
    <row r="22" spans="2:32" x14ac:dyDescent="0.25">
      <c r="V22" s="2">
        <v>2000</v>
      </c>
      <c r="W22" s="2">
        <v>80</v>
      </c>
      <c r="AC22" s="8">
        <v>32.200000000000003</v>
      </c>
      <c r="AD22" s="8">
        <v>53.6</v>
      </c>
      <c r="AE22" s="8">
        <v>32.200000000000003</v>
      </c>
      <c r="AF22" s="8">
        <v>85.2</v>
      </c>
    </row>
    <row r="23" spans="2:32" x14ac:dyDescent="0.25">
      <c r="V23" s="2">
        <v>2500</v>
      </c>
      <c r="W23" s="2">
        <v>90</v>
      </c>
      <c r="AC23" s="8">
        <v>33.200000000000003</v>
      </c>
      <c r="AD23" s="8">
        <v>40.5</v>
      </c>
      <c r="AE23" s="8">
        <v>33.200000000000003</v>
      </c>
      <c r="AF23" s="8">
        <v>85.2</v>
      </c>
    </row>
    <row r="24" spans="2:32" x14ac:dyDescent="0.25">
      <c r="AC24" s="8">
        <v>34.1</v>
      </c>
      <c r="AD24" s="8">
        <v>27.3</v>
      </c>
      <c r="AE24" s="8">
        <v>34.1</v>
      </c>
      <c r="AF24" s="8">
        <v>85.1</v>
      </c>
    </row>
    <row r="25" spans="2:32" x14ac:dyDescent="0.25">
      <c r="AC25" s="8">
        <v>34.6</v>
      </c>
      <c r="AD25" s="8">
        <v>14.2</v>
      </c>
      <c r="AE25" s="8">
        <v>34.6</v>
      </c>
      <c r="AF25" s="8">
        <v>85.1</v>
      </c>
    </row>
    <row r="26" spans="2:32" x14ac:dyDescent="0.25">
      <c r="AC26" s="8">
        <v>35</v>
      </c>
      <c r="AD26" s="8">
        <v>1</v>
      </c>
      <c r="AE26" s="8">
        <v>35</v>
      </c>
      <c r="AF26" s="8">
        <v>85.1</v>
      </c>
    </row>
    <row r="27" spans="2:32" x14ac:dyDescent="0.25">
      <c r="B27" t="s">
        <v>77</v>
      </c>
      <c r="E27" s="1" t="s">
        <v>45</v>
      </c>
      <c r="F27" s="2">
        <f>F6</f>
        <v>61.001679468486856</v>
      </c>
    </row>
    <row r="28" spans="2:32" x14ac:dyDescent="0.25">
      <c r="E28" s="1" t="s">
        <v>46</v>
      </c>
      <c r="F28" s="2">
        <v>80</v>
      </c>
    </row>
    <row r="29" spans="2:32" x14ac:dyDescent="0.25">
      <c r="B29" s="1" t="s">
        <v>65</v>
      </c>
      <c r="C29" s="2">
        <v>80</v>
      </c>
      <c r="E29" s="1" t="s">
        <v>47</v>
      </c>
      <c r="F29" s="4" t="str">
        <f>feed_json</f>
        <v>{"gamma_gas":0.6,"gamma_oil":0.86,"gamma_wat":1.1,"rsb_m3m3":120,"pb_atma":130,"t_res_C":80,"bob_m3m3":1.2,"muob_cP":0.6,"PVT_corr_set":0,"q_liq_sm3day":30,"fw_perc":10,"rp_m3m3":120}</v>
      </c>
      <c r="G29" t="s">
        <v>16</v>
      </c>
    </row>
    <row r="30" spans="2:32" x14ac:dyDescent="0.25">
      <c r="B30" s="1" t="s">
        <v>66</v>
      </c>
      <c r="C30" s="2">
        <v>1500</v>
      </c>
      <c r="E30" s="1" t="s">
        <v>21</v>
      </c>
      <c r="F30" s="4" t="str">
        <f>pipe_trajectory</f>
        <v>{"hmes_m":[0,1000,2000,2500],"hvert_m":[0,1000,1900,2300]}</v>
      </c>
      <c r="G30" t="s">
        <v>16</v>
      </c>
    </row>
    <row r="31" spans="2:32" x14ac:dyDescent="0.25">
      <c r="B31" s="1" t="s">
        <v>67</v>
      </c>
      <c r="C31" s="2">
        <v>50</v>
      </c>
      <c r="E31" s="1" t="s">
        <v>48</v>
      </c>
      <c r="F31" s="4" t="str">
        <f>pipe_diam</f>
        <v>{"diam_list_mm":{"hmes_m":[0,500,2100],"diam_int_mm":[62,62,62]},"roughness_m":0.0001}</v>
      </c>
      <c r="G31" t="s">
        <v>16</v>
      </c>
    </row>
    <row r="32" spans="2:32" x14ac:dyDescent="0.25">
      <c r="B32" s="1" t="s">
        <v>68</v>
      </c>
      <c r="C32" s="4">
        <f>[1]!ESP_id_by_rate(C29, C31)</f>
        <v>1006</v>
      </c>
      <c r="E32" s="1" t="s">
        <v>49</v>
      </c>
      <c r="F32" s="4" t="str">
        <f>pipe_diam_1</f>
        <v>{"diam_list_mm":{"hmes_m":[0,500,2100],"diam_int_mm":[135,135,135]},"roughness_m":0.0001}</v>
      </c>
      <c r="G32" t="s">
        <v>16</v>
      </c>
    </row>
    <row r="33" spans="2:7" x14ac:dyDescent="0.25">
      <c r="B33" s="1" t="s">
        <v>69</v>
      </c>
      <c r="C33" s="4">
        <f>[1]!ESP_calc_stages_num(C32,C30,C31,C29)</f>
        <v>250</v>
      </c>
      <c r="E33" s="1" t="s">
        <v>50</v>
      </c>
      <c r="F33" s="4" t="str">
        <f>t_model</f>
        <v>{"t_model":2,"thermal_conductivity_formation_WmC":2.4252,"specific_heat_capacity_formation_JkgC":200,"thermal_conductivity_cement_WmC":6.965,"thermal_conductivity_tubing_WmC":32,"thermal_conductivity_casing_WmC":32,"heat_transfer_casing_liquid_Wm2C":200,"heat_transfer_casing_gas_Wm2C":10,"heat_transfer_fluid_convection_Wm2C ":200,"time_calc_hr":240,"t_list_C":{"hvert_m":[0,1000,2000,2500],"t_C":[10,35,80,90]}}</v>
      </c>
      <c r="G33" t="s">
        <v>16</v>
      </c>
    </row>
    <row r="34" spans="2:7" x14ac:dyDescent="0.25">
      <c r="B34" s="1" t="s">
        <v>70</v>
      </c>
      <c r="C34" s="2">
        <v>1</v>
      </c>
      <c r="E34" s="1" t="s">
        <v>51</v>
      </c>
      <c r="F34" s="2">
        <v>1500</v>
      </c>
    </row>
    <row r="35" spans="2:7" x14ac:dyDescent="0.25">
      <c r="B35" s="1" t="s">
        <v>71</v>
      </c>
      <c r="C35" s="2">
        <v>1</v>
      </c>
      <c r="E35" s="1" t="s">
        <v>52</v>
      </c>
      <c r="F35" s="2">
        <v>1000</v>
      </c>
    </row>
    <row r="36" spans="2:7" x14ac:dyDescent="0.25">
      <c r="B36" s="1" t="s">
        <v>72</v>
      </c>
      <c r="C36" s="2">
        <v>1</v>
      </c>
      <c r="E36" s="1" t="s">
        <v>53</v>
      </c>
      <c r="F36" s="4" t="str">
        <f>esp_json</f>
        <v>{"q_nom_sm3day":80,"head_nom_m":1500,"freq_nom_Hz":50,"name":"ESP-80-1500","ESP_ID":1006,"num_stages":250,"gas_correct_model":1,"gas_correct_stage_by_stage":0,"calibr_head":1,"calibr_power":1,"calibr_rate":1,"dnum_stages_integrate":1}</v>
      </c>
      <c r="G36" t="s">
        <v>16</v>
      </c>
    </row>
    <row r="37" spans="2:7" x14ac:dyDescent="0.25">
      <c r="B37" s="1" t="s">
        <v>73</v>
      </c>
      <c r="C37" s="2">
        <v>1</v>
      </c>
      <c r="E37" s="1" t="s">
        <v>54</v>
      </c>
      <c r="F37" s="2">
        <v>50</v>
      </c>
    </row>
    <row r="38" spans="2:7" x14ac:dyDescent="0.25">
      <c r="B38" s="1" t="s">
        <v>74</v>
      </c>
      <c r="C38" s="2">
        <v>0</v>
      </c>
      <c r="E38" s="1" t="s">
        <v>55</v>
      </c>
      <c r="F38" s="2">
        <v>0.5</v>
      </c>
    </row>
    <row r="39" spans="2:7" x14ac:dyDescent="0.25">
      <c r="B39" s="1" t="s">
        <v>75</v>
      </c>
      <c r="C39" s="2">
        <v>1</v>
      </c>
      <c r="E39" s="1" t="s">
        <v>56</v>
      </c>
      <c r="F39" s="4">
        <v>0.8</v>
      </c>
    </row>
    <row r="40" spans="2:7" x14ac:dyDescent="0.25">
      <c r="B40" s="1" t="s">
        <v>76</v>
      </c>
      <c r="C40" s="3" t="str">
        <f>[1]!encode_ESP_pump(, , C31, C32, C33, C34, C35, C36, C37, C38, C39)</f>
        <v>{"q_nom_sm3day":80,"head_nom_m":1500,"freq_nom_Hz":50,"name":"ESP-80-1500","ESP_ID":1006,"num_stages":250,"gas_correct_model":1,"gas_correct_stage_by_stage":0,"calibr_head":1,"calibr_power":1,"calibr_rate":1,"dnum_stages_integrate":1}</v>
      </c>
      <c r="D40" t="s">
        <v>16</v>
      </c>
      <c r="E40" s="1" t="s">
        <v>57</v>
      </c>
      <c r="F40" s="2"/>
    </row>
    <row r="41" spans="2:7" x14ac:dyDescent="0.25">
      <c r="E41" s="1" t="s">
        <v>58</v>
      </c>
      <c r="F41" s="4" t="str">
        <f>IPR_json</f>
        <v>{"model":"Vogel","p_res_atma":250,"t_res_C":80,"pi_sm3dayatm":0.18146,"feed":{"gamma_gas":0.6,"gamma_oil":0.86,"gamma_wat":1.1,"rsb_m3m3":120,"pb_atma":130,"t_res_C":80,"bob_m3m3":1.2,"muob_cP":0.6,"PVT_corr_set":0,"q_liq_sm3day":30,"fw_perc":10,"rp_m3m3":120}}</v>
      </c>
    </row>
    <row r="42" spans="2:7" x14ac:dyDescent="0.25">
      <c r="E42" s="1" t="s">
        <v>59</v>
      </c>
      <c r="F42" s="2">
        <f>Рзатр</f>
        <v>12</v>
      </c>
    </row>
    <row r="43" spans="2:7" x14ac:dyDescent="0.25">
      <c r="E43" s="1" t="s">
        <v>60</v>
      </c>
      <c r="F43" s="2">
        <v>50</v>
      </c>
    </row>
    <row r="44" spans="2:7" x14ac:dyDescent="0.25">
      <c r="E44" s="1" t="s">
        <v>61</v>
      </c>
      <c r="F44" s="2">
        <v>1</v>
      </c>
    </row>
    <row r="45" spans="2:7" x14ac:dyDescent="0.25">
      <c r="E45" s="1" t="s">
        <v>62</v>
      </c>
      <c r="F45" s="2">
        <v>1</v>
      </c>
    </row>
    <row r="46" spans="2:7" x14ac:dyDescent="0.25">
      <c r="E46" s="1" t="s">
        <v>63</v>
      </c>
      <c r="F46" s="2">
        <v>0</v>
      </c>
    </row>
    <row r="47" spans="2:7" x14ac:dyDescent="0.25">
      <c r="E47" s="1" t="s">
        <v>64</v>
      </c>
      <c r="F47" s="2">
        <v>0</v>
      </c>
    </row>
    <row r="48" spans="2:7" x14ac:dyDescent="0.25">
      <c r="E48" s="1"/>
      <c r="F48" s="3" t="str">
        <f>[1]!well_calc_from_pwf(F27,F28,F29,F30,F31,F32,F33,F34,F35,F36,F37,F38,F39,F40,F41,F42,F43,F44,F45,F46,F47)</f>
        <v>{"op_data":{"q_liq_sm3day":31.5,"p_buf_atma":10,"p_cas_atma":12,"p_intake_atma":24.54,"p_dis_atma":78.5,"p_wf_atma":61,"p_cas_limit_atma":22.8,"h_dyn_m":692.2,"h_crit_m":0,"ksep_gas_d":0.8,"ksep_liq_d":0,"t_surf_C":10,"t_intake_C":42.65,"t_dis_C":50.2,"q_liq_tub_sm3day":63.01,"q_gas_tub_sm3day":1650.3,"q_liq_cas_sm3day":0,"q_gas_cas_sm3day":2290.93,"gas_fraction at pump":0.2716,"esp_efficiency":0.27,"esp_power_kW":18.11,"calibr_esp_head":1},"crv_p":{"curve_x":"h_mes,m","curve_y":"p,atma","h_mes,m":[0,44.022,88.043,132.065,176.087,220.109,264.13,308.152,352.174,396.196,440.217,484.239,528.261,572.283,616.304,660.326,704.348,748.37,792.391,836.413,880.435,924.457,968.478,1000,1012.5],"p,atma":[10.002,12.105,14.386,16.835,19.445,22.205,25.082,28.021,30.995,34.001,37.042,40.127,43.254,46.42,49.62,52.851,56.11,59.394,62.701,66.026,69.367,72.723,76.088,78.501,24.54]},"crv_p_below_al":{"curve_x":"h_mes,m","curve_y":"p,atma","h_mes,m":[1012.5,1032.812,1053.125,1073.438,1093.75,1114.062,1134.375,1154.688,1175,1195.312,1215.625,1235.938,1256.25,1276.562,1296.875,1317.188,1337.5,1357.812,1378.125,1398.438,1418.75,1439.062,1459.375,1479.688,1500],"p,atma":[24.54,26.078,27.617,29.153,30.688,32.222,33.753,35.284,36.812,38.339,39.865,41.387,42.91,44.429,45.947,47.463,48.976,50.489,51.997,53.504,55.009,56.51,58.011,59.507,61.002]},"crv_t":{"curve_x":"h_mes,m","curve_y":"t,C","h_mes,m":[0,41.667,83.333,125,166.667,208.333,250,291.667,333.333,375,416.667,458.333,500,541.667,583.333,625,666.667,708.333,750,791.667,833.333,875,916.667,958.333,1000,1012.5,1066.667,1120.833,1175,1229.167,1283.333,1337.5,1391.667,1445.833,1500],"t,C":[25.338,26.192,27.04,27.883,28.72,29.551,30.376,31.186,31.984,32.766,33.533,34.284,35.019,35.731,36.425,37.098,37.779,38.636,40.074,41.578,43.142,44.774,46.482,48.275,50.162,42.651,45.191,47.875,50.764,53.94,57.521,61.669,66.604,72.631,80]},"crv_p_cas":{"curve_x":"h_mes,m","curve_y":"p,atma","h_mes,m":[0,44.022,88.043,132.065,176.087,220.109,264.13,308.152,352.174,396.196,440.217,484.239,528.261,572.283,616.304,660.326,692.213,704.348,748.37,792.391,836.413,880.435,924.457,968.478,1012.5],"p,atma":[12,12.04,12.08,12.119,12.159,12.199,12.239,12.278,12.318,12.357,12.397,12.437,12.476,12.515,12.555,12.594,12.623,12.942,14.148,15.429,17.058,18.829,20.681,22.608,24.54]},"crv_t_amb":{"curve_x":"h_mes,m","curve_y":"t_amb,C","h_mes,m":[0,41.667,83.333,125,166.667,208.333,250,291.667,333.333,375,416.667,458.333,500,541.667,583.333,625,666.667,708.333,750,791.667,833.333,875,916.667,958.333,1000,1012.5,1066.667,1120.833,1175,1229.167,1283.333,1337.5,1391.667,1445.833,1500],"t_amb,C":[10,11.042,12.083,13.125,14.167,15.208,16.25,17.292,18.333,19.375,20.417,21.458,22.5,23.542,24.583,25.625,26.667,27.708,28.75,29.792,30.833,31.875,32.917,33.958,35,35.506,37.7,39.894,42.088,44.281,46.475,48.669,50.863,53.056,55.25]},"esp_data":{"p_int_atma":24.54,"t_int_C":42.651,"p_dis_atma":78.501,"t_dis_C":50.162,"head_m":757.232,"M_pump_Nm":57.649,"gas_frac_intake":0.272,"eff_ESP_d":0.27,"power_fluid_W":4895.232,"power_ESP_W":18110.84,"calc_from_dis":0,"stage_num":250,"freq_Hz":50,"w_obmin":3000,"rate_nom_sm3day":80,"rate_max_sm3day":175,"calibr_head":1,"calibr_rate":1,"calibr_power":1,"gas_correct_model":1,"gas_correct_stage_by_stage":false,"gas_corr_":0.499},"separ_data":{"ksep_total_fr":0.8,"ksep_nat_fr":0.8,"ksep_gassep_fr":0,"q_gas_annulus_after_nat_sep_sm3day":2290.93325724794,"q_gas_annulus_after_full_sep_sm3day":2290.93325724794,"fluid":{"gamma_gas":0.6,"gamma_oil":0.86,"gamma_wat":1.1,"rsb_m3m3":120,"pb_atma":130,"t_res_C":80,"bob_m3m3":1.2,"muob_cP":0.6,"PVT_corr_set":0,"q_liq_sm3day":31.504,"fw_perc":10,"rp_m3m3":120},"fluid_gs":{"gamma_gas":0.6,"gamma_oil":0.86,"gamma_wat":1.1,"rsb_m3m3":19.002,"pb_atma":28.167,"t_res_C":80,"bob_m3m3":1.056,"muob_cP":1.564,"PVT_corr_set":0,"q_liq_sm3day":63.008,"fw_perc":10,"rp_m3m3":29.102},"fluid_tub":{"gamma_gas":0.6,"gamma_oil":0.86,"gamma_wat":1.1,"rsb_m3m3":19.002,"pb_atma":28.167,"t_res_C":80,"bob_m3m3":1.056,"muob_cP":1.564,"PVT_corr_set":0,"q_liq_sm3day":63.008,"fw_perc":10,"rp_m3m3":29.102},"fluid_cas":{"gamma_gas":0.6,"gamma_oil":0.86,"gamma_wat":1.1,"rsb_m3m3":6.448,"pb_atma":11.42,"t_res_C":80,"bob_m3m3":1.04,"muob_cP":2.119,"PVT_corr_set":0,"q_liq_sm3day":0,"fw_perc":0,"rp_m3m3":7.583,"q_gas_free_sm3day":2290.933}},"fluid_res":"{\"gamma_gas\":0.6,\"gamma_oil\":0.86,\"gamma_wat\":1.1,\"rsb_m3m3\":120,\"pb_atma\":130,\"t_res_C\":80,\"bob_m3m3\":1.2,\"muob_cP\":0.6,\"PVT_corr_set\":0,\"q_liq_sm3day\":31.504,\"fw_perc\":10,\"rp_m3m3\":120}","fluid_tub":"{\"gamma_gas\":0.6,\"gamma_oil\":0.86,\"gamma_wat\":1.1,\"rsb_m3m3\":19.002,\"pb_atma\":28.167,\"t_res_C\":80,\"bob_m3m3\":1.056,\"muob_cP\":1.564,\"PVT_corr_set\":0,\"q_liq_sm3day\":63.008,\"fw_perc\":10,\"rp_m3m3\":29.102}","fluid_cas":"{\"gamma_gas\":0.6,\"gamma_oil\":0.86,\"gamma_wat\":1.1,\"rsb_m3m3\":6.448,\"pb_atma\":11.42,\"t_res_C\":80,\"bob_m3m3\":1.04,\"muob_cP\":2.119,\"PVT_corr_set\":0,\"q_liq_sm3day\":0,\"fw_perc\":0,\"rp_m3m3\":7.583,\"q_gas_free_sm3day\":2290.933}","fluid_gs":"{\"gamma_gas\":0.6,\"gamma_oil\":0.86,\"gamma_wat\":1.1,\"rsb_m3m3\":19.002,\"pb_atma\":28.167,\"t_res_C\":80,\"bob_m3m3\":1.056,\"muob_cP\":1.564,\"PVT_corr_set\":0,\"q_liq_sm3day\":63.008,\"fw_perc\":10,\"rp_m3m3\":29.102}"}</v>
      </c>
    </row>
    <row r="49" spans="6:19" x14ac:dyDescent="0.25">
      <c r="F49" s="4" t="str">
        <f t="array" ref="F49:G60">[1]!decode_json(F48)</f>
        <v>op_data</v>
      </c>
      <c r="G49" s="4" t="str">
        <v>{"q_liq_sm3day":31.5,"p_buf_atma":10,"p_cas_atma":12,"p_intake_atma":24.54,"p_dis_atma":78.5,"p_wf_atma":61,"p_cas_limit_atma":22.8,"h_dyn_m":692.2,"h_crit_m":0,"ksep_gas_d":0.8,"ksep_liq_d":0,"t_surf_C":10,"t_intake_C":42.65,"t_dis_C":50.2,"q_liq_tub_sm3day":63.01,"q_gas_tub_sm3day":1650.3,"q_liq_cas_sm3day":0,"q_gas_cas_sm3day":2290.93,"gas_fraction at pump":0.2716,"esp_efficiency":0.27,"esp_power_kW":18.11,"calibr_esp_head":1}</v>
      </c>
      <c r="H49" s="5" t="str">
        <f t="array" ref="H49:I69">[1]!decode_json($G$49)</f>
        <v>q_liq_sm3day</v>
      </c>
      <c r="I49" s="5">
        <v>31.5</v>
      </c>
      <c r="J49" s="6" t="str">
        <f t="array" ref="J49:K52">[1]!decode_json($G$50)</f>
        <v>curve_x</v>
      </c>
      <c r="K49" s="6" t="str">
        <v>h_mes,m</v>
      </c>
      <c r="L49" s="4" t="str">
        <f t="array" ref="L49:M52">[1]!decode_json($G$51)</f>
        <v>curve_x</v>
      </c>
      <c r="M49" s="4" t="str">
        <v>h_mes,m</v>
      </c>
      <c r="N49" s="6" t="str">
        <f t="array" ref="N49:O52">[1]!decode_json($G$52)</f>
        <v>curve_x</v>
      </c>
      <c r="O49" s="6" t="str">
        <v>h_mes,m</v>
      </c>
      <c r="P49" s="4" t="str">
        <f t="array" ref="P49:Q52">[1]!decode_json($G$53)</f>
        <v>curve_x</v>
      </c>
      <c r="Q49" s="4" t="str">
        <v>h_mes,m</v>
      </c>
      <c r="R49" s="6" t="str">
        <f t="array" ref="R49:S52">[1]!decode_json($G$54)</f>
        <v>curve_x</v>
      </c>
      <c r="S49" s="6" t="str">
        <v>h_mes,m</v>
      </c>
    </row>
    <row r="50" spans="6:19" x14ac:dyDescent="0.25">
      <c r="F50" s="4" t="str">
        <v>crv_p</v>
      </c>
      <c r="G50" s="4" t="str">
        <v>{"curve_x":"h_mes,m","curve_y":"p,atma","h_mes,m":[0,44.022,88.043,132.065,176.087,220.109,264.13,308.152,352.174,396.196,440.217,484.239,528.261,572.283,616.304,660.326,704.348,748.37,792.391,836.413,880.435,924.457,968.478,1000,1012.5],"p,atma":[10.002,12.105,14.386,16.835,19.445,22.205,25.082,28.021,30.995,34.001,37.042,40.127,43.254,46.42,49.62,52.851,56.11,59.394,62.701,66.026,69.367,72.723,76.088,78.501,24.54]}</v>
      </c>
      <c r="H50" s="5" t="str">
        <v>p_buf_atma</v>
      </c>
      <c r="I50" s="5">
        <v>10</v>
      </c>
      <c r="J50" s="6" t="str">
        <v>curve_y</v>
      </c>
      <c r="K50" s="6" t="str">
        <v>p,atma</v>
      </c>
      <c r="L50" s="4" t="str">
        <v>curve_y</v>
      </c>
      <c r="M50" s="4" t="str">
        <v>p,atma</v>
      </c>
      <c r="N50" s="6" t="str">
        <v>curve_y</v>
      </c>
      <c r="O50" s="6" t="str">
        <v>t,C</v>
      </c>
      <c r="P50" s="4" t="str">
        <v>curve_y</v>
      </c>
      <c r="Q50" s="4" t="str">
        <v>p,atma</v>
      </c>
      <c r="R50" s="6" t="str">
        <v>curve_y</v>
      </c>
      <c r="S50" s="6" t="str">
        <v>t_amb,C</v>
      </c>
    </row>
    <row r="51" spans="6:19" x14ac:dyDescent="0.25">
      <c r="F51" s="4" t="str">
        <v>crv_p_below_al</v>
      </c>
      <c r="G51" s="4" t="str">
        <v>{"curve_x":"h_mes,m","curve_y":"p,atma","h_mes,m":[1012.5,1032.812,1053.125,1073.438,1093.75,1114.062,1134.375,1154.688,1175,1195.312,1215.625,1235.938,1256.25,1276.562,1296.875,1317.188,1337.5,1357.812,1378.125,1398.438,1418.75,1439.062,1459.375,1479.688,1500],"p,atma":[24.54,26.078,27.617,29.153,30.688,32.222,33.753,35.284,36.812,38.339,39.865,41.387,42.91,44.429,45.947,47.463,48.976,50.489,51.997,53.504,55.009,56.51,58.011,59.507,61.002]}</v>
      </c>
      <c r="H51" s="5" t="str">
        <v>p_cas_atma</v>
      </c>
      <c r="I51" s="5">
        <v>12</v>
      </c>
      <c r="J51" s="6" t="str">
        <v>h_mes,m</v>
      </c>
      <c r="K51" s="6" t="str">
        <v>[0,44.022,88.043,132.065,176.087,220.109,264.13,308.152,352.174,396.196,440.217,484.239,528.261,572.283,616.304,660.326,704.348,748.37,792.391,836.413,880.435,924.457,968.478,1000,1012.5]</v>
      </c>
      <c r="L51" s="4" t="str">
        <v>h_mes,m</v>
      </c>
      <c r="M51" s="4" t="str">
        <v>[1012.5,1032.812,1053.125,1073.438,1093.75,1114.062,1134.375,1154.688,1175,1195.312,1215.625,1235.938,1256.25,1276.562,1296.875,1317.188,1337.5,1357.812,1378.125,1398.438,1418.75,1439.062,1459.375,1479.688,1500]</v>
      </c>
      <c r="N51" s="6" t="str">
        <v>h_mes,m</v>
      </c>
      <c r="O51" s="6" t="str">
        <v>[0,41.667,83.333,125,166.667,208.333,250,291.667,333.333,375,416.667,458.333,500,541.667,583.333,625,666.667,708.333,750,791.667,833.333,875,916.667,958.333,1000,1012.5,1066.667,1120.833,1175,1229.167,1283.333,1337.5,1391.667,1445.833,1500]</v>
      </c>
      <c r="P51" s="4" t="str">
        <v>h_mes,m</v>
      </c>
      <c r="Q51" s="4" t="str">
        <v>[0,44.022,88.043,132.065,176.087,220.109,264.13,308.152,352.174,396.196,440.217,484.239,528.261,572.283,616.304,660.326,692.213,704.348,748.37,792.391,836.413,880.435,924.457,968.478,1012.5]</v>
      </c>
      <c r="R51" s="6" t="str">
        <v>h_mes,m</v>
      </c>
      <c r="S51" s="6" t="str">
        <v>[0,41.667,83.333,125,166.667,208.333,250,291.667,333.333,375,416.667,458.333,500,541.667,583.333,625,666.667,708.333,750,791.667,833.333,875,916.667,958.333,1000,1012.5,1066.667,1120.833,1175,1229.167,1283.333,1337.5,1391.667,1445.833,1500]</v>
      </c>
    </row>
    <row r="52" spans="6:19" x14ac:dyDescent="0.25">
      <c r="F52" s="4" t="str">
        <v>crv_t</v>
      </c>
      <c r="G52" s="4" t="str">
        <v>{"curve_x":"h_mes,m","curve_y":"t,C","h_mes,m":[0,41.667,83.333,125,166.667,208.333,250,291.667,333.333,375,416.667,458.333,500,541.667,583.333,625,666.667,708.333,750,791.667,833.333,875,916.667,958.333,1000,1012.5,1066.667,1120.833,1175,1229.167,1283.333,1337.5,1391.667,1445.833,1500],"t,C":[25.338,26.192,27.04,27.883,28.72,29.551,30.376,31.186,31.984,32.766,33.533,34.284,35.019,35.731,36.425,37.098,37.779,38.636,40.074,41.578,43.142,44.774,46.482,48.275,50.162,42.651,45.191,47.875,50.764,53.94,57.521,61.669,66.604,72.631,80]}</v>
      </c>
      <c r="H52" s="5" t="str">
        <v>p_intake_atma</v>
      </c>
      <c r="I52" s="5">
        <v>24.54</v>
      </c>
      <c r="J52" s="6" t="str">
        <v>p,atma</v>
      </c>
      <c r="K52" s="6" t="str">
        <v>[10.002,12.105,14.386,16.835,19.445,22.205,25.082,28.021,30.995,34.001,37.042,40.127,43.254,46.42,49.62,52.851,56.11,59.394,62.701,66.026,69.367,72.723,76.088,78.501,24.54]</v>
      </c>
      <c r="L52" s="4" t="str">
        <v>p,atma</v>
      </c>
      <c r="M52" s="4" t="str">
        <v>[24.54,26.078,27.617,29.153,30.688,32.222,33.753,35.284,36.812,38.339,39.865,41.387,42.91,44.429,45.947,47.463,48.976,50.489,51.997,53.504,55.009,56.51,58.011,59.507,61.002]</v>
      </c>
      <c r="N52" s="6" t="str">
        <v>t,C</v>
      </c>
      <c r="O52" s="6" t="str">
        <v>[25.338,26.192,27.04,27.883,28.72,29.551,30.376,31.186,31.984,32.766,33.533,34.284,35.019,35.731,36.425,37.098,37.779,38.636,40.074,41.578,43.142,44.774,46.482,48.275,50.162,42.651,45.191,47.875,50.764,53.94,57.521,61.669,66.604,72.631,80]</v>
      </c>
      <c r="P52" s="4" t="str">
        <v>p,atma</v>
      </c>
      <c r="Q52" s="4" t="str">
        <v>[12,12.04,12.08,12.119,12.159,12.199,12.239,12.278,12.318,12.357,12.397,12.437,12.476,12.515,12.555,12.594,12.623,12.942,14.148,15.429,17.058,18.829,20.681,22.608,24.54]</v>
      </c>
      <c r="R52" s="6" t="str">
        <v>t_amb,C</v>
      </c>
      <c r="S52" s="6" t="str">
        <v>[10,11.042,12.083,13.125,14.167,15.208,16.25,17.292,18.333,19.375,20.417,21.458,22.5,23.542,24.583,25.625,26.667,27.708,28.75,29.792,30.833,31.875,32.917,33.958,35,35.506,37.7,39.894,42.088,44.281,46.475,48.669,50.863,53.056,55.25]</v>
      </c>
    </row>
    <row r="53" spans="6:19" x14ac:dyDescent="0.25">
      <c r="F53" s="4" t="str">
        <v>crv_p_cas</v>
      </c>
      <c r="G53" s="4" t="str">
        <v>{"curve_x":"h_mes,m","curve_y":"p,atma","h_mes,m":[0,44.022,88.043,132.065,176.087,220.109,264.13,308.152,352.174,396.196,440.217,484.239,528.261,572.283,616.304,660.326,692.213,704.348,748.37,792.391,836.413,880.435,924.457,968.478,1012.5],"p,atma":[12,12.04,12.08,12.119,12.159,12.199,12.239,12.278,12.318,12.357,12.397,12.437,12.476,12.515,12.555,12.594,12.623,12.942,14.148,15.429,17.058,18.829,20.681,22.608,24.54]}</v>
      </c>
      <c r="H53" s="5" t="str">
        <v>p_dis_atma</v>
      </c>
      <c r="I53" s="5">
        <v>78.5</v>
      </c>
    </row>
    <row r="54" spans="6:19" x14ac:dyDescent="0.25">
      <c r="F54" s="4" t="str">
        <v>crv_t_amb</v>
      </c>
      <c r="G54" s="4" t="str">
        <v>{"curve_x":"h_mes,m","curve_y":"t_amb,C","h_mes,m":[0,41.667,83.333,125,166.667,208.333,250,291.667,333.333,375,416.667,458.333,500,541.667,583.333,625,666.667,708.333,750,791.667,833.333,875,916.667,958.333,1000,1012.5,1066.667,1120.833,1175,1229.167,1283.333,1337.5,1391.667,1445.833,1500],"t_amb,C":[10,11.042,12.083,13.125,14.167,15.208,16.25,17.292,18.333,19.375,20.417,21.458,22.5,23.542,24.583,25.625,26.667,27.708,28.75,29.792,30.833,31.875,32.917,33.958,35,35.506,37.7,39.894,42.088,44.281,46.475,48.669,50.863,53.056,55.25]}</v>
      </c>
      <c r="H54" s="5" t="str">
        <v>p_wf_atma</v>
      </c>
      <c r="I54" s="5">
        <v>61</v>
      </c>
      <c r="J54" s="4">
        <f t="array" ref="J54:J78">[1]!decode_json(K51)</f>
        <v>0</v>
      </c>
      <c r="K54" s="4">
        <f t="array" ref="K54:K78">[1]!decode_json(K52)</f>
        <v>10.002000000000001</v>
      </c>
      <c r="L54" s="7">
        <f t="array" ref="L54:L78">[1]!decode_json(M51)</f>
        <v>1012.5</v>
      </c>
      <c r="M54" s="7">
        <f t="array" ref="M54:M78">[1]!decode_json(M52)</f>
        <v>24.54</v>
      </c>
      <c r="N54" s="4">
        <f t="array" ref="N54:N87">[1]!decode_json(O51)</f>
        <v>0</v>
      </c>
      <c r="O54" s="4">
        <f t="array" ref="O54:O87">[1]!decode_json(O52)</f>
        <v>25.338000000000001</v>
      </c>
      <c r="P54" s="7">
        <f t="array" ref="P54:P78">[1]!decode_json(Q51)</f>
        <v>0</v>
      </c>
      <c r="Q54" s="7">
        <f t="array" ref="Q54:Q78">[1]!decode_json(Q52)</f>
        <v>12</v>
      </c>
      <c r="R54" s="4">
        <f t="array" ref="R54:R87">[1]!decode_json(S51)</f>
        <v>0</v>
      </c>
      <c r="S54" s="4">
        <f t="array" ref="S54:S87">[1]!decode_json(S52)</f>
        <v>10</v>
      </c>
    </row>
    <row r="55" spans="6:19" x14ac:dyDescent="0.25">
      <c r="F55" s="4" t="str">
        <v>esp_data</v>
      </c>
      <c r="G55" s="4" t="str">
        <v>{"p_int_atma":24.54,"t_int_C":42.651,"p_dis_atma":78.501,"t_dis_C":50.162,"head_m":757.232,"M_pump_Nm":57.649,"gas_frac_intake":0.272,"eff_ESP_d":0.27,"power_fluid_W":4895.232,"power_ESP_W":18110.84,"calc_from_dis":0,"stage_num":250,"freq_Hz":50,"w_obmin":3000,"rate_nom_sm3day":80,"rate_max_sm3day":175,"calibr_head":1,"calibr_rate":1,"calibr_power":1,"gas_correct_model":1,"gas_correct_stage_by_stage":false,"gas_corr_":0.499}</v>
      </c>
      <c r="H55" s="5" t="str">
        <v>p_cas_limit_atma</v>
      </c>
      <c r="I55" s="5">
        <v>22.8</v>
      </c>
      <c r="J55" s="4">
        <v>44.021999999999998</v>
      </c>
      <c r="K55" s="4">
        <v>12.105</v>
      </c>
      <c r="L55" s="7">
        <v>1032.8119999999999</v>
      </c>
      <c r="M55" s="7">
        <v>26.077999999999999</v>
      </c>
      <c r="N55" s="4">
        <v>41.667000000000002</v>
      </c>
      <c r="O55" s="4">
        <v>26.192</v>
      </c>
      <c r="P55" s="7">
        <v>44.021999999999998</v>
      </c>
      <c r="Q55" s="7">
        <v>12.04</v>
      </c>
      <c r="R55" s="4">
        <v>41.667000000000002</v>
      </c>
      <c r="S55" s="4">
        <v>11.042</v>
      </c>
    </row>
    <row r="56" spans="6:19" x14ac:dyDescent="0.25">
      <c r="F56" s="4" t="str">
        <v>separ_data</v>
      </c>
      <c r="G56" s="4" t="str">
        <v>{"ksep_total_fr":0.8,"ksep_nat_fr":0.8,"ksep_gassep_fr":0,"q_gas_annulus_after_nat_sep_sm3day":2290.93325724794,"q_gas_annulus_after_full_sep_sm3day":2290.93325724794,"fluid":{"gamma_gas":0.6,"gamma_oil":0.86,"gamma_wat":1.1,"rsb_m3m3":120,"pb_atma":130,"t_res_C":80,"bob_m3m3":1.2,"muob_cP":0.6,"PVT_corr_set":0,"q_liq_sm3day":31.504,"fw_perc":10,"rp_m3m3":120},"fluid_gs":{"gamma_gas":0.6,"gamma_oil":0.86,"gamma_wat":1.1,"rsb_m3m3":19.002,"pb_atma":28.167,"t_res_C":80,"bob_m3m3":1.056,"muob_cP":1.564,"PVT_corr_set":0,"q_liq_sm3day":63.008,"fw_perc":10,"rp_m3m3":29.102},"fluid_tub":{"gamma_gas":0.6,"gamma_oil":0.86,"gamma_wat":1.1,"rsb_m3m3":19.002,"pb_atma":28.167,"t_res_C":80,"bob_m3m3":1.056,"muob_cP":1.564,"PVT_corr_set":0,"q_liq_sm3day":63.008,"fw_perc":10,"rp_m3m3":29.102},"fluid_cas":{"gamma_gas":0.6,"gamma_oil":0.86,"gamma_wat":1.1,"rsb_m3m3":6.448,"pb_atma":11.42,"t_res_C":80,"bob_m3m3":1.04,"muob_cP":2.119,"PVT_corr_set":0,"q_liq_sm3day":0,"fw_perc":0,"rp_m3m3":7.583,"q_gas_free_sm3day":2290.933}}</v>
      </c>
      <c r="H56" s="5" t="str">
        <v>h_dyn_m</v>
      </c>
      <c r="I56" s="5">
        <v>692.2</v>
      </c>
      <c r="J56" s="4">
        <v>88.043000000000006</v>
      </c>
      <c r="K56" s="4">
        <v>14.385999999999999</v>
      </c>
      <c r="L56" s="7">
        <v>1053.125</v>
      </c>
      <c r="M56" s="7">
        <v>27.617000000000001</v>
      </c>
      <c r="N56" s="4">
        <v>83.332999999999998</v>
      </c>
      <c r="O56" s="4">
        <v>27.04</v>
      </c>
      <c r="P56" s="7">
        <v>88.043000000000006</v>
      </c>
      <c r="Q56" s="7">
        <v>12.08</v>
      </c>
      <c r="R56" s="4">
        <v>83.332999999999998</v>
      </c>
      <c r="S56" s="4">
        <v>12.083</v>
      </c>
    </row>
    <row r="57" spans="6:19" x14ac:dyDescent="0.25">
      <c r="F57" s="4" t="str">
        <v>fluid_res</v>
      </c>
      <c r="G57" s="4" t="str">
        <v>{"gamma_gas":0.6,"gamma_oil":0.86,"gamma_wat":1.1,"rsb_m3m3":120,"pb_atma":130,"t_res_C":80,"bob_m3m3":1.2,"muob_cP":0.6,"PVT_corr_set":0,"q_liq_sm3day":31.504,"fw_perc":10,"rp_m3m3":120}</v>
      </c>
      <c r="H57" s="5" t="str">
        <v>h_crit_m</v>
      </c>
      <c r="I57" s="5">
        <v>0</v>
      </c>
      <c r="J57" s="4">
        <v>132.065</v>
      </c>
      <c r="K57" s="4">
        <v>16.835000000000001</v>
      </c>
      <c r="L57" s="7">
        <v>1073.4380000000001</v>
      </c>
      <c r="M57" s="7">
        <v>29.152999999999999</v>
      </c>
      <c r="N57" s="4">
        <v>125</v>
      </c>
      <c r="O57" s="4">
        <v>27.882999999999999</v>
      </c>
      <c r="P57" s="7">
        <v>132.065</v>
      </c>
      <c r="Q57" s="7">
        <v>12.119</v>
      </c>
      <c r="R57" s="4">
        <v>125</v>
      </c>
      <c r="S57" s="4">
        <v>13.125</v>
      </c>
    </row>
    <row r="58" spans="6:19" x14ac:dyDescent="0.25">
      <c r="F58" s="4" t="str">
        <v>fluid_tub</v>
      </c>
      <c r="G58" s="4" t="str">
        <v>{"gamma_gas":0.6,"gamma_oil":0.86,"gamma_wat":1.1,"rsb_m3m3":19.002,"pb_atma":28.167,"t_res_C":80,"bob_m3m3":1.056,"muob_cP":1.564,"PVT_corr_set":0,"q_liq_sm3day":63.008,"fw_perc":10,"rp_m3m3":29.102}</v>
      </c>
      <c r="H58" s="5" t="str">
        <v>ksep_gas_d</v>
      </c>
      <c r="I58" s="5">
        <v>0.8</v>
      </c>
      <c r="J58" s="4">
        <v>176.08699999999999</v>
      </c>
      <c r="K58" s="4">
        <v>19.445</v>
      </c>
      <c r="L58" s="7">
        <v>1093.75</v>
      </c>
      <c r="M58" s="7">
        <v>30.687999999999999</v>
      </c>
      <c r="N58" s="4">
        <v>166.667</v>
      </c>
      <c r="O58" s="4">
        <v>28.72</v>
      </c>
      <c r="P58" s="7">
        <v>176.08699999999999</v>
      </c>
      <c r="Q58" s="7">
        <v>12.159000000000001</v>
      </c>
      <c r="R58" s="4">
        <v>166.667</v>
      </c>
      <c r="S58" s="4">
        <v>14.167</v>
      </c>
    </row>
    <row r="59" spans="6:19" x14ac:dyDescent="0.25">
      <c r="F59" s="4" t="str">
        <v>fluid_cas</v>
      </c>
      <c r="G59" s="4" t="str">
        <v>{"gamma_gas":0.6,"gamma_oil":0.86,"gamma_wat":1.1,"rsb_m3m3":6.448,"pb_atma":11.42,"t_res_C":80,"bob_m3m3":1.04,"muob_cP":2.119,"PVT_corr_set":0,"q_liq_sm3day":0,"fw_perc":0,"rp_m3m3":7.583,"q_gas_free_sm3day":2290.933}</v>
      </c>
      <c r="H59" s="5" t="str">
        <v>ksep_liq_d</v>
      </c>
      <c r="I59" s="5">
        <v>0</v>
      </c>
      <c r="J59" s="4">
        <v>220.10900000000001</v>
      </c>
      <c r="K59" s="4">
        <v>22.204999999999998</v>
      </c>
      <c r="L59" s="7">
        <v>1114.0619999999999</v>
      </c>
      <c r="M59" s="7">
        <v>32.222000000000001</v>
      </c>
      <c r="N59" s="4">
        <v>208.333</v>
      </c>
      <c r="O59" s="4">
        <v>29.550999999999998</v>
      </c>
      <c r="P59" s="7">
        <v>220.10900000000001</v>
      </c>
      <c r="Q59" s="7">
        <v>12.199</v>
      </c>
      <c r="R59" s="4">
        <v>208.333</v>
      </c>
      <c r="S59" s="4">
        <v>15.208</v>
      </c>
    </row>
    <row r="60" spans="6:19" x14ac:dyDescent="0.25">
      <c r="F60" s="4" t="str">
        <v>fluid_gs</v>
      </c>
      <c r="G60" s="4" t="str">
        <v>{"gamma_gas":0.6,"gamma_oil":0.86,"gamma_wat":1.1,"rsb_m3m3":19.002,"pb_atma":28.167,"t_res_C":80,"bob_m3m3":1.056,"muob_cP":1.564,"PVT_corr_set":0,"q_liq_sm3day":63.008,"fw_perc":10,"rp_m3m3":29.102}</v>
      </c>
      <c r="H60" s="5" t="str">
        <v>t_surf_C</v>
      </c>
      <c r="I60" s="5">
        <v>10</v>
      </c>
      <c r="J60" s="4">
        <v>264.13</v>
      </c>
      <c r="K60" s="4">
        <v>25.082000000000001</v>
      </c>
      <c r="L60" s="7">
        <v>1134.375</v>
      </c>
      <c r="M60" s="7">
        <v>33.753</v>
      </c>
      <c r="N60" s="4">
        <v>250</v>
      </c>
      <c r="O60" s="4">
        <v>30.376000000000001</v>
      </c>
      <c r="P60" s="7">
        <v>264.13</v>
      </c>
      <c r="Q60" s="7">
        <v>12.239000000000001</v>
      </c>
      <c r="R60" s="4">
        <v>250</v>
      </c>
      <c r="S60" s="4">
        <v>16.25</v>
      </c>
    </row>
    <row r="61" spans="6:19" x14ac:dyDescent="0.25">
      <c r="H61" s="5" t="str">
        <v>t_intake_C</v>
      </c>
      <c r="I61" s="5">
        <v>42.65</v>
      </c>
      <c r="J61" s="4">
        <v>308.15199999999999</v>
      </c>
      <c r="K61" s="4">
        <v>28.021000000000001</v>
      </c>
      <c r="L61" s="7">
        <v>1154.6880000000001</v>
      </c>
      <c r="M61" s="7">
        <v>35.283999999999999</v>
      </c>
      <c r="N61" s="4">
        <v>291.66699999999997</v>
      </c>
      <c r="O61" s="4">
        <v>31.186</v>
      </c>
      <c r="P61" s="7">
        <v>308.15199999999999</v>
      </c>
      <c r="Q61" s="7">
        <v>12.278</v>
      </c>
      <c r="R61" s="4">
        <v>291.66699999999997</v>
      </c>
      <c r="S61" s="4">
        <v>17.292000000000002</v>
      </c>
    </row>
    <row r="62" spans="6:19" x14ac:dyDescent="0.25">
      <c r="H62" s="5" t="str">
        <v>t_dis_C</v>
      </c>
      <c r="I62" s="5">
        <v>50.2</v>
      </c>
      <c r="J62" s="4">
        <v>352.17399999999998</v>
      </c>
      <c r="K62" s="4">
        <v>30.995000000000001</v>
      </c>
      <c r="L62" s="7">
        <v>1175</v>
      </c>
      <c r="M62" s="7">
        <v>36.811999999999998</v>
      </c>
      <c r="N62" s="4">
        <v>333.33300000000003</v>
      </c>
      <c r="O62" s="4">
        <v>31.984000000000002</v>
      </c>
      <c r="P62" s="7">
        <v>352.17399999999998</v>
      </c>
      <c r="Q62" s="7">
        <v>12.318</v>
      </c>
      <c r="R62" s="4">
        <v>333.33300000000003</v>
      </c>
      <c r="S62" s="4">
        <v>18.332999999999998</v>
      </c>
    </row>
    <row r="63" spans="6:19" x14ac:dyDescent="0.25">
      <c r="H63" s="5" t="str">
        <v>q_liq_tub_sm3day</v>
      </c>
      <c r="I63" s="5">
        <v>63.01</v>
      </c>
      <c r="J63" s="4">
        <v>396.19600000000003</v>
      </c>
      <c r="K63" s="4">
        <v>34.000999999999998</v>
      </c>
      <c r="L63" s="7">
        <v>1195.3119999999999</v>
      </c>
      <c r="M63" s="7">
        <v>38.338999999999999</v>
      </c>
      <c r="N63" s="4">
        <v>375</v>
      </c>
      <c r="O63" s="4">
        <v>32.765999999999998</v>
      </c>
      <c r="P63" s="7">
        <v>396.19600000000003</v>
      </c>
      <c r="Q63" s="7">
        <v>12.356999999999999</v>
      </c>
      <c r="R63" s="4">
        <v>375</v>
      </c>
      <c r="S63" s="4">
        <v>19.375</v>
      </c>
    </row>
    <row r="64" spans="6:19" x14ac:dyDescent="0.25">
      <c r="H64" s="5" t="str">
        <v>q_gas_tub_sm3day</v>
      </c>
      <c r="I64" s="5">
        <v>1650.3</v>
      </c>
      <c r="J64" s="4">
        <v>440.21699999999998</v>
      </c>
      <c r="K64" s="4">
        <v>37.042000000000002</v>
      </c>
      <c r="L64" s="7">
        <v>1215.625</v>
      </c>
      <c r="M64" s="7">
        <v>39.865000000000002</v>
      </c>
      <c r="N64" s="4">
        <v>416.66699999999997</v>
      </c>
      <c r="O64" s="4">
        <v>33.533000000000001</v>
      </c>
      <c r="P64" s="7">
        <v>440.21699999999998</v>
      </c>
      <c r="Q64" s="7">
        <v>12.397</v>
      </c>
      <c r="R64" s="4">
        <v>416.66699999999997</v>
      </c>
      <c r="S64" s="4">
        <v>20.417000000000002</v>
      </c>
    </row>
    <row r="65" spans="8:19" x14ac:dyDescent="0.25">
      <c r="H65" s="5" t="str">
        <v>q_liq_cas_sm3day</v>
      </c>
      <c r="I65" s="5">
        <v>0</v>
      </c>
      <c r="J65" s="4">
        <v>484.23899999999998</v>
      </c>
      <c r="K65" s="4">
        <v>40.127000000000002</v>
      </c>
      <c r="L65" s="7">
        <v>1235.9380000000001</v>
      </c>
      <c r="M65" s="7">
        <v>41.387</v>
      </c>
      <c r="N65" s="4">
        <v>458.33300000000003</v>
      </c>
      <c r="O65" s="4">
        <v>34.283999999999999</v>
      </c>
      <c r="P65" s="7">
        <v>484.23899999999998</v>
      </c>
      <c r="Q65" s="7">
        <v>12.436999999999999</v>
      </c>
      <c r="R65" s="4">
        <v>458.33300000000003</v>
      </c>
      <c r="S65" s="4">
        <v>21.457999999999998</v>
      </c>
    </row>
    <row r="66" spans="8:19" x14ac:dyDescent="0.25">
      <c r="H66" s="5" t="str">
        <v>q_gas_cas_sm3day</v>
      </c>
      <c r="I66" s="5">
        <v>2290.9299999999998</v>
      </c>
      <c r="J66" s="4">
        <v>528.26099999999997</v>
      </c>
      <c r="K66" s="4">
        <v>43.253999999999998</v>
      </c>
      <c r="L66" s="7">
        <v>1256.25</v>
      </c>
      <c r="M66" s="7">
        <v>42.91</v>
      </c>
      <c r="N66" s="4">
        <v>500</v>
      </c>
      <c r="O66" s="4">
        <v>35.018999999999998</v>
      </c>
      <c r="P66" s="7">
        <v>528.26099999999997</v>
      </c>
      <c r="Q66" s="7">
        <v>12.476000000000001</v>
      </c>
      <c r="R66" s="4">
        <v>500</v>
      </c>
      <c r="S66" s="4">
        <v>22.5</v>
      </c>
    </row>
    <row r="67" spans="8:19" x14ac:dyDescent="0.25">
      <c r="H67" s="5" t="str">
        <v>gas_fraction at pump</v>
      </c>
      <c r="I67" s="5">
        <v>0.27160000000000001</v>
      </c>
      <c r="J67" s="4">
        <v>572.28300000000002</v>
      </c>
      <c r="K67" s="4">
        <v>46.42</v>
      </c>
      <c r="L67" s="7">
        <v>1276.5619999999999</v>
      </c>
      <c r="M67" s="7">
        <v>44.429000000000002</v>
      </c>
      <c r="N67" s="4">
        <v>541.66700000000003</v>
      </c>
      <c r="O67" s="4">
        <v>35.731000000000002</v>
      </c>
      <c r="P67" s="7">
        <v>572.28300000000002</v>
      </c>
      <c r="Q67" s="7">
        <v>12.515000000000001</v>
      </c>
      <c r="R67" s="4">
        <v>541.66700000000003</v>
      </c>
      <c r="S67" s="4">
        <v>23.542000000000002</v>
      </c>
    </row>
    <row r="68" spans="8:19" x14ac:dyDescent="0.25">
      <c r="H68" s="5" t="str">
        <v>esp_efficiency</v>
      </c>
      <c r="I68" s="5">
        <v>0.27</v>
      </c>
      <c r="J68" s="4">
        <v>616.30399999999997</v>
      </c>
      <c r="K68" s="4">
        <v>49.62</v>
      </c>
      <c r="L68" s="7">
        <v>1296.875</v>
      </c>
      <c r="M68" s="7">
        <v>45.947000000000003</v>
      </c>
      <c r="N68" s="4">
        <v>583.33299999999997</v>
      </c>
      <c r="O68" s="4">
        <v>36.424999999999997</v>
      </c>
      <c r="P68" s="7">
        <v>616.30399999999997</v>
      </c>
      <c r="Q68" s="7">
        <v>12.555</v>
      </c>
      <c r="R68" s="4">
        <v>583.33299999999997</v>
      </c>
      <c r="S68" s="4">
        <v>24.582999999999998</v>
      </c>
    </row>
    <row r="69" spans="8:19" x14ac:dyDescent="0.25">
      <c r="H69" s="5" t="str">
        <v>esp_power_kW</v>
      </c>
      <c r="I69" s="5">
        <v>18.11</v>
      </c>
      <c r="J69" s="4">
        <v>660.32600000000002</v>
      </c>
      <c r="K69" s="4">
        <v>52.850999999999999</v>
      </c>
      <c r="L69" s="7">
        <v>1317.1880000000001</v>
      </c>
      <c r="M69" s="7">
        <v>47.463000000000001</v>
      </c>
      <c r="N69" s="4">
        <v>625</v>
      </c>
      <c r="O69" s="4">
        <v>37.097999999999999</v>
      </c>
      <c r="P69" s="7">
        <v>660.32600000000002</v>
      </c>
      <c r="Q69" s="7">
        <v>12.593999999999999</v>
      </c>
      <c r="R69" s="4">
        <v>625</v>
      </c>
      <c r="S69" s="4">
        <v>25.625</v>
      </c>
    </row>
    <row r="70" spans="8:19" x14ac:dyDescent="0.25">
      <c r="J70" s="4">
        <v>704.34799999999996</v>
      </c>
      <c r="K70" s="4">
        <v>56.11</v>
      </c>
      <c r="L70" s="7">
        <v>1337.5</v>
      </c>
      <c r="M70" s="7">
        <v>48.975999999999999</v>
      </c>
      <c r="N70" s="4">
        <v>666.66700000000003</v>
      </c>
      <c r="O70" s="4">
        <v>37.779000000000003</v>
      </c>
      <c r="P70" s="7">
        <v>692.21299999999997</v>
      </c>
      <c r="Q70" s="7">
        <v>12.622999999999999</v>
      </c>
      <c r="R70" s="4">
        <v>666.66700000000003</v>
      </c>
      <c r="S70" s="4">
        <v>26.667000000000002</v>
      </c>
    </row>
    <row r="71" spans="8:19" x14ac:dyDescent="0.25">
      <c r="J71" s="4">
        <v>748.37</v>
      </c>
      <c r="K71" s="4">
        <v>59.393999999999998</v>
      </c>
      <c r="L71" s="7">
        <v>1357.8119999999999</v>
      </c>
      <c r="M71" s="7">
        <v>50.488999999999997</v>
      </c>
      <c r="N71" s="4">
        <v>708.33299999999997</v>
      </c>
      <c r="O71" s="4">
        <v>38.636000000000003</v>
      </c>
      <c r="P71" s="7">
        <v>704.34799999999996</v>
      </c>
      <c r="Q71" s="7">
        <v>12.942</v>
      </c>
      <c r="R71" s="4">
        <v>708.33299999999997</v>
      </c>
      <c r="S71" s="4">
        <v>27.707999999999998</v>
      </c>
    </row>
    <row r="72" spans="8:19" x14ac:dyDescent="0.25">
      <c r="J72" s="4">
        <v>792.39099999999996</v>
      </c>
      <c r="K72" s="4">
        <v>62.701000000000001</v>
      </c>
      <c r="L72" s="7">
        <v>1378.125</v>
      </c>
      <c r="M72" s="7">
        <v>51.997</v>
      </c>
      <c r="N72" s="4">
        <v>750</v>
      </c>
      <c r="O72" s="4">
        <v>40.073999999999998</v>
      </c>
      <c r="P72" s="7">
        <v>748.37</v>
      </c>
      <c r="Q72" s="7">
        <v>14.148</v>
      </c>
      <c r="R72" s="4">
        <v>750</v>
      </c>
      <c r="S72" s="4">
        <v>28.75</v>
      </c>
    </row>
    <row r="73" spans="8:19" x14ac:dyDescent="0.25">
      <c r="J73" s="4">
        <v>836.41300000000001</v>
      </c>
      <c r="K73" s="4">
        <v>66.025999999999996</v>
      </c>
      <c r="L73" s="7">
        <v>1398.4380000000001</v>
      </c>
      <c r="M73" s="7">
        <v>53.503999999999998</v>
      </c>
      <c r="N73" s="4">
        <v>791.66700000000003</v>
      </c>
      <c r="O73" s="4">
        <v>41.578000000000003</v>
      </c>
      <c r="P73" s="7">
        <v>792.39099999999996</v>
      </c>
      <c r="Q73" s="7">
        <v>15.429</v>
      </c>
      <c r="R73" s="4">
        <v>791.66700000000003</v>
      </c>
      <c r="S73" s="4">
        <v>29.792000000000002</v>
      </c>
    </row>
    <row r="74" spans="8:19" x14ac:dyDescent="0.25">
      <c r="J74" s="4">
        <v>880.43499999999995</v>
      </c>
      <c r="K74" s="4">
        <v>69.367000000000004</v>
      </c>
      <c r="L74" s="7">
        <v>1418.75</v>
      </c>
      <c r="M74" s="7">
        <v>55.009</v>
      </c>
      <c r="N74" s="4">
        <v>833.33299999999997</v>
      </c>
      <c r="O74" s="4">
        <v>43.142000000000003</v>
      </c>
      <c r="P74" s="7">
        <v>836.41300000000001</v>
      </c>
      <c r="Q74" s="7">
        <v>17.058</v>
      </c>
      <c r="R74" s="4">
        <v>833.33299999999997</v>
      </c>
      <c r="S74" s="4">
        <v>30.832999999999998</v>
      </c>
    </row>
    <row r="75" spans="8:19" x14ac:dyDescent="0.25">
      <c r="J75" s="4">
        <v>924.45699999999999</v>
      </c>
      <c r="K75" s="4">
        <v>72.722999999999999</v>
      </c>
      <c r="L75" s="7">
        <v>1439.0619999999999</v>
      </c>
      <c r="M75" s="7">
        <v>56.51</v>
      </c>
      <c r="N75" s="4">
        <v>875</v>
      </c>
      <c r="O75" s="4">
        <v>44.774000000000001</v>
      </c>
      <c r="P75" s="7">
        <v>880.43499999999995</v>
      </c>
      <c r="Q75" s="7">
        <v>18.829000000000001</v>
      </c>
      <c r="R75" s="4">
        <v>875</v>
      </c>
      <c r="S75" s="4">
        <v>31.875</v>
      </c>
    </row>
    <row r="76" spans="8:19" x14ac:dyDescent="0.25">
      <c r="J76" s="4">
        <v>968.47799999999995</v>
      </c>
      <c r="K76" s="4">
        <v>76.087999999999994</v>
      </c>
      <c r="L76" s="7">
        <v>1459.375</v>
      </c>
      <c r="M76" s="7">
        <v>58.011000000000003</v>
      </c>
      <c r="N76" s="4">
        <v>916.66700000000003</v>
      </c>
      <c r="O76" s="4">
        <v>46.481999999999999</v>
      </c>
      <c r="P76" s="7">
        <v>924.45699999999999</v>
      </c>
      <c r="Q76" s="7">
        <v>20.681000000000001</v>
      </c>
      <c r="R76" s="4">
        <v>916.66700000000003</v>
      </c>
      <c r="S76" s="4">
        <v>32.917000000000002</v>
      </c>
    </row>
    <row r="77" spans="8:19" x14ac:dyDescent="0.25">
      <c r="J77" s="4">
        <v>1000</v>
      </c>
      <c r="K77" s="4">
        <v>78.501000000000005</v>
      </c>
      <c r="L77" s="7">
        <v>1479.6880000000001</v>
      </c>
      <c r="M77" s="7">
        <v>59.506999999999998</v>
      </c>
      <c r="N77" s="4">
        <v>958.33299999999997</v>
      </c>
      <c r="O77" s="4">
        <v>48.274999999999999</v>
      </c>
      <c r="P77" s="7">
        <v>968.47799999999995</v>
      </c>
      <c r="Q77" s="7">
        <v>22.608000000000001</v>
      </c>
      <c r="R77" s="4">
        <v>958.33299999999997</v>
      </c>
      <c r="S77" s="4">
        <v>33.957999999999998</v>
      </c>
    </row>
    <row r="78" spans="8:19" x14ac:dyDescent="0.25">
      <c r="J78" s="4">
        <v>1012.5</v>
      </c>
      <c r="K78" s="4">
        <v>24.54</v>
      </c>
      <c r="L78" s="7">
        <v>1500</v>
      </c>
      <c r="M78" s="7">
        <v>61.002000000000002</v>
      </c>
      <c r="N78" s="4">
        <v>1000</v>
      </c>
      <c r="O78" s="4">
        <v>50.161999999999999</v>
      </c>
      <c r="P78" s="7">
        <v>1012.5</v>
      </c>
      <c r="Q78" s="7">
        <v>24.54</v>
      </c>
      <c r="R78" s="4">
        <v>1000</v>
      </c>
      <c r="S78" s="4">
        <v>35</v>
      </c>
    </row>
    <row r="79" spans="8:19" x14ac:dyDescent="0.25">
      <c r="N79" s="4">
        <v>1012.5</v>
      </c>
      <c r="O79" s="4">
        <v>42.651000000000003</v>
      </c>
      <c r="R79" s="4">
        <v>1012.5</v>
      </c>
      <c r="S79" s="4">
        <v>35.506</v>
      </c>
    </row>
    <row r="80" spans="8:19" x14ac:dyDescent="0.25">
      <c r="N80" s="4">
        <v>1066.6669999999999</v>
      </c>
      <c r="O80" s="4">
        <v>45.191000000000003</v>
      </c>
      <c r="R80" s="4">
        <v>1066.6669999999999</v>
      </c>
      <c r="S80" s="4">
        <v>37.700000000000003</v>
      </c>
    </row>
    <row r="81" spans="14:19" x14ac:dyDescent="0.25">
      <c r="N81" s="4">
        <v>1120.8330000000001</v>
      </c>
      <c r="O81" s="4">
        <v>47.875</v>
      </c>
      <c r="R81" s="4">
        <v>1120.8330000000001</v>
      </c>
      <c r="S81" s="4">
        <v>39.893999999999998</v>
      </c>
    </row>
    <row r="82" spans="14:19" x14ac:dyDescent="0.25">
      <c r="N82" s="4">
        <v>1175</v>
      </c>
      <c r="O82" s="4">
        <v>50.764000000000003</v>
      </c>
      <c r="R82" s="4">
        <v>1175</v>
      </c>
      <c r="S82" s="4">
        <v>42.088000000000001</v>
      </c>
    </row>
    <row r="83" spans="14:19" x14ac:dyDescent="0.25">
      <c r="N83" s="4">
        <v>1229.1669999999999</v>
      </c>
      <c r="O83" s="4">
        <v>53.94</v>
      </c>
      <c r="R83" s="4">
        <v>1229.1669999999999</v>
      </c>
      <c r="S83" s="4">
        <v>44.280999999999999</v>
      </c>
    </row>
    <row r="84" spans="14:19" x14ac:dyDescent="0.25">
      <c r="N84" s="4">
        <v>1283.3330000000001</v>
      </c>
      <c r="O84" s="4">
        <v>57.521000000000001</v>
      </c>
      <c r="R84" s="4">
        <v>1283.3330000000001</v>
      </c>
      <c r="S84" s="4">
        <v>46.475000000000001</v>
      </c>
    </row>
    <row r="85" spans="14:19" x14ac:dyDescent="0.25">
      <c r="N85" s="4">
        <v>1337.5</v>
      </c>
      <c r="O85" s="4">
        <v>61.668999999999997</v>
      </c>
      <c r="R85" s="4">
        <v>1337.5</v>
      </c>
      <c r="S85" s="4">
        <v>48.668999999999997</v>
      </c>
    </row>
    <row r="86" spans="14:19" x14ac:dyDescent="0.25">
      <c r="N86" s="4">
        <v>1391.6669999999999</v>
      </c>
      <c r="O86" s="4">
        <v>66.603999999999999</v>
      </c>
      <c r="R86" s="4">
        <v>1391.6669999999999</v>
      </c>
      <c r="S86" s="4">
        <v>50.863</v>
      </c>
    </row>
    <row r="87" spans="14:19" x14ac:dyDescent="0.25">
      <c r="N87" s="4">
        <v>1445.8330000000001</v>
      </c>
      <c r="O87" s="4">
        <v>72.631</v>
      </c>
      <c r="R87" s="4">
        <v>1445.8330000000001</v>
      </c>
      <c r="S87" s="4">
        <v>53.055999999999997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8" r:id="rId3" name="Button 104">
              <controlPr defaultSize="0" print="0" autoFill="0" autoPict="0" macro="[0]!calc_pwf">
                <anchor moveWithCells="1" sizeWithCells="1">
                  <from>
                    <xdr:col>6</xdr:col>
                    <xdr:colOff>95250</xdr:colOff>
                    <xdr:row>4</xdr:row>
                    <xdr:rowOff>161925</xdr:rowOff>
                  </from>
                  <to>
                    <xdr:col>7</xdr:col>
                    <xdr:colOff>866775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34</vt:i4>
      </vt:variant>
    </vt:vector>
  </HeadingPairs>
  <TitlesOfParts>
    <vt:vector size="35" baseType="lpstr">
      <vt:lpstr>Лист1</vt:lpstr>
      <vt:lpstr>esp_efficiency</vt:lpstr>
      <vt:lpstr>esp_json</vt:lpstr>
      <vt:lpstr>esp_power_kW</vt:lpstr>
      <vt:lpstr>feed_json</vt:lpstr>
      <vt:lpstr>gas_fraction_at_pump</vt:lpstr>
      <vt:lpstr>h_crit_m</vt:lpstr>
      <vt:lpstr>h_dyn_m</vt:lpstr>
      <vt:lpstr>IPR_json</vt:lpstr>
      <vt:lpstr>ksep_gas_d</vt:lpstr>
      <vt:lpstr>ksep_liq_d</vt:lpstr>
      <vt:lpstr>p_buf_atma</vt:lpstr>
      <vt:lpstr>p_cas_atma</vt:lpstr>
      <vt:lpstr>p_cas_limit_atma</vt:lpstr>
      <vt:lpstr>p_dis_atma</vt:lpstr>
      <vt:lpstr>p_intake_atma</vt:lpstr>
      <vt:lpstr>p_wf_atma</vt:lpstr>
      <vt:lpstr>pipe_diam</vt:lpstr>
      <vt:lpstr>pipe_diam_1</vt:lpstr>
      <vt:lpstr>pipe_trajectory</vt:lpstr>
      <vt:lpstr>prod_index</vt:lpstr>
      <vt:lpstr>PVT_json</vt:lpstr>
      <vt:lpstr>q_gas_cas_sm3day</vt:lpstr>
      <vt:lpstr>q_gas_tub_sm3day</vt:lpstr>
      <vt:lpstr>q_liq_cas_sm3day</vt:lpstr>
      <vt:lpstr>q_liq_sm3day</vt:lpstr>
      <vt:lpstr>q_liq_tub_sm3day</vt:lpstr>
      <vt:lpstr>t_dis_C</vt:lpstr>
      <vt:lpstr>t_intake_C</vt:lpstr>
      <vt:lpstr>t_model</vt:lpstr>
      <vt:lpstr>t_surf_C</vt:lpstr>
      <vt:lpstr>well_res_from_pwf</vt:lpstr>
      <vt:lpstr>Рбуф</vt:lpstr>
      <vt:lpstr>Рзаб</vt:lpstr>
      <vt:lpstr>Рзатр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rnt</dc:creator>
  <cp:lastModifiedBy>rnt</cp:lastModifiedBy>
  <dcterms:created xsi:type="dcterms:W3CDTF">2025-05-12T12:46:45Z</dcterms:created>
  <dcterms:modified xsi:type="dcterms:W3CDTF">2025-05-12T14:01:58Z</dcterms:modified>
</cp:coreProperties>
</file>