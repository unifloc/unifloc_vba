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E:\unifloc\курс энергоффективность\"/>
    </mc:Choice>
  </mc:AlternateContent>
  <xr:revisionPtr revIDLastSave="0" documentId="13_ncr:1_{80618508-C59D-4BC7-9CBE-137D849124A9}" xr6:coauthVersionLast="47" xr6:coauthVersionMax="47" xr10:uidLastSave="{00000000-0000-0000-0000-000000000000}"/>
  <bookViews>
    <workbookView xWindow="2325" yWindow="675" windowWidth="27795" windowHeight="16815" xr2:uid="{4D6F06BE-4740-4A4D-BC97-C163B6BFF668}"/>
  </bookViews>
  <sheets>
    <sheet name="Лист1" sheetId="1" r:id="rId1"/>
  </sheets>
  <externalReferences>
    <externalReference r:id="rId2"/>
  </externalReferences>
  <definedNames>
    <definedName name="esp_json">Лист1!$C$13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13" i="1"/>
  <c r="H2" i="1" l="1"/>
  <c r="H5" i="1"/>
  <c r="H6" i="1" s="1"/>
  <c r="G8" i="1" s="1" a="1"/>
  <c r="G23" i="1" l="1"/>
  <c r="G27" i="1"/>
  <c r="G22" i="1"/>
  <c r="G19" i="1"/>
  <c r="G12" i="1"/>
  <c r="G28" i="1"/>
  <c r="G17" i="1"/>
  <c r="G25" i="1"/>
  <c r="G14" i="1"/>
  <c r="G24" i="1"/>
  <c r="G13" i="1"/>
  <c r="G10" i="1"/>
  <c r="G26" i="1"/>
  <c r="G21" i="1"/>
  <c r="G18" i="1"/>
  <c r="G11" i="1"/>
  <c r="G9" i="1"/>
  <c r="G8" i="1"/>
  <c r="G15" i="1"/>
  <c r="G20" i="1"/>
  <c r="G16" i="1"/>
  <c r="H28" i="1"/>
  <c r="I28" i="1"/>
  <c r="J28" i="1"/>
  <c r="H8" i="1"/>
  <c r="I8" i="1"/>
  <c r="J8" i="1"/>
  <c r="H17" i="1"/>
  <c r="I17" i="1"/>
  <c r="J17" i="1"/>
  <c r="H15" i="1"/>
  <c r="I15" i="1"/>
  <c r="J15" i="1"/>
  <c r="H25" i="1"/>
  <c r="I25" i="1"/>
  <c r="J25" i="1"/>
  <c r="H20" i="1"/>
  <c r="I20" i="1"/>
  <c r="J20" i="1"/>
  <c r="H14" i="1"/>
  <c r="I14" i="1"/>
  <c r="J14" i="1"/>
  <c r="H16" i="1"/>
  <c r="I16" i="1"/>
  <c r="J16" i="1"/>
  <c r="H10" i="1"/>
  <c r="I10" i="1"/>
  <c r="J10" i="1"/>
  <c r="H23" i="1"/>
  <c r="I23" i="1"/>
  <c r="J23" i="1"/>
  <c r="H26" i="1"/>
  <c r="I26" i="1"/>
  <c r="J26" i="1"/>
  <c r="H27" i="1"/>
  <c r="I27" i="1"/>
  <c r="J27" i="1"/>
  <c r="H21" i="1"/>
  <c r="I21" i="1"/>
  <c r="J21" i="1"/>
  <c r="H22" i="1"/>
  <c r="I22" i="1"/>
  <c r="J22" i="1"/>
  <c r="H18" i="1"/>
  <c r="I18" i="1"/>
  <c r="J18" i="1"/>
  <c r="H24" i="1"/>
  <c r="I24" i="1"/>
  <c r="J24" i="1"/>
  <c r="H13" i="1"/>
  <c r="I13" i="1"/>
  <c r="J13" i="1"/>
  <c r="H19" i="1"/>
  <c r="I19" i="1"/>
  <c r="J19" i="1"/>
  <c r="H11" i="1"/>
  <c r="I11" i="1"/>
  <c r="J11" i="1"/>
  <c r="H12" i="1"/>
  <c r="I12" i="1"/>
  <c r="J12" i="1"/>
  <c r="H9" i="1"/>
  <c r="I9" i="1"/>
  <c r="J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rnt</author>
  </authors>
  <commentList>
    <comment ref="C2" authorId="0" shapeId="0" xr:uid="{F543826C-5166-4EA5-AA6C-FE4A7BEA89F9}">
      <text>
        <r>
          <rPr>
            <sz val="9"/>
            <color indexed="81"/>
            <rFont val="Tahoma"/>
            <charset val="1"/>
          </rPr>
          <t>Номинальная подача ЭЦН, для которой задается номинальный напор.Нужна для определения ID насоса. Если ID задать непосредственно, то можно не указывать</t>
        </r>
      </text>
    </comment>
    <comment ref="H2" authorId="0" shapeId="0" xr:uid="{9C409A2D-D0D2-4C08-B7DC-EAE75173B419}">
      <text>
        <r>
          <rPr>
            <sz val="9"/>
            <color indexed="81"/>
            <rFont val="Tahoma"/>
            <charset val="1"/>
          </rPr>
          <t>json задающий параметры ЭЦН. Используйте encode_ESP_pump() для генерации</t>
        </r>
      </text>
    </comment>
    <comment ref="C3" authorId="0" shapeId="0" xr:uid="{D5695868-441E-444E-A3CD-E192172DF362}">
      <text>
        <r>
          <rPr>
            <sz val="9"/>
            <color indexed="81"/>
            <rFont val="Tahoma"/>
            <charset val="1"/>
          </rPr>
          <t>Номинальный напор ЭЦН. Нужен для определения количества ступеней насоса. Если кол-во ступеней задать явно, то можно не указывать</t>
        </r>
      </text>
    </comment>
    <comment ref="H3" authorId="0" shapeId="0" xr:uid="{8D9903B6-24EE-49D2-8BBF-5DDFA089186D}">
      <text>
        <r>
          <rPr>
            <sz val="9"/>
            <color indexed="81"/>
            <rFont val="Tahoma"/>
            <charset val="1"/>
          </rPr>
          <t>Частота вращения вала ЭЦН</t>
        </r>
      </text>
    </comment>
    <comment ref="C4" authorId="0" shapeId="0" xr:uid="{CDD50B20-9051-43B2-9950-C5F023476F88}">
      <text>
        <r>
          <rPr>
            <sz val="9"/>
            <color indexed="81"/>
            <rFont val="Tahoma"/>
            <charset val="1"/>
          </rPr>
          <t xml:space="preserve">Номинальная частота питающего тока. Обычно 50 Гц. Для зарубежных ЭЦН может быть 60 Гц. Для ПЭД с двумя парами полюсов может быть 100 Гц. </t>
        </r>
      </text>
    </comment>
    <comment ref="H4" authorId="0" shapeId="0" xr:uid="{BD82E410-9E85-4CBB-BE57-889015CF19C2}">
      <text>
        <r>
          <rPr>
            <sz val="9"/>
            <color indexed="81"/>
            <rFont val="Tahoma"/>
            <charset val="1"/>
          </rPr>
          <t>Вязкость, кинематическая сСт</t>
        </r>
      </text>
    </comment>
    <comment ref="C5" authorId="0" shapeId="0" xr:uid="{6B1A139A-2703-4E67-BAB8-A90B6767CD0B}">
      <text>
        <r>
          <rPr>
            <sz val="9"/>
            <color indexed="81"/>
            <rFont val="Tahoma"/>
            <charset val="1"/>
          </rPr>
          <t xml:space="preserve">ID (номер) насоса в базе данных. Вычисляется по номинальной подаче. Может быть задан явно, тогда номинальная подача игнорируется. ID и номинальная частота определяют модель насоса. </t>
        </r>
      </text>
    </comment>
    <comment ref="H5" authorId="0" shapeId="0" xr:uid="{0EFAD4B5-8063-4CEF-9BB5-4BC702791650}">
      <text>
        <r>
          <rPr>
            <sz val="9"/>
            <color indexed="81"/>
            <rFont val="Tahoma"/>
            <charset val="1"/>
          </rPr>
          <t>Максимальная подача - используется для построения графиков</t>
        </r>
      </text>
    </comment>
    <comment ref="C6" authorId="0" shapeId="0" xr:uid="{F9CD2153-B44D-42C9-9FE1-75BCE26C5D1F}">
      <text>
        <r>
          <rPr>
            <sz val="9"/>
            <color indexed="81"/>
            <rFont val="Tahoma"/>
            <charset val="1"/>
          </rPr>
          <t xml:space="preserve">Количество ступеней ЭЦН. Вычисляется по номинальному напору. Может быть задано явно, тогда номинальный напор игнорируется.  </t>
        </r>
      </text>
    </comment>
    <comment ref="H6" authorId="0" shapeId="0" xr:uid="{C6BEDEC0-5559-4F43-BF65-3EDCC1299D48}">
      <text>
        <r>
          <rPr>
            <sz val="9"/>
            <color indexed="81"/>
            <rFont val="Tahoma"/>
            <charset val="1"/>
          </rPr>
          <t>Сгенерированный список подач - используется для построения графиков</t>
        </r>
      </text>
    </comment>
    <comment ref="C7" authorId="0" shapeId="0" xr:uid="{C6B55A89-4977-4798-A0A7-9E0393B5ADFE}">
      <text>
        <r>
          <rPr>
            <sz val="9"/>
            <color indexed="81"/>
            <rFont val="Tahoma"/>
            <charset val="1"/>
          </rPr>
          <t xml:space="preserve">Калибровочный множитель на напор ступени.   </t>
        </r>
      </text>
    </comment>
    <comment ref="C8" authorId="0" shapeId="0" xr:uid="{4D4C97FA-E871-4784-A9AC-E23C49BB7F14}">
      <text>
        <r>
          <rPr>
            <sz val="9"/>
            <color indexed="81"/>
            <rFont val="Tahoma"/>
            <charset val="1"/>
          </rPr>
          <t xml:space="preserve">Калибровочный множитель на подачу ступени.   </t>
        </r>
      </text>
    </comment>
    <comment ref="C9" authorId="0" shapeId="0" xr:uid="{A47220E3-7510-4AF8-8211-B7C17373789C}">
      <text>
        <r>
          <rPr>
            <sz val="9"/>
            <color indexed="81"/>
            <rFont val="Tahoma"/>
            <charset val="1"/>
          </rPr>
          <t xml:space="preserve">Калибровочный множитель на мощностную характеристику ступени.   </t>
        </r>
      </text>
    </comment>
    <comment ref="C10" authorId="0" shapeId="0" xr:uid="{E4A45816-01BF-4F7A-B7E6-E9E127447E3E}">
      <text>
        <r>
          <rPr>
            <sz val="9"/>
            <color indexed="81"/>
            <rFont val="Tahoma"/>
            <charset val="1"/>
          </rPr>
          <t xml:space="preserve">Модель корректировки РНХ из за влияния газа. 0 - нет корректировки. 1 - стандратный ЭЦН с пределом по газу 25%. 2 - ЭЦН с газостабилизирующими модулями с пределом по газу 50% 4 - ЭЦН с осевым модулем с пределом по газу 75%, 5 - ЭЦН с пределом 25% на основе стендовых испытаний Горидько К.А. </t>
        </r>
      </text>
    </comment>
    <comment ref="C11" authorId="0" shapeId="0" xr:uid="{8B63799C-1787-4EA6-B563-2C6CC3E2C767}">
      <text>
        <r>
          <rPr>
            <sz val="9"/>
            <color indexed="81"/>
            <rFont val="Tahoma"/>
            <charset val="1"/>
          </rPr>
          <t xml:space="preserve">Экспериментальная опция. Определяет будет ли корректировка по газу применяться ко всем ступеням ЭЦН одинаково (0), или к каждой ступени индивидуально (1).  </t>
        </r>
      </text>
    </comment>
    <comment ref="C12" authorId="0" shapeId="0" xr:uid="{95816649-1644-412D-B93C-7C6C2F98B52D}">
      <text>
        <r>
          <rPr>
            <sz val="9"/>
            <color indexed="81"/>
            <rFont val="Tahoma"/>
            <charset val="1"/>
          </rPr>
          <t xml:space="preserve">Шаг интегрирования перепада давления в ЭЦН. 1 значит интегрирование по отдельным ступеням Целое число более 1 определяет шаг интегрирования. 10 - расчет пакетами по 10 ступеней. Большой шаг ускоряет расчет, но вносит численную ошибку интегрирования </t>
        </r>
      </text>
    </comment>
    <comment ref="C13" authorId="0" shapeId="0" xr:uid="{38B926E9-D6BF-49FD-94AF-4C9C3174A7A4}">
      <text>
        <r>
          <rPr>
            <sz val="9"/>
            <color indexed="81"/>
            <rFont val="Tahoma"/>
            <charset val="1"/>
          </rPr>
          <t>закодированные в json параметры ЭЦН. Могут быть заданы с использованием ID насоса и количества ступеней или на основе номинальной подачи и номинального напора</t>
        </r>
      </text>
    </comment>
  </commentList>
</comments>
</file>

<file path=xl/sharedStrings.xml><?xml version="1.0" encoding="utf-8"?>
<sst xmlns="http://schemas.openxmlformats.org/spreadsheetml/2006/main" count="21" uniqueCount="21">
  <si>
    <t>esp_json</t>
  </si>
  <si>
    <t>freq_Hz</t>
  </si>
  <si>
    <t>mu_cSt</t>
  </si>
  <si>
    <t>qmax</t>
  </si>
  <si>
    <t>qlist</t>
  </si>
  <si>
    <t>q</t>
  </si>
  <si>
    <t>head</t>
  </si>
  <si>
    <t>power</t>
  </si>
  <si>
    <t>eff</t>
  </si>
  <si>
    <t>ESP_q_nom</t>
  </si>
  <si>
    <t>ESP_head_nom</t>
  </si>
  <si>
    <t>freq_nom</t>
  </si>
  <si>
    <t>ESP_ID</t>
  </si>
  <si>
    <t>num_stages</t>
  </si>
  <si>
    <t>calibr_head</t>
  </si>
  <si>
    <t>calibr_rate</t>
  </si>
  <si>
    <t>calibr_power</t>
  </si>
  <si>
    <t>gas_correct_model</t>
  </si>
  <si>
    <t>gas_correct_stage_by_stage</t>
  </si>
  <si>
    <t>dnum_stages_integrate</t>
  </si>
  <si>
    <t>encode_esp_pump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</si>
</sst>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FAA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E1C896"/>
        <bgColor indexed="64"/>
      </patternFill>
    </fill>
    <fill>
      <patternFill patternType="solid">
        <fgColor rgb="FFA0FA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Лист1!$G$7:$I$7</c:f>
              <c:strCache>
                <c:ptCount val="1"/>
                <c:pt idx="0">
                  <c:v>q head 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Лист1!$J$2:$J$6</c:f>
              <c:numCache>
                <c:formatCode>General</c:formatCode>
                <c:ptCount val="5"/>
              </c:numCache>
            </c:numRef>
          </c:xVal>
          <c:yVal>
            <c:numRef>
              <c:f>Лист1!$J$7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E-4FF9-AE2B-239CF68054CD}"/>
            </c:ext>
          </c:extLst>
        </c:ser>
        <c:ser>
          <c:idx val="1"/>
          <c:order val="1"/>
          <c:tx>
            <c:v>head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Лист1!$G$8:$G$28</c:f>
              <c:numCache>
                <c:formatCode>General</c:formatCode>
                <c:ptCount val="21"/>
                <c:pt idx="0">
                  <c:v>1</c:v>
                </c:pt>
                <c:pt idx="1">
                  <c:v>11.45</c:v>
                </c:pt>
                <c:pt idx="2">
                  <c:v>21.9</c:v>
                </c:pt>
                <c:pt idx="3">
                  <c:v>32.35</c:v>
                </c:pt>
                <c:pt idx="4">
                  <c:v>42.8</c:v>
                </c:pt>
                <c:pt idx="5">
                  <c:v>53.25</c:v>
                </c:pt>
                <c:pt idx="6">
                  <c:v>63.7</c:v>
                </c:pt>
                <c:pt idx="7">
                  <c:v>74.150000000000006</c:v>
                </c:pt>
                <c:pt idx="8">
                  <c:v>84.6</c:v>
                </c:pt>
                <c:pt idx="9">
                  <c:v>95.05</c:v>
                </c:pt>
                <c:pt idx="10">
                  <c:v>105.5</c:v>
                </c:pt>
                <c:pt idx="11">
                  <c:v>115.95</c:v>
                </c:pt>
                <c:pt idx="12">
                  <c:v>126.4</c:v>
                </c:pt>
                <c:pt idx="13">
                  <c:v>136.85</c:v>
                </c:pt>
                <c:pt idx="14">
                  <c:v>147.30000000000001</c:v>
                </c:pt>
                <c:pt idx="15">
                  <c:v>157.75</c:v>
                </c:pt>
                <c:pt idx="16">
                  <c:v>168.2</c:v>
                </c:pt>
                <c:pt idx="17">
                  <c:v>178.65</c:v>
                </c:pt>
                <c:pt idx="18">
                  <c:v>189.1</c:v>
                </c:pt>
                <c:pt idx="19">
                  <c:v>199.55</c:v>
                </c:pt>
                <c:pt idx="20">
                  <c:v>210</c:v>
                </c:pt>
              </c:numCache>
            </c:numRef>
          </c:xVal>
          <c:yVal>
            <c:numRef>
              <c:f>Лист1!$H$8:$H$28</c:f>
              <c:numCache>
                <c:formatCode>General</c:formatCode>
                <c:ptCount val="21"/>
                <c:pt idx="0">
                  <c:v>1652.0416666666667</c:v>
                </c:pt>
                <c:pt idx="1">
                  <c:v>1668.3915625000002</c:v>
                </c:pt>
                <c:pt idx="2">
                  <c:v>1675.6412499999999</c:v>
                </c:pt>
                <c:pt idx="3">
                  <c:v>1673.8142935378087</c:v>
                </c:pt>
                <c:pt idx="4">
                  <c:v>1663.2748839506173</c:v>
                </c:pt>
                <c:pt idx="5">
                  <c:v>1643.3521484375001</c:v>
                </c:pt>
                <c:pt idx="6">
                  <c:v>1611.6645133089135</c:v>
                </c:pt>
                <c:pt idx="7">
                  <c:v>1550.6062486607141</c:v>
                </c:pt>
                <c:pt idx="8">
                  <c:v>1453.078966498397</c:v>
                </c:pt>
                <c:pt idx="9">
                  <c:v>1331.6708394520817</c:v>
                </c:pt>
                <c:pt idx="10">
                  <c:v>1193.0403272171252</c:v>
                </c:pt>
                <c:pt idx="11">
                  <c:v>1042.7663331939711</c:v>
                </c:pt>
                <c:pt idx="12">
                  <c:v>882.62882969331565</c:v>
                </c:pt>
                <c:pt idx="13">
                  <c:v>711.8608333333334</c:v>
                </c:pt>
                <c:pt idx="14">
                  <c:v>530.65285714285687</c:v>
                </c:pt>
                <c:pt idx="15">
                  <c:v>339.04464285714283</c:v>
                </c:pt>
                <c:pt idx="16">
                  <c:v>137.03619047619071</c:v>
                </c:pt>
                <c:pt idx="17">
                  <c:v>-73.217261904762012</c:v>
                </c:pt>
                <c:pt idx="18">
                  <c:v>-282.83928571428555</c:v>
                </c:pt>
                <c:pt idx="19">
                  <c:v>-492.46130952380969</c:v>
                </c:pt>
                <c:pt idx="20">
                  <c:v>-702.08333333333326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2E-4FF9-AE2B-239CF6805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208767"/>
        <c:axId val="373201087"/>
      </c:scatterChart>
      <c:scatterChart>
        <c:scatterStyle val="lineMarker"/>
        <c:varyColors val="0"/>
        <c:ser>
          <c:idx val="2"/>
          <c:order val="2"/>
          <c:tx>
            <c:v>power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Лист1!$G$8:$G$28</c:f>
              <c:numCache>
                <c:formatCode>General</c:formatCode>
                <c:ptCount val="21"/>
                <c:pt idx="0">
                  <c:v>1</c:v>
                </c:pt>
                <c:pt idx="1">
                  <c:v>11.45</c:v>
                </c:pt>
                <c:pt idx="2">
                  <c:v>21.9</c:v>
                </c:pt>
                <c:pt idx="3">
                  <c:v>32.35</c:v>
                </c:pt>
                <c:pt idx="4">
                  <c:v>42.8</c:v>
                </c:pt>
                <c:pt idx="5">
                  <c:v>53.25</c:v>
                </c:pt>
                <c:pt idx="6">
                  <c:v>63.7</c:v>
                </c:pt>
                <c:pt idx="7">
                  <c:v>74.150000000000006</c:v>
                </c:pt>
                <c:pt idx="8">
                  <c:v>84.6</c:v>
                </c:pt>
                <c:pt idx="9">
                  <c:v>95.05</c:v>
                </c:pt>
                <c:pt idx="10">
                  <c:v>105.5</c:v>
                </c:pt>
                <c:pt idx="11">
                  <c:v>115.95</c:v>
                </c:pt>
                <c:pt idx="12">
                  <c:v>126.4</c:v>
                </c:pt>
                <c:pt idx="13">
                  <c:v>136.85</c:v>
                </c:pt>
                <c:pt idx="14">
                  <c:v>147.30000000000001</c:v>
                </c:pt>
                <c:pt idx="15">
                  <c:v>157.75</c:v>
                </c:pt>
                <c:pt idx="16">
                  <c:v>168.2</c:v>
                </c:pt>
                <c:pt idx="17">
                  <c:v>178.65</c:v>
                </c:pt>
                <c:pt idx="18">
                  <c:v>189.1</c:v>
                </c:pt>
                <c:pt idx="19">
                  <c:v>199.55</c:v>
                </c:pt>
                <c:pt idx="20">
                  <c:v>210</c:v>
                </c:pt>
              </c:numCache>
            </c:numRef>
          </c:xVal>
          <c:yVal>
            <c:numRef>
              <c:f>Лист1!$I$8:$I$28</c:f>
              <c:numCache>
                <c:formatCode>General</c:formatCode>
                <c:ptCount val="21"/>
                <c:pt idx="0">
                  <c:v>21812.083333333332</c:v>
                </c:pt>
                <c:pt idx="1">
                  <c:v>22410.99895833333</c:v>
                </c:pt>
                <c:pt idx="2">
                  <c:v>22918.912499999999</c:v>
                </c:pt>
                <c:pt idx="3">
                  <c:v>23332.917685892491</c:v>
                </c:pt>
                <c:pt idx="4">
                  <c:v>23608.097646090537</c:v>
                </c:pt>
                <c:pt idx="5">
                  <c:v>23827.193359375004</c:v>
                </c:pt>
                <c:pt idx="6">
                  <c:v>24110.288534009971</c:v>
                </c:pt>
                <c:pt idx="7">
                  <c:v>24473.231273437501</c:v>
                </c:pt>
                <c:pt idx="8">
                  <c:v>25029.538935048953</c:v>
                </c:pt>
                <c:pt idx="9">
                  <c:v>25848.036647477045</c:v>
                </c:pt>
                <c:pt idx="10">
                  <c:v>26796.106730346946</c:v>
                </c:pt>
                <c:pt idx="11">
                  <c:v>27790.91998315923</c:v>
                </c:pt>
                <c:pt idx="12">
                  <c:v>28860.322948842462</c:v>
                </c:pt>
                <c:pt idx="13">
                  <c:v>30021.576388888891</c:v>
                </c:pt>
                <c:pt idx="14">
                  <c:v>31270.392857142859</c:v>
                </c:pt>
                <c:pt idx="15">
                  <c:v>32605.877976190481</c:v>
                </c:pt>
                <c:pt idx="16">
                  <c:v>34028.031746031753</c:v>
                </c:pt>
                <c:pt idx="17">
                  <c:v>35000</c:v>
                </c:pt>
                <c:pt idx="18">
                  <c:v>35000</c:v>
                </c:pt>
                <c:pt idx="19">
                  <c:v>35000</c:v>
                </c:pt>
                <c:pt idx="20">
                  <c:v>35000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2E-4FF9-AE2B-239CF6805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223167"/>
        <c:axId val="373211647"/>
      </c:scatterChart>
      <c:valAx>
        <c:axId val="37320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Qliq, sm3/day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3201087"/>
        <c:crosses val="autoZero"/>
        <c:crossBetween val="midCat"/>
      </c:valAx>
      <c:valAx>
        <c:axId val="37320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Head,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3208767"/>
        <c:crosses val="autoZero"/>
        <c:crossBetween val="midCat"/>
      </c:valAx>
      <c:valAx>
        <c:axId val="3732116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Power, 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3223167"/>
        <c:crosses val="max"/>
        <c:crossBetween val="midCat"/>
      </c:valAx>
      <c:valAx>
        <c:axId val="3732231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3211647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Лист1!$G$7:$I$7</c:f>
              <c:strCache>
                <c:ptCount val="1"/>
                <c:pt idx="0">
                  <c:v>q head 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Лист1!$J$2:$J$6</c:f>
              <c:numCache>
                <c:formatCode>General</c:formatCode>
                <c:ptCount val="5"/>
              </c:numCache>
            </c:numRef>
          </c:xVal>
          <c:yVal>
            <c:numRef>
              <c:f>Лист1!$J$7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48-41A8-B0EB-10C7334C4CEE}"/>
            </c:ext>
          </c:extLst>
        </c:ser>
        <c:ser>
          <c:idx val="1"/>
          <c:order val="1"/>
          <c:tx>
            <c:v>head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Лист1!$G$8:$G$28</c:f>
              <c:numCache>
                <c:formatCode>General</c:formatCode>
                <c:ptCount val="21"/>
                <c:pt idx="0">
                  <c:v>1</c:v>
                </c:pt>
                <c:pt idx="1">
                  <c:v>11.45</c:v>
                </c:pt>
                <c:pt idx="2">
                  <c:v>21.9</c:v>
                </c:pt>
                <c:pt idx="3">
                  <c:v>32.35</c:v>
                </c:pt>
                <c:pt idx="4">
                  <c:v>42.8</c:v>
                </c:pt>
                <c:pt idx="5">
                  <c:v>53.25</c:v>
                </c:pt>
                <c:pt idx="6">
                  <c:v>63.7</c:v>
                </c:pt>
                <c:pt idx="7">
                  <c:v>74.150000000000006</c:v>
                </c:pt>
                <c:pt idx="8">
                  <c:v>84.6</c:v>
                </c:pt>
                <c:pt idx="9">
                  <c:v>95.05</c:v>
                </c:pt>
                <c:pt idx="10">
                  <c:v>105.5</c:v>
                </c:pt>
                <c:pt idx="11">
                  <c:v>115.95</c:v>
                </c:pt>
                <c:pt idx="12">
                  <c:v>126.4</c:v>
                </c:pt>
                <c:pt idx="13">
                  <c:v>136.85</c:v>
                </c:pt>
                <c:pt idx="14">
                  <c:v>147.30000000000001</c:v>
                </c:pt>
                <c:pt idx="15">
                  <c:v>157.75</c:v>
                </c:pt>
                <c:pt idx="16">
                  <c:v>168.2</c:v>
                </c:pt>
                <c:pt idx="17">
                  <c:v>178.65</c:v>
                </c:pt>
                <c:pt idx="18">
                  <c:v>189.1</c:v>
                </c:pt>
                <c:pt idx="19">
                  <c:v>199.55</c:v>
                </c:pt>
                <c:pt idx="20">
                  <c:v>210</c:v>
                </c:pt>
              </c:numCache>
            </c:numRef>
          </c:xVal>
          <c:yVal>
            <c:numRef>
              <c:f>Лист1!$H$8:$H$28</c:f>
              <c:numCache>
                <c:formatCode>General</c:formatCode>
                <c:ptCount val="21"/>
                <c:pt idx="0">
                  <c:v>1652.0416666666667</c:v>
                </c:pt>
                <c:pt idx="1">
                  <c:v>1668.3915625000002</c:v>
                </c:pt>
                <c:pt idx="2">
                  <c:v>1675.6412499999999</c:v>
                </c:pt>
                <c:pt idx="3">
                  <c:v>1673.8142935378087</c:v>
                </c:pt>
                <c:pt idx="4">
                  <c:v>1663.2748839506173</c:v>
                </c:pt>
                <c:pt idx="5">
                  <c:v>1643.3521484375001</c:v>
                </c:pt>
                <c:pt idx="6">
                  <c:v>1611.6645133089135</c:v>
                </c:pt>
                <c:pt idx="7">
                  <c:v>1550.6062486607141</c:v>
                </c:pt>
                <c:pt idx="8">
                  <c:v>1453.078966498397</c:v>
                </c:pt>
                <c:pt idx="9">
                  <c:v>1331.6708394520817</c:v>
                </c:pt>
                <c:pt idx="10">
                  <c:v>1193.0403272171252</c:v>
                </c:pt>
                <c:pt idx="11">
                  <c:v>1042.7663331939711</c:v>
                </c:pt>
                <c:pt idx="12">
                  <c:v>882.62882969331565</c:v>
                </c:pt>
                <c:pt idx="13">
                  <c:v>711.8608333333334</c:v>
                </c:pt>
                <c:pt idx="14">
                  <c:v>530.65285714285687</c:v>
                </c:pt>
                <c:pt idx="15">
                  <c:v>339.04464285714283</c:v>
                </c:pt>
                <c:pt idx="16">
                  <c:v>137.03619047619071</c:v>
                </c:pt>
                <c:pt idx="17">
                  <c:v>-73.217261904762012</c:v>
                </c:pt>
                <c:pt idx="18">
                  <c:v>-282.83928571428555</c:v>
                </c:pt>
                <c:pt idx="19">
                  <c:v>-492.46130952380969</c:v>
                </c:pt>
                <c:pt idx="20">
                  <c:v>-702.08333333333326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48-41A8-B0EB-10C7334C4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203007"/>
        <c:axId val="373215007"/>
      </c:scatterChart>
      <c:scatterChart>
        <c:scatterStyle val="lineMarker"/>
        <c:varyColors val="0"/>
        <c:ser>
          <c:idx val="2"/>
          <c:order val="2"/>
          <c:tx>
            <c:v>efficiency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Лист1!$G$8:$G$28</c:f>
              <c:numCache>
                <c:formatCode>General</c:formatCode>
                <c:ptCount val="21"/>
                <c:pt idx="0">
                  <c:v>1</c:v>
                </c:pt>
                <c:pt idx="1">
                  <c:v>11.45</c:v>
                </c:pt>
                <c:pt idx="2">
                  <c:v>21.9</c:v>
                </c:pt>
                <c:pt idx="3">
                  <c:v>32.35</c:v>
                </c:pt>
                <c:pt idx="4">
                  <c:v>42.8</c:v>
                </c:pt>
                <c:pt idx="5">
                  <c:v>53.25</c:v>
                </c:pt>
                <c:pt idx="6">
                  <c:v>63.7</c:v>
                </c:pt>
                <c:pt idx="7">
                  <c:v>74.150000000000006</c:v>
                </c:pt>
                <c:pt idx="8">
                  <c:v>84.6</c:v>
                </c:pt>
                <c:pt idx="9">
                  <c:v>95.05</c:v>
                </c:pt>
                <c:pt idx="10">
                  <c:v>105.5</c:v>
                </c:pt>
                <c:pt idx="11">
                  <c:v>115.95</c:v>
                </c:pt>
                <c:pt idx="12">
                  <c:v>126.4</c:v>
                </c:pt>
                <c:pt idx="13">
                  <c:v>136.85</c:v>
                </c:pt>
                <c:pt idx="14">
                  <c:v>147.30000000000001</c:v>
                </c:pt>
                <c:pt idx="15">
                  <c:v>157.75</c:v>
                </c:pt>
                <c:pt idx="16">
                  <c:v>168.2</c:v>
                </c:pt>
                <c:pt idx="17">
                  <c:v>178.65</c:v>
                </c:pt>
                <c:pt idx="18">
                  <c:v>189.1</c:v>
                </c:pt>
                <c:pt idx="19">
                  <c:v>199.55</c:v>
                </c:pt>
                <c:pt idx="20">
                  <c:v>210</c:v>
                </c:pt>
              </c:numCache>
            </c:numRef>
          </c:xVal>
          <c:yVal>
            <c:numRef>
              <c:f>Лист1!$J$8:$J$28</c:f>
              <c:numCache>
                <c:formatCode>General</c:formatCode>
                <c:ptCount val="21"/>
                <c:pt idx="0">
                  <c:v>8.1611111111111103E-3</c:v>
                </c:pt>
                <c:pt idx="1">
                  <c:v>9.2779986111111101E-2</c:v>
                </c:pt>
                <c:pt idx="2">
                  <c:v>0.17618549999999999</c:v>
                </c:pt>
                <c:pt idx="3">
                  <c:v>0.25838977159722221</c:v>
                </c:pt>
                <c:pt idx="4">
                  <c:v>0.33958009904761899</c:v>
                </c:pt>
                <c:pt idx="5">
                  <c:v>0.41941146205357138</c:v>
                </c:pt>
                <c:pt idx="6">
                  <c:v>0.49450683831055903</c:v>
                </c:pt>
                <c:pt idx="7">
                  <c:v>0.53747295316149069</c:v>
                </c:pt>
                <c:pt idx="8">
                  <c:v>0.55544610578731712</c:v>
                </c:pt>
                <c:pt idx="9">
                  <c:v>0.55152913199032882</c:v>
                </c:pt>
                <c:pt idx="10">
                  <c:v>0.52852395523035234</c:v>
                </c:pt>
                <c:pt idx="11">
                  <c:v>0.48813590132529616</c:v>
                </c:pt>
                <c:pt idx="12">
                  <c:v>0.43218132977728219</c:v>
                </c:pt>
                <c:pt idx="13">
                  <c:v>0.36368334444444445</c:v>
                </c:pt>
                <c:pt idx="14">
                  <c:v>0.28189102857142845</c:v>
                </c:pt>
                <c:pt idx="15">
                  <c:v>0.18664773809523807</c:v>
                </c:pt>
                <c:pt idx="16">
                  <c:v>7.7953473015873131E-2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48-41A8-B0EB-10C7334C4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203487"/>
        <c:axId val="373199647"/>
      </c:scatterChart>
      <c:valAx>
        <c:axId val="37320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Qliq, sm3/day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3215007"/>
        <c:crosses val="autoZero"/>
        <c:crossBetween val="midCat"/>
      </c:valAx>
      <c:valAx>
        <c:axId val="37321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Head,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3203007"/>
        <c:crosses val="autoZero"/>
        <c:crossBetween val="midCat"/>
      </c:valAx>
      <c:valAx>
        <c:axId val="3731996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Efficiency, 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3203487"/>
        <c:crosses val="max"/>
        <c:crossBetween val="midCat"/>
      </c:valAx>
      <c:valAx>
        <c:axId val="3732034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3199647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18</xdr:col>
      <xdr:colOff>0</xdr:colOff>
      <xdr:row>26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2F2F032-AFFF-DC51-A853-DAAD62C37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26</xdr:col>
      <xdr:colOff>0</xdr:colOff>
      <xdr:row>26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35F6DD8-EE9B-BC4D-5BDF-11C62783C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16</xdr:row>
      <xdr:rowOff>123825</xdr:rowOff>
    </xdr:from>
    <xdr:to>
      <xdr:col>5</xdr:col>
      <xdr:colOff>314325</xdr:colOff>
      <xdr:row>27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D96FE1D-8272-06DB-BCF2-06918D029E0D}"/>
            </a:ext>
          </a:extLst>
        </xdr:cNvPr>
        <xdr:cNvSpPr txBox="1"/>
      </xdr:nvSpPr>
      <xdr:spPr>
        <a:xfrm>
          <a:off x="571500" y="3171825"/>
          <a:ext cx="3543300" cy="213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Постройте графики</a:t>
          </a:r>
        </a:p>
        <a:p>
          <a:r>
            <a:rPr lang="ru-RU" sz="1100"/>
            <a:t>1. Зависимости напора, КПД, мощности</a:t>
          </a:r>
          <a:r>
            <a:rPr lang="ru-RU" sz="1100" baseline="0"/>
            <a:t> при фиксированной подаче от вязкости (для разных частот)</a:t>
          </a:r>
        </a:p>
        <a:p>
          <a:r>
            <a:rPr lang="ru-RU" sz="1100" baseline="0"/>
            <a:t>2.Зависимости максимального КПД от номинала ЭЦН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unifloc\unifloc_vba\UniflocVBA_7.xlam" TargetMode="External"/><Relationship Id="rId1" Type="http://schemas.openxmlformats.org/officeDocument/2006/relationships/externalLinkPath" Target="/unifloc/unifloc_vba/UniflocVBA_7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</sheetNames>
    <definedNames>
      <definedName name="decode_json"/>
      <definedName name="encode_ESP_pump"/>
      <definedName name="encode_linspace"/>
      <definedName name="ESP_calc_stages_num"/>
      <definedName name="ESP_eff_fr"/>
      <definedName name="ESP_head_m"/>
      <definedName name="ESP_id_by_rate"/>
      <definedName name="ESP_power_W"/>
      <definedName name="ESP_rate_max_sm3day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2B05-B10B-4BFE-992A-C6CB659FC4B8}">
  <sheetPr codeName="Лист1"/>
  <dimension ref="B2:J28"/>
  <sheetViews>
    <sheetView tabSelected="1" workbookViewId="0">
      <selection activeCell="C32" sqref="C32"/>
    </sheetView>
  </sheetViews>
  <sheetFormatPr defaultRowHeight="15" x14ac:dyDescent="0.25"/>
  <cols>
    <col min="2" max="2" width="20.42578125" customWidth="1"/>
  </cols>
  <sheetData>
    <row r="2" spans="2:10" x14ac:dyDescent="0.25">
      <c r="B2" s="3" t="s">
        <v>9</v>
      </c>
      <c r="C2" s="1">
        <v>80</v>
      </c>
      <c r="G2" s="3" t="s">
        <v>0</v>
      </c>
      <c r="H2" s="1" t="str">
        <f>esp_json</f>
        <v>{"q_nom_sm3day":80,"head_nom_m":1500,"freq_nom_Hz":50,"name":"ESP-80-1500","ESP_ID":1006,"num_stages":250,"gas_correct_model":1,"gas_correct_stage_by_stage":0,"calibr_head":1,"calibr_power":1,"calibr_rate":1,"dnum_stages_integrate":1}</v>
      </c>
    </row>
    <row r="3" spans="2:10" x14ac:dyDescent="0.25">
      <c r="B3" s="3" t="s">
        <v>10</v>
      </c>
      <c r="C3" s="1">
        <v>1500</v>
      </c>
      <c r="G3" s="3" t="s">
        <v>1</v>
      </c>
      <c r="H3" s="1">
        <v>50</v>
      </c>
    </row>
    <row r="4" spans="2:10" x14ac:dyDescent="0.25">
      <c r="B4" s="3" t="s">
        <v>11</v>
      </c>
      <c r="C4" s="1">
        <v>50</v>
      </c>
      <c r="G4" s="3" t="s">
        <v>2</v>
      </c>
      <c r="H4" s="1">
        <v>1</v>
      </c>
    </row>
    <row r="5" spans="2:10" x14ac:dyDescent="0.25">
      <c r="B5" s="3" t="s">
        <v>12</v>
      </c>
      <c r="C5" s="2">
        <f>[1]!ESP_id_by_rate(C2, C4)</f>
        <v>1006</v>
      </c>
      <c r="G5" s="3" t="s">
        <v>3</v>
      </c>
      <c r="H5" s="1">
        <f>[1]!ESP_rate_max_sm3day(H2, H3, H4)</f>
        <v>175</v>
      </c>
    </row>
    <row r="6" spans="2:10" x14ac:dyDescent="0.25">
      <c r="B6" s="3" t="s">
        <v>13</v>
      </c>
      <c r="C6" s="2">
        <f>[1]!ESP_calc_stages_num(C5,C3,C4,C2)</f>
        <v>250</v>
      </c>
      <c r="G6" s="3" t="s">
        <v>4</v>
      </c>
      <c r="H6" s="2" t="str">
        <f>[1]!encode_linspace(1, H5*1.2, 20)</f>
        <v>[1,11.45,21.9,32.35,42.8,53.25,63.7,74.15,84.6,95.05,105.5,115.95,126.4,136.85,147.3,157.75,168.2,178.65,189.1,199.55,210]</v>
      </c>
    </row>
    <row r="7" spans="2:10" x14ac:dyDescent="0.25">
      <c r="B7" s="3" t="s">
        <v>14</v>
      </c>
      <c r="C7" s="1">
        <v>1</v>
      </c>
      <c r="G7" s="3" t="s">
        <v>5</v>
      </c>
      <c r="H7" s="3" t="s">
        <v>6</v>
      </c>
      <c r="I7" s="3" t="s">
        <v>7</v>
      </c>
      <c r="J7" s="3" t="s">
        <v>8</v>
      </c>
    </row>
    <row r="8" spans="2:10" x14ac:dyDescent="0.25">
      <c r="B8" s="3" t="s">
        <v>15</v>
      </c>
      <c r="C8" s="1">
        <v>1</v>
      </c>
      <c r="G8" s="4">
        <f t="array" ref="G8:G28">[1]!decode_json(H6)</f>
        <v>1</v>
      </c>
      <c r="H8" s="4">
        <f>[1]!ESP_head_m($G$8,$H$2,$H$3,$H$4)</f>
        <v>1652.0416666666667</v>
      </c>
      <c r="I8" s="4">
        <f>[1]!ESP_power_W($G$8,$H$2,$H$3,$H$4)</f>
        <v>21812.083333333332</v>
      </c>
      <c r="J8" s="4">
        <f>[1]!ESP_eff_fr($G$8,$H$2,$H$3,$H$4)</f>
        <v>8.1611111111111103E-3</v>
      </c>
    </row>
    <row r="9" spans="2:10" x14ac:dyDescent="0.25">
      <c r="B9" s="3" t="s">
        <v>16</v>
      </c>
      <c r="C9" s="1">
        <v>1</v>
      </c>
      <c r="G9" s="4">
        <v>11.45</v>
      </c>
      <c r="H9" s="4">
        <f>[1]!ESP_head_m($G$9,$H$2,$H$3,$H$4)</f>
        <v>1668.3915625000002</v>
      </c>
      <c r="I9" s="4">
        <f>[1]!ESP_power_W($G$9,$H$2,$H$3,$H$4)</f>
        <v>22410.99895833333</v>
      </c>
      <c r="J9" s="4">
        <f>[1]!ESP_eff_fr($G$9,$H$2,$H$3,$H$4)</f>
        <v>9.2779986111111101E-2</v>
      </c>
    </row>
    <row r="10" spans="2:10" x14ac:dyDescent="0.25">
      <c r="B10" s="3" t="s">
        <v>17</v>
      </c>
      <c r="C10" s="1">
        <v>1</v>
      </c>
      <c r="G10" s="4">
        <v>21.9</v>
      </c>
      <c r="H10" s="4">
        <f>[1]!ESP_head_m($G$10,$H$2,$H$3,$H$4)</f>
        <v>1675.6412499999999</v>
      </c>
      <c r="I10" s="4">
        <f>[1]!ESP_power_W($G$10,$H$2,$H$3,$H$4)</f>
        <v>22918.912499999999</v>
      </c>
      <c r="J10" s="4">
        <f>[1]!ESP_eff_fr($G$10,$H$2,$H$3,$H$4)</f>
        <v>0.17618549999999999</v>
      </c>
    </row>
    <row r="11" spans="2:10" x14ac:dyDescent="0.25">
      <c r="B11" s="3" t="s">
        <v>18</v>
      </c>
      <c r="C11" s="1">
        <v>0</v>
      </c>
      <c r="G11" s="4">
        <v>32.35</v>
      </c>
      <c r="H11" s="4">
        <f>[1]!ESP_head_m($G$11,$H$2,$H$3,$H$4)</f>
        <v>1673.8142935378087</v>
      </c>
      <c r="I11" s="4">
        <f>[1]!ESP_power_W($G$11,$H$2,$H$3,$H$4)</f>
        <v>23332.917685892491</v>
      </c>
      <c r="J11" s="4">
        <f>[1]!ESP_eff_fr($G$11,$H$2,$H$3,$H$4)</f>
        <v>0.25838977159722221</v>
      </c>
    </row>
    <row r="12" spans="2:10" x14ac:dyDescent="0.25">
      <c r="B12" s="3" t="s">
        <v>19</v>
      </c>
      <c r="C12" s="1">
        <v>1</v>
      </c>
      <c r="G12" s="4">
        <v>42.8</v>
      </c>
      <c r="H12" s="4">
        <f>[1]!ESP_head_m($G$12,$H$2,$H$3,$H$4)</f>
        <v>1663.2748839506173</v>
      </c>
      <c r="I12" s="4">
        <f>[1]!ESP_power_W($G$12,$H$2,$H$3,$H$4)</f>
        <v>23608.097646090537</v>
      </c>
      <c r="J12" s="4">
        <f>[1]!ESP_eff_fr($G$12,$H$2,$H$3,$H$4)</f>
        <v>0.33958009904761899</v>
      </c>
    </row>
    <row r="13" spans="2:10" x14ac:dyDescent="0.25">
      <c r="B13" s="3" t="s">
        <v>20</v>
      </c>
      <c r="C13" s="5" t="str">
        <f>[1]!encode_ESP_pump(, , C4, C5, C6, C7, C8, C9, C10, C11, C12)</f>
        <v>{"q_nom_sm3day":80,"head_nom_m":1500,"freq_nom_Hz":50,"name":"ESP-80-1500","ESP_ID":1006,"num_stages":250,"gas_correct_model":1,"gas_correct_stage_by_stage":0,"calibr_head":1,"calibr_power":1,"calibr_rate":1,"dnum_stages_integrate":1}</v>
      </c>
      <c r="G13" s="4">
        <v>53.25</v>
      </c>
      <c r="H13" s="4">
        <f>[1]!ESP_head_m($G$13,$H$2,$H$3,$H$4)</f>
        <v>1643.3521484375001</v>
      </c>
      <c r="I13" s="4">
        <f>[1]!ESP_power_W($G$13,$H$2,$H$3,$H$4)</f>
        <v>23827.193359375004</v>
      </c>
      <c r="J13" s="4">
        <f>[1]!ESP_eff_fr($G$13,$H$2,$H$3,$H$4)</f>
        <v>0.41941146205357138</v>
      </c>
    </row>
    <row r="14" spans="2:10" x14ac:dyDescent="0.25">
      <c r="G14" s="4">
        <v>63.7</v>
      </c>
      <c r="H14" s="4">
        <f>[1]!ESP_head_m($G$14,$H$2,$H$3,$H$4)</f>
        <v>1611.6645133089135</v>
      </c>
      <c r="I14" s="4">
        <f>[1]!ESP_power_W($G$14,$H$2,$H$3,$H$4)</f>
        <v>24110.288534009971</v>
      </c>
      <c r="J14" s="4">
        <f>[1]!ESP_eff_fr($G$14,$H$2,$H$3,$H$4)</f>
        <v>0.49450683831055903</v>
      </c>
    </row>
    <row r="15" spans="2:10" x14ac:dyDescent="0.25">
      <c r="G15" s="4">
        <v>74.150000000000006</v>
      </c>
      <c r="H15" s="4">
        <f>[1]!ESP_head_m($G$15,$H$2,$H$3,$H$4)</f>
        <v>1550.6062486607141</v>
      </c>
      <c r="I15" s="4">
        <f>[1]!ESP_power_W($G$15,$H$2,$H$3,$H$4)</f>
        <v>24473.231273437501</v>
      </c>
      <c r="J15" s="4">
        <f>[1]!ESP_eff_fr($G$15,$H$2,$H$3,$H$4)</f>
        <v>0.53747295316149069</v>
      </c>
    </row>
    <row r="16" spans="2:10" x14ac:dyDescent="0.25">
      <c r="G16" s="4">
        <v>84.6</v>
      </c>
      <c r="H16" s="4">
        <f>[1]!ESP_head_m($G$16,$H$2,$H$3,$H$4)</f>
        <v>1453.078966498397</v>
      </c>
      <c r="I16" s="4">
        <f>[1]!ESP_power_W($G$16,$H$2,$H$3,$H$4)</f>
        <v>25029.538935048953</v>
      </c>
      <c r="J16" s="4">
        <f>[1]!ESP_eff_fr($G$16,$H$2,$H$3,$H$4)</f>
        <v>0.55544610578731712</v>
      </c>
    </row>
    <row r="17" spans="7:10" x14ac:dyDescent="0.25">
      <c r="G17" s="4">
        <v>95.05</v>
      </c>
      <c r="H17" s="4">
        <f>[1]!ESP_head_m($G$17,$H$2,$H$3,$H$4)</f>
        <v>1331.6708394520817</v>
      </c>
      <c r="I17" s="4">
        <f>[1]!ESP_power_W($G$17,$H$2,$H$3,$H$4)</f>
        <v>25848.036647477045</v>
      </c>
      <c r="J17" s="4">
        <f>[1]!ESP_eff_fr($G$17,$H$2,$H$3,$H$4)</f>
        <v>0.55152913199032882</v>
      </c>
    </row>
    <row r="18" spans="7:10" x14ac:dyDescent="0.25">
      <c r="G18" s="4">
        <v>105.5</v>
      </c>
      <c r="H18" s="4">
        <f>[1]!ESP_head_m($G$18,$H$2,$H$3,$H$4)</f>
        <v>1193.0403272171252</v>
      </c>
      <c r="I18" s="4">
        <f>[1]!ESP_power_W($G$18,$H$2,$H$3,$H$4)</f>
        <v>26796.106730346946</v>
      </c>
      <c r="J18" s="4">
        <f>[1]!ESP_eff_fr($G$18,$H$2,$H$3,$H$4)</f>
        <v>0.52852395523035234</v>
      </c>
    </row>
    <row r="19" spans="7:10" x14ac:dyDescent="0.25">
      <c r="G19" s="4">
        <v>115.95</v>
      </c>
      <c r="H19" s="4">
        <f>[1]!ESP_head_m($G$19,$H$2,$H$3,$H$4)</f>
        <v>1042.7663331939711</v>
      </c>
      <c r="I19" s="4">
        <f>[1]!ESP_power_W($G$19,$H$2,$H$3,$H$4)</f>
        <v>27790.91998315923</v>
      </c>
      <c r="J19" s="4">
        <f>[1]!ESP_eff_fr($G$19,$H$2,$H$3,$H$4)</f>
        <v>0.48813590132529616</v>
      </c>
    </row>
    <row r="20" spans="7:10" x14ac:dyDescent="0.25">
      <c r="G20" s="4">
        <v>126.4</v>
      </c>
      <c r="H20" s="4">
        <f>[1]!ESP_head_m($G$20,$H$2,$H$3,$H$4)</f>
        <v>882.62882969331565</v>
      </c>
      <c r="I20" s="4">
        <f>[1]!ESP_power_W($G$20,$H$2,$H$3,$H$4)</f>
        <v>28860.322948842462</v>
      </c>
      <c r="J20" s="4">
        <f>[1]!ESP_eff_fr($G$20,$H$2,$H$3,$H$4)</f>
        <v>0.43218132977728219</v>
      </c>
    </row>
    <row r="21" spans="7:10" x14ac:dyDescent="0.25">
      <c r="G21" s="4">
        <v>136.85</v>
      </c>
      <c r="H21" s="4">
        <f>[1]!ESP_head_m($G$21,$H$2,$H$3,$H$4)</f>
        <v>711.8608333333334</v>
      </c>
      <c r="I21" s="4">
        <f>[1]!ESP_power_W($G$21,$H$2,$H$3,$H$4)</f>
        <v>30021.576388888891</v>
      </c>
      <c r="J21" s="4">
        <f>[1]!ESP_eff_fr($G$21,$H$2,$H$3,$H$4)</f>
        <v>0.36368334444444445</v>
      </c>
    </row>
    <row r="22" spans="7:10" x14ac:dyDescent="0.25">
      <c r="G22" s="4">
        <v>147.30000000000001</v>
      </c>
      <c r="H22" s="4">
        <f>[1]!ESP_head_m($G$22,$H$2,$H$3,$H$4)</f>
        <v>530.65285714285687</v>
      </c>
      <c r="I22" s="4">
        <f>[1]!ESP_power_W($G$22,$H$2,$H$3,$H$4)</f>
        <v>31270.392857142859</v>
      </c>
      <c r="J22" s="4">
        <f>[1]!ESP_eff_fr($G$22,$H$2,$H$3,$H$4)</f>
        <v>0.28189102857142845</v>
      </c>
    </row>
    <row r="23" spans="7:10" x14ac:dyDescent="0.25">
      <c r="G23" s="4">
        <v>157.75</v>
      </c>
      <c r="H23" s="4">
        <f>[1]!ESP_head_m($G$23,$H$2,$H$3,$H$4)</f>
        <v>339.04464285714283</v>
      </c>
      <c r="I23" s="4">
        <f>[1]!ESP_power_W($G$23,$H$2,$H$3,$H$4)</f>
        <v>32605.877976190481</v>
      </c>
      <c r="J23" s="4">
        <f>[1]!ESP_eff_fr($G$23,$H$2,$H$3,$H$4)</f>
        <v>0.18664773809523807</v>
      </c>
    </row>
    <row r="24" spans="7:10" x14ac:dyDescent="0.25">
      <c r="G24" s="4">
        <v>168.2</v>
      </c>
      <c r="H24" s="4">
        <f>[1]!ESP_head_m($G$24,$H$2,$H$3,$H$4)</f>
        <v>137.03619047619071</v>
      </c>
      <c r="I24" s="4">
        <f>[1]!ESP_power_W($G$24,$H$2,$H$3,$H$4)</f>
        <v>34028.031746031753</v>
      </c>
      <c r="J24" s="4">
        <f>[1]!ESP_eff_fr($G$24,$H$2,$H$3,$H$4)</f>
        <v>7.7953473015873131E-2</v>
      </c>
    </row>
    <row r="25" spans="7:10" x14ac:dyDescent="0.25">
      <c r="G25" s="4">
        <v>178.65</v>
      </c>
      <c r="H25" s="4">
        <f>[1]!ESP_head_m($G$25,$H$2,$H$3,$H$4)</f>
        <v>-73.217261904762012</v>
      </c>
      <c r="I25" s="4">
        <f>[1]!ESP_power_W($G$25,$H$2,$H$3,$H$4)</f>
        <v>35000</v>
      </c>
      <c r="J25" s="4">
        <f>[1]!ESP_eff_fr($G$25,$H$2,$H$3,$H$4)</f>
        <v>0</v>
      </c>
    </row>
    <row r="26" spans="7:10" x14ac:dyDescent="0.25">
      <c r="G26" s="4">
        <v>189.1</v>
      </c>
      <c r="H26" s="4">
        <f>[1]!ESP_head_m($G$26,$H$2,$H$3,$H$4)</f>
        <v>-282.83928571428555</v>
      </c>
      <c r="I26" s="4">
        <f>[1]!ESP_power_W($G$26,$H$2,$H$3,$H$4)</f>
        <v>35000</v>
      </c>
      <c r="J26" s="4">
        <f>[1]!ESP_eff_fr($G$26,$H$2,$H$3,$H$4)</f>
        <v>0</v>
      </c>
    </row>
    <row r="27" spans="7:10" x14ac:dyDescent="0.25">
      <c r="G27" s="4">
        <v>199.55</v>
      </c>
      <c r="H27" s="4">
        <f>[1]!ESP_head_m($G$27,$H$2,$H$3,$H$4)</f>
        <v>-492.46130952380969</v>
      </c>
      <c r="I27" s="4">
        <f>[1]!ESP_power_W($G$27,$H$2,$H$3,$H$4)</f>
        <v>35000</v>
      </c>
      <c r="J27" s="4">
        <f>[1]!ESP_eff_fr($G$27,$H$2,$H$3,$H$4)</f>
        <v>0</v>
      </c>
    </row>
    <row r="28" spans="7:10" x14ac:dyDescent="0.25">
      <c r="G28" s="4">
        <v>210</v>
      </c>
      <c r="H28" s="4">
        <f>[1]!ESP_head_m($G$28,$H$2,$H$3,$H$4)</f>
        <v>-702.08333333333326</v>
      </c>
      <c r="I28" s="4">
        <f>[1]!ESP_power_W($G$28,$H$2,$H$3,$H$4)</f>
        <v>35000</v>
      </c>
      <c r="J28" s="4">
        <f>[1]!ESP_eff_fr($G$28,$H$2,$H$3,$H$4)</f>
        <v>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esp_json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rnt</dc:creator>
  <cp:lastModifiedBy>rnt</cp:lastModifiedBy>
  <dcterms:created xsi:type="dcterms:W3CDTF">2025-05-12T12:21:31Z</dcterms:created>
  <dcterms:modified xsi:type="dcterms:W3CDTF">2025-05-12T14:02:21Z</dcterms:modified>
</cp:coreProperties>
</file>