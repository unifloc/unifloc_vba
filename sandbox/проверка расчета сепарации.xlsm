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sandbox\"/>
    </mc:Choice>
  </mc:AlternateContent>
  <xr:revisionPtr revIDLastSave="0" documentId="13_ncr:1_{0AB71967-5E97-48E2-8A3D-3D118F5C77F1}" xr6:coauthVersionLast="47" xr6:coauthVersionMax="47" xr10:uidLastSave="{00000000-0000-0000-0000-000000000000}"/>
  <bookViews>
    <workbookView xWindow="3075" yWindow="705" windowWidth="21600" windowHeight="11385" activeTab="2" xr2:uid="{26514309-3F53-4B4B-855D-536B1B29DCF5}"/>
  </bookViews>
  <sheets>
    <sheet name="прием ЭЦН" sheetId="1" r:id="rId1"/>
    <sheet name="реверсивный поток" sheetId="6" r:id="rId2"/>
    <sheet name="прием ПКВ" sheetId="8" r:id="rId3"/>
    <sheet name="оценка диаметра" sheetId="2" r:id="rId4"/>
  </sheets>
  <externalReferences>
    <externalReference r:id="rId5"/>
  </externalReferences>
  <definedNames>
    <definedName name="calibr_li" localSheetId="2">'прием ПКВ'!$I$11</definedName>
    <definedName name="calibr_li" localSheetId="1">'реверсивный поток'!$I$11</definedName>
    <definedName name="calibr_li">'прием ЭЦН'!$I$11</definedName>
    <definedName name="calibr_st" localSheetId="2">'прием ПКВ'!$I$12</definedName>
    <definedName name="calibr_st" localSheetId="1">'реверсивный поток'!$I$12</definedName>
    <definedName name="calibr_st">'прием ЭЦН'!$I$12</definedName>
    <definedName name="dcas" localSheetId="2">'прием ПКВ'!$I$6</definedName>
    <definedName name="dcas" localSheetId="1">'реверсивный поток'!$I$6</definedName>
    <definedName name="dcas">'прием ЭЦН'!$I$6</definedName>
    <definedName name="dcas_m" localSheetId="2">'прием ПКВ'!$K$6</definedName>
    <definedName name="dcas_m" localSheetId="1">'реверсивный поток'!$K$6</definedName>
    <definedName name="dcas_m">'прием ЭЦН'!$K$6</definedName>
    <definedName name="dintake" localSheetId="2">'прием ПКВ'!$I$7</definedName>
    <definedName name="dintake" localSheetId="1">'реверсивный поток'!$I$7</definedName>
    <definedName name="dintake">'прием ЭЦН'!$I$7</definedName>
    <definedName name="dintake_m" localSheetId="2">'прием ПКВ'!$K$7</definedName>
    <definedName name="dintake_m" localSheetId="1">'реверсивный поток'!$K$7</definedName>
    <definedName name="dintake_m">'прием ЭЦН'!$K$7</definedName>
    <definedName name="feed_json" localSheetId="2">'прием ПКВ'!$E$20</definedName>
    <definedName name="feed_json" localSheetId="1">'реверсивный поток'!$E$20</definedName>
    <definedName name="feed_json">'прием ЭЦН'!$E$20</definedName>
    <definedName name="feed_json_1">#REF!</definedName>
    <definedName name="hint" localSheetId="2">'прием ПКВ'!$K$8</definedName>
    <definedName name="hint" localSheetId="1">'реверсивный поток'!$K$8</definedName>
    <definedName name="hint">'прием ЭЦН'!$K$8</definedName>
    <definedName name="hperf">'реверсивный поток'!$I$13</definedName>
    <definedName name="mu_gas" localSheetId="2">'прием ПКВ'!$N$12</definedName>
    <definedName name="mu_gas" localSheetId="1">'реверсивный поток'!$N$12</definedName>
    <definedName name="mu_gas">'прием ЭЦН'!$N$12</definedName>
    <definedName name="mu_liq" localSheetId="2">'прием ПКВ'!$N$11</definedName>
    <definedName name="mu_liq" localSheetId="1">'реверсивный поток'!$N$11</definedName>
    <definedName name="mu_liq">'прием ЭЦН'!$N$11</definedName>
    <definedName name="p" localSheetId="2">'прием ПКВ'!$I$9</definedName>
    <definedName name="p" localSheetId="1">'реверсивный поток'!$I$9</definedName>
    <definedName name="p">'прием ЭЦН'!$I$9</definedName>
    <definedName name="pkv_ratio" localSheetId="2">'прием ПКВ'!$I$13</definedName>
    <definedName name="pkv_ratio">'прием ЭЦН'!$I$12</definedName>
    <definedName name="PVT_json" localSheetId="2">'прием ПКВ'!$E$15</definedName>
    <definedName name="PVT_json" localSheetId="1">'реверсивный поток'!$E$15</definedName>
    <definedName name="PVT_json">'прием ЭЦН'!$E$15</definedName>
    <definedName name="PVT_json_1">#REF!</definedName>
    <definedName name="Qgas_in_situ" localSheetId="2">'прием ПКВ'!$N$10</definedName>
    <definedName name="Qgas_in_situ" localSheetId="1">'реверсивный поток'!$N$10</definedName>
    <definedName name="Qgas_in_situ">'прием ЭЦН'!$N$10</definedName>
    <definedName name="Qliq_in_situ" localSheetId="2">'прием ПКВ'!$N$9</definedName>
    <definedName name="Qliq_in_situ" localSheetId="1">'реверсивный поток'!$N$9</definedName>
    <definedName name="Qliq_in_situ">'прием ЭЦН'!$N$9</definedName>
    <definedName name="st" localSheetId="2">'прием ПКВ'!$P$8</definedName>
    <definedName name="st" localSheetId="1">'реверсивный поток'!$P$8</definedName>
    <definedName name="st">'прием ЭЦН'!$P$8</definedName>
    <definedName name="t" localSheetId="2">'прием ПКВ'!$I$10</definedName>
    <definedName name="t" localSheetId="1">'реверсивный поток'!$I$10</definedName>
    <definedName name="t">'прием ЭЦН'!$I$10</definedName>
    <definedName name="v_ooz">'оценка диаметра'!$H$15</definedName>
    <definedName name="v_sl">'оценка диаметра'!$H$16</definedName>
    <definedName name="Плотность_газа" localSheetId="2">'прием ПКВ'!$N$7</definedName>
    <definedName name="Плотность_газа" localSheetId="1">'реверсивный поток'!$N$7</definedName>
    <definedName name="Плотность_газа">'прием ЭЦН'!$N$7</definedName>
    <definedName name="Плотность_жидкости" localSheetId="2">'прием ПКВ'!$N$6</definedName>
    <definedName name="Плотность_жидкости" localSheetId="1">'реверсивный поток'!$N$6</definedName>
    <definedName name="Плотность_жидкости">'прием ЭЦН'!$N$6</definedName>
    <definedName name="Пов._Натяжение" localSheetId="2">'прием ПКВ'!$N$8</definedName>
    <definedName name="Пов._Натяжение" localSheetId="1">'реверсивный поток'!$N$8</definedName>
    <definedName name="Пов._Натяжение">'прием ЭЦН'!$N$8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6" i="8" l="1"/>
  <c r="E53" i="8" a="1"/>
  <c r="E53" i="6" a="1"/>
  <c r="E53" i="1" a="1"/>
  <c r="E53" i="8" l="1"/>
  <c r="E53" i="6"/>
  <c r="E53" i="1"/>
  <c r="F48" i="1"/>
  <c r="F48" i="8"/>
  <c r="R100" i="8"/>
  <c r="R101" i="8"/>
  <c r="O101" i="8"/>
  <c r="K8" i="8"/>
  <c r="L101" i="8" s="1"/>
  <c r="K7" i="8"/>
  <c r="K6" i="8"/>
  <c r="K100" i="8" s="1"/>
  <c r="K101" i="8" s="1"/>
  <c r="N101" i="8" s="1"/>
  <c r="Q101" i="8" s="1"/>
  <c r="E15" i="8"/>
  <c r="I39" i="8" a="1"/>
  <c r="I33" i="8" a="1"/>
  <c r="G34" i="8"/>
  <c r="I48" i="8" a="1"/>
  <c r="G40" i="8"/>
  <c r="M34" i="8" a="1"/>
  <c r="G39" i="8"/>
  <c r="G33" i="8"/>
  <c r="N12" i="8" a="1"/>
  <c r="N7" i="8" a="1"/>
  <c r="I38" i="8" a="1"/>
  <c r="I32" i="8" a="1"/>
  <c r="E20" i="8"/>
  <c r="G29" i="8"/>
  <c r="G35" i="8"/>
  <c r="I34" i="8" a="1"/>
  <c r="I40" i="8" a="1"/>
  <c r="G30" i="8"/>
  <c r="G36" i="8"/>
  <c r="I29" i="8" a="1"/>
  <c r="I35" i="8" a="1"/>
  <c r="G37" i="8"/>
  <c r="I36" i="8" a="1"/>
  <c r="G31" i="8"/>
  <c r="G32" i="8"/>
  <c r="G38" i="8"/>
  <c r="I30" i="8" a="1"/>
  <c r="I31" i="8" a="1"/>
  <c r="I37" i="8" a="1"/>
  <c r="G48" i="8"/>
  <c r="H34" i="8" a="1"/>
  <c r="N34" i="8" a="1"/>
  <c r="J34" i="8" a="1"/>
  <c r="K34" i="8" a="1"/>
  <c r="L34" i="8" a="1"/>
  <c r="H40" i="8" a="1"/>
  <c r="N40" i="8" a="1"/>
  <c r="J40" i="8" a="1"/>
  <c r="K40" i="8" a="1"/>
  <c r="M40" i="8" a="1"/>
  <c r="L40" i="8" a="1"/>
  <c r="J39" i="8" a="1"/>
  <c r="K39" i="8" a="1"/>
  <c r="H39" i="8" a="1"/>
  <c r="N39" i="8" a="1"/>
  <c r="L39" i="8" a="1"/>
  <c r="M39" i="8" a="1"/>
  <c r="N33" i="8" a="1"/>
  <c r="J33" i="8" a="1"/>
  <c r="K33" i="8" a="1"/>
  <c r="L33" i="8" a="1"/>
  <c r="H33" i="8" a="1"/>
  <c r="M33" i="8" a="1"/>
  <c r="N8" i="8" a="1"/>
  <c r="N9" i="8" a="1"/>
  <c r="N10" i="8" a="1"/>
  <c r="N11" i="8" a="1"/>
  <c r="N6" i="8" a="1"/>
  <c r="K29" i="8" a="1"/>
  <c r="M29" i="8" a="1"/>
  <c r="L29" i="8" a="1"/>
  <c r="H29" i="8" a="1"/>
  <c r="N29" i="8" a="1"/>
  <c r="J29" i="8" a="1"/>
  <c r="M35" i="8" a="1"/>
  <c r="L35" i="8" a="1"/>
  <c r="H35" i="8" a="1"/>
  <c r="N35" i="8" a="1"/>
  <c r="J35" i="8" a="1"/>
  <c r="K35" i="8" a="1"/>
  <c r="J30" i="8" a="1"/>
  <c r="K30" i="8" a="1"/>
  <c r="L30" i="8" a="1"/>
  <c r="H30" i="8" a="1"/>
  <c r="N30" i="8" a="1"/>
  <c r="M30" i="8" a="1"/>
  <c r="L36" i="8" a="1"/>
  <c r="M36" i="8" a="1"/>
  <c r="H36" i="8" a="1"/>
  <c r="N36" i="8" a="1"/>
  <c r="K36" i="8" a="1"/>
  <c r="J36" i="8" a="1"/>
  <c r="K37" i="8" a="1"/>
  <c r="L37" i="8" a="1"/>
  <c r="M37" i="8" a="1"/>
  <c r="H37" i="8" a="1"/>
  <c r="N37" i="8" a="1"/>
  <c r="J37" i="8" a="1"/>
  <c r="L31" i="8" a="1"/>
  <c r="K31" i="8" a="1"/>
  <c r="J31" i="8" a="1"/>
  <c r="M31" i="8" a="1"/>
  <c r="H31" i="8" a="1"/>
  <c r="N31" i="8" a="1"/>
  <c r="J32" i="8" a="1"/>
  <c r="K32" i="8" a="1"/>
  <c r="L32" i="8" a="1"/>
  <c r="M32" i="8" a="1"/>
  <c r="H32" i="8" a="1"/>
  <c r="N32" i="8" a="1"/>
  <c r="J38" i="8" a="1"/>
  <c r="K38" i="8" a="1"/>
  <c r="L38" i="8" a="1"/>
  <c r="M38" i="8" a="1"/>
  <c r="H38" i="8" a="1"/>
  <c r="N38" i="8" a="1"/>
  <c r="H48" i="8" a="1"/>
  <c r="N48" i="8" a="1"/>
  <c r="J48" i="8" a="1"/>
  <c r="K48" i="8" a="1"/>
  <c r="L48" i="8" a="1"/>
  <c r="M48" i="8" a="1"/>
  <c r="H100" i="8" l="1"/>
  <c r="H101" i="8" s="1"/>
  <c r="M48" i="8"/>
  <c r="L48" i="8"/>
  <c r="K48" i="8"/>
  <c r="J48" i="8"/>
  <c r="N48" i="8"/>
  <c r="H48" i="8"/>
  <c r="N38" i="8"/>
  <c r="H38" i="8"/>
  <c r="M38" i="8"/>
  <c r="L38" i="8"/>
  <c r="K38" i="8"/>
  <c r="J38" i="8"/>
  <c r="N32" i="8"/>
  <c r="H32" i="8"/>
  <c r="M32" i="8"/>
  <c r="L32" i="8"/>
  <c r="K32" i="8"/>
  <c r="J32" i="8"/>
  <c r="N31" i="8"/>
  <c r="H31" i="8"/>
  <c r="M31" i="8"/>
  <c r="J31" i="8"/>
  <c r="K31" i="8"/>
  <c r="L31" i="8"/>
  <c r="J37" i="8"/>
  <c r="N37" i="8"/>
  <c r="H37" i="8"/>
  <c r="M37" i="8"/>
  <c r="L37" i="8"/>
  <c r="K37" i="8"/>
  <c r="J36" i="8"/>
  <c r="K36" i="8"/>
  <c r="N36" i="8"/>
  <c r="H36" i="8"/>
  <c r="M36" i="8"/>
  <c r="L36" i="8"/>
  <c r="M30" i="8"/>
  <c r="N30" i="8"/>
  <c r="H30" i="8"/>
  <c r="L30" i="8"/>
  <c r="K30" i="8"/>
  <c r="J30" i="8"/>
  <c r="K35" i="8"/>
  <c r="J35" i="8"/>
  <c r="N35" i="8"/>
  <c r="H35" i="8"/>
  <c r="L35" i="8"/>
  <c r="M35" i="8"/>
  <c r="J29" i="8"/>
  <c r="N29" i="8"/>
  <c r="H29" i="8"/>
  <c r="L29" i="8"/>
  <c r="M29" i="8"/>
  <c r="K29" i="8"/>
  <c r="N6" i="8"/>
  <c r="N11" i="8"/>
  <c r="N10" i="8"/>
  <c r="N9" i="8"/>
  <c r="N8" i="8"/>
  <c r="P8" i="8" s="1"/>
  <c r="M33" i="8"/>
  <c r="H33" i="8"/>
  <c r="L33" i="8"/>
  <c r="K33" i="8"/>
  <c r="J33" i="8"/>
  <c r="N33" i="8"/>
  <c r="M39" i="8"/>
  <c r="L39" i="8"/>
  <c r="N39" i="8"/>
  <c r="H39" i="8"/>
  <c r="K39" i="8"/>
  <c r="J39" i="8"/>
  <c r="L40" i="8"/>
  <c r="M40" i="8"/>
  <c r="K40" i="8"/>
  <c r="J40" i="8"/>
  <c r="N40" i="8"/>
  <c r="H40" i="8"/>
  <c r="L34" i="8"/>
  <c r="K34" i="8"/>
  <c r="J34" i="8"/>
  <c r="N34" i="8"/>
  <c r="H34" i="8"/>
  <c r="I37" i="8"/>
  <c r="I31" i="8"/>
  <c r="I30" i="8"/>
  <c r="I36" i="8"/>
  <c r="I35" i="8"/>
  <c r="I29" i="8"/>
  <c r="I40" i="8"/>
  <c r="I34" i="8"/>
  <c r="I32" i="8"/>
  <c r="I38" i="8"/>
  <c r="N7" i="8"/>
  <c r="N12" i="8"/>
  <c r="M34" i="8"/>
  <c r="I48" i="8"/>
  <c r="I33" i="8"/>
  <c r="I39" i="8"/>
  <c r="F101" i="8"/>
  <c r="L100" i="8" s="1"/>
  <c r="I100" i="8" s="1"/>
  <c r="I101" i="8"/>
  <c r="E100" i="8"/>
  <c r="M75" i="6"/>
  <c r="J75" i="6"/>
  <c r="G75" i="6"/>
  <c r="F48" i="6"/>
  <c r="K7" i="6"/>
  <c r="I74" i="6" s="1"/>
  <c r="I75" i="6" s="1"/>
  <c r="K6" i="6"/>
  <c r="L74" i="6" s="1"/>
  <c r="L75" i="6" s="1"/>
  <c r="K8" i="1"/>
  <c r="R40" i="8" a="1"/>
  <c r="R39" i="8" a="1"/>
  <c r="P32" i="8" a="1"/>
  <c r="R32" i="8" a="1"/>
  <c r="P35" i="8" a="1"/>
  <c r="R35" i="8" a="1"/>
  <c r="P37" i="8" a="1"/>
  <c r="R37" i="8" a="1"/>
  <c r="P30" i="8" a="1"/>
  <c r="R30" i="8" a="1"/>
  <c r="P29" i="8" a="1"/>
  <c r="R29" i="8" a="1"/>
  <c r="P33" i="8" a="1"/>
  <c r="R33" i="8" a="1"/>
  <c r="P39" i="8" a="1"/>
  <c r="P40" i="8" a="1"/>
  <c r="P31" i="8" a="1"/>
  <c r="R31" i="8" a="1"/>
  <c r="P34" i="8" a="1"/>
  <c r="R34" i="8" a="1"/>
  <c r="P38" i="8" a="1"/>
  <c r="R38" i="8" a="1"/>
  <c r="P36" i="8" a="1"/>
  <c r="R36" i="8" a="1"/>
  <c r="O30" i="8" a="1"/>
  <c r="O33" i="8" a="1"/>
  <c r="O36" i="8" a="1"/>
  <c r="O39" i="8" a="1"/>
  <c r="O35" i="8" a="1"/>
  <c r="O29" i="8" a="1"/>
  <c r="O40" i="8" a="1"/>
  <c r="O32" i="8" a="1"/>
  <c r="O34" i="8" a="1"/>
  <c r="O31" i="8" a="1"/>
  <c r="O37" i="8" a="1"/>
  <c r="O38" i="8" a="1"/>
  <c r="E15" i="6"/>
  <c r="N7" i="6" a="1"/>
  <c r="I38" i="6" a="1"/>
  <c r="I32" i="6" a="1"/>
  <c r="G39" i="6"/>
  <c r="AE39" i="6" s="1" a="1"/>
  <c r="G34" i="6"/>
  <c r="AE34" i="6" s="1" a="1"/>
  <c r="G40" i="6"/>
  <c r="AE40" i="6" s="1" a="1"/>
  <c r="I48" i="6" a="1"/>
  <c r="E20" i="6"/>
  <c r="I33" i="6" a="1"/>
  <c r="I39" i="6" a="1"/>
  <c r="G33" i="6"/>
  <c r="AE33" i="6" s="1" a="1"/>
  <c r="G29" i="6"/>
  <c r="AE29" i="6" s="1" a="1"/>
  <c r="G35" i="6"/>
  <c r="AE35" i="6" s="1" a="1"/>
  <c r="I34" i="6" a="1"/>
  <c r="I40" i="6" a="1"/>
  <c r="N12" i="6" a="1"/>
  <c r="G30" i="6"/>
  <c r="AE30" i="6" s="1" a="1"/>
  <c r="G36" i="6"/>
  <c r="AE36" i="6" s="1" a="1"/>
  <c r="I35" i="6" a="1"/>
  <c r="G37" i="6"/>
  <c r="AE37" i="6" s="1" a="1"/>
  <c r="G31" i="6"/>
  <c r="AE31" i="6" s="1" a="1"/>
  <c r="I36" i="6" a="1"/>
  <c r="I30" i="6" a="1"/>
  <c r="G32" i="6"/>
  <c r="AE32" i="6" s="1" a="1"/>
  <c r="G38" i="6"/>
  <c r="AE38" i="6" s="1" a="1"/>
  <c r="I29" i="6" a="1"/>
  <c r="I31" i="6" a="1"/>
  <c r="I37" i="6" a="1"/>
  <c r="G48" i="6"/>
  <c r="H39" i="6" a="1"/>
  <c r="N39" i="6" a="1"/>
  <c r="J39" i="6" a="1"/>
  <c r="K39" i="6" a="1"/>
  <c r="L39" i="6" a="1"/>
  <c r="M39" i="6" a="1"/>
  <c r="M34" i="6" a="1"/>
  <c r="N34" i="6" a="1"/>
  <c r="H34" i="6" a="1"/>
  <c r="J34" i="6" a="1"/>
  <c r="K34" i="6" a="1"/>
  <c r="L34" i="6" a="1"/>
  <c r="M40" i="6" a="1"/>
  <c r="H40" i="6" a="1"/>
  <c r="N40" i="6" a="1"/>
  <c r="J40" i="6" a="1"/>
  <c r="K40" i="6" a="1"/>
  <c r="L40" i="6" a="1"/>
  <c r="N8" i="6" a="1"/>
  <c r="N9" i="6" a="1"/>
  <c r="N10" i="6" a="1"/>
  <c r="N6" i="6" a="1"/>
  <c r="N11" i="6" a="1"/>
  <c r="H33" i="6" a="1"/>
  <c r="N33" i="6" a="1"/>
  <c r="J33" i="6" a="1"/>
  <c r="K33" i="6" a="1"/>
  <c r="L33" i="6" a="1"/>
  <c r="M33" i="6" a="1"/>
  <c r="L29" i="6" a="1"/>
  <c r="M29" i="6" a="1"/>
  <c r="H29" i="6" a="1"/>
  <c r="N29" i="6" a="1"/>
  <c r="J29" i="6" a="1"/>
  <c r="K29" i="6" a="1"/>
  <c r="L35" i="6" a="1"/>
  <c r="M35" i="6" a="1"/>
  <c r="H35" i="6" a="1"/>
  <c r="N35" i="6" a="1"/>
  <c r="J35" i="6" a="1"/>
  <c r="K35" i="6" a="1"/>
  <c r="K30" i="6" a="1"/>
  <c r="L30" i="6" a="1"/>
  <c r="M30" i="6" a="1"/>
  <c r="H30" i="6" a="1"/>
  <c r="N30" i="6" a="1"/>
  <c r="J30" i="6" a="1"/>
  <c r="K36" i="6" a="1"/>
  <c r="L36" i="6" a="1"/>
  <c r="M36" i="6" a="1"/>
  <c r="H36" i="6" a="1"/>
  <c r="N36" i="6" a="1"/>
  <c r="J36" i="6" a="1"/>
  <c r="J37" i="6" a="1"/>
  <c r="K37" i="6" a="1"/>
  <c r="L37" i="6" a="1"/>
  <c r="M37" i="6" a="1"/>
  <c r="H37" i="6" a="1"/>
  <c r="N37" i="6" a="1"/>
  <c r="J31" i="6" a="1"/>
  <c r="L31" i="6" a="1"/>
  <c r="K31" i="6" a="1"/>
  <c r="M31" i="6" a="1"/>
  <c r="N31" i="6" a="1"/>
  <c r="H31" i="6" a="1"/>
  <c r="J32" i="6" a="1"/>
  <c r="K32" i="6" a="1"/>
  <c r="L32" i="6" a="1"/>
  <c r="M32" i="6" a="1"/>
  <c r="H32" i="6" a="1"/>
  <c r="N32" i="6" a="1"/>
  <c r="J38" i="6" a="1"/>
  <c r="K38" i="6" a="1"/>
  <c r="L38" i="6" a="1"/>
  <c r="M38" i="6" a="1"/>
  <c r="H38" i="6" a="1"/>
  <c r="N38" i="6" a="1"/>
  <c r="N48" i="6" a="1"/>
  <c r="H48" i="6" a="1"/>
  <c r="J48" i="6" a="1"/>
  <c r="K48" i="6" a="1"/>
  <c r="L48" i="6" a="1"/>
  <c r="M48" i="6" a="1"/>
  <c r="R40" i="8" l="1"/>
  <c r="V39" i="8"/>
  <c r="X39" i="8"/>
  <c r="Y39" i="8"/>
  <c r="R39" i="8"/>
  <c r="S39" i="8"/>
  <c r="D39" i="8" s="1"/>
  <c r="T39" i="8"/>
  <c r="W39" i="8"/>
  <c r="U39" i="8"/>
  <c r="D40" i="8"/>
  <c r="V36" i="8"/>
  <c r="X36" i="8"/>
  <c r="Y36" i="8"/>
  <c r="T36" i="8"/>
  <c r="U36" i="8"/>
  <c r="W36" i="8"/>
  <c r="R36" i="8"/>
  <c r="S36" i="8"/>
  <c r="D36" i="8" s="1"/>
  <c r="P36" i="8"/>
  <c r="Y38" i="8"/>
  <c r="R38" i="8"/>
  <c r="S38" i="8"/>
  <c r="D38" i="8" s="1"/>
  <c r="T38" i="8"/>
  <c r="U38" i="8"/>
  <c r="V38" i="8"/>
  <c r="W38" i="8"/>
  <c r="X38" i="8"/>
  <c r="P38" i="8"/>
  <c r="U34" i="8"/>
  <c r="V34" i="8"/>
  <c r="W34" i="8"/>
  <c r="Y34" i="8"/>
  <c r="X34" i="8"/>
  <c r="T34" i="8"/>
  <c r="S34" i="8"/>
  <c r="D34" i="8" s="1"/>
  <c r="R34" i="8"/>
  <c r="P34" i="8"/>
  <c r="U31" i="8"/>
  <c r="V31" i="8"/>
  <c r="T31" i="8"/>
  <c r="X31" i="8"/>
  <c r="R31" i="8"/>
  <c r="S31" i="8"/>
  <c r="D31" i="8" s="1"/>
  <c r="W31" i="8"/>
  <c r="Y31" i="8"/>
  <c r="P31" i="8"/>
  <c r="P40" i="8"/>
  <c r="P39" i="8"/>
  <c r="R33" i="8"/>
  <c r="S33" i="8"/>
  <c r="D33" i="8" s="1"/>
  <c r="U33" i="8"/>
  <c r="T33" i="8"/>
  <c r="V33" i="8"/>
  <c r="X33" i="8"/>
  <c r="Y33" i="8"/>
  <c r="W33" i="8"/>
  <c r="P33" i="8"/>
  <c r="X29" i="8"/>
  <c r="Y29" i="8"/>
  <c r="S29" i="8"/>
  <c r="D29" i="8" s="1"/>
  <c r="W29" i="8"/>
  <c r="R29" i="8"/>
  <c r="T29" i="8"/>
  <c r="U29" i="8"/>
  <c r="V29" i="8"/>
  <c r="P29" i="8"/>
  <c r="R30" i="8"/>
  <c r="U30" i="8"/>
  <c r="V30" i="8"/>
  <c r="W30" i="8"/>
  <c r="X30" i="8"/>
  <c r="S30" i="8"/>
  <c r="D30" i="8" s="1"/>
  <c r="T30" i="8"/>
  <c r="Y30" i="8"/>
  <c r="P30" i="8"/>
  <c r="X37" i="8"/>
  <c r="W37" i="8"/>
  <c r="Y37" i="8"/>
  <c r="V37" i="8"/>
  <c r="S37" i="8"/>
  <c r="D37" i="8" s="1"/>
  <c r="R37" i="8"/>
  <c r="T37" i="8"/>
  <c r="U37" i="8"/>
  <c r="P37" i="8"/>
  <c r="V35" i="8"/>
  <c r="W35" i="8"/>
  <c r="R35" i="8"/>
  <c r="T35" i="8"/>
  <c r="U35" i="8"/>
  <c r="X35" i="8"/>
  <c r="Y35" i="8"/>
  <c r="S35" i="8"/>
  <c r="D35" i="8" s="1"/>
  <c r="P35" i="8"/>
  <c r="Y32" i="8"/>
  <c r="W32" i="8"/>
  <c r="V32" i="8"/>
  <c r="X32" i="8"/>
  <c r="R32" i="8"/>
  <c r="S32" i="8"/>
  <c r="D32" i="8" s="1"/>
  <c r="T32" i="8"/>
  <c r="U32" i="8"/>
  <c r="P32" i="8"/>
  <c r="Q100" i="8"/>
  <c r="O38" i="8"/>
  <c r="O37" i="8"/>
  <c r="O31" i="8"/>
  <c r="O34" i="8"/>
  <c r="O32" i="8"/>
  <c r="O40" i="8"/>
  <c r="O29" i="8"/>
  <c r="O35" i="8"/>
  <c r="O39" i="8"/>
  <c r="O36" i="8"/>
  <c r="O33" i="8"/>
  <c r="O30" i="8"/>
  <c r="E101" i="8"/>
  <c r="N100" i="8"/>
  <c r="AE38" i="6"/>
  <c r="AE32" i="6"/>
  <c r="AE31" i="6"/>
  <c r="AE37" i="6"/>
  <c r="AE36" i="6"/>
  <c r="AE30" i="6"/>
  <c r="AE35" i="6"/>
  <c r="AE29" i="6"/>
  <c r="AE33" i="6"/>
  <c r="AE40" i="6"/>
  <c r="AE34" i="6"/>
  <c r="AE39" i="6"/>
  <c r="F74" i="6"/>
  <c r="O74" i="6"/>
  <c r="O75" i="6"/>
  <c r="M48" i="6"/>
  <c r="L48" i="6"/>
  <c r="K48" i="6"/>
  <c r="J48" i="6"/>
  <c r="H48" i="6"/>
  <c r="N48" i="6"/>
  <c r="N38" i="6"/>
  <c r="H38" i="6"/>
  <c r="M38" i="6"/>
  <c r="L38" i="6"/>
  <c r="K38" i="6"/>
  <c r="J38" i="6"/>
  <c r="N32" i="6"/>
  <c r="H32" i="6"/>
  <c r="M32" i="6"/>
  <c r="L32" i="6"/>
  <c r="K32" i="6"/>
  <c r="J32" i="6"/>
  <c r="H31" i="6"/>
  <c r="N31" i="6"/>
  <c r="M31" i="6"/>
  <c r="K31" i="6"/>
  <c r="L31" i="6"/>
  <c r="J31" i="6"/>
  <c r="N37" i="6"/>
  <c r="H37" i="6"/>
  <c r="M37" i="6"/>
  <c r="L37" i="6"/>
  <c r="K37" i="6"/>
  <c r="J37" i="6"/>
  <c r="J36" i="6"/>
  <c r="N36" i="6"/>
  <c r="H36" i="6"/>
  <c r="M36" i="6"/>
  <c r="L36" i="6"/>
  <c r="K36" i="6"/>
  <c r="J30" i="6"/>
  <c r="N30" i="6"/>
  <c r="H30" i="6"/>
  <c r="M30" i="6"/>
  <c r="L30" i="6"/>
  <c r="K30" i="6"/>
  <c r="K35" i="6"/>
  <c r="J35" i="6"/>
  <c r="N35" i="6"/>
  <c r="H35" i="6"/>
  <c r="M35" i="6"/>
  <c r="L35" i="6"/>
  <c r="K29" i="6"/>
  <c r="J29" i="6"/>
  <c r="N29" i="6"/>
  <c r="H29" i="6"/>
  <c r="M29" i="6"/>
  <c r="L29" i="6"/>
  <c r="M33" i="6"/>
  <c r="L33" i="6"/>
  <c r="K33" i="6"/>
  <c r="J33" i="6"/>
  <c r="N33" i="6"/>
  <c r="H33" i="6"/>
  <c r="N11" i="6"/>
  <c r="N6" i="6"/>
  <c r="N10" i="6"/>
  <c r="N9" i="6"/>
  <c r="N8" i="6"/>
  <c r="P8" i="6" s="1"/>
  <c r="L40" i="6"/>
  <c r="K40" i="6"/>
  <c r="J40" i="6"/>
  <c r="N40" i="6"/>
  <c r="H40" i="6"/>
  <c r="M40" i="6"/>
  <c r="L34" i="6"/>
  <c r="K34" i="6"/>
  <c r="J34" i="6"/>
  <c r="H34" i="6"/>
  <c r="N34" i="6"/>
  <c r="M34" i="6"/>
  <c r="M39" i="6"/>
  <c r="L39" i="6"/>
  <c r="K39" i="6"/>
  <c r="J39" i="6"/>
  <c r="N39" i="6"/>
  <c r="H39" i="6"/>
  <c r="I37" i="6"/>
  <c r="I31" i="6"/>
  <c r="I29" i="6"/>
  <c r="I30" i="6"/>
  <c r="I36" i="6"/>
  <c r="I35" i="6"/>
  <c r="N12" i="6"/>
  <c r="I40" i="6"/>
  <c r="I34" i="6"/>
  <c r="I39" i="6"/>
  <c r="I33" i="6"/>
  <c r="I48" i="6"/>
  <c r="I32" i="6"/>
  <c r="I38" i="6"/>
  <c r="N7" i="6"/>
  <c r="P75" i="6"/>
  <c r="M74" i="6" s="1"/>
  <c r="J74" i="6" s="1"/>
  <c r="G75" i="1"/>
  <c r="P75" i="1" s="1"/>
  <c r="J75" i="1"/>
  <c r="M75" i="1"/>
  <c r="E55" i="8" a="1"/>
  <c r="R32" i="6" a="1"/>
  <c r="R37" i="6" a="1"/>
  <c r="R30" i="6" a="1"/>
  <c r="R29" i="6" a="1"/>
  <c r="R34" i="6" a="1"/>
  <c r="R38" i="6" a="1"/>
  <c r="R31" i="6" a="1"/>
  <c r="R36" i="6" a="1"/>
  <c r="R35" i="6" a="1"/>
  <c r="R39" i="6" a="1"/>
  <c r="R33" i="6" a="1"/>
  <c r="P34" i="6" a="1"/>
  <c r="P38" i="6" a="1"/>
  <c r="P39" i="6" a="1"/>
  <c r="P31" i="6" a="1"/>
  <c r="P36" i="6" a="1"/>
  <c r="P35" i="6" a="1"/>
  <c r="P40" i="6" a="1"/>
  <c r="R40" i="6" a="1"/>
  <c r="P33" i="6" a="1"/>
  <c r="P32" i="6" a="1"/>
  <c r="P37" i="6" a="1"/>
  <c r="P30" i="6" a="1"/>
  <c r="P29" i="6" a="1"/>
  <c r="R55" i="8" a="1"/>
  <c r="U55" i="8" a="1"/>
  <c r="X55" i="8" a="1"/>
  <c r="I55" i="8" a="1"/>
  <c r="AA55" i="8" a="1"/>
  <c r="L55" i="8" a="1"/>
  <c r="AD55" i="8" a="1"/>
  <c r="O55" i="8" a="1"/>
  <c r="O55" i="8" l="1"/>
  <c r="AD55" i="8"/>
  <c r="L55" i="8"/>
  <c r="AA55" i="8"/>
  <c r="I55" i="8"/>
  <c r="X55" i="8"/>
  <c r="U55" i="8"/>
  <c r="R55" i="8"/>
  <c r="E55" i="8"/>
  <c r="S33" i="6"/>
  <c r="T33" i="6"/>
  <c r="W33" i="6"/>
  <c r="AG33" i="6" s="1"/>
  <c r="U33" i="6"/>
  <c r="V33" i="6"/>
  <c r="X33" i="6"/>
  <c r="R33" i="6"/>
  <c r="U39" i="6"/>
  <c r="V39" i="6"/>
  <c r="W39" i="6"/>
  <c r="AG39" i="6" s="1"/>
  <c r="X39" i="6"/>
  <c r="S39" i="6"/>
  <c r="R39" i="6"/>
  <c r="T39" i="6"/>
  <c r="R35" i="6"/>
  <c r="S35" i="6"/>
  <c r="T35" i="6"/>
  <c r="U35" i="6"/>
  <c r="V35" i="6"/>
  <c r="W35" i="6"/>
  <c r="AG35" i="6" s="1"/>
  <c r="X35" i="6"/>
  <c r="S36" i="6"/>
  <c r="U36" i="6"/>
  <c r="V36" i="6"/>
  <c r="W36" i="6"/>
  <c r="AG36" i="6" s="1"/>
  <c r="X36" i="6"/>
  <c r="R36" i="6"/>
  <c r="T36" i="6"/>
  <c r="V31" i="6"/>
  <c r="S31" i="6"/>
  <c r="R31" i="6"/>
  <c r="T31" i="6"/>
  <c r="W31" i="6"/>
  <c r="AG31" i="6" s="1"/>
  <c r="X31" i="6"/>
  <c r="U31" i="6"/>
  <c r="X38" i="6"/>
  <c r="U38" i="6"/>
  <c r="V38" i="6"/>
  <c r="R38" i="6"/>
  <c r="S38" i="6"/>
  <c r="T38" i="6"/>
  <c r="W38" i="6"/>
  <c r="AG38" i="6" s="1"/>
  <c r="U34" i="6"/>
  <c r="V34" i="6"/>
  <c r="R34" i="6"/>
  <c r="S34" i="6"/>
  <c r="W34" i="6"/>
  <c r="AG34" i="6" s="1"/>
  <c r="X34" i="6"/>
  <c r="T34" i="6"/>
  <c r="T29" i="6"/>
  <c r="U29" i="6"/>
  <c r="V29" i="6"/>
  <c r="W29" i="6"/>
  <c r="AG29" i="6" s="1"/>
  <c r="X29" i="6"/>
  <c r="R29" i="6"/>
  <c r="S29" i="6"/>
  <c r="U30" i="6"/>
  <c r="V30" i="6"/>
  <c r="X30" i="6"/>
  <c r="W30" i="6"/>
  <c r="AG30" i="6" s="1"/>
  <c r="S30" i="6"/>
  <c r="T30" i="6"/>
  <c r="R30" i="6"/>
  <c r="S37" i="6"/>
  <c r="V37" i="6"/>
  <c r="T37" i="6"/>
  <c r="U37" i="6"/>
  <c r="X37" i="6"/>
  <c r="W37" i="6"/>
  <c r="AG37" i="6" s="1"/>
  <c r="R37" i="6"/>
  <c r="V32" i="6"/>
  <c r="T32" i="6"/>
  <c r="W32" i="6"/>
  <c r="AG32" i="6" s="1"/>
  <c r="X32" i="6"/>
  <c r="R32" i="6"/>
  <c r="S32" i="6"/>
  <c r="U32" i="6"/>
  <c r="AJ40" i="6"/>
  <c r="AG40" i="6"/>
  <c r="AI40" i="6" s="1"/>
  <c r="P30" i="6"/>
  <c r="P37" i="6"/>
  <c r="P32" i="6"/>
  <c r="P33" i="6"/>
  <c r="R40" i="6"/>
  <c r="P40" i="6"/>
  <c r="P35" i="6"/>
  <c r="P36" i="6"/>
  <c r="P31" i="6"/>
  <c r="P39" i="6"/>
  <c r="P38" i="6"/>
  <c r="P34" i="6"/>
  <c r="P29" i="6"/>
  <c r="F75" i="6"/>
  <c r="M74" i="1"/>
  <c r="J74" i="1" s="1"/>
  <c r="E55" i="6" a="1"/>
  <c r="U55" i="6" a="1"/>
  <c r="X55" i="6" a="1"/>
  <c r="R55" i="6" a="1"/>
  <c r="I55" i="6" a="1"/>
  <c r="AA55" i="6" a="1"/>
  <c r="L55" i="6" a="1"/>
  <c r="AD55" i="6" a="1"/>
  <c r="O55" i="6" a="1"/>
  <c r="AJ29" i="6" l="1"/>
  <c r="AJ30" i="6"/>
  <c r="AI38" i="6"/>
  <c r="AI36" i="6"/>
  <c r="AI31" i="6"/>
  <c r="AI34" i="6"/>
  <c r="AJ34" i="6"/>
  <c r="AI39" i="6"/>
  <c r="AJ39" i="6"/>
  <c r="AJ36" i="6"/>
  <c r="AI30" i="6"/>
  <c r="AJ31" i="6"/>
  <c r="AJ32" i="6"/>
  <c r="AI32" i="6"/>
  <c r="AJ38" i="6"/>
  <c r="AJ35" i="6"/>
  <c r="AI35" i="6"/>
  <c r="AI33" i="6"/>
  <c r="AJ33" i="6"/>
  <c r="AI37" i="6"/>
  <c r="AI29" i="6"/>
  <c r="AJ37" i="6"/>
  <c r="O55" i="6"/>
  <c r="AD55" i="6"/>
  <c r="L55" i="6"/>
  <c r="AA55" i="6"/>
  <c r="I55" i="6"/>
  <c r="R55" i="6"/>
  <c r="X55" i="6"/>
  <c r="U55" i="6"/>
  <c r="E55" i="6"/>
  <c r="N17" i="2" l="1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16" i="2"/>
  <c r="O16" i="2" s="1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16" i="2"/>
  <c r="L16" i="2" s="1"/>
  <c r="K7" i="1"/>
  <c r="K6" i="1"/>
  <c r="L74" i="1" s="1"/>
  <c r="L75" i="1" s="1"/>
  <c r="O75" i="1" s="1"/>
  <c r="E15" i="1"/>
  <c r="G35" i="1"/>
  <c r="G36" i="1"/>
  <c r="G29" i="1"/>
  <c r="E20" i="1"/>
  <c r="N8" i="1" s="1" a="1"/>
  <c r="G38" i="1"/>
  <c r="G30" i="1"/>
  <c r="I31" i="1" a="1"/>
  <c r="K36" i="1" a="1"/>
  <c r="N7" i="1" a="1"/>
  <c r="I33" i="1" a="1"/>
  <c r="I37" i="1" a="1"/>
  <c r="N35" i="1" a="1"/>
  <c r="L30" i="1" a="1"/>
  <c r="J36" i="1" a="1"/>
  <c r="G34" i="1"/>
  <c r="N38" i="1" a="1"/>
  <c r="N30" i="1" a="1"/>
  <c r="M36" i="1" a="1"/>
  <c r="I30" i="1" a="1"/>
  <c r="G37" i="1"/>
  <c r="K34" i="1" a="1"/>
  <c r="J35" i="1" a="1"/>
  <c r="J30" i="1" a="1"/>
  <c r="L36" i="1" a="1"/>
  <c r="G40" i="1"/>
  <c r="I29" i="1" a="1"/>
  <c r="I35" i="1" a="1"/>
  <c r="I34" i="1" a="1"/>
  <c r="G31" i="1"/>
  <c r="I40" i="1" a="1"/>
  <c r="G32" i="1"/>
  <c r="G48" i="1"/>
  <c r="I36" i="1" a="1"/>
  <c r="G33" i="1"/>
  <c r="G39" i="1"/>
  <c r="I48" i="1" a="1"/>
  <c r="I38" i="1" a="1"/>
  <c r="I39" i="1" a="1"/>
  <c r="I32" i="1" a="1"/>
  <c r="N12" i="1" a="1"/>
  <c r="K35" i="1" a="1"/>
  <c r="L35" i="1" a="1"/>
  <c r="M35" i="1" a="1"/>
  <c r="H35" i="1" a="1"/>
  <c r="H36" i="1" a="1"/>
  <c r="N36" i="1" a="1"/>
  <c r="J29" i="1" a="1"/>
  <c r="M29" i="1" a="1"/>
  <c r="H29" i="1" a="1"/>
  <c r="K29" i="1" a="1"/>
  <c r="L29" i="1" a="1"/>
  <c r="N9" i="1" a="1"/>
  <c r="N6" i="1" a="1"/>
  <c r="N10" i="1" a="1"/>
  <c r="L38" i="1" a="1"/>
  <c r="K38" i="1" a="1"/>
  <c r="H38" i="1" a="1"/>
  <c r="J38" i="1" a="1"/>
  <c r="M38" i="1" a="1"/>
  <c r="M30" i="1" a="1"/>
  <c r="K30" i="1" a="1"/>
  <c r="H30" i="1" a="1"/>
  <c r="H34" i="1" a="1"/>
  <c r="M34" i="1" a="1"/>
  <c r="L34" i="1" a="1"/>
  <c r="J34" i="1" a="1"/>
  <c r="N34" i="1" a="1"/>
  <c r="J37" i="1" a="1"/>
  <c r="L37" i="1" a="1"/>
  <c r="M37" i="1" a="1"/>
  <c r="H37" i="1" a="1"/>
  <c r="N37" i="1" a="1"/>
  <c r="K37" i="1" a="1"/>
  <c r="L40" i="1" a="1"/>
  <c r="M40" i="1" a="1"/>
  <c r="N40" i="1" a="1"/>
  <c r="J40" i="1" a="1"/>
  <c r="H40" i="1" a="1"/>
  <c r="K40" i="1" a="1"/>
  <c r="K31" i="1" a="1"/>
  <c r="N31" i="1" a="1"/>
  <c r="J31" i="1" a="1"/>
  <c r="H31" i="1" a="1"/>
  <c r="M31" i="1" a="1"/>
  <c r="L31" i="1" a="1"/>
  <c r="J32" i="1" a="1"/>
  <c r="M32" i="1" a="1"/>
  <c r="K32" i="1" a="1"/>
  <c r="L32" i="1" a="1"/>
  <c r="H32" i="1" a="1"/>
  <c r="N32" i="1" a="1"/>
  <c r="H48" i="1" a="1"/>
  <c r="K48" i="1" a="1"/>
  <c r="J48" i="1" a="1"/>
  <c r="N48" i="1" a="1"/>
  <c r="L48" i="1" a="1"/>
  <c r="M48" i="1" a="1"/>
  <c r="M33" i="1" a="1"/>
  <c r="K33" i="1" a="1"/>
  <c r="N33" i="1" a="1"/>
  <c r="L33" i="1" a="1"/>
  <c r="J33" i="1" a="1"/>
  <c r="H33" i="1" a="1"/>
  <c r="K39" i="1" a="1"/>
  <c r="L39" i="1" a="1"/>
  <c r="J39" i="1" a="1"/>
  <c r="H39" i="1" a="1"/>
  <c r="N39" i="1" a="1"/>
  <c r="M39" i="1" a="1"/>
  <c r="N8" i="1" l="1"/>
  <c r="P8" i="1" s="1"/>
  <c r="H48" i="1"/>
  <c r="M48" i="1"/>
  <c r="J48" i="1"/>
  <c r="K48" i="1"/>
  <c r="N48" i="1"/>
  <c r="L48" i="1"/>
  <c r="I48" i="1"/>
  <c r="I74" i="1"/>
  <c r="I75" i="1" s="1"/>
  <c r="F74" i="1"/>
  <c r="K37" i="1"/>
  <c r="K34" i="1"/>
  <c r="J31" i="1"/>
  <c r="L30" i="1"/>
  <c r="M33" i="1"/>
  <c r="K30" i="1"/>
  <c r="I32" i="1"/>
  <c r="L39" i="1"/>
  <c r="H35" i="1"/>
  <c r="I31" i="1"/>
  <c r="K40" i="1"/>
  <c r="N38" i="1"/>
  <c r="N35" i="1"/>
  <c r="H32" i="1"/>
  <c r="K39" i="1"/>
  <c r="K36" i="1"/>
  <c r="I34" i="1"/>
  <c r="H40" i="1"/>
  <c r="J39" i="1"/>
  <c r="L38" i="1"/>
  <c r="N37" i="1"/>
  <c r="H37" i="1"/>
  <c r="J36" i="1"/>
  <c r="L35" i="1"/>
  <c r="N34" i="1"/>
  <c r="H34" i="1"/>
  <c r="J33" i="1"/>
  <c r="L32" i="1"/>
  <c r="N31" i="1"/>
  <c r="H31" i="1"/>
  <c r="J30" i="1"/>
  <c r="I38" i="1"/>
  <c r="I35" i="1"/>
  <c r="J37" i="1"/>
  <c r="J34" i="1"/>
  <c r="I40" i="1"/>
  <c r="I37" i="1"/>
  <c r="M32" i="1"/>
  <c r="I39" i="1"/>
  <c r="M37" i="1"/>
  <c r="I36" i="1"/>
  <c r="M34" i="1"/>
  <c r="I33" i="1"/>
  <c r="K32" i="1"/>
  <c r="M31" i="1"/>
  <c r="I30" i="1"/>
  <c r="M39" i="1"/>
  <c r="M30" i="1"/>
  <c r="H38" i="1"/>
  <c r="N32" i="1"/>
  <c r="M38" i="1"/>
  <c r="K38" i="1"/>
  <c r="K35" i="1"/>
  <c r="M36" i="1"/>
  <c r="K31" i="1"/>
  <c r="J40" i="1"/>
  <c r="L36" i="1"/>
  <c r="L33" i="1"/>
  <c r="M35" i="1"/>
  <c r="K33" i="1"/>
  <c r="N40" i="1"/>
  <c r="M40" i="1"/>
  <c r="L40" i="1"/>
  <c r="N39" i="1"/>
  <c r="H39" i="1"/>
  <c r="J38" i="1"/>
  <c r="L37" i="1"/>
  <c r="N36" i="1"/>
  <c r="H36" i="1"/>
  <c r="J35" i="1"/>
  <c r="L34" i="1"/>
  <c r="N33" i="1"/>
  <c r="H33" i="1"/>
  <c r="J32" i="1"/>
  <c r="L31" i="1"/>
  <c r="N30" i="1"/>
  <c r="H30" i="1"/>
  <c r="M29" i="1"/>
  <c r="L29" i="1"/>
  <c r="K29" i="1"/>
  <c r="J29" i="1"/>
  <c r="H29" i="1"/>
  <c r="I29" i="1"/>
  <c r="N12" i="1"/>
  <c r="N10" i="1"/>
  <c r="N9" i="1"/>
  <c r="N7" i="1"/>
  <c r="N6" i="1"/>
  <c r="P39" i="1" a="1"/>
  <c r="R39" i="1" a="1"/>
  <c r="P30" i="1" a="1"/>
  <c r="R30" i="1" a="1"/>
  <c r="P34" i="1" a="1"/>
  <c r="R34" i="1" a="1"/>
  <c r="P31" i="1" a="1"/>
  <c r="R31" i="1" a="1"/>
  <c r="P36" i="1" a="1"/>
  <c r="R36" i="1" a="1"/>
  <c r="P33" i="1" a="1"/>
  <c r="R33" i="1" a="1"/>
  <c r="P37" i="1" a="1"/>
  <c r="R37" i="1" a="1"/>
  <c r="P35" i="1" a="1"/>
  <c r="R35" i="1" a="1"/>
  <c r="P40" i="1" a="1"/>
  <c r="R40" i="1" a="1"/>
  <c r="P32" i="1" a="1"/>
  <c r="R32" i="1" a="1"/>
  <c r="P38" i="1" a="1"/>
  <c r="R38" i="1" a="1"/>
  <c r="O37" i="1" a="1"/>
  <c r="O36" i="1" a="1"/>
  <c r="O29" i="1" a="1"/>
  <c r="O38" i="1" a="1"/>
  <c r="O30" i="1" a="1"/>
  <c r="O32" i="1" a="1"/>
  <c r="O39" i="1" a="1"/>
  <c r="O35" i="1" a="1"/>
  <c r="O31" i="1" a="1"/>
  <c r="O33" i="1" a="1"/>
  <c r="O34" i="1" a="1"/>
  <c r="O40" i="1" a="1"/>
  <c r="N29" i="1" a="1"/>
  <c r="N11" i="1" a="1"/>
  <c r="U38" i="1" l="1"/>
  <c r="W38" i="1"/>
  <c r="V38" i="1"/>
  <c r="R38" i="1"/>
  <c r="S38" i="1"/>
  <c r="T38" i="1"/>
  <c r="P38" i="1"/>
  <c r="S32" i="1"/>
  <c r="T32" i="1"/>
  <c r="W32" i="1"/>
  <c r="R32" i="1"/>
  <c r="U32" i="1"/>
  <c r="V32" i="1"/>
  <c r="P32" i="1"/>
  <c r="R40" i="1"/>
  <c r="P40" i="1"/>
  <c r="R35" i="1"/>
  <c r="S35" i="1"/>
  <c r="V35" i="1"/>
  <c r="W35" i="1"/>
  <c r="T35" i="1"/>
  <c r="U35" i="1"/>
  <c r="P35" i="1"/>
  <c r="T37" i="1"/>
  <c r="U37" i="1"/>
  <c r="V37" i="1"/>
  <c r="W37" i="1"/>
  <c r="R37" i="1"/>
  <c r="S37" i="1"/>
  <c r="P37" i="1"/>
  <c r="W33" i="1"/>
  <c r="S33" i="1"/>
  <c r="U33" i="1"/>
  <c r="V33" i="1"/>
  <c r="T33" i="1"/>
  <c r="R33" i="1"/>
  <c r="P33" i="1"/>
  <c r="V36" i="1"/>
  <c r="W36" i="1"/>
  <c r="R36" i="1"/>
  <c r="S36" i="1"/>
  <c r="T36" i="1"/>
  <c r="U36" i="1"/>
  <c r="P36" i="1"/>
  <c r="V31" i="1"/>
  <c r="W31" i="1"/>
  <c r="S31" i="1"/>
  <c r="T31" i="1"/>
  <c r="R31" i="1"/>
  <c r="U31" i="1"/>
  <c r="P31" i="1"/>
  <c r="U34" i="1"/>
  <c r="V34" i="1"/>
  <c r="S34" i="1"/>
  <c r="W34" i="1"/>
  <c r="R34" i="1"/>
  <c r="T34" i="1"/>
  <c r="P34" i="1"/>
  <c r="W30" i="1"/>
  <c r="T30" i="1"/>
  <c r="S30" i="1"/>
  <c r="R30" i="1"/>
  <c r="U30" i="1"/>
  <c r="V30" i="1"/>
  <c r="P30" i="1"/>
  <c r="W39" i="1"/>
  <c r="S39" i="1"/>
  <c r="U39" i="1"/>
  <c r="R39" i="1"/>
  <c r="T39" i="1"/>
  <c r="V39" i="1"/>
  <c r="P39" i="1"/>
  <c r="N29" i="1"/>
  <c r="F75" i="1"/>
  <c r="O74" i="1"/>
  <c r="O29" i="1"/>
  <c r="O40" i="1"/>
  <c r="O30" i="1"/>
  <c r="O31" i="1"/>
  <c r="O35" i="1"/>
  <c r="O38" i="1"/>
  <c r="O36" i="1"/>
  <c r="O34" i="1"/>
  <c r="O39" i="1"/>
  <c r="O33" i="1"/>
  <c r="O32" i="1"/>
  <c r="O37" i="1"/>
  <c r="N11" i="1"/>
  <c r="P29" i="1" a="1"/>
  <c r="R29" i="1" a="1"/>
  <c r="E55" i="1" a="1"/>
  <c r="O55" i="1" a="1"/>
  <c r="U55" i="1" a="1"/>
  <c r="R55" i="1" a="1"/>
  <c r="AA55" i="1" a="1"/>
  <c r="I55" i="1" a="1"/>
  <c r="L55" i="1" a="1"/>
  <c r="X55" i="1" a="1"/>
  <c r="AD55" i="1" a="1"/>
  <c r="U29" i="1" l="1"/>
  <c r="V29" i="1"/>
  <c r="W29" i="1"/>
  <c r="R29" i="1"/>
  <c r="S29" i="1"/>
  <c r="T29" i="1"/>
  <c r="P29" i="1"/>
  <c r="AD55" i="1"/>
  <c r="AA55" i="1"/>
  <c r="X55" i="1"/>
  <c r="U55" i="1"/>
  <c r="R55" i="1"/>
  <c r="O55" i="1"/>
  <c r="L55" i="1"/>
  <c r="I55" i="1"/>
  <c r="E5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<sst xmlns="http://schemas.openxmlformats.org/spreadsheetml/2006/main" count="213" uniqueCount="56">
  <si>
    <t>gamma_gas</t>
  </si>
  <si>
    <t>gamma_oil</t>
  </si>
  <si>
    <t>gamma_wat</t>
  </si>
  <si>
    <t>rsb_m3m3</t>
  </si>
  <si>
    <t>pb_atma</t>
  </si>
  <si>
    <t>t_res_C</t>
  </si>
  <si>
    <t>bob_m3m3</t>
  </si>
  <si>
    <t>muob_cP</t>
  </si>
  <si>
    <t>pvt_corr_set</t>
  </si>
  <si>
    <t>PVT</t>
  </si>
  <si>
    <t>q_liq_sm3day</t>
  </si>
  <si>
    <t>fw_perc</t>
  </si>
  <si>
    <t>rp_m3m3</t>
  </si>
  <si>
    <t>q_gas_free_sm3day</t>
  </si>
  <si>
    <t>feed</t>
  </si>
  <si>
    <t>Параметры флюида</t>
  </si>
  <si>
    <t>Доп расчетные параметры</t>
  </si>
  <si>
    <t xml:space="preserve">Параметры </t>
  </si>
  <si>
    <t>мм</t>
  </si>
  <si>
    <t>Плотность жидкости</t>
  </si>
  <si>
    <t>Плотность газа</t>
  </si>
  <si>
    <t xml:space="preserve">Пов. Натяжение </t>
  </si>
  <si>
    <t>Qliq in situ</t>
  </si>
  <si>
    <t>Qgas in situ</t>
  </si>
  <si>
    <t>dcas</t>
  </si>
  <si>
    <t>dintake</t>
  </si>
  <si>
    <t>p</t>
  </si>
  <si>
    <t>t</t>
  </si>
  <si>
    <t>kg/m3</t>
  </si>
  <si>
    <t>Нм</t>
  </si>
  <si>
    <t>mu_liq</t>
  </si>
  <si>
    <t>mu_gas</t>
  </si>
  <si>
    <t>q</t>
  </si>
  <si>
    <t>ksep simpl</t>
  </si>
  <si>
    <t>ksep mech</t>
  </si>
  <si>
    <t>mm</t>
  </si>
  <si>
    <t xml:space="preserve">li analysis </t>
  </si>
  <si>
    <t>v_ooz</t>
  </si>
  <si>
    <t>v_sgz</t>
  </si>
  <si>
    <t>li</t>
  </si>
  <si>
    <t>li slug</t>
  </si>
  <si>
    <t>li bubble</t>
  </si>
  <si>
    <t>v_sl</t>
  </si>
  <si>
    <t>h</t>
  </si>
  <si>
    <t>r</t>
  </si>
  <si>
    <t>hintake</t>
  </si>
  <si>
    <t>1. Построение графика зависимости коэффициента сепарации от дебита</t>
  </si>
  <si>
    <t>2. Построение траектории пузырьков газа около приема насоса</t>
  </si>
  <si>
    <t>calibr_li</t>
  </si>
  <si>
    <t>calibr_st</t>
  </si>
  <si>
    <t>hperf</t>
  </si>
  <si>
    <t>vs</t>
  </si>
  <si>
    <t>пкв отношение</t>
  </si>
  <si>
    <t>Пример расчет коэффициента сепарации для ПКВ режима</t>
  </si>
  <si>
    <t>суточный</t>
  </si>
  <si>
    <t>мгновенный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</si>
</sst>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2" x14ac:knownFonts="1">
    <font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A0FAFA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0" xfId="0" applyFill="1"/>
    <xf numFmtId="0" fontId="0" fillId="3" borderId="0" xfId="0" applyFill="1"/>
    <xf numFmtId="0" fontId="1" fillId="4" borderId="1" xfId="0" applyFont="1" applyFill="1" applyBorder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1" fontId="0" fillId="0" borderId="0" xfId="0" applyNumberFormat="1"/>
    <xf numFmtId="0" fontId="0" fillId="0" borderId="0" xfId="0" applyFill="1" applyBorder="1" applyAlignment="1">
      <alignment horizontal="center"/>
    </xf>
    <xf numFmtId="0" fontId="0" fillId="5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методов Маркеса - упрощенная и механистическая</a:t>
            </a:r>
            <a:r>
              <a:rPr lang="ru-RU" baseline="0"/>
              <a:t> модели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'прием ЭЦН'!$O$28</c:f>
              <c:strCache>
                <c:ptCount val="1"/>
                <c:pt idx="0">
                  <c:v>ksep simpl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'прием ЭЦН'!$F$29:$F$40</c:f>
              <c:numCache>
                <c:formatCode>General</c:formatCode>
                <c:ptCount val="12"/>
                <c:pt idx="0">
                  <c:v>2</c:v>
                </c:pt>
                <c:pt idx="1">
                  <c:v>10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90</c:v>
                </c:pt>
                <c:pt idx="6">
                  <c:v>110</c:v>
                </c:pt>
                <c:pt idx="7">
                  <c:v>130</c:v>
                </c:pt>
                <c:pt idx="8">
                  <c:v>150</c:v>
                </c:pt>
                <c:pt idx="9">
                  <c:v>170</c:v>
                </c:pt>
                <c:pt idx="10">
                  <c:v>190</c:v>
                </c:pt>
                <c:pt idx="11">
                  <c:v>210</c:v>
                </c:pt>
              </c:numCache>
            </c:numRef>
          </c:xVal>
          <c:yVal>
            <c:numRef>
              <c:f>'прием ЭЦН'!$O$29:$O$40</c:f>
              <c:numCache>
                <c:formatCode>0.00</c:formatCode>
                <c:ptCount val="12"/>
                <c:pt idx="0">
                  <c:v>0.97531811431639082</c:v>
                </c:pt>
                <c:pt idx="1">
                  <c:v>0.92421907951868054</c:v>
                </c:pt>
                <c:pt idx="2">
                  <c:v>0.81204441723443999</c:v>
                </c:pt>
                <c:pt idx="3">
                  <c:v>0.72751989425767538</c:v>
                </c:pt>
                <c:pt idx="4">
                  <c:v>0.65784724443441345</c:v>
                </c:pt>
                <c:pt idx="5">
                  <c:v>0.59934848841213717</c:v>
                </c:pt>
                <c:pt idx="6">
                  <c:v>0.54976616710400705</c:v>
                </c:pt>
                <c:pt idx="7">
                  <c:v>0.52822421786505003</c:v>
                </c:pt>
                <c:pt idx="8">
                  <c:v>0.49198822728973801</c:v>
                </c:pt>
                <c:pt idx="9">
                  <c:v>0.46064423477530259</c:v>
                </c:pt>
                <c:pt idx="10">
                  <c:v>0.43352460347650212</c:v>
                </c:pt>
                <c:pt idx="11">
                  <c:v>0.41007222490252482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0D-4BA8-A21E-4AADF88EC522}"/>
            </c:ext>
          </c:extLst>
        </c:ser>
        <c:ser>
          <c:idx val="1"/>
          <c:order val="1"/>
          <c:tx>
            <c:strRef>
              <c:f>'прием ЭЦН'!$P$28</c:f>
              <c:strCache>
                <c:ptCount val="1"/>
                <c:pt idx="0">
                  <c:v>ksep mech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'прием ЭЦН'!$F$29:$F$40</c:f>
              <c:numCache>
                <c:formatCode>General</c:formatCode>
                <c:ptCount val="12"/>
                <c:pt idx="0">
                  <c:v>2</c:v>
                </c:pt>
                <c:pt idx="1">
                  <c:v>10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90</c:v>
                </c:pt>
                <c:pt idx="6">
                  <c:v>110</c:v>
                </c:pt>
                <c:pt idx="7">
                  <c:v>130</c:v>
                </c:pt>
                <c:pt idx="8">
                  <c:v>150</c:v>
                </c:pt>
                <c:pt idx="9">
                  <c:v>170</c:v>
                </c:pt>
                <c:pt idx="10">
                  <c:v>190</c:v>
                </c:pt>
                <c:pt idx="11">
                  <c:v>210</c:v>
                </c:pt>
              </c:numCache>
            </c:numRef>
          </c:xVal>
          <c:yVal>
            <c:numRef>
              <c:f>'прием ЭЦН'!$P$29:$P$40</c:f>
              <c:numCache>
                <c:formatCode>0.00</c:formatCode>
                <c:ptCount val="12"/>
                <c:pt idx="0">
                  <c:v>0.98601737195597727</c:v>
                </c:pt>
                <c:pt idx="1">
                  <c:v>0.93168573982949532</c:v>
                </c:pt>
                <c:pt idx="2">
                  <c:v>0.80953987529456584</c:v>
                </c:pt>
                <c:pt idx="3">
                  <c:v>0.70687006059407398</c:v>
                </c:pt>
                <c:pt idx="4">
                  <c:v>0.62075844148255166</c:v>
                </c:pt>
                <c:pt idx="5">
                  <c:v>0.54859238752817863</c:v>
                </c:pt>
                <c:pt idx="6">
                  <c:v>0.48790570103805297</c:v>
                </c:pt>
                <c:pt idx="7">
                  <c:v>0.43659050760718593</c:v>
                </c:pt>
                <c:pt idx="8">
                  <c:v>0.39292585154674825</c:v>
                </c:pt>
                <c:pt idx="9">
                  <c:v>0.35552355868711322</c:v>
                </c:pt>
                <c:pt idx="10">
                  <c:v>0.32328746453403362</c:v>
                </c:pt>
                <c:pt idx="11">
                  <c:v>0.29532440426822704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F0D-4BA8-A21E-4AADF88EC5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426863"/>
        <c:axId val="1588425615"/>
      </c:scatterChart>
      <c:valAx>
        <c:axId val="15884268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8425615"/>
        <c:crosses val="autoZero"/>
        <c:crossBetween val="midCat"/>
      </c:valAx>
      <c:valAx>
        <c:axId val="158842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ксеп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84268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движения пузырьков газа на приеме ЭЦН</a:t>
            </a:r>
            <a:br>
              <a:rPr lang="ru-RU" baseline="0"/>
            </a:br>
            <a:r>
              <a:rPr lang="ru-RU" baseline="0"/>
              <a:t>механистическая модель Маркеса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'прием ЭЦН'!$E$55</c:f>
              <c:strCache>
                <c:ptCount val="1"/>
                <c:pt idx="0">
                  <c:v>n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ЭЦН'!$J$56:$J$70</c:f>
              <c:numCache>
                <c:formatCode>General</c:formatCode>
                <c:ptCount val="15"/>
                <c:pt idx="0">
                  <c:v>4.9605999999999997E-2</c:v>
                </c:pt>
                <c:pt idx="1">
                  <c:v>4.9605999999999997E-2</c:v>
                </c:pt>
                <c:pt idx="2">
                  <c:v>4.9605999999999997E-2</c:v>
                </c:pt>
                <c:pt idx="3">
                  <c:v>4.9605999999999997E-2</c:v>
                </c:pt>
                <c:pt idx="4">
                  <c:v>4.9605999999999997E-2</c:v>
                </c:pt>
                <c:pt idx="5">
                  <c:v>4.9605999999999997E-2</c:v>
                </c:pt>
                <c:pt idx="6">
                  <c:v>4.9605999999999997E-2</c:v>
                </c:pt>
                <c:pt idx="7">
                  <c:v>4.9605999999999997E-2</c:v>
                </c:pt>
                <c:pt idx="8">
                  <c:v>4.8118000000000001E-2</c:v>
                </c:pt>
                <c:pt idx="9">
                  <c:v>4.641E-2</c:v>
                </c:pt>
                <c:pt idx="10">
                  <c:v>4.4503000000000001E-2</c:v>
                </c:pt>
                <c:pt idx="11">
                  <c:v>4.2361999999999997E-2</c:v>
                </c:pt>
                <c:pt idx="12">
                  <c:v>4.1700000000000001E-2</c:v>
                </c:pt>
                <c:pt idx="13">
                  <c:v>4.1700000000000001E-2</c:v>
                </c:pt>
                <c:pt idx="14">
                  <c:v>4.1700000000000001E-2</c:v>
                </c:pt>
              </c:numCache>
            </c:numRef>
          </c:xVal>
          <c:yVal>
            <c:numRef>
              <c:f>'прием ЭЦН'!$I$56:$I$70</c:f>
              <c:numCache>
                <c:formatCode>General</c:formatCode>
                <c:ptCount val="15"/>
                <c:pt idx="0">
                  <c:v>-0.04</c:v>
                </c:pt>
                <c:pt idx="1">
                  <c:v>-1.6667000000000001E-2</c:v>
                </c:pt>
                <c:pt idx="2">
                  <c:v>6.6670000000000002E-3</c:v>
                </c:pt>
                <c:pt idx="3">
                  <c:v>0.03</c:v>
                </c:pt>
                <c:pt idx="4">
                  <c:v>5.3332999999999998E-2</c:v>
                </c:pt>
                <c:pt idx="5">
                  <c:v>7.6666999999999999E-2</c:v>
                </c:pt>
                <c:pt idx="6">
                  <c:v>0.1</c:v>
                </c:pt>
                <c:pt idx="7">
                  <c:v>0.100818</c:v>
                </c:pt>
                <c:pt idx="8">
                  <c:v>0.123333</c:v>
                </c:pt>
                <c:pt idx="9">
                  <c:v>0.14666699999999999</c:v>
                </c:pt>
                <c:pt idx="10">
                  <c:v>0.17</c:v>
                </c:pt>
                <c:pt idx="11">
                  <c:v>0.193333</c:v>
                </c:pt>
                <c:pt idx="12">
                  <c:v>0.2</c:v>
                </c:pt>
                <c:pt idx="13">
                  <c:v>0.216667</c:v>
                </c:pt>
                <c:pt idx="14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D2-4386-9C12-76A3BD21CEB1}"/>
            </c:ext>
          </c:extLst>
        </c:ser>
        <c:ser>
          <c:idx val="1"/>
          <c:order val="1"/>
          <c:tx>
            <c:strRef>
              <c:f>'прием ЭЦН'!$E$56</c:f>
              <c:strCache>
                <c:ptCount val="1"/>
                <c:pt idx="0">
                  <c:v>n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ЭЦН'!$M$56:$M$70</c:f>
              <c:numCache>
                <c:formatCode>General</c:formatCode>
                <c:ptCount val="15"/>
                <c:pt idx="0">
                  <c:v>5.2547999999999997E-2</c:v>
                </c:pt>
                <c:pt idx="1">
                  <c:v>5.2547999999999997E-2</c:v>
                </c:pt>
                <c:pt idx="2">
                  <c:v>5.2547999999999997E-2</c:v>
                </c:pt>
                <c:pt idx="3">
                  <c:v>5.2547999999999997E-2</c:v>
                </c:pt>
                <c:pt idx="4">
                  <c:v>5.2547999999999997E-2</c:v>
                </c:pt>
                <c:pt idx="5">
                  <c:v>5.2547999999999997E-2</c:v>
                </c:pt>
                <c:pt idx="6">
                  <c:v>5.2547999999999997E-2</c:v>
                </c:pt>
                <c:pt idx="7">
                  <c:v>5.2547999999999997E-2</c:v>
                </c:pt>
                <c:pt idx="8">
                  <c:v>5.2547999999999997E-2</c:v>
                </c:pt>
                <c:pt idx="9">
                  <c:v>5.1025000000000001E-2</c:v>
                </c:pt>
                <c:pt idx="10">
                  <c:v>4.9336999999999999E-2</c:v>
                </c:pt>
                <c:pt idx="11">
                  <c:v>4.7469999999999998E-2</c:v>
                </c:pt>
                <c:pt idx="12">
                  <c:v>4.6899999999999997E-2</c:v>
                </c:pt>
                <c:pt idx="13">
                  <c:v>4.6899999999999997E-2</c:v>
                </c:pt>
                <c:pt idx="14">
                  <c:v>4.6899999999999997E-2</c:v>
                </c:pt>
              </c:numCache>
            </c:numRef>
          </c:xVal>
          <c:yVal>
            <c:numRef>
              <c:f>'прием ЭЦН'!$L$56:$L$70</c:f>
              <c:numCache>
                <c:formatCode>General</c:formatCode>
                <c:ptCount val="15"/>
                <c:pt idx="0">
                  <c:v>-0.04</c:v>
                </c:pt>
                <c:pt idx="1">
                  <c:v>-1.6667000000000001E-2</c:v>
                </c:pt>
                <c:pt idx="2">
                  <c:v>6.6670000000000002E-3</c:v>
                </c:pt>
                <c:pt idx="3">
                  <c:v>0.03</c:v>
                </c:pt>
                <c:pt idx="4">
                  <c:v>5.3332999999999998E-2</c:v>
                </c:pt>
                <c:pt idx="5">
                  <c:v>7.6666999999999999E-2</c:v>
                </c:pt>
                <c:pt idx="6">
                  <c:v>0.1</c:v>
                </c:pt>
                <c:pt idx="7">
                  <c:v>0.123333</c:v>
                </c:pt>
                <c:pt idx="8">
                  <c:v>0.123443</c:v>
                </c:pt>
                <c:pt idx="9">
                  <c:v>0.14666699999999999</c:v>
                </c:pt>
                <c:pt idx="10">
                  <c:v>0.17</c:v>
                </c:pt>
                <c:pt idx="11">
                  <c:v>0.193333</c:v>
                </c:pt>
                <c:pt idx="12">
                  <c:v>0.2</c:v>
                </c:pt>
                <c:pt idx="13">
                  <c:v>0.216667</c:v>
                </c:pt>
                <c:pt idx="14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0D2-4386-9C12-76A3BD21CEB1}"/>
            </c:ext>
          </c:extLst>
        </c:ser>
        <c:ser>
          <c:idx val="2"/>
          <c:order val="2"/>
          <c:tx>
            <c:strRef>
              <c:f>'прием ЭЦН'!$E$57</c:f>
              <c:strCache>
                <c:ptCount val="1"/>
                <c:pt idx="0">
                  <c:v>n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ЭЦН'!$P$56:$P$70</c:f>
              <c:numCache>
                <c:formatCode>General</c:formatCode>
                <c:ptCount val="15"/>
                <c:pt idx="0">
                  <c:v>5.5703000000000003E-2</c:v>
                </c:pt>
                <c:pt idx="1">
                  <c:v>5.5703000000000003E-2</c:v>
                </c:pt>
                <c:pt idx="2">
                  <c:v>5.5703000000000003E-2</c:v>
                </c:pt>
                <c:pt idx="3">
                  <c:v>5.5703000000000003E-2</c:v>
                </c:pt>
                <c:pt idx="4">
                  <c:v>5.5703000000000003E-2</c:v>
                </c:pt>
                <c:pt idx="5">
                  <c:v>5.5703000000000003E-2</c:v>
                </c:pt>
                <c:pt idx="6">
                  <c:v>5.5703000000000003E-2</c:v>
                </c:pt>
                <c:pt idx="7">
                  <c:v>5.5703000000000003E-2</c:v>
                </c:pt>
                <c:pt idx="8">
                  <c:v>5.5703000000000003E-2</c:v>
                </c:pt>
                <c:pt idx="9">
                  <c:v>5.5703000000000003E-2</c:v>
                </c:pt>
                <c:pt idx="10">
                  <c:v>5.4257E-2</c:v>
                </c:pt>
                <c:pt idx="11">
                  <c:v>5.2602000000000003E-2</c:v>
                </c:pt>
                <c:pt idx="12">
                  <c:v>5.21E-2</c:v>
                </c:pt>
                <c:pt idx="13">
                  <c:v>5.21E-2</c:v>
                </c:pt>
                <c:pt idx="14">
                  <c:v>5.21E-2</c:v>
                </c:pt>
              </c:numCache>
            </c:numRef>
          </c:xVal>
          <c:yVal>
            <c:numRef>
              <c:f>'прием ЭЦН'!$O$56:$O$70</c:f>
              <c:numCache>
                <c:formatCode>General</c:formatCode>
                <c:ptCount val="15"/>
                <c:pt idx="0">
                  <c:v>-0.04</c:v>
                </c:pt>
                <c:pt idx="1">
                  <c:v>-1.6667000000000001E-2</c:v>
                </c:pt>
                <c:pt idx="2">
                  <c:v>6.6670000000000002E-3</c:v>
                </c:pt>
                <c:pt idx="3">
                  <c:v>0.03</c:v>
                </c:pt>
                <c:pt idx="4">
                  <c:v>5.3332999999999998E-2</c:v>
                </c:pt>
                <c:pt idx="5">
                  <c:v>7.6666999999999999E-2</c:v>
                </c:pt>
                <c:pt idx="6">
                  <c:v>0.1</c:v>
                </c:pt>
                <c:pt idx="7">
                  <c:v>0.123333</c:v>
                </c:pt>
                <c:pt idx="8">
                  <c:v>0.14666699999999999</c:v>
                </c:pt>
                <c:pt idx="9">
                  <c:v>0.14771500000000001</c:v>
                </c:pt>
                <c:pt idx="10">
                  <c:v>0.17</c:v>
                </c:pt>
                <c:pt idx="11">
                  <c:v>0.193333</c:v>
                </c:pt>
                <c:pt idx="12">
                  <c:v>0.2</c:v>
                </c:pt>
                <c:pt idx="13">
                  <c:v>0.216667</c:v>
                </c:pt>
                <c:pt idx="14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0D2-4386-9C12-76A3BD21CEB1}"/>
            </c:ext>
          </c:extLst>
        </c:ser>
        <c:ser>
          <c:idx val="3"/>
          <c:order val="3"/>
          <c:tx>
            <c:strRef>
              <c:f>'прием ЭЦН'!$E$58</c:f>
              <c:strCache>
                <c:ptCount val="1"/>
                <c:pt idx="0">
                  <c:v>n 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ЭЦН'!$S$56:$S$70</c:f>
              <c:numCache>
                <c:formatCode>General</c:formatCode>
                <c:ptCount val="15"/>
                <c:pt idx="0">
                  <c:v>5.9031E-2</c:v>
                </c:pt>
                <c:pt idx="1">
                  <c:v>5.9031E-2</c:v>
                </c:pt>
                <c:pt idx="2">
                  <c:v>5.9031E-2</c:v>
                </c:pt>
                <c:pt idx="3">
                  <c:v>5.9031E-2</c:v>
                </c:pt>
                <c:pt idx="4">
                  <c:v>5.9031E-2</c:v>
                </c:pt>
                <c:pt idx="5">
                  <c:v>5.9031E-2</c:v>
                </c:pt>
                <c:pt idx="6">
                  <c:v>5.9031E-2</c:v>
                </c:pt>
                <c:pt idx="7">
                  <c:v>5.9031E-2</c:v>
                </c:pt>
                <c:pt idx="8">
                  <c:v>5.9031E-2</c:v>
                </c:pt>
                <c:pt idx="9">
                  <c:v>5.9031E-2</c:v>
                </c:pt>
                <c:pt idx="10">
                  <c:v>5.9031E-2</c:v>
                </c:pt>
                <c:pt idx="11">
                  <c:v>5.7748000000000001E-2</c:v>
                </c:pt>
                <c:pt idx="12">
                  <c:v>5.7299999999999997E-2</c:v>
                </c:pt>
                <c:pt idx="13">
                  <c:v>5.7299999999999997E-2</c:v>
                </c:pt>
                <c:pt idx="14">
                  <c:v>5.7299999999999997E-2</c:v>
                </c:pt>
              </c:numCache>
            </c:numRef>
          </c:xVal>
          <c:yVal>
            <c:numRef>
              <c:f>'прием ЭЦН'!$R$56:$R$70</c:f>
              <c:numCache>
                <c:formatCode>General</c:formatCode>
                <c:ptCount val="15"/>
                <c:pt idx="0">
                  <c:v>-0.04</c:v>
                </c:pt>
                <c:pt idx="1">
                  <c:v>-1.6667000000000001E-2</c:v>
                </c:pt>
                <c:pt idx="2">
                  <c:v>6.6670000000000002E-3</c:v>
                </c:pt>
                <c:pt idx="3">
                  <c:v>0.03</c:v>
                </c:pt>
                <c:pt idx="4">
                  <c:v>5.3332999999999998E-2</c:v>
                </c:pt>
                <c:pt idx="5">
                  <c:v>7.6666999999999999E-2</c:v>
                </c:pt>
                <c:pt idx="6">
                  <c:v>0.1</c:v>
                </c:pt>
                <c:pt idx="7">
                  <c:v>0.123333</c:v>
                </c:pt>
                <c:pt idx="8">
                  <c:v>0.14666699999999999</c:v>
                </c:pt>
                <c:pt idx="9">
                  <c:v>0.17</c:v>
                </c:pt>
                <c:pt idx="10">
                  <c:v>0.173316</c:v>
                </c:pt>
                <c:pt idx="11">
                  <c:v>0.193333</c:v>
                </c:pt>
                <c:pt idx="12">
                  <c:v>0.2</c:v>
                </c:pt>
                <c:pt idx="13">
                  <c:v>0.216667</c:v>
                </c:pt>
                <c:pt idx="14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0D2-4386-9C12-76A3BD21CEB1}"/>
            </c:ext>
          </c:extLst>
        </c:ser>
        <c:ser>
          <c:idx val="4"/>
          <c:order val="4"/>
          <c:tx>
            <c:strRef>
              <c:f>'прием ЭЦН'!$E$59</c:f>
              <c:strCache>
                <c:ptCount val="1"/>
                <c:pt idx="0">
                  <c:v>n 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ЭЦН'!$V$56:$V$70</c:f>
              <c:numCache>
                <c:formatCode>General</c:formatCode>
                <c:ptCount val="15"/>
                <c:pt idx="0">
                  <c:v>3.8802000000000003E-2</c:v>
                </c:pt>
                <c:pt idx="1">
                  <c:v>3.8802000000000003E-2</c:v>
                </c:pt>
                <c:pt idx="2">
                  <c:v>3.8802000000000003E-2</c:v>
                </c:pt>
                <c:pt idx="3">
                  <c:v>3.8802000000000003E-2</c:v>
                </c:pt>
                <c:pt idx="4">
                  <c:v>3.8802000000000003E-2</c:v>
                </c:pt>
                <c:pt idx="5">
                  <c:v>3.8802000000000003E-2</c:v>
                </c:pt>
                <c:pt idx="6">
                  <c:v>3.8802000000000003E-2</c:v>
                </c:pt>
                <c:pt idx="7">
                  <c:v>3.8802000000000003E-2</c:v>
                </c:pt>
                <c:pt idx="8">
                  <c:v>3.8802000000000003E-2</c:v>
                </c:pt>
                <c:pt idx="9">
                  <c:v>3.8802000000000003E-2</c:v>
                </c:pt>
                <c:pt idx="10">
                  <c:v>3.85E-2</c:v>
                </c:pt>
                <c:pt idx="11">
                  <c:v>3.8031000000000002E-2</c:v>
                </c:pt>
                <c:pt idx="12">
                  <c:v>3.7541999999999999E-2</c:v>
                </c:pt>
                <c:pt idx="13">
                  <c:v>3.7032000000000002E-2</c:v>
                </c:pt>
                <c:pt idx="14">
                  <c:v>3.6499999999999998E-2</c:v>
                </c:pt>
              </c:numCache>
            </c:numRef>
          </c:xVal>
          <c:yVal>
            <c:numRef>
              <c:f>'прием ЭЦН'!$U$56:$U$70</c:f>
              <c:numCache>
                <c:formatCode>General</c:formatCode>
                <c:ptCount val="15"/>
                <c:pt idx="0">
                  <c:v>-0.04</c:v>
                </c:pt>
                <c:pt idx="1">
                  <c:v>-3.3077000000000002E-2</c:v>
                </c:pt>
                <c:pt idx="2">
                  <c:v>-2.6154E-2</c:v>
                </c:pt>
                <c:pt idx="3">
                  <c:v>-1.9231000000000002E-2</c:v>
                </c:pt>
                <c:pt idx="4">
                  <c:v>-1.2307999999999999E-2</c:v>
                </c:pt>
                <c:pt idx="5">
                  <c:v>-5.385E-3</c:v>
                </c:pt>
                <c:pt idx="6">
                  <c:v>1.5380000000000001E-3</c:v>
                </c:pt>
                <c:pt idx="7">
                  <c:v>8.4620000000000008E-3</c:v>
                </c:pt>
                <c:pt idx="8">
                  <c:v>1.5384999999999999E-2</c:v>
                </c:pt>
                <c:pt idx="9">
                  <c:v>1.771E-2</c:v>
                </c:pt>
                <c:pt idx="10">
                  <c:v>2.2308000000000001E-2</c:v>
                </c:pt>
                <c:pt idx="11">
                  <c:v>2.9231E-2</c:v>
                </c:pt>
                <c:pt idx="12">
                  <c:v>3.6153999999999999E-2</c:v>
                </c:pt>
                <c:pt idx="13">
                  <c:v>4.3076999999999997E-2</c:v>
                </c:pt>
                <c:pt idx="14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0D2-4386-9C12-76A3BD21CEB1}"/>
            </c:ext>
          </c:extLst>
        </c:ser>
        <c:ser>
          <c:idx val="5"/>
          <c:order val="5"/>
          <c:tx>
            <c:strRef>
              <c:f>'прием ЭЦН'!$E$60</c:f>
              <c:strCache>
                <c:ptCount val="1"/>
                <c:pt idx="0">
                  <c:v>n 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ЭЦН'!$Y$56:$Y$70</c:f>
              <c:numCache>
                <c:formatCode>General</c:formatCode>
                <c:ptCount val="15"/>
                <c:pt idx="0">
                  <c:v>4.1334000000000003E-2</c:v>
                </c:pt>
                <c:pt idx="1">
                  <c:v>4.1334000000000003E-2</c:v>
                </c:pt>
                <c:pt idx="2">
                  <c:v>4.1334000000000003E-2</c:v>
                </c:pt>
                <c:pt idx="3">
                  <c:v>4.1334000000000003E-2</c:v>
                </c:pt>
                <c:pt idx="4">
                  <c:v>4.1334000000000003E-2</c:v>
                </c:pt>
                <c:pt idx="5">
                  <c:v>4.1334000000000003E-2</c:v>
                </c:pt>
                <c:pt idx="6">
                  <c:v>4.1334000000000003E-2</c:v>
                </c:pt>
                <c:pt idx="7">
                  <c:v>4.1334000000000003E-2</c:v>
                </c:pt>
                <c:pt idx="8">
                  <c:v>4.1334000000000003E-2</c:v>
                </c:pt>
                <c:pt idx="9">
                  <c:v>4.0744000000000002E-2</c:v>
                </c:pt>
                <c:pt idx="10">
                  <c:v>3.9995999999999997E-2</c:v>
                </c:pt>
                <c:pt idx="11">
                  <c:v>3.9203000000000002E-2</c:v>
                </c:pt>
                <c:pt idx="12">
                  <c:v>3.8358999999999997E-2</c:v>
                </c:pt>
                <c:pt idx="13">
                  <c:v>3.746E-2</c:v>
                </c:pt>
                <c:pt idx="14">
                  <c:v>3.6499999999999998E-2</c:v>
                </c:pt>
              </c:numCache>
            </c:numRef>
          </c:xVal>
          <c:yVal>
            <c:numRef>
              <c:f>'прием ЭЦН'!$X$56:$X$70</c:f>
              <c:numCache>
                <c:formatCode>General</c:formatCode>
                <c:ptCount val="15"/>
                <c:pt idx="0">
                  <c:v>-0.04</c:v>
                </c:pt>
                <c:pt idx="1">
                  <c:v>-2.9231E-2</c:v>
                </c:pt>
                <c:pt idx="2">
                  <c:v>-1.8461999999999999E-2</c:v>
                </c:pt>
                <c:pt idx="3">
                  <c:v>-7.6920000000000001E-3</c:v>
                </c:pt>
                <c:pt idx="4">
                  <c:v>3.0769999999999999E-3</c:v>
                </c:pt>
                <c:pt idx="5">
                  <c:v>1.3846000000000001E-2</c:v>
                </c:pt>
                <c:pt idx="6">
                  <c:v>2.4615000000000001E-2</c:v>
                </c:pt>
                <c:pt idx="7">
                  <c:v>3.5385E-2</c:v>
                </c:pt>
                <c:pt idx="8">
                  <c:v>3.7185000000000003E-2</c:v>
                </c:pt>
                <c:pt idx="9">
                  <c:v>4.6154000000000001E-2</c:v>
                </c:pt>
                <c:pt idx="10">
                  <c:v>5.6923000000000001E-2</c:v>
                </c:pt>
                <c:pt idx="11">
                  <c:v>6.7692000000000002E-2</c:v>
                </c:pt>
                <c:pt idx="12">
                  <c:v>7.8462000000000004E-2</c:v>
                </c:pt>
                <c:pt idx="13">
                  <c:v>8.9231000000000005E-2</c:v>
                </c:pt>
                <c:pt idx="14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0D2-4386-9C12-76A3BD21CEB1}"/>
            </c:ext>
          </c:extLst>
        </c:ser>
        <c:ser>
          <c:idx val="6"/>
          <c:order val="6"/>
          <c:tx>
            <c:strRef>
              <c:f>'прием ЭЦН'!$E$61</c:f>
              <c:strCache>
                <c:ptCount val="1"/>
                <c:pt idx="0">
                  <c:v>n 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ЭЦН'!$AB$56:$AB$70</c:f>
              <c:numCache>
                <c:formatCode>General</c:formatCode>
                <c:ptCount val="15"/>
                <c:pt idx="0">
                  <c:v>4.4055999999999998E-2</c:v>
                </c:pt>
                <c:pt idx="1">
                  <c:v>4.4055999999999998E-2</c:v>
                </c:pt>
                <c:pt idx="2">
                  <c:v>4.4055999999999998E-2</c:v>
                </c:pt>
                <c:pt idx="3">
                  <c:v>4.4055999999999998E-2</c:v>
                </c:pt>
                <c:pt idx="4">
                  <c:v>4.4055999999999998E-2</c:v>
                </c:pt>
                <c:pt idx="5">
                  <c:v>4.4055999999999998E-2</c:v>
                </c:pt>
                <c:pt idx="6">
                  <c:v>4.4055999999999998E-2</c:v>
                </c:pt>
                <c:pt idx="7">
                  <c:v>4.4055999999999998E-2</c:v>
                </c:pt>
                <c:pt idx="8">
                  <c:v>4.3785999999999999E-2</c:v>
                </c:pt>
                <c:pt idx="9">
                  <c:v>4.2798999999999997E-2</c:v>
                </c:pt>
                <c:pt idx="10">
                  <c:v>4.1735000000000001E-2</c:v>
                </c:pt>
                <c:pt idx="11">
                  <c:v>4.0585999999999997E-2</c:v>
                </c:pt>
                <c:pt idx="12">
                  <c:v>3.934E-2</c:v>
                </c:pt>
                <c:pt idx="13">
                  <c:v>3.7983999999999997E-2</c:v>
                </c:pt>
                <c:pt idx="14">
                  <c:v>3.6499999999999998E-2</c:v>
                </c:pt>
              </c:numCache>
            </c:numRef>
          </c:xVal>
          <c:yVal>
            <c:numRef>
              <c:f>'прием ЭЦН'!$AA$56:$AA$70</c:f>
              <c:numCache>
                <c:formatCode>General</c:formatCode>
                <c:ptCount val="15"/>
                <c:pt idx="0">
                  <c:v>-0.04</c:v>
                </c:pt>
                <c:pt idx="1">
                  <c:v>-2.5385000000000001E-2</c:v>
                </c:pt>
                <c:pt idx="2">
                  <c:v>-1.0769000000000001E-2</c:v>
                </c:pt>
                <c:pt idx="3">
                  <c:v>3.846E-3</c:v>
                </c:pt>
                <c:pt idx="4">
                  <c:v>1.8461999999999999E-2</c:v>
                </c:pt>
                <c:pt idx="5">
                  <c:v>3.3077000000000002E-2</c:v>
                </c:pt>
                <c:pt idx="6">
                  <c:v>4.7691999999999998E-2</c:v>
                </c:pt>
                <c:pt idx="7">
                  <c:v>5.8119999999999998E-2</c:v>
                </c:pt>
                <c:pt idx="8">
                  <c:v>6.2308000000000002E-2</c:v>
                </c:pt>
                <c:pt idx="9">
                  <c:v>7.6923000000000005E-2</c:v>
                </c:pt>
                <c:pt idx="10">
                  <c:v>9.1537999999999994E-2</c:v>
                </c:pt>
                <c:pt idx="11">
                  <c:v>0.106154</c:v>
                </c:pt>
                <c:pt idx="12">
                  <c:v>0.120769</c:v>
                </c:pt>
                <c:pt idx="13">
                  <c:v>0.13538500000000001</c:v>
                </c:pt>
                <c:pt idx="14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0D2-4386-9C12-76A3BD21CEB1}"/>
            </c:ext>
          </c:extLst>
        </c:ser>
        <c:ser>
          <c:idx val="7"/>
          <c:order val="7"/>
          <c:tx>
            <c:strRef>
              <c:f>'прием ЭЦН'!$E$62</c:f>
              <c:strCache>
                <c:ptCount val="1"/>
                <c:pt idx="0">
                  <c:v>n 8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ЭЦН'!$AE$56:$AE$70</c:f>
              <c:numCache>
                <c:formatCode>General</c:formatCode>
                <c:ptCount val="15"/>
                <c:pt idx="0">
                  <c:v>4.6931E-2</c:v>
                </c:pt>
                <c:pt idx="1">
                  <c:v>4.6931E-2</c:v>
                </c:pt>
                <c:pt idx="2">
                  <c:v>4.6931E-2</c:v>
                </c:pt>
                <c:pt idx="3">
                  <c:v>4.6931E-2</c:v>
                </c:pt>
                <c:pt idx="4">
                  <c:v>4.6931E-2</c:v>
                </c:pt>
                <c:pt idx="5">
                  <c:v>4.6931E-2</c:v>
                </c:pt>
                <c:pt idx="6">
                  <c:v>4.6931E-2</c:v>
                </c:pt>
                <c:pt idx="7">
                  <c:v>4.6931E-2</c:v>
                </c:pt>
                <c:pt idx="8">
                  <c:v>4.6350000000000002E-2</c:v>
                </c:pt>
                <c:pt idx="9">
                  <c:v>4.5078E-2</c:v>
                </c:pt>
                <c:pt idx="10">
                  <c:v>4.3686000000000003E-2</c:v>
                </c:pt>
                <c:pt idx="11">
                  <c:v>4.2160000000000003E-2</c:v>
                </c:pt>
                <c:pt idx="12">
                  <c:v>4.0475999999999998E-2</c:v>
                </c:pt>
                <c:pt idx="13">
                  <c:v>3.8603999999999999E-2</c:v>
                </c:pt>
                <c:pt idx="14">
                  <c:v>3.6499999999999998E-2</c:v>
                </c:pt>
              </c:numCache>
            </c:numRef>
          </c:xVal>
          <c:yVal>
            <c:numRef>
              <c:f>'прием ЭЦН'!$AD$56:$AD$70</c:f>
              <c:numCache>
                <c:formatCode>General</c:formatCode>
                <c:ptCount val="15"/>
                <c:pt idx="0">
                  <c:v>-0.04</c:v>
                </c:pt>
                <c:pt idx="1">
                  <c:v>-2.1538000000000002E-2</c:v>
                </c:pt>
                <c:pt idx="2">
                  <c:v>-3.0769999999999999E-3</c:v>
                </c:pt>
                <c:pt idx="3">
                  <c:v>1.5384999999999999E-2</c:v>
                </c:pt>
                <c:pt idx="4">
                  <c:v>3.3846000000000001E-2</c:v>
                </c:pt>
                <c:pt idx="5">
                  <c:v>5.2308E-2</c:v>
                </c:pt>
                <c:pt idx="6">
                  <c:v>7.0768999999999999E-2</c:v>
                </c:pt>
                <c:pt idx="7">
                  <c:v>8.0239000000000005E-2</c:v>
                </c:pt>
                <c:pt idx="8">
                  <c:v>8.9231000000000005E-2</c:v>
                </c:pt>
                <c:pt idx="9">
                  <c:v>0.107692</c:v>
                </c:pt>
                <c:pt idx="10">
                  <c:v>0.12615399999999999</c:v>
                </c:pt>
                <c:pt idx="11">
                  <c:v>0.14461499999999999</c:v>
                </c:pt>
                <c:pt idx="12">
                  <c:v>0.163077</c:v>
                </c:pt>
                <c:pt idx="13">
                  <c:v>0.181538</c:v>
                </c:pt>
                <c:pt idx="14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0D2-4386-9C12-76A3BD21CEB1}"/>
            </c:ext>
          </c:extLst>
        </c:ser>
        <c:ser>
          <c:idx val="8"/>
          <c:order val="8"/>
          <c:tx>
            <c:v>intake</c:v>
          </c:tx>
          <c:spPr>
            <a:ln w="635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ЭЦН'!$I$74:$I$75</c:f>
              <c:numCache>
                <c:formatCode>General</c:formatCode>
                <c:ptCount val="2"/>
                <c:pt idx="0">
                  <c:v>3.6499999999999998E-2</c:v>
                </c:pt>
                <c:pt idx="1">
                  <c:v>3.6499999999999998E-2</c:v>
                </c:pt>
              </c:numCache>
            </c:numRef>
          </c:xVal>
          <c:yVal>
            <c:numRef>
              <c:f>'прием ЭЦН'!$J$74:$J$75</c:f>
              <c:numCache>
                <c:formatCode>General</c:formatCode>
                <c:ptCount val="2"/>
                <c:pt idx="0">
                  <c:v>-3.999999999999998E-2</c:v>
                </c:pt>
                <c:pt idx="1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0D2-4386-9C12-76A3BD21CEB1}"/>
            </c:ext>
          </c:extLst>
        </c:ser>
        <c:ser>
          <c:idx val="9"/>
          <c:order val="9"/>
          <c:tx>
            <c:v>casing</c:v>
          </c:tx>
          <c:spPr>
            <a:ln w="635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ЭЦН'!$L$74:$L$75</c:f>
              <c:numCache>
                <c:formatCode>General</c:formatCode>
                <c:ptCount val="2"/>
                <c:pt idx="0">
                  <c:v>6.25E-2</c:v>
                </c:pt>
                <c:pt idx="1">
                  <c:v>6.25E-2</c:v>
                </c:pt>
              </c:numCache>
            </c:numRef>
          </c:xVal>
          <c:yVal>
            <c:numRef>
              <c:f>'прием ЭЦН'!$M$74:$M$75</c:f>
              <c:numCache>
                <c:formatCode>General</c:formatCode>
                <c:ptCount val="2"/>
                <c:pt idx="0">
                  <c:v>-3.999999999999998E-2</c:v>
                </c:pt>
                <c:pt idx="1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20D2-4386-9C12-76A3BD21CEB1}"/>
            </c:ext>
          </c:extLst>
        </c:ser>
        <c:ser>
          <c:idx val="10"/>
          <c:order val="10"/>
          <c:spPr>
            <a:ln w="635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ЭЦН'!$F$74:$F$75</c:f>
              <c:numCache>
                <c:formatCode>General</c:formatCode>
                <c:ptCount val="2"/>
                <c:pt idx="0">
                  <c:v>3.6499999999999998E-2</c:v>
                </c:pt>
                <c:pt idx="1">
                  <c:v>3.6499999999999998E-2</c:v>
                </c:pt>
              </c:numCache>
            </c:numRef>
          </c:xVal>
          <c:yVal>
            <c:numRef>
              <c:f>'прием ЭЦН'!$G$74:$G$75</c:f>
              <c:numCache>
                <c:formatCode>General</c:formatCode>
                <c:ptCount val="2"/>
                <c:pt idx="0">
                  <c:v>0</c:v>
                </c:pt>
                <c:pt idx="1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20D2-4386-9C12-76A3BD21CEB1}"/>
            </c:ext>
          </c:extLst>
        </c:ser>
        <c:ser>
          <c:idx val="11"/>
          <c:order val="11"/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'прием ЭЦН'!$O$74:$O$75</c:f>
              <c:numCache>
                <c:formatCode>General</c:formatCode>
                <c:ptCount val="2"/>
                <c:pt idx="0">
                  <c:v>3.6499999999999998E-2</c:v>
                </c:pt>
                <c:pt idx="1">
                  <c:v>6.25E-2</c:v>
                </c:pt>
              </c:numCache>
            </c:numRef>
          </c:xVal>
          <c:yVal>
            <c:numRef>
              <c:f>'прием ЭЦН'!$P$74:$P$75</c:f>
              <c:numCache>
                <c:formatCode>General</c:formatCode>
                <c:ptCount val="2"/>
                <c:pt idx="0">
                  <c:v>0</c:v>
                </c:pt>
                <c:pt idx="1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20D2-4386-9C12-76A3BD21C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003728"/>
        <c:axId val="2107011632"/>
      </c:scatterChart>
      <c:valAx>
        <c:axId val="2107003728"/>
        <c:scaling>
          <c:orientation val="maxMin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7011632"/>
        <c:crosses val="max"/>
        <c:crossBetween val="midCat"/>
      </c:valAx>
      <c:valAx>
        <c:axId val="210701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1.9883041601528473E-2"/>
              <c:y val="0.4736584668180990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7003728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Коэффициент сепарации для реверсивного потока с ЭЦН ниже</a:t>
            </a:r>
            <a:r>
              <a:rPr lang="ru-RU" baseline="0"/>
              <a:t> интервала перфорации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'реверсивный поток'!$P$28</c:f>
              <c:strCache>
                <c:ptCount val="1"/>
                <c:pt idx="0">
                  <c:v>ksep mech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'реверсивный поток'!$F$29:$F$40</c:f>
              <c:numCache>
                <c:formatCode>General</c:formatCode>
                <c:ptCount val="12"/>
                <c:pt idx="0">
                  <c:v>2</c:v>
                </c:pt>
                <c:pt idx="1">
                  <c:v>10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90</c:v>
                </c:pt>
                <c:pt idx="6">
                  <c:v>110</c:v>
                </c:pt>
                <c:pt idx="7">
                  <c:v>130</c:v>
                </c:pt>
                <c:pt idx="8">
                  <c:v>150</c:v>
                </c:pt>
                <c:pt idx="9">
                  <c:v>170</c:v>
                </c:pt>
                <c:pt idx="10">
                  <c:v>190</c:v>
                </c:pt>
                <c:pt idx="11">
                  <c:v>210</c:v>
                </c:pt>
              </c:numCache>
            </c:numRef>
          </c:xVal>
          <c:yVal>
            <c:numRef>
              <c:f>'реверсивный поток'!$P$29:$P$40</c:f>
              <c:numCache>
                <c:formatCode>0.00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0.35608475392987116</c:v>
                </c:pt>
                <c:pt idx="8">
                  <c:v>0.29645774346592929</c:v>
                </c:pt>
                <c:pt idx="9">
                  <c:v>0.2539438754296553</c:v>
                </c:pt>
                <c:pt idx="10">
                  <c:v>0.22199116784338804</c:v>
                </c:pt>
                <c:pt idx="11">
                  <c:v>0.19706280708636417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29-4CC6-94A6-598F748B3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426863"/>
        <c:axId val="1588425615"/>
      </c:scatterChart>
      <c:valAx>
        <c:axId val="15884268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8425615"/>
        <c:crosses val="autoZero"/>
        <c:crossBetween val="midCat"/>
      </c:valAx>
      <c:valAx>
        <c:axId val="158842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ксеп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84268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движения пузырьков газа на приеме ЭЦН</a:t>
            </a:r>
            <a:br>
              <a:rPr lang="ru-RU" baseline="0"/>
            </a:br>
            <a:r>
              <a:rPr lang="ru-RU" baseline="0"/>
              <a:t>механистическая модель реверсивного потока с ЭЦН ниже перфорации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'реверсивный поток'!$E$55</c:f>
              <c:strCache>
                <c:ptCount val="1"/>
                <c:pt idx="0">
                  <c:v>n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поток'!$I$56:$I$70</c:f>
              <c:numCache>
                <c:formatCode>General</c:formatCode>
                <c:ptCount val="15"/>
                <c:pt idx="0">
                  <c:v>2.2870999999999999E-2</c:v>
                </c:pt>
                <c:pt idx="1">
                  <c:v>2.2880999999999999E-2</c:v>
                </c:pt>
                <c:pt idx="2">
                  <c:v>2.6112E-2</c:v>
                </c:pt>
                <c:pt idx="3">
                  <c:v>2.9353000000000001E-2</c:v>
                </c:pt>
                <c:pt idx="4">
                  <c:v>3.2592999999999997E-2</c:v>
                </c:pt>
                <c:pt idx="5">
                  <c:v>3.5833999999999998E-2</c:v>
                </c:pt>
                <c:pt idx="6">
                  <c:v>3.9074999999999999E-2</c:v>
                </c:pt>
                <c:pt idx="7">
                  <c:v>4.2314999999999998E-2</c:v>
                </c:pt>
                <c:pt idx="8">
                  <c:v>4.5555999999999999E-2</c:v>
                </c:pt>
                <c:pt idx="9">
                  <c:v>4.8797E-2</c:v>
                </c:pt>
                <c:pt idx="10">
                  <c:v>5.2037E-2</c:v>
                </c:pt>
                <c:pt idx="11">
                  <c:v>5.5278000000000001E-2</c:v>
                </c:pt>
                <c:pt idx="12">
                  <c:v>5.8519000000000002E-2</c:v>
                </c:pt>
                <c:pt idx="13">
                  <c:v>6.1759000000000001E-2</c:v>
                </c:pt>
                <c:pt idx="14">
                  <c:v>6.5000000000000002E-2</c:v>
                </c:pt>
              </c:numCache>
            </c:numRef>
          </c:xVal>
          <c:yVal>
            <c:numRef>
              <c:f>'реверсивный поток'!$J$56:$J$70</c:f>
              <c:numCache>
                <c:formatCode>General</c:formatCode>
                <c:ptCount val="15"/>
                <c:pt idx="0">
                  <c:v>0</c:v>
                </c:pt>
                <c:pt idx="1">
                  <c:v>6.7390030000000003</c:v>
                </c:pt>
                <c:pt idx="2">
                  <c:v>6.5946239999999996</c:v>
                </c:pt>
                <c:pt idx="3">
                  <c:v>6.4265150000000002</c:v>
                </c:pt>
                <c:pt idx="4">
                  <c:v>6.2332049999999999</c:v>
                </c:pt>
                <c:pt idx="5">
                  <c:v>6.0125339999999996</c:v>
                </c:pt>
                <c:pt idx="6">
                  <c:v>5.7615939999999997</c:v>
                </c:pt>
                <c:pt idx="7">
                  <c:v>5.4764780000000002</c:v>
                </c:pt>
                <c:pt idx="8">
                  <c:v>5.1518620000000004</c:v>
                </c:pt>
                <c:pt idx="9">
                  <c:v>4.7800459999999996</c:v>
                </c:pt>
                <c:pt idx="10">
                  <c:v>4.3495499999999998</c:v>
                </c:pt>
                <c:pt idx="11">
                  <c:v>3.8422390000000002</c:v>
                </c:pt>
                <c:pt idx="12">
                  <c:v>3.224634</c:v>
                </c:pt>
                <c:pt idx="13">
                  <c:v>2.420442</c:v>
                </c:pt>
                <c:pt idx="14">
                  <c:v>1.111111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77-42D7-B5DD-68E0ECCC33CA}"/>
            </c:ext>
          </c:extLst>
        </c:ser>
        <c:ser>
          <c:idx val="1"/>
          <c:order val="1"/>
          <c:tx>
            <c:strRef>
              <c:f>'реверсивный поток'!$E$56</c:f>
              <c:strCache>
                <c:ptCount val="1"/>
                <c:pt idx="0">
                  <c:v>n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поток'!$L$56:$L$70</c:f>
              <c:numCache>
                <c:formatCode>General</c:formatCode>
                <c:ptCount val="15"/>
                <c:pt idx="0">
                  <c:v>2.0466000000000002E-2</c:v>
                </c:pt>
                <c:pt idx="1">
                  <c:v>2.0476000000000001E-2</c:v>
                </c:pt>
                <c:pt idx="2">
                  <c:v>2.3890999999999999E-2</c:v>
                </c:pt>
                <c:pt idx="3">
                  <c:v>2.7317000000000001E-2</c:v>
                </c:pt>
                <c:pt idx="4">
                  <c:v>3.0742999999999999E-2</c:v>
                </c:pt>
                <c:pt idx="5">
                  <c:v>3.4168999999999998E-2</c:v>
                </c:pt>
                <c:pt idx="6">
                  <c:v>3.7594000000000002E-2</c:v>
                </c:pt>
                <c:pt idx="7">
                  <c:v>4.1020000000000001E-2</c:v>
                </c:pt>
                <c:pt idx="8">
                  <c:v>4.4445999999999999E-2</c:v>
                </c:pt>
                <c:pt idx="9">
                  <c:v>4.7870999999999997E-2</c:v>
                </c:pt>
                <c:pt idx="10">
                  <c:v>5.1297000000000002E-2</c:v>
                </c:pt>
                <c:pt idx="11">
                  <c:v>5.4723000000000001E-2</c:v>
                </c:pt>
                <c:pt idx="12">
                  <c:v>5.8148999999999999E-2</c:v>
                </c:pt>
                <c:pt idx="13">
                  <c:v>6.1573999999999997E-2</c:v>
                </c:pt>
                <c:pt idx="14">
                  <c:v>6.5000000000000002E-2</c:v>
                </c:pt>
              </c:numCache>
            </c:numRef>
          </c:xVal>
          <c:yVal>
            <c:numRef>
              <c:f>'реверсивный поток'!$M$56:$M$70</c:f>
              <c:numCache>
                <c:formatCode>General</c:formatCode>
                <c:ptCount val="15"/>
                <c:pt idx="0">
                  <c:v>0</c:v>
                </c:pt>
                <c:pt idx="1">
                  <c:v>7.1238780000000004</c:v>
                </c:pt>
                <c:pt idx="2">
                  <c:v>6.9933820000000004</c:v>
                </c:pt>
                <c:pt idx="3">
                  <c:v>6.8387320000000003</c:v>
                </c:pt>
                <c:pt idx="4">
                  <c:v>6.6588329999999996</c:v>
                </c:pt>
                <c:pt idx="5">
                  <c:v>6.4516390000000001</c:v>
                </c:pt>
                <c:pt idx="6">
                  <c:v>6.2147379999999997</c:v>
                </c:pt>
                <c:pt idx="7">
                  <c:v>5.9445889999999997</c:v>
                </c:pt>
                <c:pt idx="8">
                  <c:v>5.6369559999999996</c:v>
                </c:pt>
                <c:pt idx="9">
                  <c:v>5.2852899999999998</c:v>
                </c:pt>
                <c:pt idx="10">
                  <c:v>4.8811499999999999</c:v>
                </c:pt>
                <c:pt idx="11">
                  <c:v>4.4102399999999999</c:v>
                </c:pt>
                <c:pt idx="12">
                  <c:v>3.8508360000000001</c:v>
                </c:pt>
                <c:pt idx="13">
                  <c:v>3.157556</c:v>
                </c:pt>
                <c:pt idx="14">
                  <c:v>2.2222219999999999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77-42D7-B5DD-68E0ECCC33CA}"/>
            </c:ext>
          </c:extLst>
        </c:ser>
        <c:ser>
          <c:idx val="2"/>
          <c:order val="2"/>
          <c:tx>
            <c:strRef>
              <c:f>'реверсивный поток'!$E$57</c:f>
              <c:strCache>
                <c:ptCount val="1"/>
                <c:pt idx="0">
                  <c:v>n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поток'!$O$56:$O$70</c:f>
              <c:numCache>
                <c:formatCode>General</c:formatCode>
                <c:ptCount val="15"/>
                <c:pt idx="0">
                  <c:v>1.7047E-2</c:v>
                </c:pt>
                <c:pt idx="1">
                  <c:v>1.7056999999999999E-2</c:v>
                </c:pt>
                <c:pt idx="2">
                  <c:v>2.0736000000000001E-2</c:v>
                </c:pt>
                <c:pt idx="3">
                  <c:v>2.4424999999999999E-2</c:v>
                </c:pt>
                <c:pt idx="4">
                  <c:v>2.8112999999999999E-2</c:v>
                </c:pt>
                <c:pt idx="5">
                  <c:v>3.1801999999999997E-2</c:v>
                </c:pt>
                <c:pt idx="6">
                  <c:v>3.5491000000000002E-2</c:v>
                </c:pt>
                <c:pt idx="7">
                  <c:v>3.9178999999999999E-2</c:v>
                </c:pt>
                <c:pt idx="8">
                  <c:v>4.2868000000000003E-2</c:v>
                </c:pt>
                <c:pt idx="9">
                  <c:v>4.6557000000000001E-2</c:v>
                </c:pt>
                <c:pt idx="10">
                  <c:v>5.0244999999999998E-2</c:v>
                </c:pt>
                <c:pt idx="11">
                  <c:v>5.3934000000000003E-2</c:v>
                </c:pt>
                <c:pt idx="12">
                  <c:v>5.7623000000000001E-2</c:v>
                </c:pt>
                <c:pt idx="13">
                  <c:v>6.1310999999999997E-2</c:v>
                </c:pt>
                <c:pt idx="14">
                  <c:v>6.5000000000000002E-2</c:v>
                </c:pt>
              </c:numCache>
            </c:numRef>
          </c:xVal>
          <c:yVal>
            <c:numRef>
              <c:f>'реверсивный поток'!$P$56:$P$70</c:f>
              <c:numCache>
                <c:formatCode>General</c:formatCode>
                <c:ptCount val="15"/>
                <c:pt idx="0">
                  <c:v>0</c:v>
                </c:pt>
                <c:pt idx="1">
                  <c:v>7.6708220000000003</c:v>
                </c:pt>
                <c:pt idx="2">
                  <c:v>7.5603470000000002</c:v>
                </c:pt>
                <c:pt idx="3">
                  <c:v>7.4249320000000001</c:v>
                </c:pt>
                <c:pt idx="4">
                  <c:v>7.2636649999999996</c:v>
                </c:pt>
                <c:pt idx="5">
                  <c:v>7.0749029999999999</c:v>
                </c:pt>
                <c:pt idx="6">
                  <c:v>6.8566089999999997</c:v>
                </c:pt>
                <c:pt idx="7">
                  <c:v>6.606039</c:v>
                </c:pt>
                <c:pt idx="8">
                  <c:v>6.319572</c:v>
                </c:pt>
                <c:pt idx="9">
                  <c:v>5.9923400000000004</c:v>
                </c:pt>
                <c:pt idx="10">
                  <c:v>5.6176060000000003</c:v>
                </c:pt>
                <c:pt idx="11">
                  <c:v>5.1856450000000001</c:v>
                </c:pt>
                <c:pt idx="12">
                  <c:v>4.6815490000000004</c:v>
                </c:pt>
                <c:pt idx="13">
                  <c:v>4.0803079999999996</c:v>
                </c:pt>
                <c:pt idx="14">
                  <c:v>3.3333330000000001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77-42D7-B5DD-68E0ECCC33CA}"/>
            </c:ext>
          </c:extLst>
        </c:ser>
        <c:ser>
          <c:idx val="3"/>
          <c:order val="3"/>
          <c:tx>
            <c:strRef>
              <c:f>'реверсивный поток'!$E$58</c:f>
              <c:strCache>
                <c:ptCount val="1"/>
                <c:pt idx="0">
                  <c:v>n 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поток'!$R$56:$R$70</c:f>
              <c:numCache>
                <c:formatCode>General</c:formatCode>
                <c:ptCount val="15"/>
                <c:pt idx="0">
                  <c:v>1.2975E-2</c:v>
                </c:pt>
                <c:pt idx="1">
                  <c:v>1.2985E-2</c:v>
                </c:pt>
                <c:pt idx="2">
                  <c:v>1.6976999999999999E-2</c:v>
                </c:pt>
                <c:pt idx="3">
                  <c:v>2.0979000000000001E-2</c:v>
                </c:pt>
                <c:pt idx="4">
                  <c:v>2.4981E-2</c:v>
                </c:pt>
                <c:pt idx="5">
                  <c:v>2.8982999999999998E-2</c:v>
                </c:pt>
                <c:pt idx="6">
                  <c:v>3.2985E-2</c:v>
                </c:pt>
                <c:pt idx="7">
                  <c:v>3.6986999999999999E-2</c:v>
                </c:pt>
                <c:pt idx="8">
                  <c:v>4.0987999999999997E-2</c:v>
                </c:pt>
                <c:pt idx="9">
                  <c:v>4.4990000000000002E-2</c:v>
                </c:pt>
                <c:pt idx="10">
                  <c:v>4.8992000000000001E-2</c:v>
                </c:pt>
                <c:pt idx="11">
                  <c:v>5.2993999999999999E-2</c:v>
                </c:pt>
                <c:pt idx="12">
                  <c:v>5.6995999999999998E-2</c:v>
                </c:pt>
                <c:pt idx="13">
                  <c:v>6.0997999999999997E-2</c:v>
                </c:pt>
                <c:pt idx="14">
                  <c:v>6.5000000000000002E-2</c:v>
                </c:pt>
              </c:numCache>
            </c:numRef>
          </c:xVal>
          <c:yVal>
            <c:numRef>
              <c:f>'реверсивный поток'!$S$56:$S$70</c:f>
              <c:numCache>
                <c:formatCode>General</c:formatCode>
                <c:ptCount val="15"/>
                <c:pt idx="0">
                  <c:v>0</c:v>
                </c:pt>
                <c:pt idx="1">
                  <c:v>8.3223870000000009</c:v>
                </c:pt>
                <c:pt idx="2">
                  <c:v>8.2361909999999998</c:v>
                </c:pt>
                <c:pt idx="3">
                  <c:v>8.1236160000000002</c:v>
                </c:pt>
                <c:pt idx="4">
                  <c:v>7.9842380000000004</c:v>
                </c:pt>
                <c:pt idx="5">
                  <c:v>7.8166029999999997</c:v>
                </c:pt>
                <c:pt idx="6">
                  <c:v>7.6192869999999999</c:v>
                </c:pt>
                <c:pt idx="7">
                  <c:v>7.3899800000000004</c:v>
                </c:pt>
                <c:pt idx="8">
                  <c:v>7.1257390000000003</c:v>
                </c:pt>
                <c:pt idx="9">
                  <c:v>6.8229480000000002</c:v>
                </c:pt>
                <c:pt idx="10">
                  <c:v>6.4760499999999999</c:v>
                </c:pt>
                <c:pt idx="11">
                  <c:v>6.0783290000000001</c:v>
                </c:pt>
                <c:pt idx="12">
                  <c:v>5.6193049999999998</c:v>
                </c:pt>
                <c:pt idx="13">
                  <c:v>5.0832129999999998</c:v>
                </c:pt>
                <c:pt idx="14">
                  <c:v>4.4444439999999998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77-42D7-B5DD-68E0ECCC33CA}"/>
            </c:ext>
          </c:extLst>
        </c:ser>
        <c:ser>
          <c:idx val="4"/>
          <c:order val="4"/>
          <c:tx>
            <c:strRef>
              <c:f>'реверсивный поток'!$E$59</c:f>
              <c:strCache>
                <c:ptCount val="1"/>
                <c:pt idx="0">
                  <c:v>n 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поток'!$U$56:$U$70</c:f>
              <c:numCache>
                <c:formatCode>General</c:formatCode>
                <c:ptCount val="15"/>
                <c:pt idx="0">
                  <c:v>8.4849999999999995E-3</c:v>
                </c:pt>
                <c:pt idx="1">
                  <c:v>8.4950000000000008E-3</c:v>
                </c:pt>
                <c:pt idx="2">
                  <c:v>1.2832E-2</c:v>
                </c:pt>
                <c:pt idx="3">
                  <c:v>1.7179E-2</c:v>
                </c:pt>
                <c:pt idx="4">
                  <c:v>2.1527000000000001E-2</c:v>
                </c:pt>
                <c:pt idx="5">
                  <c:v>2.5874000000000001E-2</c:v>
                </c:pt>
                <c:pt idx="6">
                  <c:v>3.0221000000000001E-2</c:v>
                </c:pt>
                <c:pt idx="7">
                  <c:v>3.4569000000000003E-2</c:v>
                </c:pt>
                <c:pt idx="8">
                  <c:v>3.8915999999999999E-2</c:v>
                </c:pt>
                <c:pt idx="9">
                  <c:v>4.3263000000000003E-2</c:v>
                </c:pt>
                <c:pt idx="10">
                  <c:v>4.7611000000000001E-2</c:v>
                </c:pt>
                <c:pt idx="11">
                  <c:v>5.1957999999999997E-2</c:v>
                </c:pt>
                <c:pt idx="12">
                  <c:v>5.6305000000000001E-2</c:v>
                </c:pt>
                <c:pt idx="13">
                  <c:v>6.0652999999999999E-2</c:v>
                </c:pt>
                <c:pt idx="14">
                  <c:v>6.5000000000000002E-2</c:v>
                </c:pt>
              </c:numCache>
            </c:numRef>
          </c:xVal>
          <c:yVal>
            <c:numRef>
              <c:f>'реверсивный поток'!$V$56:$V$70</c:f>
              <c:numCache>
                <c:formatCode>General</c:formatCode>
                <c:ptCount val="15"/>
                <c:pt idx="0">
                  <c:v>0</c:v>
                </c:pt>
                <c:pt idx="1">
                  <c:v>9.040832</c:v>
                </c:pt>
                <c:pt idx="2">
                  <c:v>8.9822710000000008</c:v>
                </c:pt>
                <c:pt idx="3">
                  <c:v>8.8952200000000001</c:v>
                </c:pt>
                <c:pt idx="4">
                  <c:v>8.7796149999999997</c:v>
                </c:pt>
                <c:pt idx="5">
                  <c:v>8.6347129999999996</c:v>
                </c:pt>
                <c:pt idx="6">
                  <c:v>8.4592749999999999</c:v>
                </c:pt>
                <c:pt idx="7">
                  <c:v>8.2515630000000009</c:v>
                </c:pt>
                <c:pt idx="8">
                  <c:v>8.0092540000000003</c:v>
                </c:pt>
                <c:pt idx="9">
                  <c:v>7.729285</c:v>
                </c:pt>
                <c:pt idx="10">
                  <c:v>7.4076079999999997</c:v>
                </c:pt>
                <c:pt idx="11">
                  <c:v>7.03878</c:v>
                </c:pt>
                <c:pt idx="12">
                  <c:v>6.6152899999999999</c:v>
                </c:pt>
                <c:pt idx="13">
                  <c:v>6.1263490000000003</c:v>
                </c:pt>
                <c:pt idx="14">
                  <c:v>5.5555560000000002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77-42D7-B5DD-68E0ECCC33CA}"/>
            </c:ext>
          </c:extLst>
        </c:ser>
        <c:ser>
          <c:idx val="5"/>
          <c:order val="5"/>
          <c:tx>
            <c:strRef>
              <c:f>'реверсивный поток'!$E$60</c:f>
              <c:strCache>
                <c:ptCount val="1"/>
                <c:pt idx="0">
                  <c:v>n 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поток'!$X$56:$X$70</c:f>
              <c:numCache>
                <c:formatCode>General</c:formatCode>
                <c:ptCount val="15"/>
                <c:pt idx="0">
                  <c:v>3.7269999999999998E-3</c:v>
                </c:pt>
                <c:pt idx="1">
                  <c:v>3.7369999999999999E-3</c:v>
                </c:pt>
                <c:pt idx="2">
                  <c:v>8.4399999999999996E-3</c:v>
                </c:pt>
                <c:pt idx="3">
                  <c:v>1.3153E-2</c:v>
                </c:pt>
                <c:pt idx="4">
                  <c:v>1.7867000000000001E-2</c:v>
                </c:pt>
                <c:pt idx="5">
                  <c:v>2.2579999999999999E-2</c:v>
                </c:pt>
                <c:pt idx="6">
                  <c:v>2.7293000000000001E-2</c:v>
                </c:pt>
                <c:pt idx="7">
                  <c:v>3.2007000000000001E-2</c:v>
                </c:pt>
                <c:pt idx="8">
                  <c:v>3.6720000000000003E-2</c:v>
                </c:pt>
                <c:pt idx="9">
                  <c:v>4.1432999999999998E-2</c:v>
                </c:pt>
                <c:pt idx="10">
                  <c:v>4.6147000000000001E-2</c:v>
                </c:pt>
                <c:pt idx="11">
                  <c:v>5.0860000000000002E-2</c:v>
                </c:pt>
                <c:pt idx="12">
                  <c:v>5.5572999999999997E-2</c:v>
                </c:pt>
                <c:pt idx="13">
                  <c:v>6.0287E-2</c:v>
                </c:pt>
                <c:pt idx="14">
                  <c:v>6.5000000000000002E-2</c:v>
                </c:pt>
              </c:numCache>
            </c:numRef>
          </c:xVal>
          <c:yVal>
            <c:numRef>
              <c:f>'реверсивный поток'!$Y$56:$Y$70</c:f>
              <c:numCache>
                <c:formatCode>General</c:formatCode>
                <c:ptCount val="15"/>
                <c:pt idx="0">
                  <c:v>0</c:v>
                </c:pt>
                <c:pt idx="1">
                  <c:v>9.8021119999999993</c:v>
                </c:pt>
                <c:pt idx="2">
                  <c:v>9.7740989999999996</c:v>
                </c:pt>
                <c:pt idx="3">
                  <c:v>9.7147330000000007</c:v>
                </c:pt>
                <c:pt idx="4">
                  <c:v>9.6243309999999997</c:v>
                </c:pt>
                <c:pt idx="5">
                  <c:v>9.5029900000000005</c:v>
                </c:pt>
                <c:pt idx="6">
                  <c:v>9.3497909999999997</c:v>
                </c:pt>
                <c:pt idx="7">
                  <c:v>9.1635439999999999</c:v>
                </c:pt>
                <c:pt idx="8">
                  <c:v>8.9423290000000009</c:v>
                </c:pt>
                <c:pt idx="9">
                  <c:v>8.6836889999999993</c:v>
                </c:pt>
                <c:pt idx="10">
                  <c:v>8.3843920000000001</c:v>
                </c:pt>
                <c:pt idx="11">
                  <c:v>8.0400100000000005</c:v>
                </c:pt>
                <c:pt idx="12">
                  <c:v>7.6449210000000001</c:v>
                </c:pt>
                <c:pt idx="13">
                  <c:v>7.1908190000000003</c:v>
                </c:pt>
                <c:pt idx="14">
                  <c:v>6.6666670000000003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377-42D7-B5DD-68E0ECCC33CA}"/>
            </c:ext>
          </c:extLst>
        </c:ser>
        <c:ser>
          <c:idx val="6"/>
          <c:order val="6"/>
          <c:tx>
            <c:strRef>
              <c:f>'реверсивный поток'!$E$61</c:f>
              <c:strCache>
                <c:ptCount val="1"/>
                <c:pt idx="0">
                  <c:v>n 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поток'!$AA$56:$AA$70</c:f>
              <c:numCache>
                <c:formatCode>General</c:formatCode>
                <c:ptCount val="15"/>
                <c:pt idx="0">
                  <c:v>3.2224000000000003E-2</c:v>
                </c:pt>
                <c:pt idx="1">
                  <c:v>3.2233999999999999E-2</c:v>
                </c:pt>
                <c:pt idx="2">
                  <c:v>3.4744999999999998E-2</c:v>
                </c:pt>
                <c:pt idx="3">
                  <c:v>3.7266000000000001E-2</c:v>
                </c:pt>
                <c:pt idx="4">
                  <c:v>3.9787000000000003E-2</c:v>
                </c:pt>
                <c:pt idx="5">
                  <c:v>4.2308999999999999E-2</c:v>
                </c:pt>
                <c:pt idx="6">
                  <c:v>4.4830000000000002E-2</c:v>
                </c:pt>
                <c:pt idx="7">
                  <c:v>4.7350999999999997E-2</c:v>
                </c:pt>
                <c:pt idx="8">
                  <c:v>4.9872E-2</c:v>
                </c:pt>
                <c:pt idx="9">
                  <c:v>5.2394000000000003E-2</c:v>
                </c:pt>
                <c:pt idx="10">
                  <c:v>5.4914999999999999E-2</c:v>
                </c:pt>
                <c:pt idx="11">
                  <c:v>5.7436000000000001E-2</c:v>
                </c:pt>
                <c:pt idx="12">
                  <c:v>5.9957000000000003E-2</c:v>
                </c:pt>
                <c:pt idx="13">
                  <c:v>6.2479E-2</c:v>
                </c:pt>
                <c:pt idx="14">
                  <c:v>6.5000000000000002E-2</c:v>
                </c:pt>
              </c:numCache>
            </c:numRef>
          </c:xVal>
          <c:yVal>
            <c:numRef>
              <c:f>'реверсивный поток'!$AB$56:$AB$70</c:f>
              <c:numCache>
                <c:formatCode>General</c:formatCode>
                <c:ptCount val="15"/>
                <c:pt idx="0">
                  <c:v>12</c:v>
                </c:pt>
                <c:pt idx="1">
                  <c:v>10</c:v>
                </c:pt>
                <c:pt idx="2">
                  <c:v>9.8952589999999994</c:v>
                </c:pt>
                <c:pt idx="3">
                  <c:v>9.7808320000000002</c:v>
                </c:pt>
                <c:pt idx="4">
                  <c:v>9.6568129999999996</c:v>
                </c:pt>
                <c:pt idx="5">
                  <c:v>9.5228479999999998</c:v>
                </c:pt>
                <c:pt idx="6">
                  <c:v>9.3785340000000001</c:v>
                </c:pt>
                <c:pt idx="7">
                  <c:v>9.2234079999999992</c:v>
                </c:pt>
                <c:pt idx="8">
                  <c:v>9.0569400000000009</c:v>
                </c:pt>
                <c:pt idx="9">
                  <c:v>8.87852</c:v>
                </c:pt>
                <c:pt idx="10">
                  <c:v>8.6874400000000005</c:v>
                </c:pt>
                <c:pt idx="11">
                  <c:v>8.4828790000000005</c:v>
                </c:pt>
                <c:pt idx="12">
                  <c:v>8.2638750000000005</c:v>
                </c:pt>
                <c:pt idx="13">
                  <c:v>8.0292929999999991</c:v>
                </c:pt>
                <c:pt idx="14">
                  <c:v>7.7777779999999996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377-42D7-B5DD-68E0ECCC33CA}"/>
            </c:ext>
          </c:extLst>
        </c:ser>
        <c:ser>
          <c:idx val="7"/>
          <c:order val="7"/>
          <c:tx>
            <c:strRef>
              <c:f>'реверсивный поток'!$E$62</c:f>
              <c:strCache>
                <c:ptCount val="1"/>
                <c:pt idx="0">
                  <c:v>n 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поток'!$AD$56:$AD$70</c:f>
              <c:numCache>
                <c:formatCode>General</c:formatCode>
                <c:ptCount val="15"/>
                <c:pt idx="0">
                  <c:v>5.0368000000000003E-2</c:v>
                </c:pt>
                <c:pt idx="1">
                  <c:v>5.0377999999999999E-2</c:v>
                </c:pt>
                <c:pt idx="2">
                  <c:v>5.1493999999999998E-2</c:v>
                </c:pt>
                <c:pt idx="3">
                  <c:v>5.2618999999999999E-2</c:v>
                </c:pt>
                <c:pt idx="4">
                  <c:v>5.3745000000000001E-2</c:v>
                </c:pt>
                <c:pt idx="5">
                  <c:v>5.4870000000000002E-2</c:v>
                </c:pt>
                <c:pt idx="6">
                  <c:v>5.5995999999999997E-2</c:v>
                </c:pt>
                <c:pt idx="7">
                  <c:v>5.7120999999999998E-2</c:v>
                </c:pt>
                <c:pt idx="8">
                  <c:v>5.8247E-2</c:v>
                </c:pt>
                <c:pt idx="9">
                  <c:v>5.9372000000000001E-2</c:v>
                </c:pt>
                <c:pt idx="10">
                  <c:v>6.0498000000000003E-2</c:v>
                </c:pt>
                <c:pt idx="11">
                  <c:v>6.1622999999999997E-2</c:v>
                </c:pt>
                <c:pt idx="12">
                  <c:v>6.2748999999999999E-2</c:v>
                </c:pt>
                <c:pt idx="13">
                  <c:v>6.3874E-2</c:v>
                </c:pt>
                <c:pt idx="14">
                  <c:v>6.5000000000000002E-2</c:v>
                </c:pt>
              </c:numCache>
            </c:numRef>
          </c:xVal>
          <c:yVal>
            <c:numRef>
              <c:f>'реверсивный поток'!$AE$56:$AE$70</c:f>
              <c:numCache>
                <c:formatCode>General</c:formatCode>
                <c:ptCount val="15"/>
                <c:pt idx="0">
                  <c:v>12</c:v>
                </c:pt>
                <c:pt idx="1">
                  <c:v>10</c:v>
                </c:pt>
                <c:pt idx="2">
                  <c:v>9.9289939999999994</c:v>
                </c:pt>
                <c:pt idx="3">
                  <c:v>9.8552710000000001</c:v>
                </c:pt>
                <c:pt idx="4">
                  <c:v>9.7794089999999994</c:v>
                </c:pt>
                <c:pt idx="5">
                  <c:v>9.7012309999999999</c:v>
                </c:pt>
                <c:pt idx="6">
                  <c:v>9.6208159999999996</c:v>
                </c:pt>
                <c:pt idx="7">
                  <c:v>9.5381090000000004</c:v>
                </c:pt>
                <c:pt idx="8">
                  <c:v>9.4530550000000009</c:v>
                </c:pt>
                <c:pt idx="9">
                  <c:v>9.3655910000000002</c:v>
                </c:pt>
                <c:pt idx="10">
                  <c:v>9.2754999999999992</c:v>
                </c:pt>
                <c:pt idx="11">
                  <c:v>9.1828599999999998</c:v>
                </c:pt>
                <c:pt idx="12">
                  <c:v>9.0875979999999998</c:v>
                </c:pt>
                <c:pt idx="13">
                  <c:v>8.9896349999999998</c:v>
                </c:pt>
                <c:pt idx="14">
                  <c:v>8.8888890000000007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377-42D7-B5DD-68E0ECCC33CA}"/>
            </c:ext>
          </c:extLst>
        </c:ser>
        <c:ser>
          <c:idx val="8"/>
          <c:order val="8"/>
          <c:tx>
            <c:v>intake</c:v>
          </c:tx>
          <c:spPr>
            <a:ln w="635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поток'!$I$74:$I$75</c:f>
              <c:numCache>
                <c:formatCode>General</c:formatCode>
                <c:ptCount val="2"/>
                <c:pt idx="0">
                  <c:v>2.5000000000000001E-3</c:v>
                </c:pt>
                <c:pt idx="1">
                  <c:v>2.5000000000000001E-3</c:v>
                </c:pt>
              </c:numCache>
            </c:numRef>
          </c:xVal>
          <c:yVal>
            <c:numRef>
              <c:f>'реверсивный поток'!$J$74:$J$75</c:f>
              <c:numCache>
                <c:formatCode>General</c:formatCode>
                <c:ptCount val="2"/>
                <c:pt idx="0">
                  <c:v>-2</c:v>
                </c:pt>
                <c:pt idx="1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377-42D7-B5DD-68E0ECCC33CA}"/>
            </c:ext>
          </c:extLst>
        </c:ser>
        <c:ser>
          <c:idx val="9"/>
          <c:order val="9"/>
          <c:tx>
            <c:v>casing</c:v>
          </c:tx>
          <c:spPr>
            <a:ln w="635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поток'!$L$74:$L$75</c:f>
              <c:numCache>
                <c:formatCode>General</c:formatCode>
                <c:ptCount val="2"/>
                <c:pt idx="0">
                  <c:v>6.5000000000000002E-2</c:v>
                </c:pt>
                <c:pt idx="1">
                  <c:v>6.5000000000000002E-2</c:v>
                </c:pt>
              </c:numCache>
            </c:numRef>
          </c:xVal>
          <c:yVal>
            <c:numRef>
              <c:f>'реверсивный поток'!$M$74:$M$75</c:f>
              <c:numCache>
                <c:formatCode>General</c:formatCode>
                <c:ptCount val="2"/>
                <c:pt idx="0">
                  <c:v>-2</c:v>
                </c:pt>
                <c:pt idx="1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377-42D7-B5DD-68E0ECCC33CA}"/>
            </c:ext>
          </c:extLst>
        </c:ser>
        <c:ser>
          <c:idx val="10"/>
          <c:order val="10"/>
          <c:spPr>
            <a:ln w="6350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поток'!$F$74:$F$75</c:f>
              <c:numCache>
                <c:formatCode>General</c:formatCode>
                <c:ptCount val="2"/>
                <c:pt idx="0">
                  <c:v>6.5000000000000002E-2</c:v>
                </c:pt>
                <c:pt idx="1">
                  <c:v>6.5000000000000002E-2</c:v>
                </c:pt>
              </c:numCache>
            </c:numRef>
          </c:xVal>
          <c:yVal>
            <c:numRef>
              <c:f>'реверсивный поток'!$G$74:$G$75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377-42D7-B5DD-68E0ECCC33CA}"/>
            </c:ext>
          </c:extLst>
        </c:ser>
        <c:ser>
          <c:idx val="11"/>
          <c:order val="11"/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'реверсивный поток'!$O$74:$O$75</c:f>
              <c:numCache>
                <c:formatCode>General</c:formatCode>
                <c:ptCount val="2"/>
                <c:pt idx="0">
                  <c:v>6.5000000000000002E-2</c:v>
                </c:pt>
                <c:pt idx="1">
                  <c:v>2.5000000000000001E-3</c:v>
                </c:pt>
              </c:numCache>
            </c:numRef>
          </c:xVal>
          <c:yVal>
            <c:numRef>
              <c:f>'реверсивный поток'!$P$74:$P$75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377-42D7-B5DD-68E0ECCC3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003728"/>
        <c:axId val="2107011632"/>
      </c:scatterChart>
      <c:valAx>
        <c:axId val="2107003728"/>
        <c:scaling>
          <c:orientation val="maxMin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7011632"/>
        <c:crosses val="max"/>
        <c:crossBetween val="midCat"/>
      </c:valAx>
      <c:valAx>
        <c:axId val="210701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1.9883041601528473E-2"/>
              <c:y val="0.4736584668180990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7003728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Оценка скорости всплытия</a:t>
            </a:r>
            <a:r>
              <a:rPr lang="ru-RU" baseline="0"/>
              <a:t> газа от дебита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'реверсивный поток'!$F$29:$F$40</c:f>
              <c:numCache>
                <c:formatCode>General</c:formatCode>
                <c:ptCount val="12"/>
                <c:pt idx="0">
                  <c:v>2</c:v>
                </c:pt>
                <c:pt idx="1">
                  <c:v>10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90</c:v>
                </c:pt>
                <c:pt idx="6">
                  <c:v>110</c:v>
                </c:pt>
                <c:pt idx="7">
                  <c:v>130</c:v>
                </c:pt>
                <c:pt idx="8">
                  <c:v>150</c:v>
                </c:pt>
                <c:pt idx="9">
                  <c:v>170</c:v>
                </c:pt>
                <c:pt idx="10">
                  <c:v>190</c:v>
                </c:pt>
                <c:pt idx="11">
                  <c:v>210</c:v>
                </c:pt>
              </c:numCache>
            </c:numRef>
          </c:xVal>
          <c:yVal>
            <c:numRef>
              <c:f>'реверсивный поток'!$X$29:$X$40</c:f>
              <c:numCache>
                <c:formatCode>General</c:formatCode>
                <c:ptCount val="12"/>
                <c:pt idx="0">
                  <c:v>0.19435998377681157</c:v>
                </c:pt>
                <c:pt idx="1">
                  <c:v>0.18209710175937208</c:v>
                </c:pt>
                <c:pt idx="2">
                  <c:v>0.15143989671577335</c:v>
                </c:pt>
                <c:pt idx="3">
                  <c:v>0.12078269167217462</c:v>
                </c:pt>
                <c:pt idx="4">
                  <c:v>9.0125486628575877E-2</c:v>
                </c:pt>
                <c:pt idx="5">
                  <c:v>5.9468281584977127E-2</c:v>
                </c:pt>
                <c:pt idx="6">
                  <c:v>2.8811076541378388E-2</c:v>
                </c:pt>
                <c:pt idx="7">
                  <c:v>-1.8461285022203437E-3</c:v>
                </c:pt>
                <c:pt idx="8">
                  <c:v>-3.2503333545819087E-2</c:v>
                </c:pt>
                <c:pt idx="9">
                  <c:v>-6.3160538589417822E-2</c:v>
                </c:pt>
                <c:pt idx="10">
                  <c:v>-9.3817743633016551E-2</c:v>
                </c:pt>
                <c:pt idx="11">
                  <c:v>-0.12447494867661532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4CE-43D2-A525-60B9E72BD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0273696"/>
        <c:axId val="1030274528"/>
      </c:scatterChart>
      <c:valAx>
        <c:axId val="1030273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30274528"/>
        <c:crosses val="autoZero"/>
        <c:crossBetween val="midCat"/>
      </c:valAx>
      <c:valAx>
        <c:axId val="103027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30273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методов Маркеса - упрощенная и механистическая</a:t>
            </a:r>
            <a:r>
              <a:rPr lang="ru-RU" baseline="0"/>
              <a:t> модели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'прием ПКВ'!$P$28</c:f>
              <c:strCache>
                <c:ptCount val="1"/>
                <c:pt idx="0">
                  <c:v>ksep mech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'прием ПКВ'!$F$29:$F$40</c:f>
              <c:numCache>
                <c:formatCode>General</c:formatCode>
                <c:ptCount val="12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</c:numCache>
            </c:numRef>
          </c:xVal>
          <c:yVal>
            <c:numRef>
              <c:f>'прием ПКВ'!$S$29:$S$40</c:f>
              <c:numCache>
                <c:formatCode>General</c:formatCode>
                <c:ptCount val="12"/>
                <c:pt idx="0">
                  <c:v>0.98039294682599643</c:v>
                </c:pt>
                <c:pt idx="1">
                  <c:v>0.95014354569157811</c:v>
                </c:pt>
                <c:pt idx="2">
                  <c:v>0.90077105872926144</c:v>
                </c:pt>
                <c:pt idx="3">
                  <c:v>0.85241210653586275</c:v>
                </c:pt>
                <c:pt idx="4">
                  <c:v>0.80486165810998089</c:v>
                </c:pt>
                <c:pt idx="5">
                  <c:v>0.75805187384518258</c:v>
                </c:pt>
                <c:pt idx="6">
                  <c:v>0.71197318983821301</c:v>
                </c:pt>
                <c:pt idx="7">
                  <c:v>0.66661499951125636</c:v>
                </c:pt>
                <c:pt idx="8">
                  <c:v>0.62179831636859439</c:v>
                </c:pt>
                <c:pt idx="9">
                  <c:v>0.57780336155279188</c:v>
                </c:pt>
                <c:pt idx="10">
                  <c:v>0.53445397429941177</c:v>
                </c:pt>
                <c:pt idx="11">
                  <c:v>0.49170882015526918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8-4D25-86EF-96408067DCE6}"/>
            </c:ext>
          </c:extLst>
        </c:ser>
        <c:ser>
          <c:idx val="1"/>
          <c:order val="1"/>
          <c:tx>
            <c:strRef>
              <c:f>'прием ПКВ'!$O$28</c:f>
              <c:strCache>
                <c:ptCount val="1"/>
                <c:pt idx="0">
                  <c:v>ksep simpl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'прием ПКВ'!$F$29:$F$40</c:f>
              <c:numCache>
                <c:formatCode>General</c:formatCode>
                <c:ptCount val="12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</c:numCache>
            </c:numRef>
          </c:xVal>
          <c:yVal>
            <c:numRef>
              <c:f>'прием ПКВ'!$O$29:$O$40</c:f>
              <c:numCache>
                <c:formatCode>0.00</c:formatCode>
                <c:ptCount val="12"/>
                <c:pt idx="0">
                  <c:v>0.98442821164209615</c:v>
                </c:pt>
                <c:pt idx="1">
                  <c:v>0.97578710917106259</c:v>
                </c:pt>
                <c:pt idx="2">
                  <c:v>0.96235737586752912</c:v>
                </c:pt>
                <c:pt idx="3">
                  <c:v>0.94972423361697544</c:v>
                </c:pt>
                <c:pt idx="4">
                  <c:v>0.9376827591449115</c:v>
                </c:pt>
                <c:pt idx="5">
                  <c:v>0.9261228470022399</c:v>
                </c:pt>
                <c:pt idx="6">
                  <c:v>0.91497384319391184</c:v>
                </c:pt>
                <c:pt idx="7">
                  <c:v>0.90418583721189905</c:v>
                </c:pt>
                <c:pt idx="8">
                  <c:v>0.89372134510109924</c:v>
                </c:pt>
                <c:pt idx="9">
                  <c:v>0.875944876984595</c:v>
                </c:pt>
                <c:pt idx="10">
                  <c:v>0.86542360149606024</c:v>
                </c:pt>
                <c:pt idx="11">
                  <c:v>0.85518064486901446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B8-4D25-86EF-96408067DCE6}"/>
            </c:ext>
          </c:extLst>
        </c:ser>
        <c:ser>
          <c:idx val="2"/>
          <c:order val="2"/>
          <c:tx>
            <c:strRef>
              <c:f>'прием ПКВ'!$P$28</c:f>
              <c:strCache>
                <c:ptCount val="1"/>
                <c:pt idx="0">
                  <c:v>ksep mech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'прием ПКВ'!$F$29:$F$40</c:f>
              <c:numCache>
                <c:formatCode>General</c:formatCode>
                <c:ptCount val="12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</c:numCache>
            </c:numRef>
          </c:xVal>
          <c:yVal>
            <c:numRef>
              <c:f>'прием ПКВ'!$P$29:$P$40</c:f>
              <c:numCache>
                <c:formatCode>0.00</c:formatCode>
                <c:ptCount val="12"/>
                <c:pt idx="0">
                  <c:v>0.99346431560866544</c:v>
                </c:pt>
                <c:pt idx="1">
                  <c:v>0.9833811818971927</c:v>
                </c:pt>
                <c:pt idx="2">
                  <c:v>0.96692368624308711</c:v>
                </c:pt>
                <c:pt idx="3">
                  <c:v>0.95080403551195425</c:v>
                </c:pt>
                <c:pt idx="4">
                  <c:v>0.9349538860366603</c:v>
                </c:pt>
                <c:pt idx="5">
                  <c:v>0.9193506246150609</c:v>
                </c:pt>
                <c:pt idx="6">
                  <c:v>0.90399106327940437</c:v>
                </c:pt>
                <c:pt idx="7">
                  <c:v>0.88887166650375216</c:v>
                </c:pt>
                <c:pt idx="8">
                  <c:v>0.8739327721228648</c:v>
                </c:pt>
                <c:pt idx="9">
                  <c:v>0.859267787184264</c:v>
                </c:pt>
                <c:pt idx="10">
                  <c:v>0.84481799143313729</c:v>
                </c:pt>
                <c:pt idx="11">
                  <c:v>0.83056960671842306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B8-4D25-86EF-96408067DC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426863"/>
        <c:axId val="1588425615"/>
      </c:scatterChart>
      <c:valAx>
        <c:axId val="15884268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8425615"/>
        <c:crosses val="autoZero"/>
        <c:crossBetween val="midCat"/>
      </c:valAx>
      <c:valAx>
        <c:axId val="158842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ксеп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84268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движения пузырьков газа на приеме ЭЦН</a:t>
            </a:r>
            <a:br>
              <a:rPr lang="ru-RU" baseline="0"/>
            </a:br>
            <a:r>
              <a:rPr lang="ru-RU" baseline="0"/>
              <a:t>механистическая модель Маркеса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'прием ПКВ'!$E$55</c:f>
              <c:strCache>
                <c:ptCount val="1"/>
                <c:pt idx="0">
                  <c:v>n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ПКВ'!$J$56:$J$70</c:f>
              <c:numCache>
                <c:formatCode>General</c:formatCode>
                <c:ptCount val="15"/>
                <c:pt idx="0">
                  <c:v>9.8329999999999997E-3</c:v>
                </c:pt>
                <c:pt idx="1">
                  <c:v>9.8329999999999997E-3</c:v>
                </c:pt>
                <c:pt idx="2">
                  <c:v>9.8329999999999997E-3</c:v>
                </c:pt>
                <c:pt idx="3">
                  <c:v>9.8329999999999997E-3</c:v>
                </c:pt>
                <c:pt idx="4">
                  <c:v>9.8329999999999997E-3</c:v>
                </c:pt>
                <c:pt idx="5">
                  <c:v>9.8329999999999997E-3</c:v>
                </c:pt>
                <c:pt idx="6">
                  <c:v>9.8329999999999997E-3</c:v>
                </c:pt>
                <c:pt idx="7">
                  <c:v>9.8329999999999997E-3</c:v>
                </c:pt>
                <c:pt idx="8">
                  <c:v>9.8329999999999997E-3</c:v>
                </c:pt>
                <c:pt idx="9">
                  <c:v>9.8329999999999997E-3</c:v>
                </c:pt>
                <c:pt idx="10">
                  <c:v>9.8329999999999997E-3</c:v>
                </c:pt>
                <c:pt idx="11">
                  <c:v>9.8329999999999997E-3</c:v>
                </c:pt>
                <c:pt idx="12">
                  <c:v>9.2460000000000007E-3</c:v>
                </c:pt>
                <c:pt idx="13">
                  <c:v>8.0300000000000007E-3</c:v>
                </c:pt>
                <c:pt idx="14">
                  <c:v>2.5000000000000001E-3</c:v>
                </c:pt>
              </c:numCache>
            </c:numRef>
          </c:xVal>
          <c:yVal>
            <c:numRef>
              <c:f>'прием ПКВ'!$I$56:$I$70</c:f>
              <c:numCache>
                <c:formatCode>General</c:formatCode>
                <c:ptCount val="15"/>
                <c:pt idx="0">
                  <c:v>-0.02</c:v>
                </c:pt>
                <c:pt idx="1">
                  <c:v>-1.745E-2</c:v>
                </c:pt>
                <c:pt idx="2">
                  <c:v>-1.4899000000000001E-2</c:v>
                </c:pt>
                <c:pt idx="3">
                  <c:v>-1.2349000000000001E-2</c:v>
                </c:pt>
                <c:pt idx="4">
                  <c:v>-9.7979999999999994E-3</c:v>
                </c:pt>
                <c:pt idx="5">
                  <c:v>-7.2480000000000001E-3</c:v>
                </c:pt>
                <c:pt idx="6">
                  <c:v>-4.6969999999999998E-3</c:v>
                </c:pt>
                <c:pt idx="7">
                  <c:v>-2.147E-3</c:v>
                </c:pt>
                <c:pt idx="8">
                  <c:v>4.0400000000000001E-4</c:v>
                </c:pt>
                <c:pt idx="9">
                  <c:v>2.954E-3</c:v>
                </c:pt>
                <c:pt idx="10">
                  <c:v>5.5050000000000003E-3</c:v>
                </c:pt>
                <c:pt idx="11">
                  <c:v>5.5560000000000002E-3</c:v>
                </c:pt>
                <c:pt idx="12">
                  <c:v>8.0549999999999997E-3</c:v>
                </c:pt>
                <c:pt idx="13">
                  <c:v>1.0605E-2</c:v>
                </c:pt>
                <c:pt idx="14">
                  <c:v>1.3155999999999999E-2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D3-4DBD-B82D-BF0BA7E1E02A}"/>
            </c:ext>
          </c:extLst>
        </c:ser>
        <c:ser>
          <c:idx val="1"/>
          <c:order val="1"/>
          <c:tx>
            <c:strRef>
              <c:f>'прием ПКВ'!$E$56</c:f>
              <c:strCache>
                <c:ptCount val="1"/>
                <c:pt idx="0">
                  <c:v>n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ПКВ'!$M$56:$M$70</c:f>
              <c:numCache>
                <c:formatCode>General</c:formatCode>
                <c:ptCount val="15"/>
                <c:pt idx="0">
                  <c:v>1.7167000000000002E-2</c:v>
                </c:pt>
                <c:pt idx="1">
                  <c:v>1.7167000000000002E-2</c:v>
                </c:pt>
                <c:pt idx="2">
                  <c:v>1.7167000000000002E-2</c:v>
                </c:pt>
                <c:pt idx="3">
                  <c:v>1.7167000000000002E-2</c:v>
                </c:pt>
                <c:pt idx="4">
                  <c:v>1.7167000000000002E-2</c:v>
                </c:pt>
                <c:pt idx="5">
                  <c:v>1.7167000000000002E-2</c:v>
                </c:pt>
                <c:pt idx="6">
                  <c:v>1.7167000000000002E-2</c:v>
                </c:pt>
                <c:pt idx="7">
                  <c:v>1.7167000000000002E-2</c:v>
                </c:pt>
                <c:pt idx="8">
                  <c:v>1.7167000000000002E-2</c:v>
                </c:pt>
                <c:pt idx="9">
                  <c:v>1.7167000000000002E-2</c:v>
                </c:pt>
                <c:pt idx="10">
                  <c:v>1.6781999999999998E-2</c:v>
                </c:pt>
                <c:pt idx="11">
                  <c:v>1.6066E-2</c:v>
                </c:pt>
                <c:pt idx="12">
                  <c:v>1.4844E-2</c:v>
                </c:pt>
                <c:pt idx="13">
                  <c:v>1.2676E-2</c:v>
                </c:pt>
                <c:pt idx="14">
                  <c:v>2.5000000000000001E-3</c:v>
                </c:pt>
              </c:numCache>
            </c:numRef>
          </c:xVal>
          <c:yVal>
            <c:numRef>
              <c:f>'прием ПКВ'!$L$56:$L$70</c:f>
              <c:numCache>
                <c:formatCode>General</c:formatCode>
                <c:ptCount val="15"/>
                <c:pt idx="0">
                  <c:v>-0.02</c:v>
                </c:pt>
                <c:pt idx="1">
                  <c:v>-1.6246E-2</c:v>
                </c:pt>
                <c:pt idx="2">
                  <c:v>-1.2493000000000001E-2</c:v>
                </c:pt>
                <c:pt idx="3">
                  <c:v>-8.7390000000000002E-3</c:v>
                </c:pt>
                <c:pt idx="4">
                  <c:v>-4.9849999999999998E-3</c:v>
                </c:pt>
                <c:pt idx="5">
                  <c:v>-1.232E-3</c:v>
                </c:pt>
                <c:pt idx="6">
                  <c:v>2.5219999999999999E-3</c:v>
                </c:pt>
                <c:pt idx="7">
                  <c:v>6.2760000000000003E-3</c:v>
                </c:pt>
                <c:pt idx="8">
                  <c:v>1.0030000000000001E-2</c:v>
                </c:pt>
                <c:pt idx="9">
                  <c:v>1.1110999999999999E-2</c:v>
                </c:pt>
                <c:pt idx="10">
                  <c:v>1.3783E-2</c:v>
                </c:pt>
                <c:pt idx="11">
                  <c:v>1.7537000000000001E-2</c:v>
                </c:pt>
                <c:pt idx="12">
                  <c:v>2.1291000000000001E-2</c:v>
                </c:pt>
                <c:pt idx="13">
                  <c:v>2.5044E-2</c:v>
                </c:pt>
                <c:pt idx="14">
                  <c:v>2.8798000000000001E-2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D3-4DBD-B82D-BF0BA7E1E02A}"/>
            </c:ext>
          </c:extLst>
        </c:ser>
        <c:ser>
          <c:idx val="2"/>
          <c:order val="2"/>
          <c:tx>
            <c:strRef>
              <c:f>'прием ПКВ'!$E$57</c:f>
              <c:strCache>
                <c:ptCount val="1"/>
                <c:pt idx="0">
                  <c:v>n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ПКВ'!$P$56:$P$70</c:f>
              <c:numCache>
                <c:formatCode>General</c:formatCode>
                <c:ptCount val="15"/>
                <c:pt idx="0">
                  <c:v>2.4500000000000001E-2</c:v>
                </c:pt>
                <c:pt idx="1">
                  <c:v>2.4500000000000001E-2</c:v>
                </c:pt>
                <c:pt idx="2">
                  <c:v>2.4500000000000001E-2</c:v>
                </c:pt>
                <c:pt idx="3">
                  <c:v>2.4500000000000001E-2</c:v>
                </c:pt>
                <c:pt idx="4">
                  <c:v>2.4500000000000001E-2</c:v>
                </c:pt>
                <c:pt idx="5">
                  <c:v>2.4500000000000001E-2</c:v>
                </c:pt>
                <c:pt idx="6">
                  <c:v>2.4500000000000001E-2</c:v>
                </c:pt>
                <c:pt idx="7">
                  <c:v>2.4500000000000001E-2</c:v>
                </c:pt>
                <c:pt idx="8">
                  <c:v>2.4500000000000001E-2</c:v>
                </c:pt>
                <c:pt idx="9">
                  <c:v>2.4056000000000001E-2</c:v>
                </c:pt>
                <c:pt idx="10">
                  <c:v>2.3276000000000002E-2</c:v>
                </c:pt>
                <c:pt idx="11">
                  <c:v>2.2065999999999999E-2</c:v>
                </c:pt>
                <c:pt idx="12">
                  <c:v>2.0236000000000001E-2</c:v>
                </c:pt>
                <c:pt idx="13">
                  <c:v>1.7160999999999999E-2</c:v>
                </c:pt>
                <c:pt idx="14">
                  <c:v>2.5000000000000001E-3</c:v>
                </c:pt>
              </c:numCache>
            </c:numRef>
          </c:xVal>
          <c:yVal>
            <c:numRef>
              <c:f>'прием ПКВ'!$O$56:$O$70</c:f>
              <c:numCache>
                <c:formatCode>General</c:formatCode>
                <c:ptCount val="15"/>
                <c:pt idx="0">
                  <c:v>-0.02</c:v>
                </c:pt>
                <c:pt idx="1">
                  <c:v>-1.4931E-2</c:v>
                </c:pt>
                <c:pt idx="2">
                  <c:v>-9.861E-3</c:v>
                </c:pt>
                <c:pt idx="3">
                  <c:v>-4.7920000000000003E-3</c:v>
                </c:pt>
                <c:pt idx="4">
                  <c:v>2.7799999999999998E-4</c:v>
                </c:pt>
                <c:pt idx="5">
                  <c:v>5.3470000000000002E-3</c:v>
                </c:pt>
                <c:pt idx="6">
                  <c:v>1.0416999999999999E-2</c:v>
                </c:pt>
                <c:pt idx="7">
                  <c:v>1.5486E-2</c:v>
                </c:pt>
                <c:pt idx="8">
                  <c:v>1.6667000000000001E-2</c:v>
                </c:pt>
                <c:pt idx="9">
                  <c:v>2.0555E-2</c:v>
                </c:pt>
                <c:pt idx="10">
                  <c:v>2.5624999999999998E-2</c:v>
                </c:pt>
                <c:pt idx="11">
                  <c:v>3.0693999999999999E-2</c:v>
                </c:pt>
                <c:pt idx="12">
                  <c:v>3.5763999999999997E-2</c:v>
                </c:pt>
                <c:pt idx="13">
                  <c:v>4.0833000000000001E-2</c:v>
                </c:pt>
                <c:pt idx="14">
                  <c:v>4.5902999999999999E-2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D3-4DBD-B82D-BF0BA7E1E02A}"/>
            </c:ext>
          </c:extLst>
        </c:ser>
        <c:ser>
          <c:idx val="3"/>
          <c:order val="3"/>
          <c:tx>
            <c:strRef>
              <c:f>'прием ПКВ'!$E$58</c:f>
              <c:strCache>
                <c:ptCount val="1"/>
                <c:pt idx="0">
                  <c:v>n 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ПКВ'!$S$56:$S$70</c:f>
              <c:numCache>
                <c:formatCode>General</c:formatCode>
                <c:ptCount val="15"/>
                <c:pt idx="0">
                  <c:v>3.1833E-2</c:v>
                </c:pt>
                <c:pt idx="1">
                  <c:v>3.1833E-2</c:v>
                </c:pt>
                <c:pt idx="2">
                  <c:v>3.1833E-2</c:v>
                </c:pt>
                <c:pt idx="3">
                  <c:v>3.1833E-2</c:v>
                </c:pt>
                <c:pt idx="4">
                  <c:v>3.1833E-2</c:v>
                </c:pt>
                <c:pt idx="5">
                  <c:v>3.1833E-2</c:v>
                </c:pt>
                <c:pt idx="6">
                  <c:v>3.1833E-2</c:v>
                </c:pt>
                <c:pt idx="7">
                  <c:v>3.1833E-2</c:v>
                </c:pt>
                <c:pt idx="8">
                  <c:v>3.1528E-2</c:v>
                </c:pt>
                <c:pt idx="9">
                  <c:v>3.0741999999999998E-2</c:v>
                </c:pt>
                <c:pt idx="10">
                  <c:v>2.9589000000000001E-2</c:v>
                </c:pt>
                <c:pt idx="11">
                  <c:v>2.7955000000000001E-2</c:v>
                </c:pt>
                <c:pt idx="12">
                  <c:v>2.5538000000000002E-2</c:v>
                </c:pt>
                <c:pt idx="13">
                  <c:v>2.1568E-2</c:v>
                </c:pt>
                <c:pt idx="14">
                  <c:v>2.5000000000000001E-3</c:v>
                </c:pt>
              </c:numCache>
            </c:numRef>
          </c:xVal>
          <c:yVal>
            <c:numRef>
              <c:f>'прием ПКВ'!$R$56:$R$70</c:f>
              <c:numCache>
                <c:formatCode>General</c:formatCode>
                <c:ptCount val="15"/>
                <c:pt idx="0">
                  <c:v>-0.02</c:v>
                </c:pt>
                <c:pt idx="1">
                  <c:v>-1.3531E-2</c:v>
                </c:pt>
                <c:pt idx="2">
                  <c:v>-7.0619999999999997E-3</c:v>
                </c:pt>
                <c:pt idx="3">
                  <c:v>-5.9299999999999999E-4</c:v>
                </c:pt>
                <c:pt idx="4">
                  <c:v>5.8760000000000001E-3</c:v>
                </c:pt>
                <c:pt idx="5">
                  <c:v>1.2345E-2</c:v>
                </c:pt>
                <c:pt idx="6">
                  <c:v>1.8814000000000001E-2</c:v>
                </c:pt>
                <c:pt idx="7">
                  <c:v>2.2221999999999999E-2</c:v>
                </c:pt>
                <c:pt idx="8">
                  <c:v>2.5283E-2</c:v>
                </c:pt>
                <c:pt idx="9">
                  <c:v>3.1752000000000002E-2</c:v>
                </c:pt>
                <c:pt idx="10">
                  <c:v>3.8220999999999998E-2</c:v>
                </c:pt>
                <c:pt idx="11">
                  <c:v>4.4690000000000001E-2</c:v>
                </c:pt>
                <c:pt idx="12">
                  <c:v>5.1159000000000003E-2</c:v>
                </c:pt>
                <c:pt idx="13">
                  <c:v>5.7627999999999999E-2</c:v>
                </c:pt>
                <c:pt idx="14">
                  <c:v>6.4097000000000001E-2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FD3-4DBD-B82D-BF0BA7E1E02A}"/>
            </c:ext>
          </c:extLst>
        </c:ser>
        <c:ser>
          <c:idx val="4"/>
          <c:order val="4"/>
          <c:tx>
            <c:strRef>
              <c:f>'прием ПКВ'!$E$59</c:f>
              <c:strCache>
                <c:ptCount val="1"/>
                <c:pt idx="0">
                  <c:v>n 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ПКВ'!$V$56:$V$70</c:f>
              <c:numCache>
                <c:formatCode>General</c:formatCode>
                <c:ptCount val="15"/>
                <c:pt idx="0">
                  <c:v>3.9167E-2</c:v>
                </c:pt>
                <c:pt idx="1">
                  <c:v>3.9167E-2</c:v>
                </c:pt>
                <c:pt idx="2">
                  <c:v>3.9167E-2</c:v>
                </c:pt>
                <c:pt idx="3">
                  <c:v>3.9167E-2</c:v>
                </c:pt>
                <c:pt idx="4">
                  <c:v>3.9167E-2</c:v>
                </c:pt>
                <c:pt idx="5">
                  <c:v>3.9167E-2</c:v>
                </c:pt>
                <c:pt idx="6">
                  <c:v>3.9167E-2</c:v>
                </c:pt>
                <c:pt idx="7">
                  <c:v>3.9167E-2</c:v>
                </c:pt>
                <c:pt idx="8">
                  <c:v>3.8403E-2</c:v>
                </c:pt>
                <c:pt idx="9">
                  <c:v>3.7337000000000002E-2</c:v>
                </c:pt>
                <c:pt idx="10">
                  <c:v>3.5843E-2</c:v>
                </c:pt>
                <c:pt idx="11">
                  <c:v>3.3764000000000002E-2</c:v>
                </c:pt>
                <c:pt idx="12">
                  <c:v>3.0764E-2</c:v>
                </c:pt>
                <c:pt idx="13">
                  <c:v>2.5899999999999999E-2</c:v>
                </c:pt>
                <c:pt idx="14">
                  <c:v>2.5000000000000001E-3</c:v>
                </c:pt>
              </c:numCache>
            </c:numRef>
          </c:xVal>
          <c:yVal>
            <c:numRef>
              <c:f>'прием ПКВ'!$U$56:$U$70</c:f>
              <c:numCache>
                <c:formatCode>General</c:formatCode>
                <c:ptCount val="15"/>
                <c:pt idx="0">
                  <c:v>-0.02</c:v>
                </c:pt>
                <c:pt idx="1">
                  <c:v>-1.2070000000000001E-2</c:v>
                </c:pt>
                <c:pt idx="2">
                  <c:v>-4.1399999999999996E-3</c:v>
                </c:pt>
                <c:pt idx="3">
                  <c:v>3.79E-3</c:v>
                </c:pt>
                <c:pt idx="4">
                  <c:v>1.1721000000000001E-2</c:v>
                </c:pt>
                <c:pt idx="5">
                  <c:v>1.9650999999999998E-2</c:v>
                </c:pt>
                <c:pt idx="6">
                  <c:v>2.7581000000000001E-2</c:v>
                </c:pt>
                <c:pt idx="7">
                  <c:v>2.7778000000000001E-2</c:v>
                </c:pt>
                <c:pt idx="8">
                  <c:v>3.5511000000000001E-2</c:v>
                </c:pt>
                <c:pt idx="9">
                  <c:v>4.3441E-2</c:v>
                </c:pt>
                <c:pt idx="10">
                  <c:v>5.1371E-2</c:v>
                </c:pt>
                <c:pt idx="11">
                  <c:v>5.9302000000000001E-2</c:v>
                </c:pt>
                <c:pt idx="12">
                  <c:v>6.7232E-2</c:v>
                </c:pt>
                <c:pt idx="13">
                  <c:v>7.5162000000000007E-2</c:v>
                </c:pt>
                <c:pt idx="14">
                  <c:v>8.3091999999999999E-2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FD3-4DBD-B82D-BF0BA7E1E02A}"/>
            </c:ext>
          </c:extLst>
        </c:ser>
        <c:ser>
          <c:idx val="5"/>
          <c:order val="5"/>
          <c:tx>
            <c:strRef>
              <c:f>'прием ПКВ'!$E$60</c:f>
              <c:strCache>
                <c:ptCount val="1"/>
                <c:pt idx="0">
                  <c:v>n 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ПКВ'!$Y$56:$Y$70</c:f>
              <c:numCache>
                <c:formatCode>General</c:formatCode>
                <c:ptCount val="15"/>
                <c:pt idx="0">
                  <c:v>4.65E-2</c:v>
                </c:pt>
                <c:pt idx="1">
                  <c:v>4.65E-2</c:v>
                </c:pt>
                <c:pt idx="2">
                  <c:v>4.65E-2</c:v>
                </c:pt>
                <c:pt idx="3">
                  <c:v>4.65E-2</c:v>
                </c:pt>
                <c:pt idx="4">
                  <c:v>4.65E-2</c:v>
                </c:pt>
                <c:pt idx="5">
                  <c:v>4.65E-2</c:v>
                </c:pt>
                <c:pt idx="6">
                  <c:v>4.6073000000000003E-2</c:v>
                </c:pt>
                <c:pt idx="7">
                  <c:v>4.4724E-2</c:v>
                </c:pt>
                <c:pt idx="8">
                  <c:v>4.2757000000000003E-2</c:v>
                </c:pt>
                <c:pt idx="9">
                  <c:v>4.0471E-2</c:v>
                </c:pt>
                <c:pt idx="10">
                  <c:v>4.0471E-2</c:v>
                </c:pt>
                <c:pt idx="11">
                  <c:v>4.0471E-2</c:v>
                </c:pt>
                <c:pt idx="12">
                  <c:v>4.0471E-2</c:v>
                </c:pt>
                <c:pt idx="13">
                  <c:v>4.0471E-2</c:v>
                </c:pt>
                <c:pt idx="14">
                  <c:v>4.0471E-2</c:v>
                </c:pt>
              </c:numCache>
            </c:numRef>
          </c:xVal>
          <c:yVal>
            <c:numRef>
              <c:f>'прием ПКВ'!$X$56:$X$70</c:f>
              <c:numCache>
                <c:formatCode>General</c:formatCode>
                <c:ptCount val="15"/>
                <c:pt idx="0">
                  <c:v>-0.02</c:v>
                </c:pt>
                <c:pt idx="1">
                  <c:v>-8.3330000000000001E-3</c:v>
                </c:pt>
                <c:pt idx="2">
                  <c:v>3.333E-3</c:v>
                </c:pt>
                <c:pt idx="3">
                  <c:v>1.4999999999999999E-2</c:v>
                </c:pt>
                <c:pt idx="4">
                  <c:v>2.6667E-2</c:v>
                </c:pt>
                <c:pt idx="5">
                  <c:v>3.3333000000000002E-2</c:v>
                </c:pt>
                <c:pt idx="6">
                  <c:v>3.8332999999999999E-2</c:v>
                </c:pt>
                <c:pt idx="7">
                  <c:v>0.05</c:v>
                </c:pt>
                <c:pt idx="8">
                  <c:v>6.1667E-2</c:v>
                </c:pt>
                <c:pt idx="9">
                  <c:v>7.1234000000000006E-2</c:v>
                </c:pt>
                <c:pt idx="10">
                  <c:v>7.3332999999999995E-2</c:v>
                </c:pt>
                <c:pt idx="11">
                  <c:v>8.5000000000000006E-2</c:v>
                </c:pt>
                <c:pt idx="12">
                  <c:v>9.6667000000000003E-2</c:v>
                </c:pt>
                <c:pt idx="13">
                  <c:v>0.108333</c:v>
                </c:pt>
                <c:pt idx="14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FD3-4DBD-B82D-BF0BA7E1E02A}"/>
            </c:ext>
          </c:extLst>
        </c:ser>
        <c:ser>
          <c:idx val="6"/>
          <c:order val="6"/>
          <c:tx>
            <c:strRef>
              <c:f>'прием ПКВ'!$E$61</c:f>
              <c:strCache>
                <c:ptCount val="1"/>
                <c:pt idx="0">
                  <c:v>n 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ПКВ'!$AB$56:$AB$70</c:f>
              <c:numCache>
                <c:formatCode>General</c:formatCode>
                <c:ptCount val="15"/>
                <c:pt idx="0">
                  <c:v>5.3832999999999999E-2</c:v>
                </c:pt>
                <c:pt idx="1">
                  <c:v>5.3832999999999999E-2</c:v>
                </c:pt>
                <c:pt idx="2">
                  <c:v>5.3832999999999999E-2</c:v>
                </c:pt>
                <c:pt idx="3">
                  <c:v>5.3832999999999999E-2</c:v>
                </c:pt>
                <c:pt idx="4">
                  <c:v>5.3832999999999999E-2</c:v>
                </c:pt>
                <c:pt idx="5">
                  <c:v>5.3832999999999999E-2</c:v>
                </c:pt>
                <c:pt idx="6">
                  <c:v>5.3832999999999999E-2</c:v>
                </c:pt>
                <c:pt idx="7">
                  <c:v>5.2831999999999997E-2</c:v>
                </c:pt>
                <c:pt idx="8">
                  <c:v>5.1386000000000001E-2</c:v>
                </c:pt>
                <c:pt idx="9">
                  <c:v>5.1178000000000001E-2</c:v>
                </c:pt>
                <c:pt idx="10">
                  <c:v>5.1178000000000001E-2</c:v>
                </c:pt>
                <c:pt idx="11">
                  <c:v>5.1178000000000001E-2</c:v>
                </c:pt>
                <c:pt idx="12">
                  <c:v>5.1178000000000001E-2</c:v>
                </c:pt>
                <c:pt idx="13">
                  <c:v>5.1178000000000001E-2</c:v>
                </c:pt>
                <c:pt idx="14">
                  <c:v>5.1178000000000001E-2</c:v>
                </c:pt>
              </c:numCache>
            </c:numRef>
          </c:xVal>
          <c:yVal>
            <c:numRef>
              <c:f>'прием ПКВ'!$AA$56:$AA$70</c:f>
              <c:numCache>
                <c:formatCode>General</c:formatCode>
                <c:ptCount val="15"/>
                <c:pt idx="0">
                  <c:v>-0.02</c:v>
                </c:pt>
                <c:pt idx="1">
                  <c:v>-8.3330000000000001E-3</c:v>
                </c:pt>
                <c:pt idx="2">
                  <c:v>3.333E-3</c:v>
                </c:pt>
                <c:pt idx="3">
                  <c:v>1.4999999999999999E-2</c:v>
                </c:pt>
                <c:pt idx="4">
                  <c:v>2.6667E-2</c:v>
                </c:pt>
                <c:pt idx="5">
                  <c:v>3.8332999999999999E-2</c:v>
                </c:pt>
                <c:pt idx="6">
                  <c:v>3.8889E-2</c:v>
                </c:pt>
                <c:pt idx="7">
                  <c:v>0.05</c:v>
                </c:pt>
                <c:pt idx="8">
                  <c:v>6.1667E-2</c:v>
                </c:pt>
                <c:pt idx="9">
                  <c:v>6.3122999999999999E-2</c:v>
                </c:pt>
                <c:pt idx="10">
                  <c:v>7.3332999999999995E-2</c:v>
                </c:pt>
                <c:pt idx="11">
                  <c:v>8.5000000000000006E-2</c:v>
                </c:pt>
                <c:pt idx="12">
                  <c:v>9.6667000000000003E-2</c:v>
                </c:pt>
                <c:pt idx="13">
                  <c:v>0.108333</c:v>
                </c:pt>
                <c:pt idx="14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FD3-4DBD-B82D-BF0BA7E1E02A}"/>
            </c:ext>
          </c:extLst>
        </c:ser>
        <c:ser>
          <c:idx val="7"/>
          <c:order val="7"/>
          <c:tx>
            <c:strRef>
              <c:f>'прием ПКВ'!$E$62</c:f>
              <c:strCache>
                <c:ptCount val="1"/>
                <c:pt idx="0">
                  <c:v>n 8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ПКВ'!$AE$56:$AE$70</c:f>
              <c:numCache>
                <c:formatCode>General</c:formatCode>
                <c:ptCount val="15"/>
                <c:pt idx="0">
                  <c:v>6.1166999999999999E-2</c:v>
                </c:pt>
                <c:pt idx="1">
                  <c:v>6.1166999999999999E-2</c:v>
                </c:pt>
                <c:pt idx="2">
                  <c:v>6.1166999999999999E-2</c:v>
                </c:pt>
                <c:pt idx="3">
                  <c:v>6.1166999999999999E-2</c:v>
                </c:pt>
                <c:pt idx="4">
                  <c:v>6.1166999999999999E-2</c:v>
                </c:pt>
                <c:pt idx="5">
                  <c:v>6.1166999999999999E-2</c:v>
                </c:pt>
                <c:pt idx="6">
                  <c:v>6.1166999999999999E-2</c:v>
                </c:pt>
                <c:pt idx="7">
                  <c:v>6.0725000000000001E-2</c:v>
                </c:pt>
                <c:pt idx="8">
                  <c:v>6.0137000000000003E-2</c:v>
                </c:pt>
                <c:pt idx="9">
                  <c:v>6.0137000000000003E-2</c:v>
                </c:pt>
                <c:pt idx="10">
                  <c:v>6.0137000000000003E-2</c:v>
                </c:pt>
                <c:pt idx="11">
                  <c:v>6.0137000000000003E-2</c:v>
                </c:pt>
                <c:pt idx="12">
                  <c:v>6.0137000000000003E-2</c:v>
                </c:pt>
                <c:pt idx="13">
                  <c:v>6.0137000000000003E-2</c:v>
                </c:pt>
                <c:pt idx="14">
                  <c:v>6.0137000000000003E-2</c:v>
                </c:pt>
              </c:numCache>
            </c:numRef>
          </c:xVal>
          <c:yVal>
            <c:numRef>
              <c:f>'прием ПКВ'!$AD$56:$AD$70</c:f>
              <c:numCache>
                <c:formatCode>General</c:formatCode>
                <c:ptCount val="15"/>
                <c:pt idx="0">
                  <c:v>-0.02</c:v>
                </c:pt>
                <c:pt idx="1">
                  <c:v>-8.3330000000000001E-3</c:v>
                </c:pt>
                <c:pt idx="2">
                  <c:v>3.333E-3</c:v>
                </c:pt>
                <c:pt idx="3">
                  <c:v>1.4999999999999999E-2</c:v>
                </c:pt>
                <c:pt idx="4">
                  <c:v>2.6667E-2</c:v>
                </c:pt>
                <c:pt idx="5">
                  <c:v>3.8332999999999999E-2</c:v>
                </c:pt>
                <c:pt idx="6">
                  <c:v>4.4443999999999997E-2</c:v>
                </c:pt>
                <c:pt idx="7">
                  <c:v>0.05</c:v>
                </c:pt>
                <c:pt idx="8">
                  <c:v>5.6335999999999997E-2</c:v>
                </c:pt>
                <c:pt idx="9">
                  <c:v>6.1667E-2</c:v>
                </c:pt>
                <c:pt idx="10">
                  <c:v>7.3332999999999995E-2</c:v>
                </c:pt>
                <c:pt idx="11">
                  <c:v>8.5000000000000006E-2</c:v>
                </c:pt>
                <c:pt idx="12">
                  <c:v>9.6667000000000003E-2</c:v>
                </c:pt>
                <c:pt idx="13">
                  <c:v>0.108333</c:v>
                </c:pt>
                <c:pt idx="14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FD3-4DBD-B82D-BF0BA7E1E02A}"/>
            </c:ext>
          </c:extLst>
        </c:ser>
        <c:ser>
          <c:idx val="8"/>
          <c:order val="8"/>
          <c:tx>
            <c:v>intake</c:v>
          </c:tx>
          <c:spPr>
            <a:ln w="635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ПКВ'!$H$100:$H$101</c:f>
              <c:numCache>
                <c:formatCode>General</c:formatCode>
                <c:ptCount val="2"/>
                <c:pt idx="0">
                  <c:v>2.5000000000000001E-3</c:v>
                </c:pt>
                <c:pt idx="1">
                  <c:v>2.5000000000000001E-3</c:v>
                </c:pt>
              </c:numCache>
            </c:numRef>
          </c:xVal>
          <c:yVal>
            <c:numRef>
              <c:f>'прием ПКВ'!$I$100:$I$101</c:f>
              <c:numCache>
                <c:formatCode>General</c:formatCode>
                <c:ptCount val="2"/>
                <c:pt idx="0">
                  <c:v>-6.9999999999999993E-2</c:v>
                </c:pt>
                <c:pt idx="1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FD3-4DBD-B82D-BF0BA7E1E02A}"/>
            </c:ext>
          </c:extLst>
        </c:ser>
        <c:ser>
          <c:idx val="9"/>
          <c:order val="9"/>
          <c:tx>
            <c:v>casing</c:v>
          </c:tx>
          <c:spPr>
            <a:ln w="635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ПКВ'!$K$100:$K$101</c:f>
              <c:numCache>
                <c:formatCode>General</c:formatCode>
                <c:ptCount val="2"/>
                <c:pt idx="0">
                  <c:v>6.8500000000000005E-2</c:v>
                </c:pt>
                <c:pt idx="1">
                  <c:v>6.8500000000000005E-2</c:v>
                </c:pt>
              </c:numCache>
            </c:numRef>
          </c:xVal>
          <c:yVal>
            <c:numRef>
              <c:f>'прием ПКВ'!$L$100:$L$101</c:f>
              <c:numCache>
                <c:formatCode>General</c:formatCode>
                <c:ptCount val="2"/>
                <c:pt idx="0">
                  <c:v>-6.9999999999999993E-2</c:v>
                </c:pt>
                <c:pt idx="1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FD3-4DBD-B82D-BF0BA7E1E02A}"/>
            </c:ext>
          </c:extLst>
        </c:ser>
        <c:ser>
          <c:idx val="10"/>
          <c:order val="10"/>
          <c:spPr>
            <a:ln w="635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ПКВ'!$E$100:$E$101</c:f>
              <c:numCache>
                <c:formatCode>General</c:formatCode>
                <c:ptCount val="2"/>
                <c:pt idx="0">
                  <c:v>2.5000000000000001E-3</c:v>
                </c:pt>
                <c:pt idx="1">
                  <c:v>2.5000000000000001E-3</c:v>
                </c:pt>
              </c:numCache>
            </c:numRef>
          </c:xVal>
          <c:yVal>
            <c:numRef>
              <c:f>'прием ПКВ'!$F$100:$F$101</c:f>
              <c:numCache>
                <c:formatCode>General</c:formatCode>
                <c:ptCount val="2"/>
                <c:pt idx="0">
                  <c:v>0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D3-4DBD-B82D-BF0BA7E1E02A}"/>
            </c:ext>
          </c:extLst>
        </c:ser>
        <c:ser>
          <c:idx val="11"/>
          <c:order val="11"/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'прием ПКВ'!$N$100:$N$101</c:f>
              <c:numCache>
                <c:formatCode>General</c:formatCode>
                <c:ptCount val="2"/>
                <c:pt idx="0">
                  <c:v>2.5000000000000001E-3</c:v>
                </c:pt>
                <c:pt idx="1">
                  <c:v>6.8500000000000005E-2</c:v>
                </c:pt>
              </c:numCache>
            </c:numRef>
          </c:xVal>
          <c:yVal>
            <c:numRef>
              <c:f>'прием ПКВ'!$O$100:$O$101</c:f>
              <c:numCache>
                <c:formatCode>General</c:formatCode>
                <c:ptCount val="2"/>
                <c:pt idx="0">
                  <c:v>0</c:v>
                </c:pt>
                <c:pt idx="1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FD3-4DBD-B82D-BF0BA7E1E02A}"/>
            </c:ext>
          </c:extLst>
        </c:ser>
        <c:ser>
          <c:idx val="12"/>
          <c:order val="12"/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'прием ПКВ'!$Q$100:$Q$101</c:f>
              <c:numCache>
                <c:formatCode>General</c:formatCode>
                <c:ptCount val="2"/>
                <c:pt idx="0">
                  <c:v>2.5000000000000001E-3</c:v>
                </c:pt>
                <c:pt idx="1">
                  <c:v>6.8500000000000005E-2</c:v>
                </c:pt>
              </c:numCache>
            </c:numRef>
          </c:xVal>
          <c:yVal>
            <c:numRef>
              <c:f>'прием ПКВ'!$R$100:$R$101</c:f>
              <c:numCache>
                <c:formatCode>General</c:formatCode>
                <c:ptCount val="2"/>
                <c:pt idx="0">
                  <c:v>0.1</c:v>
                </c:pt>
                <c:pt idx="1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FD3-4DBD-B82D-BF0BA7E1E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003728"/>
        <c:axId val="2107011632"/>
      </c:scatterChart>
      <c:valAx>
        <c:axId val="2107003728"/>
        <c:scaling>
          <c:orientation val="maxMin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7011632"/>
        <c:crosses val="max"/>
        <c:crossBetween val="midCat"/>
      </c:valAx>
      <c:valAx>
        <c:axId val="210701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1.9883041601528473E-2"/>
              <c:y val="0.4736584668180990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7003728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методов Маркеса - упрощенная и механистическая</a:t>
            </a:r>
            <a:r>
              <a:rPr lang="ru-RU" baseline="0"/>
              <a:t> модели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'прием ПКВ'!$O$28</c:f>
              <c:strCache>
                <c:ptCount val="1"/>
                <c:pt idx="0">
                  <c:v>ksep simpl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'прием ПКВ'!$F$29:$F$40</c:f>
              <c:numCache>
                <c:formatCode>General</c:formatCode>
                <c:ptCount val="12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</c:numCache>
            </c:numRef>
          </c:xVal>
          <c:yVal>
            <c:numRef>
              <c:f>'прием ПКВ'!$D$29:$D$40</c:f>
              <c:numCache>
                <c:formatCode>General</c:formatCode>
                <c:ptCount val="12"/>
                <c:pt idx="0">
                  <c:v>0.99346431560866544</c:v>
                </c:pt>
                <c:pt idx="1">
                  <c:v>0.98338118189719259</c:v>
                </c:pt>
                <c:pt idx="2">
                  <c:v>0.96692368624308711</c:v>
                </c:pt>
                <c:pt idx="3">
                  <c:v>0.95080403551195436</c:v>
                </c:pt>
                <c:pt idx="4">
                  <c:v>0.9349538860366603</c:v>
                </c:pt>
                <c:pt idx="5">
                  <c:v>0.91935062461506079</c:v>
                </c:pt>
                <c:pt idx="6">
                  <c:v>0.90399106327940437</c:v>
                </c:pt>
                <c:pt idx="7">
                  <c:v>0.88887166650375216</c:v>
                </c:pt>
                <c:pt idx="8">
                  <c:v>0.8739327721228648</c:v>
                </c:pt>
                <c:pt idx="9">
                  <c:v>0.859267787184264</c:v>
                </c:pt>
                <c:pt idx="10">
                  <c:v>0.84481799143313729</c:v>
                </c:pt>
                <c:pt idx="11">
                  <c:v>0.83056960671842306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E1-400A-AB84-E9BF3E52A34F}"/>
            </c:ext>
          </c:extLst>
        </c:ser>
        <c:ser>
          <c:idx val="1"/>
          <c:order val="1"/>
          <c:tx>
            <c:strRef>
              <c:f>'прием ПКВ'!$P$28</c:f>
              <c:strCache>
                <c:ptCount val="1"/>
                <c:pt idx="0">
                  <c:v>ksep mech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'прием ПКВ'!$F$29:$F$40</c:f>
              <c:numCache>
                <c:formatCode>General</c:formatCode>
                <c:ptCount val="12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</c:numCache>
            </c:numRef>
          </c:xVal>
          <c:yVal>
            <c:numRef>
              <c:f>'прием ПКВ'!$P$29:$P$40</c:f>
              <c:numCache>
                <c:formatCode>0.00</c:formatCode>
                <c:ptCount val="12"/>
                <c:pt idx="0">
                  <c:v>0.99346431560866544</c:v>
                </c:pt>
                <c:pt idx="1">
                  <c:v>0.9833811818971927</c:v>
                </c:pt>
                <c:pt idx="2">
                  <c:v>0.96692368624308711</c:v>
                </c:pt>
                <c:pt idx="3">
                  <c:v>0.95080403551195425</c:v>
                </c:pt>
                <c:pt idx="4">
                  <c:v>0.9349538860366603</c:v>
                </c:pt>
                <c:pt idx="5">
                  <c:v>0.9193506246150609</c:v>
                </c:pt>
                <c:pt idx="6">
                  <c:v>0.90399106327940437</c:v>
                </c:pt>
                <c:pt idx="7">
                  <c:v>0.88887166650375216</c:v>
                </c:pt>
                <c:pt idx="8">
                  <c:v>0.8739327721228648</c:v>
                </c:pt>
                <c:pt idx="9">
                  <c:v>0.859267787184264</c:v>
                </c:pt>
                <c:pt idx="10">
                  <c:v>0.84481799143313729</c:v>
                </c:pt>
                <c:pt idx="11">
                  <c:v>0.83056960671842306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E1-400A-AB84-E9BF3E52A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426863"/>
        <c:axId val="1588425615"/>
      </c:scatterChart>
      <c:valAx>
        <c:axId val="15884268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8425615"/>
        <c:crosses val="autoZero"/>
        <c:crossBetween val="midCat"/>
      </c:valAx>
      <c:valAx>
        <c:axId val="158842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ксеп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84268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'оценка диаметра'!$K$15</c:f>
              <c:strCache>
                <c:ptCount val="1"/>
                <c:pt idx="0">
                  <c:v>li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'оценка диаметра'!$J$16:$J$33</c:f>
              <c:numCache>
                <c:formatCode>General</c:formatCode>
                <c:ptCount val="1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2</c:v>
                </c:pt>
              </c:numCache>
            </c:numRef>
          </c:xVal>
          <c:yVal>
            <c:numRef>
              <c:f>'оценка диаметра'!$K$16:$K$33</c:f>
              <c:numCache>
                <c:formatCode>General</c:formatCode>
                <c:ptCount val="18"/>
                <c:pt idx="0">
                  <c:v>2.8381257574715147E-2</c:v>
                </c:pt>
                <c:pt idx="1">
                  <c:v>2.7760235688950644E-2</c:v>
                </c:pt>
                <c:pt idx="2">
                  <c:v>2.7456688035811378E-2</c:v>
                </c:pt>
                <c:pt idx="3">
                  <c:v>2.7370947170510886E-2</c:v>
                </c:pt>
                <c:pt idx="4">
                  <c:v>2.7438197003752759E-2</c:v>
                </c:pt>
                <c:pt idx="5">
                  <c:v>2.7614133162052763E-2</c:v>
                </c:pt>
                <c:pt idx="6">
                  <c:v>2.7867268192262568E-2</c:v>
                </c:pt>
                <c:pt idx="7">
                  <c:v>2.817454750192111E-2</c:v>
                </c:pt>
                <c:pt idx="8">
                  <c:v>2.851872039668045E-2</c:v>
                </c:pt>
                <c:pt idx="9">
                  <c:v>2.888668951129102E-2</c:v>
                </c:pt>
                <c:pt idx="10">
                  <c:v>2.9268429060943225E-2</c:v>
                </c:pt>
                <c:pt idx="11">
                  <c:v>2.9656246193590762E-2</c:v>
                </c:pt>
                <c:pt idx="12">
                  <c:v>3.0044256534575691E-2</c:v>
                </c:pt>
                <c:pt idx="13">
                  <c:v>3.0427998127295599E-2</c:v>
                </c:pt>
                <c:pt idx="14">
                  <c:v>3.0804138081237102E-2</c:v>
                </c:pt>
                <c:pt idx="15">
                  <c:v>3.1170243741235403E-2</c:v>
                </c:pt>
                <c:pt idx="16">
                  <c:v>3.1524600559773928E-2</c:v>
                </c:pt>
                <c:pt idx="17">
                  <c:v>3.2507902488438427E-2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53-4120-8159-E7F009D55389}"/>
            </c:ext>
          </c:extLst>
        </c:ser>
        <c:ser>
          <c:idx val="1"/>
          <c:order val="1"/>
          <c:tx>
            <c:strRef>
              <c:f>'оценка диаметра'!$M$15</c:f>
              <c:strCache>
                <c:ptCount val="1"/>
                <c:pt idx="0">
                  <c:v>li slug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'оценка диаметра'!$J$16:$J$33</c:f>
              <c:numCache>
                <c:formatCode>General</c:formatCode>
                <c:ptCount val="1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2</c:v>
                </c:pt>
              </c:numCache>
            </c:numRef>
          </c:xVal>
          <c:yVal>
            <c:numRef>
              <c:f>'оценка диаметра'!$M$16:$M$33</c:f>
              <c:numCache>
                <c:formatCode>General</c:formatCode>
                <c:ptCount val="18"/>
                <c:pt idx="0">
                  <c:v>7.4759648020391789E-3</c:v>
                </c:pt>
                <c:pt idx="1">
                  <c:v>1.3420651286642495E-2</c:v>
                </c:pt>
                <c:pt idx="2">
                  <c:v>1.9585021192681386E-2</c:v>
                </c:pt>
                <c:pt idx="3">
                  <c:v>2.6256974561421891E-2</c:v>
                </c:pt>
                <c:pt idx="4">
                  <c:v>3.360350974548755E-2</c:v>
                </c:pt>
                <c:pt idx="5">
                  <c:v>4.1759941765575459E-2</c:v>
                </c:pt>
                <c:pt idx="6">
                  <c:v>5.0854140681000151E-2</c:v>
                </c:pt>
                <c:pt idx="7">
                  <c:v>6.1016215770226437E-2</c:v>
                </c:pt>
                <c:pt idx="8">
                  <c:v>7.2383542265174766E-2</c:v>
                </c:pt>
                <c:pt idx="9">
                  <c:v>8.5103999999999985E-2</c:v>
                </c:pt>
                <c:pt idx="10">
                  <c:v>9.9338466970550113E-2</c:v>
                </c:pt>
                <c:pt idx="11">
                  <c:v>0.11526301210494685</c:v>
                </c:pt>
                <c:pt idx="12">
                  <c:v>0.13307100238336594</c:v>
                </c:pt>
                <c:pt idx="13">
                  <c:v>0.15297524152265399</c:v>
                </c:pt>
                <c:pt idx="14">
                  <c:v>0.17521021219884644</c:v>
                </c:pt>
                <c:pt idx="15">
                  <c:v>0.20003447181745732</c:v>
                </c:pt>
                <c:pt idx="16">
                  <c:v>0.22773324101917902</c:v>
                </c:pt>
                <c:pt idx="17">
                  <c:v>0.3313897276057749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453-4120-8159-E7F009D55389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'оценка диаметра'!$J$16:$J$33</c:f>
              <c:numCache>
                <c:formatCode>General</c:formatCode>
                <c:ptCount val="1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2</c:v>
                </c:pt>
              </c:numCache>
            </c:numRef>
          </c:xVal>
          <c:yVal>
            <c:numRef>
              <c:f>'оценка диаметра'!$N$16:$N$33</c:f>
              <c:numCache>
                <c:formatCode>General</c:formatCode>
                <c:ptCount val="18"/>
                <c:pt idx="0">
                  <c:v>6.6116463958020164E-2</c:v>
                </c:pt>
                <c:pt idx="1">
                  <c:v>6.6116463958020164E-2</c:v>
                </c:pt>
                <c:pt idx="2">
                  <c:v>6.6116463958020164E-2</c:v>
                </c:pt>
                <c:pt idx="3">
                  <c:v>6.6116463958020164E-2</c:v>
                </c:pt>
                <c:pt idx="4">
                  <c:v>6.6116463958020164E-2</c:v>
                </c:pt>
                <c:pt idx="5">
                  <c:v>6.6116463958020164E-2</c:v>
                </c:pt>
                <c:pt idx="6">
                  <c:v>6.6116463958020164E-2</c:v>
                </c:pt>
                <c:pt idx="7">
                  <c:v>6.6116463958020164E-2</c:v>
                </c:pt>
                <c:pt idx="8">
                  <c:v>6.6116463958020164E-2</c:v>
                </c:pt>
                <c:pt idx="9">
                  <c:v>6.6116463958020164E-2</c:v>
                </c:pt>
                <c:pt idx="10">
                  <c:v>6.6116463958020164E-2</c:v>
                </c:pt>
                <c:pt idx="11">
                  <c:v>6.6116463958020164E-2</c:v>
                </c:pt>
                <c:pt idx="12">
                  <c:v>6.6116463958020164E-2</c:v>
                </c:pt>
                <c:pt idx="13">
                  <c:v>6.6116463958020164E-2</c:v>
                </c:pt>
                <c:pt idx="14">
                  <c:v>6.6116463958020164E-2</c:v>
                </c:pt>
                <c:pt idx="15">
                  <c:v>6.6116463958020164E-2</c:v>
                </c:pt>
                <c:pt idx="16">
                  <c:v>6.6116463958020164E-2</c:v>
                </c:pt>
                <c:pt idx="17">
                  <c:v>6.6116463958020164E-2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453-4120-8159-E7F009D553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2738959"/>
        <c:axId val="1678725903"/>
      </c:scatterChart>
      <c:valAx>
        <c:axId val="167273895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v_sqz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8725903"/>
        <c:crosses val="autoZero"/>
        <c:crossBetween val="midCat"/>
      </c:valAx>
      <c:valAx>
        <c:axId val="1678725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l_i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27389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345375</xdr:colOff>
      <xdr:row>0</xdr:row>
      <xdr:rowOff>109610</xdr:rowOff>
    </xdr:from>
    <xdr:to>
      <xdr:col>35</xdr:col>
      <xdr:colOff>545695</xdr:colOff>
      <xdr:row>27</xdr:row>
      <xdr:rowOff>7062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8A024B47-F08B-450E-B65F-90C6A441B7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100853</xdr:colOff>
      <xdr:row>0</xdr:row>
      <xdr:rowOff>124751</xdr:rowOff>
    </xdr:from>
    <xdr:to>
      <xdr:col>26</xdr:col>
      <xdr:colOff>291353</xdr:colOff>
      <xdr:row>27</xdr:row>
      <xdr:rowOff>33618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1472D13F-89EA-4ACB-9DDE-CD112888FA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383140</xdr:colOff>
      <xdr:row>0</xdr:row>
      <xdr:rowOff>109945</xdr:rowOff>
    </xdr:from>
    <xdr:to>
      <xdr:col>35</xdr:col>
      <xdr:colOff>602062</xdr:colOff>
      <xdr:row>27</xdr:row>
      <xdr:rowOff>11207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3E10956B-97CE-4524-889B-DE096A0304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100853</xdr:colOff>
      <xdr:row>0</xdr:row>
      <xdr:rowOff>124751</xdr:rowOff>
    </xdr:from>
    <xdr:to>
      <xdr:col>26</xdr:col>
      <xdr:colOff>291353</xdr:colOff>
      <xdr:row>27</xdr:row>
      <xdr:rowOff>33618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9E7EEA76-881E-4AC1-99A8-98F0670F62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297756</xdr:colOff>
      <xdr:row>27</xdr:row>
      <xdr:rowOff>126785</xdr:rowOff>
    </xdr:from>
    <xdr:to>
      <xdr:col>37</xdr:col>
      <xdr:colOff>28815</xdr:colOff>
      <xdr:row>44</xdr:row>
      <xdr:rowOff>54429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7205B82-35EC-4C94-A661-E5C6A92198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383140</xdr:colOff>
      <xdr:row>0</xdr:row>
      <xdr:rowOff>109945</xdr:rowOff>
    </xdr:from>
    <xdr:to>
      <xdr:col>35</xdr:col>
      <xdr:colOff>602062</xdr:colOff>
      <xdr:row>27</xdr:row>
      <xdr:rowOff>11207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EC554889-AFF9-4986-AFB2-ECCFB50C29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100853</xdr:colOff>
      <xdr:row>0</xdr:row>
      <xdr:rowOff>124751</xdr:rowOff>
    </xdr:from>
    <xdr:to>
      <xdr:col>26</xdr:col>
      <xdr:colOff>291353</xdr:colOff>
      <xdr:row>27</xdr:row>
      <xdr:rowOff>33618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F049969B-2903-4E97-B94C-9246B45142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369794</xdr:colOff>
      <xdr:row>27</xdr:row>
      <xdr:rowOff>112059</xdr:rowOff>
    </xdr:from>
    <xdr:to>
      <xdr:col>35</xdr:col>
      <xdr:colOff>588716</xdr:colOff>
      <xdr:row>50</xdr:row>
      <xdr:rowOff>44824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C4397102-84B8-479C-AD20-651B98BC81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333375</xdr:colOff>
      <xdr:row>6</xdr:row>
      <xdr:rowOff>123825</xdr:rowOff>
    </xdr:from>
    <xdr:to>
      <xdr:col>13</xdr:col>
      <xdr:colOff>485775</xdr:colOff>
      <xdr:row>12</xdr:row>
      <xdr:rowOff>47625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8AEBA334-C7BE-4455-BF2C-963BEB64FD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2575" y="1266825"/>
          <a:ext cx="6858000" cy="10668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76200</xdr:rowOff>
    </xdr:from>
    <xdr:to>
      <xdr:col>8</xdr:col>
      <xdr:colOff>209550</xdr:colOff>
      <xdr:row>4</xdr:row>
      <xdr:rowOff>104775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572AAFAD-DF57-417F-A4A3-7B72F8979A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28800" y="457200"/>
          <a:ext cx="3257550" cy="409575"/>
        </a:xfrm>
        <a:prstGeom prst="rect">
          <a:avLst/>
        </a:prstGeom>
      </xdr:spPr>
    </xdr:pic>
    <xdr:clientData/>
  </xdr:twoCellAnchor>
  <xdr:twoCellAnchor>
    <xdr:from>
      <xdr:col>2</xdr:col>
      <xdr:colOff>180975</xdr:colOff>
      <xdr:row>32</xdr:row>
      <xdr:rowOff>109536</xdr:rowOff>
    </xdr:from>
    <xdr:to>
      <xdr:col>11</xdr:col>
      <xdr:colOff>581025</xdr:colOff>
      <xdr:row>52</xdr:row>
      <xdr:rowOff>133349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8A0B665D-4D6E-4693-B2CE-5B83A23C06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30</xdr:col>
      <xdr:colOff>561975</xdr:colOff>
      <xdr:row>2</xdr:row>
      <xdr:rowOff>0</xdr:rowOff>
    </xdr:from>
    <xdr:to>
      <xdr:col>39</xdr:col>
      <xdr:colOff>581025</xdr:colOff>
      <xdr:row>25</xdr:row>
      <xdr:rowOff>138157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FDD7431D-9D52-4BFB-8524-FF8944748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849975" y="381000"/>
          <a:ext cx="5505450" cy="4519657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8</xdr:row>
      <xdr:rowOff>0</xdr:rowOff>
    </xdr:from>
    <xdr:to>
      <xdr:col>26</xdr:col>
      <xdr:colOff>0</xdr:colOff>
      <xdr:row>11</xdr:row>
      <xdr:rowOff>66675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97B603CF-3E3E-4D8F-BBE6-40BBFC037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753600" y="1524000"/>
          <a:ext cx="6096000" cy="63817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12</xdr:row>
      <xdr:rowOff>171450</xdr:rowOff>
    </xdr:from>
    <xdr:to>
      <xdr:col>31</xdr:col>
      <xdr:colOff>209550</xdr:colOff>
      <xdr:row>20</xdr:row>
      <xdr:rowOff>19050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CE2DC913-F58B-445B-9D62-ADF985B46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363200" y="2457450"/>
          <a:ext cx="8743950" cy="13716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decode_json_crv"/>
      <definedName name="encode_feed"/>
      <definedName name="encode_PVT"/>
      <definedName name="feed_mu_liq_cP"/>
      <definedName name="feed_q_gas_rc_m3day"/>
      <definedName name="feed_q_liq_rc_m3day"/>
      <definedName name="feed_rho_liq_kgm3"/>
      <definedName name="feed_rho_mix_kgm3"/>
      <definedName name="feed_ST_liqgas_Nm"/>
      <definedName name="PVT_mu_gas_cP"/>
      <definedName name="PVT_rho_gas_kgm3"/>
      <definedName name="unf_ksep_mechanistic_Marquez_"/>
      <definedName name="unf_ksep_mechanistic_Marquez_build_bubble_tracks"/>
      <definedName name="unf_ksep_mechanistic_Marquez_pkv"/>
      <definedName name="unf_ksep_mechanistic_Marquez_reverse"/>
      <definedName name="unf_ksep_mechanistic_Marquez_reverse_build_bubble_tracks"/>
      <definedName name="unf_ksep_mechanistic_pkv_build_bubble_tracks"/>
      <definedName name="unf_ksep_natural_simplified_Marquez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B6ABE-71BC-4626-9EB3-949C944F5DD4}">
  <sheetPr codeName="Лист1"/>
  <dimension ref="D3:AE75"/>
  <sheetViews>
    <sheetView zoomScale="85" zoomScaleNormal="85" workbookViewId="0">
      <selection activeCell="E53" sqref="E53"/>
    </sheetView>
  </sheetViews>
  <sheetFormatPr defaultRowHeight="15" x14ac:dyDescent="0.25"/>
  <cols>
    <col min="4" max="4" width="18.42578125" customWidth="1"/>
    <col min="5" max="5" width="13" customWidth="1"/>
    <col min="8" max="8" width="17.85546875" customWidth="1"/>
    <col min="9" max="9" width="11.140625" bestFit="1" customWidth="1"/>
    <col min="13" max="13" width="20.42578125" customWidth="1"/>
    <col min="14" max="14" width="11" bestFit="1" customWidth="1"/>
    <col min="15" max="15" width="10.85546875" customWidth="1"/>
    <col min="16" max="16" width="11" bestFit="1" customWidth="1"/>
    <col min="24" max="24" width="11" bestFit="1" customWidth="1"/>
  </cols>
  <sheetData>
    <row r="3" spans="4:16" x14ac:dyDescent="0.25">
      <c r="D3" t="s">
        <v>15</v>
      </c>
      <c r="H3" t="s">
        <v>17</v>
      </c>
      <c r="M3" t="s">
        <v>16</v>
      </c>
    </row>
    <row r="6" spans="4:16" x14ac:dyDescent="0.25">
      <c r="D6" s="1" t="s">
        <v>0</v>
      </c>
      <c r="E6" s="1">
        <v>0.81</v>
      </c>
      <c r="H6" s="3" t="s">
        <v>24</v>
      </c>
      <c r="I6">
        <v>125</v>
      </c>
      <c r="J6" t="s">
        <v>18</v>
      </c>
      <c r="K6">
        <f>dcas/1000</f>
        <v>0.125</v>
      </c>
      <c r="M6" t="s">
        <v>19</v>
      </c>
      <c r="N6" s="9" cm="1">
        <f t="array" ref="N6">[1]!feed_rho_liq_kgm3(p,t,feed_json)</f>
        <v>712.7468421788584</v>
      </c>
      <c r="O6" t="s">
        <v>28</v>
      </c>
    </row>
    <row r="7" spans="4:16" x14ac:dyDescent="0.25">
      <c r="D7" s="1" t="s">
        <v>1</v>
      </c>
      <c r="E7" s="1">
        <v>0.82</v>
      </c>
      <c r="H7" s="3" t="s">
        <v>25</v>
      </c>
      <c r="I7">
        <v>73</v>
      </c>
      <c r="J7" t="s">
        <v>18</v>
      </c>
      <c r="K7">
        <f>dintake/1000</f>
        <v>7.2999999999999995E-2</v>
      </c>
      <c r="M7" t="s">
        <v>20</v>
      </c>
      <c r="N7" s="9" cm="1">
        <f t="array" ref="N7">[1]!PVT_rho_gas_kgm3(p,t,PVT_json)</f>
        <v>116.32084897430778</v>
      </c>
      <c r="O7" t="s">
        <v>28</v>
      </c>
    </row>
    <row r="8" spans="4:16" x14ac:dyDescent="0.25">
      <c r="D8" s="1" t="s">
        <v>2</v>
      </c>
      <c r="E8" s="1">
        <v>1.1000000000000001</v>
      </c>
      <c r="H8" t="s">
        <v>45</v>
      </c>
      <c r="I8">
        <v>200</v>
      </c>
      <c r="J8" t="s">
        <v>35</v>
      </c>
      <c r="K8">
        <f>I8/1000</f>
        <v>0.2</v>
      </c>
      <c r="M8" t="s">
        <v>21</v>
      </c>
      <c r="N8" s="6" cm="1">
        <f t="array" ref="N8">[1]!feed_ST_liqgas_Nm(p,t,feed_json)*calibr_st</f>
        <v>2.3693872187412611E-2</v>
      </c>
      <c r="O8" t="s">
        <v>29</v>
      </c>
      <c r="P8">
        <f>Пов._Натяжение/1000</f>
        <v>2.369387218741261E-5</v>
      </c>
    </row>
    <row r="9" spans="4:16" x14ac:dyDescent="0.25">
      <c r="D9" s="1" t="s">
        <v>3</v>
      </c>
      <c r="E9" s="1">
        <v>120</v>
      </c>
      <c r="H9" s="4" t="s">
        <v>26</v>
      </c>
      <c r="I9" s="4">
        <v>100</v>
      </c>
      <c r="M9" t="s">
        <v>22</v>
      </c>
      <c r="N9" s="7" cm="1">
        <f t="array" ref="N9">[1]!feed_q_liq_rc_m3day(p,t,feed_json)</f>
        <v>76.822045931694333</v>
      </c>
    </row>
    <row r="10" spans="4:16" x14ac:dyDescent="0.25">
      <c r="D10" s="1" t="s">
        <v>4</v>
      </c>
      <c r="E10" s="1"/>
      <c r="H10" s="4" t="s">
        <v>27</v>
      </c>
      <c r="I10" s="4">
        <v>60</v>
      </c>
      <c r="M10" t="s">
        <v>23</v>
      </c>
      <c r="N10" s="7" cm="1">
        <f t="array" ref="N10">[1]!feed_q_gas_rc_m3day(p,t,feed_json)</f>
        <v>13.499589852653768</v>
      </c>
    </row>
    <row r="11" spans="4:16" x14ac:dyDescent="0.25">
      <c r="D11" s="1" t="s">
        <v>5</v>
      </c>
      <c r="E11" s="1"/>
      <c r="H11" s="4" t="s">
        <v>48</v>
      </c>
      <c r="I11" s="4">
        <v>3</v>
      </c>
      <c r="M11" t="s">
        <v>30</v>
      </c>
      <c r="N11" s="6" cm="1">
        <f t="array" ref="N11">[1]!feed_mu_liq_cP(p,t,feed_json)</f>
        <v>1.7967811455081182</v>
      </c>
    </row>
    <row r="12" spans="4:16" x14ac:dyDescent="0.25">
      <c r="D12" s="1" t="s">
        <v>6</v>
      </c>
      <c r="E12" s="1"/>
      <c r="H12" s="10" t="s">
        <v>49</v>
      </c>
      <c r="I12" s="4">
        <v>1</v>
      </c>
      <c r="M12" t="s">
        <v>31</v>
      </c>
      <c r="N12" s="6" cm="1">
        <f t="array" ref="N12">[1]!PVT_mu_gas_cP(p,t,PVT_json)</f>
        <v>1.6103282892022303E-2</v>
      </c>
    </row>
    <row r="13" spans="4:16" x14ac:dyDescent="0.25">
      <c r="D13" s="1" t="s">
        <v>7</v>
      </c>
      <c r="E13" s="1">
        <v>1</v>
      </c>
    </row>
    <row r="14" spans="4:16" x14ac:dyDescent="0.25">
      <c r="D14" s="1" t="s">
        <v>8</v>
      </c>
      <c r="E14" s="1">
        <v>1</v>
      </c>
    </row>
    <row r="15" spans="4:16" x14ac:dyDescent="0.25">
      <c r="D15" s="1" t="s">
        <v>9</v>
      </c>
      <c r="E15" s="2" t="str">
        <f>[1]!encode_PVT(E6,E7,E8,E9,E10,E11,E12,E13,E14)</f>
        <v>{"gamma_gas":0.81,"gamma_oil":0.82,"gamma_wat":1.1,"rsb_m3m3":120,"muob_cP":1,"PVT_corr_set":1}</v>
      </c>
    </row>
    <row r="16" spans="4:16" x14ac:dyDescent="0.25">
      <c r="D16" s="1" t="s">
        <v>10</v>
      </c>
      <c r="E16" s="1">
        <v>60</v>
      </c>
    </row>
    <row r="17" spans="4:23" x14ac:dyDescent="0.25">
      <c r="D17" s="1" t="s">
        <v>11</v>
      </c>
      <c r="E17" s="1">
        <v>0</v>
      </c>
    </row>
    <row r="18" spans="4:23" x14ac:dyDescent="0.25">
      <c r="D18" s="1" t="s">
        <v>12</v>
      </c>
      <c r="E18" s="1">
        <v>120</v>
      </c>
    </row>
    <row r="19" spans="4:23" x14ac:dyDescent="0.25">
      <c r="D19" s="1" t="s">
        <v>13</v>
      </c>
      <c r="E19" s="1">
        <v>0</v>
      </c>
    </row>
    <row r="20" spans="4:23" x14ac:dyDescent="0.25">
      <c r="D20" s="1" t="s">
        <v>14</v>
      </c>
      <c r="E20" s="2" t="str">
        <f>[1]!encode_feed(E16,E17,E18,E19,E15)</f>
        <v>{"gamma_gas":0.81,"gamma_oil":0.82,"gamma_wat":1.1,"rsb_m3m3":120,"muob_cP":1,"PVT_corr_set":1,"q_liq_sm3day":60,"fw_perc":0,"rp_m3m3":120}</v>
      </c>
    </row>
    <row r="23" spans="4:23" x14ac:dyDescent="0.25">
      <c r="I23" s="5"/>
    </row>
    <row r="26" spans="4:23" x14ac:dyDescent="0.25">
      <c r="E26" t="s">
        <v>46</v>
      </c>
    </row>
    <row r="28" spans="4:23" x14ac:dyDescent="0.25">
      <c r="F28" t="s">
        <v>32</v>
      </c>
      <c r="G28" t="s">
        <v>14</v>
      </c>
      <c r="H28" t="s">
        <v>19</v>
      </c>
      <c r="I28" t="s">
        <v>20</v>
      </c>
      <c r="J28" t="s">
        <v>21</v>
      </c>
      <c r="K28" t="s">
        <v>22</v>
      </c>
      <c r="L28" t="s">
        <v>23</v>
      </c>
      <c r="M28" t="s">
        <v>30</v>
      </c>
      <c r="N28" t="s">
        <v>31</v>
      </c>
      <c r="O28" t="s">
        <v>33</v>
      </c>
      <c r="P28" t="s">
        <v>34</v>
      </c>
    </row>
    <row r="29" spans="4:23" x14ac:dyDescent="0.25">
      <c r="F29">
        <v>2</v>
      </c>
      <c r="G29" t="str">
        <f>[1]!encode_feed(F29,$E$17,$E$18,$E$19,$E$15)</f>
        <v>{"gamma_gas":0.81,"gamma_oil":0.82,"gamma_wat":1.1,"rsb_m3m3":120,"muob_cP":1,"PVT_corr_set":1,"q_liq_sm3day":2,"fw_perc":0,"rp_m3m3":120}</v>
      </c>
      <c r="H29" s="9" cm="1">
        <f t="array" ref="H29">[1]!feed_rho_liq_kgm3(p,t,G29)</f>
        <v>712.7468421788584</v>
      </c>
      <c r="I29" s="9" cm="1">
        <f t="array" ref="I29">[1]!PVT_rho_gas_kgm3(p,t,PVT_json)</f>
        <v>116.32084897430778</v>
      </c>
      <c r="J29" s="6" cm="1">
        <f t="array" ref="J29">[1]!feed_ST_liqgas_Nm(p,t,G29)</f>
        <v>2.3693872187412611E-2</v>
      </c>
      <c r="K29" s="8" cm="1">
        <f t="array" ref="K29">[1]!feed_q_liq_rc_m3day(p,t,G29)</f>
        <v>2.5607348643898113</v>
      </c>
      <c r="L29" s="8" cm="1">
        <f t="array" ref="L29">[1]!feed_q_gas_rc_m3day(p,t,G29)</f>
        <v>0.44998632842179231</v>
      </c>
      <c r="M29" s="7" cm="1">
        <f t="array" ref="M29">[1]!feed_mu_liq_cP(p,t,G29)</f>
        <v>1.7967811455081182</v>
      </c>
      <c r="N29" s="7" cm="1">
        <f t="array" ref="N29">[1]!PVT_mu_gas_cP(p,t,G29)</f>
        <v>1.6103282892022303E-2</v>
      </c>
      <c r="O29" s="7" cm="1">
        <f t="array" ref="O29">[1]!unf_ksep_natural_simplified_Marquez(dintake_m,dcas_m,K29,L29,J29,H29,I29,1)</f>
        <v>0.97531811431639082</v>
      </c>
      <c r="P29" s="7" cm="1">
        <f t="array" ref="P29">[1]!unf_ksep_mechanistic_Marquez_(dintake_m,dcas_m,K29,L29,J29,H29,I29,M29,N29,1,hint,calibr_li,calibr_st)</f>
        <v>0.98601737195597727</v>
      </c>
      <c r="R29">
        <f t="array" ref="R29:W29">[1]!unf_ksep_mechanistic_Marquez_(dintake_m,dcas_m,K29,L29,J29,H29,I29,M29,N29,0,hint,calibr_li,calibr_st)</f>
        <v>0.98601737195597727</v>
      </c>
      <c r="S29">
        <v>0</v>
      </c>
      <c r="T29">
        <v>0.19664784102492083</v>
      </c>
      <c r="U29">
        <v>3.6651324792824863E-3</v>
      </c>
      <c r="V29">
        <v>6.4405711441148481E-4</v>
      </c>
      <c r="W29">
        <v>2.0912338163198364E-3</v>
      </c>
    </row>
    <row r="30" spans="4:23" x14ac:dyDescent="0.25">
      <c r="F30">
        <v>10</v>
      </c>
      <c r="G30" t="str">
        <f>[1]!encode_feed(F30,$E$17,$E$18,$E$19,$E$15)</f>
        <v>{"gamma_gas":0.81,"gamma_oil":0.82,"gamma_wat":1.1,"rsb_m3m3":120,"muob_cP":1,"PVT_corr_set":1,"q_liq_sm3day":10,"fw_perc":0,"rp_m3m3":120}</v>
      </c>
      <c r="H30" s="9" cm="1">
        <f t="array" ref="H30">[1]!feed_rho_liq_kgm3(p,t,G30)</f>
        <v>712.7468421788584</v>
      </c>
      <c r="I30" s="9" cm="1">
        <f t="array" ref="I30">[1]!PVT_rho_gas_kgm3(p,t,PVT_json)</f>
        <v>116.32084897430778</v>
      </c>
      <c r="J30" s="6" cm="1">
        <f t="array" ref="J30">[1]!feed_ST_liqgas_Nm(p,t,G30)</f>
        <v>2.3693872187412611E-2</v>
      </c>
      <c r="K30" s="8" cm="1">
        <f t="array" ref="K30">[1]!feed_q_liq_rc_m3day(p,t,G30)</f>
        <v>12.803674321949057</v>
      </c>
      <c r="L30" s="8" cm="1">
        <f t="array" ref="L30">[1]!feed_q_gas_rc_m3day(p,t,G30)</f>
        <v>2.2499316421089617</v>
      </c>
      <c r="M30" s="7" cm="1">
        <f t="array" ref="M30">[1]!feed_mu_liq_cP(p,t,G30)</f>
        <v>1.7967811455081182</v>
      </c>
      <c r="N30" s="7" cm="1">
        <f t="array" ref="N30">[1]!PVT_mu_gas_cP(p,t,G30)</f>
        <v>1.6103282892022303E-2</v>
      </c>
      <c r="O30" s="7" cm="1">
        <f t="array" ref="O30">[1]!unf_ksep_natural_simplified_Marquez(dintake_m,dcas_m,K30,L30,J30,H30,I30,1)</f>
        <v>0.92421907951868054</v>
      </c>
      <c r="P30" s="7" cm="1">
        <f t="array" ref="P30">[1]!unf_ksep_mechanistic_Marquez_(dintake_m,dcas_m,K30,L30,J30,H30,I30,M30,N30,1,hint,calibr_li,calibr_st)</f>
        <v>0.93168573982949532</v>
      </c>
      <c r="R30">
        <f t="array" ref="R30:W30">[1]!unf_ksep_mechanistic_Marquez_(dintake_m,dcas_m,K30,L30,J30,H30,I30,M30,N30,0,hint,calibr_li,calibr_st)</f>
        <v>0.93168573982949532</v>
      </c>
      <c r="S30">
        <v>0</v>
      </c>
      <c r="T30">
        <v>0.19664784102492083</v>
      </c>
      <c r="U30">
        <v>1.8325662396412434E-2</v>
      </c>
      <c r="V30">
        <v>3.2202855720574242E-3</v>
      </c>
      <c r="W30">
        <v>2.0849530580982468E-3</v>
      </c>
    </row>
    <row r="31" spans="4:23" x14ac:dyDescent="0.25">
      <c r="F31">
        <v>30</v>
      </c>
      <c r="G31" t="str">
        <f>[1]!encode_feed(F31,$E$17,$E$18,$E$19,$E$15)</f>
        <v>{"gamma_gas":0.81,"gamma_oil":0.82,"gamma_wat":1.1,"rsb_m3m3":120,"muob_cP":1,"PVT_corr_set":1,"q_liq_sm3day":30,"fw_perc":0,"rp_m3m3":120}</v>
      </c>
      <c r="H31" s="9" cm="1">
        <f t="array" ref="H31">[1]!feed_rho_liq_kgm3(p,t,G31)</f>
        <v>712.7468421788584</v>
      </c>
      <c r="I31" s="9" cm="1">
        <f t="array" ref="I31">[1]!PVT_rho_gas_kgm3(p,t,PVT_json)</f>
        <v>116.32084897430778</v>
      </c>
      <c r="J31" s="6" cm="1">
        <f t="array" ref="J31">[1]!feed_ST_liqgas_Nm(p,t,G31)</f>
        <v>2.3693872187412611E-2</v>
      </c>
      <c r="K31" s="8" cm="1">
        <f t="array" ref="K31">[1]!feed_q_liq_rc_m3day(p,t,G31)</f>
        <v>38.411022965847167</v>
      </c>
      <c r="L31" s="8" cm="1">
        <f t="array" ref="L31">[1]!feed_q_gas_rc_m3day(p,t,G31)</f>
        <v>6.7497949263268842</v>
      </c>
      <c r="M31" s="7" cm="1">
        <f t="array" ref="M31">[1]!feed_mu_liq_cP(p,t,G31)</f>
        <v>1.7967811455081182</v>
      </c>
      <c r="N31" s="7" cm="1">
        <f t="array" ref="N31">[1]!PVT_mu_gas_cP(p,t,G31)</f>
        <v>1.6103282892022303E-2</v>
      </c>
      <c r="O31" s="7" cm="1">
        <f t="array" ref="O31">[1]!unf_ksep_natural_simplified_Marquez(dintake_m,dcas_m,K31,L31,J31,H31,I31,1)</f>
        <v>0.81204441723443999</v>
      </c>
      <c r="P31" s="7" cm="1">
        <f t="array" ref="P31">[1]!unf_ksep_mechanistic_Marquez_(dintake_m,dcas_m,K31,L31,J31,H31,I31,M31,N31,1,hint,calibr_li,calibr_st)</f>
        <v>0.80953987529456584</v>
      </c>
      <c r="R31">
        <f t="array" ref="R31:W31">[1]!unf_ksep_mechanistic_Marquez_(dintake_m,dcas_m,K31,L31,J31,H31,I31,M31,N31,0,hint,calibr_li,calibr_st)</f>
        <v>0.80953987529456584</v>
      </c>
      <c r="S31">
        <v>3</v>
      </c>
      <c r="T31">
        <v>0.18122448094453489</v>
      </c>
      <c r="U31">
        <v>5.497698718923729E-2</v>
      </c>
      <c r="V31">
        <v>9.6608567161722714E-3</v>
      </c>
      <c r="W31">
        <v>2.0705180614119887E-3</v>
      </c>
    </row>
    <row r="32" spans="4:23" x14ac:dyDescent="0.25">
      <c r="F32">
        <v>50</v>
      </c>
      <c r="G32" t="str">
        <f>[1]!encode_feed(F32,$E$17,$E$18,$E$19,$E$15)</f>
        <v>{"gamma_gas":0.81,"gamma_oil":0.82,"gamma_wat":1.1,"rsb_m3m3":120,"muob_cP":1,"PVT_corr_set":1,"q_liq_sm3day":50,"fw_perc":0,"rp_m3m3":120}</v>
      </c>
      <c r="H32" s="9" cm="1">
        <f t="array" ref="H32">[1]!feed_rho_liq_kgm3(p,t,G32)</f>
        <v>712.7468421788584</v>
      </c>
      <c r="I32" s="9" cm="1">
        <f t="array" ref="I32">[1]!PVT_rho_gas_kgm3(p,t,PVT_json)</f>
        <v>116.32084897430778</v>
      </c>
      <c r="J32" s="6" cm="1">
        <f t="array" ref="J32">[1]!feed_ST_liqgas_Nm(p,t,G32)</f>
        <v>2.3693872187412611E-2</v>
      </c>
      <c r="K32" s="8" cm="1">
        <f t="array" ref="K32">[1]!feed_q_liq_rc_m3day(p,t,G32)</f>
        <v>64.018371609745287</v>
      </c>
      <c r="L32" s="8" cm="1">
        <f t="array" ref="L32">[1]!feed_q_gas_rc_m3day(p,t,G32)</f>
        <v>11.249658210544808</v>
      </c>
      <c r="M32" s="7" cm="1">
        <f t="array" ref="M32">[1]!feed_mu_liq_cP(p,t,G32)</f>
        <v>1.7967811455081182</v>
      </c>
      <c r="N32" s="7" cm="1">
        <f t="array" ref="N32">[1]!PVT_mu_gas_cP(p,t,G32)</f>
        <v>1.6103282892022303E-2</v>
      </c>
      <c r="O32" s="7" cm="1">
        <f t="array" ref="O32">[1]!unf_ksep_natural_simplified_Marquez(dintake_m,dcas_m,K32,L32,J32,H32,I32,1)</f>
        <v>0.72751989425767538</v>
      </c>
      <c r="P32" s="7" cm="1">
        <f t="array" ref="P32">[1]!unf_ksep_mechanistic_Marquez_(dintake_m,dcas_m,K32,L32,J32,H32,I32,M32,N32,1,hint,calibr_li,calibr_st)</f>
        <v>0.70687006059407398</v>
      </c>
      <c r="R32">
        <f t="array" ref="R32:W32">[1]!unf_ksep_mechanistic_Marquez_(dintake_m,dcas_m,K32,L32,J32,H32,I32,M32,N32,0,hint,calibr_li,calibr_st)</f>
        <v>0.70687006059407398</v>
      </c>
      <c r="S32">
        <v>3</v>
      </c>
      <c r="T32">
        <v>0.18122448094453489</v>
      </c>
      <c r="U32">
        <v>9.1628311982062172E-2</v>
      </c>
      <c r="V32">
        <v>1.6101427860287121E-2</v>
      </c>
      <c r="W32">
        <v>2.0577610554207782E-3</v>
      </c>
    </row>
    <row r="33" spans="5:23" x14ac:dyDescent="0.25">
      <c r="F33">
        <v>70</v>
      </c>
      <c r="G33" t="str">
        <f>[1]!encode_feed(F33,$E$17,$E$18,$E$19,$E$15)</f>
        <v>{"gamma_gas":0.81,"gamma_oil":0.82,"gamma_wat":1.1,"rsb_m3m3":120,"muob_cP":1,"PVT_corr_set":1,"q_liq_sm3day":70,"fw_perc":0,"rp_m3m3":120}</v>
      </c>
      <c r="H33" s="9" cm="1">
        <f t="array" ref="H33">[1]!feed_rho_liq_kgm3(p,t,G33)</f>
        <v>712.7468421788584</v>
      </c>
      <c r="I33" s="9" cm="1">
        <f t="array" ref="I33">[1]!PVT_rho_gas_kgm3(p,t,PVT_json)</f>
        <v>116.32084897430778</v>
      </c>
      <c r="J33" s="6" cm="1">
        <f t="array" ref="J33">[1]!feed_ST_liqgas_Nm(p,t,G33)</f>
        <v>2.3693872187412611E-2</v>
      </c>
      <c r="K33" s="8" cm="1">
        <f t="array" ref="K33">[1]!feed_q_liq_rc_m3day(p,t,G33)</f>
        <v>89.625720253643394</v>
      </c>
      <c r="L33" s="8" cm="1">
        <f t="array" ref="L33">[1]!feed_q_gas_rc_m3day(p,t,G33)</f>
        <v>15.749521494762732</v>
      </c>
      <c r="M33" s="7" cm="1">
        <f t="array" ref="M33">[1]!feed_mu_liq_cP(p,t,G33)</f>
        <v>1.7967811455081182</v>
      </c>
      <c r="N33" s="7" cm="1">
        <f t="array" ref="N33">[1]!PVT_mu_gas_cP(p,t,G33)</f>
        <v>1.6103282892022303E-2</v>
      </c>
      <c r="O33" s="7" cm="1">
        <f t="array" ref="O33">[1]!unf_ksep_natural_simplified_Marquez(dintake_m,dcas_m,K33,L33,J33,H33,I33,1)</f>
        <v>0.65784724443441345</v>
      </c>
      <c r="P33" s="7" cm="1">
        <f t="array" ref="P33">[1]!unf_ksep_mechanistic_Marquez_(dintake_m,dcas_m,K33,L33,J33,H33,I33,M33,N33,1,hint,calibr_li,calibr_st)</f>
        <v>0.62075844148255166</v>
      </c>
      <c r="R33">
        <f t="array" ref="R33:W33">[1]!unf_ksep_mechanistic_Marquez_(dintake_m,dcas_m,K33,L33,J33,H33,I33,M33,N33,0,hint,calibr_li,calibr_st)</f>
        <v>0.62075844148255166</v>
      </c>
      <c r="S33">
        <v>3</v>
      </c>
      <c r="T33">
        <v>0.18122448094453489</v>
      </c>
      <c r="U33">
        <v>0.12827963677488702</v>
      </c>
      <c r="V33">
        <v>2.2541999004401972E-2</v>
      </c>
      <c r="W33">
        <v>2.0465333459860169E-3</v>
      </c>
    </row>
    <row r="34" spans="5:23" x14ac:dyDescent="0.25">
      <c r="F34">
        <v>90</v>
      </c>
      <c r="G34" t="str">
        <f>[1]!encode_feed(F34,$E$17,$E$18,$E$19,$E$15)</f>
        <v>{"gamma_gas":0.81,"gamma_oil":0.82,"gamma_wat":1.1,"rsb_m3m3":120,"muob_cP":1,"PVT_corr_set":1,"q_liq_sm3day":90,"fw_perc":0,"rp_m3m3":120}</v>
      </c>
      <c r="H34" s="9" cm="1">
        <f t="array" ref="H34">[1]!feed_rho_liq_kgm3(p,t,G34)</f>
        <v>712.7468421788584</v>
      </c>
      <c r="I34" s="9" cm="1">
        <f t="array" ref="I34">[1]!PVT_rho_gas_kgm3(p,t,PVT_json)</f>
        <v>116.32084897430778</v>
      </c>
      <c r="J34" s="6" cm="1">
        <f t="array" ref="J34">[1]!feed_ST_liqgas_Nm(p,t,G34)</f>
        <v>2.3693872187412611E-2</v>
      </c>
      <c r="K34" s="8" cm="1">
        <f t="array" ref="K34">[1]!feed_q_liq_rc_m3day(p,t,G34)</f>
        <v>115.23306889754151</v>
      </c>
      <c r="L34" s="8" cm="1">
        <f t="array" ref="L34">[1]!feed_q_gas_rc_m3day(p,t,G34)</f>
        <v>20.249384778980655</v>
      </c>
      <c r="M34" s="7" cm="1">
        <f t="array" ref="M34">[1]!feed_mu_liq_cP(p,t,G34)</f>
        <v>1.7967811455081182</v>
      </c>
      <c r="N34" s="7" cm="1">
        <f t="array" ref="N34">[1]!PVT_mu_gas_cP(p,t,G34)</f>
        <v>1.6103282892022303E-2</v>
      </c>
      <c r="O34" s="7" cm="1">
        <f t="array" ref="O34">[1]!unf_ksep_natural_simplified_Marquez(dintake_m,dcas_m,K34,L34,J34,H34,I34,1)</f>
        <v>0.59934848841213717</v>
      </c>
      <c r="P34" s="7" cm="1">
        <f t="array" ref="P34">[1]!unf_ksep_mechanistic_Marquez_(dintake_m,dcas_m,K34,L34,J34,H34,I34,M34,N34,1,hint,calibr_li,calibr_st)</f>
        <v>0.54859238752817863</v>
      </c>
      <c r="R34">
        <f t="array" ref="R34:W34">[1]!unf_ksep_mechanistic_Marquez_(dintake_m,dcas_m,K34,L34,J34,H34,I34,M34,N34,0,hint,calibr_li,calibr_st)</f>
        <v>0.54859238752817863</v>
      </c>
      <c r="S34">
        <v>3</v>
      </c>
      <c r="T34">
        <v>0.18122448094453489</v>
      </c>
      <c r="U34">
        <v>0.16493096156771189</v>
      </c>
      <c r="V34">
        <v>2.898257014851682E-2</v>
      </c>
      <c r="W34">
        <v>2.0367028403913525E-3</v>
      </c>
    </row>
    <row r="35" spans="5:23" x14ac:dyDescent="0.25">
      <c r="F35">
        <v>110</v>
      </c>
      <c r="G35" t="str">
        <f>[1]!encode_feed(F35,$E$17,$E$18,$E$19,$E$15)</f>
        <v>{"gamma_gas":0.81,"gamma_oil":0.82,"gamma_wat":1.1,"rsb_m3m3":120,"muob_cP":1,"PVT_corr_set":1,"q_liq_sm3day":110,"fw_perc":0,"rp_m3m3":120}</v>
      </c>
      <c r="H35" s="9" cm="1">
        <f t="array" ref="H35">[1]!feed_rho_liq_kgm3(p,t,G35)</f>
        <v>712.7468421788584</v>
      </c>
      <c r="I35" s="9" cm="1">
        <f t="array" ref="I35">[1]!PVT_rho_gas_kgm3(p,t,PVT_json)</f>
        <v>116.32084897430778</v>
      </c>
      <c r="J35" s="6" cm="1">
        <f t="array" ref="J35">[1]!feed_ST_liqgas_Nm(p,t,G35)</f>
        <v>2.3693872187412611E-2</v>
      </c>
      <c r="K35" s="8" cm="1">
        <f t="array" ref="K35">[1]!feed_q_liq_rc_m3day(p,t,G35)</f>
        <v>140.84041754143962</v>
      </c>
      <c r="L35" s="8" cm="1">
        <f t="array" ref="L35">[1]!feed_q_gas_rc_m3day(p,t,G35)</f>
        <v>24.749248063198575</v>
      </c>
      <c r="M35" s="7" cm="1">
        <f t="array" ref="M35">[1]!feed_mu_liq_cP(p,t,G35)</f>
        <v>1.7967811455081182</v>
      </c>
      <c r="N35" s="7" cm="1">
        <f t="array" ref="N35">[1]!PVT_mu_gas_cP(p,t,G35)</f>
        <v>1.6103282892022303E-2</v>
      </c>
      <c r="O35" s="7" cm="1">
        <f t="array" ref="O35">[1]!unf_ksep_natural_simplified_Marquez(dintake_m,dcas_m,K35,L35,J35,H35,I35,1)</f>
        <v>0.54976616710400705</v>
      </c>
      <c r="P35" s="7" cm="1">
        <f t="array" ref="P35">[1]!unf_ksep_mechanistic_Marquez_(dintake_m,dcas_m,K35,L35,J35,H35,I35,M35,N35,1,hint,calibr_li,calibr_st)</f>
        <v>0.48790570103805297</v>
      </c>
      <c r="R35">
        <f t="array" ref="R35:W35">[1]!unf_ksep_mechanistic_Marquez_(dintake_m,dcas_m,K35,L35,J35,H35,I35,M35,N35,0,hint,calibr_li,calibr_st)</f>
        <v>0.48790570103805297</v>
      </c>
      <c r="S35">
        <v>3</v>
      </c>
      <c r="T35">
        <v>0.18122448094453489</v>
      </c>
      <c r="U35">
        <v>0.20158228636053674</v>
      </c>
      <c r="V35">
        <v>3.542314129263166E-2</v>
      </c>
      <c r="W35">
        <v>2.0281517456365019E-3</v>
      </c>
    </row>
    <row r="36" spans="5:23" x14ac:dyDescent="0.25">
      <c r="F36">
        <v>130</v>
      </c>
      <c r="G36" t="str">
        <f>[1]!encode_feed(F36,$E$17,$E$18,$E$19,$E$15)</f>
        <v>{"gamma_gas":0.81,"gamma_oil":0.82,"gamma_wat":1.1,"rsb_m3m3":120,"muob_cP":1,"PVT_corr_set":1,"q_liq_sm3day":130,"fw_perc":0,"rp_m3m3":120}</v>
      </c>
      <c r="H36" s="9" cm="1">
        <f t="array" ref="H36">[1]!feed_rho_liq_kgm3(p,t,G36)</f>
        <v>712.7468421788584</v>
      </c>
      <c r="I36" s="9" cm="1">
        <f t="array" ref="I36">[1]!PVT_rho_gas_kgm3(p,t,PVT_json)</f>
        <v>116.32084897430778</v>
      </c>
      <c r="J36" s="6" cm="1">
        <f t="array" ref="J36">[1]!feed_ST_liqgas_Nm(p,t,G36)</f>
        <v>2.3693872187412611E-2</v>
      </c>
      <c r="K36" s="8" cm="1">
        <f t="array" ref="K36">[1]!feed_q_liq_rc_m3day(p,t,G36)</f>
        <v>166.44776618533774</v>
      </c>
      <c r="L36" s="8" cm="1">
        <f t="array" ref="L36">[1]!feed_q_gas_rc_m3day(p,t,G36)</f>
        <v>29.249111347416498</v>
      </c>
      <c r="M36" s="7" cm="1">
        <f t="array" ref="M36">[1]!feed_mu_liq_cP(p,t,G36)</f>
        <v>1.7967811455081182</v>
      </c>
      <c r="N36" s="7" cm="1">
        <f t="array" ref="N36">[1]!PVT_mu_gas_cP(p,t,G36)</f>
        <v>1.6103282892022303E-2</v>
      </c>
      <c r="O36" s="7" cm="1">
        <f t="array" ref="O36">[1]!unf_ksep_natural_simplified_Marquez(dintake_m,dcas_m,K36,L36,J36,H36,I36,1)</f>
        <v>0.52822421786505003</v>
      </c>
      <c r="P36" s="7" cm="1">
        <f t="array" ref="P36">[1]!unf_ksep_mechanistic_Marquez_(dintake_m,dcas_m,K36,L36,J36,H36,I36,M36,N36,1,hint,calibr_li,calibr_st)</f>
        <v>0.43659050760718593</v>
      </c>
      <c r="R36">
        <f t="array" ref="R36:W36">[1]!unf_ksep_mechanistic_Marquez_(dintake_m,dcas_m,K36,L36,J36,H36,I36,M36,N36,0,hint,calibr_li,calibr_st)</f>
        <v>0.43659050760718593</v>
      </c>
      <c r="S36">
        <v>1</v>
      </c>
      <c r="T36">
        <v>0.19664784102492083</v>
      </c>
      <c r="U36">
        <v>0.23823361115336161</v>
      </c>
      <c r="V36">
        <v>4.1863712436746511E-2</v>
      </c>
      <c r="W36">
        <v>2.020774640275615E-3</v>
      </c>
    </row>
    <row r="37" spans="5:23" x14ac:dyDescent="0.25">
      <c r="F37">
        <v>150</v>
      </c>
      <c r="G37" t="str">
        <f>[1]!encode_feed(F37,$E$17,$E$18,$E$19,$E$15)</f>
        <v>{"gamma_gas":0.81,"gamma_oil":0.82,"gamma_wat":1.1,"rsb_m3m3":120,"muob_cP":1,"PVT_corr_set":1,"q_liq_sm3day":150,"fw_perc":0,"rp_m3m3":120}</v>
      </c>
      <c r="H37" s="9" cm="1">
        <f t="array" ref="H37">[1]!feed_rho_liq_kgm3(p,t,G37)</f>
        <v>712.7468421788584</v>
      </c>
      <c r="I37" s="9" cm="1">
        <f t="array" ref="I37">[1]!PVT_rho_gas_kgm3(p,t,PVT_json)</f>
        <v>116.32084897430778</v>
      </c>
      <c r="J37" s="6" cm="1">
        <f t="array" ref="J37">[1]!feed_ST_liqgas_Nm(p,t,G37)</f>
        <v>2.3693872187412611E-2</v>
      </c>
      <c r="K37" s="8" cm="1">
        <f t="array" ref="K37">[1]!feed_q_liq_rc_m3day(p,t,G37)</f>
        <v>192.05511482923586</v>
      </c>
      <c r="L37" s="8" cm="1">
        <f t="array" ref="L37">[1]!feed_q_gas_rc_m3day(p,t,G37)</f>
        <v>33.748974631634425</v>
      </c>
      <c r="M37" s="7" cm="1">
        <f t="array" ref="M37">[1]!feed_mu_liq_cP(p,t,G37)</f>
        <v>1.7967811455081182</v>
      </c>
      <c r="N37" s="7" cm="1">
        <f t="array" ref="N37">[1]!PVT_mu_gas_cP(p,t,G37)</f>
        <v>1.6103282892022303E-2</v>
      </c>
      <c r="O37" s="7" cm="1">
        <f t="array" ref="O37">[1]!unf_ksep_natural_simplified_Marquez(dintake_m,dcas_m,K37,L37,J37,H37,I37,1)</f>
        <v>0.49198822728973801</v>
      </c>
      <c r="P37" s="7" cm="1">
        <f t="array" ref="P37">[1]!unf_ksep_mechanistic_Marquez_(dintake_m,dcas_m,K37,L37,J37,H37,I37,M37,N37,1,hint,calibr_li,calibr_st)</f>
        <v>0.39292585154674825</v>
      </c>
      <c r="R37">
        <f t="array" ref="R37:W37">[1]!unf_ksep_mechanistic_Marquez_(dintake_m,dcas_m,K37,L37,J37,H37,I37,M37,N37,0,hint,calibr_li,calibr_st)</f>
        <v>0.39292585154674825</v>
      </c>
      <c r="S37">
        <v>1</v>
      </c>
      <c r="T37">
        <v>0.19664784102492083</v>
      </c>
      <c r="U37">
        <v>0.27488493594618651</v>
      </c>
      <c r="V37">
        <v>4.8304283580861369E-2</v>
      </c>
      <c r="W37">
        <v>2.0144768510398786E-3</v>
      </c>
    </row>
    <row r="38" spans="5:23" x14ac:dyDescent="0.25">
      <c r="F38">
        <v>170</v>
      </c>
      <c r="G38" t="str">
        <f>[1]!encode_feed(F38,$E$17,$E$18,$E$19,$E$15)</f>
        <v>{"gamma_gas":0.81,"gamma_oil":0.82,"gamma_wat":1.1,"rsb_m3m3":120,"muob_cP":1,"PVT_corr_set":1,"q_liq_sm3day":170,"fw_perc":0,"rp_m3m3":120}</v>
      </c>
      <c r="H38" s="9" cm="1">
        <f t="array" ref="H38">[1]!feed_rho_liq_kgm3(p,t,G38)</f>
        <v>712.7468421788584</v>
      </c>
      <c r="I38" s="9" cm="1">
        <f t="array" ref="I38">[1]!PVT_rho_gas_kgm3(p,t,PVT_json)</f>
        <v>116.32084897430778</v>
      </c>
      <c r="J38" s="6" cm="1">
        <f t="array" ref="J38">[1]!feed_ST_liqgas_Nm(p,t,G38)</f>
        <v>2.3693872187412611E-2</v>
      </c>
      <c r="K38" s="8" cm="1">
        <f t="array" ref="K38">[1]!feed_q_liq_rc_m3day(p,t,G38)</f>
        <v>217.66246347313395</v>
      </c>
      <c r="L38" s="8" cm="1">
        <f t="array" ref="L38">[1]!feed_q_gas_rc_m3day(p,t,G38)</f>
        <v>38.248837915852341</v>
      </c>
      <c r="M38" s="7" cm="1">
        <f t="array" ref="M38">[1]!feed_mu_liq_cP(p,t,G38)</f>
        <v>1.7967811455081182</v>
      </c>
      <c r="N38" s="7" cm="1">
        <f t="array" ref="N38">[1]!PVT_mu_gas_cP(p,t,G38)</f>
        <v>1.6103282892022303E-2</v>
      </c>
      <c r="O38" s="7" cm="1">
        <f t="array" ref="O38">[1]!unf_ksep_natural_simplified_Marquez(dintake_m,dcas_m,K38,L38,J38,H38,I38,1)</f>
        <v>0.46064423477530259</v>
      </c>
      <c r="P38" s="7" cm="1">
        <f t="array" ref="P38">[1]!unf_ksep_mechanistic_Marquez_(dintake_m,dcas_m,K38,L38,J38,H38,I38,M38,N38,1,hint,calibr_li,calibr_st)</f>
        <v>0.35552355868711322</v>
      </c>
      <c r="R38">
        <f t="array" ref="R38:W38">[1]!unf_ksep_mechanistic_Marquez_(dintake_m,dcas_m,K38,L38,J38,H38,I38,M38,N38,0,hint,calibr_li,calibr_st)</f>
        <v>0.35552355868711322</v>
      </c>
      <c r="S38">
        <v>1</v>
      </c>
      <c r="T38">
        <v>0.19664784102492083</v>
      </c>
      <c r="U38">
        <v>0.31153626073901136</v>
      </c>
      <c r="V38">
        <v>5.4744854724976207E-2</v>
      </c>
      <c r="W38">
        <v>2.0091730795749984E-3</v>
      </c>
    </row>
    <row r="39" spans="5:23" x14ac:dyDescent="0.25">
      <c r="F39">
        <v>190</v>
      </c>
      <c r="G39" t="str">
        <f>[1]!encode_feed(F39,$E$17,$E$18,$E$19,$E$15)</f>
        <v>{"gamma_gas":0.81,"gamma_oil":0.82,"gamma_wat":1.1,"rsb_m3m3":120,"muob_cP":1,"PVT_corr_set":1,"q_liq_sm3day":190,"fw_perc":0,"rp_m3m3":120}</v>
      </c>
      <c r="H39" s="9" cm="1">
        <f t="array" ref="H39">[1]!feed_rho_liq_kgm3(p,t,G39)</f>
        <v>712.7468421788584</v>
      </c>
      <c r="I39" s="9" cm="1">
        <f t="array" ref="I39">[1]!PVT_rho_gas_kgm3(p,t,PVT_json)</f>
        <v>116.32084897430778</v>
      </c>
      <c r="J39" s="6" cm="1">
        <f t="array" ref="J39">[1]!feed_ST_liqgas_Nm(p,t,G39)</f>
        <v>2.3693872187412611E-2</v>
      </c>
      <c r="K39" s="8" cm="1">
        <f t="array" ref="K39">[1]!feed_q_liq_rc_m3day(p,t,G39)</f>
        <v>243.26981211703207</v>
      </c>
      <c r="L39" s="8" cm="1">
        <f t="array" ref="L39">[1]!feed_q_gas_rc_m3day(p,t,G39)</f>
        <v>42.748701200070265</v>
      </c>
      <c r="M39" s="7" cm="1">
        <f t="array" ref="M39">[1]!feed_mu_liq_cP(p,t,G39)</f>
        <v>1.7967811455081182</v>
      </c>
      <c r="N39" s="7" cm="1">
        <f t="array" ref="N39">[1]!PVT_mu_gas_cP(p,t,G39)</f>
        <v>1.6103282892022303E-2</v>
      </c>
      <c r="O39" s="7" cm="1">
        <f t="array" ref="O39">[1]!unf_ksep_natural_simplified_Marquez(dintake_m,dcas_m,K39,L39,J39,H39,I39,1)</f>
        <v>0.43352460347650212</v>
      </c>
      <c r="P39" s="7" cm="1">
        <f t="array" ref="P39">[1]!unf_ksep_mechanistic_Marquez_(dintake_m,dcas_m,K39,L39,J39,H39,I39,M39,N39,1,hint,calibr_li,calibr_st)</f>
        <v>0.32328746453403362</v>
      </c>
      <c r="R39">
        <f t="array" ref="R39:W39">[1]!unf_ksep_mechanistic_Marquez_(dintake_m,dcas_m,K39,L39,J39,H39,I39,M39,N39,0,hint,calibr_li,calibr_st)</f>
        <v>0.32328746453403362</v>
      </c>
      <c r="S39">
        <v>1</v>
      </c>
      <c r="T39">
        <v>0.19664784102492083</v>
      </c>
      <c r="U39">
        <v>0.34818758553183621</v>
      </c>
      <c r="V39">
        <v>6.1185425869091051E-2</v>
      </c>
      <c r="W39">
        <v>2.0047862355472221E-3</v>
      </c>
    </row>
    <row r="40" spans="5:23" x14ac:dyDescent="0.25">
      <c r="F40">
        <v>210</v>
      </c>
      <c r="G40" t="str">
        <f>[1]!encode_feed(F40,$E$17,$E$18,$E$19,$E$15)</f>
        <v>{"gamma_gas":0.81,"gamma_oil":0.82,"gamma_wat":1.1,"rsb_m3m3":120,"muob_cP":1,"PVT_corr_set":1,"q_liq_sm3day":210,"fw_perc":0,"rp_m3m3":120}</v>
      </c>
      <c r="H40" s="9" cm="1">
        <f t="array" ref="H40">[1]!feed_rho_liq_kgm3(p,t,G40)</f>
        <v>712.7468421788584</v>
      </c>
      <c r="I40" s="9" cm="1">
        <f t="array" ref="I40">[1]!PVT_rho_gas_kgm3(p,t,PVT_json)</f>
        <v>116.32084897430778</v>
      </c>
      <c r="J40" s="6" cm="1">
        <f t="array" ref="J40">[1]!feed_ST_liqgas_Nm(p,t,G40)</f>
        <v>2.3693872187412611E-2</v>
      </c>
      <c r="K40" s="8" cm="1">
        <f t="array" ref="K40">[1]!feed_q_liq_rc_m3day(p,t,G40)</f>
        <v>268.87716076093017</v>
      </c>
      <c r="L40" s="8" cm="1">
        <f t="array" ref="L40">[1]!feed_q_gas_rc_m3day(p,t,G40)</f>
        <v>47.248564484288188</v>
      </c>
      <c r="M40" s="7" cm="1">
        <f t="array" ref="M40">[1]!feed_mu_liq_cP(p,t,G40)</f>
        <v>1.7967811455081182</v>
      </c>
      <c r="N40" s="7" cm="1">
        <f t="array" ref="N40">[1]!PVT_mu_gas_cP(p,t,G40)</f>
        <v>1.6103282892022303E-2</v>
      </c>
      <c r="O40" s="7" cm="1">
        <f t="array" ref="O40">[1]!unf_ksep_natural_simplified_Marquez(dintake_m,dcas_m,K40,L40,J40,H40,I40,1)</f>
        <v>0.41007222490252482</v>
      </c>
      <c r="P40" s="7" cm="1">
        <f t="array" ref="P40">[1]!unf_ksep_mechanistic_Marquez_(dintake_m,dcas_m,K40,L40,J40,H40,I40,M40,N40,1,hint,calibr_li,calibr_st)</f>
        <v>0.29532440426822704</v>
      </c>
      <c r="R40" cm="1">
        <f t="array" ref="R40:W41">[1]!unf_ksep_mechanistic_Marquez_(dintake_m,dcas_m,K40,L40,J40,H40,I40,M40,N40,0,hint,calibr_li,calibr_st)</f>
        <v>0.29532440426822704</v>
      </c>
      <c r="S40">
        <v>1</v>
      </c>
      <c r="T40">
        <v>0.19664784102492083</v>
      </c>
      <c r="U40">
        <v>0.38483891032466105</v>
      </c>
      <c r="V40">
        <v>6.7625997013205902E-2</v>
      </c>
      <c r="W40">
        <v>2.0012464408988846E-3</v>
      </c>
    </row>
    <row r="41" spans="5:23" x14ac:dyDescent="0.25">
      <c r="R41" t="str">
        <v>ksep</v>
      </c>
      <c r="S41" t="str">
        <v>flow regime</v>
      </c>
      <c r="T41" t="str">
        <v>v_ooz</v>
      </c>
      <c r="U41" t="str">
        <v>vsl</v>
      </c>
      <c r="V41" t="str">
        <v>vsg</v>
      </c>
      <c r="W41" t="str">
        <v>li</v>
      </c>
    </row>
    <row r="45" spans="5:23" x14ac:dyDescent="0.25">
      <c r="E45" t="s">
        <v>47</v>
      </c>
    </row>
    <row r="47" spans="5:23" x14ac:dyDescent="0.25">
      <c r="F47" t="s">
        <v>32</v>
      </c>
      <c r="G47" t="s">
        <v>14</v>
      </c>
      <c r="H47" t="s">
        <v>19</v>
      </c>
      <c r="I47" t="s">
        <v>20</v>
      </c>
      <c r="J47" t="s">
        <v>21</v>
      </c>
      <c r="K47" t="s">
        <v>22</v>
      </c>
      <c r="L47" t="s">
        <v>23</v>
      </c>
      <c r="M47" t="s">
        <v>30</v>
      </c>
      <c r="N47" t="s">
        <v>31</v>
      </c>
    </row>
    <row r="48" spans="5:23" x14ac:dyDescent="0.25">
      <c r="F48">
        <f>E16</f>
        <v>60</v>
      </c>
      <c r="G48" t="str">
        <f>[1]!encode_feed(F48,$E$17,$E$18,$E$19,$E$15)</f>
        <v>{"gamma_gas":0.81,"gamma_oil":0.82,"gamma_wat":1.1,"rsb_m3m3":120,"muob_cP":1,"PVT_corr_set":1,"q_liq_sm3day":60,"fw_perc":0,"rp_m3m3":120}</v>
      </c>
      <c r="H48" s="9" cm="1">
        <f t="array" ref="H48">[1]!feed_rho_liq_kgm3(p,t,G48)</f>
        <v>712.7468421788584</v>
      </c>
      <c r="I48" s="9" cm="1">
        <f t="array" ref="I48">[1]!PVT_rho_gas_kgm3(p,t,PVT_json)</f>
        <v>116.32084897430778</v>
      </c>
      <c r="J48" s="6" cm="1">
        <f t="array" ref="J48">[1]!feed_ST_liqgas_Nm(p,t,G48)</f>
        <v>2.3693872187412611E-2</v>
      </c>
      <c r="K48" s="8" cm="1">
        <f t="array" ref="K48">[1]!feed_q_liq_rc_m3day(p,t,G48)</f>
        <v>76.822045931694333</v>
      </c>
      <c r="L48" s="8" cm="1">
        <f t="array" ref="L48">[1]!feed_q_gas_rc_m3day(p,t,G48)</f>
        <v>13.499589852653768</v>
      </c>
      <c r="M48" s="7" cm="1">
        <f t="array" ref="M48">[1]!feed_mu_liq_cP(p,t,G48)</f>
        <v>1.7967811455081182</v>
      </c>
      <c r="N48" s="7" cm="1">
        <f t="array" ref="N48">[1]!PVT_mu_gas_cP(p,t,G48)</f>
        <v>1.6103282892022303E-2</v>
      </c>
    </row>
    <row r="53" spans="5:31" x14ac:dyDescent="0.25">
      <c r="E53" t="str" cm="1">
        <f t="array" ref="E53">[1]!unf_ksep_mechanistic_Marquez_build_bubble_tracks(dintake_m,dcas_m,K48,L48,J48,H48,I48,M48,N48,hint,calibr_li,calibr_st)</f>
        <v>{"n 1":{"curve_x":"x","curve_y":"y","x":[-0.04,-0.016667,0.006667,0.03,0.053333,0.076667,0.1,0.100818,0.123333,0.146667,0.17,0.193333,0.2,0.216667,0.24],"y":[0.049606,0.049606,0.049606,0.049606,0.049606,0.049606,0.049606,0.049606,0.048118,0.04641,0.044503,0.042362,0.0417,0.0417,0.0417]},"n 2":{"curve_x":"x","curve_y":"y","x":[-0.04,-0.016667,0.006667,0.03,0.053333,0.076667,0.1,0.123333,0.123443,0.146667,0.17,0.193333,0.2,0.216667,0.24],"y":[0.052548,0.052548,0.052548,0.052548,0.052548,0.052548,0.052548,0.052548,0.052548,0.051025,0.049337,0.04747,0.0469,0.0469,0.0469]},"n 3":{"curve_x":"x","curve_y":"y","x":[-0.04,-0.016667,0.006667,0.03,0.053333,0.076667,0.1,0.123333,0.146667,0.147715,0.17,0.193333,0.2,0.216667,0.24],"y":[0.055703,0.055703,0.055703,0.055703,0.055703,0.055703,0.055703,0.055703,0.055703,0.055703,0.054257,0.052602,0.0521,0.0521,0.0521]},"n 4":{"curve_x":"x","curve_y":"y","x":[-0.04,-0.016667,0.006667,0.03,0.053333,0.076667,0.1,0.123333,0.146667,0.17,0.173316,0.193333,0.2,0.216667,0.24],"y":[0.059031,0.059031,0.059031,0.059031,0.059031,0.059031,0.059031,0.059031,0.059031,0.059031,0.059031,0.057748,0.0573,0.0573,0.0573]},"n 5":{"curve_x":"x","curve_y":"y","x":[-0.04,-0.033077,-0.026154,-0.019231,-0.012308,-0.005385,0.001538,0.008462,0.015385,0.01771,0.022308,0.029231,0.036154,0.043077,0.05],"y":[0.038802,0.038802,0.038802,0.038802,0.038802,0.038802,0.038802,0.038802,0.038802,0.038802,0.0385,0.038031,0.037542,0.037032,0.0365]},"n 6":{"curve_x":"x","curve_y":"y","x":[-0.04,-0.029231,-0.018462,-0.007692,0.003077,0.013846,0.024615,0.035385,0.037185,0.046154,0.056923,0.067692,0.078462,0.089231,0.1],"y":[0.041334,0.041334,0.041334,0.041334,0.041334,0.041334,0.041334,0.041334,0.041334,0.040744,0.039996,0.039203,0.038359,0.03746,0.0365]},"n 7":{"curve_x":"x","curve_y":"y","x":[-0.04,-0.025385,-0.010769,0.003846,0.018462,0.033077,0.047692,0.05812,0.062308,0.076923,0.091538,0.106154,0.120769,0.135385,0.15],"y":[0.044056,0.044056,0.044056,0.044056,0.044056,0.044056,0.044056,0.044056,0.043786,0.042799,0.041735,0.040586,0.03934,0.037984,0.0365]},"n 8":{"curve_x":"x","curve_y":"y","x":[-0.04,-0.021538,-0.003077,0.015385,0.033846,0.052308,0.070769,0.080239,0.089231,0.107692,0.126154,0.144615,0.163077,0.181538,0.2],"y":[0.046931,0.046931,0.046931,0.046931,0.046931,0.046931,0.046931,0.046931,0.04635,0.045078,0.043686,0.04216,0.040476,0.038604,0.0365]}}</v>
      </c>
    </row>
    <row r="55" spans="5:31" x14ac:dyDescent="0.25">
      <c r="E55" t="str" cm="1">
        <f t="array" ref="E55:F62">[1]!decode_json(E53)</f>
        <v>n 1</v>
      </c>
      <c r="F55" t="str">
        <v>{"curve_x":"x","curve_y":"y","x":[-0.04,-0.016667,0.006667,0.03,0.053333,0.076667,0.1,0.100818,0.123333,0.146667,0.17,0.193333,0.2,0.216667,0.24],"y":[0.049606,0.049606,0.049606,0.049606,0.049606,0.049606,0.049606,0.049606,0.048118,0.04641,0.044503,0.042362,0.0417,0.0417,0.0417]}</v>
      </c>
      <c r="I55" t="str" cm="1">
        <f t="array" ref="I55:J70">[1]!decode_json_crv(F55)</f>
        <v>x</v>
      </c>
      <c r="J55" t="str">
        <v>y</v>
      </c>
      <c r="L55" t="str" cm="1">
        <f t="array" ref="L55:M70">[1]!decode_json_crv(F56)</f>
        <v>x</v>
      </c>
      <c r="M55" t="str">
        <v>y</v>
      </c>
      <c r="O55" t="str" cm="1">
        <f t="array" ref="O55:P70">[1]!decode_json_crv(F57)</f>
        <v>x</v>
      </c>
      <c r="P55" t="str">
        <v>y</v>
      </c>
      <c r="R55" t="str" cm="1">
        <f t="array" ref="R55:S70">[1]!decode_json_crv(F58)</f>
        <v>x</v>
      </c>
      <c r="S55" t="str">
        <v>y</v>
      </c>
      <c r="U55" t="str" cm="1">
        <f t="array" ref="U55:V70">[1]!decode_json_crv(F59)</f>
        <v>x</v>
      </c>
      <c r="V55" t="str">
        <v>y</v>
      </c>
      <c r="X55" t="str" cm="1">
        <f t="array" ref="X55:Y70">[1]!decode_json_crv(F60)</f>
        <v>x</v>
      </c>
      <c r="Y55" t="str">
        <v>y</v>
      </c>
      <c r="AA55" t="str" cm="1">
        <f t="array" ref="AA55:AB70">[1]!decode_json_crv(F61)</f>
        <v>x</v>
      </c>
      <c r="AB55" t="str">
        <v>y</v>
      </c>
      <c r="AD55" t="str" cm="1">
        <f t="array" ref="AD55:AE70">[1]!decode_json_crv(F62)</f>
        <v>x</v>
      </c>
      <c r="AE55" t="str">
        <v>y</v>
      </c>
    </row>
    <row r="56" spans="5:31" x14ac:dyDescent="0.25">
      <c r="E56" t="str">
        <v>n 2</v>
      </c>
      <c r="F56" t="str">
        <v>{"curve_x":"x","curve_y":"y","x":[-0.04,-0.016667,0.006667,0.03,0.053333,0.076667,0.1,0.123333,0.123443,0.146667,0.17,0.193333,0.2,0.216667,0.24],"y":[0.052548,0.052548,0.052548,0.052548,0.052548,0.052548,0.052548,0.052548,0.052548,0.051025,0.049337,0.04747,0.0469,0.0469,0.0469]}</v>
      </c>
      <c r="I56">
        <v>-0.04</v>
      </c>
      <c r="J56">
        <v>4.9605999999999997E-2</v>
      </c>
      <c r="L56">
        <v>-0.04</v>
      </c>
      <c r="M56">
        <v>5.2547999999999997E-2</v>
      </c>
      <c r="O56">
        <v>-0.04</v>
      </c>
      <c r="P56">
        <v>5.5703000000000003E-2</v>
      </c>
      <c r="R56">
        <v>-0.04</v>
      </c>
      <c r="S56">
        <v>5.9031E-2</v>
      </c>
      <c r="U56">
        <v>-0.04</v>
      </c>
      <c r="V56">
        <v>3.8802000000000003E-2</v>
      </c>
      <c r="X56">
        <v>-0.04</v>
      </c>
      <c r="Y56">
        <v>4.1334000000000003E-2</v>
      </c>
      <c r="AA56">
        <v>-0.04</v>
      </c>
      <c r="AB56">
        <v>4.4055999999999998E-2</v>
      </c>
      <c r="AD56">
        <v>-0.04</v>
      </c>
      <c r="AE56">
        <v>4.6931E-2</v>
      </c>
    </row>
    <row r="57" spans="5:31" x14ac:dyDescent="0.25">
      <c r="E57" t="str">
        <v>n 3</v>
      </c>
      <c r="F57" t="str">
        <v>{"curve_x":"x","curve_y":"y","x":[-0.04,-0.016667,0.006667,0.03,0.053333,0.076667,0.1,0.123333,0.146667,0.147715,0.17,0.193333,0.2,0.216667,0.24],"y":[0.055703,0.055703,0.055703,0.055703,0.055703,0.055703,0.055703,0.055703,0.055703,0.055703,0.054257,0.052602,0.0521,0.0521,0.0521]}</v>
      </c>
      <c r="I57">
        <v>-1.6667000000000001E-2</v>
      </c>
      <c r="J57">
        <v>4.9605999999999997E-2</v>
      </c>
      <c r="L57">
        <v>-1.6667000000000001E-2</v>
      </c>
      <c r="M57">
        <v>5.2547999999999997E-2</v>
      </c>
      <c r="O57">
        <v>-1.6667000000000001E-2</v>
      </c>
      <c r="P57">
        <v>5.5703000000000003E-2</v>
      </c>
      <c r="R57">
        <v>-1.6667000000000001E-2</v>
      </c>
      <c r="S57">
        <v>5.9031E-2</v>
      </c>
      <c r="U57">
        <v>-3.3077000000000002E-2</v>
      </c>
      <c r="V57">
        <v>3.8802000000000003E-2</v>
      </c>
      <c r="X57">
        <v>-2.9231E-2</v>
      </c>
      <c r="Y57">
        <v>4.1334000000000003E-2</v>
      </c>
      <c r="AA57">
        <v>-2.5385000000000001E-2</v>
      </c>
      <c r="AB57">
        <v>4.4055999999999998E-2</v>
      </c>
      <c r="AD57">
        <v>-2.1538000000000002E-2</v>
      </c>
      <c r="AE57">
        <v>4.6931E-2</v>
      </c>
    </row>
    <row r="58" spans="5:31" x14ac:dyDescent="0.25">
      <c r="E58" t="str">
        <v>n 4</v>
      </c>
      <c r="F58" t="str">
        <v>{"curve_x":"x","curve_y":"y","x":[-0.04,-0.016667,0.006667,0.03,0.053333,0.076667,0.1,0.123333,0.146667,0.17,0.173316,0.193333,0.2,0.216667,0.24],"y":[0.059031,0.059031,0.059031,0.059031,0.059031,0.059031,0.059031,0.059031,0.059031,0.059031,0.059031,0.057748,0.0573,0.0573,0.0573]}</v>
      </c>
      <c r="I58">
        <v>6.6670000000000002E-3</v>
      </c>
      <c r="J58">
        <v>4.9605999999999997E-2</v>
      </c>
      <c r="L58">
        <v>6.6670000000000002E-3</v>
      </c>
      <c r="M58">
        <v>5.2547999999999997E-2</v>
      </c>
      <c r="O58">
        <v>6.6670000000000002E-3</v>
      </c>
      <c r="P58">
        <v>5.5703000000000003E-2</v>
      </c>
      <c r="R58">
        <v>6.6670000000000002E-3</v>
      </c>
      <c r="S58">
        <v>5.9031E-2</v>
      </c>
      <c r="U58">
        <v>-2.6154E-2</v>
      </c>
      <c r="V58">
        <v>3.8802000000000003E-2</v>
      </c>
      <c r="X58">
        <v>-1.8461999999999999E-2</v>
      </c>
      <c r="Y58">
        <v>4.1334000000000003E-2</v>
      </c>
      <c r="AA58">
        <v>-1.0769000000000001E-2</v>
      </c>
      <c r="AB58">
        <v>4.4055999999999998E-2</v>
      </c>
      <c r="AD58">
        <v>-3.0769999999999999E-3</v>
      </c>
      <c r="AE58">
        <v>4.6931E-2</v>
      </c>
    </row>
    <row r="59" spans="5:31" x14ac:dyDescent="0.25">
      <c r="E59" t="str">
        <v>n 5</v>
      </c>
      <c r="F59" t="str">
        <v>{"curve_x":"x","curve_y":"y","x":[-0.04,-0.033077,-0.026154,-0.019231,-0.012308,-0.005385,0.001538,0.008462,0.015385,0.01771,0.022308,0.029231,0.036154,0.043077,0.05],"y":[0.038802,0.038802,0.038802,0.038802,0.038802,0.038802,0.038802,0.038802,0.038802,0.038802,0.0385,0.038031,0.037542,0.037032,0.0365]}</v>
      </c>
      <c r="I59">
        <v>0.03</v>
      </c>
      <c r="J59">
        <v>4.9605999999999997E-2</v>
      </c>
      <c r="L59">
        <v>0.03</v>
      </c>
      <c r="M59">
        <v>5.2547999999999997E-2</v>
      </c>
      <c r="O59">
        <v>0.03</v>
      </c>
      <c r="P59">
        <v>5.5703000000000003E-2</v>
      </c>
      <c r="R59">
        <v>0.03</v>
      </c>
      <c r="S59">
        <v>5.9031E-2</v>
      </c>
      <c r="U59">
        <v>-1.9231000000000002E-2</v>
      </c>
      <c r="V59">
        <v>3.8802000000000003E-2</v>
      </c>
      <c r="X59">
        <v>-7.6920000000000001E-3</v>
      </c>
      <c r="Y59">
        <v>4.1334000000000003E-2</v>
      </c>
      <c r="AA59">
        <v>3.846E-3</v>
      </c>
      <c r="AB59">
        <v>4.4055999999999998E-2</v>
      </c>
      <c r="AD59">
        <v>1.5384999999999999E-2</v>
      </c>
      <c r="AE59">
        <v>4.6931E-2</v>
      </c>
    </row>
    <row r="60" spans="5:31" x14ac:dyDescent="0.25">
      <c r="E60" t="str">
        <v>n 6</v>
      </c>
      <c r="F60" t="str">
        <v>{"curve_x":"x","curve_y":"y","x":[-0.04,-0.029231,-0.018462,-0.007692,0.003077,0.013846,0.024615,0.035385,0.037185,0.046154,0.056923,0.067692,0.078462,0.089231,0.1],"y":[0.041334,0.041334,0.041334,0.041334,0.041334,0.041334,0.041334,0.041334,0.041334,0.040744,0.039996,0.039203,0.038359,0.03746,0.0365]}</v>
      </c>
      <c r="I60">
        <v>5.3332999999999998E-2</v>
      </c>
      <c r="J60">
        <v>4.9605999999999997E-2</v>
      </c>
      <c r="L60">
        <v>5.3332999999999998E-2</v>
      </c>
      <c r="M60">
        <v>5.2547999999999997E-2</v>
      </c>
      <c r="O60">
        <v>5.3332999999999998E-2</v>
      </c>
      <c r="P60">
        <v>5.5703000000000003E-2</v>
      </c>
      <c r="R60">
        <v>5.3332999999999998E-2</v>
      </c>
      <c r="S60">
        <v>5.9031E-2</v>
      </c>
      <c r="U60">
        <v>-1.2307999999999999E-2</v>
      </c>
      <c r="V60">
        <v>3.8802000000000003E-2</v>
      </c>
      <c r="X60">
        <v>3.0769999999999999E-3</v>
      </c>
      <c r="Y60">
        <v>4.1334000000000003E-2</v>
      </c>
      <c r="AA60">
        <v>1.8461999999999999E-2</v>
      </c>
      <c r="AB60">
        <v>4.4055999999999998E-2</v>
      </c>
      <c r="AD60">
        <v>3.3846000000000001E-2</v>
      </c>
      <c r="AE60">
        <v>4.6931E-2</v>
      </c>
    </row>
    <row r="61" spans="5:31" x14ac:dyDescent="0.25">
      <c r="E61" t="str">
        <v>n 7</v>
      </c>
      <c r="F61" t="str">
        <v>{"curve_x":"x","curve_y":"y","x":[-0.04,-0.025385,-0.010769,0.003846,0.018462,0.033077,0.047692,0.05812,0.062308,0.076923,0.091538,0.106154,0.120769,0.135385,0.15],"y":[0.044056,0.044056,0.044056,0.044056,0.044056,0.044056,0.044056,0.044056,0.043786,0.042799,0.041735,0.040586,0.03934,0.037984,0.0365]}</v>
      </c>
      <c r="I61">
        <v>7.6666999999999999E-2</v>
      </c>
      <c r="J61">
        <v>4.9605999999999997E-2</v>
      </c>
      <c r="L61">
        <v>7.6666999999999999E-2</v>
      </c>
      <c r="M61">
        <v>5.2547999999999997E-2</v>
      </c>
      <c r="O61">
        <v>7.6666999999999999E-2</v>
      </c>
      <c r="P61">
        <v>5.5703000000000003E-2</v>
      </c>
      <c r="R61">
        <v>7.6666999999999999E-2</v>
      </c>
      <c r="S61">
        <v>5.9031E-2</v>
      </c>
      <c r="U61">
        <v>-5.385E-3</v>
      </c>
      <c r="V61">
        <v>3.8802000000000003E-2</v>
      </c>
      <c r="X61">
        <v>1.3846000000000001E-2</v>
      </c>
      <c r="Y61">
        <v>4.1334000000000003E-2</v>
      </c>
      <c r="AA61">
        <v>3.3077000000000002E-2</v>
      </c>
      <c r="AB61">
        <v>4.4055999999999998E-2</v>
      </c>
      <c r="AD61">
        <v>5.2308E-2</v>
      </c>
      <c r="AE61">
        <v>4.6931E-2</v>
      </c>
    </row>
    <row r="62" spans="5:31" x14ac:dyDescent="0.25">
      <c r="E62" t="str">
        <v>n 8</v>
      </c>
      <c r="F62" t="str">
        <v>{"curve_x":"x","curve_y":"y","x":[-0.04,-0.021538,-0.003077,0.015385,0.033846,0.052308,0.070769,0.080239,0.089231,0.107692,0.126154,0.144615,0.163077,0.181538,0.2],"y":[0.046931,0.046931,0.046931,0.046931,0.046931,0.046931,0.046931,0.046931,0.04635,0.045078,0.043686,0.04216,0.040476,0.038604,0.0365]}</v>
      </c>
      <c r="I62">
        <v>0.1</v>
      </c>
      <c r="J62">
        <v>4.9605999999999997E-2</v>
      </c>
      <c r="L62">
        <v>0.1</v>
      </c>
      <c r="M62">
        <v>5.2547999999999997E-2</v>
      </c>
      <c r="O62">
        <v>0.1</v>
      </c>
      <c r="P62">
        <v>5.5703000000000003E-2</v>
      </c>
      <c r="R62">
        <v>0.1</v>
      </c>
      <c r="S62">
        <v>5.9031E-2</v>
      </c>
      <c r="U62">
        <v>1.5380000000000001E-3</v>
      </c>
      <c r="V62">
        <v>3.8802000000000003E-2</v>
      </c>
      <c r="X62">
        <v>2.4615000000000001E-2</v>
      </c>
      <c r="Y62">
        <v>4.1334000000000003E-2</v>
      </c>
      <c r="AA62">
        <v>4.7691999999999998E-2</v>
      </c>
      <c r="AB62">
        <v>4.4055999999999998E-2</v>
      </c>
      <c r="AD62">
        <v>7.0768999999999999E-2</v>
      </c>
      <c r="AE62">
        <v>4.6931E-2</v>
      </c>
    </row>
    <row r="63" spans="5:31" x14ac:dyDescent="0.25">
      <c r="I63">
        <v>0.100818</v>
      </c>
      <c r="J63">
        <v>4.9605999999999997E-2</v>
      </c>
      <c r="L63">
        <v>0.123333</v>
      </c>
      <c r="M63">
        <v>5.2547999999999997E-2</v>
      </c>
      <c r="O63">
        <v>0.123333</v>
      </c>
      <c r="P63">
        <v>5.5703000000000003E-2</v>
      </c>
      <c r="R63">
        <v>0.123333</v>
      </c>
      <c r="S63">
        <v>5.9031E-2</v>
      </c>
      <c r="U63">
        <v>8.4620000000000008E-3</v>
      </c>
      <c r="V63">
        <v>3.8802000000000003E-2</v>
      </c>
      <c r="X63">
        <v>3.5385E-2</v>
      </c>
      <c r="Y63">
        <v>4.1334000000000003E-2</v>
      </c>
      <c r="AA63">
        <v>5.8119999999999998E-2</v>
      </c>
      <c r="AB63">
        <v>4.4055999999999998E-2</v>
      </c>
      <c r="AD63">
        <v>8.0239000000000005E-2</v>
      </c>
      <c r="AE63">
        <v>4.6931E-2</v>
      </c>
    </row>
    <row r="64" spans="5:31" x14ac:dyDescent="0.25">
      <c r="I64">
        <v>0.123333</v>
      </c>
      <c r="J64">
        <v>4.8118000000000001E-2</v>
      </c>
      <c r="L64">
        <v>0.123443</v>
      </c>
      <c r="M64">
        <v>5.2547999999999997E-2</v>
      </c>
      <c r="O64">
        <v>0.14666699999999999</v>
      </c>
      <c r="P64">
        <v>5.5703000000000003E-2</v>
      </c>
      <c r="R64">
        <v>0.14666699999999999</v>
      </c>
      <c r="S64">
        <v>5.9031E-2</v>
      </c>
      <c r="U64">
        <v>1.5384999999999999E-2</v>
      </c>
      <c r="V64">
        <v>3.8802000000000003E-2</v>
      </c>
      <c r="X64">
        <v>3.7185000000000003E-2</v>
      </c>
      <c r="Y64">
        <v>4.1334000000000003E-2</v>
      </c>
      <c r="AA64">
        <v>6.2308000000000002E-2</v>
      </c>
      <c r="AB64">
        <v>4.3785999999999999E-2</v>
      </c>
      <c r="AD64">
        <v>8.9231000000000005E-2</v>
      </c>
      <c r="AE64">
        <v>4.6350000000000002E-2</v>
      </c>
    </row>
    <row r="65" spans="6:31" x14ac:dyDescent="0.25">
      <c r="I65">
        <v>0.14666699999999999</v>
      </c>
      <c r="J65">
        <v>4.641E-2</v>
      </c>
      <c r="L65">
        <v>0.14666699999999999</v>
      </c>
      <c r="M65">
        <v>5.1025000000000001E-2</v>
      </c>
      <c r="O65">
        <v>0.14771500000000001</v>
      </c>
      <c r="P65">
        <v>5.5703000000000003E-2</v>
      </c>
      <c r="R65">
        <v>0.17</v>
      </c>
      <c r="S65">
        <v>5.9031E-2</v>
      </c>
      <c r="U65">
        <v>1.771E-2</v>
      </c>
      <c r="V65">
        <v>3.8802000000000003E-2</v>
      </c>
      <c r="X65">
        <v>4.6154000000000001E-2</v>
      </c>
      <c r="Y65">
        <v>4.0744000000000002E-2</v>
      </c>
      <c r="AA65">
        <v>7.6923000000000005E-2</v>
      </c>
      <c r="AB65">
        <v>4.2798999999999997E-2</v>
      </c>
      <c r="AD65">
        <v>0.107692</v>
      </c>
      <c r="AE65">
        <v>4.5078E-2</v>
      </c>
    </row>
    <row r="66" spans="6:31" x14ac:dyDescent="0.25">
      <c r="I66">
        <v>0.17</v>
      </c>
      <c r="J66">
        <v>4.4503000000000001E-2</v>
      </c>
      <c r="L66">
        <v>0.17</v>
      </c>
      <c r="M66">
        <v>4.9336999999999999E-2</v>
      </c>
      <c r="O66">
        <v>0.17</v>
      </c>
      <c r="P66">
        <v>5.4257E-2</v>
      </c>
      <c r="R66">
        <v>0.173316</v>
      </c>
      <c r="S66">
        <v>5.9031E-2</v>
      </c>
      <c r="U66">
        <v>2.2308000000000001E-2</v>
      </c>
      <c r="V66">
        <v>3.85E-2</v>
      </c>
      <c r="X66">
        <v>5.6923000000000001E-2</v>
      </c>
      <c r="Y66">
        <v>3.9995999999999997E-2</v>
      </c>
      <c r="AA66">
        <v>9.1537999999999994E-2</v>
      </c>
      <c r="AB66">
        <v>4.1735000000000001E-2</v>
      </c>
      <c r="AD66">
        <v>0.12615399999999999</v>
      </c>
      <c r="AE66">
        <v>4.3686000000000003E-2</v>
      </c>
    </row>
    <row r="67" spans="6:31" x14ac:dyDescent="0.25">
      <c r="I67">
        <v>0.193333</v>
      </c>
      <c r="J67">
        <v>4.2361999999999997E-2</v>
      </c>
      <c r="L67">
        <v>0.193333</v>
      </c>
      <c r="M67">
        <v>4.7469999999999998E-2</v>
      </c>
      <c r="O67">
        <v>0.193333</v>
      </c>
      <c r="P67">
        <v>5.2602000000000003E-2</v>
      </c>
      <c r="R67">
        <v>0.193333</v>
      </c>
      <c r="S67">
        <v>5.7748000000000001E-2</v>
      </c>
      <c r="U67">
        <v>2.9231E-2</v>
      </c>
      <c r="V67">
        <v>3.8031000000000002E-2</v>
      </c>
      <c r="X67">
        <v>6.7692000000000002E-2</v>
      </c>
      <c r="Y67">
        <v>3.9203000000000002E-2</v>
      </c>
      <c r="AA67">
        <v>0.106154</v>
      </c>
      <c r="AB67">
        <v>4.0585999999999997E-2</v>
      </c>
      <c r="AD67">
        <v>0.14461499999999999</v>
      </c>
      <c r="AE67">
        <v>4.2160000000000003E-2</v>
      </c>
    </row>
    <row r="68" spans="6:31" x14ac:dyDescent="0.25">
      <c r="I68">
        <v>0.2</v>
      </c>
      <c r="J68">
        <v>4.1700000000000001E-2</v>
      </c>
      <c r="L68">
        <v>0.2</v>
      </c>
      <c r="M68">
        <v>4.6899999999999997E-2</v>
      </c>
      <c r="O68">
        <v>0.2</v>
      </c>
      <c r="P68">
        <v>5.21E-2</v>
      </c>
      <c r="R68">
        <v>0.2</v>
      </c>
      <c r="S68">
        <v>5.7299999999999997E-2</v>
      </c>
      <c r="U68">
        <v>3.6153999999999999E-2</v>
      </c>
      <c r="V68">
        <v>3.7541999999999999E-2</v>
      </c>
      <c r="X68">
        <v>7.8462000000000004E-2</v>
      </c>
      <c r="Y68">
        <v>3.8358999999999997E-2</v>
      </c>
      <c r="AA68">
        <v>0.120769</v>
      </c>
      <c r="AB68">
        <v>3.934E-2</v>
      </c>
      <c r="AD68">
        <v>0.163077</v>
      </c>
      <c r="AE68">
        <v>4.0475999999999998E-2</v>
      </c>
    </row>
    <row r="69" spans="6:31" x14ac:dyDescent="0.25">
      <c r="I69">
        <v>0.216667</v>
      </c>
      <c r="J69">
        <v>4.1700000000000001E-2</v>
      </c>
      <c r="L69">
        <v>0.216667</v>
      </c>
      <c r="M69">
        <v>4.6899999999999997E-2</v>
      </c>
      <c r="O69">
        <v>0.216667</v>
      </c>
      <c r="P69">
        <v>5.21E-2</v>
      </c>
      <c r="R69">
        <v>0.216667</v>
      </c>
      <c r="S69">
        <v>5.7299999999999997E-2</v>
      </c>
      <c r="U69">
        <v>4.3076999999999997E-2</v>
      </c>
      <c r="V69">
        <v>3.7032000000000002E-2</v>
      </c>
      <c r="X69">
        <v>8.9231000000000005E-2</v>
      </c>
      <c r="Y69">
        <v>3.746E-2</v>
      </c>
      <c r="AA69">
        <v>0.13538500000000001</v>
      </c>
      <c r="AB69">
        <v>3.7983999999999997E-2</v>
      </c>
      <c r="AD69">
        <v>0.181538</v>
      </c>
      <c r="AE69">
        <v>3.8603999999999999E-2</v>
      </c>
    </row>
    <row r="70" spans="6:31" x14ac:dyDescent="0.25">
      <c r="I70">
        <v>0.24</v>
      </c>
      <c r="J70">
        <v>4.1700000000000001E-2</v>
      </c>
      <c r="L70">
        <v>0.24</v>
      </c>
      <c r="M70">
        <v>4.6899999999999997E-2</v>
      </c>
      <c r="O70">
        <v>0.24</v>
      </c>
      <c r="P70">
        <v>5.21E-2</v>
      </c>
      <c r="R70">
        <v>0.24</v>
      </c>
      <c r="S70">
        <v>5.7299999999999997E-2</v>
      </c>
      <c r="U70">
        <v>0.05</v>
      </c>
      <c r="V70">
        <v>3.6499999999999998E-2</v>
      </c>
      <c r="X70">
        <v>0.1</v>
      </c>
      <c r="Y70">
        <v>3.6499999999999998E-2</v>
      </c>
      <c r="AA70">
        <v>0.15</v>
      </c>
      <c r="AB70">
        <v>3.6499999999999998E-2</v>
      </c>
      <c r="AD70">
        <v>0.2</v>
      </c>
      <c r="AE70">
        <v>3.6499999999999998E-2</v>
      </c>
    </row>
    <row r="73" spans="6:31" x14ac:dyDescent="0.25">
      <c r="F73" t="s">
        <v>44</v>
      </c>
      <c r="G73" t="s">
        <v>43</v>
      </c>
      <c r="I73" t="s">
        <v>44</v>
      </c>
      <c r="J73" t="s">
        <v>43</v>
      </c>
      <c r="L73" t="s">
        <v>44</v>
      </c>
      <c r="O73" t="s">
        <v>44</v>
      </c>
      <c r="P73" t="s">
        <v>43</v>
      </c>
    </row>
    <row r="74" spans="6:31" x14ac:dyDescent="0.25">
      <c r="F74">
        <f>dintake_m/2</f>
        <v>3.6499999999999998E-2</v>
      </c>
      <c r="G74">
        <v>0</v>
      </c>
      <c r="I74">
        <f>dintake_m/2</f>
        <v>3.6499999999999998E-2</v>
      </c>
      <c r="J74">
        <f>M74</f>
        <v>-3.999999999999998E-2</v>
      </c>
      <c r="L74">
        <f>dcas_m/2</f>
        <v>6.25E-2</v>
      </c>
      <c r="M74">
        <f>P75-M75</f>
        <v>-3.999999999999998E-2</v>
      </c>
      <c r="O74">
        <f>F74</f>
        <v>3.6499999999999998E-2</v>
      </c>
      <c r="P74">
        <v>0</v>
      </c>
    </row>
    <row r="75" spans="6:31" x14ac:dyDescent="0.25">
      <c r="F75">
        <f>F74</f>
        <v>3.6499999999999998E-2</v>
      </c>
      <c r="G75">
        <f>hint</f>
        <v>0.2</v>
      </c>
      <c r="I75">
        <f>I74</f>
        <v>3.6499999999999998E-2</v>
      </c>
      <c r="J75">
        <f>hint*1.2</f>
        <v>0.24</v>
      </c>
      <c r="L75">
        <f>L74</f>
        <v>6.25E-2</v>
      </c>
      <c r="M75">
        <f>hint*1.2</f>
        <v>0.24</v>
      </c>
      <c r="O75">
        <f>L75</f>
        <v>6.25E-2</v>
      </c>
      <c r="P75">
        <f>G75</f>
        <v>0.2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EEEB6-9037-44C5-9077-020BF6052E78}">
  <sheetPr codeName="Лист6"/>
  <dimension ref="D3:AJ75"/>
  <sheetViews>
    <sheetView zoomScale="90" zoomScaleNormal="90" workbookViewId="0">
      <selection activeCell="E53" sqref="E53"/>
    </sheetView>
  </sheetViews>
  <sheetFormatPr defaultRowHeight="15" x14ac:dyDescent="0.25"/>
  <cols>
    <col min="4" max="4" width="11.42578125" customWidth="1"/>
    <col min="5" max="5" width="13" customWidth="1"/>
    <col min="8" max="8" width="17.85546875" customWidth="1"/>
    <col min="9" max="9" width="11.140625" bestFit="1" customWidth="1"/>
    <col min="13" max="13" width="20.42578125" customWidth="1"/>
    <col min="14" max="14" width="11" bestFit="1" customWidth="1"/>
    <col min="15" max="15" width="10.85546875" customWidth="1"/>
    <col min="16" max="16" width="11" bestFit="1" customWidth="1"/>
    <col min="26" max="26" width="12.28515625" bestFit="1" customWidth="1"/>
  </cols>
  <sheetData>
    <row r="3" spans="4:16" x14ac:dyDescent="0.25">
      <c r="D3" t="s">
        <v>15</v>
      </c>
      <c r="H3" t="s">
        <v>17</v>
      </c>
      <c r="M3" t="s">
        <v>16</v>
      </c>
    </row>
    <row r="6" spans="4:16" x14ac:dyDescent="0.25">
      <c r="D6" s="1" t="s">
        <v>0</v>
      </c>
      <c r="E6" s="1">
        <v>0.81</v>
      </c>
      <c r="H6" s="3" t="s">
        <v>24</v>
      </c>
      <c r="I6">
        <v>130</v>
      </c>
      <c r="J6" t="s">
        <v>18</v>
      </c>
      <c r="K6">
        <f>dcas/1000</f>
        <v>0.13</v>
      </c>
      <c r="M6" t="s">
        <v>19</v>
      </c>
      <c r="N6" s="9" cm="1">
        <f t="array" ref="N6">[1]!feed_rho_liq_kgm3(p,t,feed_json)</f>
        <v>692.68525477941614</v>
      </c>
      <c r="O6" t="s">
        <v>28</v>
      </c>
    </row>
    <row r="7" spans="4:16" x14ac:dyDescent="0.25">
      <c r="D7" s="1" t="s">
        <v>1</v>
      </c>
      <c r="E7" s="1">
        <v>0.86</v>
      </c>
      <c r="H7" s="3" t="s">
        <v>25</v>
      </c>
      <c r="I7">
        <v>5</v>
      </c>
      <c r="J7" t="s">
        <v>18</v>
      </c>
      <c r="K7">
        <f>dintake/1000</f>
        <v>5.0000000000000001E-3</v>
      </c>
      <c r="M7" t="s">
        <v>20</v>
      </c>
      <c r="N7" s="9" cm="1">
        <f t="array" ref="N7">[1]!PVT_rho_gas_kgm3(p,t,PVT_json)</f>
        <v>188.71052616498764</v>
      </c>
      <c r="O7" t="s">
        <v>28</v>
      </c>
    </row>
    <row r="8" spans="4:16" x14ac:dyDescent="0.25">
      <c r="D8" s="1" t="s">
        <v>2</v>
      </c>
      <c r="E8" s="1">
        <v>1.1000000000000001</v>
      </c>
      <c r="M8" t="s">
        <v>21</v>
      </c>
      <c r="N8" s="6" cm="1">
        <f t="array" ref="N8">[1]!feed_ST_liqgas_Nm(p,t,feed_json)*calibr_st</f>
        <v>2.6905630849376586E-2</v>
      </c>
      <c r="O8" t="s">
        <v>29</v>
      </c>
      <c r="P8">
        <f>Пов._Натяжение/1000</f>
        <v>2.6905630849376587E-5</v>
      </c>
    </row>
    <row r="9" spans="4:16" x14ac:dyDescent="0.25">
      <c r="D9" s="1" t="s">
        <v>3</v>
      </c>
      <c r="E9" s="1">
        <v>268</v>
      </c>
      <c r="H9" s="4" t="s">
        <v>26</v>
      </c>
      <c r="I9" s="4">
        <v>180</v>
      </c>
      <c r="M9" t="s">
        <v>22</v>
      </c>
      <c r="N9" s="7" cm="1">
        <f t="array" ref="N9">[1]!feed_q_liq_rc_m3day(p,t,feed_json)</f>
        <v>242.2566084560747</v>
      </c>
    </row>
    <row r="10" spans="4:16" x14ac:dyDescent="0.25">
      <c r="D10" s="1" t="s">
        <v>4</v>
      </c>
      <c r="E10" s="1">
        <v>199</v>
      </c>
      <c r="H10" s="4" t="s">
        <v>27</v>
      </c>
      <c r="I10" s="4">
        <v>80</v>
      </c>
      <c r="M10" t="s">
        <v>23</v>
      </c>
      <c r="N10" s="7" cm="1">
        <f t="array" ref="N10">[1]!feed_q_gas_rc_m3day(p,t,feed_json)</f>
        <v>22.843403725975772</v>
      </c>
    </row>
    <row r="11" spans="4:16" x14ac:dyDescent="0.25">
      <c r="D11" s="1" t="s">
        <v>5</v>
      </c>
      <c r="E11" s="1">
        <v>80</v>
      </c>
      <c r="H11" s="4" t="s">
        <v>48</v>
      </c>
      <c r="I11" s="4">
        <v>1</v>
      </c>
      <c r="M11" t="s">
        <v>30</v>
      </c>
      <c r="N11" s="6" cm="1">
        <f t="array" ref="N11">[1]!feed_mu_liq_cP(p,t,feed_json)</f>
        <v>0.39778655743087443</v>
      </c>
    </row>
    <row r="12" spans="4:16" x14ac:dyDescent="0.25">
      <c r="D12" s="1" t="s">
        <v>6</v>
      </c>
      <c r="E12" s="1"/>
      <c r="H12" s="10" t="s">
        <v>49</v>
      </c>
      <c r="I12" s="4">
        <v>1</v>
      </c>
      <c r="M12" t="s">
        <v>31</v>
      </c>
      <c r="N12" s="6" cm="1">
        <f t="array" ref="N12">[1]!PVT_mu_gas_cP(p,t,PVT_json)</f>
        <v>2.2179447288884175E-2</v>
      </c>
    </row>
    <row r="13" spans="4:16" x14ac:dyDescent="0.25">
      <c r="D13" s="1" t="s">
        <v>7</v>
      </c>
      <c r="E13" s="1"/>
      <c r="H13" s="10" t="s">
        <v>50</v>
      </c>
      <c r="I13" s="4">
        <v>10</v>
      </c>
    </row>
    <row r="14" spans="4:16" x14ac:dyDescent="0.25">
      <c r="D14" s="1" t="s">
        <v>8</v>
      </c>
      <c r="E14" s="1">
        <v>1</v>
      </c>
    </row>
    <row r="15" spans="4:16" x14ac:dyDescent="0.25">
      <c r="D15" s="1" t="s">
        <v>9</v>
      </c>
      <c r="E15" s="2" t="str">
        <f>[1]!encode_PVT(E6,E7,E8,E9,E10,E11,E12,E13,E14)</f>
        <v>{"gamma_gas":0.81,"gamma_oil":0.86,"gamma_wat":1.1,"rsb_m3m3":268,"pb_atma":199,"t_res_C":80,"PVT_corr_set":1}</v>
      </c>
    </row>
    <row r="16" spans="4:16" x14ac:dyDescent="0.25">
      <c r="D16" s="1" t="s">
        <v>10</v>
      </c>
      <c r="E16" s="1">
        <v>150</v>
      </c>
    </row>
    <row r="17" spans="4:36" x14ac:dyDescent="0.25">
      <c r="D17" s="1" t="s">
        <v>11</v>
      </c>
      <c r="E17" s="1">
        <v>10</v>
      </c>
    </row>
    <row r="18" spans="4:36" x14ac:dyDescent="0.25">
      <c r="D18" s="1" t="s">
        <v>12</v>
      </c>
      <c r="E18" s="1">
        <v>268</v>
      </c>
    </row>
    <row r="19" spans="4:36" x14ac:dyDescent="0.25">
      <c r="D19" s="1" t="s">
        <v>13</v>
      </c>
      <c r="E19" s="1">
        <v>0</v>
      </c>
    </row>
    <row r="20" spans="4:36" x14ac:dyDescent="0.25">
      <c r="D20" s="1" t="s">
        <v>14</v>
      </c>
      <c r="E20" s="2" t="str">
        <f>[1]!encode_feed(E16,E17,E18,E19,E15)</f>
        <v>{"gamma_gas":0.81,"gamma_oil":0.86,"gamma_wat":1.1,"rsb_m3m3":268,"pb_atma":199,"t_res_C":80,"PVT_corr_set":1,"q_liq_sm3day":150,"fw_perc":10,"rp_m3m3":268}</v>
      </c>
    </row>
    <row r="23" spans="4:36" x14ac:dyDescent="0.25">
      <c r="I23" s="5"/>
    </row>
    <row r="26" spans="4:36" x14ac:dyDescent="0.25">
      <c r="E26" t="s">
        <v>46</v>
      </c>
    </row>
    <row r="28" spans="4:36" x14ac:dyDescent="0.25">
      <c r="F28" t="s">
        <v>32</v>
      </c>
      <c r="G28" t="s">
        <v>14</v>
      </c>
      <c r="H28" t="s">
        <v>19</v>
      </c>
      <c r="I28" t="s">
        <v>20</v>
      </c>
      <c r="J28" t="s">
        <v>21</v>
      </c>
      <c r="K28" t="s">
        <v>22</v>
      </c>
      <c r="L28" t="s">
        <v>23</v>
      </c>
      <c r="M28" t="s">
        <v>30</v>
      </c>
      <c r="N28" t="s">
        <v>31</v>
      </c>
      <c r="P28" t="s">
        <v>34</v>
      </c>
    </row>
    <row r="29" spans="4:36" x14ac:dyDescent="0.25">
      <c r="F29">
        <v>2</v>
      </c>
      <c r="G29" t="str">
        <f>[1]!encode_feed(F29,$E$17,$E$18,$E$19,$E$15)</f>
        <v>{"gamma_gas":0.81,"gamma_oil":0.86,"gamma_wat":1.1,"rsb_m3m3":268,"pb_atma":199,"t_res_C":80,"PVT_corr_set":1,"q_liq_sm3day":2,"fw_perc":10,"rp_m3m3":268}</v>
      </c>
      <c r="H29" s="9" cm="1">
        <f t="array" ref="H29">[1]!feed_rho_liq_kgm3(p,t,G29)</f>
        <v>692.68525477941614</v>
      </c>
      <c r="I29" s="9" cm="1">
        <f t="array" ref="I29">[1]!PVT_rho_gas_kgm3(p,t,PVT_json)</f>
        <v>188.71052616498764</v>
      </c>
      <c r="J29" s="6" cm="1">
        <f t="array" ref="J29">[1]!feed_ST_liqgas_Nm(p,t,G29)</f>
        <v>2.6905630849376586E-2</v>
      </c>
      <c r="K29" s="8" cm="1">
        <f t="array" ref="K29">[1]!feed_q_liq_rc_m3day(p,t,G29)</f>
        <v>3.2300881127476631</v>
      </c>
      <c r="L29" s="8" cm="1">
        <f t="array" ref="L29">[1]!feed_q_gas_rc_m3day(p,t,G29)</f>
        <v>0.30457871634634376</v>
      </c>
      <c r="M29" s="7" cm="1">
        <f t="array" ref="M29">[1]!feed_mu_liq_cP(p,t,G29)</f>
        <v>0.39778655743087443</v>
      </c>
      <c r="N29" s="7" cm="1">
        <f t="array" ref="N29">[1]!PVT_mu_gas_cP(p,t,G29)</f>
        <v>2.2179447288884175E-2</v>
      </c>
      <c r="O29" s="7"/>
      <c r="P29" s="7" cm="1">
        <f t="array" ref="P29">[1]!unf_ksep_mechanistic_Marquez_reverse(dintake_m,dcas_m,K29,L29,J29,H29,I29,M29,N29,1,hperf,calibr_li,calibr_st)</f>
        <v>1</v>
      </c>
      <c r="R29" s="11">
        <f t="array" ref="R29:X29">[1]!unf_ksep_mechanistic_Marquez_reverse(dintake_m,dcas_m,K29,L29,J29,H29,I29,M29,N29,0,hint+hperf,calibr_li,calibr_st)</f>
        <v>1</v>
      </c>
      <c r="S29" s="11">
        <v>0</v>
      </c>
      <c r="T29" s="11">
        <v>0.19742570428117145</v>
      </c>
      <c r="U29" s="11">
        <v>2.8207473230476153E-3</v>
      </c>
      <c r="V29" s="11">
        <v>2.6598023608105355E-4</v>
      </c>
      <c r="W29" s="11">
        <v>6.9464963995788983E-4</v>
      </c>
      <c r="X29">
        <v>0.19435998377681157</v>
      </c>
      <c r="AE29" s="1" cm="1">
        <f t="array" ref="AE29">[1]!feed_rho_mix_kgm3(p,t,G29)/$AE$43</f>
        <v>64.925825491371057</v>
      </c>
      <c r="AF29" s="1"/>
      <c r="AG29" s="1">
        <f>W29^2*9.81*(H29-I29-AE29)/54/(M29*0.001)</f>
        <v>9.6754165432019923E-2</v>
      </c>
      <c r="AH29" s="1"/>
      <c r="AI29" s="1">
        <f>1.2*(V29-U29)+AG29</f>
        <v>9.3688444927660042E-2</v>
      </c>
      <c r="AJ29">
        <f>1.2*(V29-U29)+T29</f>
        <v>0.19435998377681157</v>
      </c>
    </row>
    <row r="30" spans="4:36" x14ac:dyDescent="0.25">
      <c r="F30">
        <v>10</v>
      </c>
      <c r="G30" t="str">
        <f>[1]!encode_feed(F30,$E$17,$E$18,$E$19,$E$15)</f>
        <v>{"gamma_gas":0.81,"gamma_oil":0.86,"gamma_wat":1.1,"rsb_m3m3":268,"pb_atma":199,"t_res_C":80,"PVT_corr_set":1,"q_liq_sm3day":10,"fw_perc":10,"rp_m3m3":268}</v>
      </c>
      <c r="H30" s="9" cm="1">
        <f t="array" ref="H30">[1]!feed_rho_liq_kgm3(p,t,G30)</f>
        <v>692.68525477941614</v>
      </c>
      <c r="I30" s="9" cm="1">
        <f t="array" ref="I30">[1]!PVT_rho_gas_kgm3(p,t,PVT_json)</f>
        <v>188.71052616498764</v>
      </c>
      <c r="J30" s="6" cm="1">
        <f t="array" ref="J30">[1]!feed_ST_liqgas_Nm(p,t,G30)</f>
        <v>2.6905630849376586E-2</v>
      </c>
      <c r="K30" s="8" cm="1">
        <f t="array" ref="K30">[1]!feed_q_liq_rc_m3day(p,t,G30)</f>
        <v>16.150440563738314</v>
      </c>
      <c r="L30" s="8" cm="1">
        <f t="array" ref="L30">[1]!feed_q_gas_rc_m3day(p,t,G30)</f>
        <v>1.522893581731718</v>
      </c>
      <c r="M30" s="7" cm="1">
        <f t="array" ref="M30">[1]!feed_mu_liq_cP(p,t,G30)</f>
        <v>0.39778655743087443</v>
      </c>
      <c r="N30" s="7" cm="1">
        <f t="array" ref="N30">[1]!PVT_mu_gas_cP(p,t,G30)</f>
        <v>2.2179447288884175E-2</v>
      </c>
      <c r="O30" s="7"/>
      <c r="P30" s="7" cm="1">
        <f t="array" ref="P30">[1]!unf_ksep_mechanistic_Marquez_reverse(dintake_m,dcas_m,K30,L30,J30,H30,I30,M30,N30,1,hperf,calibr_li,calibr_st)</f>
        <v>1</v>
      </c>
      <c r="R30" s="11">
        <f t="array" ref="R30:X30">[1]!unf_ksep_mechanistic_Marquez_reverse(dintake_m,dcas_m,K30,L30,J30,H30,I30,M30,N30,0,hint+hperf,calibr_li,calibr_st)</f>
        <v>1</v>
      </c>
      <c r="S30" s="11">
        <v>0</v>
      </c>
      <c r="T30" s="11">
        <v>0.19742570428117145</v>
      </c>
      <c r="U30" s="11">
        <v>1.4103736615238076E-2</v>
      </c>
      <c r="V30" s="11">
        <v>1.329901180405267E-3</v>
      </c>
      <c r="W30" s="11">
        <v>6.9378484739542089E-4</v>
      </c>
      <c r="X30">
        <v>0.18209710175937208</v>
      </c>
      <c r="AE30" s="1" cm="1">
        <f t="array" ref="AE30">[1]!feed_rho_mix_kgm3(p,t,G30)/$AE$43</f>
        <v>64.925825491371057</v>
      </c>
      <c r="AF30" s="1"/>
      <c r="AG30" s="1">
        <f>W30^2*9.81*(H30-I30-AE30)/54/(M30*0.001)</f>
        <v>9.6513410396294477E-2</v>
      </c>
      <c r="AH30" s="1"/>
      <c r="AI30" s="1">
        <f>1.2*(V30-U30)+AG30</f>
        <v>8.1184807874495113E-2</v>
      </c>
      <c r="AJ30">
        <f>1.2*(V30-U30)+T30</f>
        <v>0.18209710175937208</v>
      </c>
    </row>
    <row r="31" spans="4:36" x14ac:dyDescent="0.25">
      <c r="F31">
        <v>30</v>
      </c>
      <c r="G31" t="str">
        <f>[1]!encode_feed(F31,$E$17,$E$18,$E$19,$E$15)</f>
        <v>{"gamma_gas":0.81,"gamma_oil":0.86,"gamma_wat":1.1,"rsb_m3m3":268,"pb_atma":199,"t_res_C":80,"PVT_corr_set":1,"q_liq_sm3day":30,"fw_perc":10,"rp_m3m3":268}</v>
      </c>
      <c r="H31" s="9" cm="1">
        <f t="array" ref="H31">[1]!feed_rho_liq_kgm3(p,t,G31)</f>
        <v>692.68525477941614</v>
      </c>
      <c r="I31" s="9" cm="1">
        <f t="array" ref="I31">[1]!PVT_rho_gas_kgm3(p,t,PVT_json)</f>
        <v>188.71052616498764</v>
      </c>
      <c r="J31" s="6" cm="1">
        <f t="array" ref="J31">[1]!feed_ST_liqgas_Nm(p,t,G31)</f>
        <v>2.6905630849376586E-2</v>
      </c>
      <c r="K31" s="8" cm="1">
        <f t="array" ref="K31">[1]!feed_q_liq_rc_m3day(p,t,G31)</f>
        <v>48.451321691214936</v>
      </c>
      <c r="L31" s="8" cm="1">
        <f t="array" ref="L31">[1]!feed_q_gas_rc_m3day(p,t,G31)</f>
        <v>4.568680745195155</v>
      </c>
      <c r="M31" s="7" cm="1">
        <f t="array" ref="M31">[1]!feed_mu_liq_cP(p,t,G31)</f>
        <v>0.39778655743087443</v>
      </c>
      <c r="N31" s="7" cm="1">
        <f t="array" ref="N31">[1]!PVT_mu_gas_cP(p,t,G31)</f>
        <v>2.2179447288884175E-2</v>
      </c>
      <c r="O31" s="7"/>
      <c r="P31" s="7" cm="1">
        <f t="array" ref="P31">[1]!unf_ksep_mechanistic_Marquez_reverse(dintake_m,dcas_m,K31,L31,J31,H31,I31,M31,N31,1,hperf,calibr_li,calibr_st)</f>
        <v>1</v>
      </c>
      <c r="R31" s="11">
        <f t="array" ref="R31:X31">[1]!unf_ksep_mechanistic_Marquez_reverse(dintake_m,dcas_m,K31,L31,J31,H31,I31,M31,N31,0,hint+hperf,calibr_li,calibr_st)</f>
        <v>1</v>
      </c>
      <c r="S31" s="11">
        <v>3</v>
      </c>
      <c r="T31" s="11">
        <v>0.18194133531794229</v>
      </c>
      <c r="U31" s="11">
        <v>4.2311209845714223E-2</v>
      </c>
      <c r="V31" s="11">
        <v>3.989703541215802E-3</v>
      </c>
      <c r="W31" s="11">
        <v>6.9169665154348713E-4</v>
      </c>
      <c r="X31">
        <v>0.15143989671577335</v>
      </c>
      <c r="AE31" s="1" cm="1">
        <f t="array" ref="AE31">[1]!feed_rho_mix_kgm3(p,t,G31)/$AE$43</f>
        <v>64.925825491371057</v>
      </c>
      <c r="AF31" s="1"/>
      <c r="AG31" s="1">
        <f>W31^2*9.81*(H31-I31-AE31)/54/(M31*0.001)</f>
        <v>9.5933300865296584E-2</v>
      </c>
      <c r="AH31" s="1"/>
      <c r="AI31" s="1">
        <f>1.2*(V31-U31)+AG31</f>
        <v>4.9947493299898484E-2</v>
      </c>
      <c r="AJ31">
        <f>1.2*(V31-U31)+T31</f>
        <v>0.13595552775254419</v>
      </c>
    </row>
    <row r="32" spans="4:36" x14ac:dyDescent="0.25">
      <c r="F32">
        <v>50</v>
      </c>
      <c r="G32" t="str">
        <f>[1]!encode_feed(F32,$E$17,$E$18,$E$19,$E$15)</f>
        <v>{"gamma_gas":0.81,"gamma_oil":0.86,"gamma_wat":1.1,"rsb_m3m3":268,"pb_atma":199,"t_res_C":80,"PVT_corr_set":1,"q_liq_sm3day":50,"fw_perc":10,"rp_m3m3":268}</v>
      </c>
      <c r="H32" s="9" cm="1">
        <f t="array" ref="H32">[1]!feed_rho_liq_kgm3(p,t,G32)</f>
        <v>692.68525477941614</v>
      </c>
      <c r="I32" s="9" cm="1">
        <f t="array" ref="I32">[1]!PVT_rho_gas_kgm3(p,t,PVT_json)</f>
        <v>188.71052616498764</v>
      </c>
      <c r="J32" s="6" cm="1">
        <f t="array" ref="J32">[1]!feed_ST_liqgas_Nm(p,t,G32)</f>
        <v>2.6905630849376586E-2</v>
      </c>
      <c r="K32" s="8" cm="1">
        <f t="array" ref="K32">[1]!feed_q_liq_rc_m3day(p,t,G32)</f>
        <v>80.752202818691558</v>
      </c>
      <c r="L32" s="8" cm="1">
        <f t="array" ref="L32">[1]!feed_q_gas_rc_m3day(p,t,G32)</f>
        <v>7.6144679086585905</v>
      </c>
      <c r="M32" s="7" cm="1">
        <f t="array" ref="M32">[1]!feed_mu_liq_cP(p,t,G32)</f>
        <v>0.39778655743087443</v>
      </c>
      <c r="N32" s="7" cm="1">
        <f t="array" ref="N32">[1]!PVT_mu_gas_cP(p,t,G32)</f>
        <v>2.2179447288884175E-2</v>
      </c>
      <c r="O32" s="7"/>
      <c r="P32" s="7" cm="1">
        <f t="array" ref="P32">[1]!unf_ksep_mechanistic_Marquez_reverse(dintake_m,dcas_m,K32,L32,J32,H32,I32,M32,N32,1,hperf,calibr_li,calibr_st)</f>
        <v>1</v>
      </c>
      <c r="R32" s="11">
        <f t="array" ref="R32:X32">[1]!unf_ksep_mechanistic_Marquez_reverse(dintake_m,dcas_m,K32,L32,J32,H32,I32,M32,N32,0,hint+hperf,calibr_li,calibr_st)</f>
        <v>1</v>
      </c>
      <c r="S32" s="11">
        <v>3</v>
      </c>
      <c r="T32" s="11">
        <v>0.18194133531794229</v>
      </c>
      <c r="U32" s="11">
        <v>7.0518683076190372E-2</v>
      </c>
      <c r="V32" s="11">
        <v>6.6495059020263356E-3</v>
      </c>
      <c r="W32" s="11">
        <v>6.8971056270545749E-4</v>
      </c>
      <c r="X32">
        <v>0.12078269167217462</v>
      </c>
      <c r="AE32" s="1" cm="1">
        <f t="array" ref="AE32">[1]!feed_rho_mix_kgm3(p,t,G32)/$AE$43</f>
        <v>64.925825491371057</v>
      </c>
      <c r="AF32" s="1"/>
      <c r="AG32" s="1">
        <f>W32^2*9.81*(H32-I32-AE32)/54/(M32*0.001)</f>
        <v>9.5383179601929866E-2</v>
      </c>
      <c r="AH32" s="1"/>
      <c r="AI32" s="1">
        <f>1.2*(V32-U32)+AG32</f>
        <v>1.8740166992933016E-2</v>
      </c>
      <c r="AJ32">
        <f>1.2*(V32-U32)+T32</f>
        <v>0.10529832270894544</v>
      </c>
    </row>
    <row r="33" spans="5:36" x14ac:dyDescent="0.25">
      <c r="F33">
        <v>70</v>
      </c>
      <c r="G33" t="str">
        <f>[1]!encode_feed(F33,$E$17,$E$18,$E$19,$E$15)</f>
        <v>{"gamma_gas":0.81,"gamma_oil":0.86,"gamma_wat":1.1,"rsb_m3m3":268,"pb_atma":199,"t_res_C":80,"PVT_corr_set":1,"q_liq_sm3day":70,"fw_perc":10,"rp_m3m3":268}</v>
      </c>
      <c r="H33" s="9" cm="1">
        <f t="array" ref="H33">[1]!feed_rho_liq_kgm3(p,t,G33)</f>
        <v>692.68525477941614</v>
      </c>
      <c r="I33" s="9" cm="1">
        <f t="array" ref="I33">[1]!PVT_rho_gas_kgm3(p,t,PVT_json)</f>
        <v>188.71052616498764</v>
      </c>
      <c r="J33" s="6" cm="1">
        <f t="array" ref="J33">[1]!feed_ST_liqgas_Nm(p,t,G33)</f>
        <v>2.6905630849376586E-2</v>
      </c>
      <c r="K33" s="8" cm="1">
        <f t="array" ref="K33">[1]!feed_q_liq_rc_m3day(p,t,G33)</f>
        <v>113.05308394616819</v>
      </c>
      <c r="L33" s="8" cm="1">
        <f t="array" ref="L33">[1]!feed_q_gas_rc_m3day(p,t,G33)</f>
        <v>10.660255072122027</v>
      </c>
      <c r="M33" s="7" cm="1">
        <f t="array" ref="M33">[1]!feed_mu_liq_cP(p,t,G33)</f>
        <v>0.39778655743087443</v>
      </c>
      <c r="N33" s="7" cm="1">
        <f t="array" ref="N33">[1]!PVT_mu_gas_cP(p,t,G33)</f>
        <v>2.2179447288884175E-2</v>
      </c>
      <c r="O33" s="7"/>
      <c r="P33" s="7" cm="1">
        <f t="array" ref="P33">[1]!unf_ksep_mechanistic_Marquez_reverse(dintake_m,dcas_m,K33,L33,J33,H33,I33,M33,N33,1,hperf,calibr_li,calibr_st)</f>
        <v>1</v>
      </c>
      <c r="R33" s="11">
        <f t="array" ref="R33:X33">[1]!unf_ksep_mechanistic_Marquez_reverse(dintake_m,dcas_m,K33,L33,J33,H33,I33,M33,N33,0,hint+hperf,calibr_li,calibr_st)</f>
        <v>1</v>
      </c>
      <c r="S33" s="11">
        <v>3</v>
      </c>
      <c r="T33" s="11">
        <v>0.18194133531794229</v>
      </c>
      <c r="U33" s="11">
        <v>9.8726156306666521E-2</v>
      </c>
      <c r="V33" s="11">
        <v>9.3093082628368708E-3</v>
      </c>
      <c r="W33" s="11">
        <v>6.8782263181951439E-4</v>
      </c>
      <c r="X33">
        <v>9.0125486628575877E-2</v>
      </c>
      <c r="AE33" s="1" cm="1">
        <f t="array" ref="AE33">[1]!feed_rho_mix_kgm3(p,t,G33)/$AE$43</f>
        <v>64.925825491371057</v>
      </c>
      <c r="AF33" s="1"/>
      <c r="AG33" s="1">
        <f>W33^2*9.81*(H33-I33-AE33)/54/(M33*0.001)</f>
        <v>9.4861713351828858E-2</v>
      </c>
      <c r="AH33" s="1"/>
      <c r="AI33" s="1">
        <f>1.2*(V33-U33)+AG33</f>
        <v>-1.243850430076672E-2</v>
      </c>
      <c r="AJ33">
        <f>1.2*(V33-U33)+T33</f>
        <v>7.4641117665346715E-2</v>
      </c>
    </row>
    <row r="34" spans="5:36" x14ac:dyDescent="0.25">
      <c r="F34">
        <v>90</v>
      </c>
      <c r="G34" t="str">
        <f>[1]!encode_feed(F34,$E$17,$E$18,$E$19,$E$15)</f>
        <v>{"gamma_gas":0.81,"gamma_oil":0.86,"gamma_wat":1.1,"rsb_m3m3":268,"pb_atma":199,"t_res_C":80,"PVT_corr_set":1,"q_liq_sm3day":90,"fw_perc":10,"rp_m3m3":268}</v>
      </c>
      <c r="H34" s="9" cm="1">
        <f t="array" ref="H34">[1]!feed_rho_liq_kgm3(p,t,G34)</f>
        <v>692.68525477941614</v>
      </c>
      <c r="I34" s="9" cm="1">
        <f t="array" ref="I34">[1]!PVT_rho_gas_kgm3(p,t,PVT_json)</f>
        <v>188.71052616498764</v>
      </c>
      <c r="J34" s="6" cm="1">
        <f t="array" ref="J34">[1]!feed_ST_liqgas_Nm(p,t,G34)</f>
        <v>2.6905630849376586E-2</v>
      </c>
      <c r="K34" s="8" cm="1">
        <f t="array" ref="K34">[1]!feed_q_liq_rc_m3day(p,t,G34)</f>
        <v>145.35396507364482</v>
      </c>
      <c r="L34" s="8" cm="1">
        <f t="array" ref="L34">[1]!feed_q_gas_rc_m3day(p,t,G34)</f>
        <v>13.706042235585462</v>
      </c>
      <c r="M34" s="7" cm="1">
        <f t="array" ref="M34">[1]!feed_mu_liq_cP(p,t,G34)</f>
        <v>0.39778655743087443</v>
      </c>
      <c r="N34" s="7" cm="1">
        <f t="array" ref="N34">[1]!PVT_mu_gas_cP(p,t,G34)</f>
        <v>2.2179447288884175E-2</v>
      </c>
      <c r="O34" s="7"/>
      <c r="P34" s="7" cm="1">
        <f t="array" ref="P34">[1]!unf_ksep_mechanistic_Marquez_reverse(dintake_m,dcas_m,K34,L34,J34,H34,I34,M34,N34,1,hperf,calibr_li,calibr_st)</f>
        <v>1</v>
      </c>
      <c r="R34" s="11">
        <f t="array" ref="R34:X34">[1]!unf_ksep_mechanistic_Marquez_reverse(dintake_m,dcas_m,K34,L34,J34,H34,I34,M34,N34,0,hint+hperf,calibr_li,calibr_st)</f>
        <v>1</v>
      </c>
      <c r="S34" s="11">
        <v>3</v>
      </c>
      <c r="T34" s="11">
        <v>0.18194133531794229</v>
      </c>
      <c r="U34" s="11">
        <v>0.12693362953714268</v>
      </c>
      <c r="V34" s="11">
        <v>1.1969110623647404E-2</v>
      </c>
      <c r="W34" s="11">
        <v>6.8602910652196063E-4</v>
      </c>
      <c r="X34">
        <v>5.9468281584977127E-2</v>
      </c>
      <c r="AE34" s="1" cm="1">
        <f t="array" ref="AE34">[1]!feed_rho_mix_kgm3(p,t,G34)/$AE$43</f>
        <v>64.925825491371057</v>
      </c>
      <c r="AF34" s="1"/>
      <c r="AG34" s="1">
        <f>W34^2*9.81*(H34-I34-AE34)/54/(M34*0.001)</f>
        <v>9.4367646842795444E-2</v>
      </c>
      <c r="AH34" s="1"/>
      <c r="AI34" s="1">
        <f>1.2*(V34-U34)+AG34</f>
        <v>-4.3589775853398877E-2</v>
      </c>
      <c r="AJ34">
        <f>1.2*(V34-U34)+T34</f>
        <v>4.3983912621747973E-2</v>
      </c>
    </row>
    <row r="35" spans="5:36" x14ac:dyDescent="0.25">
      <c r="F35">
        <v>110</v>
      </c>
      <c r="G35" t="str">
        <f>[1]!encode_feed(F35,$E$17,$E$18,$E$19,$E$15)</f>
        <v>{"gamma_gas":0.81,"gamma_oil":0.86,"gamma_wat":1.1,"rsb_m3m3":268,"pb_atma":199,"t_res_C":80,"PVT_corr_set":1,"q_liq_sm3day":110,"fw_perc":10,"rp_m3m3":268}</v>
      </c>
      <c r="H35" s="9" cm="1">
        <f t="array" ref="H35">[1]!feed_rho_liq_kgm3(p,t,G35)</f>
        <v>692.68525477941614</v>
      </c>
      <c r="I35" s="9" cm="1">
        <f t="array" ref="I35">[1]!PVT_rho_gas_kgm3(p,t,PVT_json)</f>
        <v>188.71052616498764</v>
      </c>
      <c r="J35" s="6" cm="1">
        <f t="array" ref="J35">[1]!feed_ST_liqgas_Nm(p,t,G35)</f>
        <v>2.6905630849376586E-2</v>
      </c>
      <c r="K35" s="8" cm="1">
        <f t="array" ref="K35">[1]!feed_q_liq_rc_m3day(p,t,G35)</f>
        <v>177.65484620112144</v>
      </c>
      <c r="L35" s="8" cm="1">
        <f t="array" ref="L35">[1]!feed_q_gas_rc_m3day(p,t,G35)</f>
        <v>16.751829399048901</v>
      </c>
      <c r="M35" s="7" cm="1">
        <f t="array" ref="M35">[1]!feed_mu_liq_cP(p,t,G35)</f>
        <v>0.39778655743087443</v>
      </c>
      <c r="N35" s="7" cm="1">
        <f t="array" ref="N35">[1]!PVT_mu_gas_cP(p,t,G35)</f>
        <v>2.2179447288884175E-2</v>
      </c>
      <c r="O35" s="7"/>
      <c r="P35" s="7" cm="1">
        <f t="array" ref="P35">[1]!unf_ksep_mechanistic_Marquez_reverse(dintake_m,dcas_m,K35,L35,J35,H35,I35,M35,N35,1,hperf,calibr_li,calibr_st)</f>
        <v>1</v>
      </c>
      <c r="R35" s="11">
        <f t="array" ref="R35:X35">[1]!unf_ksep_mechanistic_Marquez_reverse(dintake_m,dcas_m,K35,L35,J35,H35,I35,M35,N35,0,hint+hperf,calibr_li,calibr_st)</f>
        <v>1</v>
      </c>
      <c r="S35" s="11">
        <v>3</v>
      </c>
      <c r="T35" s="11">
        <v>0.18194133531794229</v>
      </c>
      <c r="U35" s="11">
        <v>0.15514110276761883</v>
      </c>
      <c r="V35" s="11">
        <v>1.462891298445794E-2</v>
      </c>
      <c r="W35" s="11">
        <v>6.8432641881485364E-4</v>
      </c>
      <c r="X35">
        <v>2.8811076541378388E-2</v>
      </c>
      <c r="AE35" s="1" cm="1">
        <f t="array" ref="AE35">[1]!feed_rho_mix_kgm3(p,t,G35)/$AE$43</f>
        <v>64.925825491371057</v>
      </c>
      <c r="AF35" s="1"/>
      <c r="AG35" s="1">
        <f>W35^2*9.81*(H35-I35-AE35)/54/(M35*0.001)</f>
        <v>9.3899797205518651E-2</v>
      </c>
      <c r="AH35" s="1"/>
      <c r="AI35" s="1">
        <f>1.2*(V35-U35)+AG35</f>
        <v>-7.4714830534274398E-2</v>
      </c>
      <c r="AJ35">
        <f>1.2*(V35-U35)+T35</f>
        <v>1.3326707578149244E-2</v>
      </c>
    </row>
    <row r="36" spans="5:36" x14ac:dyDescent="0.25">
      <c r="F36">
        <v>130</v>
      </c>
      <c r="G36" t="str">
        <f>[1]!encode_feed(F36,$E$17,$E$18,$E$19,$E$15)</f>
        <v>{"gamma_gas":0.81,"gamma_oil":0.86,"gamma_wat":1.1,"rsb_m3m3":268,"pb_atma":199,"t_res_C":80,"PVT_corr_set":1,"q_liq_sm3day":130,"fw_perc":10,"rp_m3m3":268}</v>
      </c>
      <c r="H36" s="9" cm="1">
        <f t="array" ref="H36">[1]!feed_rho_liq_kgm3(p,t,G36)</f>
        <v>692.68525477941614</v>
      </c>
      <c r="I36" s="9" cm="1">
        <f t="array" ref="I36">[1]!PVT_rho_gas_kgm3(p,t,PVT_json)</f>
        <v>188.71052616498764</v>
      </c>
      <c r="J36" s="6" cm="1">
        <f t="array" ref="J36">[1]!feed_ST_liqgas_Nm(p,t,G36)</f>
        <v>2.6905630849376586E-2</v>
      </c>
      <c r="K36" s="8" cm="1">
        <f t="array" ref="K36">[1]!feed_q_liq_rc_m3day(p,t,G36)</f>
        <v>209.95572732859807</v>
      </c>
      <c r="L36" s="8" cm="1">
        <f t="array" ref="L36">[1]!feed_q_gas_rc_m3day(p,t,G36)</f>
        <v>19.797616562512339</v>
      </c>
      <c r="M36" s="7" cm="1">
        <f t="array" ref="M36">[1]!feed_mu_liq_cP(p,t,G36)</f>
        <v>0.39778655743087443</v>
      </c>
      <c r="N36" s="7" cm="1">
        <f t="array" ref="N36">[1]!PVT_mu_gas_cP(p,t,G36)</f>
        <v>2.2179447288884175E-2</v>
      </c>
      <c r="O36" s="7"/>
      <c r="P36" s="7" cm="1">
        <f t="array" ref="P36">[1]!unf_ksep_mechanistic_Marquez_reverse(dintake_m,dcas_m,K36,L36,J36,H36,I36,M36,N36,1,hperf,calibr_li,calibr_st)</f>
        <v>0.35608475392987116</v>
      </c>
      <c r="R36" s="11">
        <f t="array" ref="R36:X36">[1]!unf_ksep_mechanistic_Marquez_reverse(dintake_m,dcas_m,K36,L36,J36,H36,I36,M36,N36,0,hint+hperf,calibr_li,calibr_st)</f>
        <v>0.35608475392987116</v>
      </c>
      <c r="S36" s="11">
        <v>3</v>
      </c>
      <c r="T36" s="11">
        <v>0.18194133531794229</v>
      </c>
      <c r="U36" s="11">
        <v>0.18334857599809498</v>
      </c>
      <c r="V36" s="11">
        <v>1.7288715345268477E-2</v>
      </c>
      <c r="W36" s="11">
        <v>6.8271117365141184E-4</v>
      </c>
      <c r="X36">
        <v>-1.8461285022203437E-3</v>
      </c>
      <c r="AE36" s="1" cm="1">
        <f t="array" ref="AE36">[1]!feed_rho_mix_kgm3(p,t,G36)/$AE$43</f>
        <v>64.925825491371057</v>
      </c>
      <c r="AF36" s="1"/>
      <c r="AG36" s="1">
        <f>W36^2*9.81*(H36-I36-AE36)/54/(M36*0.001)</f>
        <v>9.345704885885403E-2</v>
      </c>
      <c r="AH36" s="1"/>
      <c r="AI36" s="1">
        <f>1.2*(V36-U36)+AG36</f>
        <v>-0.10581478392453778</v>
      </c>
      <c r="AJ36">
        <f>1.2*(V36-U36)+T36</f>
        <v>-1.7330497465449513E-2</v>
      </c>
    </row>
    <row r="37" spans="5:36" x14ac:dyDescent="0.25">
      <c r="F37">
        <v>150</v>
      </c>
      <c r="G37" t="str">
        <f>[1]!encode_feed(F37,$E$17,$E$18,$E$19,$E$15)</f>
        <v>{"gamma_gas":0.81,"gamma_oil":0.86,"gamma_wat":1.1,"rsb_m3m3":268,"pb_atma":199,"t_res_C":80,"PVT_corr_set":1,"q_liq_sm3day":150,"fw_perc":10,"rp_m3m3":268}</v>
      </c>
      <c r="H37" s="9" cm="1">
        <f t="array" ref="H37">[1]!feed_rho_liq_kgm3(p,t,G37)</f>
        <v>692.68525477941614</v>
      </c>
      <c r="I37" s="9" cm="1">
        <f t="array" ref="I37">[1]!PVT_rho_gas_kgm3(p,t,PVT_json)</f>
        <v>188.71052616498764</v>
      </c>
      <c r="J37" s="6" cm="1">
        <f t="array" ref="J37">[1]!feed_ST_liqgas_Nm(p,t,G37)</f>
        <v>2.6905630849376586E-2</v>
      </c>
      <c r="K37" s="8" cm="1">
        <f t="array" ref="K37">[1]!feed_q_liq_rc_m3day(p,t,G37)</f>
        <v>242.2566084560747</v>
      </c>
      <c r="L37" s="8" cm="1">
        <f t="array" ref="L37">[1]!feed_q_gas_rc_m3day(p,t,G37)</f>
        <v>22.843403725975772</v>
      </c>
      <c r="M37" s="7" cm="1">
        <f t="array" ref="M37">[1]!feed_mu_liq_cP(p,t,G37)</f>
        <v>0.39778655743087443</v>
      </c>
      <c r="N37" s="7" cm="1">
        <f t="array" ref="N37">[1]!PVT_mu_gas_cP(p,t,G37)</f>
        <v>2.2179447288884175E-2</v>
      </c>
      <c r="O37" s="7"/>
      <c r="P37" s="7" cm="1">
        <f t="array" ref="P37">[1]!unf_ksep_mechanistic_Marquez_reverse(dintake_m,dcas_m,K37,L37,J37,H37,I37,M37,N37,1,hperf,calibr_li,calibr_st)</f>
        <v>0.29645774346592929</v>
      </c>
      <c r="R37" s="11">
        <f t="array" ref="R37:X37">[1]!unf_ksep_mechanistic_Marquez_reverse(dintake_m,dcas_m,K37,L37,J37,H37,I37,M37,N37,0,hint+hperf,calibr_li,calibr_st)</f>
        <v>0.29645774346592929</v>
      </c>
      <c r="S37" s="11">
        <v>3</v>
      </c>
      <c r="T37" s="11">
        <v>0.18194133531794229</v>
      </c>
      <c r="U37" s="11">
        <v>0.21155604922857113</v>
      </c>
      <c r="V37" s="11">
        <v>1.9948517706079007E-2</v>
      </c>
      <c r="W37" s="11">
        <v>6.8118013836059488E-4</v>
      </c>
      <c r="X37">
        <v>-3.2503333545819087E-2</v>
      </c>
      <c r="AE37" s="1" cm="1">
        <f t="array" ref="AE37">[1]!feed_rho_mix_kgm3(p,t,G37)/$AE$43</f>
        <v>64.925825491371057</v>
      </c>
      <c r="AF37" s="1"/>
      <c r="AG37" s="1">
        <f>W37^2*9.81*(H37-I37-AE37)/54/(M37*0.001)</f>
        <v>9.3038348815679198E-2</v>
      </c>
      <c r="AH37" s="1"/>
      <c r="AI37" s="1">
        <f>1.2*(V37-U37)+AG37</f>
        <v>-0.13689068901131135</v>
      </c>
      <c r="AJ37">
        <f>1.2*(V37-U37)+T37</f>
        <v>-4.7987702509048241E-2</v>
      </c>
    </row>
    <row r="38" spans="5:36" x14ac:dyDescent="0.25">
      <c r="F38">
        <v>170</v>
      </c>
      <c r="G38" t="str">
        <f>[1]!encode_feed(F38,$E$17,$E$18,$E$19,$E$15)</f>
        <v>{"gamma_gas":0.81,"gamma_oil":0.86,"gamma_wat":1.1,"rsb_m3m3":268,"pb_atma":199,"t_res_C":80,"PVT_corr_set":1,"q_liq_sm3day":170,"fw_perc":10,"rp_m3m3":268}</v>
      </c>
      <c r="H38" s="9" cm="1">
        <f t="array" ref="H38">[1]!feed_rho_liq_kgm3(p,t,G38)</f>
        <v>692.68525477941614</v>
      </c>
      <c r="I38" s="9" cm="1">
        <f t="array" ref="I38">[1]!PVT_rho_gas_kgm3(p,t,PVT_json)</f>
        <v>188.71052616498764</v>
      </c>
      <c r="J38" s="6" cm="1">
        <f t="array" ref="J38">[1]!feed_ST_liqgas_Nm(p,t,G38)</f>
        <v>2.6905630849376586E-2</v>
      </c>
      <c r="K38" s="8" cm="1">
        <f t="array" ref="K38">[1]!feed_q_liq_rc_m3day(p,t,G38)</f>
        <v>274.55748958355133</v>
      </c>
      <c r="L38" s="8" cm="1">
        <f t="array" ref="L38">[1]!feed_q_gas_rc_m3day(p,t,G38)</f>
        <v>25.88919088943921</v>
      </c>
      <c r="M38" s="7" cm="1">
        <f t="array" ref="M38">[1]!feed_mu_liq_cP(p,t,G38)</f>
        <v>0.39778655743087443</v>
      </c>
      <c r="N38" s="7" cm="1">
        <f t="array" ref="N38">[1]!PVT_mu_gas_cP(p,t,G38)</f>
        <v>2.2179447288884175E-2</v>
      </c>
      <c r="O38" s="7"/>
      <c r="P38" s="7" cm="1">
        <f t="array" ref="P38">[1]!unf_ksep_mechanistic_Marquez_reverse(dintake_m,dcas_m,K38,L38,J38,H38,I38,M38,N38,1,hperf,calibr_li,calibr_st)</f>
        <v>0.2539438754296553</v>
      </c>
      <c r="R38" s="11">
        <f t="array" ref="R38:X38">[1]!unf_ksep_mechanistic_Marquez_reverse(dintake_m,dcas_m,K38,L38,J38,H38,I38,M38,N38,0,hint+hperf,calibr_li,calibr_st)</f>
        <v>0.2539438754296553</v>
      </c>
      <c r="S38" s="11">
        <v>3</v>
      </c>
      <c r="T38" s="11">
        <v>0.18194133531794229</v>
      </c>
      <c r="U38" s="11">
        <v>0.23976352245904728</v>
      </c>
      <c r="V38" s="11">
        <v>2.2608320066889544E-2</v>
      </c>
      <c r="W38" s="11">
        <v>6.7973023283983891E-4</v>
      </c>
      <c r="X38">
        <v>-6.3160538589417822E-2</v>
      </c>
      <c r="AE38" s="1" cm="1">
        <f t="array" ref="AE38">[1]!feed_rho_mix_kgm3(p,t,G38)/$AE$43</f>
        <v>64.925825491371057</v>
      </c>
      <c r="AF38" s="1"/>
      <c r="AG38" s="1">
        <f>W38^2*9.81*(H38-I38-AE38)/54/(M38*0.001)</f>
        <v>9.2642702369991767E-2</v>
      </c>
      <c r="AH38" s="1"/>
      <c r="AI38" s="1">
        <f>1.2*(V38-U38)+AG38</f>
        <v>-0.16794354050059751</v>
      </c>
      <c r="AJ38">
        <f>1.2*(V38-U38)+T38</f>
        <v>-7.8644907552646998E-2</v>
      </c>
    </row>
    <row r="39" spans="5:36" x14ac:dyDescent="0.25">
      <c r="F39">
        <v>190</v>
      </c>
      <c r="G39" t="str">
        <f>[1]!encode_feed(F39,$E$17,$E$18,$E$19,$E$15)</f>
        <v>{"gamma_gas":0.81,"gamma_oil":0.86,"gamma_wat":1.1,"rsb_m3m3":268,"pb_atma":199,"t_res_C":80,"PVT_corr_set":1,"q_liq_sm3day":190,"fw_perc":10,"rp_m3m3":268}</v>
      </c>
      <c r="H39" s="9" cm="1">
        <f t="array" ref="H39">[1]!feed_rho_liq_kgm3(p,t,G39)</f>
        <v>692.68525477941614</v>
      </c>
      <c r="I39" s="9" cm="1">
        <f t="array" ref="I39">[1]!PVT_rho_gas_kgm3(p,t,PVT_json)</f>
        <v>188.71052616498764</v>
      </c>
      <c r="J39" s="6" cm="1">
        <f t="array" ref="J39">[1]!feed_ST_liqgas_Nm(p,t,G39)</f>
        <v>2.6905630849376586E-2</v>
      </c>
      <c r="K39" s="8" cm="1">
        <f t="array" ref="K39">[1]!feed_q_liq_rc_m3day(p,t,G39)</f>
        <v>306.85837071102793</v>
      </c>
      <c r="L39" s="8" cm="1">
        <f t="array" ref="L39">[1]!feed_q_gas_rc_m3day(p,t,G39)</f>
        <v>28.934978052902647</v>
      </c>
      <c r="M39" s="7" cm="1">
        <f t="array" ref="M39">[1]!feed_mu_liq_cP(p,t,G39)</f>
        <v>0.39778655743087443</v>
      </c>
      <c r="N39" s="7" cm="1">
        <f t="array" ref="N39">[1]!PVT_mu_gas_cP(p,t,G39)</f>
        <v>2.2179447288884175E-2</v>
      </c>
      <c r="O39" s="7"/>
      <c r="P39" s="7" cm="1">
        <f t="array" ref="P39">[1]!unf_ksep_mechanistic_Marquez_reverse(dintake_m,dcas_m,K39,L39,J39,H39,I39,M39,N39,1,hperf,calibr_li,calibr_st)</f>
        <v>0.22199116784338804</v>
      </c>
      <c r="R39" s="11">
        <f t="array" ref="R39:X39">[1]!unf_ksep_mechanistic_Marquez_reverse(dintake_m,dcas_m,K39,L39,J39,H39,I39,M39,N39,0,hint+hperf,calibr_li,calibr_st)</f>
        <v>0.22199116784338804</v>
      </c>
      <c r="S39" s="11">
        <v>3</v>
      </c>
      <c r="T39" s="11">
        <v>0.18194133531794229</v>
      </c>
      <c r="U39" s="11">
        <v>0.26797099568952343</v>
      </c>
      <c r="V39" s="11">
        <v>2.5268122427700077E-2</v>
      </c>
      <c r="W39" s="11">
        <v>6.7835852045172002E-4</v>
      </c>
      <c r="X39">
        <v>-9.3817743633016551E-2</v>
      </c>
      <c r="AE39" s="1" cm="1">
        <f t="array" ref="AE39">[1]!feed_rho_mix_kgm3(p,t,G39)/$AE$43</f>
        <v>64.925825491371057</v>
      </c>
      <c r="AF39" s="1"/>
      <c r="AG39" s="1">
        <f>W39^2*9.81*(H39-I39-AE39)/54/(M39*0.001)</f>
        <v>9.2269169130029333E-2</v>
      </c>
      <c r="AH39" s="1"/>
      <c r="AI39" s="1">
        <f>1.2*(V39-U39)+AG39</f>
        <v>-0.19897427878415866</v>
      </c>
      <c r="AJ39">
        <f>1.2*(V39-U39)+T39</f>
        <v>-0.1093021125962457</v>
      </c>
    </row>
    <row r="40" spans="5:36" x14ac:dyDescent="0.25">
      <c r="F40">
        <v>210</v>
      </c>
      <c r="G40" t="str">
        <f>[1]!encode_feed(F40,$E$17,$E$18,$E$19,$E$15)</f>
        <v>{"gamma_gas":0.81,"gamma_oil":0.86,"gamma_wat":1.1,"rsb_m3m3":268,"pb_atma":199,"t_res_C":80,"PVT_corr_set":1,"q_liq_sm3day":210,"fw_perc":10,"rp_m3m3":268}</v>
      </c>
      <c r="H40" s="9" cm="1">
        <f t="array" ref="H40">[1]!feed_rho_liq_kgm3(p,t,G40)</f>
        <v>692.68525477941614</v>
      </c>
      <c r="I40" s="9" cm="1">
        <f t="array" ref="I40">[1]!PVT_rho_gas_kgm3(p,t,PVT_json)</f>
        <v>188.71052616498764</v>
      </c>
      <c r="J40" s="6" cm="1">
        <f t="array" ref="J40">[1]!feed_ST_liqgas_Nm(p,t,G40)</f>
        <v>2.6905630849376586E-2</v>
      </c>
      <c r="K40" s="8" cm="1">
        <f t="array" ref="K40">[1]!feed_q_liq_rc_m3day(p,t,G40)</f>
        <v>339.15925183850459</v>
      </c>
      <c r="L40" s="8" cm="1">
        <f t="array" ref="L40">[1]!feed_q_gas_rc_m3day(p,t,G40)</f>
        <v>31.980765216366084</v>
      </c>
      <c r="M40" s="7" cm="1">
        <f t="array" ref="M40">[1]!feed_mu_liq_cP(p,t,G40)</f>
        <v>0.39778655743087443</v>
      </c>
      <c r="N40" s="7" cm="1">
        <f t="array" ref="N40">[1]!PVT_mu_gas_cP(p,t,G40)</f>
        <v>2.2179447288884175E-2</v>
      </c>
      <c r="O40" s="7"/>
      <c r="P40" s="7" cm="1">
        <f t="array" ref="P40">[1]!unf_ksep_mechanistic_Marquez_reverse(dintake_m,dcas_m,K40,L40,J40,H40,I40,M40,N40,1,hperf,calibr_li,calibr_st)</f>
        <v>0.19706280708636417</v>
      </c>
      <c r="R40" s="11" cm="1">
        <f t="array" ref="R40:X41">[1]!unf_ksep_mechanistic_Marquez_reverse(dintake_m,dcas_m,K40,L40,J40,H40,I40,M40,N40,0,hint+hperf,calibr_li,calibr_st)</f>
        <v>0.19706280708636417</v>
      </c>
      <c r="S40" s="11">
        <v>3</v>
      </c>
      <c r="T40" s="11">
        <v>0.18194133531794229</v>
      </c>
      <c r="U40" s="11">
        <v>0.2961784689199996</v>
      </c>
      <c r="V40" s="11">
        <v>2.7927924788510614E-2</v>
      </c>
      <c r="W40" s="11">
        <v>6.7706219956638575E-4</v>
      </c>
      <c r="X40">
        <v>-0.12447494867661532</v>
      </c>
      <c r="AE40" s="1" cm="1">
        <f t="array" ref="AE40">[1]!feed_rho_mix_kgm3(p,t,G40)/$AE$43</f>
        <v>64.925825491371057</v>
      </c>
      <c r="AF40" s="1"/>
      <c r="AG40" s="1">
        <f>W40^2*9.81*(H40-I40-AE40)/54/(M40*0.001)</f>
        <v>9.1916859365831091E-2</v>
      </c>
      <c r="AH40" s="1"/>
      <c r="AI40" s="1">
        <f>1.2*(V40-U40)+AG40</f>
        <v>-0.22998379359195564</v>
      </c>
      <c r="AJ40">
        <f>1.2*(V40-U40)+T40</f>
        <v>-0.13995931763984445</v>
      </c>
    </row>
    <row r="41" spans="5:36" x14ac:dyDescent="0.25">
      <c r="R41" s="11" t="str">
        <v>ksep</v>
      </c>
      <c r="S41" s="11" t="str">
        <v>flow regime</v>
      </c>
      <c r="T41" s="11" t="str">
        <v>v_ooz</v>
      </c>
      <c r="U41" s="11" t="str">
        <v>vsl</v>
      </c>
      <c r="V41" s="11" t="str">
        <v>vsg</v>
      </c>
      <c r="W41" s="11" t="str">
        <v>li</v>
      </c>
      <c r="X41" t="str">
        <v>vg_downflow</v>
      </c>
    </row>
    <row r="43" spans="5:36" x14ac:dyDescent="0.25">
      <c r="AE43">
        <v>10</v>
      </c>
    </row>
    <row r="44" spans="5:36" x14ac:dyDescent="0.25">
      <c r="AG44" t="s">
        <v>51</v>
      </c>
    </row>
    <row r="45" spans="5:36" x14ac:dyDescent="0.25">
      <c r="E45" t="s">
        <v>47</v>
      </c>
    </row>
    <row r="47" spans="5:36" x14ac:dyDescent="0.25">
      <c r="F47" t="s">
        <v>32</v>
      </c>
      <c r="G47" t="s">
        <v>14</v>
      </c>
      <c r="H47" t="s">
        <v>19</v>
      </c>
      <c r="I47" t="s">
        <v>20</v>
      </c>
      <c r="J47" t="s">
        <v>21</v>
      </c>
      <c r="K47" t="s">
        <v>22</v>
      </c>
      <c r="L47" t="s">
        <v>23</v>
      </c>
      <c r="M47" t="s">
        <v>30</v>
      </c>
      <c r="N47" t="s">
        <v>31</v>
      </c>
    </row>
    <row r="48" spans="5:36" x14ac:dyDescent="0.25">
      <c r="F48">
        <f>E16</f>
        <v>150</v>
      </c>
      <c r="G48" t="str">
        <f>[1]!encode_feed(F48,$E$17,$E$18,$E$19,$E$15)</f>
        <v>{"gamma_gas":0.81,"gamma_oil":0.86,"gamma_wat":1.1,"rsb_m3m3":268,"pb_atma":199,"t_res_C":80,"PVT_corr_set":1,"q_liq_sm3day":150,"fw_perc":10,"rp_m3m3":268}</v>
      </c>
      <c r="H48" s="9" cm="1">
        <f t="array" ref="H48">[1]!feed_rho_liq_kgm3(p,t,G48)</f>
        <v>692.68525477941614</v>
      </c>
      <c r="I48" s="9" cm="1">
        <f t="array" ref="I48">[1]!PVT_rho_gas_kgm3(p,t,PVT_json)</f>
        <v>188.71052616498764</v>
      </c>
      <c r="J48" s="6" cm="1">
        <f t="array" ref="J48">[1]!feed_ST_liqgas_Nm(p,t,G48)</f>
        <v>2.6905630849376586E-2</v>
      </c>
      <c r="K48" s="8" cm="1">
        <f t="array" ref="K48">[1]!feed_q_liq_rc_m3day(p,t,G48)</f>
        <v>242.2566084560747</v>
      </c>
      <c r="L48" s="8" cm="1">
        <f t="array" ref="L48">[1]!feed_q_gas_rc_m3day(p,t,G48)</f>
        <v>22.843403725975772</v>
      </c>
      <c r="M48" s="7" cm="1">
        <f t="array" ref="M48">[1]!feed_mu_liq_cP(p,t,G48)</f>
        <v>0.39778655743087443</v>
      </c>
      <c r="N48" s="7" cm="1">
        <f t="array" ref="N48">[1]!PVT_mu_gas_cP(p,t,G48)</f>
        <v>2.2179447288884175E-2</v>
      </c>
    </row>
    <row r="53" spans="5:31" x14ac:dyDescent="0.25">
      <c r="E53" t="str" cm="1">
        <f t="array" ref="E53">[1]!unf_ksep_mechanistic_Marquez_reverse_build_bubble_tracks(dintake_m,dcas_m,K48,L48,J48,H48,I48,M48,N48,hperf,calibr_li,calibr_st)</f>
        <v>{"n 1":{"curve_x":"x","curve_y":"y","x":[0.022871,0.022881,0.026112,0.029353,0.032593,0.035834,0.039075,0.042315,0.045556,0.048797,0.052037,0.055278,0.058519,0.061759,0.065],"y":[0,6.739003,6.594624,6.426515,6.233205,6.012534,5.761594,5.476478,5.151862,4.780046,4.34955,3.842239,3.224634,2.420442,1.111111]},"n 2":{"curve_x":"x","curve_y":"y","x":[0.020466,0.020476,0.023891,0.027317,0.030743,0.034169,0.037594,0.04102,0.044446,0.047871,0.051297,0.054723,0.058149,0.061574,0.065],"y":[0,7.123878,6.993382,6.838732,6.658833,6.451639,6.214738,5.944589,5.636956,5.28529,4.88115,4.41024,3.850836,3.157556,2.222222]},"n 3":{"curve_x":"x","curve_y":"y","x":[0.017047,0.017057,0.020736,0.024425,0.028113,0.031802,0.035491,0.039179,0.042868,0.046557,0.050245,0.053934,0.057623,0.061311,0.065],"y":[0,7.670822,7.560347,7.424932,7.263665,7.074903,6.856609,6.606039,6.319572,5.99234,5.617606,5.185645,4.681549,4.080308,3.333333]},"n 4":{"curve_x":"x","curve_y":"y","x":[0.012975,0.012985,0.016977,0.020979,0.024981,0.028983,0.032985,0.036987,0.040988,0.04499,0.048992,0.052994,0.056996,0.060998,0.065],"y":[0,8.322387,8.236191,8.123616,7.984238,7.816603,7.619287,7.38998,7.125739,6.822948,6.47605,6.078329,5.619305,5.083213,4.444444]},"n 5":{"curve_x":"x","curve_y":"y","x":[0.008485,0.008495,0.012832,0.017179,0.021527,0.025874,0.030221,0.034569,0.038916,0.043263,0.047611,0.051958,0.056305,0.060653,0.065],"y":[0,9.040832,8.982271,8.89522,8.779615,8.634713,8.459275,8.251563,8.009254,7.729285,7.407608,7.03878,6.61529,6.126349,5.555556]},"n 6":{"curve_x":"x","curve_y":"y","x":[0.003727,0.003737,0.00844,0.013153,0.017867,0.02258,0.027293,0.032007,0.03672,0.041433,0.046147,0.05086,0.055573,0.060287,0.065],"y":[0,9.802112,9.774099,9.714733,9.624331,9.50299,9.349791,9.163544,8.942329,8.683689,8.384392,8.04001,7.644921,7.190819,6.666667]},"n 7":{"curve_x":"x","curve_y":"y","x":[0.032224,0.032234,0.034745,0.037266,0.039787,0.042309,0.04483,0.047351,0.049872,0.052394,0.054915,0.057436,0.059957,0.062479,0.065],"y":[12,10,9.895259,9.780832,9.656813,9.522848,9.378534,9.223408,9.05694,8.87852,8.68744,8.482879,8.263875,8.029293,7.777778]},"n 8":{"curve_x":"x","curve_y":"y","x":[0.050368,0.050378,0.051494,0.052619,0.053745,0.05487,0.055996,0.057121,0.058247,0.059372,0.060498,0.061623,0.062749,0.063874,0.065],"y":[12,10,9.928994,9.855271,9.779409,9.701231,9.620816,9.538109,9.453055,9.365591,9.2755,9.18286,9.087598,8.989635,8.888889]}}</v>
      </c>
    </row>
    <row r="55" spans="5:31" x14ac:dyDescent="0.25">
      <c r="E55" t="str" cm="1">
        <f t="array" ref="E55:F62">[1]!decode_json(E53)</f>
        <v>n 1</v>
      </c>
      <c r="F55" t="str">
        <v>{"curve_x":"x","curve_y":"y","x":[0.022871,0.022881,0.026112,0.029353,0.032593,0.035834,0.039075,0.042315,0.045556,0.048797,0.052037,0.055278,0.058519,0.061759,0.065],"y":[0,6.739003,6.594624,6.426515,6.233205,6.012534,5.761594,5.476478,5.151862,4.780046,4.34955,3.842239,3.224634,2.420442,1.111111]}</v>
      </c>
      <c r="I55" t="str" cm="1">
        <f t="array" ref="I55:J70">[1]!decode_json_crv(F55)</f>
        <v>x</v>
      </c>
      <c r="J55" t="str">
        <v>y</v>
      </c>
      <c r="L55" t="str" cm="1">
        <f t="array" ref="L55:M70">[1]!decode_json_crv(F56)</f>
        <v>x</v>
      </c>
      <c r="M55" t="str">
        <v>y</v>
      </c>
      <c r="O55" t="str" cm="1">
        <f t="array" ref="O55:P70">[1]!decode_json_crv(F57)</f>
        <v>x</v>
      </c>
      <c r="P55" t="str">
        <v>y</v>
      </c>
      <c r="R55" t="str" cm="1">
        <f t="array" ref="R55:S70">[1]!decode_json_crv(F58)</f>
        <v>x</v>
      </c>
      <c r="S55" t="str">
        <v>y</v>
      </c>
      <c r="U55" t="str" cm="1">
        <f t="array" ref="U55:V70">[1]!decode_json_crv(F59)</f>
        <v>x</v>
      </c>
      <c r="V55" t="str">
        <v>y</v>
      </c>
      <c r="X55" t="str" cm="1">
        <f t="array" ref="X55:Y70">[1]!decode_json_crv(F60)</f>
        <v>x</v>
      </c>
      <c r="Y55" t="str">
        <v>y</v>
      </c>
      <c r="AA55" t="str" cm="1">
        <f t="array" ref="AA55:AB70">[1]!decode_json_crv(F61)</f>
        <v>x</v>
      </c>
      <c r="AB55" t="str">
        <v>y</v>
      </c>
      <c r="AD55" t="str" cm="1">
        <f t="array" ref="AD55:AE70">[1]!decode_json_crv(F62)</f>
        <v>x</v>
      </c>
      <c r="AE55" t="str">
        <v>y</v>
      </c>
    </row>
    <row r="56" spans="5:31" x14ac:dyDescent="0.25">
      <c r="E56" t="str">
        <v>n 2</v>
      </c>
      <c r="F56" t="str">
        <v>{"curve_x":"x","curve_y":"y","x":[0.020466,0.020476,0.023891,0.027317,0.030743,0.034169,0.037594,0.04102,0.044446,0.047871,0.051297,0.054723,0.058149,0.061574,0.065],"y":[0,7.123878,6.993382,6.838732,6.658833,6.451639,6.214738,5.944589,5.636956,5.28529,4.88115,4.41024,3.850836,3.157556,2.222222]}</v>
      </c>
      <c r="I56">
        <v>2.2870999999999999E-2</v>
      </c>
      <c r="J56">
        <v>0</v>
      </c>
      <c r="L56">
        <v>2.0466000000000002E-2</v>
      </c>
      <c r="M56">
        <v>0</v>
      </c>
      <c r="O56">
        <v>1.7047E-2</v>
      </c>
      <c r="P56">
        <v>0</v>
      </c>
      <c r="R56">
        <v>1.2975E-2</v>
      </c>
      <c r="S56">
        <v>0</v>
      </c>
      <c r="U56">
        <v>8.4849999999999995E-3</v>
      </c>
      <c r="V56">
        <v>0</v>
      </c>
      <c r="X56">
        <v>3.7269999999999998E-3</v>
      </c>
      <c r="Y56">
        <v>0</v>
      </c>
      <c r="AA56">
        <v>3.2224000000000003E-2</v>
      </c>
      <c r="AB56">
        <v>12</v>
      </c>
      <c r="AD56">
        <v>5.0368000000000003E-2</v>
      </c>
      <c r="AE56">
        <v>12</v>
      </c>
    </row>
    <row r="57" spans="5:31" x14ac:dyDescent="0.25">
      <c r="E57" t="str">
        <v>n 3</v>
      </c>
      <c r="F57" t="str">
        <v>{"curve_x":"x","curve_y":"y","x":[0.017047,0.017057,0.020736,0.024425,0.028113,0.031802,0.035491,0.039179,0.042868,0.046557,0.050245,0.053934,0.057623,0.061311,0.065],"y":[0,7.670822,7.560347,7.424932,7.263665,7.074903,6.856609,6.606039,6.319572,5.99234,5.617606,5.185645,4.681549,4.080308,3.333333]}</v>
      </c>
      <c r="I57">
        <v>2.2880999999999999E-2</v>
      </c>
      <c r="J57">
        <v>6.7390030000000003</v>
      </c>
      <c r="L57">
        <v>2.0476000000000001E-2</v>
      </c>
      <c r="M57">
        <v>7.1238780000000004</v>
      </c>
      <c r="O57">
        <v>1.7056999999999999E-2</v>
      </c>
      <c r="P57">
        <v>7.6708220000000003</v>
      </c>
      <c r="R57">
        <v>1.2985E-2</v>
      </c>
      <c r="S57">
        <v>8.3223870000000009</v>
      </c>
      <c r="U57">
        <v>8.4950000000000008E-3</v>
      </c>
      <c r="V57">
        <v>9.040832</v>
      </c>
      <c r="X57">
        <v>3.7369999999999999E-3</v>
      </c>
      <c r="Y57">
        <v>9.8021119999999993</v>
      </c>
      <c r="AA57">
        <v>3.2233999999999999E-2</v>
      </c>
      <c r="AB57">
        <v>10</v>
      </c>
      <c r="AD57">
        <v>5.0377999999999999E-2</v>
      </c>
      <c r="AE57">
        <v>10</v>
      </c>
    </row>
    <row r="58" spans="5:31" x14ac:dyDescent="0.25">
      <c r="E58" t="str">
        <v>n 4</v>
      </c>
      <c r="F58" t="str">
        <v>{"curve_x":"x","curve_y":"y","x":[0.012975,0.012985,0.016977,0.020979,0.024981,0.028983,0.032985,0.036987,0.040988,0.04499,0.048992,0.052994,0.056996,0.060998,0.065],"y":[0,8.322387,8.236191,8.123616,7.984238,7.816603,7.619287,7.38998,7.125739,6.822948,6.47605,6.078329,5.619305,5.083213,4.444444]}</v>
      </c>
      <c r="I58">
        <v>2.6112E-2</v>
      </c>
      <c r="J58">
        <v>6.5946239999999996</v>
      </c>
      <c r="L58">
        <v>2.3890999999999999E-2</v>
      </c>
      <c r="M58">
        <v>6.9933820000000004</v>
      </c>
      <c r="O58">
        <v>2.0736000000000001E-2</v>
      </c>
      <c r="P58">
        <v>7.5603470000000002</v>
      </c>
      <c r="R58">
        <v>1.6976999999999999E-2</v>
      </c>
      <c r="S58">
        <v>8.2361909999999998</v>
      </c>
      <c r="U58">
        <v>1.2832E-2</v>
      </c>
      <c r="V58">
        <v>8.9822710000000008</v>
      </c>
      <c r="X58">
        <v>8.4399999999999996E-3</v>
      </c>
      <c r="Y58">
        <v>9.7740989999999996</v>
      </c>
      <c r="AA58">
        <v>3.4744999999999998E-2</v>
      </c>
      <c r="AB58">
        <v>9.8952589999999994</v>
      </c>
      <c r="AD58">
        <v>5.1493999999999998E-2</v>
      </c>
      <c r="AE58">
        <v>9.9289939999999994</v>
      </c>
    </row>
    <row r="59" spans="5:31" x14ac:dyDescent="0.25">
      <c r="E59" t="str">
        <v>n 5</v>
      </c>
      <c r="F59" t="str">
        <v>{"curve_x":"x","curve_y":"y","x":[0.008485,0.008495,0.012832,0.017179,0.021527,0.025874,0.030221,0.034569,0.038916,0.043263,0.047611,0.051958,0.056305,0.060653,0.065],"y":[0,9.040832,8.982271,8.89522,8.779615,8.634713,8.459275,8.251563,8.009254,7.729285,7.407608,7.03878,6.61529,6.126349,5.555556]}</v>
      </c>
      <c r="I59">
        <v>2.9353000000000001E-2</v>
      </c>
      <c r="J59">
        <v>6.4265150000000002</v>
      </c>
      <c r="L59">
        <v>2.7317000000000001E-2</v>
      </c>
      <c r="M59">
        <v>6.8387320000000003</v>
      </c>
      <c r="O59">
        <v>2.4424999999999999E-2</v>
      </c>
      <c r="P59">
        <v>7.4249320000000001</v>
      </c>
      <c r="R59">
        <v>2.0979000000000001E-2</v>
      </c>
      <c r="S59">
        <v>8.1236160000000002</v>
      </c>
      <c r="U59">
        <v>1.7179E-2</v>
      </c>
      <c r="V59">
        <v>8.8952200000000001</v>
      </c>
      <c r="X59">
        <v>1.3153E-2</v>
      </c>
      <c r="Y59">
        <v>9.7147330000000007</v>
      </c>
      <c r="AA59">
        <v>3.7266000000000001E-2</v>
      </c>
      <c r="AB59">
        <v>9.7808320000000002</v>
      </c>
      <c r="AD59">
        <v>5.2618999999999999E-2</v>
      </c>
      <c r="AE59">
        <v>9.8552710000000001</v>
      </c>
    </row>
    <row r="60" spans="5:31" x14ac:dyDescent="0.25">
      <c r="E60" t="str">
        <v>n 6</v>
      </c>
      <c r="F60" t="str">
        <v>{"curve_x":"x","curve_y":"y","x":[0.003727,0.003737,0.00844,0.013153,0.017867,0.02258,0.027293,0.032007,0.03672,0.041433,0.046147,0.05086,0.055573,0.060287,0.065],"y":[0,9.802112,9.774099,9.714733,9.624331,9.50299,9.349791,9.163544,8.942329,8.683689,8.384392,8.04001,7.644921,7.190819,6.666667]}</v>
      </c>
      <c r="I60">
        <v>3.2592999999999997E-2</v>
      </c>
      <c r="J60">
        <v>6.2332049999999999</v>
      </c>
      <c r="L60">
        <v>3.0742999999999999E-2</v>
      </c>
      <c r="M60">
        <v>6.6588329999999996</v>
      </c>
      <c r="O60">
        <v>2.8112999999999999E-2</v>
      </c>
      <c r="P60">
        <v>7.2636649999999996</v>
      </c>
      <c r="R60">
        <v>2.4981E-2</v>
      </c>
      <c r="S60">
        <v>7.9842380000000004</v>
      </c>
      <c r="U60">
        <v>2.1527000000000001E-2</v>
      </c>
      <c r="V60">
        <v>8.7796149999999997</v>
      </c>
      <c r="X60">
        <v>1.7867000000000001E-2</v>
      </c>
      <c r="Y60">
        <v>9.6243309999999997</v>
      </c>
      <c r="AA60">
        <v>3.9787000000000003E-2</v>
      </c>
      <c r="AB60">
        <v>9.6568129999999996</v>
      </c>
      <c r="AD60">
        <v>5.3745000000000001E-2</v>
      </c>
      <c r="AE60">
        <v>9.7794089999999994</v>
      </c>
    </row>
    <row r="61" spans="5:31" x14ac:dyDescent="0.25">
      <c r="E61" t="str">
        <v>n 7</v>
      </c>
      <c r="F61" t="str">
        <v>{"curve_x":"x","curve_y":"y","x":[0.032224,0.032234,0.034745,0.037266,0.039787,0.042309,0.04483,0.047351,0.049872,0.052394,0.054915,0.057436,0.059957,0.062479,0.065],"y":[12,10,9.895259,9.780832,9.656813,9.522848,9.378534,9.223408,9.05694,8.87852,8.68744,8.482879,8.263875,8.029293,7.777778]}</v>
      </c>
      <c r="I61">
        <v>3.5833999999999998E-2</v>
      </c>
      <c r="J61">
        <v>6.0125339999999996</v>
      </c>
      <c r="L61">
        <v>3.4168999999999998E-2</v>
      </c>
      <c r="M61">
        <v>6.4516390000000001</v>
      </c>
      <c r="O61">
        <v>3.1801999999999997E-2</v>
      </c>
      <c r="P61">
        <v>7.0749029999999999</v>
      </c>
      <c r="R61">
        <v>2.8982999999999998E-2</v>
      </c>
      <c r="S61">
        <v>7.8166029999999997</v>
      </c>
      <c r="U61">
        <v>2.5874000000000001E-2</v>
      </c>
      <c r="V61">
        <v>8.6347129999999996</v>
      </c>
      <c r="X61">
        <v>2.2579999999999999E-2</v>
      </c>
      <c r="Y61">
        <v>9.5029900000000005</v>
      </c>
      <c r="AA61">
        <v>4.2308999999999999E-2</v>
      </c>
      <c r="AB61">
        <v>9.5228479999999998</v>
      </c>
      <c r="AD61">
        <v>5.4870000000000002E-2</v>
      </c>
      <c r="AE61">
        <v>9.7012309999999999</v>
      </c>
    </row>
    <row r="62" spans="5:31" x14ac:dyDescent="0.25">
      <c r="E62" t="str">
        <v>n 8</v>
      </c>
      <c r="F62" t="str">
        <v>{"curve_x":"x","curve_y":"y","x":[0.050368,0.050378,0.051494,0.052619,0.053745,0.05487,0.055996,0.057121,0.058247,0.059372,0.060498,0.061623,0.062749,0.063874,0.065],"y":[12,10,9.928994,9.855271,9.779409,9.701231,9.620816,9.538109,9.453055,9.365591,9.2755,9.18286,9.087598,8.989635,8.888889]}</v>
      </c>
      <c r="I62">
        <v>3.9074999999999999E-2</v>
      </c>
      <c r="J62">
        <v>5.7615939999999997</v>
      </c>
      <c r="L62">
        <v>3.7594000000000002E-2</v>
      </c>
      <c r="M62">
        <v>6.2147379999999997</v>
      </c>
      <c r="O62">
        <v>3.5491000000000002E-2</v>
      </c>
      <c r="P62">
        <v>6.8566089999999997</v>
      </c>
      <c r="R62">
        <v>3.2985E-2</v>
      </c>
      <c r="S62">
        <v>7.6192869999999999</v>
      </c>
      <c r="U62">
        <v>3.0221000000000001E-2</v>
      </c>
      <c r="V62">
        <v>8.4592749999999999</v>
      </c>
      <c r="X62">
        <v>2.7293000000000001E-2</v>
      </c>
      <c r="Y62">
        <v>9.3497909999999997</v>
      </c>
      <c r="AA62">
        <v>4.4830000000000002E-2</v>
      </c>
      <c r="AB62">
        <v>9.3785340000000001</v>
      </c>
      <c r="AD62">
        <v>5.5995999999999997E-2</v>
      </c>
      <c r="AE62">
        <v>9.6208159999999996</v>
      </c>
    </row>
    <row r="63" spans="5:31" x14ac:dyDescent="0.25">
      <c r="I63">
        <v>4.2314999999999998E-2</v>
      </c>
      <c r="J63">
        <v>5.4764780000000002</v>
      </c>
      <c r="L63">
        <v>4.1020000000000001E-2</v>
      </c>
      <c r="M63">
        <v>5.9445889999999997</v>
      </c>
      <c r="O63">
        <v>3.9178999999999999E-2</v>
      </c>
      <c r="P63">
        <v>6.606039</v>
      </c>
      <c r="R63">
        <v>3.6986999999999999E-2</v>
      </c>
      <c r="S63">
        <v>7.3899800000000004</v>
      </c>
      <c r="U63">
        <v>3.4569000000000003E-2</v>
      </c>
      <c r="V63">
        <v>8.2515630000000009</v>
      </c>
      <c r="X63">
        <v>3.2007000000000001E-2</v>
      </c>
      <c r="Y63">
        <v>9.1635439999999999</v>
      </c>
      <c r="AA63">
        <v>4.7350999999999997E-2</v>
      </c>
      <c r="AB63">
        <v>9.2234079999999992</v>
      </c>
      <c r="AD63">
        <v>5.7120999999999998E-2</v>
      </c>
      <c r="AE63">
        <v>9.5381090000000004</v>
      </c>
    </row>
    <row r="64" spans="5:31" x14ac:dyDescent="0.25">
      <c r="I64">
        <v>4.5555999999999999E-2</v>
      </c>
      <c r="J64">
        <v>5.1518620000000004</v>
      </c>
      <c r="L64">
        <v>4.4445999999999999E-2</v>
      </c>
      <c r="M64">
        <v>5.6369559999999996</v>
      </c>
      <c r="O64">
        <v>4.2868000000000003E-2</v>
      </c>
      <c r="P64">
        <v>6.319572</v>
      </c>
      <c r="R64">
        <v>4.0987999999999997E-2</v>
      </c>
      <c r="S64">
        <v>7.1257390000000003</v>
      </c>
      <c r="U64">
        <v>3.8915999999999999E-2</v>
      </c>
      <c r="V64">
        <v>8.0092540000000003</v>
      </c>
      <c r="X64">
        <v>3.6720000000000003E-2</v>
      </c>
      <c r="Y64">
        <v>8.9423290000000009</v>
      </c>
      <c r="AA64">
        <v>4.9872E-2</v>
      </c>
      <c r="AB64">
        <v>9.0569400000000009</v>
      </c>
      <c r="AD64">
        <v>5.8247E-2</v>
      </c>
      <c r="AE64">
        <v>9.4530550000000009</v>
      </c>
    </row>
    <row r="65" spans="6:31" x14ac:dyDescent="0.25">
      <c r="I65">
        <v>4.8797E-2</v>
      </c>
      <c r="J65">
        <v>4.7800459999999996</v>
      </c>
      <c r="L65">
        <v>4.7870999999999997E-2</v>
      </c>
      <c r="M65">
        <v>5.2852899999999998</v>
      </c>
      <c r="O65">
        <v>4.6557000000000001E-2</v>
      </c>
      <c r="P65">
        <v>5.9923400000000004</v>
      </c>
      <c r="R65">
        <v>4.4990000000000002E-2</v>
      </c>
      <c r="S65">
        <v>6.8229480000000002</v>
      </c>
      <c r="U65">
        <v>4.3263000000000003E-2</v>
      </c>
      <c r="V65">
        <v>7.729285</v>
      </c>
      <c r="X65">
        <v>4.1432999999999998E-2</v>
      </c>
      <c r="Y65">
        <v>8.6836889999999993</v>
      </c>
      <c r="AA65">
        <v>5.2394000000000003E-2</v>
      </c>
      <c r="AB65">
        <v>8.87852</v>
      </c>
      <c r="AD65">
        <v>5.9372000000000001E-2</v>
      </c>
      <c r="AE65">
        <v>9.3655910000000002</v>
      </c>
    </row>
    <row r="66" spans="6:31" x14ac:dyDescent="0.25">
      <c r="I66">
        <v>5.2037E-2</v>
      </c>
      <c r="J66">
        <v>4.3495499999999998</v>
      </c>
      <c r="L66">
        <v>5.1297000000000002E-2</v>
      </c>
      <c r="M66">
        <v>4.8811499999999999</v>
      </c>
      <c r="O66">
        <v>5.0244999999999998E-2</v>
      </c>
      <c r="P66">
        <v>5.6176060000000003</v>
      </c>
      <c r="R66">
        <v>4.8992000000000001E-2</v>
      </c>
      <c r="S66">
        <v>6.4760499999999999</v>
      </c>
      <c r="U66">
        <v>4.7611000000000001E-2</v>
      </c>
      <c r="V66">
        <v>7.4076079999999997</v>
      </c>
      <c r="X66">
        <v>4.6147000000000001E-2</v>
      </c>
      <c r="Y66">
        <v>8.3843920000000001</v>
      </c>
      <c r="AA66">
        <v>5.4914999999999999E-2</v>
      </c>
      <c r="AB66">
        <v>8.6874400000000005</v>
      </c>
      <c r="AD66">
        <v>6.0498000000000003E-2</v>
      </c>
      <c r="AE66">
        <v>9.2754999999999992</v>
      </c>
    </row>
    <row r="67" spans="6:31" x14ac:dyDescent="0.25">
      <c r="I67">
        <v>5.5278000000000001E-2</v>
      </c>
      <c r="J67">
        <v>3.8422390000000002</v>
      </c>
      <c r="L67">
        <v>5.4723000000000001E-2</v>
      </c>
      <c r="M67">
        <v>4.4102399999999999</v>
      </c>
      <c r="O67">
        <v>5.3934000000000003E-2</v>
      </c>
      <c r="P67">
        <v>5.1856450000000001</v>
      </c>
      <c r="R67">
        <v>5.2993999999999999E-2</v>
      </c>
      <c r="S67">
        <v>6.0783290000000001</v>
      </c>
      <c r="U67">
        <v>5.1957999999999997E-2</v>
      </c>
      <c r="V67">
        <v>7.03878</v>
      </c>
      <c r="X67">
        <v>5.0860000000000002E-2</v>
      </c>
      <c r="Y67">
        <v>8.0400100000000005</v>
      </c>
      <c r="AA67">
        <v>5.7436000000000001E-2</v>
      </c>
      <c r="AB67">
        <v>8.4828790000000005</v>
      </c>
      <c r="AD67">
        <v>6.1622999999999997E-2</v>
      </c>
      <c r="AE67">
        <v>9.1828599999999998</v>
      </c>
    </row>
    <row r="68" spans="6:31" x14ac:dyDescent="0.25">
      <c r="I68">
        <v>5.8519000000000002E-2</v>
      </c>
      <c r="J68">
        <v>3.224634</v>
      </c>
      <c r="L68">
        <v>5.8148999999999999E-2</v>
      </c>
      <c r="M68">
        <v>3.8508360000000001</v>
      </c>
      <c r="O68">
        <v>5.7623000000000001E-2</v>
      </c>
      <c r="P68">
        <v>4.6815490000000004</v>
      </c>
      <c r="R68">
        <v>5.6995999999999998E-2</v>
      </c>
      <c r="S68">
        <v>5.6193049999999998</v>
      </c>
      <c r="U68">
        <v>5.6305000000000001E-2</v>
      </c>
      <c r="V68">
        <v>6.6152899999999999</v>
      </c>
      <c r="X68">
        <v>5.5572999999999997E-2</v>
      </c>
      <c r="Y68">
        <v>7.6449210000000001</v>
      </c>
      <c r="AA68">
        <v>5.9957000000000003E-2</v>
      </c>
      <c r="AB68">
        <v>8.2638750000000005</v>
      </c>
      <c r="AD68">
        <v>6.2748999999999999E-2</v>
      </c>
      <c r="AE68">
        <v>9.0875979999999998</v>
      </c>
    </row>
    <row r="69" spans="6:31" x14ac:dyDescent="0.25">
      <c r="I69">
        <v>6.1759000000000001E-2</v>
      </c>
      <c r="J69">
        <v>2.420442</v>
      </c>
      <c r="L69">
        <v>6.1573999999999997E-2</v>
      </c>
      <c r="M69">
        <v>3.157556</v>
      </c>
      <c r="O69">
        <v>6.1310999999999997E-2</v>
      </c>
      <c r="P69">
        <v>4.0803079999999996</v>
      </c>
      <c r="R69">
        <v>6.0997999999999997E-2</v>
      </c>
      <c r="S69">
        <v>5.0832129999999998</v>
      </c>
      <c r="U69">
        <v>6.0652999999999999E-2</v>
      </c>
      <c r="V69">
        <v>6.1263490000000003</v>
      </c>
      <c r="X69">
        <v>6.0287E-2</v>
      </c>
      <c r="Y69">
        <v>7.1908190000000003</v>
      </c>
      <c r="AA69">
        <v>6.2479E-2</v>
      </c>
      <c r="AB69">
        <v>8.0292929999999991</v>
      </c>
      <c r="AD69">
        <v>6.3874E-2</v>
      </c>
      <c r="AE69">
        <v>8.9896349999999998</v>
      </c>
    </row>
    <row r="70" spans="6:31" x14ac:dyDescent="0.25">
      <c r="I70">
        <v>6.5000000000000002E-2</v>
      </c>
      <c r="J70">
        <v>1.111111</v>
      </c>
      <c r="L70">
        <v>6.5000000000000002E-2</v>
      </c>
      <c r="M70">
        <v>2.2222219999999999</v>
      </c>
      <c r="O70">
        <v>6.5000000000000002E-2</v>
      </c>
      <c r="P70">
        <v>3.3333330000000001</v>
      </c>
      <c r="R70">
        <v>6.5000000000000002E-2</v>
      </c>
      <c r="S70">
        <v>4.4444439999999998</v>
      </c>
      <c r="U70">
        <v>6.5000000000000002E-2</v>
      </c>
      <c r="V70">
        <v>5.5555560000000002</v>
      </c>
      <c r="X70">
        <v>6.5000000000000002E-2</v>
      </c>
      <c r="Y70">
        <v>6.6666670000000003</v>
      </c>
      <c r="AA70">
        <v>6.5000000000000002E-2</v>
      </c>
      <c r="AB70">
        <v>7.7777779999999996</v>
      </c>
      <c r="AD70">
        <v>6.5000000000000002E-2</v>
      </c>
      <c r="AE70">
        <v>8.8888890000000007</v>
      </c>
    </row>
    <row r="73" spans="6:31" x14ac:dyDescent="0.25">
      <c r="F73" t="s">
        <v>44</v>
      </c>
      <c r="G73" t="s">
        <v>43</v>
      </c>
      <c r="I73" t="s">
        <v>44</v>
      </c>
      <c r="J73" t="s">
        <v>43</v>
      </c>
      <c r="L73" t="s">
        <v>44</v>
      </c>
      <c r="O73" t="s">
        <v>44</v>
      </c>
      <c r="P73" t="s">
        <v>43</v>
      </c>
    </row>
    <row r="74" spans="6:31" x14ac:dyDescent="0.25">
      <c r="F74">
        <f>dcas_m/2</f>
        <v>6.5000000000000002E-2</v>
      </c>
      <c r="G74">
        <v>0</v>
      </c>
      <c r="I74">
        <f>dintake_m/2</f>
        <v>2.5000000000000001E-3</v>
      </c>
      <c r="J74">
        <f>M74</f>
        <v>-2</v>
      </c>
      <c r="L74">
        <f>dcas_m/2</f>
        <v>6.5000000000000002E-2</v>
      </c>
      <c r="M74">
        <f>P75-M75</f>
        <v>-2</v>
      </c>
      <c r="O74">
        <f>dcas_m/2</f>
        <v>6.5000000000000002E-2</v>
      </c>
      <c r="P74">
        <v>0</v>
      </c>
    </row>
    <row r="75" spans="6:31" x14ac:dyDescent="0.25">
      <c r="F75">
        <f>F74</f>
        <v>6.5000000000000002E-2</v>
      </c>
      <c r="G75">
        <f>hperf</f>
        <v>10</v>
      </c>
      <c r="I75">
        <f>I74</f>
        <v>2.5000000000000001E-3</v>
      </c>
      <c r="J75">
        <f>hperf*1.2</f>
        <v>12</v>
      </c>
      <c r="L75">
        <f>L74</f>
        <v>6.5000000000000002E-2</v>
      </c>
      <c r="M75">
        <f>hperf*1.2</f>
        <v>12</v>
      </c>
      <c r="O75">
        <f>dintake_m/2</f>
        <v>2.5000000000000001E-3</v>
      </c>
      <c r="P75">
        <f>G75</f>
        <v>10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9A3A9-9EED-45AA-B9F4-4C1C2CAC774F}">
  <sheetPr codeName="Лист7"/>
  <dimension ref="C1:AE101"/>
  <sheetViews>
    <sheetView tabSelected="1" topLeftCell="C1" zoomScale="85" zoomScaleNormal="85" workbookViewId="0">
      <selection activeCell="P47" sqref="P47"/>
    </sheetView>
  </sheetViews>
  <sheetFormatPr defaultRowHeight="15" x14ac:dyDescent="0.25"/>
  <cols>
    <col min="4" max="4" width="11.42578125" customWidth="1"/>
    <col min="5" max="5" width="13" customWidth="1"/>
    <col min="8" max="8" width="17.85546875" customWidth="1"/>
    <col min="9" max="9" width="11.140625" bestFit="1" customWidth="1"/>
    <col min="13" max="13" width="20.42578125" customWidth="1"/>
    <col min="14" max="14" width="11" bestFit="1" customWidth="1"/>
    <col min="15" max="15" width="10.85546875" customWidth="1"/>
    <col min="16" max="16" width="11" bestFit="1" customWidth="1"/>
  </cols>
  <sheetData>
    <row r="1" spans="3:16" x14ac:dyDescent="0.25">
      <c r="C1" t="s">
        <v>53</v>
      </c>
    </row>
    <row r="3" spans="3:16" x14ac:dyDescent="0.25">
      <c r="D3" t="s">
        <v>15</v>
      </c>
      <c r="H3" t="s">
        <v>17</v>
      </c>
      <c r="M3" t="s">
        <v>16</v>
      </c>
    </row>
    <row r="6" spans="3:16" x14ac:dyDescent="0.25">
      <c r="D6" s="1" t="s">
        <v>0</v>
      </c>
      <c r="E6" s="1">
        <v>0.81</v>
      </c>
      <c r="H6" s="3" t="s">
        <v>24</v>
      </c>
      <c r="I6">
        <v>137</v>
      </c>
      <c r="J6" t="s">
        <v>18</v>
      </c>
      <c r="K6">
        <f>dcas/1000</f>
        <v>0.13700000000000001</v>
      </c>
      <c r="M6" t="s">
        <v>19</v>
      </c>
      <c r="N6" s="9" cm="1">
        <f t="array" ref="N6">[1]!feed_rho_liq_kgm3(p,t,feed_json)</f>
        <v>1033.0996662337236</v>
      </c>
      <c r="O6" t="s">
        <v>28</v>
      </c>
    </row>
    <row r="7" spans="3:16" x14ac:dyDescent="0.25">
      <c r="D7" s="1" t="s">
        <v>1</v>
      </c>
      <c r="E7" s="1">
        <v>0.82</v>
      </c>
      <c r="H7" s="3" t="s">
        <v>25</v>
      </c>
      <c r="I7">
        <v>5</v>
      </c>
      <c r="J7" t="s">
        <v>18</v>
      </c>
      <c r="K7">
        <f>dintake/1000</f>
        <v>5.0000000000000001E-3</v>
      </c>
      <c r="M7" t="s">
        <v>20</v>
      </c>
      <c r="N7" s="9" cm="1">
        <f t="array" ref="N7">[1]!PVT_rho_gas_kgm3(p,t,PVT_json)</f>
        <v>102.6081859719242</v>
      </c>
      <c r="O7" t="s">
        <v>28</v>
      </c>
    </row>
    <row r="8" spans="3:16" x14ac:dyDescent="0.25">
      <c r="D8" s="1" t="s">
        <v>2</v>
      </c>
      <c r="E8" s="1">
        <v>1.1000000000000001</v>
      </c>
      <c r="H8" t="s">
        <v>45</v>
      </c>
      <c r="I8">
        <v>100</v>
      </c>
      <c r="J8" t="s">
        <v>35</v>
      </c>
      <c r="K8">
        <f>I8/1000</f>
        <v>0.1</v>
      </c>
      <c r="M8" t="s">
        <v>21</v>
      </c>
      <c r="N8" s="6" cm="1">
        <f t="array" ref="N8">[1]!feed_ST_liqgas_Nm(p,t,feed_json)*calibr_st</f>
        <v>5.9138225831323561E-2</v>
      </c>
      <c r="O8" t="s">
        <v>29</v>
      </c>
      <c r="P8">
        <f>Пов._Натяжение/1000</f>
        <v>5.913822583132356E-5</v>
      </c>
    </row>
    <row r="9" spans="3:16" x14ac:dyDescent="0.25">
      <c r="D9" s="1" t="s">
        <v>3</v>
      </c>
      <c r="E9" s="1">
        <v>120</v>
      </c>
      <c r="H9" s="4" t="s">
        <v>26</v>
      </c>
      <c r="I9" s="4">
        <v>100</v>
      </c>
      <c r="M9" t="s">
        <v>22</v>
      </c>
      <c r="N9" s="7" cm="1">
        <f t="array" ref="N9">[1]!feed_q_liq_rc_m3day(p,t,feed_json)</f>
        <v>52.622658738882613</v>
      </c>
    </row>
    <row r="10" spans="3:16" x14ac:dyDescent="0.25">
      <c r="D10" s="1" t="s">
        <v>4</v>
      </c>
      <c r="E10" s="1"/>
      <c r="H10" s="4" t="s">
        <v>27</v>
      </c>
      <c r="I10" s="4">
        <v>80</v>
      </c>
      <c r="M10" t="s">
        <v>23</v>
      </c>
      <c r="N10" s="7" cm="1">
        <f t="array" ref="N10">[1]!feed_q_gas_rc_m3day(p,t,feed_json)</f>
        <v>2.1070276457876962</v>
      </c>
    </row>
    <row r="11" spans="3:16" x14ac:dyDescent="0.25">
      <c r="D11" s="1" t="s">
        <v>5</v>
      </c>
      <c r="E11" s="1"/>
      <c r="H11" s="4" t="s">
        <v>48</v>
      </c>
      <c r="I11" s="4">
        <v>2</v>
      </c>
      <c r="M11" t="s">
        <v>30</v>
      </c>
      <c r="N11" s="6" cm="1">
        <f t="array" ref="N11">[1]!feed_mu_liq_cP(p,t,feed_json)</f>
        <v>0.5130308541528239</v>
      </c>
    </row>
    <row r="12" spans="3:16" x14ac:dyDescent="0.25">
      <c r="D12" s="1" t="s">
        <v>6</v>
      </c>
      <c r="E12" s="1"/>
      <c r="H12" s="10" t="s">
        <v>49</v>
      </c>
      <c r="I12" s="4">
        <v>1</v>
      </c>
      <c r="M12" t="s">
        <v>31</v>
      </c>
      <c r="N12" s="6" cm="1">
        <f t="array" ref="N12">[1]!PVT_mu_gas_cP(p,t,PVT_json)</f>
        <v>1.5934611970626747E-2</v>
      </c>
    </row>
    <row r="13" spans="3:16" x14ac:dyDescent="0.25">
      <c r="D13" s="1" t="s">
        <v>7</v>
      </c>
      <c r="E13" s="1">
        <v>0.3</v>
      </c>
      <c r="H13" s="10" t="s">
        <v>52</v>
      </c>
      <c r="I13" s="4">
        <v>0.5</v>
      </c>
    </row>
    <row r="14" spans="3:16" x14ac:dyDescent="0.25">
      <c r="D14" s="1" t="s">
        <v>8</v>
      </c>
      <c r="E14" s="1">
        <v>0</v>
      </c>
    </row>
    <row r="15" spans="3:16" x14ac:dyDescent="0.25">
      <c r="D15" s="1" t="s">
        <v>9</v>
      </c>
      <c r="E15" s="2" t="str">
        <f>[1]!encode_PVT(E6,E7,E8,E9,E10,E11,E12,E13,E14)</f>
        <v>{"gamma_gas":0.81,"gamma_oil":0.82,"gamma_wat":1.1,"rsb_m3m3":120,"muob_cP":0.3,"PVT_corr_set":0}</v>
      </c>
    </row>
    <row r="16" spans="3:16" x14ac:dyDescent="0.25">
      <c r="D16" s="1" t="s">
        <v>10</v>
      </c>
      <c r="E16" s="1">
        <v>50</v>
      </c>
      <c r="F16" t="s">
        <v>54</v>
      </c>
      <c r="G16">
        <f>E16/pkv_ratio</f>
        <v>100</v>
      </c>
      <c r="H16" s="10" t="s">
        <v>55</v>
      </c>
    </row>
    <row r="17" spans="4:25" x14ac:dyDescent="0.25">
      <c r="D17" s="1" t="s">
        <v>11</v>
      </c>
      <c r="E17" s="1">
        <v>90</v>
      </c>
    </row>
    <row r="18" spans="4:25" x14ac:dyDescent="0.25">
      <c r="D18" s="1" t="s">
        <v>12</v>
      </c>
      <c r="E18" s="1">
        <v>120</v>
      </c>
    </row>
    <row r="19" spans="4:25" x14ac:dyDescent="0.25">
      <c r="D19" s="1" t="s">
        <v>13</v>
      </c>
      <c r="E19" s="1">
        <v>0</v>
      </c>
    </row>
    <row r="20" spans="4:25" x14ac:dyDescent="0.25">
      <c r="D20" s="1" t="s">
        <v>14</v>
      </c>
      <c r="E20" s="2" t="str">
        <f>[1]!encode_feed(E16,E17,E18,E19,E15)</f>
        <v>{"gamma_gas":0.81,"gamma_oil":0.82,"gamma_wat":1.1,"rsb_m3m3":120,"muob_cP":0.3,"PVT_corr_set":0,"q_liq_sm3day":50,"fw_perc":90,"rp_m3m3":120}</v>
      </c>
    </row>
    <row r="23" spans="4:25" x14ac:dyDescent="0.25">
      <c r="I23" s="5"/>
    </row>
    <row r="26" spans="4:25" x14ac:dyDescent="0.25">
      <c r="E26" t="s">
        <v>46</v>
      </c>
    </row>
    <row r="28" spans="4:25" x14ac:dyDescent="0.25">
      <c r="F28" t="s">
        <v>32</v>
      </c>
      <c r="G28" t="s">
        <v>14</v>
      </c>
      <c r="H28" t="s">
        <v>19</v>
      </c>
      <c r="I28" t="s">
        <v>20</v>
      </c>
      <c r="J28" t="s">
        <v>21</v>
      </c>
      <c r="K28" t="s">
        <v>22</v>
      </c>
      <c r="L28" t="s">
        <v>23</v>
      </c>
      <c r="M28" t="s">
        <v>30</v>
      </c>
      <c r="N28" t="s">
        <v>31</v>
      </c>
      <c r="O28" t="s">
        <v>33</v>
      </c>
      <c r="P28" t="s">
        <v>34</v>
      </c>
    </row>
    <row r="29" spans="4:25" x14ac:dyDescent="0.25">
      <c r="D29">
        <f>(S29+1/pkv_ratio)/(1+1/pkv_ratio)</f>
        <v>0.99346431560866544</v>
      </c>
      <c r="F29">
        <v>2</v>
      </c>
      <c r="G29" t="str">
        <f>[1]!encode_feed(F29,$E$17,$E$18,$E$19,$E$15)</f>
        <v>{"gamma_gas":0.81,"gamma_oil":0.82,"gamma_wat":1.1,"rsb_m3m3":120,"muob_cP":0.3,"PVT_corr_set":0,"q_liq_sm3day":2,"fw_perc":90,"rp_m3m3":120}</v>
      </c>
      <c r="H29" s="9" cm="1">
        <f t="array" ref="H29">[1]!feed_rho_liq_kgm3(p,t,G29)</f>
        <v>1033.0996662337236</v>
      </c>
      <c r="I29" s="9" cm="1">
        <f t="array" ref="I29">[1]!PVT_rho_gas_kgm3(p,t,PVT_json)</f>
        <v>102.6081859719242</v>
      </c>
      <c r="J29" s="6" cm="1">
        <f t="array" ref="J29">[1]!feed_ST_liqgas_Nm(p,t,G29)</f>
        <v>5.9138225831323561E-2</v>
      </c>
      <c r="K29" s="8" cm="1">
        <f t="array" ref="K29">[1]!feed_q_liq_rc_m3day(p,t,G29)</f>
        <v>2.1049063495553044</v>
      </c>
      <c r="L29" s="8" cm="1">
        <f t="array" ref="L29">[1]!feed_q_gas_rc_m3day(p,t,G29)</f>
        <v>8.428110583150783E-2</v>
      </c>
      <c r="M29" s="7" cm="1">
        <f t="array" ref="M29">[1]!feed_mu_liq_cP(p,t,G29)</f>
        <v>0.5130308541528239</v>
      </c>
      <c r="N29" s="7" cm="1">
        <f t="array" ref="N29">[1]!PVT_mu_gas_cP(p,t,G29)</f>
        <v>1.5934611970626747E-2</v>
      </c>
      <c r="O29" s="7" cm="1">
        <f t="array" ref="O29">[1]!unf_ksep_natural_simplified_Marquez(dintake_m,dcas_m,K29,L29,J29,H29,I29,1)</f>
        <v>0.98442821164209615</v>
      </c>
      <c r="P29" s="7" cm="1">
        <f t="array" ref="P29">[1]!unf_ksep_mechanistic_Marquez_pkv(dintake_m,dcas_m,K29,L29,J29,H29,I29,M29,N29,1,hint,calibr_li,calibr_st,pkv_ratio)</f>
        <v>0.99346431560866544</v>
      </c>
      <c r="R29">
        <f t="array" ref="R29:Y29">[1]!unf_ksep_mechanistic_Marquez_pkv(dintake_m,dcas_m,K29,L29,J29,H29,I29,M29,N29,0,hint,calibr_li,calibr_st,pkv_ratio)</f>
        <v>0.99346431560866544</v>
      </c>
      <c r="S29">
        <v>0.98039294682599643</v>
      </c>
      <c r="T29">
        <v>0</v>
      </c>
      <c r="U29">
        <v>0.22944719095665927</v>
      </c>
      <c r="V29">
        <v>1.6548708240327872E-3</v>
      </c>
      <c r="W29">
        <v>6.6261543221268784E-5</v>
      </c>
      <c r="X29">
        <v>1.1957483161224604E-3</v>
      </c>
      <c r="Y29">
        <v>0.22754085981968544</v>
      </c>
    </row>
    <row r="30" spans="4:25" x14ac:dyDescent="0.25">
      <c r="D30">
        <f>(S30+1/pkv_ratio)/(1+1/pkv_ratio)</f>
        <v>0.98338118189719259</v>
      </c>
      <c r="F30">
        <v>5</v>
      </c>
      <c r="G30" t="str">
        <f>[1]!encode_feed(F30,$E$17,$E$18,$E$19,$E$15)</f>
        <v>{"gamma_gas":0.81,"gamma_oil":0.82,"gamma_wat":1.1,"rsb_m3m3":120,"muob_cP":0.3,"PVT_corr_set":0,"q_liq_sm3day":5,"fw_perc":90,"rp_m3m3":120}</v>
      </c>
      <c r="H30" s="9" cm="1">
        <f t="array" ref="H30">[1]!feed_rho_liq_kgm3(p,t,G30)</f>
        <v>1033.0996662337236</v>
      </c>
      <c r="I30" s="9" cm="1">
        <f t="array" ref="I30">[1]!PVT_rho_gas_kgm3(p,t,PVT_json)</f>
        <v>102.6081859719242</v>
      </c>
      <c r="J30" s="6" cm="1">
        <f t="array" ref="J30">[1]!feed_ST_liqgas_Nm(p,t,G30)</f>
        <v>5.9138225831323561E-2</v>
      </c>
      <c r="K30" s="8" cm="1">
        <f t="array" ref="K30">[1]!feed_q_liq_rc_m3day(p,t,G30)</f>
        <v>5.2622658738882615</v>
      </c>
      <c r="L30" s="8" cm="1">
        <f t="array" ref="L30">[1]!feed_q_gas_rc_m3day(p,t,G30)</f>
        <v>0.2107027645787696</v>
      </c>
      <c r="M30" s="7" cm="1">
        <f t="array" ref="M30">[1]!feed_mu_liq_cP(p,t,G30)</f>
        <v>0.5130308541528239</v>
      </c>
      <c r="N30" s="7" cm="1">
        <f t="array" ref="N30">[1]!PVT_mu_gas_cP(p,t,G30)</f>
        <v>1.5934611970626747E-2</v>
      </c>
      <c r="O30" s="7" cm="1">
        <f t="array" ref="O30">[1]!unf_ksep_natural_simplified_Marquez(dintake_m,dcas_m,K30,L30,J30,H30,I30,1)</f>
        <v>0.97578710917106259</v>
      </c>
      <c r="P30" s="7" cm="1">
        <f t="array" ref="P30">[1]!unf_ksep_mechanistic_Marquez_pkv(dintake_m,dcas_m,K30,L30,J30,H30,I30,M30,N30,1,hint,calibr_li,calibr_st,pkv_ratio)</f>
        <v>0.9833811818971927</v>
      </c>
      <c r="R30">
        <f t="array" ref="R30:Y30">[1]!unf_ksep_mechanistic_Marquez_pkv(dintake_m,dcas_m,K30,L30,J30,H30,I30,M30,N30,0,hint,calibr_li,calibr_st,pkv_ratio)</f>
        <v>0.9833811818971927</v>
      </c>
      <c r="S30">
        <v>0.95014354569157811</v>
      </c>
      <c r="T30">
        <v>0</v>
      </c>
      <c r="U30">
        <v>0.22944719095665927</v>
      </c>
      <c r="V30">
        <v>4.1371770600819686E-3</v>
      </c>
      <c r="W30">
        <v>1.6565385805317201E-4</v>
      </c>
      <c r="X30">
        <v>1.195691421464785E-3</v>
      </c>
      <c r="Y30">
        <v>0.22468136311422471</v>
      </c>
    </row>
    <row r="31" spans="4:25" x14ac:dyDescent="0.25">
      <c r="D31">
        <f>(S31+1/pkv_ratio)/(1+1/pkv_ratio)</f>
        <v>0.96692368624308711</v>
      </c>
      <c r="F31">
        <v>10</v>
      </c>
      <c r="G31" t="str">
        <f>[1]!encode_feed(F31,$E$17,$E$18,$E$19,$E$15)</f>
        <v>{"gamma_gas":0.81,"gamma_oil":0.82,"gamma_wat":1.1,"rsb_m3m3":120,"muob_cP":0.3,"PVT_corr_set":0,"q_liq_sm3day":10,"fw_perc":90,"rp_m3m3":120}</v>
      </c>
      <c r="H31" s="9" cm="1">
        <f t="array" ref="H31">[1]!feed_rho_liq_kgm3(p,t,G31)</f>
        <v>1033.0996662337236</v>
      </c>
      <c r="I31" s="9" cm="1">
        <f t="array" ref="I31">[1]!PVT_rho_gas_kgm3(p,t,PVT_json)</f>
        <v>102.6081859719242</v>
      </c>
      <c r="J31" s="6" cm="1">
        <f t="array" ref="J31">[1]!feed_ST_liqgas_Nm(p,t,G31)</f>
        <v>5.9138225831323561E-2</v>
      </c>
      <c r="K31" s="8" cm="1">
        <f t="array" ref="K31">[1]!feed_q_liq_rc_m3day(p,t,G31)</f>
        <v>10.524531747776523</v>
      </c>
      <c r="L31" s="8" cm="1">
        <f t="array" ref="L31">[1]!feed_q_gas_rc_m3day(p,t,G31)</f>
        <v>0.4214055291575392</v>
      </c>
      <c r="M31" s="7" cm="1">
        <f t="array" ref="M31">[1]!feed_mu_liq_cP(p,t,G31)</f>
        <v>0.5130308541528239</v>
      </c>
      <c r="N31" s="7" cm="1">
        <f t="array" ref="N31">[1]!PVT_mu_gas_cP(p,t,G31)</f>
        <v>1.5934611970626747E-2</v>
      </c>
      <c r="O31" s="7" cm="1">
        <f t="array" ref="O31">[1]!unf_ksep_natural_simplified_Marquez(dintake_m,dcas_m,K31,L31,J31,H31,I31,1)</f>
        <v>0.96235737586752912</v>
      </c>
      <c r="P31" s="7" cm="1">
        <f t="array" ref="P31">[1]!unf_ksep_mechanistic_Marquez_pkv(dintake_m,dcas_m,K31,L31,J31,H31,I31,M31,N31,1,hint,calibr_li,calibr_st,pkv_ratio)</f>
        <v>0.96692368624308711</v>
      </c>
      <c r="R31">
        <f t="array" ref="R31:Y31">[1]!unf_ksep_mechanistic_Marquez_pkv(dintake_m,dcas_m,K31,L31,J31,H31,I31,M31,N31,0,hint,calibr_li,calibr_st,pkv_ratio)</f>
        <v>0.96692368624308711</v>
      </c>
      <c r="S31">
        <v>0.90077105872926144</v>
      </c>
      <c r="T31">
        <v>0</v>
      </c>
      <c r="U31">
        <v>0.22944719095665927</v>
      </c>
      <c r="V31">
        <v>8.2743541201639372E-3</v>
      </c>
      <c r="W31">
        <v>3.3130771610634401E-4</v>
      </c>
      <c r="X31">
        <v>1.1955969692188869E-3</v>
      </c>
      <c r="Y31">
        <v>0.21991553527179017</v>
      </c>
    </row>
    <row r="32" spans="4:25" x14ac:dyDescent="0.25">
      <c r="D32">
        <f>(S32+1/pkv_ratio)/(1+1/pkv_ratio)</f>
        <v>0.95080403551195436</v>
      </c>
      <c r="F32">
        <v>15</v>
      </c>
      <c r="G32" t="str">
        <f>[1]!encode_feed(F32,$E$17,$E$18,$E$19,$E$15)</f>
        <v>{"gamma_gas":0.81,"gamma_oil":0.82,"gamma_wat":1.1,"rsb_m3m3":120,"muob_cP":0.3,"PVT_corr_set":0,"q_liq_sm3day":15,"fw_perc":90,"rp_m3m3":120}</v>
      </c>
      <c r="H32" s="9" cm="1">
        <f t="array" ref="H32">[1]!feed_rho_liq_kgm3(p,t,G32)</f>
        <v>1033.0996662337236</v>
      </c>
      <c r="I32" s="9" cm="1">
        <f t="array" ref="I32">[1]!PVT_rho_gas_kgm3(p,t,PVT_json)</f>
        <v>102.6081859719242</v>
      </c>
      <c r="J32" s="6" cm="1">
        <f t="array" ref="J32">[1]!feed_ST_liqgas_Nm(p,t,G32)</f>
        <v>5.9138225831323561E-2</v>
      </c>
      <c r="K32" s="8" cm="1">
        <f t="array" ref="K32">[1]!feed_q_liq_rc_m3day(p,t,G32)</f>
        <v>15.786797621664784</v>
      </c>
      <c r="L32" s="8" cm="1">
        <f t="array" ref="L32">[1]!feed_q_gas_rc_m3day(p,t,G32)</f>
        <v>0.63210829373630872</v>
      </c>
      <c r="M32" s="7" cm="1">
        <f t="array" ref="M32">[1]!feed_mu_liq_cP(p,t,G32)</f>
        <v>0.5130308541528239</v>
      </c>
      <c r="N32" s="7" cm="1">
        <f t="array" ref="N32">[1]!PVT_mu_gas_cP(p,t,G32)</f>
        <v>1.5934611970626747E-2</v>
      </c>
      <c r="O32" s="7" cm="1">
        <f t="array" ref="O32">[1]!unf_ksep_natural_simplified_Marquez(dintake_m,dcas_m,K32,L32,J32,H32,I32,1)</f>
        <v>0.94972423361697544</v>
      </c>
      <c r="P32" s="7" cm="1">
        <f t="array" ref="P32">[1]!unf_ksep_mechanistic_Marquez_pkv(dintake_m,dcas_m,K32,L32,J32,H32,I32,M32,N32,1,hint,calibr_li,calibr_st,pkv_ratio)</f>
        <v>0.95080403551195425</v>
      </c>
      <c r="R32">
        <f t="array" ref="R32:Y32">[1]!unf_ksep_mechanistic_Marquez_pkv(dintake_m,dcas_m,K32,L32,J32,H32,I32,M32,N32,0,hint,calibr_li,calibr_st,pkv_ratio)</f>
        <v>0.95080403551195425</v>
      </c>
      <c r="S32">
        <v>0.85241210653586275</v>
      </c>
      <c r="T32">
        <v>0</v>
      </c>
      <c r="U32">
        <v>0.22944719095665927</v>
      </c>
      <c r="V32">
        <v>1.2411531180245905E-2</v>
      </c>
      <c r="W32">
        <v>4.9696157415951591E-4</v>
      </c>
      <c r="X32">
        <v>1.1955029813309481E-3</v>
      </c>
      <c r="Y32">
        <v>0.2151497074293556</v>
      </c>
    </row>
    <row r="33" spans="4:25" x14ac:dyDescent="0.25">
      <c r="D33">
        <f>(S33+1/pkv_ratio)/(1+1/pkv_ratio)</f>
        <v>0.9349538860366603</v>
      </c>
      <c r="F33">
        <v>20</v>
      </c>
      <c r="G33" t="str">
        <f>[1]!encode_feed(F33,$E$17,$E$18,$E$19,$E$15)</f>
        <v>{"gamma_gas":0.81,"gamma_oil":0.82,"gamma_wat":1.1,"rsb_m3m3":120,"muob_cP":0.3,"PVT_corr_set":0,"q_liq_sm3day":20,"fw_perc":90,"rp_m3m3":120}</v>
      </c>
      <c r="H33" s="9" cm="1">
        <f t="array" ref="H33">[1]!feed_rho_liq_kgm3(p,t,G33)</f>
        <v>1033.0996662337236</v>
      </c>
      <c r="I33" s="9" cm="1">
        <f t="array" ref="I33">[1]!PVT_rho_gas_kgm3(p,t,PVT_json)</f>
        <v>102.6081859719242</v>
      </c>
      <c r="J33" s="6" cm="1">
        <f t="array" ref="J33">[1]!feed_ST_liqgas_Nm(p,t,G33)</f>
        <v>5.9138225831323561E-2</v>
      </c>
      <c r="K33" s="8" cm="1">
        <f t="array" ref="K33">[1]!feed_q_liq_rc_m3day(p,t,G33)</f>
        <v>21.049063495553046</v>
      </c>
      <c r="L33" s="8" cm="1">
        <f t="array" ref="L33">[1]!feed_q_gas_rc_m3day(p,t,G33)</f>
        <v>0.84281105831507841</v>
      </c>
      <c r="M33" s="7" cm="1">
        <f t="array" ref="M33">[1]!feed_mu_liq_cP(p,t,G33)</f>
        <v>0.5130308541528239</v>
      </c>
      <c r="N33" s="7" cm="1">
        <f t="array" ref="N33">[1]!PVT_mu_gas_cP(p,t,G33)</f>
        <v>1.5934611970626747E-2</v>
      </c>
      <c r="O33" s="7" cm="1">
        <f t="array" ref="O33">[1]!unf_ksep_natural_simplified_Marquez(dintake_m,dcas_m,K33,L33,J33,H33,I33,1)</f>
        <v>0.9376827591449115</v>
      </c>
      <c r="P33" s="7" cm="1">
        <f t="array" ref="P33">[1]!unf_ksep_mechanistic_Marquez_pkv(dintake_m,dcas_m,K33,L33,J33,H33,I33,M33,N33,1,hint,calibr_li,calibr_st,pkv_ratio)</f>
        <v>0.9349538860366603</v>
      </c>
      <c r="R33">
        <f t="array" ref="R33:Y33">[1]!unf_ksep_mechanistic_Marquez_pkv(dintake_m,dcas_m,K33,L33,J33,H33,I33,M33,N33,0,hint,calibr_li,calibr_st,pkv_ratio)</f>
        <v>0.9349538860366603</v>
      </c>
      <c r="S33">
        <v>0.80486165810998089</v>
      </c>
      <c r="T33">
        <v>0</v>
      </c>
      <c r="U33">
        <v>0.22944719095665927</v>
      </c>
      <c r="V33">
        <v>1.6548708240327874E-2</v>
      </c>
      <c r="W33">
        <v>6.6261543221268803E-4</v>
      </c>
      <c r="X33">
        <v>1.1954094567979429E-3</v>
      </c>
      <c r="Y33">
        <v>0.21038387958692106</v>
      </c>
    </row>
    <row r="34" spans="4:25" x14ac:dyDescent="0.25">
      <c r="D34">
        <f>(S34+1/pkv_ratio)/(1+1/pkv_ratio)</f>
        <v>0.91935062461506079</v>
      </c>
      <c r="F34">
        <v>25</v>
      </c>
      <c r="G34" t="str">
        <f>[1]!encode_feed(F34,$E$17,$E$18,$E$19,$E$15)</f>
        <v>{"gamma_gas":0.81,"gamma_oil":0.82,"gamma_wat":1.1,"rsb_m3m3":120,"muob_cP":0.3,"PVT_corr_set":0,"q_liq_sm3day":25,"fw_perc":90,"rp_m3m3":120}</v>
      </c>
      <c r="H34" s="9" cm="1">
        <f t="array" ref="H34">[1]!feed_rho_liq_kgm3(p,t,G34)</f>
        <v>1033.0996662337236</v>
      </c>
      <c r="I34" s="9" cm="1">
        <f t="array" ref="I34">[1]!PVT_rho_gas_kgm3(p,t,PVT_json)</f>
        <v>102.6081859719242</v>
      </c>
      <c r="J34" s="6" cm="1">
        <f t="array" ref="J34">[1]!feed_ST_liqgas_Nm(p,t,G34)</f>
        <v>5.9138225831323561E-2</v>
      </c>
      <c r="K34" s="8" cm="1">
        <f t="array" ref="K34">[1]!feed_q_liq_rc_m3day(p,t,G34)</f>
        <v>26.311329369441307</v>
      </c>
      <c r="L34" s="8" cm="1">
        <f t="array" ref="L34">[1]!feed_q_gas_rc_m3day(p,t,G34)</f>
        <v>1.0535138228938481</v>
      </c>
      <c r="M34" s="7" cm="1">
        <f t="array" ref="M34">[1]!feed_mu_liq_cP(p,t,G34)</f>
        <v>0.5130308541528239</v>
      </c>
      <c r="N34" s="7" cm="1">
        <f t="array" ref="N34">[1]!PVT_mu_gas_cP(p,t,G34)</f>
        <v>1.5934611970626747E-2</v>
      </c>
      <c r="O34" s="7" cm="1">
        <f t="array" ref="O34">[1]!unf_ksep_natural_simplified_Marquez(dintake_m,dcas_m,K34,L34,J34,H34,I34,1)</f>
        <v>0.9261228470022399</v>
      </c>
      <c r="P34" s="7" cm="1">
        <f t="array" ref="P34">[1]!unf_ksep_mechanistic_Marquez_pkv(dintake_m,dcas_m,K34,L34,J34,H34,I34,M34,N34,1,hint,calibr_li,calibr_st,pkv_ratio)</f>
        <v>0.9193506246150609</v>
      </c>
      <c r="R34">
        <f t="array" ref="R34:Y34">[1]!unf_ksep_mechanistic_Marquez_pkv(dintake_m,dcas_m,K34,L34,J34,H34,I34,M34,N34,0,hint,calibr_li,calibr_st,pkv_ratio)</f>
        <v>0.9193506246150609</v>
      </c>
      <c r="S34">
        <v>0.75805187384518258</v>
      </c>
      <c r="T34">
        <v>0</v>
      </c>
      <c r="U34">
        <v>0.22944719095665927</v>
      </c>
      <c r="V34">
        <v>2.068588530040984E-2</v>
      </c>
      <c r="W34">
        <v>8.2826929026586003E-4</v>
      </c>
      <c r="X34">
        <v>1.1953163946194661E-3</v>
      </c>
      <c r="Y34">
        <v>0.2056180517444865</v>
      </c>
    </row>
    <row r="35" spans="4:25" x14ac:dyDescent="0.25">
      <c r="D35">
        <f>(S35+1/pkv_ratio)/(1+1/pkv_ratio)</f>
        <v>0.90399106327940437</v>
      </c>
      <c r="F35">
        <v>30</v>
      </c>
      <c r="G35" t="str">
        <f>[1]!encode_feed(F35,$E$17,$E$18,$E$19,$E$15)</f>
        <v>{"gamma_gas":0.81,"gamma_oil":0.82,"gamma_wat":1.1,"rsb_m3m3":120,"muob_cP":0.3,"PVT_corr_set":0,"q_liq_sm3day":30,"fw_perc":90,"rp_m3m3":120}</v>
      </c>
      <c r="H35" s="9" cm="1">
        <f t="array" ref="H35">[1]!feed_rho_liq_kgm3(p,t,G35)</f>
        <v>1033.0996662337236</v>
      </c>
      <c r="I35" s="9" cm="1">
        <f t="array" ref="I35">[1]!PVT_rho_gas_kgm3(p,t,PVT_json)</f>
        <v>102.6081859719242</v>
      </c>
      <c r="J35" s="6" cm="1">
        <f t="array" ref="J35">[1]!feed_ST_liqgas_Nm(p,t,G35)</f>
        <v>5.9138225831323561E-2</v>
      </c>
      <c r="K35" s="8" cm="1">
        <f t="array" ref="K35">[1]!feed_q_liq_rc_m3day(p,t,G35)</f>
        <v>31.573595243329567</v>
      </c>
      <c r="L35" s="8" cm="1">
        <f t="array" ref="L35">[1]!feed_q_gas_rc_m3day(p,t,G35)</f>
        <v>1.2642165874726174</v>
      </c>
      <c r="M35" s="7" cm="1">
        <f t="array" ref="M35">[1]!feed_mu_liq_cP(p,t,G35)</f>
        <v>0.5130308541528239</v>
      </c>
      <c r="N35" s="7" cm="1">
        <f t="array" ref="N35">[1]!PVT_mu_gas_cP(p,t,G35)</f>
        <v>1.5934611970626747E-2</v>
      </c>
      <c r="O35" s="7" cm="1">
        <f t="array" ref="O35">[1]!unf_ksep_natural_simplified_Marquez(dintake_m,dcas_m,K35,L35,J35,H35,I35,1)</f>
        <v>0.91497384319391184</v>
      </c>
      <c r="P35" s="7" cm="1">
        <f t="array" ref="P35">[1]!unf_ksep_mechanistic_Marquez_pkv(dintake_m,dcas_m,K35,L35,J35,H35,I35,M35,N35,1,hint,calibr_li,calibr_st,pkv_ratio)</f>
        <v>0.90399106327940437</v>
      </c>
      <c r="R35">
        <f t="array" ref="R35:Y35">[1]!unf_ksep_mechanistic_Marquez_pkv(dintake_m,dcas_m,K35,L35,J35,H35,I35,M35,N35,0,hint,calibr_li,calibr_st,pkv_ratio)</f>
        <v>0.90399106327940437</v>
      </c>
      <c r="S35">
        <v>0.71197318983821301</v>
      </c>
      <c r="T35">
        <v>0</v>
      </c>
      <c r="U35">
        <v>0.22944719095665927</v>
      </c>
      <c r="V35">
        <v>2.482306236049181E-2</v>
      </c>
      <c r="W35">
        <v>9.9392314831903182E-4</v>
      </c>
      <c r="X35">
        <v>1.1952237937979308E-3</v>
      </c>
      <c r="Y35">
        <v>0.20085222390205193</v>
      </c>
    </row>
    <row r="36" spans="4:25" x14ac:dyDescent="0.25">
      <c r="D36">
        <f>(S36+1/pkv_ratio)/(1+1/pkv_ratio)</f>
        <v>0.88887166650375216</v>
      </c>
      <c r="F36">
        <v>35</v>
      </c>
      <c r="G36" t="str">
        <f>[1]!encode_feed(F36,$E$17,$E$18,$E$19,$E$15)</f>
        <v>{"gamma_gas":0.81,"gamma_oil":0.82,"gamma_wat":1.1,"rsb_m3m3":120,"muob_cP":0.3,"PVT_corr_set":0,"q_liq_sm3day":35,"fw_perc":90,"rp_m3m3":120}</v>
      </c>
      <c r="H36" s="9" cm="1">
        <f t="array" ref="H36">[1]!feed_rho_liq_kgm3(p,t,G36)</f>
        <v>1033.0996662337236</v>
      </c>
      <c r="I36" s="9" cm="1">
        <f t="array" ref="I36">[1]!PVT_rho_gas_kgm3(p,t,PVT_json)</f>
        <v>102.6081859719242</v>
      </c>
      <c r="J36" s="6" cm="1">
        <f t="array" ref="J36">[1]!feed_ST_liqgas_Nm(p,t,G36)</f>
        <v>5.9138225831323561E-2</v>
      </c>
      <c r="K36" s="8" cm="1">
        <f t="array" ref="K36">[1]!feed_q_liq_rc_m3day(p,t,G36)</f>
        <v>36.835861117217831</v>
      </c>
      <c r="L36" s="8" cm="1">
        <f t="array" ref="L36">[1]!feed_q_gas_rc_m3day(p,t,G36)</f>
        <v>1.4749193520513872</v>
      </c>
      <c r="M36" s="7" cm="1">
        <f t="array" ref="M36">[1]!feed_mu_liq_cP(p,t,G36)</f>
        <v>0.5130308541528239</v>
      </c>
      <c r="N36" s="7" cm="1">
        <f t="array" ref="N36">[1]!PVT_mu_gas_cP(p,t,G36)</f>
        <v>1.5934611970626747E-2</v>
      </c>
      <c r="O36" s="7" cm="1">
        <f t="array" ref="O36">[1]!unf_ksep_natural_simplified_Marquez(dintake_m,dcas_m,K36,L36,J36,H36,I36,1)</f>
        <v>0.90418583721189905</v>
      </c>
      <c r="P36" s="7" cm="1">
        <f t="array" ref="P36">[1]!unf_ksep_mechanistic_Marquez_pkv(dintake_m,dcas_m,K36,L36,J36,H36,I36,M36,N36,1,hint,calibr_li,calibr_st,pkv_ratio)</f>
        <v>0.88887166650375216</v>
      </c>
      <c r="R36">
        <f t="array" ref="R36:Y36">[1]!unf_ksep_mechanistic_Marquez_pkv(dintake_m,dcas_m,K36,L36,J36,H36,I36,M36,N36,0,hint,calibr_li,calibr_st,pkv_ratio)</f>
        <v>0.88887166650375216</v>
      </c>
      <c r="S36">
        <v>0.66661499951125636</v>
      </c>
      <c r="T36">
        <v>0</v>
      </c>
      <c r="U36">
        <v>0.22944719095665927</v>
      </c>
      <c r="V36">
        <v>2.8960239420573779E-2</v>
      </c>
      <c r="W36">
        <v>1.1595770063722039E-3</v>
      </c>
      <c r="X36">
        <v>1.1951316533385292E-3</v>
      </c>
      <c r="Y36">
        <v>0.19608639605961739</v>
      </c>
    </row>
    <row r="37" spans="4:25" x14ac:dyDescent="0.25">
      <c r="D37">
        <f>(S37+1/pkv_ratio)/(1+1/pkv_ratio)</f>
        <v>0.8739327721228648</v>
      </c>
      <c r="F37">
        <v>40</v>
      </c>
      <c r="G37" t="str">
        <f>[1]!encode_feed(F37,$E$17,$E$18,$E$19,$E$15)</f>
        <v>{"gamma_gas":0.81,"gamma_oil":0.82,"gamma_wat":1.1,"rsb_m3m3":120,"muob_cP":0.3,"PVT_corr_set":0,"q_liq_sm3day":40,"fw_perc":90,"rp_m3m3":120}</v>
      </c>
      <c r="H37" s="9" cm="1">
        <f t="array" ref="H37">[1]!feed_rho_liq_kgm3(p,t,G37)</f>
        <v>1033.0996662337236</v>
      </c>
      <c r="I37" s="9" cm="1">
        <f t="array" ref="I37">[1]!PVT_rho_gas_kgm3(p,t,PVT_json)</f>
        <v>102.6081859719242</v>
      </c>
      <c r="J37" s="6" cm="1">
        <f t="array" ref="J37">[1]!feed_ST_liqgas_Nm(p,t,G37)</f>
        <v>5.9138225831323561E-2</v>
      </c>
      <c r="K37" s="8" cm="1">
        <f t="array" ref="K37">[1]!feed_q_liq_rc_m3day(p,t,G37)</f>
        <v>42.098126991106092</v>
      </c>
      <c r="L37" s="8" cm="1">
        <f t="array" ref="L37">[1]!feed_q_gas_rc_m3day(p,t,G37)</f>
        <v>1.6856221166301568</v>
      </c>
      <c r="M37" s="7" cm="1">
        <f t="array" ref="M37">[1]!feed_mu_liq_cP(p,t,G37)</f>
        <v>0.5130308541528239</v>
      </c>
      <c r="N37" s="7" cm="1">
        <f t="array" ref="N37">[1]!PVT_mu_gas_cP(p,t,G37)</f>
        <v>1.5934611970626747E-2</v>
      </c>
      <c r="O37" s="7" cm="1">
        <f t="array" ref="O37">[1]!unf_ksep_natural_simplified_Marquez(dintake_m,dcas_m,K37,L37,J37,H37,I37,1)</f>
        <v>0.89372134510109924</v>
      </c>
      <c r="P37" s="7" cm="1">
        <f t="array" ref="P37">[1]!unf_ksep_mechanistic_Marquez_pkv(dintake_m,dcas_m,K37,L37,J37,H37,I37,M37,N37,1,hint,calibr_li,calibr_st,pkv_ratio)</f>
        <v>0.8739327721228648</v>
      </c>
      <c r="R37">
        <f t="array" ref="R37:Y37">[1]!unf_ksep_mechanistic_Marquez_pkv(dintake_m,dcas_m,K37,L37,J37,H37,I37,M37,N37,0,hint,calibr_li,calibr_st,pkv_ratio)</f>
        <v>0.8739327721228648</v>
      </c>
      <c r="S37">
        <v>0.62179831636859439</v>
      </c>
      <c r="T37">
        <v>0</v>
      </c>
      <c r="U37">
        <v>0.22944719095665927</v>
      </c>
      <c r="V37">
        <v>3.3097416480655749E-2</v>
      </c>
      <c r="W37">
        <v>1.3252308644253761E-3</v>
      </c>
      <c r="X37">
        <v>1.1950399722491596E-3</v>
      </c>
      <c r="Y37">
        <v>0.19132056821718282</v>
      </c>
    </row>
    <row r="38" spans="4:25" x14ac:dyDescent="0.25">
      <c r="D38">
        <f>(S38+1/pkv_ratio)/(1+1/pkv_ratio)</f>
        <v>0.859267787184264</v>
      </c>
      <c r="F38">
        <v>45</v>
      </c>
      <c r="G38" t="str">
        <f>[1]!encode_feed(F38,$E$17,$E$18,$E$19,$E$15)</f>
        <v>{"gamma_gas":0.81,"gamma_oil":0.82,"gamma_wat":1.1,"rsb_m3m3":120,"muob_cP":0.3,"PVT_corr_set":0,"q_liq_sm3day":45,"fw_perc":90,"rp_m3m3":120}</v>
      </c>
      <c r="H38" s="9" cm="1">
        <f t="array" ref="H38">[1]!feed_rho_liq_kgm3(p,t,G38)</f>
        <v>1033.0996662337236</v>
      </c>
      <c r="I38" s="9" cm="1">
        <f t="array" ref="I38">[1]!PVT_rho_gas_kgm3(p,t,PVT_json)</f>
        <v>102.6081859719242</v>
      </c>
      <c r="J38" s="6" cm="1">
        <f t="array" ref="J38">[1]!feed_ST_liqgas_Nm(p,t,G38)</f>
        <v>5.9138225831323561E-2</v>
      </c>
      <c r="K38" s="8" cm="1">
        <f t="array" ref="K38">[1]!feed_q_liq_rc_m3day(p,t,G38)</f>
        <v>47.360392864994353</v>
      </c>
      <c r="L38" s="8" cm="1">
        <f t="array" ref="L38">[1]!feed_q_gas_rc_m3day(p,t,G38)</f>
        <v>1.8963248812089266</v>
      </c>
      <c r="M38" s="7" cm="1">
        <f t="array" ref="M38">[1]!feed_mu_liq_cP(p,t,G38)</f>
        <v>0.5130308541528239</v>
      </c>
      <c r="N38" s="7" cm="1">
        <f t="array" ref="N38">[1]!PVT_mu_gas_cP(p,t,G38)</f>
        <v>1.5934611970626747E-2</v>
      </c>
      <c r="O38" s="7" cm="1">
        <f t="array" ref="O38">[1]!unf_ksep_natural_simplified_Marquez(dintake_m,dcas_m,K38,L38,J38,H38,I38,1)</f>
        <v>0.875944876984595</v>
      </c>
      <c r="P38" s="7" cm="1">
        <f t="array" ref="P38">[1]!unf_ksep_mechanistic_Marquez_pkv(dintake_m,dcas_m,K38,L38,J38,H38,I38,M38,N38,1,hint,calibr_li,calibr_st,pkv_ratio)</f>
        <v>0.859267787184264</v>
      </c>
      <c r="R38">
        <f t="array" ref="R38:Y38">[1]!unf_ksep_mechanistic_Marquez_pkv(dintake_m,dcas_m,K38,L38,J38,H38,I38,M38,N38,0,hint,calibr_li,calibr_st,pkv_ratio)</f>
        <v>0.859267787184264</v>
      </c>
      <c r="S38">
        <v>0.57780336155279188</v>
      </c>
      <c r="T38">
        <v>3</v>
      </c>
      <c r="U38">
        <v>0.21145133284241147</v>
      </c>
      <c r="V38">
        <v>3.7234593540737715E-2</v>
      </c>
      <c r="W38">
        <v>1.4908847224785482E-3</v>
      </c>
      <c r="X38">
        <v>1.1949487495405138E-3</v>
      </c>
      <c r="Y38">
        <v>0.18655474037474828</v>
      </c>
    </row>
    <row r="39" spans="4:25" x14ac:dyDescent="0.25">
      <c r="D39">
        <f>(S39+1/pkv_ratio)/(1+1/pkv_ratio)</f>
        <v>0.84481799143313729</v>
      </c>
      <c r="F39">
        <v>50</v>
      </c>
      <c r="G39" t="str">
        <f>[1]!encode_feed(F39,$E$17,$E$18,$E$19,$E$15)</f>
        <v>{"gamma_gas":0.81,"gamma_oil":0.82,"gamma_wat":1.1,"rsb_m3m3":120,"muob_cP":0.3,"PVT_corr_set":0,"q_liq_sm3day":50,"fw_perc":90,"rp_m3m3":120}</v>
      </c>
      <c r="H39" s="9" cm="1">
        <f t="array" ref="H39">[1]!feed_rho_liq_kgm3(p,t,G39)</f>
        <v>1033.0996662337236</v>
      </c>
      <c r="I39" s="9" cm="1">
        <f t="array" ref="I39">[1]!PVT_rho_gas_kgm3(p,t,PVT_json)</f>
        <v>102.6081859719242</v>
      </c>
      <c r="J39" s="6" cm="1">
        <f t="array" ref="J39">[1]!feed_ST_liqgas_Nm(p,t,G39)</f>
        <v>5.9138225831323561E-2</v>
      </c>
      <c r="K39" s="8" cm="1">
        <f t="array" ref="K39">[1]!feed_q_liq_rc_m3day(p,t,G39)</f>
        <v>52.622658738882613</v>
      </c>
      <c r="L39" s="8" cm="1">
        <f t="array" ref="L39">[1]!feed_q_gas_rc_m3day(p,t,G39)</f>
        <v>2.1070276457876962</v>
      </c>
      <c r="M39" s="7" cm="1">
        <f t="array" ref="M39">[1]!feed_mu_liq_cP(p,t,G39)</f>
        <v>0.5130308541528239</v>
      </c>
      <c r="N39" s="7" cm="1">
        <f t="array" ref="N39">[1]!PVT_mu_gas_cP(p,t,G39)</f>
        <v>1.5934611970626747E-2</v>
      </c>
      <c r="O39" s="7" cm="1">
        <f t="array" ref="O39">[1]!unf_ksep_natural_simplified_Marquez(dintake_m,dcas_m,K39,L39,J39,H39,I39,1)</f>
        <v>0.86542360149606024</v>
      </c>
      <c r="P39" s="7" cm="1">
        <f t="array" ref="P39">[1]!unf_ksep_mechanistic_Marquez_pkv(dintake_m,dcas_m,K39,L39,J39,H39,I39,M39,N39,1,hint,calibr_li,calibr_st,pkv_ratio)</f>
        <v>0.84481799143313729</v>
      </c>
      <c r="R39">
        <f t="array" ref="R39:Y39">[1]!unf_ksep_mechanistic_Marquez_pkv(dintake_m,dcas_m,K39,L39,J39,H39,I39,M39,N39,0,hint,calibr_li,calibr_st,pkv_ratio)</f>
        <v>0.84481799143313729</v>
      </c>
      <c r="S39">
        <v>0.53445397429941177</v>
      </c>
      <c r="T39">
        <v>3</v>
      </c>
      <c r="U39">
        <v>0.21145133284241147</v>
      </c>
      <c r="V39">
        <v>4.1371770600819681E-2</v>
      </c>
      <c r="W39">
        <v>1.6565385805317201E-3</v>
      </c>
      <c r="X39">
        <v>1.1948579842259589E-3</v>
      </c>
      <c r="Y39">
        <v>0.18178891253231372</v>
      </c>
    </row>
    <row r="40" spans="4:25" x14ac:dyDescent="0.25">
      <c r="D40">
        <f>(S40+1/pkv_ratio)/(1+1/pkv_ratio)</f>
        <v>0.83056960671842306</v>
      </c>
      <c r="F40">
        <v>55</v>
      </c>
      <c r="G40" t="str">
        <f>[1]!encode_feed(F40,$E$17,$E$18,$E$19,$E$15)</f>
        <v>{"gamma_gas":0.81,"gamma_oil":0.82,"gamma_wat":1.1,"rsb_m3m3":120,"muob_cP":0.3,"PVT_corr_set":0,"q_liq_sm3day":55,"fw_perc":90,"rp_m3m3":120}</v>
      </c>
      <c r="H40" s="9" cm="1">
        <f t="array" ref="H40">[1]!feed_rho_liq_kgm3(p,t,G40)</f>
        <v>1033.0996662337236</v>
      </c>
      <c r="I40" s="9" cm="1">
        <f t="array" ref="I40">[1]!PVT_rho_gas_kgm3(p,t,PVT_json)</f>
        <v>102.6081859719242</v>
      </c>
      <c r="J40" s="6" cm="1">
        <f t="array" ref="J40">[1]!feed_ST_liqgas_Nm(p,t,G40)</f>
        <v>5.9138225831323561E-2</v>
      </c>
      <c r="K40" s="8" cm="1">
        <f t="array" ref="K40">[1]!feed_q_liq_rc_m3day(p,t,G40)</f>
        <v>57.884924612770874</v>
      </c>
      <c r="L40" s="8" cm="1">
        <f t="array" ref="L40">[1]!feed_q_gas_rc_m3day(p,t,G40)</f>
        <v>2.3177304103664662</v>
      </c>
      <c r="M40" s="7" cm="1">
        <f t="array" ref="M40">[1]!feed_mu_liq_cP(p,t,G40)</f>
        <v>0.5130308541528239</v>
      </c>
      <c r="N40" s="7" cm="1">
        <f t="array" ref="N40">[1]!PVT_mu_gas_cP(p,t,G40)</f>
        <v>1.5934611970626747E-2</v>
      </c>
      <c r="O40" s="7" cm="1">
        <f t="array" ref="O40">[1]!unf_ksep_natural_simplified_Marquez(dintake_m,dcas_m,K40,L40,J40,H40,I40,1)</f>
        <v>0.85518064486901446</v>
      </c>
      <c r="P40" s="7" cm="1">
        <f t="array" ref="P40">[1]!unf_ksep_mechanistic_Marquez_pkv(dintake_m,dcas_m,K40,L40,J40,H40,I40,M40,N40,1,hint,calibr_li,calibr_st,pkv_ratio)</f>
        <v>0.83056960671842306</v>
      </c>
      <c r="R40" cm="1">
        <f t="array" ref="R40:Y41">[1]!unf_ksep_mechanistic_Marquez_pkv(dintake_m,dcas_m,K40,L40,J40,H40,I40,M40,N40,0,hint,calibr_li,calibr_st,pkv_ratio)</f>
        <v>0.83056960671842306</v>
      </c>
      <c r="S40">
        <v>0.49170882015526918</v>
      </c>
      <c r="T40">
        <v>3</v>
      </c>
      <c r="U40">
        <v>0.21145133284241147</v>
      </c>
      <c r="V40">
        <v>4.5508947660901654E-2</v>
      </c>
      <c r="W40">
        <v>1.8221924385848924E-3</v>
      </c>
      <c r="X40">
        <v>1.1947676753216014E-3</v>
      </c>
      <c r="Y40">
        <v>0.17702308468987915</v>
      </c>
    </row>
    <row r="41" spans="4:25" x14ac:dyDescent="0.25">
      <c r="R41" t="str">
        <v>ksep</v>
      </c>
      <c r="S41" t="str">
        <v>ksep_inst</v>
      </c>
      <c r="T41" t="str">
        <v>flow regime</v>
      </c>
      <c r="U41" t="str">
        <v>v_ooz</v>
      </c>
      <c r="V41" t="str">
        <v>vsl</v>
      </c>
      <c r="W41" t="str">
        <v>vsg</v>
      </c>
      <c r="X41" t="str">
        <v>li</v>
      </c>
      <c r="Y41" t="str">
        <v>vg_downflow</v>
      </c>
    </row>
    <row r="45" spans="4:25" x14ac:dyDescent="0.25">
      <c r="E45" t="s">
        <v>47</v>
      </c>
    </row>
    <row r="47" spans="4:25" x14ac:dyDescent="0.25">
      <c r="F47" t="s">
        <v>32</v>
      </c>
      <c r="G47" t="s">
        <v>14</v>
      </c>
      <c r="H47" t="s">
        <v>19</v>
      </c>
      <c r="I47" t="s">
        <v>20</v>
      </c>
      <c r="J47" t="s">
        <v>21</v>
      </c>
      <c r="K47" t="s">
        <v>22</v>
      </c>
      <c r="L47" t="s">
        <v>23</v>
      </c>
      <c r="M47" t="s">
        <v>30</v>
      </c>
      <c r="N47" t="s">
        <v>31</v>
      </c>
    </row>
    <row r="48" spans="4:25" x14ac:dyDescent="0.25">
      <c r="F48">
        <f>E16</f>
        <v>50</v>
      </c>
      <c r="G48" t="str">
        <f>[1]!encode_feed(F48,$E$17,$E$18,$E$19,$E$15)</f>
        <v>{"gamma_gas":0.81,"gamma_oil":0.82,"gamma_wat":1.1,"rsb_m3m3":120,"muob_cP":0.3,"PVT_corr_set":0,"q_liq_sm3day":50,"fw_perc":90,"rp_m3m3":120}</v>
      </c>
      <c r="H48" s="9" cm="1">
        <f t="array" ref="H48">[1]!feed_rho_liq_kgm3(p,t,G48)</f>
        <v>1033.0996662337236</v>
      </c>
      <c r="I48" s="9" cm="1">
        <f t="array" ref="I48">[1]!PVT_rho_gas_kgm3(p,t,PVT_json)</f>
        <v>102.6081859719242</v>
      </c>
      <c r="J48" s="6" cm="1">
        <f t="array" ref="J48">[1]!feed_ST_liqgas_Nm(p,t,G48)</f>
        <v>5.9138225831323561E-2</v>
      </c>
      <c r="K48" s="8" cm="1">
        <f t="array" ref="K48">[1]!feed_q_liq_rc_m3day(p,t,G48)</f>
        <v>52.622658738882613</v>
      </c>
      <c r="L48" s="8" cm="1">
        <f t="array" ref="L48">[1]!feed_q_gas_rc_m3day(p,t,G48)</f>
        <v>2.1070276457876962</v>
      </c>
      <c r="M48" s="7" cm="1">
        <f t="array" ref="M48">[1]!feed_mu_liq_cP(p,t,G48)</f>
        <v>0.5130308541528239</v>
      </c>
      <c r="N48" s="7" cm="1">
        <f t="array" ref="N48">[1]!PVT_mu_gas_cP(p,t,G48)</f>
        <v>1.5934611970626747E-2</v>
      </c>
    </row>
    <row r="53" spans="5:31" x14ac:dyDescent="0.25">
      <c r="E53" t="str" cm="1">
        <f t="array" ref="E53">[1]!unf_ksep_mechanistic_pkv_build_bubble_tracks(dintake_m,dcas_m,K48,L48,J48,H48,I48,M48,N48,hint,calibr_li,calibr_st,pkv_ratio)</f>
        <v>{"n 1":{"curve_x":"x","curve_y":"y","x":[-0.02,-0.01745,-0.014899,-0.012349,-0.009798,-0.007248,-0.004697,-0.002147,0.000404,0.002954,0.005505,0.005556,0.008055,0.010605,0.013156],"y":[0.009833,0.009833,0.009833,0.009833,0.009833,0.009833,0.009833,0.009833,0.009833,0.009833,0.009833,0.009833,0.009246,0.00803,0.0025]},"n 2":{"curve_x":"x","curve_y":"y","x":[-0.02,-0.016246,-0.012493,-0.008739,-0.004985,-0.001232,0.002522,0.006276,0.01003,0.011111,0.013783,0.017537,0.021291,0.025044,0.028798],"y":[0.017167,0.017167,0.017167,0.017167,0.017167,0.017167,0.017167,0.017167,0.017167,0.017167,0.016782,0.016066,0.014844,0.012676,0.0025]},"n 3":{"curve_x":"x","curve_y":"y","x":[-0.02,-0.014931,-0.009861,-0.004792,0.000278,0.005347,0.010417,0.015486,0.016667,0.020555,0.025625,0.030694,0.035764,0.040833,0.045903],"y":[0.0245,0.0245,0.0245,0.0245,0.0245,0.0245,0.0245,0.0245,0.0245,0.024056,0.023276,0.022066,0.020236,0.017161,0.0025]},"n 4":{"curve_x":"x","curve_y":"y","x":[-0.02,-0.013531,-0.007062,-0.000593,0.005876,0.012345,0.018814,0.022222,0.025283,0.031752,0.038221,0.04469,0.051159,0.057628,0.064097],"y":[0.031833,0.031833,0.031833,0.031833,0.031833,0.031833,0.031833,0.031833,0.031528,0.030742,0.029589,0.027955,0.025538,0.021568,0.0025]},"n 5":{"curve_x":"x","curve_y":"y","x":[-0.02,-0.01207,-0.00414,0.00379,0.011721,0.019651,0.027581,0.027778,0.035511,0.043441,0.051371,0.059302,0.067232,0.075162,0.083092],"y":[0.039167,0.039167,0.039167,0.039167,0.039167,0.039167,0.039167,0.039167,0.038403,0.037337,0.035843,0.033764,0.030764,0.0259,0.0025]},"n 6":{"curve_x":"x","curve_y":"y","x":[-0.02,-0.008333,0.003333,0.015,0.026667,0.033333,0.038333,0.05,0.061667,0.071234,0.073333,0.085,0.096667,0.108333,0.12],"y":[0.0465,0.0465,0.0465,0.0465,0.0465,0.0465,0.046073,0.044724,0.042757,0.040471,0.040471,0.040471,0.040471,0.040471,0.040471]},"n 7":{"curve_x":"x","curve_y":"y","x":[-0.02,-0.008333,0.003333,0.015,0.026667,0.038333,0.038889,0.05,0.061667,0.063123,0.073333,0.085,0.096667,0.108333,0.12],"y":[0.053833,0.053833,0.053833,0.053833,0.053833,0.053833,0.053833,0.052832,0.051386,0.051178,0.051178,0.051178,0.051178,0.051178,0.051178]},"n 8":{"curve_x":"x","curve_y":"y","x":[-0.02,-0.008333,0.003333,0.015,0.026667,0.038333,0.044444,0.05,0.056336,0.061667,0.073333,0.085,0.096667,0.108333,0.12],"y":[0.061167,0.061167,0.061167,0.061167,0.061167,0.061167,0.061167,0.060725,0.060137,0.060137,0.060137,0.060137,0.060137,0.060137,0.060137]}}</v>
      </c>
    </row>
    <row r="55" spans="5:31" x14ac:dyDescent="0.25">
      <c r="E55" t="str" cm="1">
        <f t="array" ref="E55:F62">[1]!decode_json(E53)</f>
        <v>n 1</v>
      </c>
      <c r="F55" t="str">
        <v>{"curve_x":"x","curve_y":"y","x":[-0.02,-0.01745,-0.014899,-0.012349,-0.009798,-0.007248,-0.004697,-0.002147,0.000404,0.002954,0.005505,0.005556,0.008055,0.010605,0.013156],"y":[0.009833,0.009833,0.009833,0.009833,0.009833,0.009833,0.009833,0.009833,0.009833,0.009833,0.009833,0.009833,0.009246,0.00803,0.0025]}</v>
      </c>
      <c r="I55" t="str" cm="1">
        <f t="array" ref="I55:J70">[1]!decode_json_crv(F55)</f>
        <v>x</v>
      </c>
      <c r="J55" t="str">
        <v>y</v>
      </c>
      <c r="L55" t="str" cm="1">
        <f t="array" ref="L55:M70">[1]!decode_json_crv(F56)</f>
        <v>x</v>
      </c>
      <c r="M55" t="str">
        <v>y</v>
      </c>
      <c r="O55" t="str" cm="1">
        <f t="array" ref="O55:P70">[1]!decode_json_crv(F57)</f>
        <v>x</v>
      </c>
      <c r="P55" t="str">
        <v>y</v>
      </c>
      <c r="R55" t="str" cm="1">
        <f t="array" ref="R55:S70">[1]!decode_json_crv(F58)</f>
        <v>x</v>
      </c>
      <c r="S55" t="str">
        <v>y</v>
      </c>
      <c r="U55" t="str" cm="1">
        <f t="array" ref="U55:V70">[1]!decode_json_crv(F59)</f>
        <v>x</v>
      </c>
      <c r="V55" t="str">
        <v>y</v>
      </c>
      <c r="X55" t="str" cm="1">
        <f t="array" ref="X55:Y70">[1]!decode_json_crv(F60)</f>
        <v>x</v>
      </c>
      <c r="Y55" t="str">
        <v>y</v>
      </c>
      <c r="AA55" t="str" cm="1">
        <f t="array" ref="AA55:AB70">[1]!decode_json_crv(F61)</f>
        <v>x</v>
      </c>
      <c r="AB55" t="str">
        <v>y</v>
      </c>
      <c r="AD55" t="str" cm="1">
        <f t="array" ref="AD55:AE70">[1]!decode_json_crv(F62)</f>
        <v>x</v>
      </c>
      <c r="AE55" t="str">
        <v>y</v>
      </c>
    </row>
    <row r="56" spans="5:31" x14ac:dyDescent="0.25">
      <c r="E56" t="str">
        <v>n 2</v>
      </c>
      <c r="F56" t="str">
        <v>{"curve_x":"x","curve_y":"y","x":[-0.02,-0.016246,-0.012493,-0.008739,-0.004985,-0.001232,0.002522,0.006276,0.01003,0.011111,0.013783,0.017537,0.021291,0.025044,0.028798],"y":[0.017167,0.017167,0.017167,0.017167,0.017167,0.017167,0.017167,0.017167,0.017167,0.017167,0.016782,0.016066,0.014844,0.012676,0.0025]}</v>
      </c>
      <c r="I56">
        <v>-0.02</v>
      </c>
      <c r="J56">
        <v>9.8329999999999997E-3</v>
      </c>
      <c r="L56">
        <v>-0.02</v>
      </c>
      <c r="M56">
        <v>1.7167000000000002E-2</v>
      </c>
      <c r="O56">
        <v>-0.02</v>
      </c>
      <c r="P56">
        <v>2.4500000000000001E-2</v>
      </c>
      <c r="R56">
        <v>-0.02</v>
      </c>
      <c r="S56">
        <v>3.1833E-2</v>
      </c>
      <c r="U56">
        <v>-0.02</v>
      </c>
      <c r="V56">
        <v>3.9167E-2</v>
      </c>
      <c r="X56">
        <v>-0.02</v>
      </c>
      <c r="Y56">
        <v>4.65E-2</v>
      </c>
      <c r="AA56">
        <v>-0.02</v>
      </c>
      <c r="AB56">
        <v>5.3832999999999999E-2</v>
      </c>
      <c r="AD56">
        <v>-0.02</v>
      </c>
      <c r="AE56">
        <v>6.1166999999999999E-2</v>
      </c>
    </row>
    <row r="57" spans="5:31" x14ac:dyDescent="0.25">
      <c r="E57" t="str">
        <v>n 3</v>
      </c>
      <c r="F57" t="str">
        <v>{"curve_x":"x","curve_y":"y","x":[-0.02,-0.014931,-0.009861,-0.004792,0.000278,0.005347,0.010417,0.015486,0.016667,0.020555,0.025625,0.030694,0.035764,0.040833,0.045903],"y":[0.0245,0.0245,0.0245,0.0245,0.0245,0.0245,0.0245,0.0245,0.0245,0.024056,0.023276,0.022066,0.020236,0.017161,0.0025]}</v>
      </c>
      <c r="I57">
        <v>-1.745E-2</v>
      </c>
      <c r="J57">
        <v>9.8329999999999997E-3</v>
      </c>
      <c r="L57">
        <v>-1.6246E-2</v>
      </c>
      <c r="M57">
        <v>1.7167000000000002E-2</v>
      </c>
      <c r="O57">
        <v>-1.4931E-2</v>
      </c>
      <c r="P57">
        <v>2.4500000000000001E-2</v>
      </c>
      <c r="R57">
        <v>-1.3531E-2</v>
      </c>
      <c r="S57">
        <v>3.1833E-2</v>
      </c>
      <c r="U57">
        <v>-1.2070000000000001E-2</v>
      </c>
      <c r="V57">
        <v>3.9167E-2</v>
      </c>
      <c r="X57">
        <v>-8.3330000000000001E-3</v>
      </c>
      <c r="Y57">
        <v>4.65E-2</v>
      </c>
      <c r="AA57">
        <v>-8.3330000000000001E-3</v>
      </c>
      <c r="AB57">
        <v>5.3832999999999999E-2</v>
      </c>
      <c r="AD57">
        <v>-8.3330000000000001E-3</v>
      </c>
      <c r="AE57">
        <v>6.1166999999999999E-2</v>
      </c>
    </row>
    <row r="58" spans="5:31" x14ac:dyDescent="0.25">
      <c r="E58" t="str">
        <v>n 4</v>
      </c>
      <c r="F58" t="str">
        <v>{"curve_x":"x","curve_y":"y","x":[-0.02,-0.013531,-0.007062,-0.000593,0.005876,0.012345,0.018814,0.022222,0.025283,0.031752,0.038221,0.04469,0.051159,0.057628,0.064097],"y":[0.031833,0.031833,0.031833,0.031833,0.031833,0.031833,0.031833,0.031833,0.031528,0.030742,0.029589,0.027955,0.025538,0.021568,0.0025]}</v>
      </c>
      <c r="I58">
        <v>-1.4899000000000001E-2</v>
      </c>
      <c r="J58">
        <v>9.8329999999999997E-3</v>
      </c>
      <c r="L58">
        <v>-1.2493000000000001E-2</v>
      </c>
      <c r="M58">
        <v>1.7167000000000002E-2</v>
      </c>
      <c r="O58">
        <v>-9.861E-3</v>
      </c>
      <c r="P58">
        <v>2.4500000000000001E-2</v>
      </c>
      <c r="R58">
        <v>-7.0619999999999997E-3</v>
      </c>
      <c r="S58">
        <v>3.1833E-2</v>
      </c>
      <c r="U58">
        <v>-4.1399999999999996E-3</v>
      </c>
      <c r="V58">
        <v>3.9167E-2</v>
      </c>
      <c r="X58">
        <v>3.333E-3</v>
      </c>
      <c r="Y58">
        <v>4.65E-2</v>
      </c>
      <c r="AA58">
        <v>3.333E-3</v>
      </c>
      <c r="AB58">
        <v>5.3832999999999999E-2</v>
      </c>
      <c r="AD58">
        <v>3.333E-3</v>
      </c>
      <c r="AE58">
        <v>6.1166999999999999E-2</v>
      </c>
    </row>
    <row r="59" spans="5:31" x14ac:dyDescent="0.25">
      <c r="E59" t="str">
        <v>n 5</v>
      </c>
      <c r="F59" t="str">
        <v>{"curve_x":"x","curve_y":"y","x":[-0.02,-0.01207,-0.00414,0.00379,0.011721,0.019651,0.027581,0.027778,0.035511,0.043441,0.051371,0.059302,0.067232,0.075162,0.083092],"y":[0.039167,0.039167,0.039167,0.039167,0.039167,0.039167,0.039167,0.039167,0.038403,0.037337,0.035843,0.033764,0.030764,0.0259,0.0025]}</v>
      </c>
      <c r="I59">
        <v>-1.2349000000000001E-2</v>
      </c>
      <c r="J59">
        <v>9.8329999999999997E-3</v>
      </c>
      <c r="L59">
        <v>-8.7390000000000002E-3</v>
      </c>
      <c r="M59">
        <v>1.7167000000000002E-2</v>
      </c>
      <c r="O59">
        <v>-4.7920000000000003E-3</v>
      </c>
      <c r="P59">
        <v>2.4500000000000001E-2</v>
      </c>
      <c r="R59">
        <v>-5.9299999999999999E-4</v>
      </c>
      <c r="S59">
        <v>3.1833E-2</v>
      </c>
      <c r="U59">
        <v>3.79E-3</v>
      </c>
      <c r="V59">
        <v>3.9167E-2</v>
      </c>
      <c r="X59">
        <v>1.4999999999999999E-2</v>
      </c>
      <c r="Y59">
        <v>4.65E-2</v>
      </c>
      <c r="AA59">
        <v>1.4999999999999999E-2</v>
      </c>
      <c r="AB59">
        <v>5.3832999999999999E-2</v>
      </c>
      <c r="AD59">
        <v>1.4999999999999999E-2</v>
      </c>
      <c r="AE59">
        <v>6.1166999999999999E-2</v>
      </c>
    </row>
    <row r="60" spans="5:31" x14ac:dyDescent="0.25">
      <c r="E60" t="str">
        <v>n 6</v>
      </c>
      <c r="F60" t="str">
        <v>{"curve_x":"x","curve_y":"y","x":[-0.02,-0.008333,0.003333,0.015,0.026667,0.033333,0.038333,0.05,0.061667,0.071234,0.073333,0.085,0.096667,0.108333,0.12],"y":[0.0465,0.0465,0.0465,0.0465,0.0465,0.0465,0.046073,0.044724,0.042757,0.040471,0.040471,0.040471,0.040471,0.040471,0.040471]}</v>
      </c>
      <c r="I60">
        <v>-9.7979999999999994E-3</v>
      </c>
      <c r="J60">
        <v>9.8329999999999997E-3</v>
      </c>
      <c r="L60">
        <v>-4.9849999999999998E-3</v>
      </c>
      <c r="M60">
        <v>1.7167000000000002E-2</v>
      </c>
      <c r="O60">
        <v>2.7799999999999998E-4</v>
      </c>
      <c r="P60">
        <v>2.4500000000000001E-2</v>
      </c>
      <c r="R60">
        <v>5.8760000000000001E-3</v>
      </c>
      <c r="S60">
        <v>3.1833E-2</v>
      </c>
      <c r="U60">
        <v>1.1721000000000001E-2</v>
      </c>
      <c r="V60">
        <v>3.9167E-2</v>
      </c>
      <c r="X60">
        <v>2.6667E-2</v>
      </c>
      <c r="Y60">
        <v>4.65E-2</v>
      </c>
      <c r="AA60">
        <v>2.6667E-2</v>
      </c>
      <c r="AB60">
        <v>5.3832999999999999E-2</v>
      </c>
      <c r="AD60">
        <v>2.6667E-2</v>
      </c>
      <c r="AE60">
        <v>6.1166999999999999E-2</v>
      </c>
    </row>
    <row r="61" spans="5:31" x14ac:dyDescent="0.25">
      <c r="E61" t="str">
        <v>n 7</v>
      </c>
      <c r="F61" t="str">
        <v>{"curve_x":"x","curve_y":"y","x":[-0.02,-0.008333,0.003333,0.015,0.026667,0.038333,0.038889,0.05,0.061667,0.063123,0.073333,0.085,0.096667,0.108333,0.12],"y":[0.053833,0.053833,0.053833,0.053833,0.053833,0.053833,0.053833,0.052832,0.051386,0.051178,0.051178,0.051178,0.051178,0.051178,0.051178]}</v>
      </c>
      <c r="I61">
        <v>-7.2480000000000001E-3</v>
      </c>
      <c r="J61">
        <v>9.8329999999999997E-3</v>
      </c>
      <c r="L61">
        <v>-1.232E-3</v>
      </c>
      <c r="M61">
        <v>1.7167000000000002E-2</v>
      </c>
      <c r="O61">
        <v>5.3470000000000002E-3</v>
      </c>
      <c r="P61">
        <v>2.4500000000000001E-2</v>
      </c>
      <c r="R61">
        <v>1.2345E-2</v>
      </c>
      <c r="S61">
        <v>3.1833E-2</v>
      </c>
      <c r="U61">
        <v>1.9650999999999998E-2</v>
      </c>
      <c r="V61">
        <v>3.9167E-2</v>
      </c>
      <c r="X61">
        <v>3.3333000000000002E-2</v>
      </c>
      <c r="Y61">
        <v>4.65E-2</v>
      </c>
      <c r="AA61">
        <v>3.8332999999999999E-2</v>
      </c>
      <c r="AB61">
        <v>5.3832999999999999E-2</v>
      </c>
      <c r="AD61">
        <v>3.8332999999999999E-2</v>
      </c>
      <c r="AE61">
        <v>6.1166999999999999E-2</v>
      </c>
    </row>
    <row r="62" spans="5:31" x14ac:dyDescent="0.25">
      <c r="E62" t="str">
        <v>n 8</v>
      </c>
      <c r="F62" t="str">
        <v>{"curve_x":"x","curve_y":"y","x":[-0.02,-0.008333,0.003333,0.015,0.026667,0.038333,0.044444,0.05,0.056336,0.061667,0.073333,0.085,0.096667,0.108333,0.12],"y":[0.061167,0.061167,0.061167,0.061167,0.061167,0.061167,0.061167,0.060725,0.060137,0.060137,0.060137,0.060137,0.060137,0.060137,0.060137]}</v>
      </c>
      <c r="I62">
        <v>-4.6969999999999998E-3</v>
      </c>
      <c r="J62">
        <v>9.8329999999999997E-3</v>
      </c>
      <c r="L62">
        <v>2.5219999999999999E-3</v>
      </c>
      <c r="M62">
        <v>1.7167000000000002E-2</v>
      </c>
      <c r="O62">
        <v>1.0416999999999999E-2</v>
      </c>
      <c r="P62">
        <v>2.4500000000000001E-2</v>
      </c>
      <c r="R62">
        <v>1.8814000000000001E-2</v>
      </c>
      <c r="S62">
        <v>3.1833E-2</v>
      </c>
      <c r="U62">
        <v>2.7581000000000001E-2</v>
      </c>
      <c r="V62">
        <v>3.9167E-2</v>
      </c>
      <c r="X62">
        <v>3.8332999999999999E-2</v>
      </c>
      <c r="Y62">
        <v>4.6073000000000003E-2</v>
      </c>
      <c r="AA62">
        <v>3.8889E-2</v>
      </c>
      <c r="AB62">
        <v>5.3832999999999999E-2</v>
      </c>
      <c r="AD62">
        <v>4.4443999999999997E-2</v>
      </c>
      <c r="AE62">
        <v>6.1166999999999999E-2</v>
      </c>
    </row>
    <row r="63" spans="5:31" x14ac:dyDescent="0.25">
      <c r="I63">
        <v>-2.147E-3</v>
      </c>
      <c r="J63">
        <v>9.8329999999999997E-3</v>
      </c>
      <c r="L63">
        <v>6.2760000000000003E-3</v>
      </c>
      <c r="M63">
        <v>1.7167000000000002E-2</v>
      </c>
      <c r="O63">
        <v>1.5486E-2</v>
      </c>
      <c r="P63">
        <v>2.4500000000000001E-2</v>
      </c>
      <c r="R63">
        <v>2.2221999999999999E-2</v>
      </c>
      <c r="S63">
        <v>3.1833E-2</v>
      </c>
      <c r="U63">
        <v>2.7778000000000001E-2</v>
      </c>
      <c r="V63">
        <v>3.9167E-2</v>
      </c>
      <c r="X63">
        <v>0.05</v>
      </c>
      <c r="Y63">
        <v>4.4724E-2</v>
      </c>
      <c r="AA63">
        <v>0.05</v>
      </c>
      <c r="AB63">
        <v>5.2831999999999997E-2</v>
      </c>
      <c r="AD63">
        <v>0.05</v>
      </c>
      <c r="AE63">
        <v>6.0725000000000001E-2</v>
      </c>
    </row>
    <row r="64" spans="5:31" x14ac:dyDescent="0.25">
      <c r="I64">
        <v>4.0400000000000001E-4</v>
      </c>
      <c r="J64">
        <v>9.8329999999999997E-3</v>
      </c>
      <c r="L64">
        <v>1.0030000000000001E-2</v>
      </c>
      <c r="M64">
        <v>1.7167000000000002E-2</v>
      </c>
      <c r="O64">
        <v>1.6667000000000001E-2</v>
      </c>
      <c r="P64">
        <v>2.4500000000000001E-2</v>
      </c>
      <c r="R64">
        <v>2.5283E-2</v>
      </c>
      <c r="S64">
        <v>3.1528E-2</v>
      </c>
      <c r="U64">
        <v>3.5511000000000001E-2</v>
      </c>
      <c r="V64">
        <v>3.8403E-2</v>
      </c>
      <c r="X64">
        <v>6.1667E-2</v>
      </c>
      <c r="Y64">
        <v>4.2757000000000003E-2</v>
      </c>
      <c r="AA64">
        <v>6.1667E-2</v>
      </c>
      <c r="AB64">
        <v>5.1386000000000001E-2</v>
      </c>
      <c r="AD64">
        <v>5.6335999999999997E-2</v>
      </c>
      <c r="AE64">
        <v>6.0137000000000003E-2</v>
      </c>
    </row>
    <row r="65" spans="9:31" x14ac:dyDescent="0.25">
      <c r="I65">
        <v>2.954E-3</v>
      </c>
      <c r="J65">
        <v>9.8329999999999997E-3</v>
      </c>
      <c r="L65">
        <v>1.1110999999999999E-2</v>
      </c>
      <c r="M65">
        <v>1.7167000000000002E-2</v>
      </c>
      <c r="O65">
        <v>2.0555E-2</v>
      </c>
      <c r="P65">
        <v>2.4056000000000001E-2</v>
      </c>
      <c r="R65">
        <v>3.1752000000000002E-2</v>
      </c>
      <c r="S65">
        <v>3.0741999999999998E-2</v>
      </c>
      <c r="U65">
        <v>4.3441E-2</v>
      </c>
      <c r="V65">
        <v>3.7337000000000002E-2</v>
      </c>
      <c r="X65">
        <v>7.1234000000000006E-2</v>
      </c>
      <c r="Y65">
        <v>4.0471E-2</v>
      </c>
      <c r="AA65">
        <v>6.3122999999999999E-2</v>
      </c>
      <c r="AB65">
        <v>5.1178000000000001E-2</v>
      </c>
      <c r="AD65">
        <v>6.1667E-2</v>
      </c>
      <c r="AE65">
        <v>6.0137000000000003E-2</v>
      </c>
    </row>
    <row r="66" spans="9:31" x14ac:dyDescent="0.25">
      <c r="I66">
        <v>5.5050000000000003E-3</v>
      </c>
      <c r="J66">
        <v>9.8329999999999997E-3</v>
      </c>
      <c r="L66">
        <v>1.3783E-2</v>
      </c>
      <c r="M66">
        <v>1.6781999999999998E-2</v>
      </c>
      <c r="O66">
        <v>2.5624999999999998E-2</v>
      </c>
      <c r="P66">
        <v>2.3276000000000002E-2</v>
      </c>
      <c r="R66">
        <v>3.8220999999999998E-2</v>
      </c>
      <c r="S66">
        <v>2.9589000000000001E-2</v>
      </c>
      <c r="U66">
        <v>5.1371E-2</v>
      </c>
      <c r="V66">
        <v>3.5843E-2</v>
      </c>
      <c r="X66">
        <v>7.3332999999999995E-2</v>
      </c>
      <c r="Y66">
        <v>4.0471E-2</v>
      </c>
      <c r="AA66">
        <v>7.3332999999999995E-2</v>
      </c>
      <c r="AB66">
        <v>5.1178000000000001E-2</v>
      </c>
      <c r="AD66">
        <v>7.3332999999999995E-2</v>
      </c>
      <c r="AE66">
        <v>6.0137000000000003E-2</v>
      </c>
    </row>
    <row r="67" spans="9:31" x14ac:dyDescent="0.25">
      <c r="I67">
        <v>5.5560000000000002E-3</v>
      </c>
      <c r="J67">
        <v>9.8329999999999997E-3</v>
      </c>
      <c r="L67">
        <v>1.7537000000000001E-2</v>
      </c>
      <c r="M67">
        <v>1.6066E-2</v>
      </c>
      <c r="O67">
        <v>3.0693999999999999E-2</v>
      </c>
      <c r="P67">
        <v>2.2065999999999999E-2</v>
      </c>
      <c r="R67">
        <v>4.4690000000000001E-2</v>
      </c>
      <c r="S67">
        <v>2.7955000000000001E-2</v>
      </c>
      <c r="U67">
        <v>5.9302000000000001E-2</v>
      </c>
      <c r="V67">
        <v>3.3764000000000002E-2</v>
      </c>
      <c r="X67">
        <v>8.5000000000000006E-2</v>
      </c>
      <c r="Y67">
        <v>4.0471E-2</v>
      </c>
      <c r="AA67">
        <v>8.5000000000000006E-2</v>
      </c>
      <c r="AB67">
        <v>5.1178000000000001E-2</v>
      </c>
      <c r="AD67">
        <v>8.5000000000000006E-2</v>
      </c>
      <c r="AE67">
        <v>6.0137000000000003E-2</v>
      </c>
    </row>
    <row r="68" spans="9:31" x14ac:dyDescent="0.25">
      <c r="I68">
        <v>8.0549999999999997E-3</v>
      </c>
      <c r="J68">
        <v>9.2460000000000007E-3</v>
      </c>
      <c r="L68">
        <v>2.1291000000000001E-2</v>
      </c>
      <c r="M68">
        <v>1.4844E-2</v>
      </c>
      <c r="O68">
        <v>3.5763999999999997E-2</v>
      </c>
      <c r="P68">
        <v>2.0236000000000001E-2</v>
      </c>
      <c r="R68">
        <v>5.1159000000000003E-2</v>
      </c>
      <c r="S68">
        <v>2.5538000000000002E-2</v>
      </c>
      <c r="U68">
        <v>6.7232E-2</v>
      </c>
      <c r="V68">
        <v>3.0764E-2</v>
      </c>
      <c r="X68">
        <v>9.6667000000000003E-2</v>
      </c>
      <c r="Y68">
        <v>4.0471E-2</v>
      </c>
      <c r="AA68">
        <v>9.6667000000000003E-2</v>
      </c>
      <c r="AB68">
        <v>5.1178000000000001E-2</v>
      </c>
      <c r="AD68">
        <v>9.6667000000000003E-2</v>
      </c>
      <c r="AE68">
        <v>6.0137000000000003E-2</v>
      </c>
    </row>
    <row r="69" spans="9:31" x14ac:dyDescent="0.25">
      <c r="I69">
        <v>1.0605E-2</v>
      </c>
      <c r="J69">
        <v>8.0300000000000007E-3</v>
      </c>
      <c r="L69">
        <v>2.5044E-2</v>
      </c>
      <c r="M69">
        <v>1.2676E-2</v>
      </c>
      <c r="O69">
        <v>4.0833000000000001E-2</v>
      </c>
      <c r="P69">
        <v>1.7160999999999999E-2</v>
      </c>
      <c r="R69">
        <v>5.7627999999999999E-2</v>
      </c>
      <c r="S69">
        <v>2.1568E-2</v>
      </c>
      <c r="U69">
        <v>7.5162000000000007E-2</v>
      </c>
      <c r="V69">
        <v>2.5899999999999999E-2</v>
      </c>
      <c r="X69">
        <v>0.108333</v>
      </c>
      <c r="Y69">
        <v>4.0471E-2</v>
      </c>
      <c r="AA69">
        <v>0.108333</v>
      </c>
      <c r="AB69">
        <v>5.1178000000000001E-2</v>
      </c>
      <c r="AD69">
        <v>0.108333</v>
      </c>
      <c r="AE69">
        <v>6.0137000000000003E-2</v>
      </c>
    </row>
    <row r="70" spans="9:31" x14ac:dyDescent="0.25">
      <c r="I70">
        <v>1.3155999999999999E-2</v>
      </c>
      <c r="J70">
        <v>2.5000000000000001E-3</v>
      </c>
      <c r="L70">
        <v>2.8798000000000001E-2</v>
      </c>
      <c r="M70">
        <v>2.5000000000000001E-3</v>
      </c>
      <c r="O70">
        <v>4.5902999999999999E-2</v>
      </c>
      <c r="P70">
        <v>2.5000000000000001E-3</v>
      </c>
      <c r="R70">
        <v>6.4097000000000001E-2</v>
      </c>
      <c r="S70">
        <v>2.5000000000000001E-3</v>
      </c>
      <c r="U70">
        <v>8.3091999999999999E-2</v>
      </c>
      <c r="V70">
        <v>2.5000000000000001E-3</v>
      </c>
      <c r="X70">
        <v>0.12</v>
      </c>
      <c r="Y70">
        <v>4.0471E-2</v>
      </c>
      <c r="AA70">
        <v>0.12</v>
      </c>
      <c r="AB70">
        <v>5.1178000000000001E-2</v>
      </c>
      <c r="AD70">
        <v>0.12</v>
      </c>
      <c r="AE70">
        <v>6.0137000000000003E-2</v>
      </c>
    </row>
    <row r="99" spans="5:18" x14ac:dyDescent="0.25">
      <c r="E99" t="s">
        <v>44</v>
      </c>
      <c r="F99" t="s">
        <v>43</v>
      </c>
      <c r="H99" t="s">
        <v>44</v>
      </c>
      <c r="I99" t="s">
        <v>43</v>
      </c>
      <c r="K99" t="s">
        <v>44</v>
      </c>
      <c r="N99" t="s">
        <v>44</v>
      </c>
      <c r="O99" t="s">
        <v>43</v>
      </c>
      <c r="Q99" t="s">
        <v>44</v>
      </c>
      <c r="R99" t="s">
        <v>43</v>
      </c>
    </row>
    <row r="100" spans="5:18" x14ac:dyDescent="0.25">
      <c r="E100">
        <f>dintake_m/2</f>
        <v>2.5000000000000001E-3</v>
      </c>
      <c r="F100">
        <v>0</v>
      </c>
      <c r="H100">
        <f>dintake_m/2</f>
        <v>2.5000000000000001E-3</v>
      </c>
      <c r="I100">
        <f>L100</f>
        <v>-6.9999999999999993E-2</v>
      </c>
      <c r="K100">
        <f>dcas_m/2</f>
        <v>6.8500000000000005E-2</v>
      </c>
      <c r="L100">
        <f>O101-L101</f>
        <v>-6.9999999999999993E-2</v>
      </c>
      <c r="N100">
        <f>E100</f>
        <v>2.5000000000000001E-3</v>
      </c>
      <c r="O100">
        <v>0</v>
      </c>
      <c r="Q100">
        <f>H100</f>
        <v>2.5000000000000001E-3</v>
      </c>
      <c r="R100">
        <f>hint</f>
        <v>0.1</v>
      </c>
    </row>
    <row r="101" spans="5:18" x14ac:dyDescent="0.25">
      <c r="E101">
        <f>E100</f>
        <v>2.5000000000000001E-3</v>
      </c>
      <c r="F101">
        <f>hint</f>
        <v>0.1</v>
      </c>
      <c r="H101">
        <f>H100</f>
        <v>2.5000000000000001E-3</v>
      </c>
      <c r="I101">
        <f>hint*1.2</f>
        <v>0.12</v>
      </c>
      <c r="K101">
        <f>K100</f>
        <v>6.8500000000000005E-2</v>
      </c>
      <c r="L101">
        <f>hint*1.2</f>
        <v>0.12</v>
      </c>
      <c r="N101">
        <f>K101</f>
        <v>6.8500000000000005E-2</v>
      </c>
      <c r="O101">
        <f>hint*pkv_ratio</f>
        <v>0.05</v>
      </c>
      <c r="Q101">
        <f>N101</f>
        <v>6.8500000000000005E-2</v>
      </c>
      <c r="R101">
        <f>hint*pkv_ratio</f>
        <v>0.05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925F7-D95B-4179-B2AF-35DF9153A5EA}">
  <sheetPr codeName="Лист2"/>
  <dimension ref="D7:O33"/>
  <sheetViews>
    <sheetView workbookViewId="0">
      <selection activeCell="K16" sqref="K16"/>
    </sheetView>
  </sheetViews>
  <sheetFormatPr defaultRowHeight="15" x14ac:dyDescent="0.25"/>
  <sheetData>
    <row r="7" spans="4:15" x14ac:dyDescent="0.25">
      <c r="D7" t="s">
        <v>36</v>
      </c>
    </row>
    <row r="15" spans="4:15" x14ac:dyDescent="0.25">
      <c r="G15" t="s">
        <v>37</v>
      </c>
      <c r="H15">
        <v>0.6</v>
      </c>
      <c r="J15" t="s">
        <v>38</v>
      </c>
      <c r="K15" t="s">
        <v>39</v>
      </c>
      <c r="M15" t="s">
        <v>40</v>
      </c>
      <c r="N15" t="s">
        <v>41</v>
      </c>
    </row>
    <row r="16" spans="4:15" x14ac:dyDescent="0.25">
      <c r="G16" t="s">
        <v>42</v>
      </c>
      <c r="H16">
        <v>1</v>
      </c>
      <c r="J16">
        <v>0.1</v>
      </c>
      <c r="K16">
        <f t="shared" ref="K16:K33" si="0">3/71.617/(1-EXP(-2.368*J16))*J16/(J16+v_ooz)</f>
        <v>2.8381257574715147E-2</v>
      </c>
      <c r="L16">
        <f>K16*0.0254*2</f>
        <v>1.4417678847955294E-3</v>
      </c>
      <c r="M16">
        <f>0.036*(2.364^J16)*J16^0.72</f>
        <v>7.4759648020391789E-3</v>
      </c>
      <c r="N16">
        <f t="shared" ref="N16:N33" si="1">-0.1653*(-0.0492-EXP(-1.0476*v_sl))</f>
        <v>6.6116463958020164E-2</v>
      </c>
      <c r="O16">
        <f>N16*0.0254</f>
        <v>1.679358184533712E-3</v>
      </c>
    </row>
    <row r="17" spans="10:14" x14ac:dyDescent="0.25">
      <c r="J17">
        <v>0.2</v>
      </c>
      <c r="K17">
        <f t="shared" si="0"/>
        <v>2.7760235688950644E-2</v>
      </c>
      <c r="M17">
        <f t="shared" ref="M17:M33" si="2">0.036*(2.364^J17)*J17^0.72</f>
        <v>1.3420651286642495E-2</v>
      </c>
      <c r="N17">
        <f t="shared" si="1"/>
        <v>6.6116463958020164E-2</v>
      </c>
    </row>
    <row r="18" spans="10:14" x14ac:dyDescent="0.25">
      <c r="J18">
        <v>0.3</v>
      </c>
      <c r="K18">
        <f t="shared" si="0"/>
        <v>2.7456688035811378E-2</v>
      </c>
      <c r="M18">
        <f t="shared" si="2"/>
        <v>1.9585021192681386E-2</v>
      </c>
      <c r="N18">
        <f t="shared" si="1"/>
        <v>6.6116463958020164E-2</v>
      </c>
    </row>
    <row r="19" spans="10:14" x14ac:dyDescent="0.25">
      <c r="J19">
        <v>0.4</v>
      </c>
      <c r="K19">
        <f t="shared" si="0"/>
        <v>2.7370947170510886E-2</v>
      </c>
      <c r="M19">
        <f t="shared" si="2"/>
        <v>2.6256974561421891E-2</v>
      </c>
      <c r="N19">
        <f t="shared" si="1"/>
        <v>6.6116463958020164E-2</v>
      </c>
    </row>
    <row r="20" spans="10:14" x14ac:dyDescent="0.25">
      <c r="J20">
        <v>0.5</v>
      </c>
      <c r="K20">
        <f t="shared" si="0"/>
        <v>2.7438197003752759E-2</v>
      </c>
      <c r="M20">
        <f t="shared" si="2"/>
        <v>3.360350974548755E-2</v>
      </c>
      <c r="N20">
        <f t="shared" si="1"/>
        <v>6.6116463958020164E-2</v>
      </c>
    </row>
    <row r="21" spans="10:14" x14ac:dyDescent="0.25">
      <c r="J21">
        <v>0.6</v>
      </c>
      <c r="K21">
        <f t="shared" si="0"/>
        <v>2.7614133162052763E-2</v>
      </c>
      <c r="M21">
        <f t="shared" si="2"/>
        <v>4.1759941765575459E-2</v>
      </c>
      <c r="N21">
        <f t="shared" si="1"/>
        <v>6.6116463958020164E-2</v>
      </c>
    </row>
    <row r="22" spans="10:14" x14ac:dyDescent="0.25">
      <c r="J22">
        <v>0.7</v>
      </c>
      <c r="K22">
        <f t="shared" si="0"/>
        <v>2.7867268192262568E-2</v>
      </c>
      <c r="M22">
        <f t="shared" si="2"/>
        <v>5.0854140681000151E-2</v>
      </c>
      <c r="N22">
        <f t="shared" si="1"/>
        <v>6.6116463958020164E-2</v>
      </c>
    </row>
    <row r="23" spans="10:14" x14ac:dyDescent="0.25">
      <c r="J23">
        <v>0.8</v>
      </c>
      <c r="K23">
        <f t="shared" si="0"/>
        <v>2.817454750192111E-2</v>
      </c>
      <c r="M23">
        <f t="shared" si="2"/>
        <v>6.1016215770226437E-2</v>
      </c>
      <c r="N23">
        <f t="shared" si="1"/>
        <v>6.6116463958020164E-2</v>
      </c>
    </row>
    <row r="24" spans="10:14" x14ac:dyDescent="0.25">
      <c r="J24">
        <v>0.9</v>
      </c>
      <c r="K24">
        <f t="shared" si="0"/>
        <v>2.851872039668045E-2</v>
      </c>
      <c r="M24">
        <f t="shared" si="2"/>
        <v>7.2383542265174766E-2</v>
      </c>
      <c r="N24">
        <f t="shared" si="1"/>
        <v>6.6116463958020164E-2</v>
      </c>
    </row>
    <row r="25" spans="10:14" x14ac:dyDescent="0.25">
      <c r="J25">
        <v>1</v>
      </c>
      <c r="K25">
        <f t="shared" si="0"/>
        <v>2.888668951129102E-2</v>
      </c>
      <c r="M25">
        <f t="shared" si="2"/>
        <v>8.5103999999999985E-2</v>
      </c>
      <c r="N25">
        <f t="shared" si="1"/>
        <v>6.6116463958020164E-2</v>
      </c>
    </row>
    <row r="26" spans="10:14" x14ac:dyDescent="0.25">
      <c r="J26">
        <v>1.1000000000000001</v>
      </c>
      <c r="K26">
        <f t="shared" si="0"/>
        <v>2.9268429060943225E-2</v>
      </c>
      <c r="M26">
        <f t="shared" si="2"/>
        <v>9.9338466970550113E-2</v>
      </c>
      <c r="N26">
        <f t="shared" si="1"/>
        <v>6.6116463958020164E-2</v>
      </c>
    </row>
    <row r="27" spans="10:14" x14ac:dyDescent="0.25">
      <c r="J27">
        <v>1.2</v>
      </c>
      <c r="K27">
        <f t="shared" si="0"/>
        <v>2.9656246193590762E-2</v>
      </c>
      <c r="M27">
        <f t="shared" si="2"/>
        <v>0.11526301210494685</v>
      </c>
      <c r="N27">
        <f t="shared" si="1"/>
        <v>6.6116463958020164E-2</v>
      </c>
    </row>
    <row r="28" spans="10:14" x14ac:dyDescent="0.25">
      <c r="J28">
        <v>1.3</v>
      </c>
      <c r="K28">
        <f t="shared" si="0"/>
        <v>3.0044256534575691E-2</v>
      </c>
      <c r="M28">
        <f t="shared" si="2"/>
        <v>0.13307100238336594</v>
      </c>
      <c r="N28">
        <f t="shared" si="1"/>
        <v>6.6116463958020164E-2</v>
      </c>
    </row>
    <row r="29" spans="10:14" x14ac:dyDescent="0.25">
      <c r="J29">
        <v>1.4</v>
      </c>
      <c r="K29">
        <f t="shared" si="0"/>
        <v>3.0427998127295599E-2</v>
      </c>
      <c r="M29">
        <f t="shared" si="2"/>
        <v>0.15297524152265399</v>
      </c>
      <c r="N29">
        <f t="shared" si="1"/>
        <v>6.6116463958020164E-2</v>
      </c>
    </row>
    <row r="30" spans="10:14" x14ac:dyDescent="0.25">
      <c r="J30">
        <v>1.5</v>
      </c>
      <c r="K30">
        <f t="shared" si="0"/>
        <v>3.0804138081237102E-2</v>
      </c>
      <c r="M30">
        <f t="shared" si="2"/>
        <v>0.17521021219884644</v>
      </c>
      <c r="N30">
        <f t="shared" si="1"/>
        <v>6.6116463958020164E-2</v>
      </c>
    </row>
    <row r="31" spans="10:14" x14ac:dyDescent="0.25">
      <c r="J31">
        <v>1.6</v>
      </c>
      <c r="K31">
        <f t="shared" si="0"/>
        <v>3.1170243741235403E-2</v>
      </c>
      <c r="M31">
        <f t="shared" si="2"/>
        <v>0.20003447181745732</v>
      </c>
      <c r="N31">
        <f t="shared" si="1"/>
        <v>6.6116463958020164E-2</v>
      </c>
    </row>
    <row r="32" spans="10:14" x14ac:dyDescent="0.25">
      <c r="J32">
        <v>1.7</v>
      </c>
      <c r="K32">
        <f t="shared" si="0"/>
        <v>3.1524600559773928E-2</v>
      </c>
      <c r="M32">
        <f t="shared" si="2"/>
        <v>0.22773324101917902</v>
      </c>
      <c r="N32">
        <f t="shared" si="1"/>
        <v>6.6116463958020164E-2</v>
      </c>
    </row>
    <row r="33" spans="10:14" x14ac:dyDescent="0.25">
      <c r="J33">
        <v>2</v>
      </c>
      <c r="K33">
        <f t="shared" si="0"/>
        <v>3.2507902488438427E-2</v>
      </c>
      <c r="M33">
        <f t="shared" si="2"/>
        <v>0.3313897276057749</v>
      </c>
      <c r="N33">
        <f t="shared" si="1"/>
        <v>6.6116463958020164E-2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62</vt:i4>
      </vt:variant>
    </vt:vector>
  </HeadingPairs>
  <TitlesOfParts>
    <vt:vector size="66" baseType="lpstr">
      <vt:lpstr>прием ЭЦН</vt:lpstr>
      <vt:lpstr>реверсивный поток</vt:lpstr>
      <vt:lpstr>прием ПКВ</vt:lpstr>
      <vt:lpstr>оценка диаметра</vt:lpstr>
      <vt:lpstr>'прием ПКВ'!calibr_li</vt:lpstr>
      <vt:lpstr>'реверсивный поток'!calibr_li</vt:lpstr>
      <vt:lpstr>calibr_li</vt:lpstr>
      <vt:lpstr>'прием ПКВ'!calibr_st</vt:lpstr>
      <vt:lpstr>'реверсивный поток'!calibr_st</vt:lpstr>
      <vt:lpstr>calibr_st</vt:lpstr>
      <vt:lpstr>'прием ПКВ'!dcas</vt:lpstr>
      <vt:lpstr>'реверсивный поток'!dcas</vt:lpstr>
      <vt:lpstr>dcas</vt:lpstr>
      <vt:lpstr>'прием ПКВ'!dcas_m</vt:lpstr>
      <vt:lpstr>'реверсивный поток'!dcas_m</vt:lpstr>
      <vt:lpstr>dcas_m</vt:lpstr>
      <vt:lpstr>'прием ПКВ'!dintake</vt:lpstr>
      <vt:lpstr>'реверсивный поток'!dintake</vt:lpstr>
      <vt:lpstr>dintake</vt:lpstr>
      <vt:lpstr>'прием ПКВ'!dintake_m</vt:lpstr>
      <vt:lpstr>'реверсивный поток'!dintake_m</vt:lpstr>
      <vt:lpstr>dintake_m</vt:lpstr>
      <vt:lpstr>'прием ПКВ'!feed_json</vt:lpstr>
      <vt:lpstr>'реверсивный поток'!feed_json</vt:lpstr>
      <vt:lpstr>feed_json</vt:lpstr>
      <vt:lpstr>'прием ПКВ'!hint</vt:lpstr>
      <vt:lpstr>'реверсивный поток'!hint</vt:lpstr>
      <vt:lpstr>hint</vt:lpstr>
      <vt:lpstr>hperf</vt:lpstr>
      <vt:lpstr>'прием ПКВ'!mu_gas</vt:lpstr>
      <vt:lpstr>'реверсивный поток'!mu_gas</vt:lpstr>
      <vt:lpstr>mu_gas</vt:lpstr>
      <vt:lpstr>'прием ПКВ'!mu_liq</vt:lpstr>
      <vt:lpstr>'реверсивный поток'!mu_liq</vt:lpstr>
      <vt:lpstr>mu_liq</vt:lpstr>
      <vt:lpstr>'прием ПКВ'!p</vt:lpstr>
      <vt:lpstr>'реверсивный поток'!p</vt:lpstr>
      <vt:lpstr>p</vt:lpstr>
      <vt:lpstr>'прием ПКВ'!pkv_ratio</vt:lpstr>
      <vt:lpstr>pkv_ratio</vt:lpstr>
      <vt:lpstr>'прием ПКВ'!PVT_json</vt:lpstr>
      <vt:lpstr>'реверсивный поток'!PVT_json</vt:lpstr>
      <vt:lpstr>PVT_json</vt:lpstr>
      <vt:lpstr>'прием ПКВ'!Qgas_in_situ</vt:lpstr>
      <vt:lpstr>'реверсивный поток'!Qgas_in_situ</vt:lpstr>
      <vt:lpstr>Qgas_in_situ</vt:lpstr>
      <vt:lpstr>'прием ПКВ'!Qliq_in_situ</vt:lpstr>
      <vt:lpstr>'реверсивный поток'!Qliq_in_situ</vt:lpstr>
      <vt:lpstr>Qliq_in_situ</vt:lpstr>
      <vt:lpstr>'прием ПКВ'!st</vt:lpstr>
      <vt:lpstr>'реверсивный поток'!st</vt:lpstr>
      <vt:lpstr>st</vt:lpstr>
      <vt:lpstr>'прием ПКВ'!t</vt:lpstr>
      <vt:lpstr>'реверсивный поток'!t</vt:lpstr>
      <vt:lpstr>t</vt:lpstr>
      <vt:lpstr>v_ooz</vt:lpstr>
      <vt:lpstr>v_sl</vt:lpstr>
      <vt:lpstr>'прием ПКВ'!Плотность_газа</vt:lpstr>
      <vt:lpstr>'реверсивный поток'!Плотность_газа</vt:lpstr>
      <vt:lpstr>Плотность_газа</vt:lpstr>
      <vt:lpstr>'прием ПКВ'!Плотность_жидкости</vt:lpstr>
      <vt:lpstr>'реверсивный поток'!Плотность_жидкости</vt:lpstr>
      <vt:lpstr>Плотность_жидкости</vt:lpstr>
      <vt:lpstr>'прием ПКВ'!Пов._Натяжение</vt:lpstr>
      <vt:lpstr>'реверсивный поток'!Пов._Натяжение</vt:lpstr>
      <vt:lpstr>Пов._Натяжение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rnt</dc:creator>
  <cp:lastModifiedBy>rnt</cp:lastModifiedBy>
  <dcterms:created xsi:type="dcterms:W3CDTF">2023-04-02T10:53:36Z</dcterms:created>
  <dcterms:modified xsi:type="dcterms:W3CDTF">2023-04-21T07:30:52Z</dcterms:modified>
</cp:coreProperties>
</file>