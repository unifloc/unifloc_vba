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45563244-4B40-45D6-8437-CCF3FDEE8F36}" xr6:coauthVersionLast="47" xr6:coauthVersionMax="47" xr10:uidLastSave="{00000000-0000-0000-0000-000000000000}"/>
  <bookViews>
    <workbookView xWindow="-120" yWindow="-120" windowWidth="38640" windowHeight="21240" activeTab="2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диаметра'!$H$15</definedName>
    <definedName name="v_sl">'оценка диаметра'!$H$16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8" l="1"/>
  <c r="F48" i="1" l="1"/>
  <c r="F48" i="8"/>
  <c r="R100" i="8"/>
  <c r="R101" i="8"/>
  <c r="O101" i="8"/>
  <c r="K8" i="8"/>
  <c r="L101" i="8" s="1"/>
  <c r="K7" i="8"/>
  <c r="K6" i="8"/>
  <c r="K100" i="8" s="1"/>
  <c r="K101" i="8" s="1"/>
  <c r="N101" i="8" s="1"/>
  <c r="Q101" i="8" s="1"/>
  <c r="E15" i="8"/>
  <c r="I39" i="8" a="1"/>
  <c r="I33" i="8" a="1"/>
  <c r="G34" i="8"/>
  <c r="I48" i="8" a="1"/>
  <c r="G40" i="8"/>
  <c r="M34" i="8" a="1"/>
  <c r="G39" i="8"/>
  <c r="G33" i="8"/>
  <c r="N12" i="8" a="1"/>
  <c r="N7" i="8" a="1"/>
  <c r="I38" i="8" a="1"/>
  <c r="I32" i="8" a="1"/>
  <c r="E20" i="8"/>
  <c r="G29" i="8"/>
  <c r="G35" i="8"/>
  <c r="I34" i="8" a="1"/>
  <c r="I40" i="8" a="1"/>
  <c r="G30" i="8"/>
  <c r="G36" i="8"/>
  <c r="I29" i="8" a="1"/>
  <c r="I35" i="8" a="1"/>
  <c r="G37" i="8"/>
  <c r="I36" i="8" a="1"/>
  <c r="G31" i="8"/>
  <c r="G32" i="8"/>
  <c r="G38" i="8"/>
  <c r="I30" i="8" a="1"/>
  <c r="I31" i="8" a="1"/>
  <c r="I37" i="8" a="1"/>
  <c r="G48" i="8"/>
  <c r="H34" i="8" a="1"/>
  <c r="N34" i="8" a="1"/>
  <c r="J34" i="8" a="1"/>
  <c r="K34" i="8" a="1"/>
  <c r="L34" i="8" a="1"/>
  <c r="H40" i="8" a="1"/>
  <c r="N40" i="8" a="1"/>
  <c r="J40" i="8" a="1"/>
  <c r="K40" i="8" a="1"/>
  <c r="M40" i="8" a="1"/>
  <c r="L40" i="8" a="1"/>
  <c r="J39" i="8" a="1"/>
  <c r="K39" i="8" a="1"/>
  <c r="H39" i="8" a="1"/>
  <c r="N39" i="8" a="1"/>
  <c r="L39" i="8" a="1"/>
  <c r="M39" i="8" a="1"/>
  <c r="N33" i="8" a="1"/>
  <c r="J33" i="8" a="1"/>
  <c r="K33" i="8" a="1"/>
  <c r="L33" i="8" a="1"/>
  <c r="H33" i="8" a="1"/>
  <c r="M33" i="8" a="1"/>
  <c r="N8" i="8" a="1"/>
  <c r="N9" i="8" a="1"/>
  <c r="N10" i="8" a="1"/>
  <c r="N11" i="8" a="1"/>
  <c r="N6" i="8" a="1"/>
  <c r="K29" i="8" a="1"/>
  <c r="M29" i="8" a="1"/>
  <c r="L29" i="8" a="1"/>
  <c r="H29" i="8" a="1"/>
  <c r="N29" i="8" a="1"/>
  <c r="J29" i="8" a="1"/>
  <c r="M35" i="8" a="1"/>
  <c r="L35" i="8" a="1"/>
  <c r="H35" i="8" a="1"/>
  <c r="N35" i="8" a="1"/>
  <c r="J35" i="8" a="1"/>
  <c r="K35" i="8" a="1"/>
  <c r="J30" i="8" a="1"/>
  <c r="K30" i="8" a="1"/>
  <c r="L30" i="8" a="1"/>
  <c r="H30" i="8" a="1"/>
  <c r="N30" i="8" a="1"/>
  <c r="M30" i="8" a="1"/>
  <c r="L36" i="8" a="1"/>
  <c r="M36" i="8" a="1"/>
  <c r="H36" i="8" a="1"/>
  <c r="N36" i="8" a="1"/>
  <c r="K36" i="8" a="1"/>
  <c r="J36" i="8" a="1"/>
  <c r="K37" i="8" a="1"/>
  <c r="L37" i="8" a="1"/>
  <c r="M37" i="8" a="1"/>
  <c r="H37" i="8" a="1"/>
  <c r="N37" i="8" a="1"/>
  <c r="J37" i="8" a="1"/>
  <c r="L31" i="8" a="1"/>
  <c r="K31" i="8" a="1"/>
  <c r="J31" i="8" a="1"/>
  <c r="M31" i="8" a="1"/>
  <c r="H31" i="8" a="1"/>
  <c r="N31" i="8" a="1"/>
  <c r="J32" i="8" a="1"/>
  <c r="K32" i="8" a="1"/>
  <c r="L32" i="8" a="1"/>
  <c r="M32" i="8" a="1"/>
  <c r="H32" i="8" a="1"/>
  <c r="N32" i="8" a="1"/>
  <c r="J38" i="8" a="1"/>
  <c r="K38" i="8" a="1"/>
  <c r="L38" i="8" a="1"/>
  <c r="M38" i="8" a="1"/>
  <c r="H38" i="8" a="1"/>
  <c r="N38" i="8" a="1"/>
  <c r="H48" i="8" a="1"/>
  <c r="N48" i="8" a="1"/>
  <c r="J48" i="8" a="1"/>
  <c r="K48" i="8" a="1"/>
  <c r="L48" i="8" a="1"/>
  <c r="M48" i="8" a="1"/>
  <c r="H100" i="8" l="1"/>
  <c r="H101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P8" i="8" s="1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K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101" i="8"/>
  <c r="L100" i="8" s="1"/>
  <c r="I100" i="8" s="1"/>
  <c r="I101" i="8"/>
  <c r="E100" i="8"/>
  <c r="M75" i="6"/>
  <c r="J75" i="6"/>
  <c r="G75" i="6"/>
  <c r="F48" i="6"/>
  <c r="K7" i="6"/>
  <c r="I74" i="6" s="1"/>
  <c r="I75" i="6" s="1"/>
  <c r="K6" i="6"/>
  <c r="L74" i="6" s="1"/>
  <c r="L75" i="6" s="1"/>
  <c r="K8" i="1"/>
  <c r="E53" i="8" a="1"/>
  <c r="R40" i="8" a="1"/>
  <c r="R39" i="8" a="1"/>
  <c r="P32" i="8" a="1"/>
  <c r="R32" i="8" a="1"/>
  <c r="P35" i="8" a="1"/>
  <c r="R35" i="8" a="1"/>
  <c r="P37" i="8" a="1"/>
  <c r="R37" i="8" a="1"/>
  <c r="P30" i="8" a="1"/>
  <c r="R30" i="8" a="1"/>
  <c r="P29" i="8" a="1"/>
  <c r="R29" i="8" a="1"/>
  <c r="P33" i="8" a="1"/>
  <c r="R33" i="8" a="1"/>
  <c r="P39" i="8" a="1"/>
  <c r="P40" i="8" a="1"/>
  <c r="P31" i="8" a="1"/>
  <c r="R31" i="8" a="1"/>
  <c r="P34" i="8" a="1"/>
  <c r="R34" i="8" a="1"/>
  <c r="P38" i="8" a="1"/>
  <c r="R38" i="8" a="1"/>
  <c r="P36" i="8" a="1"/>
  <c r="R36" i="8" a="1"/>
  <c r="O30" i="8" a="1"/>
  <c r="O33" i="8" a="1"/>
  <c r="O36" i="8" a="1"/>
  <c r="O39" i="8" a="1"/>
  <c r="O35" i="8" a="1"/>
  <c r="O29" i="8" a="1"/>
  <c r="O40" i="8" a="1"/>
  <c r="O32" i="8" a="1"/>
  <c r="O34" i="8" a="1"/>
  <c r="O31" i="8" a="1"/>
  <c r="O37" i="8" a="1"/>
  <c r="O38" i="8" a="1"/>
  <c r="E15" i="6"/>
  <c r="N7" i="6" a="1"/>
  <c r="I38" i="6" a="1"/>
  <c r="I32" i="6" a="1"/>
  <c r="G39" i="6"/>
  <c r="AE39" i="6" s="1" a="1"/>
  <c r="G34" i="6"/>
  <c r="AE34" i="6" s="1" a="1"/>
  <c r="G40" i="6"/>
  <c r="AE40" i="6" s="1" a="1"/>
  <c r="I48" i="6" a="1"/>
  <c r="E20" i="6"/>
  <c r="I33" i="6" a="1"/>
  <c r="I39" i="6" a="1"/>
  <c r="G33" i="6"/>
  <c r="AE33" i="6" s="1" a="1"/>
  <c r="G29" i="6"/>
  <c r="AE29" i="6" s="1" a="1"/>
  <c r="G35" i="6"/>
  <c r="AE35" i="6" s="1" a="1"/>
  <c r="I34" i="6" a="1"/>
  <c r="I40" i="6" a="1"/>
  <c r="N12" i="6" a="1"/>
  <c r="G30" i="6"/>
  <c r="AE30" i="6" s="1" a="1"/>
  <c r="G36" i="6"/>
  <c r="AE36" i="6" s="1" a="1"/>
  <c r="I35" i="6" a="1"/>
  <c r="G37" i="6"/>
  <c r="AE37" i="6" s="1" a="1"/>
  <c r="G31" i="6"/>
  <c r="AE31" i="6" s="1" a="1"/>
  <c r="I36" i="6" a="1"/>
  <c r="I30" i="6" a="1"/>
  <c r="G32" i="6"/>
  <c r="AE32" i="6" s="1" a="1"/>
  <c r="G38" i="6"/>
  <c r="AE38" i="6" s="1" a="1"/>
  <c r="I29" i="6" a="1"/>
  <c r="I31" i="6" a="1"/>
  <c r="I37" i="6" a="1"/>
  <c r="G48" i="6"/>
  <c r="H39" i="6" a="1"/>
  <c r="N39" i="6" a="1"/>
  <c r="J39" i="6" a="1"/>
  <c r="K39" i="6" a="1"/>
  <c r="L39" i="6" a="1"/>
  <c r="M39" i="6" a="1"/>
  <c r="M34" i="6" a="1"/>
  <c r="N34" i="6" a="1"/>
  <c r="H34" i="6" a="1"/>
  <c r="J34" i="6" a="1"/>
  <c r="K34" i="6" a="1"/>
  <c r="L34" i="6" a="1"/>
  <c r="M40" i="6" a="1"/>
  <c r="H40" i="6" a="1"/>
  <c r="N40" i="6" a="1"/>
  <c r="J40" i="6" a="1"/>
  <c r="K40" i="6" a="1"/>
  <c r="L40" i="6" a="1"/>
  <c r="N8" i="6" a="1"/>
  <c r="N9" i="6" a="1"/>
  <c r="N10" i="6" a="1"/>
  <c r="N6" i="6" a="1"/>
  <c r="N11" i="6" a="1"/>
  <c r="H33" i="6" a="1"/>
  <c r="N33" i="6" a="1"/>
  <c r="J33" i="6" a="1"/>
  <c r="K33" i="6" a="1"/>
  <c r="L33" i="6" a="1"/>
  <c r="M33" i="6" a="1"/>
  <c r="L29" i="6" a="1"/>
  <c r="M29" i="6" a="1"/>
  <c r="H29" i="6" a="1"/>
  <c r="N29" i="6" a="1"/>
  <c r="J29" i="6" a="1"/>
  <c r="K29" i="6" a="1"/>
  <c r="L35" i="6" a="1"/>
  <c r="M35" i="6" a="1"/>
  <c r="H35" i="6" a="1"/>
  <c r="N35" i="6" a="1"/>
  <c r="J35" i="6" a="1"/>
  <c r="K35" i="6" a="1"/>
  <c r="K30" i="6" a="1"/>
  <c r="L30" i="6" a="1"/>
  <c r="M30" i="6" a="1"/>
  <c r="H30" i="6" a="1"/>
  <c r="N30" i="6" a="1"/>
  <c r="J30" i="6" a="1"/>
  <c r="K36" i="6" a="1"/>
  <c r="L36" i="6" a="1"/>
  <c r="M36" i="6" a="1"/>
  <c r="H36" i="6" a="1"/>
  <c r="N36" i="6" a="1"/>
  <c r="J36" i="6" a="1"/>
  <c r="J37" i="6" a="1"/>
  <c r="K37" i="6" a="1"/>
  <c r="L37" i="6" a="1"/>
  <c r="M37" i="6" a="1"/>
  <c r="H37" i="6" a="1"/>
  <c r="N37" i="6" a="1"/>
  <c r="J31" i="6" a="1"/>
  <c r="L31" i="6" a="1"/>
  <c r="K31" i="6" a="1"/>
  <c r="M31" i="6" a="1"/>
  <c r="N31" i="6" a="1"/>
  <c r="H31" i="6" a="1"/>
  <c r="J32" i="6" a="1"/>
  <c r="K32" i="6" a="1"/>
  <c r="L32" i="6" a="1"/>
  <c r="M32" i="6" a="1"/>
  <c r="H32" i="6" a="1"/>
  <c r="N32" i="6" a="1"/>
  <c r="J38" i="6" a="1"/>
  <c r="K38" i="6" a="1"/>
  <c r="L38" i="6" a="1"/>
  <c r="M38" i="6" a="1"/>
  <c r="H38" i="6" a="1"/>
  <c r="N38" i="6" a="1"/>
  <c r="N48" i="6" a="1"/>
  <c r="H48" i="6" a="1"/>
  <c r="J48" i="6" a="1"/>
  <c r="K48" i="6" a="1"/>
  <c r="L48" i="6" a="1"/>
  <c r="M48" i="6" a="1"/>
  <c r="E53" i="8" l="1"/>
  <c r="R40" i="8"/>
  <c r="V39" i="8"/>
  <c r="X39" i="8"/>
  <c r="Y39" i="8"/>
  <c r="R39" i="8"/>
  <c r="S39" i="8"/>
  <c r="D39" i="8" s="1"/>
  <c r="T39" i="8"/>
  <c r="W39" i="8"/>
  <c r="U39" i="8"/>
  <c r="D40" i="8"/>
  <c r="V36" i="8"/>
  <c r="X36" i="8"/>
  <c r="Y36" i="8"/>
  <c r="T36" i="8"/>
  <c r="U36" i="8"/>
  <c r="W36" i="8"/>
  <c r="R36" i="8"/>
  <c r="S36" i="8"/>
  <c r="D36" i="8" s="1"/>
  <c r="P36" i="8"/>
  <c r="Y38" i="8"/>
  <c r="R38" i="8"/>
  <c r="S38" i="8"/>
  <c r="D38" i="8" s="1"/>
  <c r="T38" i="8"/>
  <c r="U38" i="8"/>
  <c r="V38" i="8"/>
  <c r="W38" i="8"/>
  <c r="X38" i="8"/>
  <c r="P38" i="8"/>
  <c r="U34" i="8"/>
  <c r="V34" i="8"/>
  <c r="W34" i="8"/>
  <c r="Y34" i="8"/>
  <c r="X34" i="8"/>
  <c r="T34" i="8"/>
  <c r="S34" i="8"/>
  <c r="D34" i="8" s="1"/>
  <c r="R34" i="8"/>
  <c r="P34" i="8"/>
  <c r="U31" i="8"/>
  <c r="V31" i="8"/>
  <c r="T31" i="8"/>
  <c r="X31" i="8"/>
  <c r="R31" i="8"/>
  <c r="S31" i="8"/>
  <c r="D31" i="8" s="1"/>
  <c r="W31" i="8"/>
  <c r="Y31" i="8"/>
  <c r="P31" i="8"/>
  <c r="P40" i="8"/>
  <c r="P39" i="8"/>
  <c r="R33" i="8"/>
  <c r="S33" i="8"/>
  <c r="D33" i="8" s="1"/>
  <c r="U33" i="8"/>
  <c r="T33" i="8"/>
  <c r="V33" i="8"/>
  <c r="X33" i="8"/>
  <c r="Y33" i="8"/>
  <c r="W33" i="8"/>
  <c r="P33" i="8"/>
  <c r="X29" i="8"/>
  <c r="Y29" i="8"/>
  <c r="S29" i="8"/>
  <c r="D29" i="8" s="1"/>
  <c r="W29" i="8"/>
  <c r="R29" i="8"/>
  <c r="T29" i="8"/>
  <c r="U29" i="8"/>
  <c r="V29" i="8"/>
  <c r="P29" i="8"/>
  <c r="R30" i="8"/>
  <c r="U30" i="8"/>
  <c r="V30" i="8"/>
  <c r="W30" i="8"/>
  <c r="X30" i="8"/>
  <c r="S30" i="8"/>
  <c r="D30" i="8" s="1"/>
  <c r="T30" i="8"/>
  <c r="Y30" i="8"/>
  <c r="P30" i="8"/>
  <c r="X37" i="8"/>
  <c r="W37" i="8"/>
  <c r="Y37" i="8"/>
  <c r="V37" i="8"/>
  <c r="S37" i="8"/>
  <c r="D37" i="8" s="1"/>
  <c r="R37" i="8"/>
  <c r="T37" i="8"/>
  <c r="U37" i="8"/>
  <c r="P37" i="8"/>
  <c r="V35" i="8"/>
  <c r="W35" i="8"/>
  <c r="R35" i="8"/>
  <c r="T35" i="8"/>
  <c r="U35" i="8"/>
  <c r="X35" i="8"/>
  <c r="Y35" i="8"/>
  <c r="S35" i="8"/>
  <c r="D35" i="8" s="1"/>
  <c r="P35" i="8"/>
  <c r="Y32" i="8"/>
  <c r="W32" i="8"/>
  <c r="V32" i="8"/>
  <c r="X32" i="8"/>
  <c r="R32" i="8"/>
  <c r="S32" i="8"/>
  <c r="D32" i="8" s="1"/>
  <c r="T32" i="8"/>
  <c r="U32" i="8"/>
  <c r="P32" i="8"/>
  <c r="Q100" i="8"/>
  <c r="O38" i="8"/>
  <c r="O37" i="8"/>
  <c r="O31" i="8"/>
  <c r="O34" i="8"/>
  <c r="O32" i="8"/>
  <c r="O40" i="8"/>
  <c r="O29" i="8"/>
  <c r="O35" i="8"/>
  <c r="O39" i="8"/>
  <c r="O36" i="8"/>
  <c r="O33" i="8"/>
  <c r="O30" i="8"/>
  <c r="E101" i="8"/>
  <c r="N100" i="8"/>
  <c r="AE38" i="6"/>
  <c r="AE32" i="6"/>
  <c r="AE31" i="6"/>
  <c r="AE37" i="6"/>
  <c r="AE36" i="6"/>
  <c r="AE30" i="6"/>
  <c r="AE35" i="6"/>
  <c r="AE29" i="6"/>
  <c r="AE33" i="6"/>
  <c r="AE40" i="6"/>
  <c r="AE34" i="6"/>
  <c r="AE39" i="6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N37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P8" i="6" s="1"/>
  <c r="L40" i="6"/>
  <c r="K40" i="6"/>
  <c r="J40" i="6"/>
  <c r="N40" i="6"/>
  <c r="H40" i="6"/>
  <c r="M40" i="6"/>
  <c r="L34" i="6"/>
  <c r="K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E55" i="8" a="1"/>
  <c r="R32" i="6" a="1"/>
  <c r="R37" i="6" a="1"/>
  <c r="R30" i="6" a="1"/>
  <c r="R29" i="6" a="1"/>
  <c r="R34" i="6" a="1"/>
  <c r="R38" i="6" a="1"/>
  <c r="R31" i="6" a="1"/>
  <c r="R36" i="6" a="1"/>
  <c r="R35" i="6" a="1"/>
  <c r="R39" i="6" a="1"/>
  <c r="R33" i="6" a="1"/>
  <c r="P34" i="6" a="1"/>
  <c r="P38" i="6" a="1"/>
  <c r="P39" i="6" a="1"/>
  <c r="P31" i="6" a="1"/>
  <c r="P36" i="6" a="1"/>
  <c r="P35" i="6" a="1"/>
  <c r="P40" i="6" a="1"/>
  <c r="R40" i="6" a="1"/>
  <c r="P33" i="6" a="1"/>
  <c r="P32" i="6" a="1"/>
  <c r="P37" i="6" a="1"/>
  <c r="P30" i="6" a="1"/>
  <c r="P29" i="6" a="1"/>
  <c r="E53" i="6" a="1"/>
  <c r="R55" i="8" a="1"/>
  <c r="U55" i="8" a="1"/>
  <c r="X55" i="8" a="1"/>
  <c r="I55" i="8" a="1"/>
  <c r="AA55" i="8" a="1"/>
  <c r="L55" i="8" a="1"/>
  <c r="AD55" i="8" a="1"/>
  <c r="O55" i="8" a="1"/>
  <c r="O55" i="8" l="1"/>
  <c r="AD55" i="8"/>
  <c r="L55" i="8"/>
  <c r="AA55" i="8"/>
  <c r="I55" i="8"/>
  <c r="X55" i="8"/>
  <c r="U55" i="8"/>
  <c r="R55" i="8"/>
  <c r="E55" i="8"/>
  <c r="S33" i="6"/>
  <c r="T33" i="6"/>
  <c r="W33" i="6"/>
  <c r="AG33" i="6" s="1"/>
  <c r="U33" i="6"/>
  <c r="V33" i="6"/>
  <c r="X33" i="6"/>
  <c r="R33" i="6"/>
  <c r="U39" i="6"/>
  <c r="V39" i="6"/>
  <c r="W39" i="6"/>
  <c r="AG39" i="6" s="1"/>
  <c r="X39" i="6"/>
  <c r="S39" i="6"/>
  <c r="R39" i="6"/>
  <c r="T39" i="6"/>
  <c r="R35" i="6"/>
  <c r="S35" i="6"/>
  <c r="T35" i="6"/>
  <c r="U35" i="6"/>
  <c r="V35" i="6"/>
  <c r="W35" i="6"/>
  <c r="AG35" i="6" s="1"/>
  <c r="X35" i="6"/>
  <c r="S36" i="6"/>
  <c r="U36" i="6"/>
  <c r="V36" i="6"/>
  <c r="W36" i="6"/>
  <c r="AG36" i="6" s="1"/>
  <c r="X36" i="6"/>
  <c r="R36" i="6"/>
  <c r="T36" i="6"/>
  <c r="V31" i="6"/>
  <c r="S31" i="6"/>
  <c r="R31" i="6"/>
  <c r="T31" i="6"/>
  <c r="W31" i="6"/>
  <c r="AG31" i="6" s="1"/>
  <c r="X31" i="6"/>
  <c r="U31" i="6"/>
  <c r="X38" i="6"/>
  <c r="U38" i="6"/>
  <c r="V38" i="6"/>
  <c r="R38" i="6"/>
  <c r="S38" i="6"/>
  <c r="T38" i="6"/>
  <c r="W38" i="6"/>
  <c r="AG38" i="6" s="1"/>
  <c r="U34" i="6"/>
  <c r="V34" i="6"/>
  <c r="R34" i="6"/>
  <c r="S34" i="6"/>
  <c r="W34" i="6"/>
  <c r="AG34" i="6" s="1"/>
  <c r="X34" i="6"/>
  <c r="T34" i="6"/>
  <c r="T29" i="6"/>
  <c r="U29" i="6"/>
  <c r="V29" i="6"/>
  <c r="W29" i="6"/>
  <c r="AG29" i="6" s="1"/>
  <c r="X29" i="6"/>
  <c r="R29" i="6"/>
  <c r="S29" i="6"/>
  <c r="U30" i="6"/>
  <c r="V30" i="6"/>
  <c r="X30" i="6"/>
  <c r="W30" i="6"/>
  <c r="AG30" i="6" s="1"/>
  <c r="S30" i="6"/>
  <c r="T30" i="6"/>
  <c r="R30" i="6"/>
  <c r="S37" i="6"/>
  <c r="V37" i="6"/>
  <c r="T37" i="6"/>
  <c r="U37" i="6"/>
  <c r="X37" i="6"/>
  <c r="W37" i="6"/>
  <c r="AG37" i="6" s="1"/>
  <c r="R37" i="6"/>
  <c r="V32" i="6"/>
  <c r="T32" i="6"/>
  <c r="W32" i="6"/>
  <c r="AG32" i="6" s="1"/>
  <c r="X32" i="6"/>
  <c r="R32" i="6"/>
  <c r="S32" i="6"/>
  <c r="U32" i="6"/>
  <c r="AJ40" i="6"/>
  <c r="AG40" i="6"/>
  <c r="AI40" i="6" s="1"/>
  <c r="P30" i="6"/>
  <c r="P37" i="6"/>
  <c r="P32" i="6"/>
  <c r="P33" i="6"/>
  <c r="R40" i="6"/>
  <c r="P40" i="6"/>
  <c r="P35" i="6"/>
  <c r="P36" i="6"/>
  <c r="P31" i="6"/>
  <c r="P39" i="6"/>
  <c r="P38" i="6"/>
  <c r="P34" i="6"/>
  <c r="P29" i="6"/>
  <c r="E53" i="6"/>
  <c r="F75" i="6"/>
  <c r="M74" i="1"/>
  <c r="J74" i="1" s="1"/>
  <c r="E55" i="6" a="1"/>
  <c r="U55" i="6" a="1"/>
  <c r="X55" i="6" a="1"/>
  <c r="R55" i="6" a="1"/>
  <c r="I55" i="6" a="1"/>
  <c r="AA55" i="6" a="1"/>
  <c r="L55" i="6" a="1"/>
  <c r="AD55" i="6" a="1"/>
  <c r="O55" i="6" a="1"/>
  <c r="AJ29" i="6" l="1"/>
  <c r="AJ30" i="6"/>
  <c r="AI38" i="6"/>
  <c r="AI36" i="6"/>
  <c r="AI31" i="6"/>
  <c r="AI34" i="6"/>
  <c r="AJ34" i="6"/>
  <c r="AI39" i="6"/>
  <c r="AJ39" i="6"/>
  <c r="AJ36" i="6"/>
  <c r="AI30" i="6"/>
  <c r="AJ31" i="6"/>
  <c r="AJ32" i="6"/>
  <c r="AI32" i="6"/>
  <c r="AJ38" i="6"/>
  <c r="AJ35" i="6"/>
  <c r="AI35" i="6"/>
  <c r="AI33" i="6"/>
  <c r="AJ33" i="6"/>
  <c r="AI37" i="6"/>
  <c r="AI29" i="6"/>
  <c r="AJ37" i="6"/>
  <c r="O55" i="6"/>
  <c r="AD55" i="6"/>
  <c r="L55" i="6"/>
  <c r="AA55" i="6"/>
  <c r="I55" i="6"/>
  <c r="R55" i="6"/>
  <c r="X55" i="6"/>
  <c r="U55" i="6"/>
  <c r="E55" i="6"/>
  <c r="N17" i="2" l="1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O16" i="2" s="1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L16" i="2" s="1"/>
  <c r="K7" i="1"/>
  <c r="K6" i="1"/>
  <c r="L74" i="1" s="1"/>
  <c r="L75" i="1" s="1"/>
  <c r="O75" i="1" s="1"/>
  <c r="E15" i="1"/>
  <c r="G35" i="1"/>
  <c r="G36" i="1"/>
  <c r="G29" i="1"/>
  <c r="E20" i="1"/>
  <c r="N8" i="1" s="1" a="1"/>
  <c r="G38" i="1"/>
  <c r="G30" i="1"/>
  <c r="I31" i="1" a="1"/>
  <c r="K36" i="1" a="1"/>
  <c r="N7" i="1" a="1"/>
  <c r="I33" i="1" a="1"/>
  <c r="I37" i="1" a="1"/>
  <c r="N35" i="1" a="1"/>
  <c r="L30" i="1" a="1"/>
  <c r="J36" i="1" a="1"/>
  <c r="G34" i="1"/>
  <c r="N38" i="1" a="1"/>
  <c r="N30" i="1" a="1"/>
  <c r="M36" i="1" a="1"/>
  <c r="I30" i="1" a="1"/>
  <c r="G37" i="1"/>
  <c r="K34" i="1" a="1"/>
  <c r="J35" i="1" a="1"/>
  <c r="J30" i="1" a="1"/>
  <c r="L36" i="1" a="1"/>
  <c r="G40" i="1"/>
  <c r="I29" i="1" a="1"/>
  <c r="I35" i="1" a="1"/>
  <c r="I34" i="1" a="1"/>
  <c r="G31" i="1"/>
  <c r="I40" i="1" a="1"/>
  <c r="G32" i="1"/>
  <c r="G48" i="1"/>
  <c r="I36" i="1" a="1"/>
  <c r="G33" i="1"/>
  <c r="G39" i="1"/>
  <c r="I48" i="1" a="1"/>
  <c r="I38" i="1" a="1"/>
  <c r="I39" i="1" a="1"/>
  <c r="I32" i="1" a="1"/>
  <c r="N12" i="1" a="1"/>
  <c r="K35" i="1" a="1"/>
  <c r="L35" i="1" a="1"/>
  <c r="M35" i="1" a="1"/>
  <c r="H35" i="1" a="1"/>
  <c r="H36" i="1" a="1"/>
  <c r="N36" i="1" a="1"/>
  <c r="J29" i="1" a="1"/>
  <c r="M29" i="1" a="1"/>
  <c r="H29" i="1" a="1"/>
  <c r="K29" i="1" a="1"/>
  <c r="L29" i="1" a="1"/>
  <c r="N9" i="1" a="1"/>
  <c r="N6" i="1" a="1"/>
  <c r="N10" i="1" a="1"/>
  <c r="L38" i="1" a="1"/>
  <c r="K38" i="1" a="1"/>
  <c r="H38" i="1" a="1"/>
  <c r="J38" i="1" a="1"/>
  <c r="M38" i="1" a="1"/>
  <c r="M30" i="1" a="1"/>
  <c r="K30" i="1" a="1"/>
  <c r="H30" i="1" a="1"/>
  <c r="H34" i="1" a="1"/>
  <c r="M34" i="1" a="1"/>
  <c r="L34" i="1" a="1"/>
  <c r="J34" i="1" a="1"/>
  <c r="N34" i="1" a="1"/>
  <c r="J37" i="1" a="1"/>
  <c r="L37" i="1" a="1"/>
  <c r="M37" i="1" a="1"/>
  <c r="H37" i="1" a="1"/>
  <c r="N37" i="1" a="1"/>
  <c r="K37" i="1" a="1"/>
  <c r="L40" i="1" a="1"/>
  <c r="M40" i="1" a="1"/>
  <c r="N40" i="1" a="1"/>
  <c r="J40" i="1" a="1"/>
  <c r="H40" i="1" a="1"/>
  <c r="K40" i="1" a="1"/>
  <c r="K31" i="1" a="1"/>
  <c r="N31" i="1" a="1"/>
  <c r="J31" i="1" a="1"/>
  <c r="H31" i="1" a="1"/>
  <c r="M31" i="1" a="1"/>
  <c r="L31" i="1" a="1"/>
  <c r="J32" i="1" a="1"/>
  <c r="M32" i="1" a="1"/>
  <c r="K32" i="1" a="1"/>
  <c r="L32" i="1" a="1"/>
  <c r="H32" i="1" a="1"/>
  <c r="N32" i="1" a="1"/>
  <c r="H48" i="1" a="1"/>
  <c r="K48" i="1" a="1"/>
  <c r="J48" i="1" a="1"/>
  <c r="N48" i="1" a="1"/>
  <c r="L48" i="1" a="1"/>
  <c r="M48" i="1" a="1"/>
  <c r="M33" i="1" a="1"/>
  <c r="K33" i="1" a="1"/>
  <c r="N33" i="1" a="1"/>
  <c r="L33" i="1" a="1"/>
  <c r="J33" i="1" a="1"/>
  <c r="H33" i="1" a="1"/>
  <c r="K39" i="1" a="1"/>
  <c r="L39" i="1" a="1"/>
  <c r="J39" i="1" a="1"/>
  <c r="H39" i="1" a="1"/>
  <c r="N39" i="1" a="1"/>
  <c r="M39" i="1" a="1"/>
  <c r="N8" i="1" l="1"/>
  <c r="P8" i="1" s="1"/>
  <c r="H48" i="1"/>
  <c r="M48" i="1"/>
  <c r="J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J35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E53" i="1" a="1"/>
  <c r="P39" i="1" a="1"/>
  <c r="R39" i="1" a="1"/>
  <c r="P30" i="1" a="1"/>
  <c r="R30" i="1" a="1"/>
  <c r="P34" i="1" a="1"/>
  <c r="R34" i="1" a="1"/>
  <c r="P31" i="1" a="1"/>
  <c r="R31" i="1" a="1"/>
  <c r="P36" i="1" a="1"/>
  <c r="R36" i="1" a="1"/>
  <c r="P33" i="1" a="1"/>
  <c r="R33" i="1" a="1"/>
  <c r="P37" i="1" a="1"/>
  <c r="R37" i="1" a="1"/>
  <c r="P35" i="1" a="1"/>
  <c r="R35" i="1" a="1"/>
  <c r="P40" i="1" a="1"/>
  <c r="R40" i="1" a="1"/>
  <c r="P32" i="1" a="1"/>
  <c r="R32" i="1" a="1"/>
  <c r="P38" i="1" a="1"/>
  <c r="R38" i="1" a="1"/>
  <c r="O37" i="1" a="1"/>
  <c r="O36" i="1" a="1"/>
  <c r="O29" i="1" a="1"/>
  <c r="O38" i="1" a="1"/>
  <c r="O30" i="1" a="1"/>
  <c r="O32" i="1" a="1"/>
  <c r="O39" i="1" a="1"/>
  <c r="O35" i="1" a="1"/>
  <c r="O31" i="1" a="1"/>
  <c r="O33" i="1" a="1"/>
  <c r="O34" i="1" a="1"/>
  <c r="O40" i="1" a="1"/>
  <c r="N29" i="1" a="1"/>
  <c r="N11" i="1" a="1"/>
  <c r="E53" i="1" l="1"/>
  <c r="U38" i="1"/>
  <c r="W38" i="1"/>
  <c r="V38" i="1"/>
  <c r="R38" i="1"/>
  <c r="S38" i="1"/>
  <c r="T38" i="1"/>
  <c r="P38" i="1"/>
  <c r="S32" i="1"/>
  <c r="T32" i="1"/>
  <c r="W32" i="1"/>
  <c r="R32" i="1"/>
  <c r="U32" i="1"/>
  <c r="V32" i="1"/>
  <c r="P32" i="1"/>
  <c r="R40" i="1"/>
  <c r="P40" i="1"/>
  <c r="R35" i="1"/>
  <c r="S35" i="1"/>
  <c r="V35" i="1"/>
  <c r="W35" i="1"/>
  <c r="T35" i="1"/>
  <c r="U35" i="1"/>
  <c r="P35" i="1"/>
  <c r="T37" i="1"/>
  <c r="U37" i="1"/>
  <c r="V37" i="1"/>
  <c r="W37" i="1"/>
  <c r="R37" i="1"/>
  <c r="S37" i="1"/>
  <c r="P37" i="1"/>
  <c r="W33" i="1"/>
  <c r="S33" i="1"/>
  <c r="U33" i="1"/>
  <c r="V33" i="1"/>
  <c r="T33" i="1"/>
  <c r="R33" i="1"/>
  <c r="P33" i="1"/>
  <c r="V36" i="1"/>
  <c r="W36" i="1"/>
  <c r="R36" i="1"/>
  <c r="S36" i="1"/>
  <c r="T36" i="1"/>
  <c r="U36" i="1"/>
  <c r="P36" i="1"/>
  <c r="V31" i="1"/>
  <c r="W31" i="1"/>
  <c r="S31" i="1"/>
  <c r="T31" i="1"/>
  <c r="R31" i="1"/>
  <c r="U31" i="1"/>
  <c r="P31" i="1"/>
  <c r="U34" i="1"/>
  <c r="V34" i="1"/>
  <c r="S34" i="1"/>
  <c r="W34" i="1"/>
  <c r="R34" i="1"/>
  <c r="T34" i="1"/>
  <c r="P34" i="1"/>
  <c r="W30" i="1"/>
  <c r="T30" i="1"/>
  <c r="S30" i="1"/>
  <c r="R30" i="1"/>
  <c r="U30" i="1"/>
  <c r="V30" i="1"/>
  <c r="P30" i="1"/>
  <c r="W39" i="1"/>
  <c r="S39" i="1"/>
  <c r="U39" i="1"/>
  <c r="R39" i="1"/>
  <c r="T39" i="1"/>
  <c r="V39" i="1"/>
  <c r="P39" i="1"/>
  <c r="N29" i="1"/>
  <c r="F75" i="1"/>
  <c r="O74" i="1"/>
  <c r="O29" i="1"/>
  <c r="O40" i="1"/>
  <c r="O30" i="1"/>
  <c r="O31" i="1"/>
  <c r="O35" i="1"/>
  <c r="O38" i="1"/>
  <c r="O36" i="1"/>
  <c r="O34" i="1"/>
  <c r="O39" i="1"/>
  <c r="O33" i="1"/>
  <c r="O32" i="1"/>
  <c r="O37" i="1"/>
  <c r="N11" i="1"/>
  <c r="P29" i="1" a="1"/>
  <c r="R29" i="1" a="1"/>
  <c r="E55" i="1" a="1"/>
  <c r="O55" i="1" a="1"/>
  <c r="U55" i="1" a="1"/>
  <c r="R55" i="1" a="1"/>
  <c r="AA55" i="1" a="1"/>
  <c r="I55" i="1" a="1"/>
  <c r="L55" i="1" a="1"/>
  <c r="X55" i="1" a="1"/>
  <c r="AD55" i="1" a="1"/>
  <c r="U29" i="1" l="1"/>
  <c r="V29" i="1"/>
  <c r="W29" i="1"/>
  <c r="R29" i="1"/>
  <c r="S29" i="1"/>
  <c r="T29" i="1"/>
  <c r="P29" i="1"/>
  <c r="AD55" i="1"/>
  <c r="AA55" i="1"/>
  <c r="X55" i="1"/>
  <c r="U55" i="1"/>
  <c r="R55" i="1"/>
  <c r="O55" i="1"/>
  <c r="L55" i="1"/>
  <c r="I55" i="1"/>
  <c r="E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<sst xmlns="http://schemas.openxmlformats.org/spreadsheetml/2006/main" count="213" uniqueCount="56">
  <si>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</si>
  <si>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</si>
  <si>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</si>
  <si>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</si>
  <si>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</si>
  <si>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</si>
  <si>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</si>
  <si>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</si>
  <si>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</si>
  <si>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</si>
  <si>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</si>
  <si>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</si>
  <si>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</si>
  <si>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</si>
  <si>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</si>
  <si>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</si>
  <si>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</si>
  <si>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</si>
  <si>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</si>
  <si>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</si>
  <si>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</si>
  <si>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</si>
  <si>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</si>
  <si>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</si>
  <si>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</si>
  <si>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</si>
  <si>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</si>
  <si>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</si>
  <si>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</si>
  <si>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</si>
  <si>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</si>
  <si>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</si>
  <si>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</si>
  <si>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</si>
  <si>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</si>
  <si>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</si>
  <si>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</si>
  <si>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</si>
  <si>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</si>
  <si>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</si>
  <si>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</si>
  <si>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</si>
  <si>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</si>
  <si>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</si>
  <si>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</si>
  <si>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</si>
  <si>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</si>
  <si>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</si>
  <si>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</si>
  <si>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</si>
  <si>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</si>
  <si>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vs</t>
  </si>
  <si>
    <t>пкв отношение</t>
  </si>
  <si>
    <t>Пример расчет коэффициента сепарации для ПКВ режима</t>
  </si>
  <si>
    <t>суточный</t>
  </si>
  <si>
    <t>мгновенный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</si>
</sst>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applyFill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0.95746915872688398</c:v>
                </c:pt>
                <c:pt idx="1">
                  <c:v>0.8461528085567096</c:v>
                </c:pt>
                <c:pt idx="2">
                  <c:v>0.67854045261413443</c:v>
                </c:pt>
                <c:pt idx="3">
                  <c:v>0.55875978958328187</c:v>
                </c:pt>
                <c:pt idx="4">
                  <c:v>0.47385093429418235</c:v>
                </c:pt>
                <c:pt idx="5">
                  <c:v>0.41306426202643332</c:v>
                </c:pt>
                <c:pt idx="6">
                  <c:v>0.36966249580356836</c:v>
                </c:pt>
                <c:pt idx="7">
                  <c:v>0.32599194985572666</c:v>
                </c:pt>
                <c:pt idx="8">
                  <c:v>0.30687077091058823</c:v>
                </c:pt>
                <c:pt idx="9">
                  <c:v>0.29346503753649911</c:v>
                </c:pt>
                <c:pt idx="10">
                  <c:v>0.2833057340374534</c:v>
                </c:pt>
                <c:pt idx="11">
                  <c:v>0.27439555041664487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0.91934516881097827</c:v>
                </c:pt>
                <c:pt idx="1">
                  <c:v>0.75440243294626019</c:v>
                </c:pt>
                <c:pt idx="2">
                  <c:v>0.59958401429428876</c:v>
                </c:pt>
                <c:pt idx="3">
                  <c:v>0.49876435709427819</c:v>
                </c:pt>
                <c:pt idx="4">
                  <c:v>0.42353093518346135</c:v>
                </c:pt>
                <c:pt idx="5">
                  <c:v>0.36594471320052641</c:v>
                </c:pt>
                <c:pt idx="6">
                  <c:v>0.3212850758589802</c:v>
                </c:pt>
                <c:pt idx="7">
                  <c:v>0.28481602886283514</c:v>
                </c:pt>
                <c:pt idx="8">
                  <c:v>0.25393418800238904</c:v>
                </c:pt>
                <c:pt idx="9">
                  <c:v>0.22910872942752311</c:v>
                </c:pt>
                <c:pt idx="10">
                  <c:v>0.20833616220752907</c:v>
                </c:pt>
                <c:pt idx="11">
                  <c:v>0.1905290444697077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General</c:formatCode>
                <c:ptCount val="15"/>
                <c:pt idx="0">
                  <c:v>5.7502999999999999E-2</c:v>
                </c:pt>
                <c:pt idx="1">
                  <c:v>5.7502999999999999E-2</c:v>
                </c:pt>
                <c:pt idx="2">
                  <c:v>5.7502999999999999E-2</c:v>
                </c:pt>
                <c:pt idx="3">
                  <c:v>5.7502999999999999E-2</c:v>
                </c:pt>
                <c:pt idx="4">
                  <c:v>5.7502999999999999E-2</c:v>
                </c:pt>
                <c:pt idx="5">
                  <c:v>5.7502999999999999E-2</c:v>
                </c:pt>
                <c:pt idx="6">
                  <c:v>5.7431999999999997E-2</c:v>
                </c:pt>
                <c:pt idx="7">
                  <c:v>5.7262E-2</c:v>
                </c:pt>
                <c:pt idx="8">
                  <c:v>5.7089000000000001E-2</c:v>
                </c:pt>
                <c:pt idx="9">
                  <c:v>5.6912999999999998E-2</c:v>
                </c:pt>
                <c:pt idx="10">
                  <c:v>5.6735000000000001E-2</c:v>
                </c:pt>
                <c:pt idx="11">
                  <c:v>5.6552999999999999E-2</c:v>
                </c:pt>
                <c:pt idx="12">
                  <c:v>5.6500000000000002E-2</c:v>
                </c:pt>
                <c:pt idx="13">
                  <c:v>5.6500000000000002E-2</c:v>
                </c:pt>
                <c:pt idx="14">
                  <c:v>5.6500000000000002E-2</c:v>
                </c:pt>
              </c:numCache>
            </c:numRef>
          </c:xVal>
          <c:yVal>
            <c:numRef>
              <c:f>'прием ЭЦН'!$I$56:$I$70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6.6741999999999996E-2</c:v>
                </c:pt>
                <c:pt idx="6">
                  <c:v>7.6666999999999999E-2</c:v>
                </c:pt>
                <c:pt idx="7">
                  <c:v>0.1</c:v>
                </c:pt>
                <c:pt idx="8">
                  <c:v>0.123333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General</c:formatCode>
                <c:ptCount val="15"/>
                <c:pt idx="0">
                  <c:v>5.8743999999999998E-2</c:v>
                </c:pt>
                <c:pt idx="1">
                  <c:v>5.8743999999999998E-2</c:v>
                </c:pt>
                <c:pt idx="2">
                  <c:v>5.8743999999999998E-2</c:v>
                </c:pt>
                <c:pt idx="3">
                  <c:v>5.8743999999999998E-2</c:v>
                </c:pt>
                <c:pt idx="4">
                  <c:v>5.8743999999999998E-2</c:v>
                </c:pt>
                <c:pt idx="5">
                  <c:v>5.8743999999999998E-2</c:v>
                </c:pt>
                <c:pt idx="6">
                  <c:v>5.8743999999999998E-2</c:v>
                </c:pt>
                <c:pt idx="7">
                  <c:v>5.8742000000000003E-2</c:v>
                </c:pt>
                <c:pt idx="8">
                  <c:v>5.8574000000000001E-2</c:v>
                </c:pt>
                <c:pt idx="9">
                  <c:v>5.8402999999999997E-2</c:v>
                </c:pt>
                <c:pt idx="10">
                  <c:v>5.8229000000000003E-2</c:v>
                </c:pt>
                <c:pt idx="11">
                  <c:v>5.8050999999999998E-2</c:v>
                </c:pt>
                <c:pt idx="12">
                  <c:v>5.8000000000000003E-2</c:v>
                </c:pt>
                <c:pt idx="13">
                  <c:v>5.8000000000000003E-2</c:v>
                </c:pt>
                <c:pt idx="14">
                  <c:v>5.8000000000000003E-2</c:v>
                </c:pt>
              </c:numCache>
            </c:numRef>
          </c:xVal>
          <c:yVal>
            <c:numRef>
              <c:f>'прием ЭЦН'!$L$56:$L$70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9.9831000000000003E-2</c:v>
                </c:pt>
                <c:pt idx="7">
                  <c:v>0.1</c:v>
                </c:pt>
                <c:pt idx="8">
                  <c:v>0.123333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General</c:formatCode>
                <c:ptCount val="15"/>
                <c:pt idx="0">
                  <c:v>5.9990000000000002E-2</c:v>
                </c:pt>
                <c:pt idx="1">
                  <c:v>5.9990000000000002E-2</c:v>
                </c:pt>
                <c:pt idx="2">
                  <c:v>5.9990000000000002E-2</c:v>
                </c:pt>
                <c:pt idx="3">
                  <c:v>5.9990000000000002E-2</c:v>
                </c:pt>
                <c:pt idx="4">
                  <c:v>5.9990000000000002E-2</c:v>
                </c:pt>
                <c:pt idx="5">
                  <c:v>5.9990000000000002E-2</c:v>
                </c:pt>
                <c:pt idx="6">
                  <c:v>5.9990000000000002E-2</c:v>
                </c:pt>
                <c:pt idx="7">
                  <c:v>5.9990000000000002E-2</c:v>
                </c:pt>
                <c:pt idx="8">
                  <c:v>5.9990000000000002E-2</c:v>
                </c:pt>
                <c:pt idx="9">
                  <c:v>5.9893000000000002E-2</c:v>
                </c:pt>
                <c:pt idx="10">
                  <c:v>5.9722999999999998E-2</c:v>
                </c:pt>
                <c:pt idx="11">
                  <c:v>5.9549999999999999E-2</c:v>
                </c:pt>
                <c:pt idx="12">
                  <c:v>5.9499999999999997E-2</c:v>
                </c:pt>
                <c:pt idx="13">
                  <c:v>5.9499999999999997E-2</c:v>
                </c:pt>
                <c:pt idx="14">
                  <c:v>5.9499999999999997E-2</c:v>
                </c:pt>
              </c:numCache>
            </c:numRef>
          </c:xVal>
          <c:yVal>
            <c:numRef>
              <c:f>'прием ЭЦН'!$O$56:$O$70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0.133075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General</c:formatCode>
                <c:ptCount val="15"/>
                <c:pt idx="0">
                  <c:v>6.1242999999999999E-2</c:v>
                </c:pt>
                <c:pt idx="1">
                  <c:v>6.1242999999999999E-2</c:v>
                </c:pt>
                <c:pt idx="2">
                  <c:v>6.1242999999999999E-2</c:v>
                </c:pt>
                <c:pt idx="3">
                  <c:v>6.1242999999999999E-2</c:v>
                </c:pt>
                <c:pt idx="4">
                  <c:v>6.1242999999999999E-2</c:v>
                </c:pt>
                <c:pt idx="5">
                  <c:v>6.1242999999999999E-2</c:v>
                </c:pt>
                <c:pt idx="6">
                  <c:v>6.1242999999999999E-2</c:v>
                </c:pt>
                <c:pt idx="7">
                  <c:v>6.1242999999999999E-2</c:v>
                </c:pt>
                <c:pt idx="8">
                  <c:v>6.1242999999999999E-2</c:v>
                </c:pt>
                <c:pt idx="9">
                  <c:v>6.1242999999999999E-2</c:v>
                </c:pt>
                <c:pt idx="10">
                  <c:v>6.1217000000000001E-2</c:v>
                </c:pt>
                <c:pt idx="11">
                  <c:v>6.1048999999999999E-2</c:v>
                </c:pt>
                <c:pt idx="12">
                  <c:v>6.0999999999999999E-2</c:v>
                </c:pt>
                <c:pt idx="13">
                  <c:v>6.0999999999999999E-2</c:v>
                </c:pt>
                <c:pt idx="14">
                  <c:v>6.0999999999999999E-2</c:v>
                </c:pt>
              </c:numCache>
            </c:numRef>
          </c:xVal>
          <c:yVal>
            <c:numRef>
              <c:f>'прием ЭЦН'!$R$56:$R$70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0.166467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General</c:formatCode>
                <c:ptCount val="15"/>
                <c:pt idx="0">
                  <c:v>5.5305E-2</c:v>
                </c:pt>
                <c:pt idx="1">
                  <c:v>5.5305E-2</c:v>
                </c:pt>
                <c:pt idx="2">
                  <c:v>5.5305E-2</c:v>
                </c:pt>
                <c:pt idx="3">
                  <c:v>5.5305E-2</c:v>
                </c:pt>
                <c:pt idx="4">
                  <c:v>5.5305E-2</c:v>
                </c:pt>
                <c:pt idx="5">
                  <c:v>5.5305E-2</c:v>
                </c:pt>
                <c:pt idx="6">
                  <c:v>5.5305E-2</c:v>
                </c:pt>
                <c:pt idx="7">
                  <c:v>5.5305E-2</c:v>
                </c:pt>
                <c:pt idx="8">
                  <c:v>5.5301999999999997E-2</c:v>
                </c:pt>
                <c:pt idx="9">
                  <c:v>5.5252000000000002E-2</c:v>
                </c:pt>
                <c:pt idx="10">
                  <c:v>5.5202000000000001E-2</c:v>
                </c:pt>
                <c:pt idx="11">
                  <c:v>5.5152E-2</c:v>
                </c:pt>
                <c:pt idx="12">
                  <c:v>5.5101999999999998E-2</c:v>
                </c:pt>
                <c:pt idx="13">
                  <c:v>5.5051000000000003E-2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ЭЦН'!$U$56:$U$70</c:f>
              <c:numCache>
                <c:formatCode>General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8.1209999999999997E-3</c:v>
                </c:pt>
                <c:pt idx="8">
                  <c:v>8.4620000000000008E-3</c:v>
                </c:pt>
                <c:pt idx="9">
                  <c:v>1.5384999999999999E-2</c:v>
                </c:pt>
                <c:pt idx="10">
                  <c:v>2.2308000000000001E-2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General</c:formatCode>
                <c:ptCount val="15"/>
                <c:pt idx="0">
                  <c:v>5.5618000000000001E-2</c:v>
                </c:pt>
                <c:pt idx="1">
                  <c:v>5.5618000000000001E-2</c:v>
                </c:pt>
                <c:pt idx="2">
                  <c:v>5.5618000000000001E-2</c:v>
                </c:pt>
                <c:pt idx="3">
                  <c:v>5.5618000000000001E-2</c:v>
                </c:pt>
                <c:pt idx="4">
                  <c:v>5.5618000000000001E-2</c:v>
                </c:pt>
                <c:pt idx="5">
                  <c:v>5.5618000000000001E-2</c:v>
                </c:pt>
                <c:pt idx="6">
                  <c:v>5.5618000000000001E-2</c:v>
                </c:pt>
                <c:pt idx="7">
                  <c:v>5.5558999999999997E-2</c:v>
                </c:pt>
                <c:pt idx="8">
                  <c:v>5.5481000000000003E-2</c:v>
                </c:pt>
                <c:pt idx="9">
                  <c:v>5.5403000000000001E-2</c:v>
                </c:pt>
                <c:pt idx="10">
                  <c:v>5.5323999999999998E-2</c:v>
                </c:pt>
                <c:pt idx="11">
                  <c:v>5.5244000000000001E-2</c:v>
                </c:pt>
                <c:pt idx="12">
                  <c:v>5.5162999999999997E-2</c:v>
                </c:pt>
                <c:pt idx="13">
                  <c:v>5.5081999999999999E-2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ЭЦН'!$X$56:$X$70</c:f>
              <c:numCache>
                <c:formatCode>General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1.6466999999999999E-2</c:v>
                </c:pt>
                <c:pt idx="7">
                  <c:v>2.4615000000000001E-2</c:v>
                </c:pt>
                <c:pt idx="8">
                  <c:v>3.5385E-2</c:v>
                </c:pt>
                <c:pt idx="9">
                  <c:v>4.6154000000000001E-2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General</c:formatCode>
                <c:ptCount val="15"/>
                <c:pt idx="0">
                  <c:v>5.5939000000000003E-2</c:v>
                </c:pt>
                <c:pt idx="1">
                  <c:v>5.5939000000000003E-2</c:v>
                </c:pt>
                <c:pt idx="2">
                  <c:v>5.5939000000000003E-2</c:v>
                </c:pt>
                <c:pt idx="3">
                  <c:v>5.5939000000000003E-2</c:v>
                </c:pt>
                <c:pt idx="4">
                  <c:v>5.5939000000000003E-2</c:v>
                </c:pt>
                <c:pt idx="5">
                  <c:v>5.5939000000000003E-2</c:v>
                </c:pt>
                <c:pt idx="6">
                  <c:v>5.5881E-2</c:v>
                </c:pt>
                <c:pt idx="7">
                  <c:v>5.5774999999999998E-2</c:v>
                </c:pt>
                <c:pt idx="8">
                  <c:v>5.5668000000000002E-2</c:v>
                </c:pt>
                <c:pt idx="9">
                  <c:v>5.5559999999999998E-2</c:v>
                </c:pt>
                <c:pt idx="10">
                  <c:v>5.5451E-2</c:v>
                </c:pt>
                <c:pt idx="11">
                  <c:v>5.534E-2</c:v>
                </c:pt>
                <c:pt idx="12">
                  <c:v>5.5227999999999999E-2</c:v>
                </c:pt>
                <c:pt idx="13">
                  <c:v>5.5114000000000003E-2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ЭЦН'!$AA$56:$AA$70</c:f>
              <c:numCache>
                <c:formatCode>General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2.5035000000000002E-2</c:v>
                </c:pt>
                <c:pt idx="6">
                  <c:v>3.3077000000000002E-2</c:v>
                </c:pt>
                <c:pt idx="7">
                  <c:v>4.7691999999999998E-2</c:v>
                </c:pt>
                <c:pt idx="8">
                  <c:v>6.2308000000000002E-2</c:v>
                </c:pt>
                <c:pt idx="9">
                  <c:v>7.6923000000000005E-2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General</c:formatCode>
                <c:ptCount val="15"/>
                <c:pt idx="0">
                  <c:v>5.6267999999999999E-2</c:v>
                </c:pt>
                <c:pt idx="1">
                  <c:v>5.6267999999999999E-2</c:v>
                </c:pt>
                <c:pt idx="2">
                  <c:v>5.6267999999999999E-2</c:v>
                </c:pt>
                <c:pt idx="3">
                  <c:v>5.6267999999999999E-2</c:v>
                </c:pt>
                <c:pt idx="4">
                  <c:v>5.6267999999999999E-2</c:v>
                </c:pt>
                <c:pt idx="5">
                  <c:v>5.6267999999999999E-2</c:v>
                </c:pt>
                <c:pt idx="6">
                  <c:v>5.6134999999999997E-2</c:v>
                </c:pt>
                <c:pt idx="7">
                  <c:v>5.6000000000000001E-2</c:v>
                </c:pt>
                <c:pt idx="8">
                  <c:v>5.5863000000000003E-2</c:v>
                </c:pt>
                <c:pt idx="9">
                  <c:v>5.5724000000000003E-2</c:v>
                </c:pt>
                <c:pt idx="10">
                  <c:v>5.5584000000000001E-2</c:v>
                </c:pt>
                <c:pt idx="11">
                  <c:v>5.5440999999999997E-2</c:v>
                </c:pt>
                <c:pt idx="12">
                  <c:v>5.5295999999999998E-2</c:v>
                </c:pt>
                <c:pt idx="13">
                  <c:v>5.5148999999999997E-2</c:v>
                </c:pt>
                <c:pt idx="14">
                  <c:v>5.5E-2</c:v>
                </c:pt>
              </c:numCache>
            </c:numRef>
          </c:xVal>
          <c:yVal>
            <c:numRef>
              <c:f>'прием ЭЦН'!$AD$56:$AD$70</c:f>
              <c:numCache>
                <c:formatCode>General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3.3820999999999997E-2</c:v>
                </c:pt>
                <c:pt idx="5">
                  <c:v>3.3846000000000001E-2</c:v>
                </c:pt>
                <c:pt idx="6">
                  <c:v>5.2308E-2</c:v>
                </c:pt>
                <c:pt idx="7">
                  <c:v>7.0768999999999999E-2</c:v>
                </c:pt>
                <c:pt idx="8">
                  <c:v>8.9231000000000005E-2</c:v>
                </c:pt>
                <c:pt idx="9">
                  <c:v>0.107692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5.5E-2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поток'!$P$29:$P$40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поток'!$J$56:$J$70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-0.19999999999999996</c:v>
                </c:pt>
                <c:pt idx="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-0.19999999999999996</c:v>
                </c:pt>
                <c:pt idx="1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ПКВ'!$S$29:$S$40</c:f>
              <c:numCache>
                <c:formatCode>General</c:formatCode>
                <c:ptCount val="12"/>
                <c:pt idx="0">
                  <c:v>0.94538646381974645</c:v>
                </c:pt>
                <c:pt idx="1">
                  <c:v>0.85774835625500834</c:v>
                </c:pt>
                <c:pt idx="2">
                  <c:v>0.70003462421755391</c:v>
                </c:pt>
                <c:pt idx="3">
                  <c:v>0.53289425195922557</c:v>
                </c:pt>
                <c:pt idx="4">
                  <c:v>0.36115277070622925</c:v>
                </c:pt>
                <c:pt idx="5">
                  <c:v>0.1884381436794389</c:v>
                </c:pt>
                <c:pt idx="6">
                  <c:v>1.7433153135784221E-2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0.96386091664450824</c:v>
                </c:pt>
                <c:pt idx="1">
                  <c:v>0.92484935612656816</c:v>
                </c:pt>
                <c:pt idx="2">
                  <c:v>0.8714590602747212</c:v>
                </c:pt>
                <c:pt idx="3">
                  <c:v>0.82468645569994281</c:v>
                </c:pt>
                <c:pt idx="4">
                  <c:v>0.78276761558957419</c:v>
                </c:pt>
                <c:pt idx="5">
                  <c:v>0.74474432818876501</c:v>
                </c:pt>
                <c:pt idx="6">
                  <c:v>0.70999475106235321</c:v>
                </c:pt>
                <c:pt idx="7">
                  <c:v>0.67807456202809924</c:v>
                </c:pt>
                <c:pt idx="8">
                  <c:v>0.64864622004825045</c:v>
                </c:pt>
                <c:pt idx="9">
                  <c:v>0.64042472002836603</c:v>
                </c:pt>
                <c:pt idx="10">
                  <c:v>0.61584425739174486</c:v>
                </c:pt>
                <c:pt idx="11">
                  <c:v>0.59293071946820386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0.98907729276394929</c:v>
                </c:pt>
                <c:pt idx="1">
                  <c:v>0.97154967125100167</c:v>
                </c:pt>
                <c:pt idx="2">
                  <c:v>0.94000692484351078</c:v>
                </c:pt>
                <c:pt idx="3">
                  <c:v>0.90657885039184516</c:v>
                </c:pt>
                <c:pt idx="4">
                  <c:v>0.87223055414124584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General</c:formatCode>
                <c:ptCount val="15"/>
                <c:pt idx="0">
                  <c:v>5.8722000000000003E-2</c:v>
                </c:pt>
                <c:pt idx="1">
                  <c:v>5.8722000000000003E-2</c:v>
                </c:pt>
                <c:pt idx="2">
                  <c:v>5.8722000000000003E-2</c:v>
                </c:pt>
                <c:pt idx="3">
                  <c:v>5.8722000000000003E-2</c:v>
                </c:pt>
                <c:pt idx="4">
                  <c:v>5.8722000000000003E-2</c:v>
                </c:pt>
                <c:pt idx="5">
                  <c:v>5.8722000000000003E-2</c:v>
                </c:pt>
                <c:pt idx="6">
                  <c:v>5.8722000000000003E-2</c:v>
                </c:pt>
                <c:pt idx="7">
                  <c:v>5.8722000000000003E-2</c:v>
                </c:pt>
                <c:pt idx="8">
                  <c:v>5.8722000000000003E-2</c:v>
                </c:pt>
                <c:pt idx="9">
                  <c:v>5.8689999999999999E-2</c:v>
                </c:pt>
                <c:pt idx="10">
                  <c:v>5.8457000000000002E-2</c:v>
                </c:pt>
                <c:pt idx="11">
                  <c:v>5.8222999999999997E-2</c:v>
                </c:pt>
                <c:pt idx="12">
                  <c:v>5.7985000000000002E-2</c:v>
                </c:pt>
                <c:pt idx="13">
                  <c:v>5.7743000000000003E-2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ПКВ'!$I$56:$I$70</c:f>
              <c:numCache>
                <c:formatCode>General</c:formatCode>
                <c:ptCount val="15"/>
                <c:pt idx="0">
                  <c:v>-0.02</c:v>
                </c:pt>
                <c:pt idx="1">
                  <c:v>-1.7101999999999999E-2</c:v>
                </c:pt>
                <c:pt idx="2">
                  <c:v>-1.4205000000000001E-2</c:v>
                </c:pt>
                <c:pt idx="3">
                  <c:v>-1.1306999999999999E-2</c:v>
                </c:pt>
                <c:pt idx="4">
                  <c:v>-8.4100000000000008E-3</c:v>
                </c:pt>
                <c:pt idx="5">
                  <c:v>-5.5120000000000004E-3</c:v>
                </c:pt>
                <c:pt idx="6">
                  <c:v>-2.6150000000000001E-3</c:v>
                </c:pt>
                <c:pt idx="7">
                  <c:v>2.8299999999999999E-4</c:v>
                </c:pt>
                <c:pt idx="8">
                  <c:v>2.7780000000000001E-3</c:v>
                </c:pt>
                <c:pt idx="9">
                  <c:v>3.1809999999999998E-3</c:v>
                </c:pt>
                <c:pt idx="10">
                  <c:v>6.0780000000000001E-3</c:v>
                </c:pt>
                <c:pt idx="11">
                  <c:v>8.9759999999999996E-3</c:v>
                </c:pt>
                <c:pt idx="12">
                  <c:v>1.1873E-2</c:v>
                </c:pt>
                <c:pt idx="13">
                  <c:v>1.4770999999999999E-2</c:v>
                </c:pt>
                <c:pt idx="14">
                  <c:v>1.7669000000000001E-2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5.9943999999999997E-2</c:v>
                </c:pt>
                <c:pt idx="1">
                  <c:v>5.9943999999999997E-2</c:v>
                </c:pt>
                <c:pt idx="2">
                  <c:v>5.9943999999999997E-2</c:v>
                </c:pt>
                <c:pt idx="3">
                  <c:v>5.9943999999999997E-2</c:v>
                </c:pt>
                <c:pt idx="4">
                  <c:v>5.9943999999999997E-2</c:v>
                </c:pt>
                <c:pt idx="5">
                  <c:v>5.9943999999999997E-2</c:v>
                </c:pt>
                <c:pt idx="6">
                  <c:v>5.9943999999999997E-2</c:v>
                </c:pt>
                <c:pt idx="7">
                  <c:v>5.9943999999999997E-2</c:v>
                </c:pt>
                <c:pt idx="8">
                  <c:v>5.9622000000000001E-2</c:v>
                </c:pt>
                <c:pt idx="9">
                  <c:v>5.9284999999999997E-2</c:v>
                </c:pt>
                <c:pt idx="10">
                  <c:v>5.8941E-2</c:v>
                </c:pt>
                <c:pt idx="11">
                  <c:v>5.8590999999999997E-2</c:v>
                </c:pt>
                <c:pt idx="12">
                  <c:v>5.8234000000000001E-2</c:v>
                </c:pt>
                <c:pt idx="13">
                  <c:v>5.7870999999999999E-2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-1.5762000000000002E-2</c:v>
                </c:pt>
                <c:pt idx="2">
                  <c:v>-1.1523E-2</c:v>
                </c:pt>
                <c:pt idx="3">
                  <c:v>-7.2849999999999998E-3</c:v>
                </c:pt>
                <c:pt idx="4">
                  <c:v>-3.0469999999999998E-3</c:v>
                </c:pt>
                <c:pt idx="5">
                  <c:v>1.1919999999999999E-3</c:v>
                </c:pt>
                <c:pt idx="6">
                  <c:v>5.4299999999999999E-3</c:v>
                </c:pt>
                <c:pt idx="7">
                  <c:v>5.5560000000000002E-3</c:v>
                </c:pt>
                <c:pt idx="8">
                  <c:v>9.6679999999999995E-3</c:v>
                </c:pt>
                <c:pt idx="9">
                  <c:v>1.3906E-2</c:v>
                </c:pt>
                <c:pt idx="10">
                  <c:v>1.8145000000000001E-2</c:v>
                </c:pt>
                <c:pt idx="11">
                  <c:v>2.2383E-2</c:v>
                </c:pt>
                <c:pt idx="12">
                  <c:v>2.6620999999999999E-2</c:v>
                </c:pt>
                <c:pt idx="13">
                  <c:v>3.0859999999999999E-2</c:v>
                </c:pt>
                <c:pt idx="14">
                  <c:v>3.5097999999999997E-2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6.1166999999999999E-2</c:v>
                </c:pt>
                <c:pt idx="1">
                  <c:v>6.1166999999999999E-2</c:v>
                </c:pt>
                <c:pt idx="2">
                  <c:v>6.1166999999999999E-2</c:v>
                </c:pt>
                <c:pt idx="3">
                  <c:v>6.1166999999999999E-2</c:v>
                </c:pt>
                <c:pt idx="4">
                  <c:v>6.1166999999999999E-2</c:v>
                </c:pt>
                <c:pt idx="5">
                  <c:v>6.1166999999999999E-2</c:v>
                </c:pt>
                <c:pt idx="6">
                  <c:v>6.1166999999999999E-2</c:v>
                </c:pt>
                <c:pt idx="7">
                  <c:v>6.0781000000000002E-2</c:v>
                </c:pt>
                <c:pt idx="8">
                  <c:v>6.0345000000000003E-2</c:v>
                </c:pt>
                <c:pt idx="9">
                  <c:v>5.9900000000000002E-2</c:v>
                </c:pt>
                <c:pt idx="10">
                  <c:v>5.9443000000000003E-2</c:v>
                </c:pt>
                <c:pt idx="11">
                  <c:v>5.8975E-2</c:v>
                </c:pt>
                <c:pt idx="12">
                  <c:v>5.8495999999999999E-2</c:v>
                </c:pt>
                <c:pt idx="13">
                  <c:v>5.8004E-2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-1.4437E-2</c:v>
                </c:pt>
                <c:pt idx="2">
                  <c:v>-8.8749999999999992E-3</c:v>
                </c:pt>
                <c:pt idx="3">
                  <c:v>-3.3119999999999998E-3</c:v>
                </c:pt>
                <c:pt idx="4">
                  <c:v>2.2499999999999998E-3</c:v>
                </c:pt>
                <c:pt idx="5">
                  <c:v>7.8130000000000005E-3</c:v>
                </c:pt>
                <c:pt idx="6">
                  <c:v>8.3330000000000001E-3</c:v>
                </c:pt>
                <c:pt idx="7">
                  <c:v>1.3375E-2</c:v>
                </c:pt>
                <c:pt idx="8">
                  <c:v>1.8938E-2</c:v>
                </c:pt>
                <c:pt idx="9">
                  <c:v>2.4500000000000001E-2</c:v>
                </c:pt>
                <c:pt idx="10">
                  <c:v>3.0062999999999999E-2</c:v>
                </c:pt>
                <c:pt idx="11">
                  <c:v>3.5624999999999997E-2</c:v>
                </c:pt>
                <c:pt idx="12">
                  <c:v>4.1188000000000002E-2</c:v>
                </c:pt>
                <c:pt idx="13">
                  <c:v>4.675E-2</c:v>
                </c:pt>
                <c:pt idx="14">
                  <c:v>5.2312999999999998E-2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6.2389E-2</c:v>
                </c:pt>
                <c:pt idx="1">
                  <c:v>6.2389E-2</c:v>
                </c:pt>
                <c:pt idx="2">
                  <c:v>6.2389E-2</c:v>
                </c:pt>
                <c:pt idx="3">
                  <c:v>6.2389E-2</c:v>
                </c:pt>
                <c:pt idx="4">
                  <c:v>6.2389E-2</c:v>
                </c:pt>
                <c:pt idx="5">
                  <c:v>6.2389E-2</c:v>
                </c:pt>
                <c:pt idx="6">
                  <c:v>6.2146E-2</c:v>
                </c:pt>
                <c:pt idx="7">
                  <c:v>6.1623999999999998E-2</c:v>
                </c:pt>
                <c:pt idx="8">
                  <c:v>6.1086000000000001E-2</c:v>
                </c:pt>
                <c:pt idx="9">
                  <c:v>6.0532000000000002E-2</c:v>
                </c:pt>
                <c:pt idx="10">
                  <c:v>5.9963000000000002E-2</c:v>
                </c:pt>
                <c:pt idx="11">
                  <c:v>5.9374999999999997E-2</c:v>
                </c:pt>
                <c:pt idx="12">
                  <c:v>5.8770000000000003E-2</c:v>
                </c:pt>
                <c:pt idx="13">
                  <c:v>5.8145000000000002E-2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-1.3128000000000001E-2</c:v>
                </c:pt>
                <c:pt idx="2">
                  <c:v>-6.2560000000000003E-3</c:v>
                </c:pt>
                <c:pt idx="3">
                  <c:v>6.1600000000000001E-4</c:v>
                </c:pt>
                <c:pt idx="4">
                  <c:v>7.4879999999999999E-3</c:v>
                </c:pt>
                <c:pt idx="5">
                  <c:v>1.1110999999999999E-2</c:v>
                </c:pt>
                <c:pt idx="6">
                  <c:v>1.436E-2</c:v>
                </c:pt>
                <c:pt idx="7">
                  <c:v>2.1232000000000001E-2</c:v>
                </c:pt>
                <c:pt idx="8">
                  <c:v>2.8104000000000001E-2</c:v>
                </c:pt>
                <c:pt idx="9">
                  <c:v>3.4974999999999999E-2</c:v>
                </c:pt>
                <c:pt idx="10">
                  <c:v>4.1847000000000002E-2</c:v>
                </c:pt>
                <c:pt idx="11">
                  <c:v>4.8718999999999998E-2</c:v>
                </c:pt>
                <c:pt idx="12">
                  <c:v>5.5591000000000002E-2</c:v>
                </c:pt>
                <c:pt idx="13">
                  <c:v>6.2462999999999998E-2</c:v>
                </c:pt>
                <c:pt idx="14">
                  <c:v>6.9334999999999994E-2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6.3611000000000001E-2</c:v>
                </c:pt>
                <c:pt idx="1">
                  <c:v>6.3611000000000001E-2</c:v>
                </c:pt>
                <c:pt idx="2">
                  <c:v>6.3611000000000001E-2</c:v>
                </c:pt>
                <c:pt idx="3">
                  <c:v>6.3611000000000001E-2</c:v>
                </c:pt>
                <c:pt idx="4">
                  <c:v>6.3611000000000001E-2</c:v>
                </c:pt>
                <c:pt idx="5">
                  <c:v>6.3611000000000001E-2</c:v>
                </c:pt>
                <c:pt idx="6">
                  <c:v>6.3100000000000003E-2</c:v>
                </c:pt>
                <c:pt idx="7">
                  <c:v>6.2482999999999997E-2</c:v>
                </c:pt>
                <c:pt idx="8">
                  <c:v>6.1843000000000002E-2</c:v>
                </c:pt>
                <c:pt idx="9">
                  <c:v>6.1182E-2</c:v>
                </c:pt>
                <c:pt idx="10">
                  <c:v>6.0498999999999997E-2</c:v>
                </c:pt>
                <c:pt idx="11">
                  <c:v>5.9789000000000002E-2</c:v>
                </c:pt>
                <c:pt idx="12">
                  <c:v>5.9055000000000003E-2</c:v>
                </c:pt>
                <c:pt idx="13">
                  <c:v>5.8292999999999998E-2</c:v>
                </c:pt>
                <c:pt idx="14">
                  <c:v>5.7500000000000002E-2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-1.1832000000000001E-2</c:v>
                </c:pt>
                <c:pt idx="2">
                  <c:v>-3.6640000000000002E-3</c:v>
                </c:pt>
                <c:pt idx="3">
                  <c:v>4.5040000000000002E-3</c:v>
                </c:pt>
                <c:pt idx="4">
                  <c:v>1.2671999999999999E-2</c:v>
                </c:pt>
                <c:pt idx="5">
                  <c:v>1.3889E-2</c:v>
                </c:pt>
                <c:pt idx="6">
                  <c:v>2.0840000000000001E-2</c:v>
                </c:pt>
                <c:pt idx="7">
                  <c:v>2.9007999999999999E-2</c:v>
                </c:pt>
                <c:pt idx="8">
                  <c:v>3.7176000000000001E-2</c:v>
                </c:pt>
                <c:pt idx="9">
                  <c:v>4.5344000000000002E-2</c:v>
                </c:pt>
                <c:pt idx="10">
                  <c:v>5.3511999999999997E-2</c:v>
                </c:pt>
                <c:pt idx="11">
                  <c:v>6.1679999999999999E-2</c:v>
                </c:pt>
                <c:pt idx="12">
                  <c:v>6.9847999999999993E-2</c:v>
                </c:pt>
                <c:pt idx="13">
                  <c:v>7.8017000000000003E-2</c:v>
                </c:pt>
                <c:pt idx="14">
                  <c:v>8.6184999999999998E-2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6.4833000000000002E-2</c:v>
                </c:pt>
                <c:pt idx="1">
                  <c:v>6.4833000000000002E-2</c:v>
                </c:pt>
                <c:pt idx="2">
                  <c:v>6.4833000000000002E-2</c:v>
                </c:pt>
                <c:pt idx="3">
                  <c:v>6.4833000000000002E-2</c:v>
                </c:pt>
                <c:pt idx="4">
                  <c:v>6.4833000000000002E-2</c:v>
                </c:pt>
                <c:pt idx="5">
                  <c:v>6.4111000000000001E-2</c:v>
                </c:pt>
                <c:pt idx="6">
                  <c:v>6.3229999999999995E-2</c:v>
                </c:pt>
                <c:pt idx="7">
                  <c:v>6.2308000000000002E-2</c:v>
                </c:pt>
                <c:pt idx="8">
                  <c:v>6.1342000000000001E-2</c:v>
                </c:pt>
                <c:pt idx="9">
                  <c:v>6.0324000000000003E-2</c:v>
                </c:pt>
                <c:pt idx="10">
                  <c:v>5.9255000000000002E-2</c:v>
                </c:pt>
                <c:pt idx="11">
                  <c:v>5.8409000000000003E-2</c:v>
                </c:pt>
                <c:pt idx="12">
                  <c:v>5.8409000000000003E-2</c:v>
                </c:pt>
                <c:pt idx="13">
                  <c:v>5.8409000000000003E-2</c:v>
                </c:pt>
                <c:pt idx="14">
                  <c:v>5.8409000000000003E-2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1.6667000000000001E-2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9.3801999999999996E-2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6.6056000000000004E-2</c:v>
                </c:pt>
                <c:pt idx="1">
                  <c:v>6.6056000000000004E-2</c:v>
                </c:pt>
                <c:pt idx="2">
                  <c:v>6.6056000000000004E-2</c:v>
                </c:pt>
                <c:pt idx="3">
                  <c:v>6.6056000000000004E-2</c:v>
                </c:pt>
                <c:pt idx="4">
                  <c:v>6.6056000000000004E-2</c:v>
                </c:pt>
                <c:pt idx="5">
                  <c:v>6.5545999999999993E-2</c:v>
                </c:pt>
                <c:pt idx="6">
                  <c:v>6.4695000000000003E-2</c:v>
                </c:pt>
                <c:pt idx="7">
                  <c:v>6.3805000000000001E-2</c:v>
                </c:pt>
                <c:pt idx="8">
                  <c:v>6.2870999999999996E-2</c:v>
                </c:pt>
                <c:pt idx="9">
                  <c:v>6.2548000000000006E-2</c:v>
                </c:pt>
                <c:pt idx="10">
                  <c:v>6.2548000000000006E-2</c:v>
                </c:pt>
                <c:pt idx="11">
                  <c:v>6.2548000000000006E-2</c:v>
                </c:pt>
                <c:pt idx="12">
                  <c:v>6.2548000000000006E-2</c:v>
                </c:pt>
                <c:pt idx="13">
                  <c:v>6.2548000000000006E-2</c:v>
                </c:pt>
                <c:pt idx="14">
                  <c:v>6.2548000000000006E-2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1.9443999999999999E-2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6.5581E-2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6.7278000000000004E-2</c:v>
                </c:pt>
                <c:pt idx="1">
                  <c:v>6.7278000000000004E-2</c:v>
                </c:pt>
                <c:pt idx="2">
                  <c:v>6.7278000000000004E-2</c:v>
                </c:pt>
                <c:pt idx="3">
                  <c:v>6.7278000000000004E-2</c:v>
                </c:pt>
                <c:pt idx="4">
                  <c:v>6.7278000000000004E-2</c:v>
                </c:pt>
                <c:pt idx="5">
                  <c:v>6.6972000000000004E-2</c:v>
                </c:pt>
                <c:pt idx="6">
                  <c:v>6.6146999999999997E-2</c:v>
                </c:pt>
                <c:pt idx="7">
                  <c:v>6.5753000000000006E-2</c:v>
                </c:pt>
                <c:pt idx="8">
                  <c:v>6.5753000000000006E-2</c:v>
                </c:pt>
                <c:pt idx="9">
                  <c:v>6.5753000000000006E-2</c:v>
                </c:pt>
                <c:pt idx="10">
                  <c:v>6.5753000000000006E-2</c:v>
                </c:pt>
                <c:pt idx="11">
                  <c:v>6.5753000000000006E-2</c:v>
                </c:pt>
                <c:pt idx="12">
                  <c:v>6.5753000000000006E-2</c:v>
                </c:pt>
                <c:pt idx="13">
                  <c:v>6.5753000000000006E-2</c:v>
                </c:pt>
                <c:pt idx="14">
                  <c:v>6.5753000000000006E-2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2.2221999999999999E-2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4.3729999999999998E-2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ПКВ'!$H$100:$H$101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'прием ПКВ'!$I$100:$I$101</c:f>
              <c:numCache>
                <c:formatCode>General</c:formatCode>
                <c:ptCount val="2"/>
                <c:pt idx="0">
                  <c:v>-9.5000000000000001E-2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ПКВ'!$K$100:$K$101</c:f>
              <c:numCache>
                <c:formatCode>General</c:formatCode>
                <c:ptCount val="2"/>
                <c:pt idx="0">
                  <c:v>6.8500000000000005E-2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ПКВ'!$L$100:$L$101</c:f>
              <c:numCache>
                <c:formatCode>General</c:formatCode>
                <c:ptCount val="2"/>
                <c:pt idx="0">
                  <c:v>-9.5000000000000001E-2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ПКВ'!$E$100:$E$101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5.7500000000000002E-2</c:v>
                </c:pt>
              </c:numCache>
            </c:numRef>
          </c:xVal>
          <c:yVal>
            <c:numRef>
              <c:f>'прием ПКВ'!$F$100:$F$101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ПКВ'!$N$100:$N$101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ПКВ'!$O$100:$O$101</c:f>
              <c:numCache>
                <c:formatCode>General</c:formatCode>
                <c:ptCount val="2"/>
                <c:pt idx="0">
                  <c:v>0</c:v>
                </c:pt>
                <c:pt idx="1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ПКВ'!$Q$100:$Q$101</c:f>
              <c:numCache>
                <c:formatCode>General</c:formatCode>
                <c:ptCount val="2"/>
                <c:pt idx="0">
                  <c:v>5.7500000000000002E-2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ПКВ'!$R$100:$R$101</c:f>
              <c:numCache>
                <c:formatCode>General</c:formatCode>
                <c:ptCount val="2"/>
                <c:pt idx="0">
                  <c:v>0.1</c:v>
                </c:pt>
                <c:pt idx="1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  <c:min val="5.000000000000001E-2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ПКВ'!$D$29:$D$40</c:f>
              <c:numCache>
                <c:formatCode>General</c:formatCode>
                <c:ptCount val="12"/>
                <c:pt idx="0">
                  <c:v>0.98907729276394929</c:v>
                </c:pt>
                <c:pt idx="1">
                  <c:v>0.97154967125100167</c:v>
                </c:pt>
                <c:pt idx="2">
                  <c:v>0.94000692484351078</c:v>
                </c:pt>
                <c:pt idx="3">
                  <c:v>0.90657885039184516</c:v>
                </c:pt>
                <c:pt idx="4">
                  <c:v>0.87223055414124584</c:v>
                </c:pt>
                <c:pt idx="5">
                  <c:v>0.83768762873588776</c:v>
                </c:pt>
                <c:pt idx="6">
                  <c:v>0.80348663062715686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400A-AB84-E9BF3E52A34F}"/>
            </c:ext>
          </c:extLst>
        </c:ser>
        <c:ser>
          <c:idx val="1"/>
          <c:order val="1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0.98907729276394929</c:v>
                </c:pt>
                <c:pt idx="1">
                  <c:v>0.97154967125100167</c:v>
                </c:pt>
                <c:pt idx="2">
                  <c:v>0.94000692484351078</c:v>
                </c:pt>
                <c:pt idx="3">
                  <c:v>0.90657885039184516</c:v>
                </c:pt>
                <c:pt idx="4">
                  <c:v>0.87223055414124584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400A-AB84-E9BF3E52A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159022</xdr:colOff>
      <xdr:row>19</xdr:row>
      <xdr:rowOff>143563</xdr:rowOff>
    </xdr:from>
    <xdr:to>
      <xdr:col>13</xdr:col>
      <xdr:colOff>714120</xdr:colOff>
      <xdr:row>46</xdr:row>
      <xdr:rowOff>44825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297756</xdr:colOff>
      <xdr:row>27</xdr:row>
      <xdr:rowOff>126785</xdr:rowOff>
    </xdr:from>
    <xdr:to>
      <xdr:col>37</xdr:col>
      <xdr:colOff>28815</xdr:colOff>
      <xdr:row>44</xdr:row>
      <xdr:rowOff>54429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29</xdr:row>
      <xdr:rowOff>0</xdr:rowOff>
    </xdr:from>
    <xdr:to>
      <xdr:col>36</xdr:col>
      <xdr:colOff>218922</xdr:colOff>
      <xdr:row>55</xdr:row>
      <xdr:rowOff>91762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4397102-84B8-479C-AD20-651B98BC8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rho_mix_kgm3"/>
      <definedName name="feed_ST_liqgas_Nm"/>
      <definedName name="PVT_mu_gas_cP"/>
      <definedName name="PVT_rho_gas_kgm3"/>
      <definedName name="unf_ksep_mechanistic_Marquez_"/>
      <definedName name="unf_ksep_mechanistic_Marquez_build_bubble_tracks"/>
      <definedName name="unf_ksep_mechanistic_Marquez_pkv"/>
      <definedName name="unf_ksep_mechanistic_Marquez_reverse"/>
      <definedName name="unf_ksep_mechanistic_Marquez_reverse_build_bubble_tracks"/>
      <definedName name="unf_ksep_mechanistic_pkv_build_bubble_tracks"/>
      <definedName name="unf_ksep_natural_simplified_Marquez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D3:AE75"/>
  <sheetViews>
    <sheetView zoomScale="85" zoomScaleNormal="85" workbookViewId="0">
      <selection activeCell="I13" sqref="I13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125</v>
      </c>
      <c r="J6" t="s">
        <v>18</v>
      </c>
      <c r="K6">
        <f>dcas/1000</f>
        <v>0.125</v>
      </c>
      <c r="M6" t="s">
        <v>19</v>
      </c>
      <c r="N6" s="9" cm="1">
        <f t="array" ref="N6">[1]!feed_rho_liq_kgm3(p,t,feed_json)</f>
        <v>792.88975258157825</v>
      </c>
      <c r="O6" t="s">
        <v>28</v>
      </c>
    </row>
    <row r="7" spans="4:16" x14ac:dyDescent="0.25">
      <c r="D7" s="1" t="s">
        <v>1</v>
      </c>
      <c r="E7" s="1">
        <v>0.82</v>
      </c>
      <c r="H7" s="3" t="s">
        <v>25</v>
      </c>
      <c r="I7">
        <v>110</v>
      </c>
      <c r="J7" t="s">
        <v>18</v>
      </c>
      <c r="K7">
        <f>dintake/1000</f>
        <v>0.11</v>
      </c>
      <c r="M7" t="s">
        <v>20</v>
      </c>
      <c r="N7" s="9" cm="1">
        <f t="array" ref="N7">[1]!PVT_rho_gas_kgm3(p,t,PVT_json)</f>
        <v>10.23568107515738</v>
      </c>
      <c r="O7" t="s">
        <v>28</v>
      </c>
    </row>
    <row r="8" spans="4:16" x14ac:dyDescent="0.25">
      <c r="D8" s="1" t="s">
        <v>2</v>
      </c>
      <c r="E8" s="1">
        <v>1.1000000000000001</v>
      </c>
      <c r="H8" t="s">
        <v>45</v>
      </c>
      <c r="I8">
        <v>200</v>
      </c>
      <c r="J8" t="s">
        <v>35</v>
      </c>
      <c r="K8">
        <f>I8/1000</f>
        <v>0.2</v>
      </c>
      <c r="M8" t="s">
        <v>21</v>
      </c>
      <c r="N8" s="6" cm="1">
        <f t="array" ref="N8">[1]!feed_ST_liqgas_Nm(p,t,feed_json)*calibr_st</f>
        <v>2.8080022934137718E-2</v>
      </c>
      <c r="O8" t="s">
        <v>29</v>
      </c>
      <c r="P8">
        <f>Пов._Натяжение/1000</f>
        <v>2.8080022934137718E-5</v>
      </c>
    </row>
    <row r="9" spans="4:16" x14ac:dyDescent="0.25">
      <c r="D9" s="1" t="s">
        <v>3</v>
      </c>
      <c r="E9" s="1">
        <v>120</v>
      </c>
      <c r="H9" s="4" t="s">
        <v>26</v>
      </c>
      <c r="I9" s="4">
        <v>10</v>
      </c>
      <c r="M9" t="s">
        <v>22</v>
      </c>
      <c r="N9" s="7" cm="1">
        <f t="array" ref="N9">[1]!feed_q_liq_rc_m3day(p,t,feed_json)</f>
        <v>5.3445993848325068</v>
      </c>
    </row>
    <row r="10" spans="4:16" x14ac:dyDescent="0.25">
      <c r="D10" s="1" t="s">
        <v>4</v>
      </c>
      <c r="E10" s="1"/>
      <c r="H10" s="4" t="s">
        <v>27</v>
      </c>
      <c r="I10" s="4">
        <v>20</v>
      </c>
      <c r="M10" t="s">
        <v>23</v>
      </c>
      <c r="N10" s="7" cm="1">
        <f t="array" ref="N10">[1]!feed_q_gas_rc_m3day(p,t,feed_json)</f>
        <v>44.556694641395509</v>
      </c>
    </row>
    <row r="11" spans="4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ref="N11">[1]!feed_mu_liq_cP(p,t,feed_json)</f>
        <v>2.2689499679771123</v>
      </c>
    </row>
    <row r="12" spans="4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1.0156658328479343E-2</v>
      </c>
    </row>
    <row r="13" spans="4:16" x14ac:dyDescent="0.25">
      <c r="D13" s="1" t="s">
        <v>7</v>
      </c>
      <c r="E13" s="1">
        <v>0.3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{"gamma_gas":0.81,"gamma_oil":0.82,"gamma_wat":1.1,"rsb_m3m3":120,"muob_cP":0.3,"PVT_corr_set":1}</v>
      </c>
    </row>
    <row r="16" spans="4:16" x14ac:dyDescent="0.25">
      <c r="D16" s="1" t="s">
        <v>10</v>
      </c>
      <c r="E16" s="1">
        <v>5</v>
      </c>
    </row>
    <row r="17" spans="4:23" x14ac:dyDescent="0.25">
      <c r="D17" s="1" t="s">
        <v>11</v>
      </c>
      <c r="E17" s="1">
        <v>0</v>
      </c>
    </row>
    <row r="18" spans="4:23" x14ac:dyDescent="0.25">
      <c r="D18" s="1" t="s">
        <v>12</v>
      </c>
      <c r="E18" s="1">
        <v>120</v>
      </c>
    </row>
    <row r="19" spans="4:23" x14ac:dyDescent="0.25">
      <c r="D19" s="1" t="s">
        <v>13</v>
      </c>
      <c r="E19" s="1">
        <v>0</v>
      </c>
    </row>
    <row r="20" spans="4:23" x14ac:dyDescent="0.25">
      <c r="D20" s="1" t="s">
        <v>14</v>
      </c>
      <c r="E20" s="2" t="str">
        <f>[1]!encode_feed(E16,E17,E18,E19,E15)</f>
        <v>{"gamma_gas":0.81,"gamma_oil":0.82,"gamma_wat":1.1,"rsb_m3m3":120,"muob_cP":0.3,"PVT_corr_set":1,"q_liq_sm3day":5,"fw_perc":0,"rp_m3m3":120}</v>
      </c>
    </row>
    <row r="23" spans="4:23" x14ac:dyDescent="0.25">
      <c r="I23" s="5"/>
    </row>
    <row r="26" spans="4:23" x14ac:dyDescent="0.25">
      <c r="E26" t="s">
        <v>46</v>
      </c>
    </row>
    <row r="28" spans="4:23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3" x14ac:dyDescent="0.25">
      <c r="F29">
        <v>2</v>
      </c>
      <c r="G29" t="str">
        <f>[1]!encode_feed(F29,$E$17,$E$18,$E$19,$E$15)</f>
        <v>{"gamma_gas":0.81,"gamma_oil":0.82,"gamma_wat":1.1,"rsb_m3m3":120,"muob_cP":0.3,"PVT_corr_set":1,"q_liq_sm3day":2,"fw_perc":0,"rp_m3m3":120}</v>
      </c>
      <c r="H29" s="9" cm="1">
        <f t="array" ref="H29">[1]!feed_rho_liq_kgm3(p,t,G29)</f>
        <v>792.88975258157825</v>
      </c>
      <c r="I29" s="9" cm="1">
        <f t="array" ref="I29">[1]!PVT_rho_gas_kgm3(p,t,PVT_json)</f>
        <v>10.23568107515738</v>
      </c>
      <c r="J29" s="6" cm="1">
        <f t="array" ref="J29">[1]!feed_ST_liqgas_Nm(p,t,G29)</f>
        <v>2.8080022934137718E-2</v>
      </c>
      <c r="K29" s="8" cm="1">
        <f t="array" ref="K29">[1]!feed_q_liq_rc_m3day(p,t,G29)</f>
        <v>2.1378397539330027</v>
      </c>
      <c r="L29" s="8" cm="1">
        <f t="array" ref="L29">[1]!feed_q_gas_rc_m3day(p,t,G29)</f>
        <v>17.822677856558201</v>
      </c>
      <c r="M29" s="7" cm="1">
        <f t="array" ref="M29">[1]!feed_mu_liq_cP(p,t,G29)</f>
        <v>2.2689499679771123</v>
      </c>
      <c r="N29" s="7" cm="1">
        <f t="array" ref="N29">[1]!PVT_mu_gas_cP(p,t,G29)</f>
        <v>1.0156658328479343E-2</v>
      </c>
      <c r="O29" s="7" cm="1">
        <f t="array" ref="O29">[1]!unf_ksep_natural_simplified_Marquez(dintake_m,dcas_m,K29,L29,J29,H29,I29,1)</f>
        <v>0.95746915872688398</v>
      </c>
      <c r="P29" s="7" cm="1">
        <f t="array" ref="P29">[1]!unf_ksep_mechanistic_Marquez_(dintake_m,dcas_m,K29,L29,J29,H29,I29,M29,N29,1,hint,calibr_li,calibr_st)</f>
        <v>0.91934516881097827</v>
      </c>
      <c r="R29">
        <f t="array" ref="R29:W29">[1]!unf_ksep_mechanistic_Marquez_(dintake_m,dcas_m,K29,L29,J29,H29,I29,M29,N29,0,hint,calibr_li,calibr_st)</f>
        <v>0.91934516881097827</v>
      </c>
      <c r="S29">
        <v>0</v>
      </c>
      <c r="T29">
        <v>0.20820641528221401</v>
      </c>
      <c r="U29">
        <v>8.9373676593408682E-3</v>
      </c>
      <c r="V29">
        <v>7.4508776621358394E-2</v>
      </c>
      <c r="W29">
        <v>1.2777521367827807E-3</v>
      </c>
    </row>
    <row r="30" spans="4:23" x14ac:dyDescent="0.25">
      <c r="F30">
        <v>10</v>
      </c>
      <c r="G30" t="str">
        <f>[1]!encode_feed(F30,$E$17,$E$18,$E$19,$E$15)</f>
        <v>{"gamma_gas":0.81,"gamma_oil":0.82,"gamma_wat":1.1,"rsb_m3m3":120,"muob_cP":0.3,"PVT_corr_set":1,"q_liq_sm3day":10,"fw_perc":0,"rp_m3m3":120}</v>
      </c>
      <c r="H30" s="9" cm="1">
        <f t="array" ref="H30">[1]!feed_rho_liq_kgm3(p,t,G30)</f>
        <v>792.88975258157825</v>
      </c>
      <c r="I30" s="9" cm="1">
        <f t="array" ref="I30">[1]!PVT_rho_gas_kgm3(p,t,PVT_json)</f>
        <v>10.23568107515738</v>
      </c>
      <c r="J30" s="6" cm="1">
        <f t="array" ref="J30">[1]!feed_ST_liqgas_Nm(p,t,G30)</f>
        <v>2.8080022934137718E-2</v>
      </c>
      <c r="K30" s="8" cm="1">
        <f t="array" ref="K30">[1]!feed_q_liq_rc_m3day(p,t,G30)</f>
        <v>10.689198769665014</v>
      </c>
      <c r="L30" s="8" cm="1">
        <f t="array" ref="L30">[1]!feed_q_gas_rc_m3day(p,t,G30)</f>
        <v>89.113389282791019</v>
      </c>
      <c r="M30" s="7" cm="1">
        <f t="array" ref="M30">[1]!feed_mu_liq_cP(p,t,G30)</f>
        <v>2.2689499679771123</v>
      </c>
      <c r="N30" s="7" cm="1">
        <f t="array" ref="N30">[1]!PVT_mu_gas_cP(p,t,G30)</f>
        <v>1.0156658328479343E-2</v>
      </c>
      <c r="O30" s="7" cm="1">
        <f t="array" ref="O30">[1]!unf_ksep_natural_simplified_Marquez(dintake_m,dcas_m,K30,L30,J30,H30,I30,1)</f>
        <v>0.8461528085567096</v>
      </c>
      <c r="P30" s="7" cm="1">
        <f t="array" ref="P30">[1]!unf_ksep_mechanistic_Marquez_(dintake_m,dcas_m,K30,L30,J30,H30,I30,M30,N30,1,hint,calibr_li,calibr_st)</f>
        <v>0.75440243294626019</v>
      </c>
      <c r="R30">
        <f t="array" ref="R30:W30">[1]!unf_ksep_mechanistic_Marquez_(dintake_m,dcas_m,K30,L30,J30,H30,I30,M30,N30,0,hint,calibr_li,calibr_st)</f>
        <v>0.75440243294626019</v>
      </c>
      <c r="S30">
        <v>3</v>
      </c>
      <c r="T30">
        <v>0.19187650035811876</v>
      </c>
      <c r="U30">
        <v>4.4686838296704341E-2</v>
      </c>
      <c r="V30">
        <v>0.37254388310679204</v>
      </c>
      <c r="W30">
        <v>1.4872761855133393E-3</v>
      </c>
    </row>
    <row r="31" spans="4:23" x14ac:dyDescent="0.25">
      <c r="F31">
        <v>30</v>
      </c>
      <c r="G31" t="str">
        <f>[1]!encode_feed(F31,$E$17,$E$18,$E$19,$E$15)</f>
        <v>{"gamma_gas":0.81,"gamma_oil":0.82,"gamma_wat":1.1,"rsb_m3m3":120,"muob_cP":0.3,"PVT_corr_set":1,"q_liq_sm3day":30,"fw_perc":0,"rp_m3m3":120}</v>
      </c>
      <c r="H31" s="9" cm="1">
        <f t="array" ref="H31">[1]!feed_rho_liq_kgm3(p,t,G31)</f>
        <v>792.88975258157825</v>
      </c>
      <c r="I31" s="9" cm="1">
        <f t="array" ref="I31">[1]!PVT_rho_gas_kgm3(p,t,PVT_json)</f>
        <v>10.23568107515738</v>
      </c>
      <c r="J31" s="6" cm="1">
        <f t="array" ref="J31">[1]!feed_ST_liqgas_Nm(p,t,G31)</f>
        <v>2.8080022934137718E-2</v>
      </c>
      <c r="K31" s="8" cm="1">
        <f t="array" ref="K31">[1]!feed_q_liq_rc_m3day(p,t,G31)</f>
        <v>32.067596308995043</v>
      </c>
      <c r="L31" s="8" cm="1">
        <f t="array" ref="L31">[1]!feed_q_gas_rc_m3day(p,t,G31)</f>
        <v>267.34016784837308</v>
      </c>
      <c r="M31" s="7" cm="1">
        <f t="array" ref="M31">[1]!feed_mu_liq_cP(p,t,G31)</f>
        <v>2.2689499679771123</v>
      </c>
      <c r="N31" s="7" cm="1">
        <f t="array" ref="N31">[1]!PVT_mu_gas_cP(p,t,G31)</f>
        <v>1.0156658328479343E-2</v>
      </c>
      <c r="O31" s="7" cm="1">
        <f t="array" ref="O31">[1]!unf_ksep_natural_simplified_Marquez(dintake_m,dcas_m,K31,L31,J31,H31,I31,1)</f>
        <v>0.67854045261413443</v>
      </c>
      <c r="P31" s="7" cm="1">
        <f t="array" ref="P31">[1]!unf_ksep_mechanistic_Marquez_(dintake_m,dcas_m,K31,L31,J31,H31,I31,M31,N31,1,hint,calibr_li,calibr_st)</f>
        <v>0.59958401429428876</v>
      </c>
      <c r="R31">
        <f t="array" ref="R31:W31">[1]!unf_ksep_mechanistic_Marquez_(dintake_m,dcas_m,K31,L31,J31,H31,I31,M31,N31,0,hint,calibr_li,calibr_st)</f>
        <v>0.59958401429428876</v>
      </c>
      <c r="S31">
        <v>1</v>
      </c>
      <c r="T31">
        <v>0.20820641528221401</v>
      </c>
      <c r="U31">
        <v>0.13406051489011303</v>
      </c>
      <c r="V31">
        <v>1.1176316493203762</v>
      </c>
      <c r="W31">
        <v>1.8164942036898609E-3</v>
      </c>
    </row>
    <row r="32" spans="4:23" x14ac:dyDescent="0.25">
      <c r="F32">
        <v>50</v>
      </c>
      <c r="G32" t="str">
        <f>[1]!encode_feed(F32,$E$17,$E$18,$E$19,$E$15)</f>
        <v>{"gamma_gas":0.81,"gamma_oil":0.82,"gamma_wat":1.1,"rsb_m3m3":120,"muob_cP":0.3,"PVT_corr_set":1,"q_liq_sm3day":50,"fw_perc":0,"rp_m3m3":120}</v>
      </c>
      <c r="H32" s="9" cm="1">
        <f t="array" ref="H32">[1]!feed_rho_liq_kgm3(p,t,G32)</f>
        <v>792.88975258157825</v>
      </c>
      <c r="I32" s="9" cm="1">
        <f t="array" ref="I32">[1]!PVT_rho_gas_kgm3(p,t,PVT_json)</f>
        <v>10.23568107515738</v>
      </c>
      <c r="J32" s="6" cm="1">
        <f t="array" ref="J32">[1]!feed_ST_liqgas_Nm(p,t,G32)</f>
        <v>2.8080022934137718E-2</v>
      </c>
      <c r="K32" s="8" cm="1">
        <f t="array" ref="K32">[1]!feed_q_liq_rc_m3day(p,t,G32)</f>
        <v>53.445993848325067</v>
      </c>
      <c r="L32" s="8" cm="1">
        <f t="array" ref="L32">[1]!feed_q_gas_rc_m3day(p,t,G32)</f>
        <v>445.56694641395512</v>
      </c>
      <c r="M32" s="7" cm="1">
        <f t="array" ref="M32">[1]!feed_mu_liq_cP(p,t,G32)</f>
        <v>2.2689499679771123</v>
      </c>
      <c r="N32" s="7" cm="1">
        <f t="array" ref="N32">[1]!PVT_mu_gas_cP(p,t,G32)</f>
        <v>1.0156658328479343E-2</v>
      </c>
      <c r="O32" s="7" cm="1">
        <f t="array" ref="O32">[1]!unf_ksep_natural_simplified_Marquez(dintake_m,dcas_m,K32,L32,J32,H32,I32,1)</f>
        <v>0.55875978958328187</v>
      </c>
      <c r="P32" s="7" cm="1">
        <f t="array" ref="P32">[1]!unf_ksep_mechanistic_Marquez_(dintake_m,dcas_m,K32,L32,J32,H32,I32,M32,N32,1,hint,calibr_li,calibr_st)</f>
        <v>0.49876435709427819</v>
      </c>
      <c r="R32">
        <f t="array" ref="R32:W32">[1]!unf_ksep_mechanistic_Marquez_(dintake_m,dcas_m,K32,L32,J32,H32,I32,M32,N32,0,hint,calibr_li,calibr_st)</f>
        <v>0.49876435709427819</v>
      </c>
      <c r="S32">
        <v>1</v>
      </c>
      <c r="T32">
        <v>0.20820641528221401</v>
      </c>
      <c r="U32">
        <v>0.2234341914835217</v>
      </c>
      <c r="V32">
        <v>1.8627194155339601</v>
      </c>
      <c r="W32">
        <v>1.9292570418218765E-3</v>
      </c>
    </row>
    <row r="33" spans="5:23" x14ac:dyDescent="0.25">
      <c r="F33">
        <v>70</v>
      </c>
      <c r="G33" t="str">
        <f>[1]!encode_feed(F33,$E$17,$E$18,$E$19,$E$15)</f>
        <v>{"gamma_gas":0.81,"gamma_oil":0.82,"gamma_wat":1.1,"rsb_m3m3":120,"muob_cP":0.3,"PVT_corr_set":1,"q_liq_sm3day":70,"fw_perc":0,"rp_m3m3":120}</v>
      </c>
      <c r="H33" s="9" cm="1">
        <f t="array" ref="H33">[1]!feed_rho_liq_kgm3(p,t,G33)</f>
        <v>792.88975258157825</v>
      </c>
      <c r="I33" s="9" cm="1">
        <f t="array" ref="I33">[1]!PVT_rho_gas_kgm3(p,t,PVT_json)</f>
        <v>10.23568107515738</v>
      </c>
      <c r="J33" s="6" cm="1">
        <f t="array" ref="J33">[1]!feed_ST_liqgas_Nm(p,t,G33)</f>
        <v>2.8080022934137718E-2</v>
      </c>
      <c r="K33" s="8" cm="1">
        <f t="array" ref="K33">[1]!feed_q_liq_rc_m3day(p,t,G33)</f>
        <v>74.824391387655098</v>
      </c>
      <c r="L33" s="8" cm="1">
        <f t="array" ref="L33">[1]!feed_q_gas_rc_m3day(p,t,G33)</f>
        <v>623.79372497953716</v>
      </c>
      <c r="M33" s="7" cm="1">
        <f t="array" ref="M33">[1]!feed_mu_liq_cP(p,t,G33)</f>
        <v>2.2689499679771123</v>
      </c>
      <c r="N33" s="7" cm="1">
        <f t="array" ref="N33">[1]!PVT_mu_gas_cP(p,t,G33)</f>
        <v>1.0156658328479343E-2</v>
      </c>
      <c r="O33" s="7" cm="1">
        <f t="array" ref="O33">[1]!unf_ksep_natural_simplified_Marquez(dintake_m,dcas_m,K33,L33,J33,H33,I33,1)</f>
        <v>0.47385093429418235</v>
      </c>
      <c r="P33" s="7" cm="1">
        <f t="array" ref="P33">[1]!unf_ksep_mechanistic_Marquez_(dintake_m,dcas_m,K33,L33,J33,H33,I33,M33,N33,1,hint,calibr_li,calibr_st)</f>
        <v>0.42353093518346135</v>
      </c>
      <c r="R33">
        <f t="array" ref="R33:W33">[1]!unf_ksep_mechanistic_Marquez_(dintake_m,dcas_m,K33,L33,J33,H33,I33,M33,N33,0,hint,calibr_li,calibr_st)</f>
        <v>0.42353093518346135</v>
      </c>
      <c r="S33">
        <v>1</v>
      </c>
      <c r="T33">
        <v>0.20820641528221401</v>
      </c>
      <c r="U33">
        <v>0.3128078680769304</v>
      </c>
      <c r="V33">
        <v>2.6078071817475443</v>
      </c>
      <c r="W33">
        <v>1.9821446929982121E-3</v>
      </c>
    </row>
    <row r="34" spans="5:23" x14ac:dyDescent="0.25">
      <c r="F34">
        <v>90</v>
      </c>
      <c r="G34" t="str">
        <f>[1]!encode_feed(F34,$E$17,$E$18,$E$19,$E$15)</f>
        <v>{"gamma_gas":0.81,"gamma_oil":0.82,"gamma_wat":1.1,"rsb_m3m3":120,"muob_cP":0.3,"PVT_corr_set":1,"q_liq_sm3day":90,"fw_perc":0,"rp_m3m3":120}</v>
      </c>
      <c r="H34" s="9" cm="1">
        <f t="array" ref="H34">[1]!feed_rho_liq_kgm3(p,t,G34)</f>
        <v>792.88975258157825</v>
      </c>
      <c r="I34" s="9" cm="1">
        <f t="array" ref="I34">[1]!PVT_rho_gas_kgm3(p,t,PVT_json)</f>
        <v>10.23568107515738</v>
      </c>
      <c r="J34" s="6" cm="1">
        <f t="array" ref="J34">[1]!feed_ST_liqgas_Nm(p,t,G34)</f>
        <v>2.8080022934137718E-2</v>
      </c>
      <c r="K34" s="8" cm="1">
        <f t="array" ref="K34">[1]!feed_q_liq_rc_m3day(p,t,G34)</f>
        <v>96.202788926985122</v>
      </c>
      <c r="L34" s="8" cm="1">
        <f t="array" ref="L34">[1]!feed_q_gas_rc_m3day(p,t,G34)</f>
        <v>802.02050354511925</v>
      </c>
      <c r="M34" s="7" cm="1">
        <f t="array" ref="M34">[1]!feed_mu_liq_cP(p,t,G34)</f>
        <v>2.2689499679771123</v>
      </c>
      <c r="N34" s="7" cm="1">
        <f t="array" ref="N34">[1]!PVT_mu_gas_cP(p,t,G34)</f>
        <v>1.0156658328479343E-2</v>
      </c>
      <c r="O34" s="7" cm="1">
        <f t="array" ref="O34">[1]!unf_ksep_natural_simplified_Marquez(dintake_m,dcas_m,K34,L34,J34,H34,I34,1)</f>
        <v>0.41306426202643332</v>
      </c>
      <c r="P34" s="7" cm="1">
        <f t="array" ref="P34">[1]!unf_ksep_mechanistic_Marquez_(dintake_m,dcas_m,K34,L34,J34,H34,I34,M34,N34,1,hint,calibr_li,calibr_st)</f>
        <v>0.36594471320052641</v>
      </c>
      <c r="R34">
        <f t="array" ref="R34:W34">[1]!unf_ksep_mechanistic_Marquez_(dintake_m,dcas_m,K34,L34,J34,H34,I34,M34,N34,0,hint,calibr_li,calibr_st)</f>
        <v>0.36594471320052641</v>
      </c>
      <c r="S34">
        <v>1</v>
      </c>
      <c r="T34">
        <v>0.20820641528221401</v>
      </c>
      <c r="U34">
        <v>0.40218154467033906</v>
      </c>
      <c r="V34">
        <v>3.3528949479611283</v>
      </c>
      <c r="W34">
        <v>2.0127996571579375E-3</v>
      </c>
    </row>
    <row r="35" spans="5:23" x14ac:dyDescent="0.25">
      <c r="F35">
        <v>110</v>
      </c>
      <c r="G35" t="str">
        <f>[1]!encode_feed(F35,$E$17,$E$18,$E$19,$E$15)</f>
        <v>{"gamma_gas":0.81,"gamma_oil":0.82,"gamma_wat":1.1,"rsb_m3m3":120,"muob_cP":0.3,"PVT_corr_set":1,"q_liq_sm3day":110,"fw_perc":0,"rp_m3m3":120}</v>
      </c>
      <c r="H35" s="9" cm="1">
        <f t="array" ref="H35">[1]!feed_rho_liq_kgm3(p,t,G35)</f>
        <v>792.88975258157825</v>
      </c>
      <c r="I35" s="9" cm="1">
        <f t="array" ref="I35">[1]!PVT_rho_gas_kgm3(p,t,PVT_json)</f>
        <v>10.23568107515738</v>
      </c>
      <c r="J35" s="6" cm="1">
        <f t="array" ref="J35">[1]!feed_ST_liqgas_Nm(p,t,G35)</f>
        <v>2.8080022934137718E-2</v>
      </c>
      <c r="K35" s="8" cm="1">
        <f t="array" ref="K35">[1]!feed_q_liq_rc_m3day(p,t,G35)</f>
        <v>117.58118646631515</v>
      </c>
      <c r="L35" s="8" cm="1">
        <f t="array" ref="L35">[1]!feed_q_gas_rc_m3day(p,t,G35)</f>
        <v>980.24728211070124</v>
      </c>
      <c r="M35" s="7" cm="1">
        <f t="array" ref="M35">[1]!feed_mu_liq_cP(p,t,G35)</f>
        <v>2.2689499679771123</v>
      </c>
      <c r="N35" s="7" cm="1">
        <f t="array" ref="N35">[1]!PVT_mu_gas_cP(p,t,G35)</f>
        <v>1.0156658328479343E-2</v>
      </c>
      <c r="O35" s="7" cm="1">
        <f t="array" ref="O35">[1]!unf_ksep_natural_simplified_Marquez(dintake_m,dcas_m,K35,L35,J35,H35,I35,1)</f>
        <v>0.36966249580356836</v>
      </c>
      <c r="P35" s="7" cm="1">
        <f t="array" ref="P35">[1]!unf_ksep_mechanistic_Marquez_(dintake_m,dcas_m,K35,L35,J35,H35,I35,M35,N35,1,hint,calibr_li,calibr_st)</f>
        <v>0.3212850758589802</v>
      </c>
      <c r="R35">
        <f t="array" ref="R35:W35">[1]!unf_ksep_mechanistic_Marquez_(dintake_m,dcas_m,K35,L35,J35,H35,I35,M35,N35,0,hint,calibr_li,calibr_st)</f>
        <v>0.3212850758589802</v>
      </c>
      <c r="S35">
        <v>1</v>
      </c>
      <c r="T35">
        <v>0.20820641528221401</v>
      </c>
      <c r="U35">
        <v>0.49155522126374773</v>
      </c>
      <c r="V35">
        <v>4.0979827141747123</v>
      </c>
      <c r="W35">
        <v>2.0328059575268633E-3</v>
      </c>
    </row>
    <row r="36" spans="5:23" x14ac:dyDescent="0.25">
      <c r="F36">
        <v>130</v>
      </c>
      <c r="G36" t="str">
        <f>[1]!encode_feed(F36,$E$17,$E$18,$E$19,$E$15)</f>
        <v>{"gamma_gas":0.81,"gamma_oil":0.82,"gamma_wat":1.1,"rsb_m3m3":120,"muob_cP":0.3,"PVT_corr_set":1,"q_liq_sm3day":130,"fw_perc":0,"rp_m3m3":120}</v>
      </c>
      <c r="H36" s="9" cm="1">
        <f t="array" ref="H36">[1]!feed_rho_liq_kgm3(p,t,G36)</f>
        <v>792.88975258157825</v>
      </c>
      <c r="I36" s="9" cm="1">
        <f t="array" ref="I36">[1]!PVT_rho_gas_kgm3(p,t,PVT_json)</f>
        <v>10.23568107515738</v>
      </c>
      <c r="J36" s="6" cm="1">
        <f t="array" ref="J36">[1]!feed_ST_liqgas_Nm(p,t,G36)</f>
        <v>2.8080022934137718E-2</v>
      </c>
      <c r="K36" s="8" cm="1">
        <f t="array" ref="K36">[1]!feed_q_liq_rc_m3day(p,t,G36)</f>
        <v>138.95958400564518</v>
      </c>
      <c r="L36" s="8" cm="1">
        <f t="array" ref="L36">[1]!feed_q_gas_rc_m3day(p,t,G36)</f>
        <v>1158.4740606762832</v>
      </c>
      <c r="M36" s="7" cm="1">
        <f t="array" ref="M36">[1]!feed_mu_liq_cP(p,t,G36)</f>
        <v>2.2689499679771123</v>
      </c>
      <c r="N36" s="7" cm="1">
        <f t="array" ref="N36">[1]!PVT_mu_gas_cP(p,t,G36)</f>
        <v>1.0156658328479343E-2</v>
      </c>
      <c r="O36" s="7" cm="1">
        <f t="array" ref="O36">[1]!unf_ksep_natural_simplified_Marquez(dintake_m,dcas_m,K36,L36,J36,H36,I36,1)</f>
        <v>0.32599194985572666</v>
      </c>
      <c r="P36" s="7" cm="1">
        <f t="array" ref="P36">[1]!unf_ksep_mechanistic_Marquez_(dintake_m,dcas_m,K36,L36,J36,H36,I36,M36,N36,1,hint,calibr_li,calibr_st)</f>
        <v>0.28481602886283514</v>
      </c>
      <c r="R36">
        <f t="array" ref="R36:W36">[1]!unf_ksep_mechanistic_Marquez_(dintake_m,dcas_m,K36,L36,J36,H36,I36,M36,N36,0,hint,calibr_li,calibr_st)</f>
        <v>0.28481602886283514</v>
      </c>
      <c r="S36">
        <v>2</v>
      </c>
      <c r="T36">
        <v>0.19187650035811876</v>
      </c>
      <c r="U36">
        <v>0.5809288978571564</v>
      </c>
      <c r="V36">
        <v>4.8430704803882962</v>
      </c>
      <c r="W36">
        <v>2.0468910636146655E-3</v>
      </c>
    </row>
    <row r="37" spans="5:23" x14ac:dyDescent="0.25">
      <c r="F37">
        <v>150</v>
      </c>
      <c r="G37" t="str">
        <f>[1]!encode_feed(F37,$E$17,$E$18,$E$19,$E$15)</f>
        <v>{"gamma_gas":0.81,"gamma_oil":0.82,"gamma_wat":1.1,"rsb_m3m3":120,"muob_cP":0.3,"PVT_corr_set":1,"q_liq_sm3day":150,"fw_perc":0,"rp_m3m3":120}</v>
      </c>
      <c r="H37" s="9" cm="1">
        <f t="array" ref="H37">[1]!feed_rho_liq_kgm3(p,t,G37)</f>
        <v>792.88975258157825</v>
      </c>
      <c r="I37" s="9" cm="1">
        <f t="array" ref="I37">[1]!PVT_rho_gas_kgm3(p,t,PVT_json)</f>
        <v>10.23568107515738</v>
      </c>
      <c r="J37" s="6" cm="1">
        <f t="array" ref="J37">[1]!feed_ST_liqgas_Nm(p,t,G37)</f>
        <v>2.8080022934137718E-2</v>
      </c>
      <c r="K37" s="8" cm="1">
        <f t="array" ref="K37">[1]!feed_q_liq_rc_m3day(p,t,G37)</f>
        <v>160.33798154497521</v>
      </c>
      <c r="L37" s="8" cm="1">
        <f t="array" ref="L37">[1]!feed_q_gas_rc_m3day(p,t,G37)</f>
        <v>1336.7008392418652</v>
      </c>
      <c r="M37" s="7" cm="1">
        <f t="array" ref="M37">[1]!feed_mu_liq_cP(p,t,G37)</f>
        <v>2.2689499679771123</v>
      </c>
      <c r="N37" s="7" cm="1">
        <f t="array" ref="N37">[1]!PVT_mu_gas_cP(p,t,G37)</f>
        <v>1.0156658328479343E-2</v>
      </c>
      <c r="O37" s="7" cm="1">
        <f t="array" ref="O37">[1]!unf_ksep_natural_simplified_Marquez(dintake_m,dcas_m,K37,L37,J37,H37,I37,1)</f>
        <v>0.30687077091058823</v>
      </c>
      <c r="P37" s="7" cm="1">
        <f t="array" ref="P37">[1]!unf_ksep_mechanistic_Marquez_(dintake_m,dcas_m,K37,L37,J37,H37,I37,M37,N37,1,hint,calibr_li,calibr_st)</f>
        <v>0.25393418800238904</v>
      </c>
      <c r="R37">
        <f t="array" ref="R37:W37">[1]!unf_ksep_mechanistic_Marquez_(dintake_m,dcas_m,K37,L37,J37,H37,I37,M37,N37,0,hint,calibr_li,calibr_st)</f>
        <v>0.25393418800238904</v>
      </c>
      <c r="S37">
        <v>2</v>
      </c>
      <c r="T37">
        <v>0.19187650035811876</v>
      </c>
      <c r="U37">
        <v>0.67030257445056507</v>
      </c>
      <c r="V37">
        <v>5.5881582466018802</v>
      </c>
      <c r="W37">
        <v>2.0515487355841984E-3</v>
      </c>
    </row>
    <row r="38" spans="5:23" x14ac:dyDescent="0.25">
      <c r="F38">
        <v>170</v>
      </c>
      <c r="G38" t="str">
        <f>[1]!encode_feed(F38,$E$17,$E$18,$E$19,$E$15)</f>
        <v>{"gamma_gas":0.81,"gamma_oil":0.82,"gamma_wat":1.1,"rsb_m3m3":120,"muob_cP":0.3,"PVT_corr_set":1,"q_liq_sm3day":170,"fw_perc":0,"rp_m3m3":120}</v>
      </c>
      <c r="H38" s="9" cm="1">
        <f t="array" ref="H38">[1]!feed_rho_liq_kgm3(p,t,G38)</f>
        <v>792.88975258157825</v>
      </c>
      <c r="I38" s="9" cm="1">
        <f t="array" ref="I38">[1]!PVT_rho_gas_kgm3(p,t,PVT_json)</f>
        <v>10.23568107515738</v>
      </c>
      <c r="J38" s="6" cm="1">
        <f t="array" ref="J38">[1]!feed_ST_liqgas_Nm(p,t,G38)</f>
        <v>2.8080022934137718E-2</v>
      </c>
      <c r="K38" s="8" cm="1">
        <f t="array" ref="K38">[1]!feed_q_liq_rc_m3day(p,t,G38)</f>
        <v>181.71637908430523</v>
      </c>
      <c r="L38" s="8" cm="1">
        <f t="array" ref="L38">[1]!feed_q_gas_rc_m3day(p,t,G38)</f>
        <v>1514.9276178074472</v>
      </c>
      <c r="M38" s="7" cm="1">
        <f t="array" ref="M38">[1]!feed_mu_liq_cP(p,t,G38)</f>
        <v>2.2689499679771123</v>
      </c>
      <c r="N38" s="7" cm="1">
        <f t="array" ref="N38">[1]!PVT_mu_gas_cP(p,t,G38)</f>
        <v>1.0156658328479343E-2</v>
      </c>
      <c r="O38" s="7" cm="1">
        <f t="array" ref="O38">[1]!unf_ksep_natural_simplified_Marquez(dintake_m,dcas_m,K38,L38,J38,H38,I38,1)</f>
        <v>0.29346503753649911</v>
      </c>
      <c r="P38" s="7" cm="1">
        <f t="array" ref="P38">[1]!unf_ksep_mechanistic_Marquez_(dintake_m,dcas_m,K38,L38,J38,H38,I38,M38,N38,1,hint,calibr_li,calibr_st)</f>
        <v>0.22910872942752311</v>
      </c>
      <c r="R38">
        <f t="array" ref="R38:W38">[1]!unf_ksep_mechanistic_Marquez_(dintake_m,dcas_m,K38,L38,J38,H38,I38,M38,N38,0,hint,calibr_li,calibr_st)</f>
        <v>0.22910872942752311</v>
      </c>
      <c r="S38">
        <v>2</v>
      </c>
      <c r="T38">
        <v>0.19187650035811876</v>
      </c>
      <c r="U38">
        <v>0.75967625104397374</v>
      </c>
      <c r="V38">
        <v>6.3332460128154633</v>
      </c>
      <c r="W38">
        <v>2.0602551732386864E-3</v>
      </c>
    </row>
    <row r="39" spans="5:23" x14ac:dyDescent="0.25">
      <c r="F39">
        <v>190</v>
      </c>
      <c r="G39" t="str">
        <f>[1]!encode_feed(F39,$E$17,$E$18,$E$19,$E$15)</f>
        <v>{"gamma_gas":0.81,"gamma_oil":0.82,"gamma_wat":1.1,"rsb_m3m3":120,"muob_cP":0.3,"PVT_corr_set":1,"q_liq_sm3day":190,"fw_perc":0,"rp_m3m3":120}</v>
      </c>
      <c r="H39" s="9" cm="1">
        <f t="array" ref="H39">[1]!feed_rho_liq_kgm3(p,t,G39)</f>
        <v>792.88975258157825</v>
      </c>
      <c r="I39" s="9" cm="1">
        <f t="array" ref="I39">[1]!PVT_rho_gas_kgm3(p,t,PVT_json)</f>
        <v>10.23568107515738</v>
      </c>
      <c r="J39" s="6" cm="1">
        <f t="array" ref="J39">[1]!feed_ST_liqgas_Nm(p,t,G39)</f>
        <v>2.8080022934137718E-2</v>
      </c>
      <c r="K39" s="8" cm="1">
        <f t="array" ref="K39">[1]!feed_q_liq_rc_m3day(p,t,G39)</f>
        <v>203.09477662363525</v>
      </c>
      <c r="L39" s="8" cm="1">
        <f t="array" ref="L39">[1]!feed_q_gas_rc_m3day(p,t,G39)</f>
        <v>1693.1543963730294</v>
      </c>
      <c r="M39" s="7" cm="1">
        <f t="array" ref="M39">[1]!feed_mu_liq_cP(p,t,G39)</f>
        <v>2.2689499679771123</v>
      </c>
      <c r="N39" s="7" cm="1">
        <f t="array" ref="N39">[1]!PVT_mu_gas_cP(p,t,G39)</f>
        <v>1.0156658328479343E-2</v>
      </c>
      <c r="O39" s="7" cm="1">
        <f t="array" ref="O39">[1]!unf_ksep_natural_simplified_Marquez(dintake_m,dcas_m,K39,L39,J39,H39,I39,1)</f>
        <v>0.2833057340374534</v>
      </c>
      <c r="P39" s="7" cm="1">
        <f t="array" ref="P39">[1]!unf_ksep_mechanistic_Marquez_(dintake_m,dcas_m,K39,L39,J39,H39,I39,M39,N39,1,hint,calibr_li,calibr_st)</f>
        <v>0.20833616220752907</v>
      </c>
      <c r="R39">
        <f t="array" ref="R39:W39">[1]!unf_ksep_mechanistic_Marquez_(dintake_m,dcas_m,K39,L39,J39,H39,I39,M39,N39,0,hint,calibr_li,calibr_st)</f>
        <v>0.20833616220752907</v>
      </c>
      <c r="S39">
        <v>2</v>
      </c>
      <c r="T39">
        <v>0.19187650035811876</v>
      </c>
      <c r="U39">
        <v>0.84904992763738241</v>
      </c>
      <c r="V39">
        <v>7.0783337790290481</v>
      </c>
      <c r="W39">
        <v>2.0671810511183929E-3</v>
      </c>
    </row>
    <row r="40" spans="5:23" x14ac:dyDescent="0.25">
      <c r="F40">
        <v>210</v>
      </c>
      <c r="G40" t="str">
        <f>[1]!encode_feed(F40,$E$17,$E$18,$E$19,$E$15)</f>
        <v>{"gamma_gas":0.81,"gamma_oil":0.82,"gamma_wat":1.1,"rsb_m3m3":120,"muob_cP":0.3,"PVT_corr_set":1,"q_liq_sm3day":210,"fw_perc":0,"rp_m3m3":120}</v>
      </c>
      <c r="H40" s="9" cm="1">
        <f t="array" ref="H40">[1]!feed_rho_liq_kgm3(p,t,G40)</f>
        <v>792.88975258157825</v>
      </c>
      <c r="I40" s="9" cm="1">
        <f t="array" ref="I40">[1]!PVT_rho_gas_kgm3(p,t,PVT_json)</f>
        <v>10.23568107515738</v>
      </c>
      <c r="J40" s="6" cm="1">
        <f t="array" ref="J40">[1]!feed_ST_liqgas_Nm(p,t,G40)</f>
        <v>2.8080022934137718E-2</v>
      </c>
      <c r="K40" s="8" cm="1">
        <f t="array" ref="K40">[1]!feed_q_liq_rc_m3day(p,t,G40)</f>
        <v>224.47317416296528</v>
      </c>
      <c r="L40" s="8" cm="1">
        <f t="array" ref="L40">[1]!feed_q_gas_rc_m3day(p,t,G40)</f>
        <v>1871.3811749386116</v>
      </c>
      <c r="M40" s="7" cm="1">
        <f t="array" ref="M40">[1]!feed_mu_liq_cP(p,t,G40)</f>
        <v>2.2689499679771123</v>
      </c>
      <c r="N40" s="7" cm="1">
        <f t="array" ref="N40">[1]!PVT_mu_gas_cP(p,t,G40)</f>
        <v>1.0156658328479343E-2</v>
      </c>
      <c r="O40" s="7" cm="1">
        <f t="array" ref="O40">[1]!unf_ksep_natural_simplified_Marquez(dintake_m,dcas_m,K40,L40,J40,H40,I40,1)</f>
        <v>0.27439555041664487</v>
      </c>
      <c r="P40" s="7" cm="1">
        <f t="array" ref="P40">[1]!unf_ksep_mechanistic_Marquez_(dintake_m,dcas_m,K40,L40,J40,H40,I40,M40,N40,1,hint,calibr_li,calibr_st)</f>
        <v>0.1905290444697077</v>
      </c>
      <c r="R40" cm="1">
        <f t="array" ref="R40:W41">[1]!unf_ksep_mechanistic_Marquez_(dintake_m,dcas_m,K40,L40,J40,H40,I40,M40,N40,0,hint,calibr_li,calibr_st)</f>
        <v>0.1905290444697077</v>
      </c>
      <c r="S40">
        <v>2</v>
      </c>
      <c r="T40">
        <v>0.19187650035811876</v>
      </c>
      <c r="U40">
        <v>0.93842360423079108</v>
      </c>
      <c r="V40">
        <v>7.823421545242633</v>
      </c>
      <c r="W40">
        <v>2.0728219125845351E-3</v>
      </c>
    </row>
    <row r="41" spans="5:23" x14ac:dyDescent="0.25">
      <c r="R41" t="str">
        <v>ksep</v>
      </c>
      <c r="S41" t="str">
        <v>flow regime</v>
      </c>
      <c r="T41" t="str">
        <v>v_ooz</v>
      </c>
      <c r="U41" t="str">
        <v>vsl</v>
      </c>
      <c r="V41" t="str">
        <v>vsg</v>
      </c>
      <c r="W41" t="str">
        <v>li</v>
      </c>
    </row>
    <row r="45" spans="5:23" x14ac:dyDescent="0.25">
      <c r="E45" t="s">
        <v>47</v>
      </c>
    </row>
    <row r="47" spans="5:23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23" x14ac:dyDescent="0.25">
      <c r="F48">
        <f>E16</f>
        <v>5</v>
      </c>
      <c r="G48" t="str">
        <f>[1]!encode_feed(F48,$E$17,$E$18,$E$19,$E$15)</f>
        <v>{"gamma_gas":0.81,"gamma_oil":0.82,"gamma_wat":1.1,"rsb_m3m3":120,"muob_cP":0.3,"PVT_corr_set":1,"q_liq_sm3day":5,"fw_perc":0,"rp_m3m3":120}</v>
      </c>
      <c r="H48" s="9" cm="1">
        <f t="array" ref="H48">[1]!feed_rho_liq_kgm3(p,t,G48)</f>
        <v>792.88975258157825</v>
      </c>
      <c r="I48" s="9" cm="1">
        <f t="array" ref="I48">[1]!PVT_rho_gas_kgm3(p,t,PVT_json)</f>
        <v>10.23568107515738</v>
      </c>
      <c r="J48" s="6" cm="1">
        <f t="array" ref="J48">[1]!feed_ST_liqgas_Nm(p,t,G48)</f>
        <v>2.8080022934137718E-2</v>
      </c>
      <c r="K48" s="8" cm="1">
        <f t="array" ref="K48">[1]!feed_q_liq_rc_m3day(p,t,G48)</f>
        <v>5.3445993848325068</v>
      </c>
      <c r="L48" s="8" cm="1">
        <f t="array" ref="L48">[1]!feed_q_gas_rc_m3day(p,t,G48)</f>
        <v>44.556694641395509</v>
      </c>
      <c r="M48" s="7" cm="1">
        <f t="array" ref="M48">[1]!feed_mu_liq_cP(p,t,G48)</f>
        <v>2.2689499679771123</v>
      </c>
      <c r="N48" s="7" cm="1">
        <f t="array" ref="N48">[1]!PVT_mu_gas_cP(p,t,G48)</f>
        <v>1.0156658328479343E-2</v>
      </c>
    </row>
    <row r="53" spans="5:31" x14ac:dyDescent="0.25">
      <c r="E53" t="str" cm="1">
        <f t="array" ref="E53">[1]!unf_ksep_mechanistic_Marquez_build_bubble_tracks(dintake_m,dcas_m,K48,L48,J48,H48,I48,M48,N48,hint,calibr_li,calibr_st)</f>
        <v>{"n 1":{"curve_x":"x","curve_y":"y","x":[-0.04,-0.016667,0.006667,0.03,0.053333,0.066742,0.076667,0.1,0.123333,0.146667,0.17,0.193333,0.2,0.216667,0.24],"y":[0.057503,0.057503,0.057503,0.057503,0.057503,0.057503,0.057432,0.057262,0.057089,0.056913,0.056735,0.056553,0.0565,0.0565,0.0565]},"n 2":{"curve_x":"x","curve_y":"y","x":[-0.04,-0.016667,0.006667,0.03,0.053333,0.076667,0.099831,0.1,0.123333,0.146667,0.17,0.193333,0.2,0.216667,0.24],"y":[0.058744,0.058744,0.058744,0.058744,0.058744,0.058744,0.058744,0.058742,0.058574,0.058403,0.058229,0.058051,0.058,0.058,0.058]},"n 3":{"curve_x":"x","curve_y":"y","x":[-0.04,-0.016667,0.006667,0.03,0.053333,0.076667,0.1,0.123333,0.133075,0.146667,0.17,0.193333,0.2,0.216667,0.24],"y":[0.05999,0.05999,0.05999,0.05999,0.05999,0.05999,0.05999,0.05999,0.05999,0.059893,0.059723,0.05955,0.0595,0.0595,0.0595]},"n 4":{"curve_x":"x","curve_y":"y","x":[-0.04,-0.016667,0.006667,0.03,0.053333,0.076667,0.1,0.123333,0.146667,0.166467,0.17,0.193333,0.2,0.216667,0.24],"y":[0.061243,0.061243,0.061243,0.061243,0.061243,0.061243,0.061243,0.061243,0.061243,0.061243,0.061217,0.061049,0.061,0.061,0.061]},"n 5":{"curve_x":"x","curve_y":"y","x":[-0.04,-0.033077,-0.026154,-0.019231,-0.012308,-0.005385,0.001538,0.008121,0.008462,0.015385,0.022308,0.029231,0.036154,0.043077,0.05],"y":[0.055305,0.055305,0.055305,0.055305,0.055305,0.055305,0.055305,0.055305,0.055302,0.055252,0.055202,0.055152,0.055102,0.055051,0.055]},"n 6":{"curve_x":"x","curve_y":"y","x":[-0.04,-0.029231,-0.018462,-0.007692,0.003077,0.013846,0.016467,0.024615,0.035385,0.046154,0.056923,0.067692,0.078462,0.089231,0.1],"y":[0.055618,0.055618,0.055618,0.055618,0.055618,0.055618,0.055618,0.055559,0.055481,0.055403,0.055324,0.055244,0.055163,0.055082,0.055]},"n 7":{"curve_x":"x","curve_y":"y","x":[-0.04,-0.025385,-0.010769,0.003846,0.018462,0.025035,0.033077,0.047692,0.062308,0.076923,0.091538,0.106154,0.120769,0.135385,0.15],"y":[0.055939,0.055939,0.055939,0.055939,0.055939,0.055939,0.055881,0.055775,0.055668,0.05556,0.055451,0.05534,0.055228,0.055114,0.055]},"n 8":{"curve_x":"x","curve_y":"y","x":[-0.04,-0.021538,-0.003077,0.015385,0.033821,0.033846,0.052308,0.070769,0.089231,0.107692,0.126154,0.144615,0.163077,0.181538,0.2],"y":[0.056268,0.056268,0.056268,0.056268,0.056268,0.056268,0.056135,0.056,0.055863,0.055724,0.055584,0.055441,0.055296,0.055149,0.055]}}</v>
      </c>
    </row>
    <row r="55" spans="5:31" x14ac:dyDescent="0.25">
      <c r="E55" t="str" cm="1">
        <f t="array" ref="E55:F62">[1]!decode_json(E53)</f>
        <v>n 1</v>
      </c>
      <c r="F55" t="str">
        <v>{"curve_x":"x","curve_y":"y","x":[-0.04,-0.016667,0.006667,0.03,0.053333,0.066742,0.076667,0.1,0.123333,0.146667,0.17,0.193333,0.2,0.216667,0.24],"y":[0.057503,0.057503,0.057503,0.057503,0.057503,0.057503,0.057432,0.057262,0.057089,0.056913,0.056735,0.056553,0.0565,0.0565,0.0565]}</v>
      </c>
      <c r="I55" t="str" cm="1">
        <f t="array" ref="I55:J70">[1]!decode_json_crv(F55)</f>
        <v>x</v>
      </c>
      <c r="J55" t="str">
        <v>y</v>
      </c>
      <c r="L55" t="str" cm="1">
        <f t="array" ref="L55:M70">[1]!decode_json_crv(F56)</f>
        <v>x</v>
      </c>
      <c r="M55" t="str">
        <v>y</v>
      </c>
      <c r="O55" t="str" cm="1">
        <f t="array" ref="O55:P70">[1]!decode_json_crv(F57)</f>
        <v>x</v>
      </c>
      <c r="P55" t="str">
        <v>y</v>
      </c>
      <c r="R55" t="str" cm="1">
        <f t="array" ref="R55:S70">[1]!decode_json_crv(F58)</f>
        <v>x</v>
      </c>
      <c r="S55" t="str">
        <v>y</v>
      </c>
      <c r="U55" t="str" cm="1">
        <f t="array" ref="U55:V70">[1]!decode_json_crv(F59)</f>
        <v>x</v>
      </c>
      <c r="V55" t="str">
        <v>y</v>
      </c>
      <c r="X55" t="str" cm="1">
        <f t="array" ref="X55:Y70">[1]!decode_json_crv(F60)</f>
        <v>x</v>
      </c>
      <c r="Y55" t="str">
        <v>y</v>
      </c>
      <c r="AA55" t="str" cm="1">
        <f t="array" ref="AA55:AB70">[1]!decode_json_crv(F61)</f>
        <v>x</v>
      </c>
      <c r="AB55" t="str">
        <v>y</v>
      </c>
      <c r="AD55" t="str" cm="1">
        <f t="array" ref="AD55:AE70">[1]!decode_json_crv(F62)</f>
        <v>x</v>
      </c>
      <c r="AE55" t="str">
        <v>y</v>
      </c>
    </row>
    <row r="56" spans="5:31" x14ac:dyDescent="0.25">
      <c r="E56" t="str">
        <v>n 2</v>
      </c>
      <c r="F56" t="str">
        <v>{"curve_x":"x","curve_y":"y","x":[-0.04,-0.016667,0.006667,0.03,0.053333,0.076667,0.099831,0.1,0.123333,0.146667,0.17,0.193333,0.2,0.216667,0.24],"y":[0.058744,0.058744,0.058744,0.058744,0.058744,0.058744,0.058744,0.058742,0.058574,0.058403,0.058229,0.058051,0.058,0.058,0.058]}</v>
      </c>
      <c r="I56">
        <v>-0.04</v>
      </c>
      <c r="J56">
        <v>5.7502999999999999E-2</v>
      </c>
      <c r="L56">
        <v>-0.04</v>
      </c>
      <c r="M56">
        <v>5.8743999999999998E-2</v>
      </c>
      <c r="O56">
        <v>-0.04</v>
      </c>
      <c r="P56">
        <v>5.9990000000000002E-2</v>
      </c>
      <c r="R56">
        <v>-0.04</v>
      </c>
      <c r="S56">
        <v>6.1242999999999999E-2</v>
      </c>
      <c r="U56">
        <v>-0.04</v>
      </c>
      <c r="V56">
        <v>5.5305E-2</v>
      </c>
      <c r="X56">
        <v>-0.04</v>
      </c>
      <c r="Y56">
        <v>5.5618000000000001E-2</v>
      </c>
      <c r="AA56">
        <v>-0.04</v>
      </c>
      <c r="AB56">
        <v>5.5939000000000003E-2</v>
      </c>
      <c r="AD56">
        <v>-0.04</v>
      </c>
      <c r="AE56">
        <v>5.6267999999999999E-2</v>
      </c>
    </row>
    <row r="57" spans="5:31" x14ac:dyDescent="0.25">
      <c r="E57" t="str">
        <v>n 3</v>
      </c>
      <c r="F57" t="str">
        <v>{"curve_x":"x","curve_y":"y","x":[-0.04,-0.016667,0.006667,0.03,0.053333,0.076667,0.1,0.123333,0.133075,0.146667,0.17,0.193333,0.2,0.216667,0.24],"y":[0.05999,0.05999,0.05999,0.05999,0.05999,0.05999,0.05999,0.05999,0.05999,0.059893,0.059723,0.05955,0.0595,0.0595,0.0595]}</v>
      </c>
      <c r="I57">
        <v>-1.6667000000000001E-2</v>
      </c>
      <c r="J57">
        <v>5.7502999999999999E-2</v>
      </c>
      <c r="L57">
        <v>-1.6667000000000001E-2</v>
      </c>
      <c r="M57">
        <v>5.8743999999999998E-2</v>
      </c>
      <c r="O57">
        <v>-1.6667000000000001E-2</v>
      </c>
      <c r="P57">
        <v>5.9990000000000002E-2</v>
      </c>
      <c r="R57">
        <v>-1.6667000000000001E-2</v>
      </c>
      <c r="S57">
        <v>6.1242999999999999E-2</v>
      </c>
      <c r="U57">
        <v>-3.3077000000000002E-2</v>
      </c>
      <c r="V57">
        <v>5.5305E-2</v>
      </c>
      <c r="X57">
        <v>-2.9231E-2</v>
      </c>
      <c r="Y57">
        <v>5.5618000000000001E-2</v>
      </c>
      <c r="AA57">
        <v>-2.5385000000000001E-2</v>
      </c>
      <c r="AB57">
        <v>5.5939000000000003E-2</v>
      </c>
      <c r="AD57">
        <v>-2.1538000000000002E-2</v>
      </c>
      <c r="AE57">
        <v>5.6267999999999999E-2</v>
      </c>
    </row>
    <row r="58" spans="5:31" x14ac:dyDescent="0.25">
      <c r="E58" t="str">
        <v>n 4</v>
      </c>
      <c r="F58" t="str">
        <v>{"curve_x":"x","curve_y":"y","x":[-0.04,-0.016667,0.006667,0.03,0.053333,0.076667,0.1,0.123333,0.146667,0.166467,0.17,0.193333,0.2,0.216667,0.24],"y":[0.061243,0.061243,0.061243,0.061243,0.061243,0.061243,0.061243,0.061243,0.061243,0.061243,0.061217,0.061049,0.061,0.061,0.061]}</v>
      </c>
      <c r="I58">
        <v>6.6670000000000002E-3</v>
      </c>
      <c r="J58">
        <v>5.7502999999999999E-2</v>
      </c>
      <c r="L58">
        <v>6.6670000000000002E-3</v>
      </c>
      <c r="M58">
        <v>5.8743999999999998E-2</v>
      </c>
      <c r="O58">
        <v>6.6670000000000002E-3</v>
      </c>
      <c r="P58">
        <v>5.9990000000000002E-2</v>
      </c>
      <c r="R58">
        <v>6.6670000000000002E-3</v>
      </c>
      <c r="S58">
        <v>6.1242999999999999E-2</v>
      </c>
      <c r="U58">
        <v>-2.6154E-2</v>
      </c>
      <c r="V58">
        <v>5.5305E-2</v>
      </c>
      <c r="X58">
        <v>-1.8461999999999999E-2</v>
      </c>
      <c r="Y58">
        <v>5.5618000000000001E-2</v>
      </c>
      <c r="AA58">
        <v>-1.0769000000000001E-2</v>
      </c>
      <c r="AB58">
        <v>5.5939000000000003E-2</v>
      </c>
      <c r="AD58">
        <v>-3.0769999999999999E-3</v>
      </c>
      <c r="AE58">
        <v>5.6267999999999999E-2</v>
      </c>
    </row>
    <row r="59" spans="5:31" x14ac:dyDescent="0.25">
      <c r="E59" t="str">
        <v>n 5</v>
      </c>
      <c r="F59" t="str">
        <v>{"curve_x":"x","curve_y":"y","x":[-0.04,-0.033077,-0.026154,-0.019231,-0.012308,-0.005385,0.001538,0.008121,0.008462,0.015385,0.022308,0.029231,0.036154,0.043077,0.05],"y":[0.055305,0.055305,0.055305,0.055305,0.055305,0.055305,0.055305,0.055305,0.055302,0.055252,0.055202,0.055152,0.055102,0.055051,0.055]}</v>
      </c>
      <c r="I59">
        <v>0.03</v>
      </c>
      <c r="J59">
        <v>5.7502999999999999E-2</v>
      </c>
      <c r="L59">
        <v>0.03</v>
      </c>
      <c r="M59">
        <v>5.8743999999999998E-2</v>
      </c>
      <c r="O59">
        <v>0.03</v>
      </c>
      <c r="P59">
        <v>5.9990000000000002E-2</v>
      </c>
      <c r="R59">
        <v>0.03</v>
      </c>
      <c r="S59">
        <v>6.1242999999999999E-2</v>
      </c>
      <c r="U59">
        <v>-1.9231000000000002E-2</v>
      </c>
      <c r="V59">
        <v>5.5305E-2</v>
      </c>
      <c r="X59">
        <v>-7.6920000000000001E-3</v>
      </c>
      <c r="Y59">
        <v>5.5618000000000001E-2</v>
      </c>
      <c r="AA59">
        <v>3.846E-3</v>
      </c>
      <c r="AB59">
        <v>5.5939000000000003E-2</v>
      </c>
      <c r="AD59">
        <v>1.5384999999999999E-2</v>
      </c>
      <c r="AE59">
        <v>5.6267999999999999E-2</v>
      </c>
    </row>
    <row r="60" spans="5:31" x14ac:dyDescent="0.25">
      <c r="E60" t="str">
        <v>n 6</v>
      </c>
      <c r="F60" t="str">
        <v>{"curve_x":"x","curve_y":"y","x":[-0.04,-0.029231,-0.018462,-0.007692,0.003077,0.013846,0.016467,0.024615,0.035385,0.046154,0.056923,0.067692,0.078462,0.089231,0.1],"y":[0.055618,0.055618,0.055618,0.055618,0.055618,0.055618,0.055618,0.055559,0.055481,0.055403,0.055324,0.055244,0.055163,0.055082,0.055]}</v>
      </c>
      <c r="I60">
        <v>5.3332999999999998E-2</v>
      </c>
      <c r="J60">
        <v>5.7502999999999999E-2</v>
      </c>
      <c r="L60">
        <v>5.3332999999999998E-2</v>
      </c>
      <c r="M60">
        <v>5.8743999999999998E-2</v>
      </c>
      <c r="O60">
        <v>5.3332999999999998E-2</v>
      </c>
      <c r="P60">
        <v>5.9990000000000002E-2</v>
      </c>
      <c r="R60">
        <v>5.3332999999999998E-2</v>
      </c>
      <c r="S60">
        <v>6.1242999999999999E-2</v>
      </c>
      <c r="U60">
        <v>-1.2307999999999999E-2</v>
      </c>
      <c r="V60">
        <v>5.5305E-2</v>
      </c>
      <c r="X60">
        <v>3.0769999999999999E-3</v>
      </c>
      <c r="Y60">
        <v>5.5618000000000001E-2</v>
      </c>
      <c r="AA60">
        <v>1.8461999999999999E-2</v>
      </c>
      <c r="AB60">
        <v>5.5939000000000003E-2</v>
      </c>
      <c r="AD60">
        <v>3.3820999999999997E-2</v>
      </c>
      <c r="AE60">
        <v>5.6267999999999999E-2</v>
      </c>
    </row>
    <row r="61" spans="5:31" x14ac:dyDescent="0.25">
      <c r="E61" t="str">
        <v>n 7</v>
      </c>
      <c r="F61" t="str">
        <v>{"curve_x":"x","curve_y":"y","x":[-0.04,-0.025385,-0.010769,0.003846,0.018462,0.025035,0.033077,0.047692,0.062308,0.076923,0.091538,0.106154,0.120769,0.135385,0.15],"y":[0.055939,0.055939,0.055939,0.055939,0.055939,0.055939,0.055881,0.055775,0.055668,0.05556,0.055451,0.05534,0.055228,0.055114,0.055]}</v>
      </c>
      <c r="I61">
        <v>6.6741999999999996E-2</v>
      </c>
      <c r="J61">
        <v>5.7502999999999999E-2</v>
      </c>
      <c r="L61">
        <v>7.6666999999999999E-2</v>
      </c>
      <c r="M61">
        <v>5.8743999999999998E-2</v>
      </c>
      <c r="O61">
        <v>7.6666999999999999E-2</v>
      </c>
      <c r="P61">
        <v>5.9990000000000002E-2</v>
      </c>
      <c r="R61">
        <v>7.6666999999999999E-2</v>
      </c>
      <c r="S61">
        <v>6.1242999999999999E-2</v>
      </c>
      <c r="U61">
        <v>-5.385E-3</v>
      </c>
      <c r="V61">
        <v>5.5305E-2</v>
      </c>
      <c r="X61">
        <v>1.3846000000000001E-2</v>
      </c>
      <c r="Y61">
        <v>5.5618000000000001E-2</v>
      </c>
      <c r="AA61">
        <v>2.5035000000000002E-2</v>
      </c>
      <c r="AB61">
        <v>5.5939000000000003E-2</v>
      </c>
      <c r="AD61">
        <v>3.3846000000000001E-2</v>
      </c>
      <c r="AE61">
        <v>5.6267999999999999E-2</v>
      </c>
    </row>
    <row r="62" spans="5:31" x14ac:dyDescent="0.25">
      <c r="E62" t="str">
        <v>n 8</v>
      </c>
      <c r="F62" t="str">
        <v>{"curve_x":"x","curve_y":"y","x":[-0.04,-0.021538,-0.003077,0.015385,0.033821,0.033846,0.052308,0.070769,0.089231,0.107692,0.126154,0.144615,0.163077,0.181538,0.2],"y":[0.056268,0.056268,0.056268,0.056268,0.056268,0.056268,0.056135,0.056,0.055863,0.055724,0.055584,0.055441,0.055296,0.055149,0.055]}</v>
      </c>
      <c r="I62">
        <v>7.6666999999999999E-2</v>
      </c>
      <c r="J62">
        <v>5.7431999999999997E-2</v>
      </c>
      <c r="L62">
        <v>9.9831000000000003E-2</v>
      </c>
      <c r="M62">
        <v>5.8743999999999998E-2</v>
      </c>
      <c r="O62">
        <v>0.1</v>
      </c>
      <c r="P62">
        <v>5.9990000000000002E-2</v>
      </c>
      <c r="R62">
        <v>0.1</v>
      </c>
      <c r="S62">
        <v>6.1242999999999999E-2</v>
      </c>
      <c r="U62">
        <v>1.5380000000000001E-3</v>
      </c>
      <c r="V62">
        <v>5.5305E-2</v>
      </c>
      <c r="X62">
        <v>1.6466999999999999E-2</v>
      </c>
      <c r="Y62">
        <v>5.5618000000000001E-2</v>
      </c>
      <c r="AA62">
        <v>3.3077000000000002E-2</v>
      </c>
      <c r="AB62">
        <v>5.5881E-2</v>
      </c>
      <c r="AD62">
        <v>5.2308E-2</v>
      </c>
      <c r="AE62">
        <v>5.6134999999999997E-2</v>
      </c>
    </row>
    <row r="63" spans="5:31" x14ac:dyDescent="0.25">
      <c r="I63">
        <v>0.1</v>
      </c>
      <c r="J63">
        <v>5.7262E-2</v>
      </c>
      <c r="L63">
        <v>0.1</v>
      </c>
      <c r="M63">
        <v>5.8742000000000003E-2</v>
      </c>
      <c r="O63">
        <v>0.123333</v>
      </c>
      <c r="P63">
        <v>5.9990000000000002E-2</v>
      </c>
      <c r="R63">
        <v>0.123333</v>
      </c>
      <c r="S63">
        <v>6.1242999999999999E-2</v>
      </c>
      <c r="U63">
        <v>8.1209999999999997E-3</v>
      </c>
      <c r="V63">
        <v>5.5305E-2</v>
      </c>
      <c r="X63">
        <v>2.4615000000000001E-2</v>
      </c>
      <c r="Y63">
        <v>5.5558999999999997E-2</v>
      </c>
      <c r="AA63">
        <v>4.7691999999999998E-2</v>
      </c>
      <c r="AB63">
        <v>5.5774999999999998E-2</v>
      </c>
      <c r="AD63">
        <v>7.0768999999999999E-2</v>
      </c>
      <c r="AE63">
        <v>5.6000000000000001E-2</v>
      </c>
    </row>
    <row r="64" spans="5:31" x14ac:dyDescent="0.25">
      <c r="I64">
        <v>0.123333</v>
      </c>
      <c r="J64">
        <v>5.7089000000000001E-2</v>
      </c>
      <c r="L64">
        <v>0.123333</v>
      </c>
      <c r="M64">
        <v>5.8574000000000001E-2</v>
      </c>
      <c r="O64">
        <v>0.133075</v>
      </c>
      <c r="P64">
        <v>5.9990000000000002E-2</v>
      </c>
      <c r="R64">
        <v>0.14666699999999999</v>
      </c>
      <c r="S64">
        <v>6.1242999999999999E-2</v>
      </c>
      <c r="U64">
        <v>8.4620000000000008E-3</v>
      </c>
      <c r="V64">
        <v>5.5301999999999997E-2</v>
      </c>
      <c r="X64">
        <v>3.5385E-2</v>
      </c>
      <c r="Y64">
        <v>5.5481000000000003E-2</v>
      </c>
      <c r="AA64">
        <v>6.2308000000000002E-2</v>
      </c>
      <c r="AB64">
        <v>5.5668000000000002E-2</v>
      </c>
      <c r="AD64">
        <v>8.9231000000000005E-2</v>
      </c>
      <c r="AE64">
        <v>5.5863000000000003E-2</v>
      </c>
    </row>
    <row r="65" spans="6:31" x14ac:dyDescent="0.25">
      <c r="I65">
        <v>0.14666699999999999</v>
      </c>
      <c r="J65">
        <v>5.6912999999999998E-2</v>
      </c>
      <c r="L65">
        <v>0.14666699999999999</v>
      </c>
      <c r="M65">
        <v>5.8402999999999997E-2</v>
      </c>
      <c r="O65">
        <v>0.14666699999999999</v>
      </c>
      <c r="P65">
        <v>5.9893000000000002E-2</v>
      </c>
      <c r="R65">
        <v>0.166467</v>
      </c>
      <c r="S65">
        <v>6.1242999999999999E-2</v>
      </c>
      <c r="U65">
        <v>1.5384999999999999E-2</v>
      </c>
      <c r="V65">
        <v>5.5252000000000002E-2</v>
      </c>
      <c r="X65">
        <v>4.6154000000000001E-2</v>
      </c>
      <c r="Y65">
        <v>5.5403000000000001E-2</v>
      </c>
      <c r="AA65">
        <v>7.6923000000000005E-2</v>
      </c>
      <c r="AB65">
        <v>5.5559999999999998E-2</v>
      </c>
      <c r="AD65">
        <v>0.107692</v>
      </c>
      <c r="AE65">
        <v>5.5724000000000003E-2</v>
      </c>
    </row>
    <row r="66" spans="6:31" x14ac:dyDescent="0.25">
      <c r="I66">
        <v>0.17</v>
      </c>
      <c r="J66">
        <v>5.6735000000000001E-2</v>
      </c>
      <c r="L66">
        <v>0.17</v>
      </c>
      <c r="M66">
        <v>5.8229000000000003E-2</v>
      </c>
      <c r="O66">
        <v>0.17</v>
      </c>
      <c r="P66">
        <v>5.9722999999999998E-2</v>
      </c>
      <c r="R66">
        <v>0.17</v>
      </c>
      <c r="S66">
        <v>6.1217000000000001E-2</v>
      </c>
      <c r="U66">
        <v>2.2308000000000001E-2</v>
      </c>
      <c r="V66">
        <v>5.5202000000000001E-2</v>
      </c>
      <c r="X66">
        <v>5.6923000000000001E-2</v>
      </c>
      <c r="Y66">
        <v>5.5323999999999998E-2</v>
      </c>
      <c r="AA66">
        <v>9.1537999999999994E-2</v>
      </c>
      <c r="AB66">
        <v>5.5451E-2</v>
      </c>
      <c r="AD66">
        <v>0.12615399999999999</v>
      </c>
      <c r="AE66">
        <v>5.5584000000000001E-2</v>
      </c>
    </row>
    <row r="67" spans="6:31" x14ac:dyDescent="0.25">
      <c r="I67">
        <v>0.193333</v>
      </c>
      <c r="J67">
        <v>5.6552999999999999E-2</v>
      </c>
      <c r="L67">
        <v>0.193333</v>
      </c>
      <c r="M67">
        <v>5.8050999999999998E-2</v>
      </c>
      <c r="O67">
        <v>0.193333</v>
      </c>
      <c r="P67">
        <v>5.9549999999999999E-2</v>
      </c>
      <c r="R67">
        <v>0.193333</v>
      </c>
      <c r="S67">
        <v>6.1048999999999999E-2</v>
      </c>
      <c r="U67">
        <v>2.9231E-2</v>
      </c>
      <c r="V67">
        <v>5.5152E-2</v>
      </c>
      <c r="X67">
        <v>6.7692000000000002E-2</v>
      </c>
      <c r="Y67">
        <v>5.5244000000000001E-2</v>
      </c>
      <c r="AA67">
        <v>0.106154</v>
      </c>
      <c r="AB67">
        <v>5.534E-2</v>
      </c>
      <c r="AD67">
        <v>0.14461499999999999</v>
      </c>
      <c r="AE67">
        <v>5.5440999999999997E-2</v>
      </c>
    </row>
    <row r="68" spans="6:31" x14ac:dyDescent="0.25">
      <c r="I68">
        <v>0.2</v>
      </c>
      <c r="J68">
        <v>5.6500000000000002E-2</v>
      </c>
      <c r="L68">
        <v>0.2</v>
      </c>
      <c r="M68">
        <v>5.8000000000000003E-2</v>
      </c>
      <c r="O68">
        <v>0.2</v>
      </c>
      <c r="P68">
        <v>5.9499999999999997E-2</v>
      </c>
      <c r="R68">
        <v>0.2</v>
      </c>
      <c r="S68">
        <v>6.0999999999999999E-2</v>
      </c>
      <c r="U68">
        <v>3.6153999999999999E-2</v>
      </c>
      <c r="V68">
        <v>5.5101999999999998E-2</v>
      </c>
      <c r="X68">
        <v>7.8462000000000004E-2</v>
      </c>
      <c r="Y68">
        <v>5.5162999999999997E-2</v>
      </c>
      <c r="AA68">
        <v>0.120769</v>
      </c>
      <c r="AB68">
        <v>5.5227999999999999E-2</v>
      </c>
      <c r="AD68">
        <v>0.163077</v>
      </c>
      <c r="AE68">
        <v>5.5295999999999998E-2</v>
      </c>
    </row>
    <row r="69" spans="6:31" x14ac:dyDescent="0.25">
      <c r="I69">
        <v>0.216667</v>
      </c>
      <c r="J69">
        <v>5.6500000000000002E-2</v>
      </c>
      <c r="L69">
        <v>0.216667</v>
      </c>
      <c r="M69">
        <v>5.8000000000000003E-2</v>
      </c>
      <c r="O69">
        <v>0.216667</v>
      </c>
      <c r="P69">
        <v>5.9499999999999997E-2</v>
      </c>
      <c r="R69">
        <v>0.216667</v>
      </c>
      <c r="S69">
        <v>6.0999999999999999E-2</v>
      </c>
      <c r="U69">
        <v>4.3076999999999997E-2</v>
      </c>
      <c r="V69">
        <v>5.5051000000000003E-2</v>
      </c>
      <c r="X69">
        <v>8.9231000000000005E-2</v>
      </c>
      <c r="Y69">
        <v>5.5081999999999999E-2</v>
      </c>
      <c r="AA69">
        <v>0.13538500000000001</v>
      </c>
      <c r="AB69">
        <v>5.5114000000000003E-2</v>
      </c>
      <c r="AD69">
        <v>0.181538</v>
      </c>
      <c r="AE69">
        <v>5.5148999999999997E-2</v>
      </c>
    </row>
    <row r="70" spans="6:31" x14ac:dyDescent="0.25">
      <c r="I70">
        <v>0.24</v>
      </c>
      <c r="J70">
        <v>5.6500000000000002E-2</v>
      </c>
      <c r="L70">
        <v>0.24</v>
      </c>
      <c r="M70">
        <v>5.8000000000000003E-2</v>
      </c>
      <c r="O70">
        <v>0.24</v>
      </c>
      <c r="P70">
        <v>5.9499999999999997E-2</v>
      </c>
      <c r="R70">
        <v>0.24</v>
      </c>
      <c r="S70">
        <v>6.0999999999999999E-2</v>
      </c>
      <c r="U70">
        <v>0.05</v>
      </c>
      <c r="V70">
        <v>5.5E-2</v>
      </c>
      <c r="X70">
        <v>0.1</v>
      </c>
      <c r="Y70">
        <v>5.5E-2</v>
      </c>
      <c r="AA70">
        <v>0.15</v>
      </c>
      <c r="AB70">
        <v>5.5E-2</v>
      </c>
      <c r="AD70">
        <v>0.2</v>
      </c>
      <c r="AE70">
        <v>5.5E-2</v>
      </c>
    </row>
    <row r="73" spans="6:31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31" x14ac:dyDescent="0.25">
      <c r="F74">
        <f>dintake_m/2</f>
        <v>5.5E-2</v>
      </c>
      <c r="G74">
        <v>0</v>
      </c>
      <c r="I74">
        <f>dintake_m/2</f>
        <v>5.5E-2</v>
      </c>
      <c r="J74">
        <f>M74</f>
        <v>-3.999999999999998E-2</v>
      </c>
      <c r="L74">
        <f>dcas_m/2</f>
        <v>6.25E-2</v>
      </c>
      <c r="M74">
        <f>P75-M75</f>
        <v>-3.999999999999998E-2</v>
      </c>
      <c r="O74">
        <f>F74</f>
        <v>5.5E-2</v>
      </c>
      <c r="P74">
        <v>0</v>
      </c>
    </row>
    <row r="75" spans="6:31" x14ac:dyDescent="0.25">
      <c r="F75">
        <f>F74</f>
        <v>5.5E-2</v>
      </c>
      <c r="G75">
        <f>hint</f>
        <v>0.2</v>
      </c>
      <c r="I75">
        <f>I74</f>
        <v>5.5E-2</v>
      </c>
      <c r="J75">
        <f>hint*1.2</f>
        <v>0.24</v>
      </c>
      <c r="L75">
        <f>L74</f>
        <v>6.25E-2</v>
      </c>
      <c r="M75">
        <f>hint*1.2</f>
        <v>0.24</v>
      </c>
      <c r="O75">
        <f>L75</f>
        <v>6.25E-2</v>
      </c>
      <c r="P75">
        <f>G75</f>
        <v>0.2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D3:AJ75"/>
  <sheetViews>
    <sheetView topLeftCell="C1" zoomScale="90" zoomScaleNormal="90" workbookViewId="0">
      <selection activeCell="E17" sqref="E17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6" max="26" width="12.28515625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130</v>
      </c>
      <c r="J6" t="s">
        <v>18</v>
      </c>
      <c r="K6">
        <f>dcas/1000</f>
        <v>0.13</v>
      </c>
      <c r="M6" t="s">
        <v>19</v>
      </c>
      <c r="N6" s="9" cm="1">
        <f t="array" ref="N6">[1]!feed_rho_liq_kgm3(p,t,feed_json)</f>
        <v>710.08729851862768</v>
      </c>
      <c r="O6" t="s">
        <v>28</v>
      </c>
    </row>
    <row r="7" spans="4:16" x14ac:dyDescent="0.25">
      <c r="D7" s="1" t="s">
        <v>1</v>
      </c>
      <c r="E7" s="1">
        <v>0.82</v>
      </c>
      <c r="H7" s="3" t="s">
        <v>25</v>
      </c>
      <c r="I7">
        <v>115</v>
      </c>
      <c r="J7" t="s">
        <v>18</v>
      </c>
      <c r="K7">
        <f>dintake/1000</f>
        <v>0.115</v>
      </c>
      <c r="M7" t="s">
        <v>20</v>
      </c>
      <c r="N7" s="9" cm="1">
        <f t="array" ref="N7">[1]!PVT_rho_gas_kgm3(p,t,PVT_json)</f>
        <v>78.967200170021485</v>
      </c>
      <c r="O7" t="s">
        <v>28</v>
      </c>
    </row>
    <row r="8" spans="4:16" x14ac:dyDescent="0.25">
      <c r="D8" s="1" t="s">
        <v>2</v>
      </c>
      <c r="E8" s="1">
        <v>1.1000000000000001</v>
      </c>
      <c r="M8" t="s">
        <v>21</v>
      </c>
      <c r="N8" s="6" cm="1">
        <f t="array" ref="N8">[1]!feed_ST_liqgas_Nm(p,t,feed_json)*calibr_st</f>
        <v>2.4310771580607238E-2</v>
      </c>
      <c r="O8" t="s">
        <v>29</v>
      </c>
      <c r="P8">
        <f>Пов._Натяжение/1000</f>
        <v>2.4310771580607236E-5</v>
      </c>
    </row>
    <row r="9" spans="4:16" x14ac:dyDescent="0.25">
      <c r="D9" s="1" t="s">
        <v>3</v>
      </c>
      <c r="E9" s="1">
        <v>120</v>
      </c>
      <c r="H9" s="4" t="s">
        <v>26</v>
      </c>
      <c r="I9" s="4">
        <v>80</v>
      </c>
      <c r="M9" t="s">
        <v>22</v>
      </c>
      <c r="N9" s="7" cm="1">
        <f t="array" ref="N9">[1]!feed_q_liq_rc_m3day(p,t,feed_json)</f>
        <v>188.67922215450145</v>
      </c>
    </row>
    <row r="10" spans="4:16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s="7" cm="1">
        <f t="array" ref="N10">[1]!feed_q_gas_rc_m3day(p,t,feed_json)</f>
        <v>86.538041604624667</v>
      </c>
    </row>
    <row r="11" spans="4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ref="N11">[1]!feed_mu_liq_cP(p,t,feed_json)</f>
        <v>0.45984301215190354</v>
      </c>
    </row>
    <row r="12" spans="4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1.4714724789456983E-2</v>
      </c>
    </row>
    <row r="13" spans="4:16" x14ac:dyDescent="0.25">
      <c r="D13" s="1" t="s">
        <v>7</v>
      </c>
      <c r="E13" s="1">
        <v>0.3</v>
      </c>
      <c r="H13" s="10" t="s">
        <v>50</v>
      </c>
      <c r="I13" s="4">
        <v>1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{"gamma_gas":0.81,"gamma_oil":0.82,"gamma_wat":1.1,"rsb_m3m3":120,"muob_cP":0.3,"PVT_corr_set":1}</v>
      </c>
    </row>
    <row r="16" spans="4:16" x14ac:dyDescent="0.25">
      <c r="D16" s="1" t="s">
        <v>10</v>
      </c>
      <c r="E16" s="1">
        <v>150</v>
      </c>
    </row>
    <row r="17" spans="4:36" x14ac:dyDescent="0.25">
      <c r="D17" s="1" t="s">
        <v>11</v>
      </c>
      <c r="E17" s="1">
        <v>0</v>
      </c>
    </row>
    <row r="18" spans="4:36" x14ac:dyDescent="0.25">
      <c r="D18" s="1" t="s">
        <v>12</v>
      </c>
      <c r="E18" s="1">
        <v>120</v>
      </c>
    </row>
    <row r="19" spans="4:36" x14ac:dyDescent="0.25">
      <c r="D19" s="1" t="s">
        <v>13</v>
      </c>
      <c r="E19" s="1">
        <v>0</v>
      </c>
    </row>
    <row r="20" spans="4:36" x14ac:dyDescent="0.25">
      <c r="D20" s="1" t="s">
        <v>14</v>
      </c>
      <c r="E20" s="2" t="str">
        <f>[1]!encode_feed(E16,E17,E18,E19,E15)</f>
        <v>{"gamma_gas":0.81,"gamma_oil":0.82,"gamma_wat":1.1,"rsb_m3m3":120,"muob_cP":0.3,"PVT_corr_set":1,"q_liq_sm3day":150,"fw_perc":0,"rp_m3m3":120}</v>
      </c>
    </row>
    <row r="23" spans="4:36" x14ac:dyDescent="0.25">
      <c r="I23" s="5"/>
    </row>
    <row r="26" spans="4:36" x14ac:dyDescent="0.25">
      <c r="E26" t="s">
        <v>46</v>
      </c>
    </row>
    <row r="28" spans="4:36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P28" t="s">
        <v>34</v>
      </c>
    </row>
    <row r="29" spans="4:36" x14ac:dyDescent="0.25">
      <c r="F29">
        <v>2</v>
      </c>
      <c r="G29" t="str">
        <f>[1]!encode_feed(F29,$E$17,$E$18,$E$19,$E$15)</f>
        <v>{"gamma_gas":0.81,"gamma_oil":0.82,"gamma_wat":1.1,"rsb_m3m3":120,"muob_cP":0.3,"PVT_corr_set":1,"q_liq_sm3day":2,"fw_perc":0,"rp_m3m3":120}</v>
      </c>
      <c r="H29" s="9" cm="1">
        <f t="array" ref="H29">[1]!feed_rho_liq_kgm3(p,t,G29)</f>
        <v>710.08729851862768</v>
      </c>
      <c r="I29" s="9" cm="1">
        <f t="array" ref="I29">[1]!PVT_rho_gas_kgm3(p,t,PVT_json)</f>
        <v>78.967200170021485</v>
      </c>
      <c r="J29" s="6" cm="1">
        <f t="array" ref="J29">[1]!feed_ST_liqgas_Nm(p,t,G29)</f>
        <v>2.4310771580607238E-2</v>
      </c>
      <c r="K29" s="8" cm="1">
        <f t="array" ref="K29">[1]!feed_q_liq_rc_m3day(p,t,G29)</f>
        <v>2.5157229620600194</v>
      </c>
      <c r="L29" s="8" cm="1">
        <f t="array" ref="L29">[1]!feed_q_gas_rc_m3day(p,t,G29)</f>
        <v>1.153840554728329</v>
      </c>
      <c r="M29" s="7" cm="1">
        <f t="array" ref="M29">[1]!feed_mu_liq_cP(p,t,G29)</f>
        <v>0.45984301215190354</v>
      </c>
      <c r="N29" s="7" cm="1">
        <f t="array" ref="N29">[1]!PVT_mu_gas_cP(p,t,G29)</f>
        <v>1.4714724789456983E-2</v>
      </c>
      <c r="O29" s="7"/>
      <c r="P29" s="7" t="e" cm="1">
        <f t="array" ref="P29">[1]!unf_ksep_mechanistic_Marquez_reverse(dintake_m,dcas_m,K29,L29,J29,H29,I29,M29,N29,1,hperf,calibr_li,calibr_st)</f>
        <v>#VALUE!</v>
      </c>
      <c r="R29" s="11" t="e">
        <f t="array" ref="R29:X29">[1]!unf_ksep_mechanistic_Marquez_reverse(dintake_m,dcas_m,K29,L29,J29,H29,I29,M29,N29,0,hint+hperf,calibr_li,calibr_st)</f>
        <v>#VALUE!</v>
      </c>
      <c r="S29" s="11" t="e">
        <v>#VALUE!</v>
      </c>
      <c r="T29" s="11" t="e">
        <v>#VALUE!</v>
      </c>
      <c r="U29" s="11" t="e">
        <v>#VALUE!</v>
      </c>
      <c r="V29" s="11" t="e">
        <v>#VALUE!</v>
      </c>
      <c r="W29" s="11" t="e">
        <v>#VALUE!</v>
      </c>
      <c r="X29" t="e">
        <v>#VALUE!</v>
      </c>
      <c r="AE29" s="1" cm="1">
        <f t="array" ref="AE29">[1]!feed_rho_mix_kgm3(p,t,G29)/$AE$43</f>
        <v>51.16408181546376</v>
      </c>
      <c r="AF29" s="1"/>
      <c r="AG29" s="1" t="e">
        <f>W29^2*9.81*(H29-I29-AE29)/54/(M29*0.001)</f>
        <v>#VALUE!</v>
      </c>
      <c r="AH29" s="1"/>
      <c r="AI29" s="1" t="e">
        <f>1.2*(V29-U29)+AG29</f>
        <v>#VALUE!</v>
      </c>
      <c r="AJ29" t="e">
        <f>1.2*(V29-U29)+T29</f>
        <v>#VALUE!</v>
      </c>
    </row>
    <row r="30" spans="4:36" x14ac:dyDescent="0.25">
      <c r="F30">
        <v>10</v>
      </c>
      <c r="G30" t="str">
        <f>[1]!encode_feed(F30,$E$17,$E$18,$E$19,$E$15)</f>
        <v>{"gamma_gas":0.81,"gamma_oil":0.82,"gamma_wat":1.1,"rsb_m3m3":120,"muob_cP":0.3,"PVT_corr_set":1,"q_liq_sm3day":10,"fw_perc":0,"rp_m3m3":120}</v>
      </c>
      <c r="H30" s="9" cm="1">
        <f t="array" ref="H30">[1]!feed_rho_liq_kgm3(p,t,G30)</f>
        <v>710.08729851862768</v>
      </c>
      <c r="I30" s="9" cm="1">
        <f t="array" ref="I30">[1]!PVT_rho_gas_kgm3(p,t,PVT_json)</f>
        <v>78.967200170021485</v>
      </c>
      <c r="J30" s="6" cm="1">
        <f t="array" ref="J30">[1]!feed_ST_liqgas_Nm(p,t,G30)</f>
        <v>2.4310771580607238E-2</v>
      </c>
      <c r="K30" s="8" cm="1">
        <f t="array" ref="K30">[1]!feed_q_liq_rc_m3day(p,t,G30)</f>
        <v>12.578614810300097</v>
      </c>
      <c r="L30" s="8" cm="1">
        <f t="array" ref="L30">[1]!feed_q_gas_rc_m3day(p,t,G30)</f>
        <v>5.7692027736416449</v>
      </c>
      <c r="M30" s="7" cm="1">
        <f t="array" ref="M30">[1]!feed_mu_liq_cP(p,t,G30)</f>
        <v>0.45984301215190354</v>
      </c>
      <c r="N30" s="7" cm="1">
        <f t="array" ref="N30">[1]!PVT_mu_gas_cP(p,t,G30)</f>
        <v>1.4714724789456983E-2</v>
      </c>
      <c r="O30" s="7"/>
      <c r="P30" s="7" t="e" cm="1">
        <f t="array" ref="P30">[1]!unf_ksep_mechanistic_Marquez_reverse(dintake_m,dcas_m,K30,L30,J30,H30,I30,M30,N30,1,hperf,calibr_li,calibr_st)</f>
        <v>#VALUE!</v>
      </c>
      <c r="R30" s="11" t="e">
        <f t="array" ref="R30:X30">[1]!unf_ksep_mechanistic_Marquez_reverse(dintake_m,dcas_m,K30,L30,J30,H30,I30,M30,N30,0,hint+hperf,calibr_li,calibr_st)</f>
        <v>#VALUE!</v>
      </c>
      <c r="S30" s="11" t="e">
        <v>#VALUE!</v>
      </c>
      <c r="T30" s="11" t="e">
        <v>#VALUE!</v>
      </c>
      <c r="U30" s="11" t="e">
        <v>#VALUE!</v>
      </c>
      <c r="V30" s="11" t="e">
        <v>#VALUE!</v>
      </c>
      <c r="W30" s="11" t="e">
        <v>#VALUE!</v>
      </c>
      <c r="X30" t="e">
        <v>#VALUE!</v>
      </c>
      <c r="AE30" s="1" cm="1">
        <f t="array" ref="AE30">[1]!feed_rho_mix_kgm3(p,t,G30)/$AE$43</f>
        <v>51.16408181546376</v>
      </c>
      <c r="AF30" s="1"/>
      <c r="AG30" s="1" t="e">
        <f>W30^2*9.81*(H30-I30-AE30)/54/(M30*0.001)</f>
        <v>#VALUE!</v>
      </c>
      <c r="AH30" s="1"/>
      <c r="AI30" s="1" t="e">
        <f>1.2*(V30-U30)+AG30</f>
        <v>#VALUE!</v>
      </c>
      <c r="AJ30" t="e">
        <f>1.2*(V30-U30)+T30</f>
        <v>#VALUE!</v>
      </c>
    </row>
    <row r="31" spans="4:36" x14ac:dyDescent="0.25">
      <c r="F31">
        <v>30</v>
      </c>
      <c r="G31" t="str">
        <f>[1]!encode_feed(F31,$E$17,$E$18,$E$19,$E$15)</f>
        <v>{"gamma_gas":0.81,"gamma_oil":0.82,"gamma_wat":1.1,"rsb_m3m3":120,"muob_cP":0.3,"PVT_corr_set":1,"q_liq_sm3day":30,"fw_perc":0,"rp_m3m3":120}</v>
      </c>
      <c r="H31" s="9" cm="1">
        <f t="array" ref="H31">[1]!feed_rho_liq_kgm3(p,t,G31)</f>
        <v>710.08729851862768</v>
      </c>
      <c r="I31" s="9" cm="1">
        <f t="array" ref="I31">[1]!PVT_rho_gas_kgm3(p,t,PVT_json)</f>
        <v>78.967200170021485</v>
      </c>
      <c r="J31" s="6" cm="1">
        <f t="array" ref="J31">[1]!feed_ST_liqgas_Nm(p,t,G31)</f>
        <v>2.4310771580607238E-2</v>
      </c>
      <c r="K31" s="8" cm="1">
        <f t="array" ref="K31">[1]!feed_q_liq_rc_m3day(p,t,G31)</f>
        <v>37.735844430900293</v>
      </c>
      <c r="L31" s="8" cm="1">
        <f t="array" ref="L31">[1]!feed_q_gas_rc_m3day(p,t,G31)</f>
        <v>17.307608320924935</v>
      </c>
      <c r="M31" s="7" cm="1">
        <f t="array" ref="M31">[1]!feed_mu_liq_cP(p,t,G31)</f>
        <v>0.45984301215190354</v>
      </c>
      <c r="N31" s="7" cm="1">
        <f t="array" ref="N31">[1]!PVT_mu_gas_cP(p,t,G31)</f>
        <v>1.4714724789456983E-2</v>
      </c>
      <c r="O31" s="7"/>
      <c r="P31" s="7" t="e" cm="1">
        <f t="array" ref="P31">[1]!unf_ksep_mechanistic_Marquez_reverse(dintake_m,dcas_m,K31,L31,J31,H31,I31,M31,N31,1,hperf,calibr_li,calibr_st)</f>
        <v>#VALUE!</v>
      </c>
      <c r="R31" s="11" t="e">
        <f t="array" ref="R31:X31">[1]!unf_ksep_mechanistic_Marquez_reverse(dintake_m,dcas_m,K31,L31,J31,H31,I31,M31,N31,0,hint+hperf,calibr_li,calibr_st)</f>
        <v>#VALUE!</v>
      </c>
      <c r="S31" s="11" t="e">
        <v>#VALUE!</v>
      </c>
      <c r="T31" s="11" t="e">
        <v>#VALUE!</v>
      </c>
      <c r="U31" s="11" t="e">
        <v>#VALUE!</v>
      </c>
      <c r="V31" s="11" t="e">
        <v>#VALUE!</v>
      </c>
      <c r="W31" s="11" t="e">
        <v>#VALUE!</v>
      </c>
      <c r="X31" t="e">
        <v>#VALUE!</v>
      </c>
      <c r="AE31" s="1" cm="1">
        <f t="array" ref="AE31">[1]!feed_rho_mix_kgm3(p,t,G31)/$AE$43</f>
        <v>51.16408181546376</v>
      </c>
      <c r="AF31" s="1"/>
      <c r="AG31" s="1" t="e">
        <f>W31^2*9.81*(H31-I31-AE31)/54/(M31*0.001)</f>
        <v>#VALUE!</v>
      </c>
      <c r="AH31" s="1"/>
      <c r="AI31" s="1" t="e">
        <f>1.2*(V31-U31)+AG31</f>
        <v>#VALUE!</v>
      </c>
      <c r="AJ31" t="e">
        <f>1.2*(V31-U31)+T31</f>
        <v>#VALUE!</v>
      </c>
    </row>
    <row r="32" spans="4:36" x14ac:dyDescent="0.25">
      <c r="F32">
        <v>50</v>
      </c>
      <c r="G32" t="str">
        <f>[1]!encode_feed(F32,$E$17,$E$18,$E$19,$E$15)</f>
        <v>{"gamma_gas":0.81,"gamma_oil":0.82,"gamma_wat":1.1,"rsb_m3m3":120,"muob_cP":0.3,"PVT_corr_set":1,"q_liq_sm3day":50,"fw_perc":0,"rp_m3m3":120}</v>
      </c>
      <c r="H32" s="9" cm="1">
        <f t="array" ref="H32">[1]!feed_rho_liq_kgm3(p,t,G32)</f>
        <v>710.08729851862768</v>
      </c>
      <c r="I32" s="9" cm="1">
        <f t="array" ref="I32">[1]!PVT_rho_gas_kgm3(p,t,PVT_json)</f>
        <v>78.967200170021485</v>
      </c>
      <c r="J32" s="6" cm="1">
        <f t="array" ref="J32">[1]!feed_ST_liqgas_Nm(p,t,G32)</f>
        <v>2.4310771580607238E-2</v>
      </c>
      <c r="K32" s="8" cm="1">
        <f t="array" ref="K32">[1]!feed_q_liq_rc_m3day(p,t,G32)</f>
        <v>62.893074051500484</v>
      </c>
      <c r="L32" s="8" cm="1">
        <f t="array" ref="L32">[1]!feed_q_gas_rc_m3day(p,t,G32)</f>
        <v>28.846013868208225</v>
      </c>
      <c r="M32" s="7" cm="1">
        <f t="array" ref="M32">[1]!feed_mu_liq_cP(p,t,G32)</f>
        <v>0.45984301215190354</v>
      </c>
      <c r="N32" s="7" cm="1">
        <f t="array" ref="N32">[1]!PVT_mu_gas_cP(p,t,G32)</f>
        <v>1.4714724789456983E-2</v>
      </c>
      <c r="O32" s="7"/>
      <c r="P32" s="7" t="e" cm="1">
        <f t="array" ref="P32">[1]!unf_ksep_mechanistic_Marquez_reverse(dintake_m,dcas_m,K32,L32,J32,H32,I32,M32,N32,1,hperf,calibr_li,calibr_st)</f>
        <v>#VALUE!</v>
      </c>
      <c r="R32" s="11" t="e">
        <f t="array" ref="R32:X32">[1]!unf_ksep_mechanistic_Marquez_reverse(dintake_m,dcas_m,K32,L32,J32,H32,I32,M32,N32,0,hint+hperf,calibr_li,calibr_st)</f>
        <v>#VALUE!</v>
      </c>
      <c r="S32" s="11" t="e">
        <v>#VALUE!</v>
      </c>
      <c r="T32" s="11" t="e">
        <v>#VALUE!</v>
      </c>
      <c r="U32" s="11" t="e">
        <v>#VALUE!</v>
      </c>
      <c r="V32" s="11" t="e">
        <v>#VALUE!</v>
      </c>
      <c r="W32" s="11" t="e">
        <v>#VALUE!</v>
      </c>
      <c r="X32" t="e">
        <v>#VALUE!</v>
      </c>
      <c r="AE32" s="1" cm="1">
        <f t="array" ref="AE32">[1]!feed_rho_mix_kgm3(p,t,G32)/$AE$43</f>
        <v>51.16408181546376</v>
      </c>
      <c r="AF32" s="1"/>
      <c r="AG32" s="1" t="e">
        <f>W32^2*9.81*(H32-I32-AE32)/54/(M32*0.001)</f>
        <v>#VALUE!</v>
      </c>
      <c r="AH32" s="1"/>
      <c r="AI32" s="1" t="e">
        <f>1.2*(V32-U32)+AG32</f>
        <v>#VALUE!</v>
      </c>
      <c r="AJ32" t="e">
        <f>1.2*(V32-U32)+T32</f>
        <v>#VALUE!</v>
      </c>
    </row>
    <row r="33" spans="5:36" x14ac:dyDescent="0.25">
      <c r="F33">
        <v>70</v>
      </c>
      <c r="G33" t="str">
        <f>[1]!encode_feed(F33,$E$17,$E$18,$E$19,$E$15)</f>
        <v>{"gamma_gas":0.81,"gamma_oil":0.82,"gamma_wat":1.1,"rsb_m3m3":120,"muob_cP":0.3,"PVT_corr_set":1,"q_liq_sm3day":70,"fw_perc":0,"rp_m3m3":120}</v>
      </c>
      <c r="H33" s="9" cm="1">
        <f t="array" ref="H33">[1]!feed_rho_liq_kgm3(p,t,G33)</f>
        <v>710.08729851862768</v>
      </c>
      <c r="I33" s="9" cm="1">
        <f t="array" ref="I33">[1]!PVT_rho_gas_kgm3(p,t,PVT_json)</f>
        <v>78.967200170021485</v>
      </c>
      <c r="J33" s="6" cm="1">
        <f t="array" ref="J33">[1]!feed_ST_liqgas_Nm(p,t,G33)</f>
        <v>2.4310771580607238E-2</v>
      </c>
      <c r="K33" s="8" cm="1">
        <f t="array" ref="K33">[1]!feed_q_liq_rc_m3day(p,t,G33)</f>
        <v>88.050303672100682</v>
      </c>
      <c r="L33" s="8" cm="1">
        <f t="array" ref="L33">[1]!feed_q_gas_rc_m3day(p,t,G33)</f>
        <v>40.384419415491514</v>
      </c>
      <c r="M33" s="7" cm="1">
        <f t="array" ref="M33">[1]!feed_mu_liq_cP(p,t,G33)</f>
        <v>0.45984301215190354</v>
      </c>
      <c r="N33" s="7" cm="1">
        <f t="array" ref="N33">[1]!PVT_mu_gas_cP(p,t,G33)</f>
        <v>1.4714724789456983E-2</v>
      </c>
      <c r="O33" s="7"/>
      <c r="P33" s="7" t="e" cm="1">
        <f t="array" ref="P33">[1]!unf_ksep_mechanistic_Marquez_reverse(dintake_m,dcas_m,K33,L33,J33,H33,I33,M33,N33,1,hperf,calibr_li,calibr_st)</f>
        <v>#VALUE!</v>
      </c>
      <c r="R33" s="11" t="e">
        <f t="array" ref="R33:X33">[1]!unf_ksep_mechanistic_Marquez_reverse(dintake_m,dcas_m,K33,L33,J33,H33,I33,M33,N33,0,hint+hperf,calibr_li,calibr_st)</f>
        <v>#VALUE!</v>
      </c>
      <c r="S33" s="11" t="e">
        <v>#VALUE!</v>
      </c>
      <c r="T33" s="11" t="e">
        <v>#VALUE!</v>
      </c>
      <c r="U33" s="11" t="e">
        <v>#VALUE!</v>
      </c>
      <c r="V33" s="11" t="e">
        <v>#VALUE!</v>
      </c>
      <c r="W33" s="11" t="e">
        <v>#VALUE!</v>
      </c>
      <c r="X33" t="e">
        <v>#VALUE!</v>
      </c>
      <c r="AE33" s="1" cm="1">
        <f t="array" ref="AE33">[1]!feed_rho_mix_kgm3(p,t,G33)/$AE$43</f>
        <v>51.164081815463767</v>
      </c>
      <c r="AF33" s="1"/>
      <c r="AG33" s="1" t="e">
        <f>W33^2*9.81*(H33-I33-AE33)/54/(M33*0.001)</f>
        <v>#VALUE!</v>
      </c>
      <c r="AH33" s="1"/>
      <c r="AI33" s="1" t="e">
        <f>1.2*(V33-U33)+AG33</f>
        <v>#VALUE!</v>
      </c>
      <c r="AJ33" t="e">
        <f>1.2*(V33-U33)+T33</f>
        <v>#VALUE!</v>
      </c>
    </row>
    <row r="34" spans="5:36" x14ac:dyDescent="0.25">
      <c r="F34">
        <v>90</v>
      </c>
      <c r="G34" t="str">
        <f>[1]!encode_feed(F34,$E$17,$E$18,$E$19,$E$15)</f>
        <v>{"gamma_gas":0.81,"gamma_oil":0.82,"gamma_wat":1.1,"rsb_m3m3":120,"muob_cP":0.3,"PVT_corr_set":1,"q_liq_sm3day":90,"fw_perc":0,"rp_m3m3":120}</v>
      </c>
      <c r="H34" s="9" cm="1">
        <f t="array" ref="H34">[1]!feed_rho_liq_kgm3(p,t,G34)</f>
        <v>710.08729851862768</v>
      </c>
      <c r="I34" s="9" cm="1">
        <f t="array" ref="I34">[1]!PVT_rho_gas_kgm3(p,t,PVT_json)</f>
        <v>78.967200170021485</v>
      </c>
      <c r="J34" s="6" cm="1">
        <f t="array" ref="J34">[1]!feed_ST_liqgas_Nm(p,t,G34)</f>
        <v>2.4310771580607238E-2</v>
      </c>
      <c r="K34" s="8" cm="1">
        <f t="array" ref="K34">[1]!feed_q_liq_rc_m3day(p,t,G34)</f>
        <v>113.20753329270087</v>
      </c>
      <c r="L34" s="8" cm="1">
        <f t="array" ref="L34">[1]!feed_q_gas_rc_m3day(p,t,G34)</f>
        <v>51.922824962774804</v>
      </c>
      <c r="M34" s="7" cm="1">
        <f t="array" ref="M34">[1]!feed_mu_liq_cP(p,t,G34)</f>
        <v>0.45984301215190354</v>
      </c>
      <c r="N34" s="7" cm="1">
        <f t="array" ref="N34">[1]!PVT_mu_gas_cP(p,t,G34)</f>
        <v>1.4714724789456983E-2</v>
      </c>
      <c r="O34" s="7"/>
      <c r="P34" s="7" t="e" cm="1">
        <f t="array" ref="P34">[1]!unf_ksep_mechanistic_Marquez_reverse(dintake_m,dcas_m,K34,L34,J34,H34,I34,M34,N34,1,hperf,calibr_li,calibr_st)</f>
        <v>#VALUE!</v>
      </c>
      <c r="R34" s="11" t="e">
        <f t="array" ref="R34:X34">[1]!unf_ksep_mechanistic_Marquez_reverse(dintake_m,dcas_m,K34,L34,J34,H34,I34,M34,N34,0,hint+hperf,calibr_li,calibr_st)</f>
        <v>#VALUE!</v>
      </c>
      <c r="S34" s="11" t="e">
        <v>#VALUE!</v>
      </c>
      <c r="T34" s="11" t="e">
        <v>#VALUE!</v>
      </c>
      <c r="U34" s="11" t="e">
        <v>#VALUE!</v>
      </c>
      <c r="V34" s="11" t="e">
        <v>#VALUE!</v>
      </c>
      <c r="W34" s="11" t="e">
        <v>#VALUE!</v>
      </c>
      <c r="X34" t="e">
        <v>#VALUE!</v>
      </c>
      <c r="AE34" s="1" cm="1">
        <f t="array" ref="AE34">[1]!feed_rho_mix_kgm3(p,t,G34)/$AE$43</f>
        <v>51.16408181546376</v>
      </c>
      <c r="AF34" s="1"/>
      <c r="AG34" s="1" t="e">
        <f>W34^2*9.81*(H34-I34-AE34)/54/(M34*0.001)</f>
        <v>#VALUE!</v>
      </c>
      <c r="AH34" s="1"/>
      <c r="AI34" s="1" t="e">
        <f>1.2*(V34-U34)+AG34</f>
        <v>#VALUE!</v>
      </c>
      <c r="AJ34" t="e">
        <f>1.2*(V34-U34)+T34</f>
        <v>#VALUE!</v>
      </c>
    </row>
    <row r="35" spans="5:36" x14ac:dyDescent="0.25">
      <c r="F35">
        <v>110</v>
      </c>
      <c r="G35" t="str">
        <f>[1]!encode_feed(F35,$E$17,$E$18,$E$19,$E$15)</f>
        <v>{"gamma_gas":0.81,"gamma_oil":0.82,"gamma_wat":1.1,"rsb_m3m3":120,"muob_cP":0.3,"PVT_corr_set":1,"q_liq_sm3day":110,"fw_perc":0,"rp_m3m3":120}</v>
      </c>
      <c r="H35" s="9" cm="1">
        <f t="array" ref="H35">[1]!feed_rho_liq_kgm3(p,t,G35)</f>
        <v>710.08729851862768</v>
      </c>
      <c r="I35" s="9" cm="1">
        <f t="array" ref="I35">[1]!PVT_rho_gas_kgm3(p,t,PVT_json)</f>
        <v>78.967200170021485</v>
      </c>
      <c r="J35" s="6" cm="1">
        <f t="array" ref="J35">[1]!feed_ST_liqgas_Nm(p,t,G35)</f>
        <v>2.4310771580607238E-2</v>
      </c>
      <c r="K35" s="8" cm="1">
        <f t="array" ref="K35">[1]!feed_q_liq_rc_m3day(p,t,G35)</f>
        <v>138.36476291330106</v>
      </c>
      <c r="L35" s="8" cm="1">
        <f t="array" ref="L35">[1]!feed_q_gas_rc_m3day(p,t,G35)</f>
        <v>63.461230510058087</v>
      </c>
      <c r="M35" s="7" cm="1">
        <f t="array" ref="M35">[1]!feed_mu_liq_cP(p,t,G35)</f>
        <v>0.45984301215190354</v>
      </c>
      <c r="N35" s="7" cm="1">
        <f t="array" ref="N35">[1]!PVT_mu_gas_cP(p,t,G35)</f>
        <v>1.4714724789456983E-2</v>
      </c>
      <c r="O35" s="7"/>
      <c r="P35" s="7" t="e" cm="1">
        <f t="array" ref="P35">[1]!unf_ksep_mechanistic_Marquez_reverse(dintake_m,dcas_m,K35,L35,J35,H35,I35,M35,N35,1,hperf,calibr_li,calibr_st)</f>
        <v>#VALUE!</v>
      </c>
      <c r="R35" s="11" t="e">
        <f t="array" ref="R35:X35">[1]!unf_ksep_mechanistic_Marquez_reverse(dintake_m,dcas_m,K35,L35,J35,H35,I35,M35,N35,0,hint+hperf,calibr_li,calibr_st)</f>
        <v>#VALUE!</v>
      </c>
      <c r="S35" s="11" t="e">
        <v>#VALUE!</v>
      </c>
      <c r="T35" s="11" t="e">
        <v>#VALUE!</v>
      </c>
      <c r="U35" s="11" t="e">
        <v>#VALUE!</v>
      </c>
      <c r="V35" s="11" t="e">
        <v>#VALUE!</v>
      </c>
      <c r="W35" s="11" t="e">
        <v>#VALUE!</v>
      </c>
      <c r="X35" t="e">
        <v>#VALUE!</v>
      </c>
      <c r="AE35" s="1" cm="1">
        <f t="array" ref="AE35">[1]!feed_rho_mix_kgm3(p,t,G35)/$AE$43</f>
        <v>51.164081815463767</v>
      </c>
      <c r="AF35" s="1"/>
      <c r="AG35" s="1" t="e">
        <f>W35^2*9.81*(H35-I35-AE35)/54/(M35*0.001)</f>
        <v>#VALUE!</v>
      </c>
      <c r="AH35" s="1"/>
      <c r="AI35" s="1" t="e">
        <f>1.2*(V35-U35)+AG35</f>
        <v>#VALUE!</v>
      </c>
      <c r="AJ35" t="e">
        <f>1.2*(V35-U35)+T35</f>
        <v>#VALUE!</v>
      </c>
    </row>
    <row r="36" spans="5:36" x14ac:dyDescent="0.25">
      <c r="F36">
        <v>130</v>
      </c>
      <c r="G36" t="str">
        <f>[1]!encode_feed(F36,$E$17,$E$18,$E$19,$E$15)</f>
        <v>{"gamma_gas":0.81,"gamma_oil":0.82,"gamma_wat":1.1,"rsb_m3m3":120,"muob_cP":0.3,"PVT_corr_set":1,"q_liq_sm3day":130,"fw_perc":0,"rp_m3m3":120}</v>
      </c>
      <c r="H36" s="9" cm="1">
        <f t="array" ref="H36">[1]!feed_rho_liq_kgm3(p,t,G36)</f>
        <v>710.08729851862768</v>
      </c>
      <c r="I36" s="9" cm="1">
        <f t="array" ref="I36">[1]!PVT_rho_gas_kgm3(p,t,PVT_json)</f>
        <v>78.967200170021485</v>
      </c>
      <c r="J36" s="6" cm="1">
        <f t="array" ref="J36">[1]!feed_ST_liqgas_Nm(p,t,G36)</f>
        <v>2.4310771580607238E-2</v>
      </c>
      <c r="K36" s="8" cm="1">
        <f t="array" ref="K36">[1]!feed_q_liq_rc_m3day(p,t,G36)</f>
        <v>163.52199253390125</v>
      </c>
      <c r="L36" s="8" cm="1">
        <f t="array" ref="L36">[1]!feed_q_gas_rc_m3day(p,t,G36)</f>
        <v>74.999636057341377</v>
      </c>
      <c r="M36" s="7" cm="1">
        <f t="array" ref="M36">[1]!feed_mu_liq_cP(p,t,G36)</f>
        <v>0.45984301215190354</v>
      </c>
      <c r="N36" s="7" cm="1">
        <f t="array" ref="N36">[1]!PVT_mu_gas_cP(p,t,G36)</f>
        <v>1.4714724789456983E-2</v>
      </c>
      <c r="O36" s="7"/>
      <c r="P36" s="7" t="e" cm="1">
        <f t="array" ref="P36">[1]!unf_ksep_mechanistic_Marquez_reverse(dintake_m,dcas_m,K36,L36,J36,H36,I36,M36,N36,1,hperf,calibr_li,calibr_st)</f>
        <v>#VALUE!</v>
      </c>
      <c r="R36" s="11" t="e">
        <f t="array" ref="R36:X36">[1]!unf_ksep_mechanistic_Marquez_reverse(dintake_m,dcas_m,K36,L36,J36,H36,I36,M36,N36,0,hint+hperf,calibr_li,calibr_st)</f>
        <v>#VALUE!</v>
      </c>
      <c r="S36" s="11" t="e">
        <v>#VALUE!</v>
      </c>
      <c r="T36" s="11" t="e">
        <v>#VALUE!</v>
      </c>
      <c r="U36" s="11" t="e">
        <v>#VALUE!</v>
      </c>
      <c r="V36" s="11" t="e">
        <v>#VALUE!</v>
      </c>
      <c r="W36" s="11" t="e">
        <v>#VALUE!</v>
      </c>
      <c r="X36" t="e">
        <v>#VALUE!</v>
      </c>
      <c r="AE36" s="1" cm="1">
        <f t="array" ref="AE36">[1]!feed_rho_mix_kgm3(p,t,G36)/$AE$43</f>
        <v>51.16408181546376</v>
      </c>
      <c r="AF36" s="1"/>
      <c r="AG36" s="1" t="e">
        <f>W36^2*9.81*(H36-I36-AE36)/54/(M36*0.001)</f>
        <v>#VALUE!</v>
      </c>
      <c r="AH36" s="1"/>
      <c r="AI36" s="1" t="e">
        <f>1.2*(V36-U36)+AG36</f>
        <v>#VALUE!</v>
      </c>
      <c r="AJ36" t="e">
        <f>1.2*(V36-U36)+T36</f>
        <v>#VALUE!</v>
      </c>
    </row>
    <row r="37" spans="5:36" x14ac:dyDescent="0.25">
      <c r="F37">
        <v>150</v>
      </c>
      <c r="G37" t="str">
        <f>[1]!encode_feed(F37,$E$17,$E$18,$E$19,$E$15)</f>
        <v>{"gamma_gas":0.81,"gamma_oil":0.82,"gamma_wat":1.1,"rsb_m3m3":120,"muob_cP":0.3,"PVT_corr_set":1,"q_liq_sm3day":150,"fw_perc":0,"rp_m3m3":120}</v>
      </c>
      <c r="H37" s="9" cm="1">
        <f t="array" ref="H37">[1]!feed_rho_liq_kgm3(p,t,G37)</f>
        <v>710.08729851862768</v>
      </c>
      <c r="I37" s="9" cm="1">
        <f t="array" ref="I37">[1]!PVT_rho_gas_kgm3(p,t,PVT_json)</f>
        <v>78.967200170021485</v>
      </c>
      <c r="J37" s="6" cm="1">
        <f t="array" ref="J37">[1]!feed_ST_liqgas_Nm(p,t,G37)</f>
        <v>2.4310771580607238E-2</v>
      </c>
      <c r="K37" s="8" cm="1">
        <f t="array" ref="K37">[1]!feed_q_liq_rc_m3day(p,t,G37)</f>
        <v>188.67922215450145</v>
      </c>
      <c r="L37" s="8" cm="1">
        <f t="array" ref="L37">[1]!feed_q_gas_rc_m3day(p,t,G37)</f>
        <v>86.538041604624667</v>
      </c>
      <c r="M37" s="7" cm="1">
        <f t="array" ref="M37">[1]!feed_mu_liq_cP(p,t,G37)</f>
        <v>0.45984301215190354</v>
      </c>
      <c r="N37" s="7" cm="1">
        <f t="array" ref="N37">[1]!PVT_mu_gas_cP(p,t,G37)</f>
        <v>1.4714724789456983E-2</v>
      </c>
      <c r="O37" s="7"/>
      <c r="P37" s="7" t="e" cm="1">
        <f t="array" ref="P37">[1]!unf_ksep_mechanistic_Marquez_reverse(dintake_m,dcas_m,K37,L37,J37,H37,I37,M37,N37,1,hperf,calibr_li,calibr_st)</f>
        <v>#VALUE!</v>
      </c>
      <c r="R37" s="11" t="e">
        <f t="array" ref="R37:X37">[1]!unf_ksep_mechanistic_Marquez_reverse(dintake_m,dcas_m,K37,L37,J37,H37,I37,M37,N37,0,hint+hperf,calibr_li,calibr_st)</f>
        <v>#VALUE!</v>
      </c>
      <c r="S37" s="11" t="e">
        <v>#VALUE!</v>
      </c>
      <c r="T37" s="11" t="e">
        <v>#VALUE!</v>
      </c>
      <c r="U37" s="11" t="e">
        <v>#VALUE!</v>
      </c>
      <c r="V37" s="11" t="e">
        <v>#VALUE!</v>
      </c>
      <c r="W37" s="11" t="e">
        <v>#VALUE!</v>
      </c>
      <c r="X37" t="e">
        <v>#VALUE!</v>
      </c>
      <c r="AE37" s="1" cm="1">
        <f t="array" ref="AE37">[1]!feed_rho_mix_kgm3(p,t,G37)/$AE$43</f>
        <v>51.164081815463767</v>
      </c>
      <c r="AF37" s="1"/>
      <c r="AG37" s="1" t="e">
        <f>W37^2*9.81*(H37-I37-AE37)/54/(M37*0.001)</f>
        <v>#VALUE!</v>
      </c>
      <c r="AH37" s="1"/>
      <c r="AI37" s="1" t="e">
        <f>1.2*(V37-U37)+AG37</f>
        <v>#VALUE!</v>
      </c>
      <c r="AJ37" t="e">
        <f>1.2*(V37-U37)+T37</f>
        <v>#VALUE!</v>
      </c>
    </row>
    <row r="38" spans="5:36" x14ac:dyDescent="0.25">
      <c r="F38">
        <v>170</v>
      </c>
      <c r="G38" t="str">
        <f>[1]!encode_feed(F38,$E$17,$E$18,$E$19,$E$15)</f>
        <v>{"gamma_gas":0.81,"gamma_oil":0.82,"gamma_wat":1.1,"rsb_m3m3":120,"muob_cP":0.3,"PVT_corr_set":1,"q_liq_sm3day":170,"fw_perc":0,"rp_m3m3":120}</v>
      </c>
      <c r="H38" s="9" cm="1">
        <f t="array" ref="H38">[1]!feed_rho_liq_kgm3(p,t,G38)</f>
        <v>710.08729851862768</v>
      </c>
      <c r="I38" s="9" cm="1">
        <f t="array" ref="I38">[1]!PVT_rho_gas_kgm3(p,t,PVT_json)</f>
        <v>78.967200170021485</v>
      </c>
      <c r="J38" s="6" cm="1">
        <f t="array" ref="J38">[1]!feed_ST_liqgas_Nm(p,t,G38)</f>
        <v>2.4310771580607238E-2</v>
      </c>
      <c r="K38" s="8" cm="1">
        <f t="array" ref="K38">[1]!feed_q_liq_rc_m3day(p,t,G38)</f>
        <v>213.83645177510166</v>
      </c>
      <c r="L38" s="8" cm="1">
        <f t="array" ref="L38">[1]!feed_q_gas_rc_m3day(p,t,G38)</f>
        <v>98.076447151907956</v>
      </c>
      <c r="M38" s="7" cm="1">
        <f t="array" ref="M38">[1]!feed_mu_liq_cP(p,t,G38)</f>
        <v>0.45984301215190354</v>
      </c>
      <c r="N38" s="7" cm="1">
        <f t="array" ref="N38">[1]!PVT_mu_gas_cP(p,t,G38)</f>
        <v>1.4714724789456983E-2</v>
      </c>
      <c r="O38" s="7"/>
      <c r="P38" s="7" t="e" cm="1">
        <f t="array" ref="P38">[1]!unf_ksep_mechanistic_Marquez_reverse(dintake_m,dcas_m,K38,L38,J38,H38,I38,M38,N38,1,hperf,calibr_li,calibr_st)</f>
        <v>#VALUE!</v>
      </c>
      <c r="R38" s="11" t="e">
        <f t="array" ref="R38:X38">[1]!unf_ksep_mechanistic_Marquez_reverse(dintake_m,dcas_m,K38,L38,J38,H38,I38,M38,N38,0,hint+hperf,calibr_li,calibr_st)</f>
        <v>#VALUE!</v>
      </c>
      <c r="S38" s="11" t="e">
        <v>#VALUE!</v>
      </c>
      <c r="T38" s="11" t="e">
        <v>#VALUE!</v>
      </c>
      <c r="U38" s="11" t="e">
        <v>#VALUE!</v>
      </c>
      <c r="V38" s="11" t="e">
        <v>#VALUE!</v>
      </c>
      <c r="W38" s="11" t="e">
        <v>#VALUE!</v>
      </c>
      <c r="X38" t="e">
        <v>#VALUE!</v>
      </c>
      <c r="AE38" s="1" cm="1">
        <f t="array" ref="AE38">[1]!feed_rho_mix_kgm3(p,t,G38)/$AE$43</f>
        <v>51.164081815463767</v>
      </c>
      <c r="AF38" s="1"/>
      <c r="AG38" s="1" t="e">
        <f>W38^2*9.81*(H38-I38-AE38)/54/(M38*0.001)</f>
        <v>#VALUE!</v>
      </c>
      <c r="AH38" s="1"/>
      <c r="AI38" s="1" t="e">
        <f>1.2*(V38-U38)+AG38</f>
        <v>#VALUE!</v>
      </c>
      <c r="AJ38" t="e">
        <f>1.2*(V38-U38)+T38</f>
        <v>#VALUE!</v>
      </c>
    </row>
    <row r="39" spans="5:36" x14ac:dyDescent="0.25">
      <c r="F39">
        <v>190</v>
      </c>
      <c r="G39" t="str">
        <f>[1]!encode_feed(F39,$E$17,$E$18,$E$19,$E$15)</f>
        <v>{"gamma_gas":0.81,"gamma_oil":0.82,"gamma_wat":1.1,"rsb_m3m3":120,"muob_cP":0.3,"PVT_corr_set":1,"q_liq_sm3day":190,"fw_perc":0,"rp_m3m3":120}</v>
      </c>
      <c r="H39" s="9" cm="1">
        <f t="array" ref="H39">[1]!feed_rho_liq_kgm3(p,t,G39)</f>
        <v>710.08729851862768</v>
      </c>
      <c r="I39" s="9" cm="1">
        <f t="array" ref="I39">[1]!PVT_rho_gas_kgm3(p,t,PVT_json)</f>
        <v>78.967200170021485</v>
      </c>
      <c r="J39" s="6" cm="1">
        <f t="array" ref="J39">[1]!feed_ST_liqgas_Nm(p,t,G39)</f>
        <v>2.4310771580607238E-2</v>
      </c>
      <c r="K39" s="8" cm="1">
        <f t="array" ref="K39">[1]!feed_q_liq_rc_m3day(p,t,G39)</f>
        <v>238.99368139570186</v>
      </c>
      <c r="L39" s="8" cm="1">
        <f t="array" ref="L39">[1]!feed_q_gas_rc_m3day(p,t,G39)</f>
        <v>109.61485269919125</v>
      </c>
      <c r="M39" s="7" cm="1">
        <f t="array" ref="M39">[1]!feed_mu_liq_cP(p,t,G39)</f>
        <v>0.45984301215190354</v>
      </c>
      <c r="N39" s="7" cm="1">
        <f t="array" ref="N39">[1]!PVT_mu_gas_cP(p,t,G39)</f>
        <v>1.4714724789456983E-2</v>
      </c>
      <c r="O39" s="7"/>
      <c r="P39" s="7" t="e" cm="1">
        <f t="array" ref="P39">[1]!unf_ksep_mechanistic_Marquez_reverse(dintake_m,dcas_m,K39,L39,J39,H39,I39,M39,N39,1,hperf,calibr_li,calibr_st)</f>
        <v>#VALUE!</v>
      </c>
      <c r="R39" s="11" t="e">
        <f t="array" ref="R39:X39">[1]!unf_ksep_mechanistic_Marquez_reverse(dintake_m,dcas_m,K39,L39,J39,H39,I39,M39,N39,0,hint+hperf,calibr_li,calibr_st)</f>
        <v>#VALUE!</v>
      </c>
      <c r="S39" s="11" t="e">
        <v>#VALUE!</v>
      </c>
      <c r="T39" s="11" t="e">
        <v>#VALUE!</v>
      </c>
      <c r="U39" s="11" t="e">
        <v>#VALUE!</v>
      </c>
      <c r="V39" s="11" t="e">
        <v>#VALUE!</v>
      </c>
      <c r="W39" s="11" t="e">
        <v>#VALUE!</v>
      </c>
      <c r="X39" t="e">
        <v>#VALUE!</v>
      </c>
      <c r="AE39" s="1" cm="1">
        <f t="array" ref="AE39">[1]!feed_rho_mix_kgm3(p,t,G39)/$AE$43</f>
        <v>51.164081815463767</v>
      </c>
      <c r="AF39" s="1"/>
      <c r="AG39" s="1" t="e">
        <f>W39^2*9.81*(H39-I39-AE39)/54/(M39*0.001)</f>
        <v>#VALUE!</v>
      </c>
      <c r="AH39" s="1"/>
      <c r="AI39" s="1" t="e">
        <f>1.2*(V39-U39)+AG39</f>
        <v>#VALUE!</v>
      </c>
      <c r="AJ39" t="e">
        <f>1.2*(V39-U39)+T39</f>
        <v>#VALUE!</v>
      </c>
    </row>
    <row r="40" spans="5:36" x14ac:dyDescent="0.25">
      <c r="F40">
        <v>210</v>
      </c>
      <c r="G40" t="str">
        <f>[1]!encode_feed(F40,$E$17,$E$18,$E$19,$E$15)</f>
        <v>{"gamma_gas":0.81,"gamma_oil":0.82,"gamma_wat":1.1,"rsb_m3m3":120,"muob_cP":0.3,"PVT_corr_set":1,"q_liq_sm3day":210,"fw_perc":0,"rp_m3m3":120}</v>
      </c>
      <c r="H40" s="9" cm="1">
        <f t="array" ref="H40">[1]!feed_rho_liq_kgm3(p,t,G40)</f>
        <v>710.08729851862768</v>
      </c>
      <c r="I40" s="9" cm="1">
        <f t="array" ref="I40">[1]!PVT_rho_gas_kgm3(p,t,PVT_json)</f>
        <v>78.967200170021485</v>
      </c>
      <c r="J40" s="6" cm="1">
        <f t="array" ref="J40">[1]!feed_ST_liqgas_Nm(p,t,G40)</f>
        <v>2.4310771580607238E-2</v>
      </c>
      <c r="K40" s="8" cm="1">
        <f t="array" ref="K40">[1]!feed_q_liq_rc_m3day(p,t,G40)</f>
        <v>264.15091101630202</v>
      </c>
      <c r="L40" s="8" cm="1">
        <f t="array" ref="L40">[1]!feed_q_gas_rc_m3day(p,t,G40)</f>
        <v>121.15325824647452</v>
      </c>
      <c r="M40" s="7" cm="1">
        <f t="array" ref="M40">[1]!feed_mu_liq_cP(p,t,G40)</f>
        <v>0.45984301215190354</v>
      </c>
      <c r="N40" s="7" cm="1">
        <f t="array" ref="N40">[1]!PVT_mu_gas_cP(p,t,G40)</f>
        <v>1.4714724789456983E-2</v>
      </c>
      <c r="O40" s="7"/>
      <c r="P40" s="7" t="e" cm="1">
        <f t="array" ref="P40">[1]!unf_ksep_mechanistic_Marquez_reverse(dintake_m,dcas_m,K40,L40,J40,H40,I40,M40,N40,1,hperf,calibr_li,calibr_st)</f>
        <v>#VALUE!</v>
      </c>
      <c r="R40" s="11" t="e" cm="1">
        <f t="array" ref="R40">[1]!unf_ksep_mechanistic_Marquez_reverse(dintake_m,dcas_m,K40,L40,J40,H40,I40,M40,N40,0,hint+hperf,calibr_li,calibr_st)</f>
        <v>#VALUE!</v>
      </c>
      <c r="S40" s="11"/>
      <c r="T40" s="11"/>
      <c r="U40" s="11"/>
      <c r="V40" s="11"/>
      <c r="W40" s="11"/>
      <c r="AE40" s="1" cm="1">
        <f t="array" ref="AE40">[1]!feed_rho_mix_kgm3(p,t,G40)/$AE$43</f>
        <v>51.164081815463767</v>
      </c>
      <c r="AF40" s="1"/>
      <c r="AG40" s="1">
        <f>W40^2*9.81*(H40-I40-AE40)/54/(M40*0.001)</f>
        <v>0</v>
      </c>
      <c r="AH40" s="1"/>
      <c r="AI40" s="1">
        <f>1.2*(V40-U40)+AG40</f>
        <v>0</v>
      </c>
      <c r="AJ40">
        <f>1.2*(V40-U40)+T40</f>
        <v>0</v>
      </c>
    </row>
    <row r="41" spans="5:36" x14ac:dyDescent="0.25">
      <c r="R41" s="11"/>
      <c r="S41" s="11"/>
      <c r="T41" s="11"/>
      <c r="U41" s="11"/>
      <c r="V41" s="11"/>
      <c r="W41" s="11"/>
    </row>
    <row r="43" spans="5:36" x14ac:dyDescent="0.25">
      <c r="AE43">
        <v>10</v>
      </c>
    </row>
    <row r="44" spans="5:36" x14ac:dyDescent="0.25">
      <c r="AG44" t="s">
        <v>51</v>
      </c>
    </row>
    <row r="45" spans="5:36" x14ac:dyDescent="0.25">
      <c r="E45" t="s">
        <v>47</v>
      </c>
    </row>
    <row r="47" spans="5:36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36" x14ac:dyDescent="0.25">
      <c r="F48">
        <f>E16</f>
        <v>150</v>
      </c>
      <c r="G48" t="str">
        <f>[1]!encode_feed(F48,$E$17,$E$18,$E$19,$E$15)</f>
        <v>{"gamma_gas":0.81,"gamma_oil":0.82,"gamma_wat":1.1,"rsb_m3m3":120,"muob_cP":0.3,"PVT_corr_set":1,"q_liq_sm3day":150,"fw_perc":0,"rp_m3m3":120}</v>
      </c>
      <c r="H48" s="9" cm="1">
        <f t="array" ref="H48">[1]!feed_rho_liq_kgm3(p,t,G48)</f>
        <v>710.08729851862768</v>
      </c>
      <c r="I48" s="9" cm="1">
        <f t="array" ref="I48">[1]!PVT_rho_gas_kgm3(p,t,PVT_json)</f>
        <v>78.967200170021485</v>
      </c>
      <c r="J48" s="6" cm="1">
        <f t="array" ref="J48">[1]!feed_ST_liqgas_Nm(p,t,G48)</f>
        <v>2.4310771580607238E-2</v>
      </c>
      <c r="K48" s="8" cm="1">
        <f t="array" ref="K48">[1]!feed_q_liq_rc_m3day(p,t,G48)</f>
        <v>188.67922215450145</v>
      </c>
      <c r="L48" s="8" cm="1">
        <f t="array" ref="L48">[1]!feed_q_gas_rc_m3day(p,t,G48)</f>
        <v>86.538041604624667</v>
      </c>
      <c r="M48" s="7" cm="1">
        <f t="array" ref="M48">[1]!feed_mu_liq_cP(p,t,G48)</f>
        <v>0.45984301215190354</v>
      </c>
      <c r="N48" s="7" cm="1">
        <f t="array" ref="N48">[1]!PVT_mu_gas_cP(p,t,G48)</f>
        <v>1.4714724789456983E-2</v>
      </c>
    </row>
    <row r="53" spans="5:30" x14ac:dyDescent="0.25">
      <c r="E53" t="e" cm="1">
        <f t="array" ref="E53">[1]!unf_ksep_mechanistic_Marquez_reverse_build_bubble_tracks(dintake_m,dcas_m,K48,L48,J48,H48,I48,M48,N48,hperf,calibr_li,calibr_st)</f>
        <v>#VALUE!</v>
      </c>
    </row>
    <row r="55" spans="5:30" x14ac:dyDescent="0.25">
      <c r="E55" t="str" cm="1">
        <f t="array" ref="E55">[1]!decode_json(E53)</f>
        <v>error</v>
      </c>
      <c r="I55" t="str" cm="1">
        <f t="array" ref="I55">[1]!decode_json_crv(F55)</f>
        <v>error:decode_json_crv: Error parsing JSON:_x000D_
_x000D_
^_x000D_
Expecting '{' or '['</v>
      </c>
      <c r="L55" t="str" cm="1">
        <f t="array" ref="L55">[1]!decode_json_crv(F56)</f>
        <v>error:decode_json_crv: Error parsing JSON:_x000D_
_x000D_
^_x000D_
Expecting '{' or '['</v>
      </c>
      <c r="O55" t="str" cm="1">
        <f t="array" ref="O55">[1]!decode_json_crv(F57)</f>
        <v>error:decode_json_crv: Error parsing JSON:_x000D_
_x000D_
^_x000D_
Expecting '{' or '['</v>
      </c>
      <c r="R55" t="str" cm="1">
        <f t="array" ref="R55">[1]!decode_json_crv(F58)</f>
        <v>error:decode_json_crv: Error parsing JSON:_x000D_
_x000D_
^_x000D_
Expecting '{' or '['</v>
      </c>
      <c r="U55" t="str" cm="1">
        <f t="array" ref="U55">[1]!decode_json_crv(F59)</f>
        <v>error:decode_json_crv: Error parsing JSON:_x000D_
_x000D_
^_x000D_
Expecting '{' or '['</v>
      </c>
      <c r="X55" t="str" cm="1">
        <f t="array" ref="X55">[1]!decode_json_crv(F60)</f>
        <v>error:decode_json_crv: Error parsing JSON:_x000D_
_x000D_
^_x000D_
Expecting '{' or '['</v>
      </c>
      <c r="AA55" t="str" cm="1">
        <f t="array" ref="AA55">[1]!decode_json_crv(F61)</f>
        <v>error:decode_json_crv: Error parsing JSON:_x000D_
_x000D_
^_x000D_
Expecting '{' or '['</v>
      </c>
      <c r="AD55" t="str" cm="1">
        <f t="array" ref="AD55">[1]!decode_json_crv(F62)</f>
        <v>error:decode_json_crv: Error parsing JSON:_x000D_
_x000D_
^_x000D_
Expecting '{' or '['</v>
      </c>
    </row>
    <row r="73" spans="6:16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16" x14ac:dyDescent="0.25">
      <c r="F74">
        <f>dcas_m/2</f>
        <v>6.5000000000000002E-2</v>
      </c>
      <c r="G74">
        <v>0</v>
      </c>
      <c r="I74">
        <f>dintake_m/2</f>
        <v>5.7500000000000002E-2</v>
      </c>
      <c r="J74">
        <f>M74</f>
        <v>-0.19999999999999996</v>
      </c>
      <c r="L74">
        <f>dcas_m/2</f>
        <v>6.5000000000000002E-2</v>
      </c>
      <c r="M74">
        <f>P75-M75</f>
        <v>-0.19999999999999996</v>
      </c>
      <c r="O74">
        <f>dcas_m/2</f>
        <v>6.5000000000000002E-2</v>
      </c>
      <c r="P74">
        <v>0</v>
      </c>
    </row>
    <row r="75" spans="6:16" x14ac:dyDescent="0.25">
      <c r="F75">
        <f>F74</f>
        <v>6.5000000000000002E-2</v>
      </c>
      <c r="G75">
        <f>hperf</f>
        <v>1</v>
      </c>
      <c r="I75">
        <f>I74</f>
        <v>5.7500000000000002E-2</v>
      </c>
      <c r="J75">
        <f>hperf*1.2</f>
        <v>1.2</v>
      </c>
      <c r="L75">
        <f>L74</f>
        <v>6.5000000000000002E-2</v>
      </c>
      <c r="M75">
        <f>hperf*1.2</f>
        <v>1.2</v>
      </c>
      <c r="O75">
        <f>dintake_m/2</f>
        <v>5.7500000000000002E-2</v>
      </c>
      <c r="P75">
        <f>G75</f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E101"/>
  <sheetViews>
    <sheetView tabSelected="1" zoomScale="85" zoomScaleNormal="85" workbookViewId="0">
      <selection activeCell="E17" sqref="E17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</cols>
  <sheetData>
    <row r="1" spans="3:16" x14ac:dyDescent="0.25">
      <c r="C1" t="s">
        <v>53</v>
      </c>
    </row>
    <row r="3" spans="3:16" x14ac:dyDescent="0.25">
      <c r="D3" t="s">
        <v>15</v>
      </c>
      <c r="H3" t="s">
        <v>17</v>
      </c>
      <c r="M3" t="s">
        <v>16</v>
      </c>
    </row>
    <row r="6" spans="3:16" x14ac:dyDescent="0.25">
      <c r="D6" s="1" t="s">
        <v>0</v>
      </c>
      <c r="E6" s="1">
        <v>0.81</v>
      </c>
      <c r="H6" s="3" t="s">
        <v>24</v>
      </c>
      <c r="I6">
        <v>137</v>
      </c>
      <c r="J6" t="s">
        <v>18</v>
      </c>
      <c r="K6">
        <f>dcas/1000</f>
        <v>0.13700000000000001</v>
      </c>
      <c r="M6" t="s">
        <v>19</v>
      </c>
      <c r="N6" s="9" cm="1">
        <f t="array" ref="N6">[1]!feed_rho_liq_kgm3(p,t,feed_json)</f>
        <v>707.25246874416587</v>
      </c>
      <c r="O6" t="s">
        <v>28</v>
      </c>
    </row>
    <row r="7" spans="3:16" x14ac:dyDescent="0.25">
      <c r="D7" s="1" t="s">
        <v>1</v>
      </c>
      <c r="E7" s="1">
        <v>0.82</v>
      </c>
      <c r="H7" s="3" t="s">
        <v>25</v>
      </c>
      <c r="I7">
        <v>115</v>
      </c>
      <c r="J7" t="s">
        <v>18</v>
      </c>
      <c r="K7">
        <f>dintake/1000</f>
        <v>0.115</v>
      </c>
      <c r="M7" t="s">
        <v>20</v>
      </c>
      <c r="N7" s="9" cm="1">
        <f t="array" ref="N7">[1]!PVT_rho_gas_kgm3(p,t,PVT_json)</f>
        <v>102.6081859719242</v>
      </c>
      <c r="O7" t="s">
        <v>28</v>
      </c>
    </row>
    <row r="8" spans="3:16" x14ac:dyDescent="0.25">
      <c r="D8" s="1" t="s">
        <v>2</v>
      </c>
      <c r="E8" s="1">
        <v>1.1000000000000001</v>
      </c>
      <c r="H8" t="s">
        <v>45</v>
      </c>
      <c r="I8">
        <v>100</v>
      </c>
      <c r="J8" t="s">
        <v>35</v>
      </c>
      <c r="K8">
        <f>I8/1000</f>
        <v>0.1</v>
      </c>
      <c r="M8" t="s">
        <v>21</v>
      </c>
      <c r="N8" s="6" cm="1">
        <f t="array" ref="N8">[1]!feed_ST_liqgas_Nm(p,t,feed_json)*calibr_st</f>
        <v>2.3693872187412611E-2</v>
      </c>
      <c r="O8" t="s">
        <v>29</v>
      </c>
      <c r="P8">
        <f>Пов._Натяжение/1000</f>
        <v>2.369387218741261E-5</v>
      </c>
    </row>
    <row r="9" spans="3:16" x14ac:dyDescent="0.25">
      <c r="D9" s="1" t="s">
        <v>3</v>
      </c>
      <c r="E9" s="1">
        <v>120</v>
      </c>
      <c r="H9" s="4" t="s">
        <v>26</v>
      </c>
      <c r="I9" s="4">
        <v>100</v>
      </c>
      <c r="M9" t="s">
        <v>22</v>
      </c>
      <c r="N9" s="7" cm="1">
        <f t="array" ref="N9">[1]!feed_q_liq_rc_m3day(p,t,feed_json)</f>
        <v>25.323618443770705</v>
      </c>
    </row>
    <row r="10" spans="3:16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s="7" cm="1">
        <f t="array" ref="N10">[1]!feed_q_gas_rc_m3day(p,t,feed_json)</f>
        <v>8.4281105831507865</v>
      </c>
    </row>
    <row r="11" spans="3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ref="N11">[1]!feed_mu_liq_cP(p,t,feed_json)</f>
        <v>0.41225217145080506</v>
      </c>
    </row>
    <row r="12" spans="3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1.5934611970626747E-2</v>
      </c>
    </row>
    <row r="13" spans="3:16" x14ac:dyDescent="0.25">
      <c r="D13" s="1" t="s">
        <v>7</v>
      </c>
      <c r="E13" s="1">
        <v>0.3</v>
      </c>
      <c r="H13" s="10" t="s">
        <v>52</v>
      </c>
      <c r="I13" s="4">
        <v>0.25</v>
      </c>
    </row>
    <row r="14" spans="3:16" x14ac:dyDescent="0.25">
      <c r="D14" s="1" t="s">
        <v>8</v>
      </c>
      <c r="E14" s="1">
        <v>0</v>
      </c>
    </row>
    <row r="15" spans="3:16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</row>
    <row r="16" spans="3:16" x14ac:dyDescent="0.25">
      <c r="D16" s="1" t="s">
        <v>10</v>
      </c>
      <c r="E16" s="1">
        <v>20</v>
      </c>
      <c r="F16" t="s">
        <v>54</v>
      </c>
      <c r="G16">
        <f>E16/pkv_ratio</f>
        <v>80</v>
      </c>
      <c r="H16" s="10" t="s">
        <v>55</v>
      </c>
    </row>
    <row r="17" spans="4:25" x14ac:dyDescent="0.25">
      <c r="D17" s="1" t="s">
        <v>11</v>
      </c>
      <c r="E17" s="1">
        <v>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{"gamma_gas":0.81,"gamma_oil":0.82,"gamma_wat":1.1,"rsb_m3m3":120,"muob_cP":0.3,"PVT_corr_set":0,"q_liq_sm3day":20,"fw_perc":0,"rp_m3m3":120}</v>
      </c>
    </row>
    <row r="23" spans="4:25" x14ac:dyDescent="0.25">
      <c r="I23" s="5"/>
    </row>
    <row r="26" spans="4:25" x14ac:dyDescent="0.25">
      <c r="E26" t="s">
        <v>46</v>
      </c>
    </row>
    <row r="28" spans="4:25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5" x14ac:dyDescent="0.25">
      <c r="D29">
        <f>(S29+1/pkv_ratio)/(1+1/pkv_ratio)</f>
        <v>0.98907729276394929</v>
      </c>
      <c r="F29">
        <v>2</v>
      </c>
      <c r="G29" t="str">
        <f>[1]!encode_feed(F29,$E$17,$E$18,$E$19,$E$15)</f>
        <v>{"gamma_gas":0.81,"gamma_oil":0.82,"gamma_wat":1.1,"rsb_m3m3":120,"muob_cP":0.3,"PVT_corr_set":0,"q_liq_sm3day":2,"fw_perc":0,"rp_m3m3":120}</v>
      </c>
      <c r="H29" s="9" cm="1">
        <f t="array" ref="H29">[1]!feed_rho_liq_kgm3(p,t,G29)</f>
        <v>707.25246874416587</v>
      </c>
      <c r="I29" s="9" cm="1">
        <f t="array" ref="I29">[1]!PVT_rho_gas_kgm3(p,t,PVT_json)</f>
        <v>102.6081859719242</v>
      </c>
      <c r="J29" s="6" cm="1">
        <f t="array" ref="J29">[1]!feed_ST_liqgas_Nm(p,t,G29)</f>
        <v>2.3693872187412611E-2</v>
      </c>
      <c r="K29" s="8" cm="1">
        <f t="array" ref="K29">[1]!feed_q_liq_rc_m3day(p,t,G29)</f>
        <v>2.5323618443770703</v>
      </c>
      <c r="L29" s="8" cm="1">
        <f t="array" ref="L29">[1]!feed_q_gas_rc_m3day(p,t,G29)</f>
        <v>0.84281105831507874</v>
      </c>
      <c r="M29" s="7" cm="1">
        <f t="array" ref="M29">[1]!feed_mu_liq_cP(p,t,G29)</f>
        <v>0.41225217145080506</v>
      </c>
      <c r="N29" s="7" cm="1">
        <f t="array" ref="N29">[1]!PVT_mu_gas_cP(p,t,G29)</f>
        <v>1.5934611970626747E-2</v>
      </c>
      <c r="O29" s="7" cm="1">
        <f t="array" ref="O29">[1]!unf_ksep_natural_simplified_Marquez(dintake_m,dcas_m,K29,L29,J29,H29,I29,1)</f>
        <v>0.96386091664450824</v>
      </c>
      <c r="P29" s="7" cm="1">
        <f t="array" ref="P29">[1]!unf_ksep_mechanistic_Marquez_pkv(dintake_m,dcas_m,K29,L29,J29,H29,I29,M29,N29,1,hint,calibr_li,calibr_st,pkv_ratio)</f>
        <v>0.98907729276394929</v>
      </c>
      <c r="R29">
        <f t="array" ref="R29:Y29">[1]!unf_ksep_mechanistic_Marquez_pkv(dintake_m,dcas_m,K29,L29,J29,H29,I29,M29,N29,0,hint,calibr_li,calibr_st,pkv_ratio)</f>
        <v>0.98907729276394929</v>
      </c>
      <c r="S29">
        <v>0.94538646381974645</v>
      </c>
      <c r="T29">
        <v>0</v>
      </c>
      <c r="U29">
        <v>0.19808675823474897</v>
      </c>
      <c r="V29">
        <v>6.7312564431906106E-3</v>
      </c>
      <c r="W29">
        <v>2.2402712231952785E-3</v>
      </c>
      <c r="X29">
        <v>1.3815427366544657E-3</v>
      </c>
      <c r="Y29">
        <v>0.18191921144276577</v>
      </c>
    </row>
    <row r="30" spans="4:25" x14ac:dyDescent="0.25">
      <c r="D30">
        <f>(S30+1/pkv_ratio)/(1+1/pkv_ratio)</f>
        <v>0.97154967125100167</v>
      </c>
      <c r="F30">
        <v>5</v>
      </c>
      <c r="G30" t="str">
        <f>[1]!encode_feed(F30,$E$17,$E$18,$E$19,$E$15)</f>
        <v>{"gamma_gas":0.81,"gamma_oil":0.82,"gamma_wat":1.1,"rsb_m3m3":120,"muob_cP":0.3,"PVT_corr_set":0,"q_liq_sm3day":5,"fw_perc":0,"rp_m3m3":120}</v>
      </c>
      <c r="H30" s="9" cm="1">
        <f t="array" ref="H30">[1]!feed_rho_liq_kgm3(p,t,G30)</f>
        <v>707.25246874416587</v>
      </c>
      <c r="I30" s="9" cm="1">
        <f t="array" ref="I30">[1]!PVT_rho_gas_kgm3(p,t,PVT_json)</f>
        <v>102.6081859719242</v>
      </c>
      <c r="J30" s="6" cm="1">
        <f t="array" ref="J30">[1]!feed_ST_liqgas_Nm(p,t,G30)</f>
        <v>2.3693872187412611E-2</v>
      </c>
      <c r="K30" s="8" cm="1">
        <f t="array" ref="K30">[1]!feed_q_liq_rc_m3day(p,t,G30)</f>
        <v>6.3309046109426763</v>
      </c>
      <c r="L30" s="8" cm="1">
        <f t="array" ref="L30">[1]!feed_q_gas_rc_m3day(p,t,G30)</f>
        <v>2.1070276457876966</v>
      </c>
      <c r="M30" s="7" cm="1">
        <f t="array" ref="M30">[1]!feed_mu_liq_cP(p,t,G30)</f>
        <v>0.41225217145080506</v>
      </c>
      <c r="N30" s="7" cm="1">
        <f t="array" ref="N30">[1]!PVT_mu_gas_cP(p,t,G30)</f>
        <v>1.5934611970626747E-2</v>
      </c>
      <c r="O30" s="7" cm="1">
        <f t="array" ref="O30">[1]!unf_ksep_natural_simplified_Marquez(dintake_m,dcas_m,K30,L30,J30,H30,I30,1)</f>
        <v>0.92484935612656816</v>
      </c>
      <c r="P30" s="7" cm="1">
        <f t="array" ref="P30">[1]!unf_ksep_mechanistic_Marquez_pkv(dintake_m,dcas_m,K30,L30,J30,H30,I30,M30,N30,1,hint,calibr_li,calibr_st,pkv_ratio)</f>
        <v>0.97154967125100167</v>
      </c>
      <c r="R30">
        <f t="array" ref="R30:Y30">[1]!unf_ksep_mechanistic_Marquez_pkv(dintake_m,dcas_m,K30,L30,J30,H30,I30,M30,N30,0,hint,calibr_li,calibr_st,pkv_ratio)</f>
        <v>0.97154967125100167</v>
      </c>
      <c r="S30">
        <v>0.85774835625500834</v>
      </c>
      <c r="T30">
        <v>3</v>
      </c>
      <c r="U30">
        <v>0.1825505419026118</v>
      </c>
      <c r="V30">
        <v>1.6828141107976528E-2</v>
      </c>
      <c r="W30">
        <v>5.6006780579881954E-3</v>
      </c>
      <c r="X30">
        <v>1.3764817586499316E-3</v>
      </c>
      <c r="Y30">
        <v>0.15766789125479097</v>
      </c>
    </row>
    <row r="31" spans="4:25" x14ac:dyDescent="0.25">
      <c r="D31">
        <f>(S31+1/pkv_ratio)/(1+1/pkv_ratio)</f>
        <v>0.94000692484351078</v>
      </c>
      <c r="F31">
        <v>10</v>
      </c>
      <c r="G31" t="str">
        <f>[1]!encode_feed(F31,$E$17,$E$18,$E$19,$E$15)</f>
        <v>{"gamma_gas":0.81,"gamma_oil":0.82,"gamma_wat":1.1,"rsb_m3m3":120,"muob_cP":0.3,"PVT_corr_set":0,"q_liq_sm3day":10,"fw_perc":0,"rp_m3m3":120}</v>
      </c>
      <c r="H31" s="9" cm="1">
        <f t="array" ref="H31">[1]!feed_rho_liq_kgm3(p,t,G31)</f>
        <v>707.25246874416587</v>
      </c>
      <c r="I31" s="9" cm="1">
        <f t="array" ref="I31">[1]!PVT_rho_gas_kgm3(p,t,PVT_json)</f>
        <v>102.6081859719242</v>
      </c>
      <c r="J31" s="6" cm="1">
        <f t="array" ref="J31">[1]!feed_ST_liqgas_Nm(p,t,G31)</f>
        <v>2.3693872187412611E-2</v>
      </c>
      <c r="K31" s="8" cm="1">
        <f t="array" ref="K31">[1]!feed_q_liq_rc_m3day(p,t,G31)</f>
        <v>12.661809221885353</v>
      </c>
      <c r="L31" s="8" cm="1">
        <f t="array" ref="L31">[1]!feed_q_gas_rc_m3day(p,t,G31)</f>
        <v>4.2140552915753933</v>
      </c>
      <c r="M31" s="7" cm="1">
        <f t="array" ref="M31">[1]!feed_mu_liq_cP(p,t,G31)</f>
        <v>0.41225217145080506</v>
      </c>
      <c r="N31" s="7" cm="1">
        <f t="array" ref="N31">[1]!PVT_mu_gas_cP(p,t,G31)</f>
        <v>1.5934611970626747E-2</v>
      </c>
      <c r="O31" s="7" cm="1">
        <f t="array" ref="O31">[1]!unf_ksep_natural_simplified_Marquez(dintake_m,dcas_m,K31,L31,J31,H31,I31,1)</f>
        <v>0.8714590602747212</v>
      </c>
      <c r="P31" s="7" cm="1">
        <f t="array" ref="P31">[1]!unf_ksep_mechanistic_Marquez_pkv(dintake_m,dcas_m,K31,L31,J31,H31,I31,M31,N31,1,hint,calibr_li,calibr_st,pkv_ratio)</f>
        <v>0.94000692484351078</v>
      </c>
      <c r="R31">
        <f t="array" ref="R31:Y31">[1]!unf_ksep_mechanistic_Marquez_pkv(dintake_m,dcas_m,K31,L31,J31,H31,I31,M31,N31,0,hint,calibr_li,calibr_st,pkv_ratio)</f>
        <v>0.94000692484351078</v>
      </c>
      <c r="S31">
        <v>0.70003462421755391</v>
      </c>
      <c r="T31">
        <v>3</v>
      </c>
      <c r="U31">
        <v>0.1825505419026118</v>
      </c>
      <c r="V31">
        <v>3.3656282215953057E-2</v>
      </c>
      <c r="W31">
        <v>1.1201356115976391E-2</v>
      </c>
      <c r="X31">
        <v>1.3687376880803953E-3</v>
      </c>
      <c r="Y31">
        <v>0.11724902427483298</v>
      </c>
    </row>
    <row r="32" spans="4:25" x14ac:dyDescent="0.25">
      <c r="D32">
        <f>(S32+1/pkv_ratio)/(1+1/pkv_ratio)</f>
        <v>0.90657885039184516</v>
      </c>
      <c r="F32">
        <v>15</v>
      </c>
      <c r="G32" t="str">
        <f>[1]!encode_feed(F32,$E$17,$E$18,$E$19,$E$15)</f>
        <v>{"gamma_gas":0.81,"gamma_oil":0.82,"gamma_wat":1.1,"rsb_m3m3":120,"muob_cP":0.3,"PVT_corr_set":0,"q_liq_sm3day":15,"fw_perc":0,"rp_m3m3":120}</v>
      </c>
      <c r="H32" s="9" cm="1">
        <f t="array" ref="H32">[1]!feed_rho_liq_kgm3(p,t,G32)</f>
        <v>707.25246874416587</v>
      </c>
      <c r="I32" s="9" cm="1">
        <f t="array" ref="I32">[1]!PVT_rho_gas_kgm3(p,t,PVT_json)</f>
        <v>102.6081859719242</v>
      </c>
      <c r="J32" s="6" cm="1">
        <f t="array" ref="J32">[1]!feed_ST_liqgas_Nm(p,t,G32)</f>
        <v>2.3693872187412611E-2</v>
      </c>
      <c r="K32" s="8" cm="1">
        <f t="array" ref="K32">[1]!feed_q_liq_rc_m3day(p,t,G32)</f>
        <v>18.992713832828027</v>
      </c>
      <c r="L32" s="8" cm="1">
        <f t="array" ref="L32">[1]!feed_q_gas_rc_m3day(p,t,G32)</f>
        <v>6.3210829373630908</v>
      </c>
      <c r="M32" s="7" cm="1">
        <f t="array" ref="M32">[1]!feed_mu_liq_cP(p,t,G32)</f>
        <v>0.41225217145080506</v>
      </c>
      <c r="N32" s="7" cm="1">
        <f t="array" ref="N32">[1]!PVT_mu_gas_cP(p,t,G32)</f>
        <v>1.5934611970626747E-2</v>
      </c>
      <c r="O32" s="7" cm="1">
        <f t="array" ref="O32">[1]!unf_ksep_natural_simplified_Marquez(dintake_m,dcas_m,K32,L32,J32,H32,I32,1)</f>
        <v>0.82468645569994281</v>
      </c>
      <c r="P32" s="7" cm="1">
        <f t="array" ref="P32">[1]!unf_ksep_mechanistic_Marquez_pkv(dintake_m,dcas_m,K32,L32,J32,H32,I32,M32,N32,1,hint,calibr_li,calibr_st,pkv_ratio)</f>
        <v>0.90657885039184516</v>
      </c>
      <c r="R32">
        <f t="array" ref="R32:Y32">[1]!unf_ksep_mechanistic_Marquez_pkv(dintake_m,dcas_m,K32,L32,J32,H32,I32,M32,N32,0,hint,calibr_li,calibr_st,pkv_ratio)</f>
        <v>0.90657885039184516</v>
      </c>
      <c r="S32">
        <v>0.53289425195922557</v>
      </c>
      <c r="T32">
        <v>3</v>
      </c>
      <c r="U32">
        <v>0.1825505419026118</v>
      </c>
      <c r="V32">
        <v>5.0484423323929578E-2</v>
      </c>
      <c r="W32">
        <v>1.680203417396459E-2</v>
      </c>
      <c r="X32">
        <v>1.3617985012765055E-3</v>
      </c>
      <c r="Y32">
        <v>7.6830157294875023E-2</v>
      </c>
    </row>
    <row r="33" spans="4:25" x14ac:dyDescent="0.25">
      <c r="D33">
        <f>(S33+1/pkv_ratio)/(1+1/pkv_ratio)</f>
        <v>0.87223055414124584</v>
      </c>
      <c r="F33">
        <v>20</v>
      </c>
      <c r="G33" t="str">
        <f>[1]!encode_feed(F33,$E$17,$E$18,$E$19,$E$15)</f>
        <v>{"gamma_gas":0.81,"gamma_oil":0.82,"gamma_wat":1.1,"rsb_m3m3":120,"muob_cP":0.3,"PVT_corr_set":0,"q_liq_sm3day":20,"fw_perc":0,"rp_m3m3":120}</v>
      </c>
      <c r="H33" s="9" cm="1">
        <f t="array" ref="H33">[1]!feed_rho_liq_kgm3(p,t,G33)</f>
        <v>707.25246874416587</v>
      </c>
      <c r="I33" s="9" cm="1">
        <f t="array" ref="I33">[1]!PVT_rho_gas_kgm3(p,t,PVT_json)</f>
        <v>102.6081859719242</v>
      </c>
      <c r="J33" s="6" cm="1">
        <f t="array" ref="J33">[1]!feed_ST_liqgas_Nm(p,t,G33)</f>
        <v>2.3693872187412611E-2</v>
      </c>
      <c r="K33" s="8" cm="1">
        <f t="array" ref="K33">[1]!feed_q_liq_rc_m3day(p,t,G33)</f>
        <v>25.323618443770705</v>
      </c>
      <c r="L33" s="8" cm="1">
        <f t="array" ref="L33">[1]!feed_q_gas_rc_m3day(p,t,G33)</f>
        <v>8.4281105831507865</v>
      </c>
      <c r="M33" s="7" cm="1">
        <f t="array" ref="M33">[1]!feed_mu_liq_cP(p,t,G33)</f>
        <v>0.41225217145080506</v>
      </c>
      <c r="N33" s="7" cm="1">
        <f t="array" ref="N33">[1]!PVT_mu_gas_cP(p,t,G33)</f>
        <v>1.5934611970626747E-2</v>
      </c>
      <c r="O33" s="7" cm="1">
        <f t="array" ref="O33">[1]!unf_ksep_natural_simplified_Marquez(dintake_m,dcas_m,K33,L33,J33,H33,I33,1)</f>
        <v>0.78276761558957419</v>
      </c>
      <c r="P33" s="7" cm="1">
        <f t="array" ref="P33">[1]!unf_ksep_mechanistic_Marquez_pkv(dintake_m,dcas_m,K33,L33,J33,H33,I33,M33,N33,1,hint,calibr_li,calibr_st,pkv_ratio)</f>
        <v>0.87223055414124584</v>
      </c>
      <c r="R33">
        <f t="array" ref="R33:Y33">[1]!unf_ksep_mechanistic_Marquez_pkv(dintake_m,dcas_m,K33,L33,J33,H33,I33,M33,N33,0,hint,calibr_li,calibr_st,pkv_ratio)</f>
        <v>0.87223055414124584</v>
      </c>
      <c r="S33">
        <v>0.36115277070622925</v>
      </c>
      <c r="T33">
        <v>3</v>
      </c>
      <c r="U33">
        <v>0.1825505419026118</v>
      </c>
      <c r="V33">
        <v>6.7312564431906113E-2</v>
      </c>
      <c r="W33">
        <v>2.2402712231952782E-2</v>
      </c>
      <c r="X33">
        <v>1.3556024947882896E-3</v>
      </c>
      <c r="Y33">
        <v>3.641129031491698E-2</v>
      </c>
    </row>
    <row r="34" spans="4:25" x14ac:dyDescent="0.25">
      <c r="D34">
        <f>(S34+1/pkv_ratio)/(1+1/pkv_ratio)</f>
        <v>0.83768762873588776</v>
      </c>
      <c r="F34">
        <v>25</v>
      </c>
      <c r="G34" t="str">
        <f>[1]!encode_feed(F34,$E$17,$E$18,$E$19,$E$15)</f>
        <v>{"gamma_gas":0.81,"gamma_oil":0.82,"gamma_wat":1.1,"rsb_m3m3":120,"muob_cP":0.3,"PVT_corr_set":0,"q_liq_sm3day":25,"fw_perc":0,"rp_m3m3":120}</v>
      </c>
      <c r="H34" s="9" cm="1">
        <f t="array" ref="H34">[1]!feed_rho_liq_kgm3(p,t,G34)</f>
        <v>707.25246874416587</v>
      </c>
      <c r="I34" s="9" cm="1">
        <f t="array" ref="I34">[1]!PVT_rho_gas_kgm3(p,t,PVT_json)</f>
        <v>102.6081859719242</v>
      </c>
      <c r="J34" s="6" cm="1">
        <f t="array" ref="J34">[1]!feed_ST_liqgas_Nm(p,t,G34)</f>
        <v>2.3693872187412611E-2</v>
      </c>
      <c r="K34" s="8" cm="1">
        <f t="array" ref="K34">[1]!feed_q_liq_rc_m3day(p,t,G34)</f>
        <v>31.65452305471338</v>
      </c>
      <c r="L34" s="8" cm="1">
        <f t="array" ref="L34">[1]!feed_q_gas_rc_m3day(p,t,G34)</f>
        <v>10.535138228938484</v>
      </c>
      <c r="M34" s="7" cm="1">
        <f t="array" ref="M34">[1]!feed_mu_liq_cP(p,t,G34)</f>
        <v>0.41225217145080506</v>
      </c>
      <c r="N34" s="7" cm="1">
        <f t="array" ref="N34">[1]!PVT_mu_gas_cP(p,t,G34)</f>
        <v>1.5934611970626747E-2</v>
      </c>
      <c r="O34" s="7" cm="1">
        <f t="array" ref="O34">[1]!unf_ksep_natural_simplified_Marquez(dintake_m,dcas_m,K34,L34,J34,H34,I34,1)</f>
        <v>0.74474432818876501</v>
      </c>
      <c r="P34" s="7" cm="1">
        <f t="array" ref="P34">[1]!unf_ksep_mechanistic_Marquez_pkv(dintake_m,dcas_m,K34,L34,J34,H34,I34,M34,N34,1,hint,calibr_li,calibr_st,pkv_ratio)</f>
        <v>0</v>
      </c>
      <c r="R34">
        <f t="array" ref="R34:Y34">[1]!unf_ksep_mechanistic_Marquez_pkv(dintake_m,dcas_m,K34,L34,J34,H34,I34,M34,N34,0,hint,calibr_li,calibr_st,pkv_ratio)</f>
        <v>0</v>
      </c>
      <c r="S34">
        <v>0.1884381436794389</v>
      </c>
      <c r="T34">
        <v>3</v>
      </c>
      <c r="U34">
        <v>0.1825505419026118</v>
      </c>
      <c r="V34">
        <v>8.4140705539882635E-2</v>
      </c>
      <c r="W34">
        <v>2.800339028994098E-2</v>
      </c>
      <c r="X34">
        <v>1.3500939360903341E-3</v>
      </c>
      <c r="Y34">
        <v>-4.007576665040976E-3</v>
      </c>
    </row>
    <row r="35" spans="4:25" x14ac:dyDescent="0.25">
      <c r="D35">
        <f>(S35+1/pkv_ratio)/(1+1/pkv_ratio)</f>
        <v>0.80348663062715686</v>
      </c>
      <c r="F35">
        <v>30</v>
      </c>
      <c r="G35" t="str">
        <f>[1]!encode_feed(F35,$E$17,$E$18,$E$19,$E$15)</f>
        <v>{"gamma_gas":0.81,"gamma_oil":0.82,"gamma_wat":1.1,"rsb_m3m3":120,"muob_cP":0.3,"PVT_corr_set":0,"q_liq_sm3day":30,"fw_perc":0,"rp_m3m3":120}</v>
      </c>
      <c r="H35" s="9" cm="1">
        <f t="array" ref="H35">[1]!feed_rho_liq_kgm3(p,t,G35)</f>
        <v>707.25246874416587</v>
      </c>
      <c r="I35" s="9" cm="1">
        <f t="array" ref="I35">[1]!PVT_rho_gas_kgm3(p,t,PVT_json)</f>
        <v>102.6081859719242</v>
      </c>
      <c r="J35" s="6" cm="1">
        <f t="array" ref="J35">[1]!feed_ST_liqgas_Nm(p,t,G35)</f>
        <v>2.3693872187412611E-2</v>
      </c>
      <c r="K35" s="8" cm="1">
        <f t="array" ref="K35">[1]!feed_q_liq_rc_m3day(p,t,G35)</f>
        <v>37.985427665656054</v>
      </c>
      <c r="L35" s="8" cm="1">
        <f t="array" ref="L35">[1]!feed_q_gas_rc_m3day(p,t,G35)</f>
        <v>12.642165874726182</v>
      </c>
      <c r="M35" s="7" cm="1">
        <f t="array" ref="M35">[1]!feed_mu_liq_cP(p,t,G35)</f>
        <v>0.41225217145080506</v>
      </c>
      <c r="N35" s="7" cm="1">
        <f t="array" ref="N35">[1]!PVT_mu_gas_cP(p,t,G35)</f>
        <v>1.5934611970626747E-2</v>
      </c>
      <c r="O35" s="7" cm="1">
        <f t="array" ref="O35">[1]!unf_ksep_natural_simplified_Marquez(dintake_m,dcas_m,K35,L35,J35,H35,I35,1)</f>
        <v>0.70999475106235321</v>
      </c>
      <c r="P35" s="7" cm="1">
        <f t="array" ref="P35">[1]!unf_ksep_mechanistic_Marquez_pkv(dintake_m,dcas_m,K35,L35,J35,H35,I35,M35,N35,1,hint,calibr_li,calibr_st,pkv_ratio)</f>
        <v>0</v>
      </c>
      <c r="R35">
        <f t="array" ref="R35:Y35">[1]!unf_ksep_mechanistic_Marquez_pkv(dintake_m,dcas_m,K35,L35,J35,H35,I35,M35,N35,0,hint,calibr_li,calibr_st,pkv_ratio)</f>
        <v>0</v>
      </c>
      <c r="S35">
        <v>1.7433153135784221E-2</v>
      </c>
      <c r="T35">
        <v>3</v>
      </c>
      <c r="U35">
        <v>0.1825505419026118</v>
      </c>
      <c r="V35">
        <v>0.10096884664785916</v>
      </c>
      <c r="W35">
        <v>3.3604068347929179E-2</v>
      </c>
      <c r="X35">
        <v>1.3452223425629893E-3</v>
      </c>
      <c r="Y35">
        <v>-4.4426443644998939E-2</v>
      </c>
    </row>
    <row r="36" spans="4:25" x14ac:dyDescent="0.25">
      <c r="D36">
        <f>(S36+1/pkv_ratio)/(1+1/pkv_ratio)</f>
        <v>0.8</v>
      </c>
      <c r="F36">
        <v>35</v>
      </c>
      <c r="G36" t="str">
        <f>[1]!encode_feed(F36,$E$17,$E$18,$E$19,$E$15)</f>
        <v>{"gamma_gas":0.81,"gamma_oil":0.82,"gamma_wat":1.1,"rsb_m3m3":120,"muob_cP":0.3,"PVT_corr_set":0,"q_liq_sm3day":35,"fw_perc":0,"rp_m3m3":120}</v>
      </c>
      <c r="H36" s="9" cm="1">
        <f t="array" ref="H36">[1]!feed_rho_liq_kgm3(p,t,G36)</f>
        <v>707.25246874416587</v>
      </c>
      <c r="I36" s="9" cm="1">
        <f t="array" ref="I36">[1]!PVT_rho_gas_kgm3(p,t,PVT_json)</f>
        <v>102.6081859719242</v>
      </c>
      <c r="J36" s="6" cm="1">
        <f t="array" ref="J36">[1]!feed_ST_liqgas_Nm(p,t,G36)</f>
        <v>2.3693872187412611E-2</v>
      </c>
      <c r="K36" s="8" cm="1">
        <f t="array" ref="K36">[1]!feed_q_liq_rc_m3day(p,t,G36)</f>
        <v>44.316332276598729</v>
      </c>
      <c r="L36" s="8" cm="1">
        <f t="array" ref="L36">[1]!feed_q_gas_rc_m3day(p,t,G36)</f>
        <v>14.749193520513877</v>
      </c>
      <c r="M36" s="7" cm="1">
        <f t="array" ref="M36">[1]!feed_mu_liq_cP(p,t,G36)</f>
        <v>0.41225217145080506</v>
      </c>
      <c r="N36" s="7" cm="1">
        <f t="array" ref="N36">[1]!PVT_mu_gas_cP(p,t,G36)</f>
        <v>1.5934611970626747E-2</v>
      </c>
      <c r="O36" s="7" cm="1">
        <f t="array" ref="O36">[1]!unf_ksep_natural_simplified_Marquez(dintake_m,dcas_m,K36,L36,J36,H36,I36,1)</f>
        <v>0.67807456202809924</v>
      </c>
      <c r="P36" s="7" cm="1">
        <f t="array" ref="P36">[1]!unf_ksep_mechanistic_Marquez_pkv(dintake_m,dcas_m,K36,L36,J36,H36,I36,M36,N36,1,hint,calibr_li,calibr_st,pkv_ratio)</f>
        <v>0</v>
      </c>
      <c r="R36">
        <f t="array" ref="R36:Y36">[1]!unf_ksep_mechanistic_Marquez_pkv(dintake_m,dcas_m,K36,L36,J36,H36,I36,M36,N36,0,hint,calibr_li,calibr_st,pkv_ratio)</f>
        <v>0</v>
      </c>
      <c r="S36">
        <v>0</v>
      </c>
      <c r="T36">
        <v>3</v>
      </c>
      <c r="U36">
        <v>0.1825505419026118</v>
      </c>
      <c r="V36">
        <v>0.11779698775583568</v>
      </c>
      <c r="W36">
        <v>3.9204746405917375E-2</v>
      </c>
      <c r="X36">
        <v>1.340941862761692E-3</v>
      </c>
      <c r="Y36">
        <v>-8.4845310624956913E-2</v>
      </c>
    </row>
    <row r="37" spans="4:25" x14ac:dyDescent="0.25">
      <c r="D37">
        <f>(S37+1/pkv_ratio)/(1+1/pkv_ratio)</f>
        <v>0.8</v>
      </c>
      <c r="F37">
        <v>40</v>
      </c>
      <c r="G37" t="str">
        <f>[1]!encode_feed(F37,$E$17,$E$18,$E$19,$E$15)</f>
        <v>{"gamma_gas":0.81,"gamma_oil":0.82,"gamma_wat":1.1,"rsb_m3m3":120,"muob_cP":0.3,"PVT_corr_set":0,"q_liq_sm3day":40,"fw_perc":0,"rp_m3m3":120}</v>
      </c>
      <c r="H37" s="9" cm="1">
        <f t="array" ref="H37">[1]!feed_rho_liq_kgm3(p,t,G37)</f>
        <v>707.25246874416587</v>
      </c>
      <c r="I37" s="9" cm="1">
        <f t="array" ref="I37">[1]!PVT_rho_gas_kgm3(p,t,PVT_json)</f>
        <v>102.6081859719242</v>
      </c>
      <c r="J37" s="6" cm="1">
        <f t="array" ref="J37">[1]!feed_ST_liqgas_Nm(p,t,G37)</f>
        <v>2.3693872187412611E-2</v>
      </c>
      <c r="K37" s="8" cm="1">
        <f t="array" ref="K37">[1]!feed_q_liq_rc_m3day(p,t,G37)</f>
        <v>50.647236887541411</v>
      </c>
      <c r="L37" s="8" cm="1">
        <f t="array" ref="L37">[1]!feed_q_gas_rc_m3day(p,t,G37)</f>
        <v>16.856221166301573</v>
      </c>
      <c r="M37" s="7" cm="1">
        <f t="array" ref="M37">[1]!feed_mu_liq_cP(p,t,G37)</f>
        <v>0.41225217145080506</v>
      </c>
      <c r="N37" s="7" cm="1">
        <f t="array" ref="N37">[1]!PVT_mu_gas_cP(p,t,G37)</f>
        <v>1.5934611970626747E-2</v>
      </c>
      <c r="O37" s="7" cm="1">
        <f t="array" ref="O37">[1]!unf_ksep_natural_simplified_Marquez(dintake_m,dcas_m,K37,L37,J37,H37,I37,1)</f>
        <v>0.64864622004825045</v>
      </c>
      <c r="P37" s="7" cm="1">
        <f t="array" ref="P37">[1]!unf_ksep_mechanistic_Marquez_pkv(dintake_m,dcas_m,K37,L37,J37,H37,I37,M37,N37,1,hint,calibr_li,calibr_st,pkv_ratio)</f>
        <v>0</v>
      </c>
      <c r="R37">
        <f t="array" ref="R37:Y37">[1]!unf_ksep_mechanistic_Marquez_pkv(dintake_m,dcas_m,K37,L37,J37,H37,I37,M37,N37,0,hint,calibr_li,calibr_st,pkv_ratio)</f>
        <v>0</v>
      </c>
      <c r="S37">
        <v>0</v>
      </c>
      <c r="T37">
        <v>3</v>
      </c>
      <c r="U37">
        <v>0.1825505419026118</v>
      </c>
      <c r="V37">
        <v>0.13462512886381223</v>
      </c>
      <c r="W37">
        <v>4.4805424463905563E-2</v>
      </c>
      <c r="X37">
        <v>1.3372107434621674E-3</v>
      </c>
      <c r="Y37">
        <v>-0.12526417760491501</v>
      </c>
    </row>
    <row r="38" spans="4:25" x14ac:dyDescent="0.25">
      <c r="D38">
        <f>(S38+1/pkv_ratio)/(1+1/pkv_ratio)</f>
        <v>0.8</v>
      </c>
      <c r="F38">
        <v>45</v>
      </c>
      <c r="G38" t="str">
        <f>[1]!encode_feed(F38,$E$17,$E$18,$E$19,$E$15)</f>
        <v>{"gamma_gas":0.81,"gamma_oil":0.82,"gamma_wat":1.1,"rsb_m3m3":120,"muob_cP":0.3,"PVT_corr_set":0,"q_liq_sm3day":45,"fw_perc":0,"rp_m3m3":120}</v>
      </c>
      <c r="H38" s="9" cm="1">
        <f t="array" ref="H38">[1]!feed_rho_liq_kgm3(p,t,G38)</f>
        <v>707.25246874416587</v>
      </c>
      <c r="I38" s="9" cm="1">
        <f t="array" ref="I38">[1]!PVT_rho_gas_kgm3(p,t,PVT_json)</f>
        <v>102.6081859719242</v>
      </c>
      <c r="J38" s="6" cm="1">
        <f t="array" ref="J38">[1]!feed_ST_liqgas_Nm(p,t,G38)</f>
        <v>2.3693872187412611E-2</v>
      </c>
      <c r="K38" s="8" cm="1">
        <f t="array" ref="K38">[1]!feed_q_liq_rc_m3day(p,t,G38)</f>
        <v>56.978141498484085</v>
      </c>
      <c r="L38" s="8" cm="1">
        <f t="array" ref="L38">[1]!feed_q_gas_rc_m3day(p,t,G38)</f>
        <v>18.963248812089269</v>
      </c>
      <c r="M38" s="7" cm="1">
        <f t="array" ref="M38">[1]!feed_mu_liq_cP(p,t,G38)</f>
        <v>0.41225217145080506</v>
      </c>
      <c r="N38" s="7" cm="1">
        <f t="array" ref="N38">[1]!PVT_mu_gas_cP(p,t,G38)</f>
        <v>1.5934611970626747E-2</v>
      </c>
      <c r="O38" s="7" cm="1">
        <f t="array" ref="O38">[1]!unf_ksep_natural_simplified_Marquez(dintake_m,dcas_m,K38,L38,J38,H38,I38,1)</f>
        <v>0.64042472002836603</v>
      </c>
      <c r="P38" s="7" cm="1">
        <f t="array" ref="P38">[1]!unf_ksep_mechanistic_Marquez_pkv(dintake_m,dcas_m,K38,L38,J38,H38,I38,M38,N38,1,hint,calibr_li,calibr_st,pkv_ratio)</f>
        <v>0</v>
      </c>
      <c r="R38">
        <f t="array" ref="R38:Y38">[1]!unf_ksep_mechanistic_Marquez_pkv(dintake_m,dcas_m,K38,L38,J38,H38,I38,M38,N38,0,hint,calibr_li,calibr_st,pkv_ratio)</f>
        <v>0</v>
      </c>
      <c r="S38">
        <v>0</v>
      </c>
      <c r="T38">
        <v>1</v>
      </c>
      <c r="U38">
        <v>0.19808675823474897</v>
      </c>
      <c r="V38">
        <v>0.15145326997178873</v>
      </c>
      <c r="W38">
        <v>5.0406102521893759E-2</v>
      </c>
      <c r="X38">
        <v>1.3339908689461281E-3</v>
      </c>
      <c r="Y38">
        <v>-0.16568304458487293</v>
      </c>
    </row>
    <row r="39" spans="4:25" x14ac:dyDescent="0.25">
      <c r="D39">
        <f>(S39+1/pkv_ratio)/(1+1/pkv_ratio)</f>
        <v>0.8</v>
      </c>
      <c r="F39">
        <v>50</v>
      </c>
      <c r="G39" t="str">
        <f>[1]!encode_feed(F39,$E$17,$E$18,$E$19,$E$15)</f>
        <v>{"gamma_gas":0.81,"gamma_oil":0.82,"gamma_wat":1.1,"rsb_m3m3":120,"muob_cP":0.3,"PVT_corr_set":0,"q_liq_sm3day":50,"fw_perc":0,"rp_m3m3":120}</v>
      </c>
      <c r="H39" s="9" cm="1">
        <f t="array" ref="H39">[1]!feed_rho_liq_kgm3(p,t,G39)</f>
        <v>707.25246874416587</v>
      </c>
      <c r="I39" s="9" cm="1">
        <f t="array" ref="I39">[1]!PVT_rho_gas_kgm3(p,t,PVT_json)</f>
        <v>102.6081859719242</v>
      </c>
      <c r="J39" s="6" cm="1">
        <f t="array" ref="J39">[1]!feed_ST_liqgas_Nm(p,t,G39)</f>
        <v>2.3693872187412611E-2</v>
      </c>
      <c r="K39" s="8" cm="1">
        <f t="array" ref="K39">[1]!feed_q_liq_rc_m3day(p,t,G39)</f>
        <v>63.30904610942676</v>
      </c>
      <c r="L39" s="8" cm="1">
        <f t="array" ref="L39">[1]!feed_q_gas_rc_m3day(p,t,G39)</f>
        <v>21.070276457876968</v>
      </c>
      <c r="M39" s="7" cm="1">
        <f t="array" ref="M39">[1]!feed_mu_liq_cP(p,t,G39)</f>
        <v>0.41225217145080506</v>
      </c>
      <c r="N39" s="7" cm="1">
        <f t="array" ref="N39">[1]!PVT_mu_gas_cP(p,t,G39)</f>
        <v>1.5934611970626747E-2</v>
      </c>
      <c r="O39" s="7" cm="1">
        <f t="array" ref="O39">[1]!unf_ksep_natural_simplified_Marquez(dintake_m,dcas_m,K39,L39,J39,H39,I39,1)</f>
        <v>0.61584425739174486</v>
      </c>
      <c r="P39" s="7" cm="1">
        <f t="array" ref="P39">[1]!unf_ksep_mechanistic_Marquez_pkv(dintake_m,dcas_m,K39,L39,J39,H39,I39,M39,N39,1,hint,calibr_li,calibr_st,pkv_ratio)</f>
        <v>0</v>
      </c>
      <c r="R39">
        <f t="array" ref="R39:Y39">[1]!unf_ksep_mechanistic_Marquez_pkv(dintake_m,dcas_m,K39,L39,J39,H39,I39,M39,N39,0,hint,calibr_li,calibr_st,pkv_ratio)</f>
        <v>0</v>
      </c>
      <c r="S39">
        <v>0</v>
      </c>
      <c r="T39">
        <v>1</v>
      </c>
      <c r="U39">
        <v>0.19808675823474897</v>
      </c>
      <c r="V39">
        <v>0.16828141107976527</v>
      </c>
      <c r="W39">
        <v>5.6006780579881961E-2</v>
      </c>
      <c r="X39">
        <v>1.3312473613784326E-3</v>
      </c>
      <c r="Y39">
        <v>-0.20610191156483093</v>
      </c>
    </row>
    <row r="40" spans="4:25" x14ac:dyDescent="0.25">
      <c r="D40">
        <f>(S40+1/pkv_ratio)/(1+1/pkv_ratio)</f>
        <v>0.8</v>
      </c>
      <c r="F40">
        <v>55</v>
      </c>
      <c r="G40" t="str">
        <f>[1]!encode_feed(F40,$E$17,$E$18,$E$19,$E$15)</f>
        <v>{"gamma_gas":0.81,"gamma_oil":0.82,"gamma_wat":1.1,"rsb_m3m3":120,"muob_cP":0.3,"PVT_corr_set":0,"q_liq_sm3day":55,"fw_perc":0,"rp_m3m3":120}</v>
      </c>
      <c r="H40" s="9" cm="1">
        <f t="array" ref="H40">[1]!feed_rho_liq_kgm3(p,t,G40)</f>
        <v>707.25246874416587</v>
      </c>
      <c r="I40" s="9" cm="1">
        <f t="array" ref="I40">[1]!PVT_rho_gas_kgm3(p,t,PVT_json)</f>
        <v>102.6081859719242</v>
      </c>
      <c r="J40" s="6" cm="1">
        <f t="array" ref="J40">[1]!feed_ST_liqgas_Nm(p,t,G40)</f>
        <v>2.3693872187412611E-2</v>
      </c>
      <c r="K40" s="8" cm="1">
        <f t="array" ref="K40">[1]!feed_q_liq_rc_m3day(p,t,G40)</f>
        <v>69.639950720369441</v>
      </c>
      <c r="L40" s="8" cm="1">
        <f t="array" ref="L40">[1]!feed_q_gas_rc_m3day(p,t,G40)</f>
        <v>23.177304103664664</v>
      </c>
      <c r="M40" s="7" cm="1">
        <f t="array" ref="M40">[1]!feed_mu_liq_cP(p,t,G40)</f>
        <v>0.41225217145080506</v>
      </c>
      <c r="N40" s="7" cm="1">
        <f t="array" ref="N40">[1]!PVT_mu_gas_cP(p,t,G40)</f>
        <v>1.5934611970626747E-2</v>
      </c>
      <c r="O40" s="7" cm="1">
        <f t="array" ref="O40">[1]!unf_ksep_natural_simplified_Marquez(dintake_m,dcas_m,K40,L40,J40,H40,I40,1)</f>
        <v>0.59293071946820386</v>
      </c>
      <c r="P40" s="7" cm="1">
        <f t="array" ref="P40">[1]!unf_ksep_mechanistic_Marquez_pkv(dintake_m,dcas_m,K40,L40,J40,H40,I40,M40,N40,1,hint,calibr_li,calibr_st,pkv_ratio)</f>
        <v>0</v>
      </c>
      <c r="R40" cm="1">
        <f t="array" ref="R40:Y41">[1]!unf_ksep_mechanistic_Marquez_pkv(dintake_m,dcas_m,K40,L40,J40,H40,I40,M40,N40,0,hint,calibr_li,calibr_st,pkv_ratio)</f>
        <v>0</v>
      </c>
      <c r="S40">
        <v>0</v>
      </c>
      <c r="T40">
        <v>1</v>
      </c>
      <c r="U40">
        <v>0.19808675823474897</v>
      </c>
      <c r="V40">
        <v>0.1851095521877418</v>
      </c>
      <c r="W40">
        <v>6.1607458637870156E-2</v>
      </c>
      <c r="X40">
        <v>1.3289482330498051E-3</v>
      </c>
      <c r="Y40">
        <v>-0.24652077854478896</v>
      </c>
    </row>
    <row r="41" spans="4:25" x14ac:dyDescent="0.25">
      <c r="R41" t="str">
        <v>ksep</v>
      </c>
      <c r="S41" t="str">
        <v>ksep_inst</v>
      </c>
      <c r="T41" t="str">
        <v>flow regime</v>
      </c>
      <c r="U41" t="str">
        <v>v_ooz</v>
      </c>
      <c r="V41" t="str">
        <v>vsl</v>
      </c>
      <c r="W41" t="str">
        <v>vsg</v>
      </c>
      <c r="X41" t="str">
        <v>li</v>
      </c>
      <c r="Y41" t="str">
        <v>vg_downflow</v>
      </c>
    </row>
    <row r="45" spans="4:25" x14ac:dyDescent="0.25">
      <c r="E45" t="s">
        <v>47</v>
      </c>
    </row>
    <row r="47" spans="4:25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4:25" x14ac:dyDescent="0.25">
      <c r="F48">
        <f>E16</f>
        <v>20</v>
      </c>
      <c r="G48" t="str">
        <f>[1]!encode_feed(F48,$E$17,$E$18,$E$19,$E$15)</f>
        <v>{"gamma_gas":0.81,"gamma_oil":0.82,"gamma_wat":1.1,"rsb_m3m3":120,"muob_cP":0.3,"PVT_corr_set":0,"q_liq_sm3day":20,"fw_perc":0,"rp_m3m3":120}</v>
      </c>
      <c r="H48" s="9" cm="1">
        <f t="array" ref="H48">[1]!feed_rho_liq_kgm3(p,t,G48)</f>
        <v>707.25246874416587</v>
      </c>
      <c r="I48" s="9" cm="1">
        <f t="array" ref="I48">[1]!PVT_rho_gas_kgm3(p,t,PVT_json)</f>
        <v>102.6081859719242</v>
      </c>
      <c r="J48" s="6" cm="1">
        <f t="array" ref="J48">[1]!feed_ST_liqgas_Nm(p,t,G48)</f>
        <v>2.3693872187412611E-2</v>
      </c>
      <c r="K48" s="8" cm="1">
        <f t="array" ref="K48">[1]!feed_q_liq_rc_m3day(p,t,G48)</f>
        <v>25.323618443770705</v>
      </c>
      <c r="L48" s="8" cm="1">
        <f t="array" ref="L48">[1]!feed_q_gas_rc_m3day(p,t,G48)</f>
        <v>8.4281105831507865</v>
      </c>
      <c r="M48" s="7" cm="1">
        <f t="array" ref="M48">[1]!feed_mu_liq_cP(p,t,G48)</f>
        <v>0.41225217145080506</v>
      </c>
      <c r="N48" s="7" cm="1">
        <f t="array" ref="N48">[1]!PVT_mu_gas_cP(p,t,G48)</f>
        <v>1.5934611970626747E-2</v>
      </c>
    </row>
    <row r="53" spans="5:31" x14ac:dyDescent="0.25">
      <c r="E53" t="str" cm="1">
        <f t="array" ref="E53">[1]!unf_ksep_mechanistic_pkv_build_bubble_tracks(dintake_m,dcas_m,K48,L48,J48,H48,I48,M48,N48,hint,calibr_li,calibr_st,pkv_ratio)</f>
        <v>{"n 1":{"curve_x":"x","curve_y":"y","x":[-0.02,-0.017102,-0.014205,-0.011307,-0.00841,-0.005512,-0.002615,0.000283,0.002778,0.003181,0.006078,0.008976,0.011873,0.014771,0.017669],"y":[0.058722,0.058722,0.058722,0.058722,0.058722,0.058722,0.058722,0.058722,0.058722,0.05869,0.058457,0.058223,0.057985,0.057743,0.0575]},"n 2":{"curve_x":"x","curve_y":"y","x":[-0.02,-0.015762,-0.011523,-0.007285,-0.003047,0.001192,0.00543,0.005556,0.009668,0.013906,0.018145,0.022383,0.026621,0.03086,0.035098],"y":[0.059944,0.059944,0.059944,0.059944,0.059944,0.059944,0.059944,0.059944,0.059622,0.059285,0.058941,0.058591,0.058234,0.057871,0.0575]},"n 3":{"curve_x":"x","curve_y":"y","x":[-0.02,-0.014437,-0.008875,-0.003312,0.00225,0.007813,0.008333,0.013375,0.018938,0.0245,0.030063,0.035625,0.041188,0.04675,0.052313],"y":[0.061167,0.061167,0.061167,0.061167,0.061167,0.061167,0.061167,0.060781,0.060345,0.0599,0.059443,0.058975,0.058496,0.058004,0.0575]},"n 4":{"curve_x":"x","curve_y":"y","x":[-0.02,-0.013128,-0.006256,0.000616,0.007488,0.011111,0.01436,0.021232,0.028104,0.034975,0.041847,0.048719,0.055591,0.062463,0.069335],"y":[0.062389,0.062389,0.062389,0.062389,0.062389,0.062389,0.062146,0.061624,0.061086,0.060532,0.059963,0.059375,0.05877,0.058145,0.0575]},"n 5":{"curve_x":"x","curve_y":"y","x":[-0.02,-0.011832,-0.003664,0.004504,0.012672,0.013889,0.02084,0.029008,0.037176,0.045344,0.053512,0.06168,0.069848,0.078017,0.086185],"y":[0.063611,0.063611,0.063611,0.063611,0.063611,0.063611,0.0631,0.062483,0.061843,0.061182,0.060499,0.059789,0.059055,0.058293,0.0575]},"n 6":{"curve_x":"x","curve_y":"y","x":[-0.02,-0.008333,0.003333,0.015,0.016667,0.026667,0.038333,0.05,0.061667,0.073333,0.085,0.093802,0.096667,0.108333,0.12],"y":[0.064833,0.064833,0.064833,0.064833,0.064833,0.064111,0.06323,0.062308,0.061342,0.060324,0.059255,0.058409,0.058409,0.058409,0.058409]},"n 7":{"curve_x":"x","curve_y":"y","x":[-0.02,-0.008333,0.003333,0.015,0.019444,0.026667,0.038333,0.05,0.061667,0.065581,0.073333,0.085,0.096667,0.108333,0.12],"y":[0.066056,0.066056,0.066056,0.066056,0.066056,0.065546,0.064695,0.063805,0.062871,0.062548,0.062548,0.062548,0.062548,0.062548,0.062548]},"n 8":{"curve_x":"x","curve_y":"y","x":[-0.02,-0.008333,0.003333,0.015,0.022222,0.026667,0.038333,0.04373,0.05,0.061667,0.073333,0.085,0.096667,0.108333,0.12],"y":[0.067278,0.067278,0.067278,0.067278,0.067278,0.066972,0.066147,0.065753,0.065753,0.065753,0.065753,0.065753,0.065753,0.065753,0.065753]}}</v>
      </c>
    </row>
    <row r="55" spans="5:31" x14ac:dyDescent="0.25">
      <c r="E55" t="str" cm="1">
        <f t="array" ref="E55:F62">[1]!decode_json(E53)</f>
        <v>n 1</v>
      </c>
      <c r="F55" t="str">
        <v>{"curve_x":"x","curve_y":"y","x":[-0.02,-0.017102,-0.014205,-0.011307,-0.00841,-0.005512,-0.002615,0.000283,0.002778,0.003181,0.006078,0.008976,0.011873,0.014771,0.017669],"y":[0.058722,0.058722,0.058722,0.058722,0.058722,0.058722,0.058722,0.058722,0.058722,0.05869,0.058457,0.058223,0.057985,0.057743,0.0575]}</v>
      </c>
      <c r="I55" t="str" cm="1">
        <f t="array" ref="I55:J70">[1]!decode_json_crv(F55)</f>
        <v>x</v>
      </c>
      <c r="J55" t="str">
        <v>y</v>
      </c>
      <c r="L55" t="str" cm="1">
        <f t="array" ref="L55:M70">[1]!decode_json_crv(F56)</f>
        <v>x</v>
      </c>
      <c r="M55" t="str">
        <v>y</v>
      </c>
      <c r="O55" t="str" cm="1">
        <f t="array" ref="O55:P70">[1]!decode_json_crv(F57)</f>
        <v>x</v>
      </c>
      <c r="P55" t="str">
        <v>y</v>
      </c>
      <c r="R55" t="str" cm="1">
        <f t="array" ref="R55:S70">[1]!decode_json_crv(F58)</f>
        <v>x</v>
      </c>
      <c r="S55" t="str">
        <v>y</v>
      </c>
      <c r="U55" t="str" cm="1">
        <f t="array" ref="U55:V70">[1]!decode_json_crv(F59)</f>
        <v>x</v>
      </c>
      <c r="V55" t="str">
        <v>y</v>
      </c>
      <c r="X55" t="str" cm="1">
        <f t="array" ref="X55:Y70">[1]!decode_json_crv(F60)</f>
        <v>x</v>
      </c>
      <c r="Y55" t="str">
        <v>y</v>
      </c>
      <c r="AA55" t="str" cm="1">
        <f t="array" ref="AA55:AB70">[1]!decode_json_crv(F61)</f>
        <v>x</v>
      </c>
      <c r="AB55" t="str">
        <v>y</v>
      </c>
      <c r="AD55" t="str" cm="1">
        <f t="array" ref="AD55:AE70">[1]!decode_json_crv(F62)</f>
        <v>x</v>
      </c>
      <c r="AE55" t="str">
        <v>y</v>
      </c>
    </row>
    <row r="56" spans="5:31" x14ac:dyDescent="0.25">
      <c r="E56" t="str">
        <v>n 2</v>
      </c>
      <c r="F56" t="str">
        <v>{"curve_x":"x","curve_y":"y","x":[-0.02,-0.015762,-0.011523,-0.007285,-0.003047,0.001192,0.00543,0.005556,0.009668,0.013906,0.018145,0.022383,0.026621,0.03086,0.035098],"y":[0.059944,0.059944,0.059944,0.059944,0.059944,0.059944,0.059944,0.059944,0.059622,0.059285,0.058941,0.058591,0.058234,0.057871,0.0575]}</v>
      </c>
      <c r="I56">
        <v>-0.02</v>
      </c>
      <c r="J56">
        <v>5.8722000000000003E-2</v>
      </c>
      <c r="L56">
        <v>-0.02</v>
      </c>
      <c r="M56">
        <v>5.9943999999999997E-2</v>
      </c>
      <c r="O56">
        <v>-0.02</v>
      </c>
      <c r="P56">
        <v>6.1166999999999999E-2</v>
      </c>
      <c r="R56">
        <v>-0.02</v>
      </c>
      <c r="S56">
        <v>6.2389E-2</v>
      </c>
      <c r="U56">
        <v>-0.02</v>
      </c>
      <c r="V56">
        <v>6.3611000000000001E-2</v>
      </c>
      <c r="X56">
        <v>-0.02</v>
      </c>
      <c r="Y56">
        <v>6.4833000000000002E-2</v>
      </c>
      <c r="AA56">
        <v>-0.02</v>
      </c>
      <c r="AB56">
        <v>6.6056000000000004E-2</v>
      </c>
      <c r="AD56">
        <v>-0.02</v>
      </c>
      <c r="AE56">
        <v>6.7278000000000004E-2</v>
      </c>
    </row>
    <row r="57" spans="5:31" x14ac:dyDescent="0.25">
      <c r="E57" t="str">
        <v>n 3</v>
      </c>
      <c r="F57" t="str">
        <v>{"curve_x":"x","curve_y":"y","x":[-0.02,-0.014437,-0.008875,-0.003312,0.00225,0.007813,0.008333,0.013375,0.018938,0.0245,0.030063,0.035625,0.041188,0.04675,0.052313],"y":[0.061167,0.061167,0.061167,0.061167,0.061167,0.061167,0.061167,0.060781,0.060345,0.0599,0.059443,0.058975,0.058496,0.058004,0.0575]}</v>
      </c>
      <c r="I57">
        <v>-1.7101999999999999E-2</v>
      </c>
      <c r="J57">
        <v>5.8722000000000003E-2</v>
      </c>
      <c r="L57">
        <v>-1.5762000000000002E-2</v>
      </c>
      <c r="M57">
        <v>5.9943999999999997E-2</v>
      </c>
      <c r="O57">
        <v>-1.4437E-2</v>
      </c>
      <c r="P57">
        <v>6.1166999999999999E-2</v>
      </c>
      <c r="R57">
        <v>-1.3128000000000001E-2</v>
      </c>
      <c r="S57">
        <v>6.2389E-2</v>
      </c>
      <c r="U57">
        <v>-1.1832000000000001E-2</v>
      </c>
      <c r="V57">
        <v>6.3611000000000001E-2</v>
      </c>
      <c r="X57">
        <v>-8.3330000000000001E-3</v>
      </c>
      <c r="Y57">
        <v>6.4833000000000002E-2</v>
      </c>
      <c r="AA57">
        <v>-8.3330000000000001E-3</v>
      </c>
      <c r="AB57">
        <v>6.6056000000000004E-2</v>
      </c>
      <c r="AD57">
        <v>-8.3330000000000001E-3</v>
      </c>
      <c r="AE57">
        <v>6.7278000000000004E-2</v>
      </c>
    </row>
    <row r="58" spans="5:31" x14ac:dyDescent="0.25">
      <c r="E58" t="str">
        <v>n 4</v>
      </c>
      <c r="F58" t="str">
        <v>{"curve_x":"x","curve_y":"y","x":[-0.02,-0.013128,-0.006256,0.000616,0.007488,0.011111,0.01436,0.021232,0.028104,0.034975,0.041847,0.048719,0.055591,0.062463,0.069335],"y":[0.062389,0.062389,0.062389,0.062389,0.062389,0.062389,0.062146,0.061624,0.061086,0.060532,0.059963,0.059375,0.05877,0.058145,0.0575]}</v>
      </c>
      <c r="I58">
        <v>-1.4205000000000001E-2</v>
      </c>
      <c r="J58">
        <v>5.8722000000000003E-2</v>
      </c>
      <c r="L58">
        <v>-1.1523E-2</v>
      </c>
      <c r="M58">
        <v>5.9943999999999997E-2</v>
      </c>
      <c r="O58">
        <v>-8.8749999999999992E-3</v>
      </c>
      <c r="P58">
        <v>6.1166999999999999E-2</v>
      </c>
      <c r="R58">
        <v>-6.2560000000000003E-3</v>
      </c>
      <c r="S58">
        <v>6.2389E-2</v>
      </c>
      <c r="U58">
        <v>-3.6640000000000002E-3</v>
      </c>
      <c r="V58">
        <v>6.3611000000000001E-2</v>
      </c>
      <c r="X58">
        <v>3.333E-3</v>
      </c>
      <c r="Y58">
        <v>6.4833000000000002E-2</v>
      </c>
      <c r="AA58">
        <v>3.333E-3</v>
      </c>
      <c r="AB58">
        <v>6.6056000000000004E-2</v>
      </c>
      <c r="AD58">
        <v>3.333E-3</v>
      </c>
      <c r="AE58">
        <v>6.7278000000000004E-2</v>
      </c>
    </row>
    <row r="59" spans="5:31" x14ac:dyDescent="0.25">
      <c r="E59" t="str">
        <v>n 5</v>
      </c>
      <c r="F59" t="str">
        <v>{"curve_x":"x","curve_y":"y","x":[-0.02,-0.011832,-0.003664,0.004504,0.012672,0.013889,0.02084,0.029008,0.037176,0.045344,0.053512,0.06168,0.069848,0.078017,0.086185],"y":[0.063611,0.063611,0.063611,0.063611,0.063611,0.063611,0.0631,0.062483,0.061843,0.061182,0.060499,0.059789,0.059055,0.058293,0.0575]}</v>
      </c>
      <c r="I59">
        <v>-1.1306999999999999E-2</v>
      </c>
      <c r="J59">
        <v>5.8722000000000003E-2</v>
      </c>
      <c r="L59">
        <v>-7.2849999999999998E-3</v>
      </c>
      <c r="M59">
        <v>5.9943999999999997E-2</v>
      </c>
      <c r="O59">
        <v>-3.3119999999999998E-3</v>
      </c>
      <c r="P59">
        <v>6.1166999999999999E-2</v>
      </c>
      <c r="R59">
        <v>6.1600000000000001E-4</v>
      </c>
      <c r="S59">
        <v>6.2389E-2</v>
      </c>
      <c r="U59">
        <v>4.5040000000000002E-3</v>
      </c>
      <c r="V59">
        <v>6.3611000000000001E-2</v>
      </c>
      <c r="X59">
        <v>1.4999999999999999E-2</v>
      </c>
      <c r="Y59">
        <v>6.4833000000000002E-2</v>
      </c>
      <c r="AA59">
        <v>1.4999999999999999E-2</v>
      </c>
      <c r="AB59">
        <v>6.6056000000000004E-2</v>
      </c>
      <c r="AD59">
        <v>1.4999999999999999E-2</v>
      </c>
      <c r="AE59">
        <v>6.7278000000000004E-2</v>
      </c>
    </row>
    <row r="60" spans="5:31" x14ac:dyDescent="0.25">
      <c r="E60" t="str">
        <v>n 6</v>
      </c>
      <c r="F60" t="str">
        <v>{"curve_x":"x","curve_y":"y","x":[-0.02,-0.008333,0.003333,0.015,0.016667,0.026667,0.038333,0.05,0.061667,0.073333,0.085,0.093802,0.096667,0.108333,0.12],"y":[0.064833,0.064833,0.064833,0.064833,0.064833,0.064111,0.06323,0.062308,0.061342,0.060324,0.059255,0.058409,0.058409,0.058409,0.058409]}</v>
      </c>
      <c r="I60">
        <v>-8.4100000000000008E-3</v>
      </c>
      <c r="J60">
        <v>5.8722000000000003E-2</v>
      </c>
      <c r="L60">
        <v>-3.0469999999999998E-3</v>
      </c>
      <c r="M60">
        <v>5.9943999999999997E-2</v>
      </c>
      <c r="O60">
        <v>2.2499999999999998E-3</v>
      </c>
      <c r="P60">
        <v>6.1166999999999999E-2</v>
      </c>
      <c r="R60">
        <v>7.4879999999999999E-3</v>
      </c>
      <c r="S60">
        <v>6.2389E-2</v>
      </c>
      <c r="U60">
        <v>1.2671999999999999E-2</v>
      </c>
      <c r="V60">
        <v>6.3611000000000001E-2</v>
      </c>
      <c r="X60">
        <v>1.6667000000000001E-2</v>
      </c>
      <c r="Y60">
        <v>6.4833000000000002E-2</v>
      </c>
      <c r="AA60">
        <v>1.9443999999999999E-2</v>
      </c>
      <c r="AB60">
        <v>6.6056000000000004E-2</v>
      </c>
      <c r="AD60">
        <v>2.2221999999999999E-2</v>
      </c>
      <c r="AE60">
        <v>6.7278000000000004E-2</v>
      </c>
    </row>
    <row r="61" spans="5:31" x14ac:dyDescent="0.25">
      <c r="E61" t="str">
        <v>n 7</v>
      </c>
      <c r="F61" t="str">
        <v>{"curve_x":"x","curve_y":"y","x":[-0.02,-0.008333,0.003333,0.015,0.019444,0.026667,0.038333,0.05,0.061667,0.065581,0.073333,0.085,0.096667,0.108333,0.12],"y":[0.066056,0.066056,0.066056,0.066056,0.066056,0.065546,0.064695,0.063805,0.062871,0.062548,0.062548,0.062548,0.062548,0.062548,0.062548]}</v>
      </c>
      <c r="I61">
        <v>-5.5120000000000004E-3</v>
      </c>
      <c r="J61">
        <v>5.8722000000000003E-2</v>
      </c>
      <c r="L61">
        <v>1.1919999999999999E-3</v>
      </c>
      <c r="M61">
        <v>5.9943999999999997E-2</v>
      </c>
      <c r="O61">
        <v>7.8130000000000005E-3</v>
      </c>
      <c r="P61">
        <v>6.1166999999999999E-2</v>
      </c>
      <c r="R61">
        <v>1.1110999999999999E-2</v>
      </c>
      <c r="S61">
        <v>6.2389E-2</v>
      </c>
      <c r="U61">
        <v>1.3889E-2</v>
      </c>
      <c r="V61">
        <v>6.3611000000000001E-2</v>
      </c>
      <c r="X61">
        <v>2.6667E-2</v>
      </c>
      <c r="Y61">
        <v>6.4111000000000001E-2</v>
      </c>
      <c r="AA61">
        <v>2.6667E-2</v>
      </c>
      <c r="AB61">
        <v>6.5545999999999993E-2</v>
      </c>
      <c r="AD61">
        <v>2.6667E-2</v>
      </c>
      <c r="AE61">
        <v>6.6972000000000004E-2</v>
      </c>
    </row>
    <row r="62" spans="5:31" x14ac:dyDescent="0.25">
      <c r="E62" t="str">
        <v>n 8</v>
      </c>
      <c r="F62" t="str">
        <v>{"curve_x":"x","curve_y":"y","x":[-0.02,-0.008333,0.003333,0.015,0.022222,0.026667,0.038333,0.04373,0.05,0.061667,0.073333,0.085,0.096667,0.108333,0.12],"y":[0.067278,0.067278,0.067278,0.067278,0.067278,0.066972,0.066147,0.065753,0.065753,0.065753,0.065753,0.065753,0.065753,0.065753,0.065753]}</v>
      </c>
      <c r="I62">
        <v>-2.6150000000000001E-3</v>
      </c>
      <c r="J62">
        <v>5.8722000000000003E-2</v>
      </c>
      <c r="L62">
        <v>5.4299999999999999E-3</v>
      </c>
      <c r="M62">
        <v>5.9943999999999997E-2</v>
      </c>
      <c r="O62">
        <v>8.3330000000000001E-3</v>
      </c>
      <c r="P62">
        <v>6.1166999999999999E-2</v>
      </c>
      <c r="R62">
        <v>1.436E-2</v>
      </c>
      <c r="S62">
        <v>6.2146E-2</v>
      </c>
      <c r="U62">
        <v>2.0840000000000001E-2</v>
      </c>
      <c r="V62">
        <v>6.3100000000000003E-2</v>
      </c>
      <c r="X62">
        <v>3.8332999999999999E-2</v>
      </c>
      <c r="Y62">
        <v>6.3229999999999995E-2</v>
      </c>
      <c r="AA62">
        <v>3.8332999999999999E-2</v>
      </c>
      <c r="AB62">
        <v>6.4695000000000003E-2</v>
      </c>
      <c r="AD62">
        <v>3.8332999999999999E-2</v>
      </c>
      <c r="AE62">
        <v>6.6146999999999997E-2</v>
      </c>
    </row>
    <row r="63" spans="5:31" x14ac:dyDescent="0.25">
      <c r="I63">
        <v>2.8299999999999999E-4</v>
      </c>
      <c r="J63">
        <v>5.8722000000000003E-2</v>
      </c>
      <c r="L63">
        <v>5.5560000000000002E-3</v>
      </c>
      <c r="M63">
        <v>5.9943999999999997E-2</v>
      </c>
      <c r="O63">
        <v>1.3375E-2</v>
      </c>
      <c r="P63">
        <v>6.0781000000000002E-2</v>
      </c>
      <c r="R63">
        <v>2.1232000000000001E-2</v>
      </c>
      <c r="S63">
        <v>6.1623999999999998E-2</v>
      </c>
      <c r="U63">
        <v>2.9007999999999999E-2</v>
      </c>
      <c r="V63">
        <v>6.2482999999999997E-2</v>
      </c>
      <c r="X63">
        <v>0.05</v>
      </c>
      <c r="Y63">
        <v>6.2308000000000002E-2</v>
      </c>
      <c r="AA63">
        <v>0.05</v>
      </c>
      <c r="AB63">
        <v>6.3805000000000001E-2</v>
      </c>
      <c r="AD63">
        <v>4.3729999999999998E-2</v>
      </c>
      <c r="AE63">
        <v>6.5753000000000006E-2</v>
      </c>
    </row>
    <row r="64" spans="5:31" x14ac:dyDescent="0.25">
      <c r="I64">
        <v>2.7780000000000001E-3</v>
      </c>
      <c r="J64">
        <v>5.8722000000000003E-2</v>
      </c>
      <c r="L64">
        <v>9.6679999999999995E-3</v>
      </c>
      <c r="M64">
        <v>5.9622000000000001E-2</v>
      </c>
      <c r="O64">
        <v>1.8938E-2</v>
      </c>
      <c r="P64">
        <v>6.0345000000000003E-2</v>
      </c>
      <c r="R64">
        <v>2.8104000000000001E-2</v>
      </c>
      <c r="S64">
        <v>6.1086000000000001E-2</v>
      </c>
      <c r="U64">
        <v>3.7176000000000001E-2</v>
      </c>
      <c r="V64">
        <v>6.1843000000000002E-2</v>
      </c>
      <c r="X64">
        <v>6.1667E-2</v>
      </c>
      <c r="Y64">
        <v>6.1342000000000001E-2</v>
      </c>
      <c r="AA64">
        <v>6.1667E-2</v>
      </c>
      <c r="AB64">
        <v>6.2870999999999996E-2</v>
      </c>
      <c r="AD64">
        <v>0.05</v>
      </c>
      <c r="AE64">
        <v>6.5753000000000006E-2</v>
      </c>
    </row>
    <row r="65" spans="9:31" x14ac:dyDescent="0.25">
      <c r="I65">
        <v>3.1809999999999998E-3</v>
      </c>
      <c r="J65">
        <v>5.8689999999999999E-2</v>
      </c>
      <c r="L65">
        <v>1.3906E-2</v>
      </c>
      <c r="M65">
        <v>5.9284999999999997E-2</v>
      </c>
      <c r="O65">
        <v>2.4500000000000001E-2</v>
      </c>
      <c r="P65">
        <v>5.9900000000000002E-2</v>
      </c>
      <c r="R65">
        <v>3.4974999999999999E-2</v>
      </c>
      <c r="S65">
        <v>6.0532000000000002E-2</v>
      </c>
      <c r="U65">
        <v>4.5344000000000002E-2</v>
      </c>
      <c r="V65">
        <v>6.1182E-2</v>
      </c>
      <c r="X65">
        <v>7.3332999999999995E-2</v>
      </c>
      <c r="Y65">
        <v>6.0324000000000003E-2</v>
      </c>
      <c r="AA65">
        <v>6.5581E-2</v>
      </c>
      <c r="AB65">
        <v>6.2548000000000006E-2</v>
      </c>
      <c r="AD65">
        <v>6.1667E-2</v>
      </c>
      <c r="AE65">
        <v>6.5753000000000006E-2</v>
      </c>
    </row>
    <row r="66" spans="9:31" x14ac:dyDescent="0.25">
      <c r="I66">
        <v>6.0780000000000001E-3</v>
      </c>
      <c r="J66">
        <v>5.8457000000000002E-2</v>
      </c>
      <c r="L66">
        <v>1.8145000000000001E-2</v>
      </c>
      <c r="M66">
        <v>5.8941E-2</v>
      </c>
      <c r="O66">
        <v>3.0062999999999999E-2</v>
      </c>
      <c r="P66">
        <v>5.9443000000000003E-2</v>
      </c>
      <c r="R66">
        <v>4.1847000000000002E-2</v>
      </c>
      <c r="S66">
        <v>5.9963000000000002E-2</v>
      </c>
      <c r="U66">
        <v>5.3511999999999997E-2</v>
      </c>
      <c r="V66">
        <v>6.0498999999999997E-2</v>
      </c>
      <c r="X66">
        <v>8.5000000000000006E-2</v>
      </c>
      <c r="Y66">
        <v>5.9255000000000002E-2</v>
      </c>
      <c r="AA66">
        <v>7.3332999999999995E-2</v>
      </c>
      <c r="AB66">
        <v>6.2548000000000006E-2</v>
      </c>
      <c r="AD66">
        <v>7.3332999999999995E-2</v>
      </c>
      <c r="AE66">
        <v>6.5753000000000006E-2</v>
      </c>
    </row>
    <row r="67" spans="9:31" x14ac:dyDescent="0.25">
      <c r="I67">
        <v>8.9759999999999996E-3</v>
      </c>
      <c r="J67">
        <v>5.8222999999999997E-2</v>
      </c>
      <c r="L67">
        <v>2.2383E-2</v>
      </c>
      <c r="M67">
        <v>5.8590999999999997E-2</v>
      </c>
      <c r="O67">
        <v>3.5624999999999997E-2</v>
      </c>
      <c r="P67">
        <v>5.8975E-2</v>
      </c>
      <c r="R67">
        <v>4.8718999999999998E-2</v>
      </c>
      <c r="S67">
        <v>5.9374999999999997E-2</v>
      </c>
      <c r="U67">
        <v>6.1679999999999999E-2</v>
      </c>
      <c r="V67">
        <v>5.9789000000000002E-2</v>
      </c>
      <c r="X67">
        <v>9.3801999999999996E-2</v>
      </c>
      <c r="Y67">
        <v>5.8409000000000003E-2</v>
      </c>
      <c r="AA67">
        <v>8.5000000000000006E-2</v>
      </c>
      <c r="AB67">
        <v>6.2548000000000006E-2</v>
      </c>
      <c r="AD67">
        <v>8.5000000000000006E-2</v>
      </c>
      <c r="AE67">
        <v>6.5753000000000006E-2</v>
      </c>
    </row>
    <row r="68" spans="9:31" x14ac:dyDescent="0.25">
      <c r="I68">
        <v>1.1873E-2</v>
      </c>
      <c r="J68">
        <v>5.7985000000000002E-2</v>
      </c>
      <c r="L68">
        <v>2.6620999999999999E-2</v>
      </c>
      <c r="M68">
        <v>5.8234000000000001E-2</v>
      </c>
      <c r="O68">
        <v>4.1188000000000002E-2</v>
      </c>
      <c r="P68">
        <v>5.8495999999999999E-2</v>
      </c>
      <c r="R68">
        <v>5.5591000000000002E-2</v>
      </c>
      <c r="S68">
        <v>5.8770000000000003E-2</v>
      </c>
      <c r="U68">
        <v>6.9847999999999993E-2</v>
      </c>
      <c r="V68">
        <v>5.9055000000000003E-2</v>
      </c>
      <c r="X68">
        <v>9.6667000000000003E-2</v>
      </c>
      <c r="Y68">
        <v>5.8409000000000003E-2</v>
      </c>
      <c r="AA68">
        <v>9.6667000000000003E-2</v>
      </c>
      <c r="AB68">
        <v>6.2548000000000006E-2</v>
      </c>
      <c r="AD68">
        <v>9.6667000000000003E-2</v>
      </c>
      <c r="AE68">
        <v>6.5753000000000006E-2</v>
      </c>
    </row>
    <row r="69" spans="9:31" x14ac:dyDescent="0.25">
      <c r="I69">
        <v>1.4770999999999999E-2</v>
      </c>
      <c r="J69">
        <v>5.7743000000000003E-2</v>
      </c>
      <c r="L69">
        <v>3.0859999999999999E-2</v>
      </c>
      <c r="M69">
        <v>5.7870999999999999E-2</v>
      </c>
      <c r="O69">
        <v>4.675E-2</v>
      </c>
      <c r="P69">
        <v>5.8004E-2</v>
      </c>
      <c r="R69">
        <v>6.2462999999999998E-2</v>
      </c>
      <c r="S69">
        <v>5.8145000000000002E-2</v>
      </c>
      <c r="U69">
        <v>7.8017000000000003E-2</v>
      </c>
      <c r="V69">
        <v>5.8292999999999998E-2</v>
      </c>
      <c r="X69">
        <v>0.108333</v>
      </c>
      <c r="Y69">
        <v>5.8409000000000003E-2</v>
      </c>
      <c r="AA69">
        <v>0.108333</v>
      </c>
      <c r="AB69">
        <v>6.2548000000000006E-2</v>
      </c>
      <c r="AD69">
        <v>0.108333</v>
      </c>
      <c r="AE69">
        <v>6.5753000000000006E-2</v>
      </c>
    </row>
    <row r="70" spans="9:31" x14ac:dyDescent="0.25">
      <c r="I70">
        <v>1.7669000000000001E-2</v>
      </c>
      <c r="J70">
        <v>5.7500000000000002E-2</v>
      </c>
      <c r="L70">
        <v>3.5097999999999997E-2</v>
      </c>
      <c r="M70">
        <v>5.7500000000000002E-2</v>
      </c>
      <c r="O70">
        <v>5.2312999999999998E-2</v>
      </c>
      <c r="P70">
        <v>5.7500000000000002E-2</v>
      </c>
      <c r="R70">
        <v>6.9334999999999994E-2</v>
      </c>
      <c r="S70">
        <v>5.7500000000000002E-2</v>
      </c>
      <c r="U70">
        <v>8.6184999999999998E-2</v>
      </c>
      <c r="V70">
        <v>5.7500000000000002E-2</v>
      </c>
      <c r="X70">
        <v>0.12</v>
      </c>
      <c r="Y70">
        <v>5.8409000000000003E-2</v>
      </c>
      <c r="AA70">
        <v>0.12</v>
      </c>
      <c r="AB70">
        <v>6.2548000000000006E-2</v>
      </c>
      <c r="AD70">
        <v>0.12</v>
      </c>
      <c r="AE70">
        <v>6.5753000000000006E-2</v>
      </c>
    </row>
    <row r="99" spans="5:18" x14ac:dyDescent="0.25">
      <c r="E99" t="s">
        <v>44</v>
      </c>
      <c r="F99" t="s">
        <v>43</v>
      </c>
      <c r="H99" t="s">
        <v>44</v>
      </c>
      <c r="I99" t="s">
        <v>43</v>
      </c>
      <c r="K99" t="s">
        <v>44</v>
      </c>
      <c r="N99" t="s">
        <v>44</v>
      </c>
      <c r="O99" t="s">
        <v>43</v>
      </c>
      <c r="Q99" t="s">
        <v>44</v>
      </c>
      <c r="R99" t="s">
        <v>43</v>
      </c>
    </row>
    <row r="100" spans="5:18" x14ac:dyDescent="0.25">
      <c r="E100">
        <f>dintake_m/2</f>
        <v>5.7500000000000002E-2</v>
      </c>
      <c r="F100">
        <v>0</v>
      </c>
      <c r="H100">
        <f>dintake_m/2</f>
        <v>5.7500000000000002E-2</v>
      </c>
      <c r="I100">
        <f>L100</f>
        <v>-9.5000000000000001E-2</v>
      </c>
      <c r="K100">
        <f>dcas_m/2</f>
        <v>6.8500000000000005E-2</v>
      </c>
      <c r="L100">
        <f>O101-L101</f>
        <v>-9.5000000000000001E-2</v>
      </c>
      <c r="N100">
        <f>E100</f>
        <v>5.7500000000000002E-2</v>
      </c>
      <c r="O100">
        <v>0</v>
      </c>
      <c r="Q100">
        <f>H100</f>
        <v>5.7500000000000002E-2</v>
      </c>
      <c r="R100">
        <f>hint</f>
        <v>0.1</v>
      </c>
    </row>
    <row r="101" spans="5:18" x14ac:dyDescent="0.25">
      <c r="E101">
        <f>E100</f>
        <v>5.7500000000000002E-2</v>
      </c>
      <c r="F101">
        <f>hint</f>
        <v>0.1</v>
      </c>
      <c r="H101">
        <f>H100</f>
        <v>5.7500000000000002E-2</v>
      </c>
      <c r="I101">
        <f>hint*1.2</f>
        <v>0.12</v>
      </c>
      <c r="K101">
        <f>K100</f>
        <v>6.8500000000000005E-2</v>
      </c>
      <c r="L101">
        <f>hint*1.2</f>
        <v>0.12</v>
      </c>
      <c r="N101">
        <f>K101</f>
        <v>6.8500000000000005E-2</v>
      </c>
      <c r="O101">
        <f>hint*pkv_ratio</f>
        <v>2.5000000000000001E-2</v>
      </c>
      <c r="Q101">
        <f>N101</f>
        <v>6.8500000000000005E-2</v>
      </c>
      <c r="R101">
        <f>hint*pkv_ratio</f>
        <v>2.5000000000000001E-2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O33"/>
  <sheetViews>
    <sheetView workbookViewId="0">
      <selection activeCell="K16" sqref="K16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G15" t="s">
        <v>37</v>
      </c>
      <c r="H15">
        <v>0.6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G16" t="s">
        <v>42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10:14" x14ac:dyDescent="0.2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2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2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2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2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2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2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2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2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62</vt:i4>
      </vt:variant>
    </vt:vector>
  </HeadingPairs>
  <TitlesOfParts>
    <vt:vector size="66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2023-04-20T08:11:26Z</dcterms:modified>
</cp:coreProperties>
</file>