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1F3420E5-1BD1-42EF-AC93-AC17DC69E72C}" xr6:coauthVersionLast="47" xr6:coauthVersionMax="47" xr10:uidLastSave="{00000000-0000-0000-0000-000000000000}"/>
  <bookViews>
    <workbookView xWindow="-120" yWindow="-21720" windowWidth="38640" windowHeight="21840" xr2:uid="{26514309-3F53-4B4B-855D-536B1B29DCF5}"/>
  </bookViews>
  <sheets>
    <sheet name="Лист1" sheetId="9" r:id="rId1"/>
    <sheet name="прием ЭЦН" sheetId="1" r:id="rId2"/>
    <sheet name="реверсивный поток" sheetId="6" r:id="rId3"/>
    <sheet name="прием ПКВ" sheetId="8" r:id="rId4"/>
    <sheet name="оценка диаметра" sheetId="2" r:id="rId5"/>
  </sheets>
  <externalReferences>
    <externalReference r:id="rId6"/>
    <externalReference r:id="rId7"/>
  </externalReferences>
  <definedNames>
    <definedName name="calibr_li" localSheetId="3">'прием ПКВ'!$I$11</definedName>
    <definedName name="calibr_li" localSheetId="2">'реверсивный поток'!$I$11</definedName>
    <definedName name="calibr_li">'прием ЭЦН'!$I$11</definedName>
    <definedName name="calibr_st" localSheetId="3">'прием ПКВ'!$I$12</definedName>
    <definedName name="calibr_st" localSheetId="2">'реверсивный поток'!$I$12</definedName>
    <definedName name="calibr_st">'прием ЭЦН'!$I$12</definedName>
    <definedName name="dcas" localSheetId="3">'прием ПКВ'!$I$6</definedName>
    <definedName name="dcas" localSheetId="2">'реверсивный поток'!$I$6</definedName>
    <definedName name="dcas">'прием ЭЦН'!$I$6</definedName>
    <definedName name="dcas_m" localSheetId="3">'прием ПКВ'!$K$6</definedName>
    <definedName name="dcas_m" localSheetId="2">'реверсивный поток'!$K$6</definedName>
    <definedName name="dcas_m">'прием ЭЦН'!$K$6</definedName>
    <definedName name="dintake" localSheetId="3">'прием ПКВ'!$I$7</definedName>
    <definedName name="dintake" localSheetId="2">'реверсивный поток'!$I$7</definedName>
    <definedName name="dintake">'прием ЭЦН'!$I$7</definedName>
    <definedName name="dintake_m" localSheetId="3">'прием ПКВ'!$K$7</definedName>
    <definedName name="dintake_m" localSheetId="2">'реверсивный поток'!$K$7</definedName>
    <definedName name="dintake_m">'прием ЭЦН'!$K$7</definedName>
    <definedName name="dtub">'прием ПКВ'!$I$5</definedName>
    <definedName name="feed_json" localSheetId="0">Лист1!$D$20</definedName>
    <definedName name="feed_json" localSheetId="3">'прием ПКВ'!$E$20</definedName>
    <definedName name="feed_json" localSheetId="2">'реверсивный поток'!$E$20</definedName>
    <definedName name="feed_json">'прием ЭЦН'!$E$20</definedName>
    <definedName name="feed_json_1">#REF!</definedName>
    <definedName name="gas_separation_json">Лист1!$H$21</definedName>
    <definedName name="hint" localSheetId="3">'прием ПКВ'!$K$8</definedName>
    <definedName name="hint" localSheetId="2">'реверсивный поток'!$K$8</definedName>
    <definedName name="hint">'прием ЭЦН'!$K$8</definedName>
    <definedName name="hperf">'реверсивный поток'!$I$13</definedName>
    <definedName name="linspace">Лист1!$H$48</definedName>
    <definedName name="mu_gas" localSheetId="3">'прием ПКВ'!$N$12</definedName>
    <definedName name="mu_gas" localSheetId="2">'реверсивный поток'!$N$12</definedName>
    <definedName name="mu_gas">'прием ЭЦН'!$N$12</definedName>
    <definedName name="mu_liq" localSheetId="3">'прием ПКВ'!$N$11</definedName>
    <definedName name="mu_liq" localSheetId="2">'реверсивный поток'!$N$11</definedName>
    <definedName name="mu_liq">'прием ЭЦН'!$N$11</definedName>
    <definedName name="p" localSheetId="3">'прием ПКВ'!$I$9</definedName>
    <definedName name="p" localSheetId="2">'реверсивный поток'!$I$9</definedName>
    <definedName name="p">'прием ЭЦН'!$I$9</definedName>
    <definedName name="pkv_ratio" localSheetId="3">'прием ПКВ'!$I$13</definedName>
    <definedName name="pkv_ratio">'прием ЭЦН'!$I$12</definedName>
    <definedName name="PVT_json" localSheetId="0">Лист1!$D$15</definedName>
    <definedName name="PVT_json" localSheetId="3">'прием ПКВ'!$E$15</definedName>
    <definedName name="PVT_json" localSheetId="2">'реверсивный поток'!$E$15</definedName>
    <definedName name="PVT_json">'прием ЭЦН'!$E$15</definedName>
    <definedName name="PVT_json_1">#REF!</definedName>
    <definedName name="Qgas_in_situ" localSheetId="3">'прием ПКВ'!$N$10</definedName>
    <definedName name="Qgas_in_situ" localSheetId="2">'реверсивный поток'!$N$10</definedName>
    <definedName name="Qgas_in_situ">'прием ЭЦН'!$N$10</definedName>
    <definedName name="Qliq_in_situ" localSheetId="3">'прием ПКВ'!$N$9</definedName>
    <definedName name="Qliq_in_situ" localSheetId="2">'реверсивный поток'!$N$9</definedName>
    <definedName name="Qliq_in_situ">'прием ЭЦН'!$N$9</definedName>
    <definedName name="st" localSheetId="3">'прием ПКВ'!$P$8</definedName>
    <definedName name="st" localSheetId="2">'реверсивный поток'!$P$8</definedName>
    <definedName name="st">'прием ЭЦН'!$P$8</definedName>
    <definedName name="t" localSheetId="3">'прием ПКВ'!$I$10</definedName>
    <definedName name="t" localSheetId="2">'реверсивный поток'!$I$10</definedName>
    <definedName name="t">'прием ЭЦН'!$I$10</definedName>
    <definedName name="v_ooz">'оценка диаметра'!$F$15</definedName>
    <definedName name="v_sl">'оценка диаметра'!$F$16</definedName>
    <definedName name="Плотность_газа" localSheetId="3">'прием ПКВ'!$N$7</definedName>
    <definedName name="Плотность_газа" localSheetId="2">'реверсивный поток'!$N$7</definedName>
    <definedName name="Плотность_газа">'прием ЭЦН'!$N$7</definedName>
    <definedName name="Плотность_жидкости" localSheetId="3">'прием ПКВ'!$N$6</definedName>
    <definedName name="Плотность_жидкости" localSheetId="2">'реверсивный поток'!$N$6</definedName>
    <definedName name="Плотность_жидкости">'прием ЭЦН'!$N$6</definedName>
    <definedName name="Пов._Натяжение" localSheetId="3">'прием ПКВ'!$N$8</definedName>
    <definedName name="Пов._Натяжение" localSheetId="2">'реверсивный поток'!$N$8</definedName>
    <definedName name="Пов._Натяжение">'прием ЭЦН'!$N$8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2" l="1"/>
  <c r="H15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37" i="2"/>
  <c r="F33" i="2"/>
  <c r="F32" i="2"/>
  <c r="F31" i="2"/>
  <c r="F30" i="2"/>
  <c r="F29" i="2"/>
  <c r="F28" i="2"/>
  <c r="F27" i="2"/>
  <c r="F26" i="2"/>
  <c r="K17" i="2"/>
  <c r="K38" i="2" s="1"/>
  <c r="K5" i="8"/>
  <c r="H21" i="9"/>
  <c r="K6" i="9" a="1"/>
  <c r="D15" i="9"/>
  <c r="D20" i="9"/>
  <c r="H26" i="9" s="1" a="1"/>
  <c r="H48" i="9"/>
  <c r="G51" i="9" s="1" a="1"/>
  <c r="G76" i="9" l="1"/>
  <c r="G59" i="9"/>
  <c r="G56" i="9"/>
  <c r="G54" i="9"/>
  <c r="G75" i="9"/>
  <c r="G66" i="9"/>
  <c r="G64" i="9"/>
  <c r="G61" i="9"/>
  <c r="G74" i="9"/>
  <c r="G58" i="9"/>
  <c r="G52" i="9"/>
  <c r="G73" i="9"/>
  <c r="G70" i="9"/>
  <c r="G65" i="9"/>
  <c r="G63" i="9"/>
  <c r="G62" i="9"/>
  <c r="G72" i="9"/>
  <c r="G69" i="9"/>
  <c r="G68" i="9"/>
  <c r="G60" i="9"/>
  <c r="G57" i="9"/>
  <c r="G55" i="9"/>
  <c r="G51" i="9"/>
  <c r="G71" i="9"/>
  <c r="G67" i="9"/>
  <c r="G53" i="9"/>
  <c r="H26" i="9"/>
  <c r="K6" i="9"/>
  <c r="G16" i="8"/>
  <c r="G30" i="9" a="1"/>
  <c r="T30" i="9" a="1"/>
  <c r="N30" i="9" a="1"/>
  <c r="K30" i="9" a="1"/>
  <c r="Q30" i="9" a="1"/>
  <c r="Q30" i="9" l="1"/>
  <c r="K30" i="9"/>
  <c r="N30" i="9"/>
  <c r="T30" i="9"/>
  <c r="G30" i="9"/>
  <c r="H50" i="9"/>
  <c r="F48" i="1"/>
  <c r="F48" i="8"/>
  <c r="K8" i="8"/>
  <c r="L75" i="8" s="1"/>
  <c r="K7" i="8"/>
  <c r="K6" i="8"/>
  <c r="K74" i="8" s="1"/>
  <c r="K75" i="8" s="1"/>
  <c r="N75" i="8" s="1"/>
  <c r="Q75" i="8" s="1"/>
  <c r="E15" i="8"/>
  <c r="G39" i="8"/>
  <c r="I39" i="8" a="1"/>
  <c r="K39" i="8" a="1"/>
  <c r="I32" i="8" a="1"/>
  <c r="G30" i="8"/>
  <c r="H39" i="8" a="1"/>
  <c r="G38" i="8"/>
  <c r="E20" i="8"/>
  <c r="N7" i="8" a="1"/>
  <c r="G37" i="8"/>
  <c r="L37" i="8" s="1" a="1"/>
  <c r="I36" i="8" a="1"/>
  <c r="N39" i="8" a="1"/>
  <c r="L30" i="8" a="1"/>
  <c r="I33" i="8" a="1"/>
  <c r="I37" i="8" a="1"/>
  <c r="M39" i="8" a="1"/>
  <c r="K30" i="8" a="1"/>
  <c r="N12" i="8" a="1"/>
  <c r="I35" i="8" a="1"/>
  <c r="I31" i="8" a="1"/>
  <c r="N37" i="8" a="1"/>
  <c r="M30" i="8" a="1"/>
  <c r="N6" i="8" a="1"/>
  <c r="H30" i="8" a="1"/>
  <c r="G40" i="8"/>
  <c r="K40" i="8" a="1"/>
  <c r="J30" i="8" a="1"/>
  <c r="G33" i="8"/>
  <c r="M38" i="8" a="1"/>
  <c r="K38" i="8" a="1"/>
  <c r="H37" i="8" a="1"/>
  <c r="K37" i="8" a="1"/>
  <c r="N33" i="8" a="1"/>
  <c r="J38" i="8" a="1"/>
  <c r="H38" i="8" a="1"/>
  <c r="N38" i="8" a="1"/>
  <c r="N8" i="8" a="1"/>
  <c r="G48" i="8"/>
  <c r="G34" i="8"/>
  <c r="N9" i="8" a="1"/>
  <c r="J37" i="8" a="1"/>
  <c r="I34" i="8" a="1"/>
  <c r="N11" i="8" a="1"/>
  <c r="I40" i="8" a="1"/>
  <c r="G32" i="8"/>
  <c r="I29" i="8" a="1"/>
  <c r="M37" i="8" a="1"/>
  <c r="N30" i="8" a="1"/>
  <c r="N32" i="8" a="1"/>
  <c r="L40" i="8" a="1"/>
  <c r="H40" i="8" a="1"/>
  <c r="L38" i="8" a="1"/>
  <c r="N10" i="8" a="1"/>
  <c r="G29" i="8"/>
  <c r="G36" i="8"/>
  <c r="I30" i="8" a="1"/>
  <c r="G31" i="8"/>
  <c r="G35" i="8"/>
  <c r="I38" i="8" a="1"/>
  <c r="I48" i="8" a="1"/>
  <c r="J39" i="8" a="1"/>
  <c r="L39" i="8" a="1"/>
  <c r="M40" i="8" a="1"/>
  <c r="N40" i="8" a="1"/>
  <c r="J40" i="8" a="1"/>
  <c r="H33" i="8" a="1"/>
  <c r="K33" i="8" a="1"/>
  <c r="J33" i="8" a="1"/>
  <c r="L33" i="8" a="1"/>
  <c r="M33" i="8" a="1"/>
  <c r="J48" i="8" a="1"/>
  <c r="L48" i="8" a="1"/>
  <c r="K48" i="8" a="1"/>
  <c r="N48" i="8" a="1"/>
  <c r="H48" i="8" a="1"/>
  <c r="M48" i="8" a="1"/>
  <c r="J34" i="8" a="1"/>
  <c r="M34" i="8" a="1"/>
  <c r="H34" i="8" a="1"/>
  <c r="N34" i="8" a="1"/>
  <c r="L34" i="8" a="1"/>
  <c r="H32" i="8" a="1"/>
  <c r="M32" i="8" a="1"/>
  <c r="K32" i="8" a="1"/>
  <c r="J32" i="8" a="1"/>
  <c r="L32" i="8" a="1"/>
  <c r="M29" i="8" a="1"/>
  <c r="K29" i="8" a="1"/>
  <c r="J29" i="8" a="1"/>
  <c r="L29" i="8" a="1"/>
  <c r="H29" i="8" a="1"/>
  <c r="N29" i="8" a="1"/>
  <c r="M36" i="8" a="1"/>
  <c r="H36" i="8" a="1"/>
  <c r="J36" i="8" a="1"/>
  <c r="K36" i="8" a="1"/>
  <c r="N36" i="8" a="1"/>
  <c r="L36" i="8" a="1"/>
  <c r="M31" i="8" a="1"/>
  <c r="H31" i="8" a="1"/>
  <c r="N31" i="8" a="1"/>
  <c r="L31" i="8" a="1"/>
  <c r="K31" i="8" a="1"/>
  <c r="J31" i="8" a="1"/>
  <c r="N35" i="8" a="1"/>
  <c r="M35" i="8" a="1"/>
  <c r="J35" i="8" a="1"/>
  <c r="L35" i="8" a="1"/>
  <c r="H35" i="8" a="1"/>
  <c r="K35" i="8" a="1"/>
  <c r="I19" i="8" l="1"/>
  <c r="I21" i="8" s="1"/>
  <c r="I22" i="8" s="1"/>
  <c r="R74" i="8"/>
  <c r="R75" i="8"/>
  <c r="O75" i="8"/>
  <c r="H74" i="8"/>
  <c r="H75" i="8" s="1"/>
  <c r="M48" i="8"/>
  <c r="L48" i="8"/>
  <c r="K48" i="8"/>
  <c r="J48" i="8"/>
  <c r="N48" i="8"/>
  <c r="H48" i="8"/>
  <c r="N38" i="8"/>
  <c r="H38" i="8"/>
  <c r="M38" i="8"/>
  <c r="L38" i="8"/>
  <c r="K38" i="8"/>
  <c r="J38" i="8"/>
  <c r="N32" i="8"/>
  <c r="H32" i="8"/>
  <c r="M32" i="8"/>
  <c r="L32" i="8"/>
  <c r="K32" i="8"/>
  <c r="J32" i="8"/>
  <c r="N31" i="8"/>
  <c r="H31" i="8"/>
  <c r="M31" i="8"/>
  <c r="J31" i="8"/>
  <c r="K31" i="8"/>
  <c r="L31" i="8"/>
  <c r="J37" i="8"/>
  <c r="N37" i="8"/>
  <c r="H37" i="8"/>
  <c r="M37" i="8"/>
  <c r="L37" i="8"/>
  <c r="K37" i="8"/>
  <c r="J36" i="8"/>
  <c r="K36" i="8"/>
  <c r="N36" i="8"/>
  <c r="H36" i="8"/>
  <c r="M36" i="8"/>
  <c r="L36" i="8"/>
  <c r="M30" i="8"/>
  <c r="N30" i="8"/>
  <c r="H30" i="8"/>
  <c r="L30" i="8"/>
  <c r="K30" i="8"/>
  <c r="J30" i="8"/>
  <c r="K35" i="8"/>
  <c r="J35" i="8"/>
  <c r="N35" i="8"/>
  <c r="H35" i="8"/>
  <c r="L35" i="8"/>
  <c r="M35" i="8"/>
  <c r="J29" i="8"/>
  <c r="N29" i="8"/>
  <c r="H29" i="8"/>
  <c r="L29" i="8"/>
  <c r="M29" i="8"/>
  <c r="K29" i="8"/>
  <c r="N6" i="8"/>
  <c r="N11" i="8"/>
  <c r="N10" i="8"/>
  <c r="N9" i="8"/>
  <c r="N8" i="8"/>
  <c r="M33" i="8"/>
  <c r="H33" i="8"/>
  <c r="L33" i="8"/>
  <c r="K33" i="8"/>
  <c r="J33" i="8"/>
  <c r="N33" i="8"/>
  <c r="M39" i="8"/>
  <c r="L39" i="8"/>
  <c r="N39" i="8"/>
  <c r="H39" i="8"/>
  <c r="K39" i="8"/>
  <c r="J39" i="8"/>
  <c r="L40" i="8"/>
  <c r="M40" i="8"/>
  <c r="K40" i="8"/>
  <c r="J40" i="8"/>
  <c r="N40" i="8"/>
  <c r="H40" i="8"/>
  <c r="L34" i="8"/>
  <c r="J34" i="8"/>
  <c r="N34" i="8"/>
  <c r="H34" i="8"/>
  <c r="I37" i="8"/>
  <c r="I31" i="8"/>
  <c r="I30" i="8"/>
  <c r="I36" i="8"/>
  <c r="I35" i="8"/>
  <c r="I29" i="8"/>
  <c r="I40" i="8"/>
  <c r="I34" i="8"/>
  <c r="I32" i="8"/>
  <c r="I38" i="8"/>
  <c r="N7" i="8"/>
  <c r="N12" i="8"/>
  <c r="M34" i="8"/>
  <c r="I48" i="8"/>
  <c r="I33" i="8"/>
  <c r="I39" i="8"/>
  <c r="F75" i="8"/>
  <c r="I75" i="8"/>
  <c r="E74" i="8"/>
  <c r="M75" i="6"/>
  <c r="J75" i="6"/>
  <c r="G75" i="6"/>
  <c r="F48" i="6"/>
  <c r="K7" i="6"/>
  <c r="I74" i="6" s="1"/>
  <c r="I75" i="6" s="1"/>
  <c r="K6" i="6"/>
  <c r="L74" i="6" s="1"/>
  <c r="L75" i="6" s="1"/>
  <c r="K8" i="1"/>
  <c r="O39" i="8" a="1"/>
  <c r="E15" i="6"/>
  <c r="R38" i="8" a="1"/>
  <c r="P40" i="8" a="1"/>
  <c r="I32" i="6" a="1"/>
  <c r="R33" i="8" a="1"/>
  <c r="I48" i="6" a="1"/>
  <c r="E20" i="6"/>
  <c r="O31" i="8" a="1"/>
  <c r="O33" i="8" a="1"/>
  <c r="R31" i="8" a="1"/>
  <c r="N8" i="6" a="1"/>
  <c r="G40" i="6"/>
  <c r="M40" i="6" s="1" a="1"/>
  <c r="R32" i="8" a="1"/>
  <c r="P38" i="8" a="1"/>
  <c r="N10" i="6" a="1"/>
  <c r="G34" i="6"/>
  <c r="I39" i="6" a="1"/>
  <c r="R37" i="8" a="1"/>
  <c r="G29" i="6"/>
  <c r="I29" i="6" a="1"/>
  <c r="P33" i="8" a="1"/>
  <c r="G37" i="6"/>
  <c r="I36" i="6" a="1"/>
  <c r="G33" i="6"/>
  <c r="N34" i="6" a="1"/>
  <c r="G32" i="6"/>
  <c r="N7" i="6" a="1"/>
  <c r="M34" i="6" a="1"/>
  <c r="L34" i="6" a="1"/>
  <c r="K37" i="6" a="1"/>
  <c r="J40" i="6" a="1"/>
  <c r="I38" i="6" a="1"/>
  <c r="G36" i="6"/>
  <c r="G35" i="6"/>
  <c r="K35" i="6" s="1" a="1"/>
  <c r="J32" i="6" a="1"/>
  <c r="M32" i="6" a="1"/>
  <c r="H40" i="6" a="1"/>
  <c r="M33" i="6" a="1"/>
  <c r="H29" i="6" a="1"/>
  <c r="J36" i="6" a="1"/>
  <c r="R30" i="8" a="1"/>
  <c r="H32" i="6" a="1"/>
  <c r="R29" i="8" a="1"/>
  <c r="R48" i="8" a="1"/>
  <c r="O38" i="8" a="1"/>
  <c r="N33" i="6" a="1"/>
  <c r="I37" i="6" a="1"/>
  <c r="G31" i="6"/>
  <c r="M37" i="6" a="1"/>
  <c r="L40" i="6" a="1"/>
  <c r="E53" i="8" a="1"/>
  <c r="G39" i="6"/>
  <c r="N12" i="6" a="1"/>
  <c r="L37" i="6" a="1"/>
  <c r="H36" i="6" a="1"/>
  <c r="R39" i="8" a="1"/>
  <c r="H37" i="6" a="1"/>
  <c r="K33" i="6" a="1"/>
  <c r="M29" i="6" a="1"/>
  <c r="O32" i="8" a="1"/>
  <c r="G38" i="6"/>
  <c r="J37" i="6" a="1"/>
  <c r="O36" i="8" a="1"/>
  <c r="P35" i="8" a="1"/>
  <c r="O40" i="8" a="1"/>
  <c r="G30" i="6"/>
  <c r="I35" i="6" a="1"/>
  <c r="H33" i="6" a="1"/>
  <c r="J29" i="6" a="1"/>
  <c r="L29" i="6" a="1"/>
  <c r="R36" i="8" a="1"/>
  <c r="R35" i="8" a="1"/>
  <c r="K40" i="6" a="1"/>
  <c r="M35" i="6" a="1"/>
  <c r="N40" i="6" a="1"/>
  <c r="J35" i="6" a="1"/>
  <c r="N35" i="6" a="1"/>
  <c r="H35" i="6" a="1"/>
  <c r="L35" i="6" a="1"/>
  <c r="P39" i="8" a="1"/>
  <c r="P29" i="8" a="1"/>
  <c r="O30" i="8" a="1"/>
  <c r="P32" i="8" a="1"/>
  <c r="N30" i="6" a="1"/>
  <c r="P36" i="8" a="1"/>
  <c r="I40" i="6" a="1"/>
  <c r="P30" i="8" a="1"/>
  <c r="P37" i="8" a="1"/>
  <c r="O35" i="8" a="1"/>
  <c r="O37" i="8" a="1"/>
  <c r="R40" i="8" a="1"/>
  <c r="K34" i="8" a="1"/>
  <c r="O29" i="8" a="1"/>
  <c r="K39" i="6" a="1"/>
  <c r="K29" i="6" a="1"/>
  <c r="J30" i="6" a="1"/>
  <c r="N29" i="6" a="1"/>
  <c r="P31" i="8" a="1"/>
  <c r="I31" i="6" a="1"/>
  <c r="J38" i="6" a="1"/>
  <c r="K30" i="6" a="1"/>
  <c r="I33" i="6" a="1"/>
  <c r="I30" i="6" a="1"/>
  <c r="I34" i="6" a="1"/>
  <c r="G48" i="6"/>
  <c r="N11" i="6" a="1"/>
  <c r="N6" i="6" a="1"/>
  <c r="N9" i="6" a="1"/>
  <c r="J34" i="6" a="1"/>
  <c r="H34" i="6" a="1"/>
  <c r="J33" i="6" a="1"/>
  <c r="L33" i="6" a="1"/>
  <c r="L32" i="6" a="1"/>
  <c r="K32" i="6" a="1"/>
  <c r="N32" i="6" a="1"/>
  <c r="N36" i="6" a="1"/>
  <c r="M36" i="6" a="1"/>
  <c r="L36" i="6" a="1"/>
  <c r="K36" i="6" a="1"/>
  <c r="H31" i="6" a="1"/>
  <c r="K31" i="6" a="1"/>
  <c r="M31" i="6" a="1"/>
  <c r="N31" i="6" a="1"/>
  <c r="L31" i="6" a="1"/>
  <c r="J31" i="6" a="1"/>
  <c r="L39" i="6" a="1"/>
  <c r="J39" i="6" a="1"/>
  <c r="M39" i="6" a="1"/>
  <c r="H39" i="6" a="1"/>
  <c r="N39" i="6" a="1"/>
  <c r="K38" i="6" a="1"/>
  <c r="M38" i="6" a="1"/>
  <c r="H38" i="6" a="1"/>
  <c r="N38" i="6" a="1"/>
  <c r="L38" i="6" a="1"/>
  <c r="L30" i="6" a="1"/>
  <c r="M30" i="6" a="1"/>
  <c r="H30" i="6" a="1"/>
  <c r="H48" i="6" a="1"/>
  <c r="N48" i="6" a="1"/>
  <c r="K48" i="6" a="1"/>
  <c r="J48" i="6" a="1"/>
  <c r="L48" i="6" a="1"/>
  <c r="M48" i="6" a="1"/>
  <c r="AB31" i="8" l="1"/>
  <c r="AE31" i="8"/>
  <c r="AC31" i="8"/>
  <c r="S31" i="8"/>
  <c r="T31" i="8"/>
  <c r="Y31" i="8"/>
  <c r="AA31" i="8"/>
  <c r="U31" i="8"/>
  <c r="R31" i="8"/>
  <c r="V31" i="8"/>
  <c r="W31" i="8"/>
  <c r="Z31" i="8"/>
  <c r="X31" i="8"/>
  <c r="AD31" i="8"/>
  <c r="Y38" i="8"/>
  <c r="Z38" i="8"/>
  <c r="R38" i="8"/>
  <c r="AE38" i="8"/>
  <c r="S38" i="8"/>
  <c r="T38" i="8"/>
  <c r="V38" i="8"/>
  <c r="AC38" i="8"/>
  <c r="X38" i="8"/>
  <c r="AB38" i="8"/>
  <c r="AA38" i="8"/>
  <c r="AD38" i="8"/>
  <c r="U38" i="8"/>
  <c r="W38" i="8"/>
  <c r="R40" i="8"/>
  <c r="W29" i="8"/>
  <c r="U29" i="8"/>
  <c r="V29" i="8"/>
  <c r="X29" i="8"/>
  <c r="Y29" i="8"/>
  <c r="Z29" i="8"/>
  <c r="AA29" i="8"/>
  <c r="AB29" i="8"/>
  <c r="AC29" i="8"/>
  <c r="R29" i="8"/>
  <c r="AD29" i="8"/>
  <c r="T29" i="8"/>
  <c r="S29" i="8"/>
  <c r="AE29" i="8"/>
  <c r="Y30" i="8"/>
  <c r="AE30" i="8"/>
  <c r="Z30" i="8"/>
  <c r="U30" i="8"/>
  <c r="AA30" i="8"/>
  <c r="S30" i="8"/>
  <c r="X30" i="8"/>
  <c r="V30" i="8"/>
  <c r="W30" i="8"/>
  <c r="AC30" i="8"/>
  <c r="AB30" i="8"/>
  <c r="AD30" i="8"/>
  <c r="T30" i="8"/>
  <c r="R30" i="8"/>
  <c r="U37" i="8"/>
  <c r="Z37" i="8"/>
  <c r="AA37" i="8"/>
  <c r="X37" i="8"/>
  <c r="V37" i="8"/>
  <c r="Y37" i="8"/>
  <c r="T37" i="8"/>
  <c r="AC37" i="8"/>
  <c r="R37" i="8"/>
  <c r="W37" i="8"/>
  <c r="AE37" i="8"/>
  <c r="AB37" i="8"/>
  <c r="AD37" i="8"/>
  <c r="S37" i="8"/>
  <c r="AC33" i="8"/>
  <c r="R33" i="8"/>
  <c r="S33" i="8"/>
  <c r="X33" i="8"/>
  <c r="AA33" i="8"/>
  <c r="T33" i="8"/>
  <c r="V33" i="8"/>
  <c r="Y33" i="8"/>
  <c r="AE33" i="8"/>
  <c r="AD33" i="8"/>
  <c r="U33" i="8"/>
  <c r="W33" i="8"/>
  <c r="AB33" i="8"/>
  <c r="Z33" i="8"/>
  <c r="AA32" i="8"/>
  <c r="Z32" i="8"/>
  <c r="AB32" i="8"/>
  <c r="Y32" i="8"/>
  <c r="W32" i="8"/>
  <c r="T32" i="8"/>
  <c r="S32" i="8"/>
  <c r="V32" i="8"/>
  <c r="X32" i="8"/>
  <c r="R32" i="8"/>
  <c r="AC32" i="8"/>
  <c r="AD32" i="8"/>
  <c r="AE32" i="8"/>
  <c r="U32" i="8"/>
  <c r="AD35" i="8"/>
  <c r="V35" i="8"/>
  <c r="AE35" i="8"/>
  <c r="Z35" i="8"/>
  <c r="X35" i="8"/>
  <c r="AB35" i="8"/>
  <c r="AA35" i="8"/>
  <c r="Y35" i="8"/>
  <c r="S35" i="8"/>
  <c r="T35" i="8"/>
  <c r="AC35" i="8"/>
  <c r="W35" i="8"/>
  <c r="U35" i="8"/>
  <c r="R35" i="8"/>
  <c r="AA36" i="8"/>
  <c r="AC36" i="8"/>
  <c r="AE36" i="8"/>
  <c r="R36" i="8"/>
  <c r="X36" i="8"/>
  <c r="Z36" i="8"/>
  <c r="AB36" i="8"/>
  <c r="U36" i="8"/>
  <c r="AD36" i="8"/>
  <c r="W36" i="8"/>
  <c r="S36" i="8"/>
  <c r="Y36" i="8"/>
  <c r="V36" i="8"/>
  <c r="T36" i="8"/>
  <c r="W39" i="8"/>
  <c r="X39" i="8"/>
  <c r="U39" i="8"/>
  <c r="R39" i="8"/>
  <c r="V39" i="8"/>
  <c r="AA39" i="8"/>
  <c r="AB39" i="8"/>
  <c r="Y39" i="8"/>
  <c r="S39" i="8"/>
  <c r="T39" i="8"/>
  <c r="AE39" i="8"/>
  <c r="AD39" i="8"/>
  <c r="AC39" i="8"/>
  <c r="Z39" i="8"/>
  <c r="K34" i="8"/>
  <c r="P40" i="8"/>
  <c r="P37" i="8"/>
  <c r="P33" i="8"/>
  <c r="P29" i="8"/>
  <c r="P32" i="8"/>
  <c r="P35" i="8"/>
  <c r="P36" i="8"/>
  <c r="P30" i="8"/>
  <c r="P39" i="8"/>
  <c r="P31" i="8"/>
  <c r="P38" i="8"/>
  <c r="R48" i="8"/>
  <c r="O38" i="8"/>
  <c r="O39" i="8"/>
  <c r="O40" i="8"/>
  <c r="O37" i="8"/>
  <c r="O31" i="8"/>
  <c r="O33" i="8"/>
  <c r="O29" i="8"/>
  <c r="O30" i="8"/>
  <c r="O32" i="8"/>
  <c r="O35" i="8"/>
  <c r="O36" i="8"/>
  <c r="L74" i="8"/>
  <c r="I74" i="8" s="1"/>
  <c r="E53" i="8"/>
  <c r="Q74" i="8"/>
  <c r="E75" i="8"/>
  <c r="N74" i="8"/>
  <c r="F74" i="6"/>
  <c r="O74" i="6"/>
  <c r="O75" i="6"/>
  <c r="M48" i="6"/>
  <c r="L48" i="6"/>
  <c r="K48" i="6"/>
  <c r="J48" i="6"/>
  <c r="H48" i="6"/>
  <c r="N48" i="6"/>
  <c r="N38" i="6"/>
  <c r="H38" i="6"/>
  <c r="M38" i="6"/>
  <c r="L38" i="6"/>
  <c r="K38" i="6"/>
  <c r="J38" i="6"/>
  <c r="N32" i="6"/>
  <c r="H32" i="6"/>
  <c r="M32" i="6"/>
  <c r="L32" i="6"/>
  <c r="K32" i="6"/>
  <c r="J32" i="6"/>
  <c r="H31" i="6"/>
  <c r="N31" i="6"/>
  <c r="M31" i="6"/>
  <c r="K31" i="6"/>
  <c r="L31" i="6"/>
  <c r="J31" i="6"/>
  <c r="H37" i="6"/>
  <c r="M37" i="6"/>
  <c r="L37" i="6"/>
  <c r="K37" i="6"/>
  <c r="J37" i="6"/>
  <c r="J36" i="6"/>
  <c r="N36" i="6"/>
  <c r="H36" i="6"/>
  <c r="M36" i="6"/>
  <c r="L36" i="6"/>
  <c r="K36" i="6"/>
  <c r="J30" i="6"/>
  <c r="N30" i="6"/>
  <c r="H30" i="6"/>
  <c r="M30" i="6"/>
  <c r="L30" i="6"/>
  <c r="K30" i="6"/>
  <c r="K35" i="6"/>
  <c r="J35" i="6"/>
  <c r="N35" i="6"/>
  <c r="H35" i="6"/>
  <c r="M35" i="6"/>
  <c r="L35" i="6"/>
  <c r="K29" i="6"/>
  <c r="J29" i="6"/>
  <c r="N29" i="6"/>
  <c r="H29" i="6"/>
  <c r="M29" i="6"/>
  <c r="L29" i="6"/>
  <c r="M33" i="6"/>
  <c r="L33" i="6"/>
  <c r="K33" i="6"/>
  <c r="J33" i="6"/>
  <c r="N33" i="6"/>
  <c r="H33" i="6"/>
  <c r="N11" i="6"/>
  <c r="N6" i="6"/>
  <c r="N10" i="6"/>
  <c r="N9" i="6"/>
  <c r="N8" i="6"/>
  <c r="L40" i="6"/>
  <c r="K40" i="6"/>
  <c r="J40" i="6"/>
  <c r="N40" i="6"/>
  <c r="H40" i="6"/>
  <c r="M40" i="6"/>
  <c r="L34" i="6"/>
  <c r="J34" i="6"/>
  <c r="H34" i="6"/>
  <c r="N34" i="6"/>
  <c r="M34" i="6"/>
  <c r="M39" i="6"/>
  <c r="L39" i="6"/>
  <c r="K39" i="6"/>
  <c r="J39" i="6"/>
  <c r="N39" i="6"/>
  <c r="H39" i="6"/>
  <c r="I37" i="6"/>
  <c r="I31" i="6"/>
  <c r="I29" i="6"/>
  <c r="I30" i="6"/>
  <c r="I36" i="6"/>
  <c r="I35" i="6"/>
  <c r="N12" i="6"/>
  <c r="I40" i="6"/>
  <c r="I34" i="6"/>
  <c r="I39" i="6"/>
  <c r="I33" i="6"/>
  <c r="I48" i="6"/>
  <c r="I32" i="6"/>
  <c r="I38" i="6"/>
  <c r="N7" i="6"/>
  <c r="P75" i="6"/>
  <c r="M74" i="6" s="1"/>
  <c r="J74" i="6" s="1"/>
  <c r="G75" i="1"/>
  <c r="P75" i="1" s="1"/>
  <c r="J75" i="1"/>
  <c r="M75" i="1"/>
  <c r="O34" i="8" a="1"/>
  <c r="R33" i="6" a="1"/>
  <c r="R30" i="6" a="1"/>
  <c r="O40" i="6" a="1"/>
  <c r="R38" i="6" a="1"/>
  <c r="E55" i="8" a="1"/>
  <c r="R48" i="6" a="1"/>
  <c r="P34" i="8" a="1"/>
  <c r="O35" i="6" a="1"/>
  <c r="O30" i="6" a="1"/>
  <c r="R32" i="6" a="1"/>
  <c r="O55" i="8" a="1"/>
  <c r="L55" i="8" a="1"/>
  <c r="O32" i="6" a="1"/>
  <c r="R34" i="8" a="1"/>
  <c r="U55" i="8" a="1"/>
  <c r="I55" i="8" a="1"/>
  <c r="R29" i="6" a="1"/>
  <c r="O31" i="6" a="1"/>
  <c r="O39" i="6" a="1"/>
  <c r="AA55" i="8" a="1"/>
  <c r="E53" i="6" a="1"/>
  <c r="AD55" i="8" a="1"/>
  <c r="R31" i="6" a="1"/>
  <c r="O33" i="6" a="1"/>
  <c r="K34" i="6" a="1"/>
  <c r="O29" i="6" a="1"/>
  <c r="R36" i="6" a="1"/>
  <c r="N37" i="6" a="1"/>
  <c r="R35" i="6" a="1"/>
  <c r="X55" i="8" a="1"/>
  <c r="O38" i="6" a="1"/>
  <c r="R40" i="6" a="1"/>
  <c r="O36" i="6" a="1"/>
  <c r="R55" i="8" a="1"/>
  <c r="R39" i="6" a="1"/>
  <c r="V29" i="6" l="1"/>
  <c r="W29" i="6"/>
  <c r="R29" i="6"/>
  <c r="X29" i="6"/>
  <c r="S29" i="6"/>
  <c r="T29" i="6"/>
  <c r="U29" i="6"/>
  <c r="R30" i="6"/>
  <c r="X30" i="6"/>
  <c r="T30" i="6"/>
  <c r="S30" i="6"/>
  <c r="U30" i="6"/>
  <c r="V30" i="6"/>
  <c r="W30" i="6"/>
  <c r="W32" i="6"/>
  <c r="X32" i="6"/>
  <c r="V32" i="6"/>
  <c r="R32" i="6"/>
  <c r="U32" i="6"/>
  <c r="S32" i="6"/>
  <c r="T32" i="6"/>
  <c r="T33" i="6"/>
  <c r="W33" i="6"/>
  <c r="X33" i="6"/>
  <c r="U33" i="6"/>
  <c r="R33" i="6"/>
  <c r="S33" i="6"/>
  <c r="V33" i="6"/>
  <c r="S34" i="8"/>
  <c r="U34" i="8"/>
  <c r="R34" i="8"/>
  <c r="W34" i="8"/>
  <c r="Z34" i="8"/>
  <c r="T34" i="8"/>
  <c r="X34" i="8"/>
  <c r="V34" i="8"/>
  <c r="AE34" i="8"/>
  <c r="Y34" i="8"/>
  <c r="AA34" i="8"/>
  <c r="AC34" i="8"/>
  <c r="AD34" i="8"/>
  <c r="AB34" i="8"/>
  <c r="X39" i="6"/>
  <c r="R39" i="6"/>
  <c r="T39" i="6"/>
  <c r="V39" i="6"/>
  <c r="W39" i="6"/>
  <c r="U39" i="6"/>
  <c r="S39" i="6"/>
  <c r="U35" i="6"/>
  <c r="T35" i="6"/>
  <c r="V35" i="6"/>
  <c r="S35" i="6"/>
  <c r="R35" i="6"/>
  <c r="W35" i="6"/>
  <c r="X35" i="6"/>
  <c r="T31" i="6"/>
  <c r="U31" i="6"/>
  <c r="R31" i="6"/>
  <c r="S31" i="6"/>
  <c r="W31" i="6"/>
  <c r="V31" i="6"/>
  <c r="X31" i="6"/>
  <c r="V36" i="6"/>
  <c r="U36" i="6"/>
  <c r="S36" i="6"/>
  <c r="W36" i="6"/>
  <c r="X36" i="6"/>
  <c r="R36" i="6"/>
  <c r="T36" i="6"/>
  <c r="T38" i="6"/>
  <c r="U38" i="6"/>
  <c r="V38" i="6"/>
  <c r="R38" i="6"/>
  <c r="W38" i="6"/>
  <c r="S38" i="6"/>
  <c r="X38" i="6"/>
  <c r="K34" i="6"/>
  <c r="R40" i="6"/>
  <c r="N37" i="6"/>
  <c r="P34" i="8"/>
  <c r="O34" i="8"/>
  <c r="O35" i="6"/>
  <c r="O40" i="6"/>
  <c r="O33" i="6"/>
  <c r="O36" i="6"/>
  <c r="O39" i="6"/>
  <c r="O31" i="6"/>
  <c r="O38" i="6"/>
  <c r="O30" i="6"/>
  <c r="O29" i="6"/>
  <c r="O32" i="6"/>
  <c r="R48" i="6"/>
  <c r="E53" i="6"/>
  <c r="O55" i="8"/>
  <c r="AD55" i="8"/>
  <c r="L55" i="8"/>
  <c r="AA55" i="8"/>
  <c r="I55" i="8"/>
  <c r="X55" i="8"/>
  <c r="U55" i="8"/>
  <c r="R55" i="8"/>
  <c r="E55" i="8"/>
  <c r="F75" i="6"/>
  <c r="M74" i="1"/>
  <c r="J74" i="1" s="1"/>
  <c r="R37" i="6" a="1"/>
  <c r="E55" i="6" a="1"/>
  <c r="O55" i="6" a="1"/>
  <c r="L55" i="6" a="1"/>
  <c r="AD55" i="6" a="1"/>
  <c r="X55" i="6" a="1"/>
  <c r="R34" i="6" a="1"/>
  <c r="O37" i="6" a="1"/>
  <c r="O34" i="6" a="1"/>
  <c r="AA55" i="6" a="1"/>
  <c r="I55" i="6" a="1"/>
  <c r="U55" i="6" a="1"/>
  <c r="R55" i="6" a="1"/>
  <c r="O34" i="6" l="1"/>
  <c r="V34" i="6"/>
  <c r="S34" i="6"/>
  <c r="T34" i="6"/>
  <c r="W34" i="6"/>
  <c r="X34" i="6"/>
  <c r="U34" i="6"/>
  <c r="R34" i="6"/>
  <c r="S37" i="6"/>
  <c r="V37" i="6"/>
  <c r="R37" i="6"/>
  <c r="W37" i="6"/>
  <c r="U37" i="6"/>
  <c r="T37" i="6"/>
  <c r="X37" i="6"/>
  <c r="O37" i="6"/>
  <c r="O55" i="6"/>
  <c r="AD55" i="6"/>
  <c r="L55" i="6"/>
  <c r="AA55" i="6"/>
  <c r="I55" i="6"/>
  <c r="R55" i="6"/>
  <c r="X55" i="6"/>
  <c r="U55" i="6"/>
  <c r="E55" i="6"/>
  <c r="N17" i="2" l="1"/>
  <c r="N38" i="2" s="1"/>
  <c r="N18" i="2"/>
  <c r="N39" i="2" s="1"/>
  <c r="N19" i="2"/>
  <c r="N40" i="2" s="1"/>
  <c r="N20" i="2"/>
  <c r="N41" i="2" s="1"/>
  <c r="N21" i="2"/>
  <c r="N42" i="2" s="1"/>
  <c r="N22" i="2"/>
  <c r="N43" i="2" s="1"/>
  <c r="N23" i="2"/>
  <c r="N44" i="2" s="1"/>
  <c r="N24" i="2"/>
  <c r="N45" i="2" s="1"/>
  <c r="N25" i="2"/>
  <c r="N46" i="2" s="1"/>
  <c r="N26" i="2"/>
  <c r="N47" i="2" s="1"/>
  <c r="N27" i="2"/>
  <c r="N48" i="2" s="1"/>
  <c r="N28" i="2"/>
  <c r="N49" i="2" s="1"/>
  <c r="N29" i="2"/>
  <c r="N50" i="2" s="1"/>
  <c r="N30" i="2"/>
  <c r="N51" i="2" s="1"/>
  <c r="N31" i="2"/>
  <c r="N52" i="2" s="1"/>
  <c r="N32" i="2"/>
  <c r="N53" i="2" s="1"/>
  <c r="N33" i="2"/>
  <c r="N54" i="2" s="1"/>
  <c r="N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8" i="2"/>
  <c r="K39" i="2" s="1"/>
  <c r="K19" i="2"/>
  <c r="K40" i="2" s="1"/>
  <c r="K20" i="2"/>
  <c r="K41" i="2" s="1"/>
  <c r="K21" i="2"/>
  <c r="K42" i="2" s="1"/>
  <c r="K22" i="2"/>
  <c r="K43" i="2" s="1"/>
  <c r="K23" i="2"/>
  <c r="K44" i="2" s="1"/>
  <c r="K24" i="2"/>
  <c r="K45" i="2" s="1"/>
  <c r="K25" i="2"/>
  <c r="K46" i="2" s="1"/>
  <c r="K26" i="2"/>
  <c r="K47" i="2" s="1"/>
  <c r="K27" i="2"/>
  <c r="K48" i="2" s="1"/>
  <c r="K28" i="2"/>
  <c r="K49" i="2" s="1"/>
  <c r="K29" i="2"/>
  <c r="K50" i="2" s="1"/>
  <c r="K30" i="2"/>
  <c r="K51" i="2" s="1"/>
  <c r="K31" i="2"/>
  <c r="K52" i="2" s="1"/>
  <c r="K32" i="2"/>
  <c r="K53" i="2" s="1"/>
  <c r="K33" i="2"/>
  <c r="K54" i="2" s="1"/>
  <c r="K16" i="2"/>
  <c r="K7" i="1"/>
  <c r="K6" i="1"/>
  <c r="L74" i="1" s="1"/>
  <c r="L75" i="1" s="1"/>
  <c r="O75" i="1" s="1"/>
  <c r="E15" i="1"/>
  <c r="I48" i="1" a="1"/>
  <c r="I33" i="1" a="1"/>
  <c r="G40" i="1"/>
  <c r="H40" i="1" a="1"/>
  <c r="I32" i="1" a="1"/>
  <c r="G29" i="1"/>
  <c r="I38" i="1" a="1"/>
  <c r="L29" i="1" a="1"/>
  <c r="G36" i="1"/>
  <c r="K29" i="1" a="1"/>
  <c r="G34" i="1"/>
  <c r="M29" i="1" a="1"/>
  <c r="G30" i="1"/>
  <c r="G32" i="1"/>
  <c r="I31" i="1" a="1"/>
  <c r="N12" i="1" a="1"/>
  <c r="I35" i="1" a="1"/>
  <c r="N7" i="1" a="1"/>
  <c r="I34" i="1" a="1"/>
  <c r="I30" i="1" a="1"/>
  <c r="G37" i="1"/>
  <c r="I29" i="1" a="1"/>
  <c r="G48" i="1"/>
  <c r="G35" i="1"/>
  <c r="G39" i="1"/>
  <c r="E20" i="1"/>
  <c r="G38" i="1"/>
  <c r="G31" i="1"/>
  <c r="I37" i="1" a="1"/>
  <c r="I40" i="1" a="1"/>
  <c r="I39" i="1" a="1"/>
  <c r="I36" i="1" a="1"/>
  <c r="G33" i="1"/>
  <c r="K40" i="1" a="1"/>
  <c r="L40" i="1" a="1"/>
  <c r="N40" i="1" a="1"/>
  <c r="M40" i="1" a="1"/>
  <c r="J40" i="1" a="1"/>
  <c r="J29" i="1" a="1"/>
  <c r="H29" i="1" a="1"/>
  <c r="N36" i="1" a="1"/>
  <c r="L36" i="1" a="1"/>
  <c r="H36" i="1" a="1"/>
  <c r="K36" i="1" a="1"/>
  <c r="M36" i="1" a="1"/>
  <c r="J36" i="1" a="1"/>
  <c r="K34" i="1" a="1"/>
  <c r="L34" i="1" a="1"/>
  <c r="J34" i="1" a="1"/>
  <c r="N34" i="1" a="1"/>
  <c r="H34" i="1" a="1"/>
  <c r="M34" i="1" a="1"/>
  <c r="L30" i="1" a="1"/>
  <c r="M30" i="1" a="1"/>
  <c r="H30" i="1" a="1"/>
  <c r="N30" i="1" a="1"/>
  <c r="K30" i="1" a="1"/>
  <c r="J30" i="1" a="1"/>
  <c r="N32" i="1" a="1"/>
  <c r="M32" i="1" a="1"/>
  <c r="K32" i="1" a="1"/>
  <c r="L32" i="1" a="1"/>
  <c r="J32" i="1" a="1"/>
  <c r="H32" i="1" a="1"/>
  <c r="H37" i="1" a="1"/>
  <c r="M37" i="1" a="1"/>
  <c r="N37" i="1" a="1"/>
  <c r="K37" i="1" a="1"/>
  <c r="L37" i="1" a="1"/>
  <c r="J37" i="1" a="1"/>
  <c r="L48" i="1" a="1"/>
  <c r="N48" i="1" a="1"/>
  <c r="M48" i="1" a="1"/>
  <c r="H48" i="1" a="1"/>
  <c r="K48" i="1" a="1"/>
  <c r="M35" i="1" a="1"/>
  <c r="L35" i="1" a="1"/>
  <c r="H35" i="1" a="1"/>
  <c r="K35" i="1" a="1"/>
  <c r="N35" i="1" a="1"/>
  <c r="N39" i="1" a="1"/>
  <c r="H39" i="1" a="1"/>
  <c r="M39" i="1" a="1"/>
  <c r="J39" i="1" a="1"/>
  <c r="L39" i="1" a="1"/>
  <c r="K39" i="1" a="1"/>
  <c r="N10" i="1" a="1"/>
  <c r="N6" i="1" a="1"/>
  <c r="N9" i="1" a="1"/>
  <c r="J38" i="1" a="1"/>
  <c r="N38" i="1" a="1"/>
  <c r="L38" i="1" a="1"/>
  <c r="K38" i="1" a="1"/>
  <c r="M38" i="1" a="1"/>
  <c r="H38" i="1" a="1"/>
  <c r="J31" i="1" a="1"/>
  <c r="H31" i="1" a="1"/>
  <c r="K31" i="1" a="1"/>
  <c r="N31" i="1" a="1"/>
  <c r="M31" i="1" a="1"/>
  <c r="L31" i="1" a="1"/>
  <c r="M33" i="1" a="1"/>
  <c r="N33" i="1" a="1"/>
  <c r="H33" i="1" a="1"/>
  <c r="J33" i="1" a="1"/>
  <c r="K33" i="1" a="1"/>
  <c r="L33" i="1" a="1"/>
  <c r="L16" i="2" l="1"/>
  <c r="K37" i="2"/>
  <c r="O16" i="2"/>
  <c r="N37" i="2"/>
  <c r="H48" i="1"/>
  <c r="M48" i="1"/>
  <c r="K48" i="1"/>
  <c r="N48" i="1"/>
  <c r="L48" i="1"/>
  <c r="I48" i="1"/>
  <c r="I74" i="1"/>
  <c r="I75" i="1" s="1"/>
  <c r="F74" i="1"/>
  <c r="K37" i="1"/>
  <c r="K34" i="1"/>
  <c r="J31" i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L38" i="1"/>
  <c r="N37" i="1"/>
  <c r="H37" i="1"/>
  <c r="J36" i="1"/>
  <c r="L35" i="1"/>
  <c r="N34" i="1"/>
  <c r="H34" i="1"/>
  <c r="J33" i="1"/>
  <c r="L32" i="1"/>
  <c r="N31" i="1"/>
  <c r="H31" i="1"/>
  <c r="J30" i="1"/>
  <c r="I38" i="1"/>
  <c r="I35" i="1"/>
  <c r="J37" i="1"/>
  <c r="J34" i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L36" i="1"/>
  <c r="L33" i="1"/>
  <c r="M35" i="1"/>
  <c r="K33" i="1"/>
  <c r="N40" i="1"/>
  <c r="M40" i="1"/>
  <c r="L40" i="1"/>
  <c r="N39" i="1"/>
  <c r="H39" i="1"/>
  <c r="J38" i="1"/>
  <c r="L37" i="1"/>
  <c r="N36" i="1"/>
  <c r="H36" i="1"/>
  <c r="L34" i="1"/>
  <c r="N33" i="1"/>
  <c r="H33" i="1"/>
  <c r="J32" i="1"/>
  <c r="L31" i="1"/>
  <c r="N30" i="1"/>
  <c r="H30" i="1"/>
  <c r="M29" i="1"/>
  <c r="L29" i="1"/>
  <c r="K29" i="1"/>
  <c r="J29" i="1"/>
  <c r="H29" i="1"/>
  <c r="I29" i="1"/>
  <c r="N12" i="1"/>
  <c r="N10" i="1"/>
  <c r="N9" i="1"/>
  <c r="N7" i="1"/>
  <c r="N6" i="1"/>
  <c r="O33" i="1" a="1"/>
  <c r="O34" i="1" a="1"/>
  <c r="J48" i="1" a="1"/>
  <c r="O31" i="1" a="1"/>
  <c r="P33" i="1" a="1"/>
  <c r="P31" i="1" a="1"/>
  <c r="P40" i="1" a="1"/>
  <c r="R39" i="1" a="1"/>
  <c r="O32" i="1" a="1"/>
  <c r="R32" i="1" a="1"/>
  <c r="R30" i="1" a="1"/>
  <c r="P36" i="1" a="1"/>
  <c r="O30" i="1" a="1"/>
  <c r="R34" i="1" a="1"/>
  <c r="P37" i="1" a="1"/>
  <c r="R31" i="1" a="1"/>
  <c r="P30" i="1" a="1"/>
  <c r="O37" i="1" a="1"/>
  <c r="R36" i="1" a="1"/>
  <c r="N29" i="1" a="1"/>
  <c r="J35" i="1" a="1"/>
  <c r="P39" i="1" a="1"/>
  <c r="P38" i="1" a="1"/>
  <c r="O29" i="1" a="1"/>
  <c r="O39" i="1" a="1"/>
  <c r="O38" i="1" a="1"/>
  <c r="R40" i="1" a="1"/>
  <c r="O36" i="1" a="1"/>
  <c r="N11" i="1" a="1"/>
  <c r="O40" i="1" a="1"/>
  <c r="P32" i="1" a="1"/>
  <c r="P34" i="1" a="1"/>
  <c r="N8" i="1" a="1"/>
  <c r="R33" i="1" a="1"/>
  <c r="R37" i="1" a="1"/>
  <c r="R38" i="1" a="1"/>
  <c r="J48" i="1" l="1"/>
  <c r="J35" i="1"/>
  <c r="R32" i="1"/>
  <c r="S32" i="1"/>
  <c r="T32" i="1"/>
  <c r="Y32" i="1"/>
  <c r="U32" i="1"/>
  <c r="V32" i="1"/>
  <c r="W32" i="1"/>
  <c r="X32" i="1"/>
  <c r="R40" i="1"/>
  <c r="S34" i="1"/>
  <c r="T34" i="1"/>
  <c r="V34" i="1"/>
  <c r="W34" i="1"/>
  <c r="X34" i="1"/>
  <c r="Y34" i="1"/>
  <c r="R34" i="1"/>
  <c r="U34" i="1"/>
  <c r="U33" i="1"/>
  <c r="V33" i="1"/>
  <c r="W33" i="1"/>
  <c r="X33" i="1"/>
  <c r="Y33" i="1"/>
  <c r="R33" i="1"/>
  <c r="S33" i="1"/>
  <c r="T33" i="1"/>
  <c r="X38" i="1"/>
  <c r="Y38" i="1"/>
  <c r="S38" i="1"/>
  <c r="T38" i="1"/>
  <c r="R38" i="1"/>
  <c r="U38" i="1"/>
  <c r="V38" i="1"/>
  <c r="W38" i="1"/>
  <c r="S37" i="1"/>
  <c r="T37" i="1"/>
  <c r="U37" i="1"/>
  <c r="V37" i="1"/>
  <c r="W37" i="1"/>
  <c r="R37" i="1"/>
  <c r="X37" i="1"/>
  <c r="Y37" i="1"/>
  <c r="W36" i="1"/>
  <c r="Y36" i="1"/>
  <c r="R36" i="1"/>
  <c r="S36" i="1"/>
  <c r="T36" i="1"/>
  <c r="X36" i="1"/>
  <c r="U36" i="1"/>
  <c r="V36" i="1"/>
  <c r="V31" i="1"/>
  <c r="W31" i="1"/>
  <c r="X31" i="1"/>
  <c r="R31" i="1"/>
  <c r="S31" i="1"/>
  <c r="T31" i="1"/>
  <c r="Y31" i="1"/>
  <c r="U31" i="1"/>
  <c r="V30" i="1"/>
  <c r="W30" i="1"/>
  <c r="X30" i="1"/>
  <c r="Y30" i="1"/>
  <c r="R30" i="1"/>
  <c r="T30" i="1"/>
  <c r="U30" i="1"/>
  <c r="S30" i="1"/>
  <c r="T39" i="1"/>
  <c r="V39" i="1"/>
  <c r="Y39" i="1"/>
  <c r="U39" i="1"/>
  <c r="W39" i="1"/>
  <c r="X39" i="1"/>
  <c r="R39" i="1"/>
  <c r="S39" i="1"/>
  <c r="P40" i="1"/>
  <c r="O37" i="1"/>
  <c r="P34" i="1"/>
  <c r="P33" i="1"/>
  <c r="O39" i="1"/>
  <c r="P32" i="1"/>
  <c r="O40" i="1"/>
  <c r="O38" i="1"/>
  <c r="P38" i="1"/>
  <c r="O29" i="1"/>
  <c r="P37" i="1"/>
  <c r="O33" i="1"/>
  <c r="O32" i="1"/>
  <c r="P36" i="1"/>
  <c r="O36" i="1"/>
  <c r="P31" i="1"/>
  <c r="O34" i="1"/>
  <c r="O30" i="1"/>
  <c r="O31" i="1"/>
  <c r="P30" i="1"/>
  <c r="P39" i="1"/>
  <c r="N8" i="1"/>
  <c r="N29" i="1"/>
  <c r="F75" i="1"/>
  <c r="O74" i="1"/>
  <c r="N11" i="1"/>
  <c r="E53" i="1" a="1"/>
  <c r="R29" i="1" a="1"/>
  <c r="O35" i="1" a="1"/>
  <c r="P29" i="1" a="1"/>
  <c r="R48" i="1" a="1"/>
  <c r="R35" i="1" a="1"/>
  <c r="P35" i="1" a="1"/>
  <c r="R29" i="1" l="1"/>
  <c r="S29" i="1"/>
  <c r="T29" i="1"/>
  <c r="U29" i="1"/>
  <c r="V29" i="1"/>
  <c r="W29" i="1"/>
  <c r="X29" i="1"/>
  <c r="Y29" i="1"/>
  <c r="E53" i="1"/>
  <c r="R48" i="1"/>
  <c r="W35" i="1"/>
  <c r="U35" i="1"/>
  <c r="X35" i="1"/>
  <c r="Y35" i="1"/>
  <c r="V35" i="1"/>
  <c r="R35" i="1"/>
  <c r="S35" i="1"/>
  <c r="T35" i="1"/>
  <c r="P35" i="1"/>
  <c r="O35" i="1"/>
  <c r="P29" i="1"/>
  <c r="E55" i="1" a="1"/>
  <c r="R55" i="1" a="1"/>
  <c r="X55" i="1" a="1"/>
  <c r="AD55" i="1" a="1"/>
  <c r="O55" i="1" a="1"/>
  <c r="L55" i="1" a="1"/>
  <c r="AA55" i="1" a="1"/>
  <c r="U55" i="1" a="1"/>
  <c r="I55" i="1" a="1"/>
  <c r="O55" i="1" l="1"/>
  <c r="R55" i="1"/>
  <c r="AA55" i="1"/>
  <c r="X55" i="1"/>
  <c r="L55" i="1"/>
  <c r="AD55" i="1"/>
  <c r="U55" i="1"/>
  <c r="E55" i="1"/>
  <c r="I5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<sst xmlns="http://schemas.openxmlformats.org/spreadsheetml/2006/main" count="325" uniqueCount="120">
  <si>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</si>
  <si>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</si>
  <si>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</si>
  <si>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</si>
  <si>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</si>
  <si>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</si>
  <si>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</si>
  <si>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</si>
  <si>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</si>
  <si>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</si>
  <si>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</si>
  <si>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</si>
  <si>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</si>
  <si>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</si>
  <si>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</si>
  <si>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</si>
  <si>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</si>
  <si>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</si>
  <si>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</si>
  <si>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</si>
  <si>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</si>
  <si>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</si>
  <si>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</si>
  <si>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</si>
  <si>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</si>
  <si>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</si>
  <si>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</si>
  <si>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</si>
  <si>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</si>
  <si>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</si>
  <si>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</si>
  <si>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</si>
  <si>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q</t>
  </si>
  <si>
    <t>ksep simpl</t>
  </si>
  <si>
    <t>ksep mech</t>
  </si>
  <si>
    <t>mm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</si>
  <si>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</si>
  <si>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</si>
  <si>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</si>
  <si>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</si>
  <si>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</si>
  <si>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</si>
  <si>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</si>
  <si>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h</t>
  </si>
  <si>
    <t>r</t>
  </si>
  <si>
    <t>hintake</t>
  </si>
  <si>
    <t>1. Построение графика зависимости коэффициента сепарации от дебита</t>
  </si>
  <si>
    <t>2. Построение траектории пузырьков газа около приема насоса</t>
  </si>
  <si>
    <t>calibr_li</t>
  </si>
  <si>
    <t>calibr_st</t>
  </si>
  <si>
    <t>hperf</t>
  </si>
  <si>
    <t>пкв отношение</t>
  </si>
  <si>
    <t>Пример расчет коэффициента сепарации для ПКВ режима</t>
  </si>
  <si>
    <t>суточный</t>
  </si>
  <si>
    <t>мгновенный</t>
  </si>
  <si>
    <t>Задание красивых границ для рисунка</t>
  </si>
  <si>
    <t xml:space="preserve"> </t>
  </si>
  <si>
    <t>м3/сут</t>
  </si>
  <si>
    <t>сП</t>
  </si>
  <si>
    <t>Расчет коэффициента сепарации на приеме ЭЦН</t>
  </si>
  <si>
    <t>Расчет коэффициента сепарации в реверсивном потоке для ЭЦН ниже интервала перфорации</t>
  </si>
  <si>
    <t>ksep mech Marquez</t>
  </si>
  <si>
    <t>a</t>
  </si>
  <si>
    <t>l</t>
  </si>
  <si>
    <t>v</t>
  </si>
  <si>
    <t>мин</t>
  </si>
  <si>
    <t>Оценка времени откачки ГЖС из области между насосом и э/к</t>
  </si>
  <si>
    <t>м2</t>
  </si>
  <si>
    <t>площадь кольца между насосом и э/к</t>
  </si>
  <si>
    <t>м</t>
  </si>
  <si>
    <t>длина насоса</t>
  </si>
  <si>
    <t>объем пространства между насосом и э/к</t>
  </si>
  <si>
    <t>время откачки с заданным пкв отношением</t>
  </si>
  <si>
    <t>м3</t>
  </si>
  <si>
    <t>dtub</t>
  </si>
  <si>
    <t>Вязкость нефти</t>
  </si>
  <si>
    <t>мПа·с</t>
  </si>
  <si>
    <t>Пластовое давление</t>
  </si>
  <si>
    <t>бар</t>
  </si>
  <si>
    <t>psi</t>
  </si>
  <si>
    <t>Проницаемость</t>
  </si>
  <si>
    <t>мД</t>
  </si>
  <si>
    <t>Температура</t>
  </si>
  <si>
    <t>°С</t>
  </si>
  <si>
    <t>°F</t>
  </si>
  <si>
    <t>Газосодержание</t>
  </si>
  <si>
    <t>м³/м³</t>
  </si>
  <si>
    <t>ft³/bbl</t>
  </si>
  <si>
    <t>Радиус скважины</t>
  </si>
  <si>
    <t>in</t>
  </si>
  <si>
    <t>Дебит скважины</t>
  </si>
  <si>
    <t>м³/сут</t>
  </si>
  <si>
    <t>bpd</t>
  </si>
  <si>
    <t>Плотность нефти</t>
  </si>
  <si>
    <t>кг/м³</t>
  </si>
  <si>
    <t>°API</t>
  </si>
  <si>
    <t>ft/sec</t>
  </si>
  <si>
    <t>m/sec</t>
  </si>
  <si>
    <t>ksep qres pkv</t>
  </si>
  <si>
    <t>calc_mode</t>
  </si>
  <si>
    <t>p_sep_atma</t>
  </si>
  <si>
    <t>t_sep_C</t>
  </si>
  <si>
    <t>natsep_model</t>
  </si>
  <si>
    <t>d_intake_mm</t>
  </si>
  <si>
    <t>d_cas_mm</t>
  </si>
  <si>
    <t>pkv_prod_period_ratio</t>
  </si>
  <si>
    <t>ksep_gassep_man_d</t>
  </si>
  <si>
    <t>ksep_nat_man_d</t>
  </si>
  <si>
    <t>ksep_liquid_man_d</t>
  </si>
  <si>
    <t>h_intake_m</t>
  </si>
  <si>
    <t>h_perf_m</t>
  </si>
  <si>
    <t>gassep_type</t>
  </si>
  <si>
    <t>gassep_qnom_sm3day</t>
  </si>
  <si>
    <t>param</t>
  </si>
  <si>
    <t>separation json</t>
  </si>
  <si>
    <t>val_from</t>
  </si>
  <si>
    <t>val_to</t>
  </si>
  <si>
    <t>num</t>
  </si>
  <si>
    <t>linspace</t>
  </si>
  <si>
    <t>новая модель сепарации с учетом газосепаратора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</si>
</sst>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/>
    <xf numFmtId="2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165" fontId="0" fillId="5" borderId="0" xfId="0" applyNumberFormat="1" applyFill="1"/>
    <xf numFmtId="2" fontId="2" fillId="5" borderId="0" xfId="0" applyNumberFormat="1" applyFont="1" applyFill="1"/>
    <xf numFmtId="2" fontId="0" fillId="5" borderId="0" xfId="0" applyNumberFormat="1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166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0" fontId="3" fillId="0" borderId="0" xfId="0" applyFont="1"/>
    <xf numFmtId="2" fontId="2" fillId="4" borderId="0" xfId="0" applyNumberFormat="1" applyFont="1" applyFill="1" applyAlignment="1">
      <alignment horizontal="center"/>
    </xf>
    <xf numFmtId="2" fontId="2" fillId="4" borderId="0" xfId="0" applyNumberFormat="1" applyFont="1" applyFill="1"/>
    <xf numFmtId="0" fontId="0" fillId="7" borderId="0" xfId="0" applyFill="1"/>
    <xf numFmtId="1" fontId="0" fillId="0" borderId="0" xfId="0" applyNumberFormat="1" applyAlignment="1">
      <alignment horizontal="center"/>
    </xf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Лист1!$H$50</c:f>
              <c:strCache>
                <c:ptCount val="1"/>
                <c:pt idx="0">
                  <c:v>0,96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Лист1!$G$51:$G$76</c:f>
              <c:numCache>
                <c:formatCode>General</c:formatCode>
                <c:ptCount val="26"/>
                <c:pt idx="0">
                  <c:v>1</c:v>
                </c:pt>
                <c:pt idx="1">
                  <c:v>10.96</c:v>
                </c:pt>
                <c:pt idx="2">
                  <c:v>20.92</c:v>
                </c:pt>
                <c:pt idx="3">
                  <c:v>30.88</c:v>
                </c:pt>
                <c:pt idx="4">
                  <c:v>40.840000000000003</c:v>
                </c:pt>
                <c:pt idx="5">
                  <c:v>50.8</c:v>
                </c:pt>
                <c:pt idx="6">
                  <c:v>60.76</c:v>
                </c:pt>
                <c:pt idx="7">
                  <c:v>70.72</c:v>
                </c:pt>
                <c:pt idx="8">
                  <c:v>80.680000000000007</c:v>
                </c:pt>
                <c:pt idx="9">
                  <c:v>90.64</c:v>
                </c:pt>
                <c:pt idx="10">
                  <c:v>100.6</c:v>
                </c:pt>
                <c:pt idx="11">
                  <c:v>110.56</c:v>
                </c:pt>
                <c:pt idx="12">
                  <c:v>120.52</c:v>
                </c:pt>
                <c:pt idx="13">
                  <c:v>130.47999999999999</c:v>
                </c:pt>
                <c:pt idx="14">
                  <c:v>140.44</c:v>
                </c:pt>
                <c:pt idx="15">
                  <c:v>150.4</c:v>
                </c:pt>
                <c:pt idx="16">
                  <c:v>160.36000000000001</c:v>
                </c:pt>
                <c:pt idx="17">
                  <c:v>170.32</c:v>
                </c:pt>
                <c:pt idx="18">
                  <c:v>180.28</c:v>
                </c:pt>
                <c:pt idx="19">
                  <c:v>190.24</c:v>
                </c:pt>
                <c:pt idx="20">
                  <c:v>200.2</c:v>
                </c:pt>
                <c:pt idx="21">
                  <c:v>210.16</c:v>
                </c:pt>
                <c:pt idx="22">
                  <c:v>220.12</c:v>
                </c:pt>
                <c:pt idx="23">
                  <c:v>230.08</c:v>
                </c:pt>
                <c:pt idx="24">
                  <c:v>240.04</c:v>
                </c:pt>
                <c:pt idx="25">
                  <c:v>250</c:v>
                </c:pt>
              </c:numCache>
            </c:numRef>
          </c:xVal>
          <c:yVal>
            <c:numRef>
              <c:f>Лист1!$H$51:$H$76</c:f>
              <c:numCache>
                <c:formatCode>General</c:formatCode>
                <c:ptCount val="26"/>
                <c:pt idx="0">
                  <c:v>0.99515799896101598</c:v>
                </c:pt>
                <c:pt idx="1">
                  <c:v>0.95692932370412498</c:v>
                </c:pt>
                <c:pt idx="2">
                  <c:v>0.10952952801881299</c:v>
                </c:pt>
                <c:pt idx="3">
                  <c:v>7.9866276375778304E-3</c:v>
                </c:pt>
                <c:pt idx="4">
                  <c:v>5.4405907504374599E-3</c:v>
                </c:pt>
                <c:pt idx="5">
                  <c:v>4.88848686692352E-3</c:v>
                </c:pt>
                <c:pt idx="6">
                  <c:v>4.4436411169249696E-3</c:v>
                </c:pt>
                <c:pt idx="7">
                  <c:v>4.08519722588397E-3</c:v>
                </c:pt>
                <c:pt idx="8">
                  <c:v>3.7969862887875E-3</c:v>
                </c:pt>
                <c:pt idx="9">
                  <c:v>3.5660046788571001E-3</c:v>
                </c:pt>
                <c:pt idx="10">
                  <c:v>3.3815182221466002E-3</c:v>
                </c:pt>
                <c:pt idx="11">
                  <c:v>3.2344946556884498E-3</c:v>
                </c:pt>
                <c:pt idx="12">
                  <c:v>3.1172231874639399E-3</c:v>
                </c:pt>
                <c:pt idx="13">
                  <c:v>3.0230477780494301E-3</c:v>
                </c:pt>
                <c:pt idx="14">
                  <c:v>2.94617317860293E-3</c:v>
                </c:pt>
                <c:pt idx="15">
                  <c:v>2.8815195128497799E-3</c:v>
                </c:pt>
                <c:pt idx="16">
                  <c:v>2.82461040772741E-3</c:v>
                </c:pt>
                <c:pt idx="17">
                  <c:v>2.77148501598703E-3</c:v>
                </c:pt>
                <c:pt idx="18">
                  <c:v>2.71862750343097E-3</c:v>
                </c:pt>
                <c:pt idx="19">
                  <c:v>2.6629096025419601E-3</c:v>
                </c:pt>
                <c:pt idx="20">
                  <c:v>2.6015431561535098E-3</c:v>
                </c:pt>
                <c:pt idx="21">
                  <c:v>2.5320404738053801E-3</c:v>
                </c:pt>
                <c:pt idx="22">
                  <c:v>2.4521809815804701E-3</c:v>
                </c:pt>
                <c:pt idx="23">
                  <c:v>2.1361313636318398E-3</c:v>
                </c:pt>
                <c:pt idx="24">
                  <c:v>1.9851104723910898E-3</c:v>
                </c:pt>
                <c:pt idx="25">
                  <c:v>1.81257773477359E-3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14-4F64-AB4A-74D76ECB8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2176"/>
        <c:axId val="68973376"/>
      </c:scatterChart>
      <c:valAx>
        <c:axId val="7234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973376"/>
        <c:crosses val="autoZero"/>
        <c:crossBetween val="midCat"/>
      </c:valAx>
      <c:valAx>
        <c:axId val="6897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4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ЭЦН'!$O$29:$O$40</c:f>
              <c:numCache>
                <c:formatCode>0.00</c:formatCode>
                <c:ptCount val="12"/>
                <c:pt idx="0">
                  <c:v>0.97531811431639082</c:v>
                </c:pt>
                <c:pt idx="1">
                  <c:v>0.92421907951868054</c:v>
                </c:pt>
                <c:pt idx="2">
                  <c:v>0.81204441723443999</c:v>
                </c:pt>
                <c:pt idx="3">
                  <c:v>0.72751989425767538</c:v>
                </c:pt>
                <c:pt idx="4">
                  <c:v>0.65784724443441345</c:v>
                </c:pt>
                <c:pt idx="5">
                  <c:v>0.59934848841213717</c:v>
                </c:pt>
                <c:pt idx="6">
                  <c:v>0.54976616710400705</c:v>
                </c:pt>
                <c:pt idx="7">
                  <c:v>0.52822421786505003</c:v>
                </c:pt>
                <c:pt idx="8">
                  <c:v>0.49198822728973801</c:v>
                </c:pt>
                <c:pt idx="9">
                  <c:v>0.46064423477530259</c:v>
                </c:pt>
                <c:pt idx="10">
                  <c:v>0.43352460347650212</c:v>
                </c:pt>
                <c:pt idx="11">
                  <c:v>0.41007222490252482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'прием ЭЦН'!$P$28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ЭЦН'!$P$29:$P$40</c:f>
              <c:numCache>
                <c:formatCode>0.00</c:formatCode>
                <c:ptCount val="12"/>
                <c:pt idx="0">
                  <c:v>0.96918421088263473</c:v>
                </c:pt>
                <c:pt idx="1">
                  <c:v>0.86066864393382203</c:v>
                </c:pt>
                <c:pt idx="2">
                  <c:v>0.6664219015224071</c:v>
                </c:pt>
                <c:pt idx="3">
                  <c:v>0.53734368128808363</c:v>
                </c:pt>
                <c:pt idx="4">
                  <c:v>0.4461431814190146</c:v>
                </c:pt>
                <c:pt idx="5">
                  <c:v>0.37872194892623667</c:v>
                </c:pt>
                <c:pt idx="6">
                  <c:v>0.32713677142807862</c:v>
                </c:pt>
                <c:pt idx="7">
                  <c:v>0.28657190741626837</c:v>
                </c:pt>
                <c:pt idx="8">
                  <c:v>0.25396567657066532</c:v>
                </c:pt>
                <c:pt idx="9">
                  <c:v>0.22727539799377289</c:v>
                </c:pt>
                <c:pt idx="10">
                  <c:v>0.2050852280738332</c:v>
                </c:pt>
                <c:pt idx="11">
                  <c:v>0.18639463296678055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ЭЦН'!$J$56:$J$70</c:f>
              <c:numCache>
                <c:formatCode>0.000</c:formatCode>
                <c:ptCount val="15"/>
                <c:pt idx="0">
                  <c:v>5.3323000000000002E-2</c:v>
                </c:pt>
                <c:pt idx="1">
                  <c:v>5.3323000000000002E-2</c:v>
                </c:pt>
                <c:pt idx="2">
                  <c:v>5.3323000000000002E-2</c:v>
                </c:pt>
                <c:pt idx="3">
                  <c:v>5.3323000000000002E-2</c:v>
                </c:pt>
                <c:pt idx="4">
                  <c:v>5.3323000000000002E-2</c:v>
                </c:pt>
                <c:pt idx="5">
                  <c:v>5.3323000000000002E-2</c:v>
                </c:pt>
                <c:pt idx="6">
                  <c:v>5.3323000000000002E-2</c:v>
                </c:pt>
                <c:pt idx="7">
                  <c:v>5.3323000000000002E-2</c:v>
                </c:pt>
                <c:pt idx="8">
                  <c:v>5.3323000000000002E-2</c:v>
                </c:pt>
                <c:pt idx="9">
                  <c:v>5.092E-2</c:v>
                </c:pt>
                <c:pt idx="10">
                  <c:v>4.7273000000000003E-2</c:v>
                </c:pt>
                <c:pt idx="11">
                  <c:v>4.3043999999999999E-2</c:v>
                </c:pt>
                <c:pt idx="12">
                  <c:v>4.1700000000000001E-2</c:v>
                </c:pt>
                <c:pt idx="13">
                  <c:v>4.1700000000000001E-2</c:v>
                </c:pt>
                <c:pt idx="14">
                  <c:v>4.1700000000000001E-2</c:v>
                </c:pt>
              </c:numCache>
            </c:numRef>
          </c:xVal>
          <c:yVal>
            <c:numRef>
              <c:f>'прием ЭЦН'!$I$56:$I$70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0.129409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2-4386-9C12-76A3BD21CEB1}"/>
            </c:ext>
          </c:extLst>
        </c:ser>
        <c:ser>
          <c:idx val="1"/>
          <c:order val="1"/>
          <c:tx>
            <c:strRef>
              <c:f>'прием ЭЦН'!$E$56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ЭЦН'!$M$56:$M$70</c:f>
              <c:numCache>
                <c:formatCode>0.000</c:formatCode>
                <c:ptCount val="15"/>
                <c:pt idx="0">
                  <c:v>5.5371999999999998E-2</c:v>
                </c:pt>
                <c:pt idx="1">
                  <c:v>5.5371999999999998E-2</c:v>
                </c:pt>
                <c:pt idx="2">
                  <c:v>5.5371999999999998E-2</c:v>
                </c:pt>
                <c:pt idx="3">
                  <c:v>5.5371999999999998E-2</c:v>
                </c:pt>
                <c:pt idx="4">
                  <c:v>5.5371999999999998E-2</c:v>
                </c:pt>
                <c:pt idx="5">
                  <c:v>5.5371999999999998E-2</c:v>
                </c:pt>
                <c:pt idx="6">
                  <c:v>5.5371999999999998E-2</c:v>
                </c:pt>
                <c:pt idx="7">
                  <c:v>5.5371999999999998E-2</c:v>
                </c:pt>
                <c:pt idx="8">
                  <c:v>5.5371999999999998E-2</c:v>
                </c:pt>
                <c:pt idx="9">
                  <c:v>5.5173E-2</c:v>
                </c:pt>
                <c:pt idx="10">
                  <c:v>5.1855999999999999E-2</c:v>
                </c:pt>
                <c:pt idx="11">
                  <c:v>4.8079999999999998E-2</c:v>
                </c:pt>
                <c:pt idx="12">
                  <c:v>4.6899999999999997E-2</c:v>
                </c:pt>
                <c:pt idx="13">
                  <c:v>4.6899999999999997E-2</c:v>
                </c:pt>
                <c:pt idx="14">
                  <c:v>4.6899999999999997E-2</c:v>
                </c:pt>
              </c:numCache>
            </c:numRef>
          </c:xVal>
          <c:yVal>
            <c:numRef>
              <c:f>'прием ЭЦН'!$L$56:$L$70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0.14517099999999999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D2-4386-9C12-76A3BD21CEB1}"/>
            </c:ext>
          </c:extLst>
        </c:ser>
        <c:ser>
          <c:idx val="2"/>
          <c:order val="2"/>
          <c:tx>
            <c:strRef>
              <c:f>'прием ЭЦН'!$E$57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ЭЦН'!$P$56:$P$70</c:f>
              <c:numCache>
                <c:formatCode>0.000</c:formatCode>
                <c:ptCount val="15"/>
                <c:pt idx="0">
                  <c:v>5.7598999999999997E-2</c:v>
                </c:pt>
                <c:pt idx="1">
                  <c:v>5.7598999999999997E-2</c:v>
                </c:pt>
                <c:pt idx="2">
                  <c:v>5.7598999999999997E-2</c:v>
                </c:pt>
                <c:pt idx="3">
                  <c:v>5.7598999999999997E-2</c:v>
                </c:pt>
                <c:pt idx="4">
                  <c:v>5.7598999999999997E-2</c:v>
                </c:pt>
                <c:pt idx="5">
                  <c:v>5.7598999999999997E-2</c:v>
                </c:pt>
                <c:pt idx="6">
                  <c:v>5.7598999999999997E-2</c:v>
                </c:pt>
                <c:pt idx="7">
                  <c:v>5.7598999999999997E-2</c:v>
                </c:pt>
                <c:pt idx="8">
                  <c:v>5.7598999999999997E-2</c:v>
                </c:pt>
                <c:pt idx="9">
                  <c:v>5.7598999999999997E-2</c:v>
                </c:pt>
                <c:pt idx="10">
                  <c:v>5.6559999999999999E-2</c:v>
                </c:pt>
                <c:pt idx="11">
                  <c:v>5.3152999999999999E-2</c:v>
                </c:pt>
                <c:pt idx="12">
                  <c:v>5.21E-2</c:v>
                </c:pt>
                <c:pt idx="13">
                  <c:v>5.21E-2</c:v>
                </c:pt>
                <c:pt idx="14">
                  <c:v>5.21E-2</c:v>
                </c:pt>
              </c:numCache>
            </c:numRef>
          </c:xVal>
          <c:yVal>
            <c:numRef>
              <c:f>'прием ЭЦН'!$O$56:$O$70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0.162303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D2-4386-9C12-76A3BD21CEB1}"/>
            </c:ext>
          </c:extLst>
        </c:ser>
        <c:ser>
          <c:idx val="3"/>
          <c:order val="3"/>
          <c:tx>
            <c:strRef>
              <c:f>'прием ЭЦН'!$E$58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ЭЦН'!$S$56:$S$70</c:f>
              <c:numCache>
                <c:formatCode>0.000</c:formatCode>
                <c:ptCount val="15"/>
                <c:pt idx="0">
                  <c:v>5.9982000000000001E-2</c:v>
                </c:pt>
                <c:pt idx="1">
                  <c:v>5.9982000000000001E-2</c:v>
                </c:pt>
                <c:pt idx="2">
                  <c:v>5.9982000000000001E-2</c:v>
                </c:pt>
                <c:pt idx="3">
                  <c:v>5.9982000000000001E-2</c:v>
                </c:pt>
                <c:pt idx="4">
                  <c:v>5.9982000000000001E-2</c:v>
                </c:pt>
                <c:pt idx="5">
                  <c:v>5.9982000000000001E-2</c:v>
                </c:pt>
                <c:pt idx="6">
                  <c:v>5.9982000000000001E-2</c:v>
                </c:pt>
                <c:pt idx="7">
                  <c:v>5.9982000000000001E-2</c:v>
                </c:pt>
                <c:pt idx="8">
                  <c:v>5.9982000000000001E-2</c:v>
                </c:pt>
                <c:pt idx="9">
                  <c:v>5.9982000000000001E-2</c:v>
                </c:pt>
                <c:pt idx="10">
                  <c:v>5.9982000000000001E-2</c:v>
                </c:pt>
                <c:pt idx="11">
                  <c:v>5.8250999999999997E-2</c:v>
                </c:pt>
                <c:pt idx="12">
                  <c:v>5.7299999999999997E-2</c:v>
                </c:pt>
                <c:pt idx="13">
                  <c:v>5.7299999999999997E-2</c:v>
                </c:pt>
                <c:pt idx="14">
                  <c:v>5.7299999999999997E-2</c:v>
                </c:pt>
              </c:numCache>
            </c:numRef>
          </c:xVal>
          <c:yVal>
            <c:numRef>
              <c:f>'прием ЭЦН'!$R$56:$R$70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0.17</c:v>
                </c:pt>
                <c:pt idx="10">
                  <c:v>0.18062900000000001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D2-4386-9C12-76A3BD21CEB1}"/>
            </c:ext>
          </c:extLst>
        </c:ser>
        <c:ser>
          <c:idx val="4"/>
          <c:order val="4"/>
          <c:tx>
            <c:strRef>
              <c:f>'прием ЭЦН'!$E$59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ЭЦН'!$V$56:$V$70</c:f>
              <c:numCache>
                <c:formatCode>0.000</c:formatCode>
                <c:ptCount val="15"/>
                <c:pt idx="0">
                  <c:v>3.9955999999999998E-2</c:v>
                </c:pt>
                <c:pt idx="1">
                  <c:v>3.9955999999999998E-2</c:v>
                </c:pt>
                <c:pt idx="2">
                  <c:v>3.9955999999999998E-2</c:v>
                </c:pt>
                <c:pt idx="3">
                  <c:v>3.9955999999999998E-2</c:v>
                </c:pt>
                <c:pt idx="4">
                  <c:v>3.9955999999999998E-2</c:v>
                </c:pt>
                <c:pt idx="5">
                  <c:v>3.9955999999999998E-2</c:v>
                </c:pt>
                <c:pt idx="6">
                  <c:v>3.9955999999999998E-2</c:v>
                </c:pt>
                <c:pt idx="7">
                  <c:v>3.9955999999999998E-2</c:v>
                </c:pt>
                <c:pt idx="8">
                  <c:v>3.9955999999999998E-2</c:v>
                </c:pt>
                <c:pt idx="9">
                  <c:v>3.9955999999999998E-2</c:v>
                </c:pt>
                <c:pt idx="10">
                  <c:v>3.9955999999999998E-2</c:v>
                </c:pt>
                <c:pt idx="11">
                  <c:v>3.9595999999999999E-2</c:v>
                </c:pt>
                <c:pt idx="12">
                  <c:v>3.8618E-2</c:v>
                </c:pt>
                <c:pt idx="13">
                  <c:v>3.7588000000000003E-2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ЭЦН'!$U$56:$U$70</c:f>
              <c:numCache>
                <c:formatCode>0.000</c:formatCode>
                <c:ptCount val="15"/>
                <c:pt idx="0">
                  <c:v>-0.04</c:v>
                </c:pt>
                <c:pt idx="1">
                  <c:v>-3.3077000000000002E-2</c:v>
                </c:pt>
                <c:pt idx="2">
                  <c:v>-2.6154E-2</c:v>
                </c:pt>
                <c:pt idx="3">
                  <c:v>-1.9231000000000002E-2</c:v>
                </c:pt>
                <c:pt idx="4">
                  <c:v>-1.2307999999999999E-2</c:v>
                </c:pt>
                <c:pt idx="5">
                  <c:v>-5.385E-3</c:v>
                </c:pt>
                <c:pt idx="6">
                  <c:v>1.5380000000000001E-3</c:v>
                </c:pt>
                <c:pt idx="7">
                  <c:v>8.4620000000000008E-3</c:v>
                </c:pt>
                <c:pt idx="8">
                  <c:v>1.5384999999999999E-2</c:v>
                </c:pt>
                <c:pt idx="9">
                  <c:v>2.2308000000000001E-2</c:v>
                </c:pt>
                <c:pt idx="10">
                  <c:v>2.6588000000000001E-2</c:v>
                </c:pt>
                <c:pt idx="11">
                  <c:v>2.9231E-2</c:v>
                </c:pt>
                <c:pt idx="12">
                  <c:v>3.6153999999999999E-2</c:v>
                </c:pt>
                <c:pt idx="13">
                  <c:v>4.3076999999999997E-2</c:v>
                </c:pt>
                <c:pt idx="14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D2-4386-9C12-76A3BD21CEB1}"/>
            </c:ext>
          </c:extLst>
        </c:ser>
        <c:ser>
          <c:idx val="5"/>
          <c:order val="5"/>
          <c:tx>
            <c:strRef>
              <c:f>'прием ЭЦН'!$E$60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ЭЦН'!$Y$56:$Y$70</c:f>
              <c:numCache>
                <c:formatCode>0.000</c:formatCode>
                <c:ptCount val="15"/>
                <c:pt idx="0">
                  <c:v>4.3638000000000003E-2</c:v>
                </c:pt>
                <c:pt idx="1">
                  <c:v>4.3638000000000003E-2</c:v>
                </c:pt>
                <c:pt idx="2">
                  <c:v>4.3638000000000003E-2</c:v>
                </c:pt>
                <c:pt idx="3">
                  <c:v>4.3638000000000003E-2</c:v>
                </c:pt>
                <c:pt idx="4">
                  <c:v>4.3638000000000003E-2</c:v>
                </c:pt>
                <c:pt idx="5">
                  <c:v>4.3638000000000003E-2</c:v>
                </c:pt>
                <c:pt idx="6">
                  <c:v>4.3638000000000003E-2</c:v>
                </c:pt>
                <c:pt idx="7">
                  <c:v>4.3638000000000003E-2</c:v>
                </c:pt>
                <c:pt idx="8">
                  <c:v>4.3638000000000003E-2</c:v>
                </c:pt>
                <c:pt idx="9">
                  <c:v>4.3638000000000003E-2</c:v>
                </c:pt>
                <c:pt idx="10">
                  <c:v>4.3366000000000002E-2</c:v>
                </c:pt>
                <c:pt idx="11">
                  <c:v>4.1846000000000001E-2</c:v>
                </c:pt>
                <c:pt idx="12">
                  <c:v>4.0208000000000001E-2</c:v>
                </c:pt>
                <c:pt idx="13">
                  <c:v>3.8434000000000003E-2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ЭЦН'!$X$56:$X$70</c:f>
              <c:numCache>
                <c:formatCode>0.000</c:formatCode>
                <c:ptCount val="15"/>
                <c:pt idx="0">
                  <c:v>-0.04</c:v>
                </c:pt>
                <c:pt idx="1">
                  <c:v>-2.9231E-2</c:v>
                </c:pt>
                <c:pt idx="2">
                  <c:v>-1.8461999999999999E-2</c:v>
                </c:pt>
                <c:pt idx="3">
                  <c:v>-7.6920000000000001E-3</c:v>
                </c:pt>
                <c:pt idx="4">
                  <c:v>3.0769999999999999E-3</c:v>
                </c:pt>
                <c:pt idx="5">
                  <c:v>1.3846000000000001E-2</c:v>
                </c:pt>
                <c:pt idx="6">
                  <c:v>2.4615000000000001E-2</c:v>
                </c:pt>
                <c:pt idx="7">
                  <c:v>3.5385E-2</c:v>
                </c:pt>
                <c:pt idx="8">
                  <c:v>4.6154000000000001E-2</c:v>
                </c:pt>
                <c:pt idx="9">
                  <c:v>5.4908999999999999E-2</c:v>
                </c:pt>
                <c:pt idx="10">
                  <c:v>5.6923000000000001E-2</c:v>
                </c:pt>
                <c:pt idx="11">
                  <c:v>6.7692000000000002E-2</c:v>
                </c:pt>
                <c:pt idx="12">
                  <c:v>7.8462000000000004E-2</c:v>
                </c:pt>
                <c:pt idx="13">
                  <c:v>8.9231000000000005E-2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D2-4386-9C12-76A3BD21CEB1}"/>
            </c:ext>
          </c:extLst>
        </c:ser>
        <c:ser>
          <c:idx val="6"/>
          <c:order val="6"/>
          <c:tx>
            <c:strRef>
              <c:f>'прием ЭЦН'!$E$61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ЭЦН'!$AB$56:$AB$70</c:f>
              <c:numCache>
                <c:formatCode>0.000</c:formatCode>
                <c:ptCount val="15"/>
                <c:pt idx="0">
                  <c:v>4.7491999999999999E-2</c:v>
                </c:pt>
                <c:pt idx="1">
                  <c:v>4.7491999999999999E-2</c:v>
                </c:pt>
                <c:pt idx="2">
                  <c:v>4.7491999999999999E-2</c:v>
                </c:pt>
                <c:pt idx="3">
                  <c:v>4.7491999999999999E-2</c:v>
                </c:pt>
                <c:pt idx="4">
                  <c:v>4.7491999999999999E-2</c:v>
                </c:pt>
                <c:pt idx="5">
                  <c:v>4.7491999999999999E-2</c:v>
                </c:pt>
                <c:pt idx="6">
                  <c:v>4.7491999999999999E-2</c:v>
                </c:pt>
                <c:pt idx="7">
                  <c:v>4.7491999999999999E-2</c:v>
                </c:pt>
                <c:pt idx="8">
                  <c:v>4.7491999999999999E-2</c:v>
                </c:pt>
                <c:pt idx="9">
                  <c:v>4.7491999999999999E-2</c:v>
                </c:pt>
                <c:pt idx="10">
                  <c:v>4.6538000000000003E-2</c:v>
                </c:pt>
                <c:pt idx="11">
                  <c:v>4.4402999999999998E-2</c:v>
                </c:pt>
                <c:pt idx="12">
                  <c:v>4.2054000000000001E-2</c:v>
                </c:pt>
                <c:pt idx="13">
                  <c:v>3.9441999999999998E-2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ЭЦН'!$AA$56:$AA$70</c:f>
              <c:numCache>
                <c:formatCode>0.000</c:formatCode>
                <c:ptCount val="15"/>
                <c:pt idx="0">
                  <c:v>-0.04</c:v>
                </c:pt>
                <c:pt idx="1">
                  <c:v>-2.5385000000000001E-2</c:v>
                </c:pt>
                <c:pt idx="2">
                  <c:v>-1.0769000000000001E-2</c:v>
                </c:pt>
                <c:pt idx="3">
                  <c:v>3.846E-3</c:v>
                </c:pt>
                <c:pt idx="4">
                  <c:v>1.8461999999999999E-2</c:v>
                </c:pt>
                <c:pt idx="5">
                  <c:v>3.3077000000000002E-2</c:v>
                </c:pt>
                <c:pt idx="6">
                  <c:v>4.7691999999999998E-2</c:v>
                </c:pt>
                <c:pt idx="7">
                  <c:v>6.2308000000000002E-2</c:v>
                </c:pt>
                <c:pt idx="8">
                  <c:v>7.6923000000000005E-2</c:v>
                </c:pt>
                <c:pt idx="9">
                  <c:v>8.4552000000000002E-2</c:v>
                </c:pt>
                <c:pt idx="10">
                  <c:v>9.1537999999999994E-2</c:v>
                </c:pt>
                <c:pt idx="11">
                  <c:v>0.106154</c:v>
                </c:pt>
                <c:pt idx="12">
                  <c:v>0.120769</c:v>
                </c:pt>
                <c:pt idx="13">
                  <c:v>0.13538500000000001</c:v>
                </c:pt>
                <c:pt idx="1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D2-4386-9C12-76A3BD21CEB1}"/>
            </c:ext>
          </c:extLst>
        </c:ser>
        <c:ser>
          <c:idx val="7"/>
          <c:order val="7"/>
          <c:tx>
            <c:strRef>
              <c:f>'прием ЭЦН'!$E$62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ЭЦН'!$AE$56:$AE$70</c:f>
              <c:numCache>
                <c:formatCode>0.000</c:formatCode>
                <c:ptCount val="15"/>
                <c:pt idx="0">
                  <c:v>5.1477000000000002E-2</c:v>
                </c:pt>
                <c:pt idx="1">
                  <c:v>5.1477000000000002E-2</c:v>
                </c:pt>
                <c:pt idx="2">
                  <c:v>5.1477000000000002E-2</c:v>
                </c:pt>
                <c:pt idx="3">
                  <c:v>5.1477000000000002E-2</c:v>
                </c:pt>
                <c:pt idx="4">
                  <c:v>5.1477000000000002E-2</c:v>
                </c:pt>
                <c:pt idx="5">
                  <c:v>5.1477000000000002E-2</c:v>
                </c:pt>
                <c:pt idx="6">
                  <c:v>5.1477000000000002E-2</c:v>
                </c:pt>
                <c:pt idx="7">
                  <c:v>5.1477000000000002E-2</c:v>
                </c:pt>
                <c:pt idx="8">
                  <c:v>5.1477000000000002E-2</c:v>
                </c:pt>
                <c:pt idx="9">
                  <c:v>5.1477000000000002E-2</c:v>
                </c:pt>
                <c:pt idx="10">
                  <c:v>4.9974999999999999E-2</c:v>
                </c:pt>
                <c:pt idx="11">
                  <c:v>4.7217000000000002E-2</c:v>
                </c:pt>
                <c:pt idx="12">
                  <c:v>4.4123000000000002E-2</c:v>
                </c:pt>
                <c:pt idx="13">
                  <c:v>4.0601999999999999E-2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ЭЦН'!$AD$56:$AD$70</c:f>
              <c:numCache>
                <c:formatCode>0.000</c:formatCode>
                <c:ptCount val="15"/>
                <c:pt idx="0">
                  <c:v>-0.04</c:v>
                </c:pt>
                <c:pt idx="1">
                  <c:v>-2.1538000000000002E-2</c:v>
                </c:pt>
                <c:pt idx="2">
                  <c:v>-3.0769999999999999E-3</c:v>
                </c:pt>
                <c:pt idx="3">
                  <c:v>1.5384999999999999E-2</c:v>
                </c:pt>
                <c:pt idx="4">
                  <c:v>3.3846000000000001E-2</c:v>
                </c:pt>
                <c:pt idx="5">
                  <c:v>5.2308E-2</c:v>
                </c:pt>
                <c:pt idx="6">
                  <c:v>7.0768999999999999E-2</c:v>
                </c:pt>
                <c:pt idx="7">
                  <c:v>8.9231000000000005E-2</c:v>
                </c:pt>
                <c:pt idx="8">
                  <c:v>0.107692</c:v>
                </c:pt>
                <c:pt idx="9">
                  <c:v>0.11521000000000001</c:v>
                </c:pt>
                <c:pt idx="10">
                  <c:v>0.12615399999999999</c:v>
                </c:pt>
                <c:pt idx="11">
                  <c:v>0.14461499999999999</c:v>
                </c:pt>
                <c:pt idx="12">
                  <c:v>0.163077</c:v>
                </c:pt>
                <c:pt idx="13">
                  <c:v>0.181538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D2-4386-9C12-76A3BD21CEB1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ЭЦН'!$I$74:$I$75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ЭЦН'!$J$74:$J$75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D2-4386-9C12-76A3BD21CEB1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ЭЦН'!$L$74:$L$75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ЭЦН'!$M$74:$M$75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D2-4386-9C12-76A3BD21CEB1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ЭЦН'!$F$74:$F$75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ЭЦН'!$G$74:$G$75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0D2-4386-9C12-76A3BD21CEB1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ЭЦН'!$O$74:$O$75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ЭЦН'!$P$74:$P$75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0D2-4386-9C12-76A3BD21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сепарации для реверсивного потока с ЭЦН ниже</a:t>
            </a:r>
            <a:r>
              <a:rPr lang="ru-RU" baseline="0"/>
              <a:t> интервала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'реверсивный поток'!$O$28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поток'!$O$29:$O$40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0.73618494108013122</c:v>
                </c:pt>
                <c:pt idx="6">
                  <c:v>0.44691492580255421</c:v>
                </c:pt>
                <c:pt idx="7">
                  <c:v>0.35608475392987116</c:v>
                </c:pt>
                <c:pt idx="8">
                  <c:v>0.29645774346592901</c:v>
                </c:pt>
                <c:pt idx="9">
                  <c:v>0.2539438754296553</c:v>
                </c:pt>
                <c:pt idx="10">
                  <c:v>0.22199116784338804</c:v>
                </c:pt>
                <c:pt idx="11">
                  <c:v>0.19706280708636417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9-4CC6-94A6-598F748B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реверсивного потока с ЭЦН ниже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'реверсивный поток'!$E$55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поток'!$I$56:$I$70</c:f>
              <c:numCache>
                <c:formatCode>0.000</c:formatCode>
                <c:ptCount val="15"/>
                <c:pt idx="0">
                  <c:v>2.2870999999999999E-2</c:v>
                </c:pt>
                <c:pt idx="1">
                  <c:v>2.2880999999999999E-2</c:v>
                </c:pt>
                <c:pt idx="2">
                  <c:v>2.6112E-2</c:v>
                </c:pt>
                <c:pt idx="3">
                  <c:v>2.9353000000000001E-2</c:v>
                </c:pt>
                <c:pt idx="4">
                  <c:v>3.2592999999999997E-2</c:v>
                </c:pt>
                <c:pt idx="5">
                  <c:v>3.5833999999999998E-2</c:v>
                </c:pt>
                <c:pt idx="6">
                  <c:v>3.9074999999999999E-2</c:v>
                </c:pt>
                <c:pt idx="7">
                  <c:v>4.2314999999999998E-2</c:v>
                </c:pt>
                <c:pt idx="8">
                  <c:v>4.5555999999999999E-2</c:v>
                </c:pt>
                <c:pt idx="9">
                  <c:v>4.8797E-2</c:v>
                </c:pt>
                <c:pt idx="10">
                  <c:v>5.2037E-2</c:v>
                </c:pt>
                <c:pt idx="11">
                  <c:v>5.5278000000000001E-2</c:v>
                </c:pt>
                <c:pt idx="12">
                  <c:v>5.8519000000000002E-2</c:v>
                </c:pt>
                <c:pt idx="13">
                  <c:v>6.1759000000000001E-2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поток'!$J$56:$J$70</c:f>
              <c:numCache>
                <c:formatCode>0.000</c:formatCode>
                <c:ptCount val="15"/>
                <c:pt idx="0">
                  <c:v>0</c:v>
                </c:pt>
                <c:pt idx="1">
                  <c:v>6.7390030000000003</c:v>
                </c:pt>
                <c:pt idx="2">
                  <c:v>6.5946239999999996</c:v>
                </c:pt>
                <c:pt idx="3">
                  <c:v>6.4265150000000002</c:v>
                </c:pt>
                <c:pt idx="4">
                  <c:v>6.2332049999999999</c:v>
                </c:pt>
                <c:pt idx="5">
                  <c:v>6.0125339999999996</c:v>
                </c:pt>
                <c:pt idx="6">
                  <c:v>5.7615939999999997</c:v>
                </c:pt>
                <c:pt idx="7">
                  <c:v>5.4764780000000002</c:v>
                </c:pt>
                <c:pt idx="8">
                  <c:v>5.1518620000000004</c:v>
                </c:pt>
                <c:pt idx="9">
                  <c:v>4.7800459999999996</c:v>
                </c:pt>
                <c:pt idx="10">
                  <c:v>4.3495499999999998</c:v>
                </c:pt>
                <c:pt idx="11">
                  <c:v>3.8422390000000002</c:v>
                </c:pt>
                <c:pt idx="12">
                  <c:v>3.224634</c:v>
                </c:pt>
                <c:pt idx="13">
                  <c:v>2.420442</c:v>
                </c:pt>
                <c:pt idx="14">
                  <c:v>1.111111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2D7-B5DD-68E0ECCC33CA}"/>
            </c:ext>
          </c:extLst>
        </c:ser>
        <c:ser>
          <c:idx val="1"/>
          <c:order val="1"/>
          <c:tx>
            <c:strRef>
              <c:f>'реверсивный поток'!$E$56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поток'!$L$56:$L$70</c:f>
              <c:numCache>
                <c:formatCode>General</c:formatCode>
                <c:ptCount val="15"/>
                <c:pt idx="0">
                  <c:v>2.0466000000000002E-2</c:v>
                </c:pt>
                <c:pt idx="1">
                  <c:v>2.0476000000000001E-2</c:v>
                </c:pt>
                <c:pt idx="2">
                  <c:v>2.3890999999999999E-2</c:v>
                </c:pt>
                <c:pt idx="3">
                  <c:v>2.7317000000000001E-2</c:v>
                </c:pt>
                <c:pt idx="4">
                  <c:v>3.0742999999999999E-2</c:v>
                </c:pt>
                <c:pt idx="5">
                  <c:v>3.4168999999999998E-2</c:v>
                </c:pt>
                <c:pt idx="6">
                  <c:v>3.7594000000000002E-2</c:v>
                </c:pt>
                <c:pt idx="7">
                  <c:v>4.1020000000000001E-2</c:v>
                </c:pt>
                <c:pt idx="8">
                  <c:v>4.4445999999999999E-2</c:v>
                </c:pt>
                <c:pt idx="9">
                  <c:v>4.7870999999999997E-2</c:v>
                </c:pt>
                <c:pt idx="10">
                  <c:v>5.1297000000000002E-2</c:v>
                </c:pt>
                <c:pt idx="11">
                  <c:v>5.4723000000000001E-2</c:v>
                </c:pt>
                <c:pt idx="12">
                  <c:v>5.8148999999999999E-2</c:v>
                </c:pt>
                <c:pt idx="13">
                  <c:v>6.1573999999999997E-2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поток'!$M$56:$M$70</c:f>
              <c:numCache>
                <c:formatCode>General</c:formatCode>
                <c:ptCount val="15"/>
                <c:pt idx="0">
                  <c:v>0</c:v>
                </c:pt>
                <c:pt idx="1">
                  <c:v>7.1238780000000004</c:v>
                </c:pt>
                <c:pt idx="2">
                  <c:v>6.9933820000000004</c:v>
                </c:pt>
                <c:pt idx="3">
                  <c:v>6.8387320000000003</c:v>
                </c:pt>
                <c:pt idx="4">
                  <c:v>6.6588329999999996</c:v>
                </c:pt>
                <c:pt idx="5">
                  <c:v>6.4516390000000001</c:v>
                </c:pt>
                <c:pt idx="6">
                  <c:v>6.2147379999999997</c:v>
                </c:pt>
                <c:pt idx="7">
                  <c:v>5.9445889999999997</c:v>
                </c:pt>
                <c:pt idx="8">
                  <c:v>5.6369559999999996</c:v>
                </c:pt>
                <c:pt idx="9">
                  <c:v>5.2852899999999998</c:v>
                </c:pt>
                <c:pt idx="10">
                  <c:v>4.8811499999999999</c:v>
                </c:pt>
                <c:pt idx="11">
                  <c:v>4.4102399999999999</c:v>
                </c:pt>
                <c:pt idx="12">
                  <c:v>3.8508360000000001</c:v>
                </c:pt>
                <c:pt idx="13">
                  <c:v>3.157556</c:v>
                </c:pt>
                <c:pt idx="14">
                  <c:v>2.2222219999999999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7-42D7-B5DD-68E0ECCC33CA}"/>
            </c:ext>
          </c:extLst>
        </c:ser>
        <c:ser>
          <c:idx val="2"/>
          <c:order val="2"/>
          <c:tx>
            <c:strRef>
              <c:f>'реверсивный поток'!$E$57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поток'!$O$56:$O$70</c:f>
              <c:numCache>
                <c:formatCode>General</c:formatCode>
                <c:ptCount val="15"/>
                <c:pt idx="0">
                  <c:v>1.7047E-2</c:v>
                </c:pt>
                <c:pt idx="1">
                  <c:v>1.7056999999999999E-2</c:v>
                </c:pt>
                <c:pt idx="2">
                  <c:v>2.0736000000000001E-2</c:v>
                </c:pt>
                <c:pt idx="3">
                  <c:v>2.4424999999999999E-2</c:v>
                </c:pt>
                <c:pt idx="4">
                  <c:v>2.8112999999999999E-2</c:v>
                </c:pt>
                <c:pt idx="5">
                  <c:v>3.1801999999999997E-2</c:v>
                </c:pt>
                <c:pt idx="6">
                  <c:v>3.5491000000000002E-2</c:v>
                </c:pt>
                <c:pt idx="7">
                  <c:v>3.9178999999999999E-2</c:v>
                </c:pt>
                <c:pt idx="8">
                  <c:v>4.2868000000000003E-2</c:v>
                </c:pt>
                <c:pt idx="9">
                  <c:v>4.6557000000000001E-2</c:v>
                </c:pt>
                <c:pt idx="10">
                  <c:v>5.0244999999999998E-2</c:v>
                </c:pt>
                <c:pt idx="11">
                  <c:v>5.3934000000000003E-2</c:v>
                </c:pt>
                <c:pt idx="12">
                  <c:v>5.7623000000000001E-2</c:v>
                </c:pt>
                <c:pt idx="13">
                  <c:v>6.1310999999999997E-2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поток'!$P$56:$P$70</c:f>
              <c:numCache>
                <c:formatCode>General</c:formatCode>
                <c:ptCount val="15"/>
                <c:pt idx="0">
                  <c:v>0</c:v>
                </c:pt>
                <c:pt idx="1">
                  <c:v>7.6708220000000003</c:v>
                </c:pt>
                <c:pt idx="2">
                  <c:v>7.5603470000000002</c:v>
                </c:pt>
                <c:pt idx="3">
                  <c:v>7.4249320000000001</c:v>
                </c:pt>
                <c:pt idx="4">
                  <c:v>7.2636649999999996</c:v>
                </c:pt>
                <c:pt idx="5">
                  <c:v>7.0749029999999999</c:v>
                </c:pt>
                <c:pt idx="6">
                  <c:v>6.8566089999999997</c:v>
                </c:pt>
                <c:pt idx="7">
                  <c:v>6.606039</c:v>
                </c:pt>
                <c:pt idx="8">
                  <c:v>6.319572</c:v>
                </c:pt>
                <c:pt idx="9">
                  <c:v>5.9923400000000004</c:v>
                </c:pt>
                <c:pt idx="10">
                  <c:v>5.6176060000000003</c:v>
                </c:pt>
                <c:pt idx="11">
                  <c:v>5.1856450000000001</c:v>
                </c:pt>
                <c:pt idx="12">
                  <c:v>4.6815490000000004</c:v>
                </c:pt>
                <c:pt idx="13">
                  <c:v>4.0803079999999996</c:v>
                </c:pt>
                <c:pt idx="14">
                  <c:v>3.3333330000000001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7-42D7-B5DD-68E0ECCC33CA}"/>
            </c:ext>
          </c:extLst>
        </c:ser>
        <c:ser>
          <c:idx val="3"/>
          <c:order val="3"/>
          <c:tx>
            <c:strRef>
              <c:f>'реверсивный поток'!$E$58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поток'!$R$56:$R$70</c:f>
              <c:numCache>
                <c:formatCode>General</c:formatCode>
                <c:ptCount val="15"/>
                <c:pt idx="0">
                  <c:v>1.2975E-2</c:v>
                </c:pt>
                <c:pt idx="1">
                  <c:v>1.2985E-2</c:v>
                </c:pt>
                <c:pt idx="2">
                  <c:v>1.6976999999999999E-2</c:v>
                </c:pt>
                <c:pt idx="3">
                  <c:v>2.0979000000000001E-2</c:v>
                </c:pt>
                <c:pt idx="4">
                  <c:v>2.4981E-2</c:v>
                </c:pt>
                <c:pt idx="5">
                  <c:v>2.8982999999999998E-2</c:v>
                </c:pt>
                <c:pt idx="6">
                  <c:v>3.2985E-2</c:v>
                </c:pt>
                <c:pt idx="7">
                  <c:v>3.6986999999999999E-2</c:v>
                </c:pt>
                <c:pt idx="8">
                  <c:v>4.0987999999999997E-2</c:v>
                </c:pt>
                <c:pt idx="9">
                  <c:v>4.4990000000000002E-2</c:v>
                </c:pt>
                <c:pt idx="10">
                  <c:v>4.8992000000000001E-2</c:v>
                </c:pt>
                <c:pt idx="11">
                  <c:v>5.2993999999999999E-2</c:v>
                </c:pt>
                <c:pt idx="12">
                  <c:v>5.6995999999999998E-2</c:v>
                </c:pt>
                <c:pt idx="13">
                  <c:v>6.0997999999999997E-2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поток'!$S$56:$S$70</c:f>
              <c:numCache>
                <c:formatCode>General</c:formatCode>
                <c:ptCount val="15"/>
                <c:pt idx="0">
                  <c:v>0</c:v>
                </c:pt>
                <c:pt idx="1">
                  <c:v>8.3223870000000009</c:v>
                </c:pt>
                <c:pt idx="2">
                  <c:v>8.2361909999999998</c:v>
                </c:pt>
                <c:pt idx="3">
                  <c:v>8.1236160000000002</c:v>
                </c:pt>
                <c:pt idx="4">
                  <c:v>7.9842380000000004</c:v>
                </c:pt>
                <c:pt idx="5">
                  <c:v>7.8166029999999997</c:v>
                </c:pt>
                <c:pt idx="6">
                  <c:v>7.6192869999999999</c:v>
                </c:pt>
                <c:pt idx="7">
                  <c:v>7.3899800000000004</c:v>
                </c:pt>
                <c:pt idx="8">
                  <c:v>7.1257390000000003</c:v>
                </c:pt>
                <c:pt idx="9">
                  <c:v>6.8229480000000002</c:v>
                </c:pt>
                <c:pt idx="10">
                  <c:v>6.4760499999999999</c:v>
                </c:pt>
                <c:pt idx="11">
                  <c:v>6.0783290000000001</c:v>
                </c:pt>
                <c:pt idx="12">
                  <c:v>5.6193049999999998</c:v>
                </c:pt>
                <c:pt idx="13">
                  <c:v>5.0832129999999998</c:v>
                </c:pt>
                <c:pt idx="14">
                  <c:v>4.4444439999999998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7-42D7-B5DD-68E0ECCC33CA}"/>
            </c:ext>
          </c:extLst>
        </c:ser>
        <c:ser>
          <c:idx val="4"/>
          <c:order val="4"/>
          <c:tx>
            <c:strRef>
              <c:f>'реверсивный поток'!$E$59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поток'!$U$56:$U$70</c:f>
              <c:numCache>
                <c:formatCode>General</c:formatCode>
                <c:ptCount val="15"/>
                <c:pt idx="0">
                  <c:v>8.4849999999999995E-3</c:v>
                </c:pt>
                <c:pt idx="1">
                  <c:v>8.4950000000000008E-3</c:v>
                </c:pt>
                <c:pt idx="2">
                  <c:v>1.2832E-2</c:v>
                </c:pt>
                <c:pt idx="3">
                  <c:v>1.7179E-2</c:v>
                </c:pt>
                <c:pt idx="4">
                  <c:v>2.1527000000000001E-2</c:v>
                </c:pt>
                <c:pt idx="5">
                  <c:v>2.5874000000000001E-2</c:v>
                </c:pt>
                <c:pt idx="6">
                  <c:v>3.0221000000000001E-2</c:v>
                </c:pt>
                <c:pt idx="7">
                  <c:v>3.4569000000000003E-2</c:v>
                </c:pt>
                <c:pt idx="8">
                  <c:v>3.8915999999999999E-2</c:v>
                </c:pt>
                <c:pt idx="9">
                  <c:v>4.3263000000000003E-2</c:v>
                </c:pt>
                <c:pt idx="10">
                  <c:v>4.7611000000000001E-2</c:v>
                </c:pt>
                <c:pt idx="11">
                  <c:v>5.1957999999999997E-2</c:v>
                </c:pt>
                <c:pt idx="12">
                  <c:v>5.6305000000000001E-2</c:v>
                </c:pt>
                <c:pt idx="13">
                  <c:v>6.0652999999999999E-2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поток'!$V$56:$V$70</c:f>
              <c:numCache>
                <c:formatCode>General</c:formatCode>
                <c:ptCount val="15"/>
                <c:pt idx="0">
                  <c:v>0</c:v>
                </c:pt>
                <c:pt idx="1">
                  <c:v>9.040832</c:v>
                </c:pt>
                <c:pt idx="2">
                  <c:v>8.9822710000000008</c:v>
                </c:pt>
                <c:pt idx="3">
                  <c:v>8.8952200000000001</c:v>
                </c:pt>
                <c:pt idx="4">
                  <c:v>8.7796149999999997</c:v>
                </c:pt>
                <c:pt idx="5">
                  <c:v>8.6347129999999996</c:v>
                </c:pt>
                <c:pt idx="6">
                  <c:v>8.4592749999999999</c:v>
                </c:pt>
                <c:pt idx="7">
                  <c:v>8.2515630000000009</c:v>
                </c:pt>
                <c:pt idx="8">
                  <c:v>8.0092540000000003</c:v>
                </c:pt>
                <c:pt idx="9">
                  <c:v>7.729285</c:v>
                </c:pt>
                <c:pt idx="10">
                  <c:v>7.4076079999999997</c:v>
                </c:pt>
                <c:pt idx="11">
                  <c:v>7.03878</c:v>
                </c:pt>
                <c:pt idx="12">
                  <c:v>6.6152899999999999</c:v>
                </c:pt>
                <c:pt idx="13">
                  <c:v>6.1263490000000003</c:v>
                </c:pt>
                <c:pt idx="14">
                  <c:v>5.5555560000000002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7-42D7-B5DD-68E0ECCC33CA}"/>
            </c:ext>
          </c:extLst>
        </c:ser>
        <c:ser>
          <c:idx val="5"/>
          <c:order val="5"/>
          <c:tx>
            <c:strRef>
              <c:f>'реверсивный поток'!$E$60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поток'!$X$56:$X$70</c:f>
              <c:numCache>
                <c:formatCode>General</c:formatCode>
                <c:ptCount val="15"/>
                <c:pt idx="0">
                  <c:v>3.7269999999999998E-3</c:v>
                </c:pt>
                <c:pt idx="1">
                  <c:v>3.7369999999999999E-3</c:v>
                </c:pt>
                <c:pt idx="2">
                  <c:v>8.4399999999999996E-3</c:v>
                </c:pt>
                <c:pt idx="3">
                  <c:v>1.3153E-2</c:v>
                </c:pt>
                <c:pt idx="4">
                  <c:v>1.7867000000000001E-2</c:v>
                </c:pt>
                <c:pt idx="5">
                  <c:v>2.2579999999999999E-2</c:v>
                </c:pt>
                <c:pt idx="6">
                  <c:v>2.7293000000000001E-2</c:v>
                </c:pt>
                <c:pt idx="7">
                  <c:v>3.2007000000000001E-2</c:v>
                </c:pt>
                <c:pt idx="8">
                  <c:v>3.6720000000000003E-2</c:v>
                </c:pt>
                <c:pt idx="9">
                  <c:v>4.1432999999999998E-2</c:v>
                </c:pt>
                <c:pt idx="10">
                  <c:v>4.6147000000000001E-2</c:v>
                </c:pt>
                <c:pt idx="11">
                  <c:v>5.0860000000000002E-2</c:v>
                </c:pt>
                <c:pt idx="12">
                  <c:v>5.5572999999999997E-2</c:v>
                </c:pt>
                <c:pt idx="13">
                  <c:v>6.0287E-2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поток'!$Y$56:$Y$70</c:f>
              <c:numCache>
                <c:formatCode>General</c:formatCode>
                <c:ptCount val="15"/>
                <c:pt idx="0">
                  <c:v>0</c:v>
                </c:pt>
                <c:pt idx="1">
                  <c:v>9.8021119999999993</c:v>
                </c:pt>
                <c:pt idx="2">
                  <c:v>9.7740989999999996</c:v>
                </c:pt>
                <c:pt idx="3">
                  <c:v>9.7147330000000007</c:v>
                </c:pt>
                <c:pt idx="4">
                  <c:v>9.6243309999999997</c:v>
                </c:pt>
                <c:pt idx="5">
                  <c:v>9.5029900000000005</c:v>
                </c:pt>
                <c:pt idx="6">
                  <c:v>9.3497909999999997</c:v>
                </c:pt>
                <c:pt idx="7">
                  <c:v>9.1635439999999999</c:v>
                </c:pt>
                <c:pt idx="8">
                  <c:v>8.9423290000000009</c:v>
                </c:pt>
                <c:pt idx="9">
                  <c:v>8.6836889999999993</c:v>
                </c:pt>
                <c:pt idx="10">
                  <c:v>8.3843920000000001</c:v>
                </c:pt>
                <c:pt idx="11">
                  <c:v>8.0400100000000005</c:v>
                </c:pt>
                <c:pt idx="12">
                  <c:v>7.6449210000000001</c:v>
                </c:pt>
                <c:pt idx="13">
                  <c:v>7.1908190000000003</c:v>
                </c:pt>
                <c:pt idx="14">
                  <c:v>6.6666670000000003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7-42D7-B5DD-68E0ECCC33CA}"/>
            </c:ext>
          </c:extLst>
        </c:ser>
        <c:ser>
          <c:idx val="6"/>
          <c:order val="6"/>
          <c:tx>
            <c:strRef>
              <c:f>'реверсивный поток'!$E$61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поток'!$AA$56:$AA$70</c:f>
              <c:numCache>
                <c:formatCode>General</c:formatCode>
                <c:ptCount val="15"/>
                <c:pt idx="0">
                  <c:v>3.2224000000000003E-2</c:v>
                </c:pt>
                <c:pt idx="1">
                  <c:v>3.2233999999999999E-2</c:v>
                </c:pt>
                <c:pt idx="2">
                  <c:v>3.4744999999999998E-2</c:v>
                </c:pt>
                <c:pt idx="3">
                  <c:v>3.7266000000000001E-2</c:v>
                </c:pt>
                <c:pt idx="4">
                  <c:v>3.9787000000000003E-2</c:v>
                </c:pt>
                <c:pt idx="5">
                  <c:v>4.2308999999999999E-2</c:v>
                </c:pt>
                <c:pt idx="6">
                  <c:v>4.4830000000000002E-2</c:v>
                </c:pt>
                <c:pt idx="7">
                  <c:v>4.7350999999999997E-2</c:v>
                </c:pt>
                <c:pt idx="8">
                  <c:v>4.9872E-2</c:v>
                </c:pt>
                <c:pt idx="9">
                  <c:v>5.2394000000000003E-2</c:v>
                </c:pt>
                <c:pt idx="10">
                  <c:v>5.4914999999999999E-2</c:v>
                </c:pt>
                <c:pt idx="11">
                  <c:v>5.7436000000000001E-2</c:v>
                </c:pt>
                <c:pt idx="12">
                  <c:v>5.9957000000000003E-2</c:v>
                </c:pt>
                <c:pt idx="13">
                  <c:v>6.2479E-2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поток'!$AB$56:$AB$70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9.8952589999999994</c:v>
                </c:pt>
                <c:pt idx="3">
                  <c:v>9.7808320000000002</c:v>
                </c:pt>
                <c:pt idx="4">
                  <c:v>9.6568129999999996</c:v>
                </c:pt>
                <c:pt idx="5">
                  <c:v>9.5228479999999998</c:v>
                </c:pt>
                <c:pt idx="6">
                  <c:v>9.3785340000000001</c:v>
                </c:pt>
                <c:pt idx="7">
                  <c:v>9.2234079999999992</c:v>
                </c:pt>
                <c:pt idx="8">
                  <c:v>9.0569400000000009</c:v>
                </c:pt>
                <c:pt idx="9">
                  <c:v>8.87852</c:v>
                </c:pt>
                <c:pt idx="10">
                  <c:v>8.6874400000000005</c:v>
                </c:pt>
                <c:pt idx="11">
                  <c:v>8.4828790000000005</c:v>
                </c:pt>
                <c:pt idx="12">
                  <c:v>8.2638750000000005</c:v>
                </c:pt>
                <c:pt idx="13">
                  <c:v>8.0292929999999991</c:v>
                </c:pt>
                <c:pt idx="14">
                  <c:v>7.7777779999999996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77-42D7-B5DD-68E0ECCC33CA}"/>
            </c:ext>
          </c:extLst>
        </c:ser>
        <c:ser>
          <c:idx val="7"/>
          <c:order val="7"/>
          <c:tx>
            <c:strRef>
              <c:f>'реверсивный поток'!$E$62</c:f>
              <c:strCache>
                <c:ptCount val="1"/>
                <c:pt idx="0">
                  <c:v>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поток'!$AD$56:$AD$70</c:f>
              <c:numCache>
                <c:formatCode>General</c:formatCode>
                <c:ptCount val="15"/>
                <c:pt idx="0">
                  <c:v>5.0368000000000003E-2</c:v>
                </c:pt>
                <c:pt idx="1">
                  <c:v>5.0377999999999999E-2</c:v>
                </c:pt>
                <c:pt idx="2">
                  <c:v>5.1493999999999998E-2</c:v>
                </c:pt>
                <c:pt idx="3">
                  <c:v>5.2618999999999999E-2</c:v>
                </c:pt>
                <c:pt idx="4">
                  <c:v>5.3745000000000001E-2</c:v>
                </c:pt>
                <c:pt idx="5">
                  <c:v>5.4870000000000002E-2</c:v>
                </c:pt>
                <c:pt idx="6">
                  <c:v>5.5995999999999997E-2</c:v>
                </c:pt>
                <c:pt idx="7">
                  <c:v>5.7120999999999998E-2</c:v>
                </c:pt>
                <c:pt idx="8">
                  <c:v>5.8247E-2</c:v>
                </c:pt>
                <c:pt idx="9">
                  <c:v>5.9372000000000001E-2</c:v>
                </c:pt>
                <c:pt idx="10">
                  <c:v>6.0498000000000003E-2</c:v>
                </c:pt>
                <c:pt idx="11">
                  <c:v>6.1622999999999997E-2</c:v>
                </c:pt>
                <c:pt idx="12">
                  <c:v>6.2748999999999999E-2</c:v>
                </c:pt>
                <c:pt idx="13">
                  <c:v>6.3874E-2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поток'!$AE$56:$AE$70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9.9289939999999994</c:v>
                </c:pt>
                <c:pt idx="3">
                  <c:v>9.8552710000000001</c:v>
                </c:pt>
                <c:pt idx="4">
                  <c:v>9.7794089999999994</c:v>
                </c:pt>
                <c:pt idx="5">
                  <c:v>9.7012309999999999</c:v>
                </c:pt>
                <c:pt idx="6">
                  <c:v>9.6208159999999996</c:v>
                </c:pt>
                <c:pt idx="7">
                  <c:v>9.5381090000000004</c:v>
                </c:pt>
                <c:pt idx="8">
                  <c:v>9.4530550000000009</c:v>
                </c:pt>
                <c:pt idx="9">
                  <c:v>9.3655910000000002</c:v>
                </c:pt>
                <c:pt idx="10">
                  <c:v>9.2754999999999992</c:v>
                </c:pt>
                <c:pt idx="11">
                  <c:v>9.1828599999999998</c:v>
                </c:pt>
                <c:pt idx="12">
                  <c:v>9.0875979999999998</c:v>
                </c:pt>
                <c:pt idx="13">
                  <c:v>8.9896349999999998</c:v>
                </c:pt>
                <c:pt idx="14">
                  <c:v>8.8888890000000007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77-42D7-B5DD-68E0ECCC33C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поток'!$I$74:$I$75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поток'!$J$74:$J$75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77-42D7-B5DD-68E0ECCC33C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поток'!$L$74:$L$75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поток'!$M$74:$M$75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77-42D7-B5DD-68E0ECCC33CA}"/>
            </c:ext>
          </c:extLst>
        </c:ser>
        <c:ser>
          <c:idx val="10"/>
          <c:order val="10"/>
          <c:spPr>
            <a:ln w="635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поток'!$F$74:$F$75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поток'!$G$74:$G$75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77-42D7-B5DD-68E0ECCC33C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'реверсивный поток'!$O$74:$O$75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поток'!$P$74:$P$75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77-42D7-B5DD-68E0ECCC3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скорости всплытия</a:t>
            </a:r>
            <a:r>
              <a:rPr lang="ru-RU" baseline="0"/>
              <a:t> газа от дебита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193499831515276"/>
          <c:y val="0.14877497675405793"/>
          <c:w val="0.86526130448949123"/>
          <c:h val="0.8071019511430939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поток'!$X$29:$X$40</c:f>
              <c:numCache>
                <c:formatCode>0.000</c:formatCode>
                <c:ptCount val="12"/>
                <c:pt idx="0">
                  <c:v>0.19375873276120956</c:v>
                </c:pt>
                <c:pt idx="1">
                  <c:v>0.17909084668136196</c:v>
                </c:pt>
                <c:pt idx="2">
                  <c:v>0.14242113148174296</c:v>
                </c:pt>
                <c:pt idx="3">
                  <c:v>0.10575141628212396</c:v>
                </c:pt>
                <c:pt idx="4">
                  <c:v>6.908170108250497E-2</c:v>
                </c:pt>
                <c:pt idx="5">
                  <c:v>3.2411985882885963E-2</c:v>
                </c:pt>
                <c:pt idx="6">
                  <c:v>-4.2577293167330348E-3</c:v>
                </c:pt>
                <c:pt idx="7">
                  <c:v>-4.0927444516352031E-2</c:v>
                </c:pt>
                <c:pt idx="8">
                  <c:v>-7.7597159715971017E-2</c:v>
                </c:pt>
                <c:pt idx="9">
                  <c:v>-0.11426687491559002</c:v>
                </c:pt>
                <c:pt idx="10">
                  <c:v>-0.15093659011520902</c:v>
                </c:pt>
                <c:pt idx="11">
                  <c:v>-0.18760630531482805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E-43D2-A525-60B9E72B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73696"/>
        <c:axId val="1030274528"/>
      </c:scatterChart>
      <c:valAx>
        <c:axId val="10302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4528"/>
        <c:crosses val="autoZero"/>
        <c:crossBetween val="midCat"/>
      </c:valAx>
      <c:valAx>
        <c:axId val="10302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ПКВ'!$Y$41</c:f>
              <c:strCache>
                <c:ptCount val="1"/>
                <c:pt idx="0">
                  <c:v>ksep_average_cycle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ПКВ'!$Y$29:$Y$40</c:f>
              <c:numCache>
                <c:formatCode>0.00</c:formatCode>
                <c:ptCount val="12"/>
                <c:pt idx="0">
                  <c:v>0.98749807717091886</c:v>
                </c:pt>
                <c:pt idx="1">
                  <c:v>0.96787216330995918</c:v>
                </c:pt>
                <c:pt idx="2">
                  <c:v>0.92016778021835466</c:v>
                </c:pt>
                <c:pt idx="3">
                  <c:v>0.87276099519122674</c:v>
                </c:pt>
                <c:pt idx="4">
                  <c:v>0.82760553663434355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8-4D25-86EF-96408067DCE6}"/>
            </c:ext>
          </c:extLst>
        </c:ser>
        <c:ser>
          <c:idx val="1"/>
          <c:order val="1"/>
          <c:tx>
            <c:strRef>
              <c:f>'прием ПКВ'!$O$28</c:f>
              <c:strCache>
                <c:ptCount val="1"/>
                <c:pt idx="0">
                  <c:v>ksep mech Marquez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ПКВ'!$O$29:$O$40</c:f>
              <c:numCache>
                <c:formatCode>0.00</c:formatCode>
                <c:ptCount val="12"/>
                <c:pt idx="0">
                  <c:v>0.98652589537613511</c:v>
                </c:pt>
                <c:pt idx="1">
                  <c:v>0.96595282671141469</c:v>
                </c:pt>
                <c:pt idx="2">
                  <c:v>0.91797886966024145</c:v>
                </c:pt>
                <c:pt idx="3">
                  <c:v>0.87223641920057748</c:v>
                </c:pt>
                <c:pt idx="4">
                  <c:v>0.83020272486203139</c:v>
                </c:pt>
                <c:pt idx="5">
                  <c:v>0.79219504319407874</c:v>
                </c:pt>
                <c:pt idx="6">
                  <c:v>0.75786897640393236</c:v>
                </c:pt>
                <c:pt idx="7">
                  <c:v>0.72679358239122083</c:v>
                </c:pt>
                <c:pt idx="8">
                  <c:v>0.69852251884139227</c:v>
                </c:pt>
                <c:pt idx="9">
                  <c:v>0.67260599413406619</c:v>
                </c:pt>
                <c:pt idx="10">
                  <c:v>0.64863862551486717</c:v>
                </c:pt>
                <c:pt idx="11">
                  <c:v>0.63699463796811695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8-4D25-86EF-96408067DCE6}"/>
            </c:ext>
          </c:extLst>
        </c:ser>
        <c:ser>
          <c:idx val="2"/>
          <c:order val="2"/>
          <c:tx>
            <c:strRef>
              <c:f>'прием ПКВ'!$P$28</c:f>
              <c:strCache>
                <c:ptCount val="1"/>
                <c:pt idx="0">
                  <c:v>ksep qres pkv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0.96428022048833972</c:v>
                </c:pt>
                <c:pt idx="1">
                  <c:v>0.90820618088559768</c:v>
                </c:pt>
                <c:pt idx="2">
                  <c:v>0.77190794348101344</c:v>
                </c:pt>
                <c:pt idx="3">
                  <c:v>0.63645998626064793</c:v>
                </c:pt>
                <c:pt idx="4">
                  <c:v>0.50744439038383859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8-4D25-86EF-96408067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ПКВ'!$J$56:$J$70</c:f>
              <c:numCache>
                <c:formatCode>0.000</c:formatCode>
                <c:ptCount val="15"/>
                <c:pt idx="0">
                  <c:v>5.2555999999999999E-2</c:v>
                </c:pt>
                <c:pt idx="1">
                  <c:v>5.2555999999999999E-2</c:v>
                </c:pt>
                <c:pt idx="2">
                  <c:v>5.2555999999999999E-2</c:v>
                </c:pt>
                <c:pt idx="3">
                  <c:v>5.2555999999999999E-2</c:v>
                </c:pt>
                <c:pt idx="4">
                  <c:v>5.2555999999999999E-2</c:v>
                </c:pt>
                <c:pt idx="5">
                  <c:v>5.2555999999999999E-2</c:v>
                </c:pt>
                <c:pt idx="6">
                  <c:v>5.2555999999999999E-2</c:v>
                </c:pt>
                <c:pt idx="7">
                  <c:v>5.2491000000000003E-2</c:v>
                </c:pt>
                <c:pt idx="8">
                  <c:v>5.2290000000000003E-2</c:v>
                </c:pt>
                <c:pt idx="9">
                  <c:v>5.2083999999999998E-2</c:v>
                </c:pt>
                <c:pt idx="10">
                  <c:v>5.1874999999999998E-2</c:v>
                </c:pt>
                <c:pt idx="11">
                  <c:v>5.1662E-2</c:v>
                </c:pt>
                <c:pt idx="12">
                  <c:v>5.1444999999999998E-2</c:v>
                </c:pt>
                <c:pt idx="13">
                  <c:v>5.1223999999999999E-2</c:v>
                </c:pt>
                <c:pt idx="14">
                  <c:v>5.0999999999999997E-2</c:v>
                </c:pt>
              </c:numCache>
            </c:numRef>
          </c:xVal>
          <c:yVal>
            <c:numRef>
              <c:f>'прием ПКВ'!$I$56:$I$70</c:f>
              <c:numCache>
                <c:formatCode>0.000</c:formatCode>
                <c:ptCount val="15"/>
                <c:pt idx="0">
                  <c:v>-0.02</c:v>
                </c:pt>
                <c:pt idx="1">
                  <c:v>-1.5793999999999999E-2</c:v>
                </c:pt>
                <c:pt idx="2">
                  <c:v>-1.1587999999999999E-2</c:v>
                </c:pt>
                <c:pt idx="3">
                  <c:v>-7.3819999999999997E-3</c:v>
                </c:pt>
                <c:pt idx="4">
                  <c:v>-3.176E-3</c:v>
                </c:pt>
                <c:pt idx="5">
                  <c:v>1.0300000000000001E-3</c:v>
                </c:pt>
                <c:pt idx="6">
                  <c:v>3.8890000000000001E-3</c:v>
                </c:pt>
                <c:pt idx="7">
                  <c:v>5.2350000000000001E-3</c:v>
                </c:pt>
                <c:pt idx="8">
                  <c:v>9.4409999999999997E-3</c:v>
                </c:pt>
                <c:pt idx="9">
                  <c:v>1.3646999999999999E-2</c:v>
                </c:pt>
                <c:pt idx="10">
                  <c:v>1.7853000000000001E-2</c:v>
                </c:pt>
                <c:pt idx="11">
                  <c:v>2.2058999999999999E-2</c:v>
                </c:pt>
                <c:pt idx="12">
                  <c:v>2.6265E-2</c:v>
                </c:pt>
                <c:pt idx="13">
                  <c:v>3.0471000000000002E-2</c:v>
                </c:pt>
                <c:pt idx="14">
                  <c:v>3.4676999999999999E-2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DBD-B82D-BF0BA7E1E02A}"/>
            </c:ext>
          </c:extLst>
        </c:ser>
        <c:ser>
          <c:idx val="1"/>
          <c:order val="1"/>
          <c:tx>
            <c:strRef>
              <c:f>'прием ПКВ'!$E$56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ПКВ'!$M$56:$M$70</c:f>
              <c:numCache>
                <c:formatCode>General</c:formatCode>
                <c:ptCount val="15"/>
                <c:pt idx="0">
                  <c:v>5.4110999999999999E-2</c:v>
                </c:pt>
                <c:pt idx="1">
                  <c:v>5.4110999999999999E-2</c:v>
                </c:pt>
                <c:pt idx="2">
                  <c:v>5.4110999999999999E-2</c:v>
                </c:pt>
                <c:pt idx="3">
                  <c:v>5.4110999999999999E-2</c:v>
                </c:pt>
                <c:pt idx="4">
                  <c:v>5.4110999999999999E-2</c:v>
                </c:pt>
                <c:pt idx="5">
                  <c:v>5.4110999999999999E-2</c:v>
                </c:pt>
                <c:pt idx="6">
                  <c:v>5.3800000000000001E-2</c:v>
                </c:pt>
                <c:pt idx="7">
                  <c:v>5.3469000000000003E-2</c:v>
                </c:pt>
                <c:pt idx="8">
                  <c:v>5.3128000000000002E-2</c:v>
                </c:pt>
                <c:pt idx="9">
                  <c:v>5.2776999999999998E-2</c:v>
                </c:pt>
                <c:pt idx="10">
                  <c:v>5.2421000000000002E-2</c:v>
                </c:pt>
                <c:pt idx="11">
                  <c:v>5.2063999999999999E-2</c:v>
                </c:pt>
                <c:pt idx="12">
                  <c:v>5.1708999999999998E-2</c:v>
                </c:pt>
                <c:pt idx="13">
                  <c:v>5.1353999999999997E-2</c:v>
                </c:pt>
                <c:pt idx="14">
                  <c:v>5.0999999999999997E-2</c:v>
                </c:pt>
              </c:numCache>
            </c:numRef>
          </c:xVal>
          <c:yVal>
            <c:numRef>
              <c:f>'прием ПКВ'!$L$56:$L$70</c:f>
              <c:numCache>
                <c:formatCode>General</c:formatCode>
                <c:ptCount val="15"/>
                <c:pt idx="0">
                  <c:v>-0.02</c:v>
                </c:pt>
                <c:pt idx="1">
                  <c:v>-1.3115999999999999E-2</c:v>
                </c:pt>
                <c:pt idx="2">
                  <c:v>-6.2329999999999998E-3</c:v>
                </c:pt>
                <c:pt idx="3">
                  <c:v>6.5099999999999999E-4</c:v>
                </c:pt>
                <c:pt idx="4">
                  <c:v>7.535E-3</c:v>
                </c:pt>
                <c:pt idx="5">
                  <c:v>7.7780000000000002E-3</c:v>
                </c:pt>
                <c:pt idx="6">
                  <c:v>1.4418E-2</c:v>
                </c:pt>
                <c:pt idx="7">
                  <c:v>2.1302000000000001E-2</c:v>
                </c:pt>
                <c:pt idx="8">
                  <c:v>2.8185999999999999E-2</c:v>
                </c:pt>
                <c:pt idx="9">
                  <c:v>3.5069999999999997E-2</c:v>
                </c:pt>
                <c:pt idx="10">
                  <c:v>4.1952999999999997E-2</c:v>
                </c:pt>
                <c:pt idx="11">
                  <c:v>4.8836999999999998E-2</c:v>
                </c:pt>
                <c:pt idx="12">
                  <c:v>5.5721E-2</c:v>
                </c:pt>
                <c:pt idx="13">
                  <c:v>6.2604000000000007E-2</c:v>
                </c:pt>
                <c:pt idx="14">
                  <c:v>6.9487999999999994E-2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DBD-B82D-BF0BA7E1E02A}"/>
            </c:ext>
          </c:extLst>
        </c:ser>
        <c:ser>
          <c:idx val="2"/>
          <c:order val="2"/>
          <c:tx>
            <c:strRef>
              <c:f>'прием ПКВ'!$E$57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ПКВ'!$P$56:$P$70</c:f>
              <c:numCache>
                <c:formatCode>General</c:formatCode>
                <c:ptCount val="15"/>
                <c:pt idx="0">
                  <c:v>5.5667000000000001E-2</c:v>
                </c:pt>
                <c:pt idx="1">
                  <c:v>5.5667000000000001E-2</c:v>
                </c:pt>
                <c:pt idx="2">
                  <c:v>5.5667000000000001E-2</c:v>
                </c:pt>
                <c:pt idx="3">
                  <c:v>5.5667000000000001E-2</c:v>
                </c:pt>
                <c:pt idx="4">
                  <c:v>5.5515000000000002E-2</c:v>
                </c:pt>
                <c:pt idx="5">
                  <c:v>5.4968999999999997E-2</c:v>
                </c:pt>
                <c:pt idx="6">
                  <c:v>5.4397000000000001E-2</c:v>
                </c:pt>
                <c:pt idx="7">
                  <c:v>5.3817999999999998E-2</c:v>
                </c:pt>
                <c:pt idx="8">
                  <c:v>5.3241999999999998E-2</c:v>
                </c:pt>
                <c:pt idx="9">
                  <c:v>5.2668E-2</c:v>
                </c:pt>
                <c:pt idx="10">
                  <c:v>5.2096999999999997E-2</c:v>
                </c:pt>
                <c:pt idx="11">
                  <c:v>5.1529999999999999E-2</c:v>
                </c:pt>
                <c:pt idx="12">
                  <c:v>5.1475E-2</c:v>
                </c:pt>
                <c:pt idx="13">
                  <c:v>5.1475E-2</c:v>
                </c:pt>
                <c:pt idx="14">
                  <c:v>5.1475E-2</c:v>
                </c:pt>
              </c:numCache>
            </c:numRef>
          </c:xVal>
          <c:yVal>
            <c:numRef>
              <c:f>'прием ПКВ'!$O$56:$O$70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1.1667E-2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9.6667000000000003E-2</c:v>
                </c:pt>
                <c:pt idx="12">
                  <c:v>9.7795000000000007E-2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3-4DBD-B82D-BF0BA7E1E02A}"/>
            </c:ext>
          </c:extLst>
        </c:ser>
        <c:ser>
          <c:idx val="3"/>
          <c:order val="3"/>
          <c:tx>
            <c:strRef>
              <c:f>'прием ПКВ'!$E$58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ПКВ'!$S$56:$S$70</c:f>
              <c:numCache>
                <c:formatCode>General</c:formatCode>
                <c:ptCount val="15"/>
                <c:pt idx="0">
                  <c:v>5.7222000000000002E-2</c:v>
                </c:pt>
                <c:pt idx="1">
                  <c:v>5.7222000000000002E-2</c:v>
                </c:pt>
                <c:pt idx="2">
                  <c:v>5.7222000000000002E-2</c:v>
                </c:pt>
                <c:pt idx="3">
                  <c:v>5.7222000000000002E-2</c:v>
                </c:pt>
                <c:pt idx="4">
                  <c:v>5.7222000000000002E-2</c:v>
                </c:pt>
                <c:pt idx="5">
                  <c:v>5.6721000000000001E-2</c:v>
                </c:pt>
                <c:pt idx="6">
                  <c:v>5.6170999999999999E-2</c:v>
                </c:pt>
                <c:pt idx="7">
                  <c:v>5.5614999999999998E-2</c:v>
                </c:pt>
                <c:pt idx="8">
                  <c:v>5.5062E-2</c:v>
                </c:pt>
                <c:pt idx="9">
                  <c:v>5.4511999999999998E-2</c:v>
                </c:pt>
                <c:pt idx="10">
                  <c:v>5.3964999999999999E-2</c:v>
                </c:pt>
                <c:pt idx="11">
                  <c:v>5.3891000000000001E-2</c:v>
                </c:pt>
                <c:pt idx="12">
                  <c:v>5.3891000000000001E-2</c:v>
                </c:pt>
                <c:pt idx="13">
                  <c:v>5.3891000000000001E-2</c:v>
                </c:pt>
                <c:pt idx="14">
                  <c:v>5.3891000000000001E-2</c:v>
                </c:pt>
              </c:numCache>
            </c:numRef>
          </c:xVal>
          <c:yVal>
            <c:numRef>
              <c:f>'прием ПКВ'!$R$56:$R$70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1.5556E-2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8.6576E-2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D3-4DBD-B82D-BF0BA7E1E02A}"/>
            </c:ext>
          </c:extLst>
        </c:ser>
        <c:ser>
          <c:idx val="4"/>
          <c:order val="4"/>
          <c:tx>
            <c:strRef>
              <c:f>'прием ПКВ'!$E$59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ПКВ'!$V$56:$V$70</c:f>
              <c:numCache>
                <c:formatCode>General</c:formatCode>
                <c:ptCount val="15"/>
                <c:pt idx="0">
                  <c:v>5.8777999999999997E-2</c:v>
                </c:pt>
                <c:pt idx="1">
                  <c:v>5.8777999999999997E-2</c:v>
                </c:pt>
                <c:pt idx="2">
                  <c:v>5.8777999999999997E-2</c:v>
                </c:pt>
                <c:pt idx="3">
                  <c:v>5.8777999999999997E-2</c:v>
                </c:pt>
                <c:pt idx="4">
                  <c:v>5.8777999999999997E-2</c:v>
                </c:pt>
                <c:pt idx="5">
                  <c:v>5.8460999999999999E-2</c:v>
                </c:pt>
                <c:pt idx="6">
                  <c:v>5.7931999999999997E-2</c:v>
                </c:pt>
                <c:pt idx="7">
                  <c:v>5.7396000000000003E-2</c:v>
                </c:pt>
                <c:pt idx="8">
                  <c:v>5.6863999999999998E-2</c:v>
                </c:pt>
                <c:pt idx="9">
                  <c:v>5.6335000000000003E-2</c:v>
                </c:pt>
                <c:pt idx="10">
                  <c:v>5.6226999999999999E-2</c:v>
                </c:pt>
                <c:pt idx="11">
                  <c:v>5.6226999999999999E-2</c:v>
                </c:pt>
                <c:pt idx="12">
                  <c:v>5.6226999999999999E-2</c:v>
                </c:pt>
                <c:pt idx="13">
                  <c:v>5.6226999999999999E-2</c:v>
                </c:pt>
                <c:pt idx="14">
                  <c:v>5.6226999999999999E-2</c:v>
                </c:pt>
              </c:numCache>
            </c:numRef>
          </c:xVal>
          <c:yVal>
            <c:numRef>
              <c:f>'прием ПКВ'!$U$56:$U$70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1.9443999999999999E-2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7.5731999999999994E-2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3-4DBD-B82D-BF0BA7E1E02A}"/>
            </c:ext>
          </c:extLst>
        </c:ser>
        <c:ser>
          <c:idx val="5"/>
          <c:order val="5"/>
          <c:tx>
            <c:strRef>
              <c:f>'прием ПКВ'!$E$60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ПКВ'!$Y$56:$Y$70</c:f>
              <c:numCache>
                <c:formatCode>General</c:formatCode>
                <c:ptCount val="15"/>
                <c:pt idx="0">
                  <c:v>6.0332999999999998E-2</c:v>
                </c:pt>
                <c:pt idx="1">
                  <c:v>6.0332999999999998E-2</c:v>
                </c:pt>
                <c:pt idx="2">
                  <c:v>6.0332999999999998E-2</c:v>
                </c:pt>
                <c:pt idx="3">
                  <c:v>6.0332999999999998E-2</c:v>
                </c:pt>
                <c:pt idx="4">
                  <c:v>6.0332999999999998E-2</c:v>
                </c:pt>
                <c:pt idx="5">
                  <c:v>6.0191000000000001E-2</c:v>
                </c:pt>
                <c:pt idx="6">
                  <c:v>5.9679999999999997E-2</c:v>
                </c:pt>
                <c:pt idx="7">
                  <c:v>5.9164000000000001E-2</c:v>
                </c:pt>
                <c:pt idx="8">
                  <c:v>5.8651000000000002E-2</c:v>
                </c:pt>
                <c:pt idx="9">
                  <c:v>5.8497E-2</c:v>
                </c:pt>
                <c:pt idx="10">
                  <c:v>5.8497E-2</c:v>
                </c:pt>
                <c:pt idx="11">
                  <c:v>5.8497E-2</c:v>
                </c:pt>
                <c:pt idx="12">
                  <c:v>5.8497E-2</c:v>
                </c:pt>
                <c:pt idx="13">
                  <c:v>5.8497E-2</c:v>
                </c:pt>
                <c:pt idx="14">
                  <c:v>5.8497E-2</c:v>
                </c:pt>
              </c:numCache>
            </c:numRef>
          </c:xVal>
          <c:yVal>
            <c:numRef>
              <c:f>'прием ПКВ'!$X$56:$X$70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2.3333E-2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6.5194000000000002E-2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D3-4DBD-B82D-BF0BA7E1E02A}"/>
            </c:ext>
          </c:extLst>
        </c:ser>
        <c:ser>
          <c:idx val="6"/>
          <c:order val="6"/>
          <c:tx>
            <c:strRef>
              <c:f>'прием ПКВ'!$E$61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ПКВ'!$AB$56:$AB$70</c:f>
              <c:numCache>
                <c:formatCode>General</c:formatCode>
                <c:ptCount val="15"/>
                <c:pt idx="0">
                  <c:v>6.1889E-2</c:v>
                </c:pt>
                <c:pt idx="1">
                  <c:v>6.1889E-2</c:v>
                </c:pt>
                <c:pt idx="2">
                  <c:v>6.1889E-2</c:v>
                </c:pt>
                <c:pt idx="3">
                  <c:v>6.1889E-2</c:v>
                </c:pt>
                <c:pt idx="4">
                  <c:v>6.1889E-2</c:v>
                </c:pt>
                <c:pt idx="5">
                  <c:v>6.1889E-2</c:v>
                </c:pt>
                <c:pt idx="6">
                  <c:v>6.1418E-2</c:v>
                </c:pt>
                <c:pt idx="7">
                  <c:v>6.0919000000000001E-2</c:v>
                </c:pt>
                <c:pt idx="8">
                  <c:v>6.071E-2</c:v>
                </c:pt>
                <c:pt idx="9">
                  <c:v>6.071E-2</c:v>
                </c:pt>
                <c:pt idx="10">
                  <c:v>6.071E-2</c:v>
                </c:pt>
                <c:pt idx="11">
                  <c:v>6.071E-2</c:v>
                </c:pt>
                <c:pt idx="12">
                  <c:v>6.071E-2</c:v>
                </c:pt>
                <c:pt idx="13">
                  <c:v>6.071E-2</c:v>
                </c:pt>
                <c:pt idx="14">
                  <c:v>6.071E-2</c:v>
                </c:pt>
              </c:numCache>
            </c:numRef>
          </c:xVal>
          <c:yVal>
            <c:numRef>
              <c:f>'прием ПКВ'!$AA$56:$AA$70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2.7222E-2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5.4917000000000001E-2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D3-4DBD-B82D-BF0BA7E1E02A}"/>
            </c:ext>
          </c:extLst>
        </c:ser>
        <c:ser>
          <c:idx val="7"/>
          <c:order val="7"/>
          <c:tx>
            <c:strRef>
              <c:f>'прием ПКВ'!$E$62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ПКВ'!$AE$56:$AE$70</c:f>
              <c:numCache>
                <c:formatCode>General</c:formatCode>
                <c:ptCount val="15"/>
                <c:pt idx="0">
                  <c:v>6.3444E-2</c:v>
                </c:pt>
                <c:pt idx="1">
                  <c:v>6.3444E-2</c:v>
                </c:pt>
                <c:pt idx="2">
                  <c:v>6.3444E-2</c:v>
                </c:pt>
                <c:pt idx="3">
                  <c:v>6.3444E-2</c:v>
                </c:pt>
                <c:pt idx="4">
                  <c:v>6.3444E-2</c:v>
                </c:pt>
                <c:pt idx="5">
                  <c:v>6.3444E-2</c:v>
                </c:pt>
                <c:pt idx="6">
                  <c:v>6.3145999999999994E-2</c:v>
                </c:pt>
                <c:pt idx="7">
                  <c:v>6.2876000000000001E-2</c:v>
                </c:pt>
                <c:pt idx="8">
                  <c:v>6.2876000000000001E-2</c:v>
                </c:pt>
                <c:pt idx="9">
                  <c:v>6.2876000000000001E-2</c:v>
                </c:pt>
                <c:pt idx="10">
                  <c:v>6.2876000000000001E-2</c:v>
                </c:pt>
                <c:pt idx="11">
                  <c:v>6.2876000000000001E-2</c:v>
                </c:pt>
                <c:pt idx="12">
                  <c:v>6.2876000000000001E-2</c:v>
                </c:pt>
                <c:pt idx="13">
                  <c:v>6.2876000000000001E-2</c:v>
                </c:pt>
                <c:pt idx="14">
                  <c:v>6.2876000000000001E-2</c:v>
                </c:pt>
              </c:numCache>
            </c:numRef>
          </c:xVal>
          <c:yVal>
            <c:numRef>
              <c:f>'прием ПКВ'!$AD$56:$AD$70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3.1111E-2</c:v>
                </c:pt>
                <c:pt idx="6">
                  <c:v>3.8332999999999999E-2</c:v>
                </c:pt>
                <c:pt idx="7">
                  <c:v>4.4863E-2</c:v>
                </c:pt>
                <c:pt idx="8">
                  <c:v>0.05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D3-4DBD-B82D-BF0BA7E1E02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ПКВ'!$H$74:$H$75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5.0999999999999997E-2</c:v>
                </c:pt>
              </c:numCache>
            </c:numRef>
          </c:xVal>
          <c:yVal>
            <c:numRef>
              <c:f>'прием ПКВ'!$I$74:$I$75</c:f>
              <c:numCache>
                <c:formatCode>General</c:formatCode>
                <c:ptCount val="2"/>
                <c:pt idx="0">
                  <c:v>-8.4999999999999992E-2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D3-4DBD-B82D-BF0BA7E1E02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ПКВ'!$K$74:$K$75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'прием ПКВ'!$L$74:$L$75</c:f>
              <c:numCache>
                <c:formatCode>General</c:formatCode>
                <c:ptCount val="2"/>
                <c:pt idx="0">
                  <c:v>-8.4999999999999992E-2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D3-4DBD-B82D-BF0BA7E1E02A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ПКВ'!$E$74:$E$75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5.0999999999999997E-2</c:v>
                </c:pt>
              </c:numCache>
            </c:numRef>
          </c:xVal>
          <c:yVal>
            <c:numRef>
              <c:f>'прием ПКВ'!$F$74:$F$75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D3-4DBD-B82D-BF0BA7E1E02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ПКВ'!$N$74:$N$75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6.5000000000000002E-2</c:v>
                </c:pt>
              </c:numCache>
            </c:numRef>
          </c:xVal>
          <c:yVal>
            <c:numRef>
              <c:f>'прием ПКВ'!$O$74:$O$75</c:f>
              <c:numCache>
                <c:formatCode>General</c:formatCode>
                <c:ptCount val="2"/>
                <c:pt idx="0">
                  <c:v>0</c:v>
                </c:pt>
                <c:pt idx="1">
                  <c:v>3.4999999999999996E-2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D3-4DBD-B82D-BF0BA7E1E02A}"/>
            </c:ext>
          </c:extLst>
        </c:ser>
        <c:ser>
          <c:idx val="12"/>
          <c:order val="12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'прием ПКВ'!$Q$74:$Q$75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6.5000000000000002E-2</c:v>
                </c:pt>
              </c:numCache>
            </c:numRef>
          </c:xVal>
          <c:yVal>
            <c:numRef>
              <c:f>'прием ПКВ'!$R$74:$R$75</c:f>
              <c:numCache>
                <c:formatCode>General</c:formatCode>
                <c:ptCount val="2"/>
                <c:pt idx="0">
                  <c:v>0.1</c:v>
                </c:pt>
                <c:pt idx="1">
                  <c:v>3.4999999999999996E-2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D3-4DBD-B82D-BF0BA7E1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  <c:min val="4.0000000000000008E-2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tx>
            <c:strRef>
              <c:f>'оценка диаметра'!$N$15</c:f>
              <c:strCache>
                <c:ptCount val="1"/>
                <c:pt idx="0">
                  <c:v>li bubble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 ft/sec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 inch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alpha val="19000"/>
                  </a:schemeClr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39-4F74-8EB9-B5B7303A4D42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1">
                  <a:alpha val="2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39-4F74-8EB9-B5B7303A4D42}"/>
            </c:ext>
          </c:extLst>
        </c:ser>
        <c:ser>
          <c:idx val="2"/>
          <c:order val="2"/>
          <c:tx>
            <c:strRef>
              <c:f>'оценка диаметра'!$N$15</c:f>
              <c:strCache>
                <c:ptCount val="1"/>
                <c:pt idx="0">
                  <c:v>li bubble</c:v>
                </c:pt>
              </c:strCache>
            </c:strRef>
          </c:tx>
          <c:spPr>
            <a:ln w="19050" cap="rnd">
              <a:solidFill>
                <a:schemeClr val="accent1">
                  <a:alpha val="2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39-4F74-8EB9-B5B7303A4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  <c:max val="2.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 ft/sec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 inch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диаметра'!$J$37:$J$54</c:f>
              <c:numCache>
                <c:formatCode>General</c:formatCode>
                <c:ptCount val="18"/>
                <c:pt idx="0">
                  <c:v>3.0480000000000004E-2</c:v>
                </c:pt>
                <c:pt idx="1">
                  <c:v>6.0960000000000007E-2</c:v>
                </c:pt>
                <c:pt idx="2">
                  <c:v>9.1440000000000007E-2</c:v>
                </c:pt>
                <c:pt idx="3">
                  <c:v>0.12192000000000001</c:v>
                </c:pt>
                <c:pt idx="4">
                  <c:v>0.15240000000000001</c:v>
                </c:pt>
                <c:pt idx="5">
                  <c:v>0.18288000000000001</c:v>
                </c:pt>
                <c:pt idx="6">
                  <c:v>0.21335999999999999</c:v>
                </c:pt>
                <c:pt idx="7">
                  <c:v>0.24384000000000003</c:v>
                </c:pt>
                <c:pt idx="8">
                  <c:v>0.27432000000000001</c:v>
                </c:pt>
                <c:pt idx="9">
                  <c:v>0.30480000000000002</c:v>
                </c:pt>
                <c:pt idx="10">
                  <c:v>0.33528000000000002</c:v>
                </c:pt>
                <c:pt idx="11">
                  <c:v>0.36576000000000003</c:v>
                </c:pt>
                <c:pt idx="12">
                  <c:v>0.39624000000000004</c:v>
                </c:pt>
                <c:pt idx="13">
                  <c:v>0.42671999999999999</c:v>
                </c:pt>
                <c:pt idx="14">
                  <c:v>0.45720000000000005</c:v>
                </c:pt>
                <c:pt idx="15">
                  <c:v>0.48768000000000006</c:v>
                </c:pt>
                <c:pt idx="16">
                  <c:v>0.51816000000000006</c:v>
                </c:pt>
                <c:pt idx="17">
                  <c:v>0.60960000000000003</c:v>
                </c:pt>
              </c:numCache>
            </c:numRef>
          </c:xVal>
          <c:yVal>
            <c:numRef>
              <c:f>'оценка диаметра'!$K$37:$K$54</c:f>
              <c:numCache>
                <c:formatCode>General</c:formatCode>
                <c:ptCount val="18"/>
                <c:pt idx="0">
                  <c:v>7.2088394239776471E-4</c:v>
                </c:pt>
                <c:pt idx="1">
                  <c:v>7.0510998649934628E-4</c:v>
                </c:pt>
                <c:pt idx="2">
                  <c:v>6.9739987610960893E-4</c:v>
                </c:pt>
                <c:pt idx="3">
                  <c:v>6.9522205813097649E-4</c:v>
                </c:pt>
                <c:pt idx="4">
                  <c:v>6.9693020389532002E-4</c:v>
                </c:pt>
                <c:pt idx="5">
                  <c:v>7.013989823161401E-4</c:v>
                </c:pt>
                <c:pt idx="6">
                  <c:v>7.0782861208346917E-4</c:v>
                </c:pt>
                <c:pt idx="7">
                  <c:v>7.1563350654879621E-4</c:v>
                </c:pt>
                <c:pt idx="8">
                  <c:v>7.2437549807568343E-4</c:v>
                </c:pt>
                <c:pt idx="9">
                  <c:v>7.3372191358679183E-4</c:v>
                </c:pt>
                <c:pt idx="10">
                  <c:v>7.4341809814795789E-4</c:v>
                </c:pt>
                <c:pt idx="11">
                  <c:v>7.5326865331720532E-4</c:v>
                </c:pt>
                <c:pt idx="12">
                  <c:v>7.6312411597822248E-4</c:v>
                </c:pt>
                <c:pt idx="13">
                  <c:v>7.7287115243330822E-4</c:v>
                </c:pt>
                <c:pt idx="14">
                  <c:v>7.8242510726342232E-4</c:v>
                </c:pt>
                <c:pt idx="15">
                  <c:v>7.9172419102737919E-4</c:v>
                </c:pt>
                <c:pt idx="16">
                  <c:v>8.0072485421825771E-4</c:v>
                </c:pt>
                <c:pt idx="17">
                  <c:v>8.2570072320633603E-4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0-44A8-94C6-AE14739DC1CB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диаметра'!$J$37:$J$54</c:f>
              <c:numCache>
                <c:formatCode>General</c:formatCode>
                <c:ptCount val="18"/>
                <c:pt idx="0">
                  <c:v>3.0480000000000004E-2</c:v>
                </c:pt>
                <c:pt idx="1">
                  <c:v>6.0960000000000007E-2</c:v>
                </c:pt>
                <c:pt idx="2">
                  <c:v>9.1440000000000007E-2</c:v>
                </c:pt>
                <c:pt idx="3">
                  <c:v>0.12192000000000001</c:v>
                </c:pt>
                <c:pt idx="4">
                  <c:v>0.15240000000000001</c:v>
                </c:pt>
                <c:pt idx="5">
                  <c:v>0.18288000000000001</c:v>
                </c:pt>
                <c:pt idx="6">
                  <c:v>0.21335999999999999</c:v>
                </c:pt>
                <c:pt idx="7">
                  <c:v>0.24384000000000003</c:v>
                </c:pt>
                <c:pt idx="8">
                  <c:v>0.27432000000000001</c:v>
                </c:pt>
                <c:pt idx="9">
                  <c:v>0.30480000000000002</c:v>
                </c:pt>
                <c:pt idx="10">
                  <c:v>0.33528000000000002</c:v>
                </c:pt>
                <c:pt idx="11">
                  <c:v>0.36576000000000003</c:v>
                </c:pt>
                <c:pt idx="12">
                  <c:v>0.39624000000000004</c:v>
                </c:pt>
                <c:pt idx="13">
                  <c:v>0.42671999999999999</c:v>
                </c:pt>
                <c:pt idx="14">
                  <c:v>0.45720000000000005</c:v>
                </c:pt>
                <c:pt idx="15">
                  <c:v>0.48768000000000006</c:v>
                </c:pt>
                <c:pt idx="16">
                  <c:v>0.51816000000000006</c:v>
                </c:pt>
                <c:pt idx="17">
                  <c:v>0.60960000000000003</c:v>
                </c:pt>
              </c:numCache>
            </c:numRef>
          </c:xVal>
          <c:yVal>
            <c:numRef>
              <c:f>'оценка диаметра'!$M$37:$M$54</c:f>
              <c:numCache>
                <c:formatCode>General</c:formatCode>
                <c:ptCount val="18"/>
                <c:pt idx="0">
                  <c:v>1.8988950597179514E-4</c:v>
                </c:pt>
                <c:pt idx="1">
                  <c:v>3.4088454268071938E-4</c:v>
                </c:pt>
                <c:pt idx="2">
                  <c:v>4.9745953829410721E-4</c:v>
                </c:pt>
                <c:pt idx="3">
                  <c:v>6.6692715386011594E-4</c:v>
                </c:pt>
                <c:pt idx="4">
                  <c:v>8.5352914753538376E-4</c:v>
                </c:pt>
                <c:pt idx="5">
                  <c:v>1.0607025208456166E-3</c:v>
                </c:pt>
                <c:pt idx="6">
                  <c:v>1.2916951732974038E-3</c:v>
                </c:pt>
                <c:pt idx="7">
                  <c:v>1.5498118805637514E-3</c:v>
                </c:pt>
                <c:pt idx="8">
                  <c:v>1.8385419735354391E-3</c:v>
                </c:pt>
                <c:pt idx="9">
                  <c:v>2.1616415999999995E-3</c:v>
                </c:pt>
                <c:pt idx="10">
                  <c:v>2.523197061051973E-3</c:v>
                </c:pt>
                <c:pt idx="11">
                  <c:v>2.92768050746565E-3</c:v>
                </c:pt>
                <c:pt idx="12">
                  <c:v>3.3800034605374948E-3</c:v>
                </c:pt>
                <c:pt idx="13">
                  <c:v>3.885571134675411E-3</c:v>
                </c:pt>
                <c:pt idx="14">
                  <c:v>4.4503393898506997E-3</c:v>
                </c:pt>
                <c:pt idx="15">
                  <c:v>5.0808755841634159E-3</c:v>
                </c:pt>
                <c:pt idx="16">
                  <c:v>5.784424321887147E-3</c:v>
                </c:pt>
                <c:pt idx="17">
                  <c:v>8.417299081186682E-3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80-44A8-94C6-AE14739DC1CB}"/>
            </c:ext>
          </c:extLst>
        </c:ser>
        <c:ser>
          <c:idx val="2"/>
          <c:order val="2"/>
          <c:tx>
            <c:strRef>
              <c:f>'оценка диаметра'!$N$15</c:f>
              <c:strCache>
                <c:ptCount val="1"/>
                <c:pt idx="0">
                  <c:v>li bubble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диаметра'!$J$37:$J$54</c:f>
              <c:numCache>
                <c:formatCode>General</c:formatCode>
                <c:ptCount val="18"/>
                <c:pt idx="0">
                  <c:v>3.0480000000000004E-2</c:v>
                </c:pt>
                <c:pt idx="1">
                  <c:v>6.0960000000000007E-2</c:v>
                </c:pt>
                <c:pt idx="2">
                  <c:v>9.1440000000000007E-2</c:v>
                </c:pt>
                <c:pt idx="3">
                  <c:v>0.12192000000000001</c:v>
                </c:pt>
                <c:pt idx="4">
                  <c:v>0.15240000000000001</c:v>
                </c:pt>
                <c:pt idx="5">
                  <c:v>0.18288000000000001</c:v>
                </c:pt>
                <c:pt idx="6">
                  <c:v>0.21335999999999999</c:v>
                </c:pt>
                <c:pt idx="7">
                  <c:v>0.24384000000000003</c:v>
                </c:pt>
                <c:pt idx="8">
                  <c:v>0.27432000000000001</c:v>
                </c:pt>
                <c:pt idx="9">
                  <c:v>0.30480000000000002</c:v>
                </c:pt>
                <c:pt idx="10">
                  <c:v>0.33528000000000002</c:v>
                </c:pt>
                <c:pt idx="11">
                  <c:v>0.36576000000000003</c:v>
                </c:pt>
                <c:pt idx="12">
                  <c:v>0.39624000000000004</c:v>
                </c:pt>
                <c:pt idx="13">
                  <c:v>0.42671999999999999</c:v>
                </c:pt>
                <c:pt idx="14">
                  <c:v>0.45720000000000005</c:v>
                </c:pt>
                <c:pt idx="15">
                  <c:v>0.48768000000000006</c:v>
                </c:pt>
                <c:pt idx="16">
                  <c:v>0.51816000000000006</c:v>
                </c:pt>
                <c:pt idx="17">
                  <c:v>0.60960000000000003</c:v>
                </c:pt>
              </c:numCache>
            </c:numRef>
          </c:xVal>
          <c:yVal>
            <c:numRef>
              <c:f>'оценка диаметра'!$N$37:$N$54</c:f>
              <c:numCache>
                <c:formatCode>General</c:formatCode>
                <c:ptCount val="18"/>
                <c:pt idx="0">
                  <c:v>1.679358184533712E-3</c:v>
                </c:pt>
                <c:pt idx="1">
                  <c:v>1.679358184533712E-3</c:v>
                </c:pt>
                <c:pt idx="2">
                  <c:v>1.679358184533712E-3</c:v>
                </c:pt>
                <c:pt idx="3">
                  <c:v>1.679358184533712E-3</c:v>
                </c:pt>
                <c:pt idx="4">
                  <c:v>1.679358184533712E-3</c:v>
                </c:pt>
                <c:pt idx="5">
                  <c:v>1.679358184533712E-3</c:v>
                </c:pt>
                <c:pt idx="6">
                  <c:v>1.679358184533712E-3</c:v>
                </c:pt>
                <c:pt idx="7">
                  <c:v>1.679358184533712E-3</c:v>
                </c:pt>
                <c:pt idx="8">
                  <c:v>1.679358184533712E-3</c:v>
                </c:pt>
                <c:pt idx="9">
                  <c:v>1.679358184533712E-3</c:v>
                </c:pt>
                <c:pt idx="10">
                  <c:v>1.679358184533712E-3</c:v>
                </c:pt>
                <c:pt idx="11">
                  <c:v>1.679358184533712E-3</c:v>
                </c:pt>
                <c:pt idx="12">
                  <c:v>1.679358184533712E-3</c:v>
                </c:pt>
                <c:pt idx="13">
                  <c:v>1.679358184533712E-3</c:v>
                </c:pt>
                <c:pt idx="14">
                  <c:v>1.679358184533712E-3</c:v>
                </c:pt>
                <c:pt idx="15">
                  <c:v>1.679358184533712E-3</c:v>
                </c:pt>
                <c:pt idx="16">
                  <c:v>1.679358184533712E-3</c:v>
                </c:pt>
                <c:pt idx="17">
                  <c:v>1.679358184533712E-3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80-44A8-94C6-AE14739DC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 m/sec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 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9.xml"/><Relationship Id="rId7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5</xdr:row>
      <xdr:rowOff>28575</xdr:rowOff>
    </xdr:from>
    <xdr:to>
      <xdr:col>19</xdr:col>
      <xdr:colOff>723900</xdr:colOff>
      <xdr:row>19</xdr:row>
      <xdr:rowOff>104775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F043099-6932-4492-BBDF-DB98AE1D2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318161</xdr:colOff>
      <xdr:row>0</xdr:row>
      <xdr:rowOff>41574</xdr:rowOff>
    </xdr:from>
    <xdr:to>
      <xdr:col>35</xdr:col>
      <xdr:colOff>518481</xdr:colOff>
      <xdr:row>26</xdr:row>
      <xdr:rowOff>129526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60031</xdr:colOff>
      <xdr:row>0</xdr:row>
      <xdr:rowOff>56715</xdr:rowOff>
    </xdr:from>
    <xdr:to>
      <xdr:col>26</xdr:col>
      <xdr:colOff>250531</xdr:colOff>
      <xdr:row>26</xdr:row>
      <xdr:rowOff>156082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72D13F-89EA-4ACB-9DDE-CD112888F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10956B-97CE-4524-889B-DE096A030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E7EEA76-881E-4AC1-99A8-98F0670F6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334495</xdr:colOff>
      <xdr:row>27</xdr:row>
      <xdr:rowOff>85965</xdr:rowOff>
    </xdr:from>
    <xdr:to>
      <xdr:col>35</xdr:col>
      <xdr:colOff>544285</xdr:colOff>
      <xdr:row>44</xdr:row>
      <xdr:rowOff>27216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7205B82-35EC-4C94-A661-E5C6A921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742973</xdr:colOff>
      <xdr:row>0</xdr:row>
      <xdr:rowOff>111851</xdr:rowOff>
    </xdr:from>
    <xdr:to>
      <xdr:col>31</xdr:col>
      <xdr:colOff>603251</xdr:colOff>
      <xdr:row>27</xdr:row>
      <xdr:rowOff>10583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C554889-AFF9-4986-AFB2-ECCFB50C2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97044</xdr:colOff>
      <xdr:row>0</xdr:row>
      <xdr:rowOff>126656</xdr:rowOff>
    </xdr:from>
    <xdr:to>
      <xdr:col>23</xdr:col>
      <xdr:colOff>698501</xdr:colOff>
      <xdr:row>27</xdr:row>
      <xdr:rowOff>31713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049969B-2903-4E97-B94C-9246B451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478155</xdr:colOff>
      <xdr:row>12</xdr:row>
      <xdr:rowOff>57150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205740</xdr:colOff>
      <xdr:row>4</xdr:row>
      <xdr:rowOff>97155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0</xdr:col>
      <xdr:colOff>558083</xdr:colOff>
      <xdr:row>20</xdr:row>
      <xdr:rowOff>89204</xdr:rowOff>
    </xdr:from>
    <xdr:to>
      <xdr:col>7</xdr:col>
      <xdr:colOff>509712</xdr:colOff>
      <xdr:row>38</xdr:row>
      <xdr:rowOff>77028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590550</xdr:colOff>
      <xdr:row>25</xdr:row>
      <xdr:rowOff>134347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59055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205740</xdr:colOff>
      <xdr:row>20</xdr:row>
      <xdr:rowOff>15240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  <xdr:twoCellAnchor editAs="oneCell">
    <xdr:from>
      <xdr:col>17</xdr:col>
      <xdr:colOff>457200</xdr:colOff>
      <xdr:row>24</xdr:row>
      <xdr:rowOff>11430</xdr:rowOff>
    </xdr:from>
    <xdr:to>
      <xdr:col>26</xdr:col>
      <xdr:colOff>474345</xdr:colOff>
      <xdr:row>47</xdr:row>
      <xdr:rowOff>136252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1B959B6C-D336-4D86-B74F-2DA272349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20400" y="4354830"/>
          <a:ext cx="5511165" cy="4287247"/>
        </a:xfrm>
        <a:prstGeom prst="rect">
          <a:avLst/>
        </a:prstGeom>
      </xdr:spPr>
    </xdr:pic>
    <xdr:clientData/>
  </xdr:twoCellAnchor>
  <xdr:twoCellAnchor>
    <xdr:from>
      <xdr:col>18</xdr:col>
      <xdr:colOff>63719</xdr:colOff>
      <xdr:row>31</xdr:row>
      <xdr:rowOff>0</xdr:rowOff>
    </xdr:from>
    <xdr:to>
      <xdr:col>27</xdr:col>
      <xdr:colOff>331405</xdr:colOff>
      <xdr:row>45</xdr:row>
      <xdr:rowOff>57839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2DDA47B-D399-46AE-8BC4-99992CB99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548556</xdr:colOff>
      <xdr:row>38</xdr:row>
      <xdr:rowOff>84731</xdr:rowOff>
    </xdr:from>
    <xdr:to>
      <xdr:col>7</xdr:col>
      <xdr:colOff>494470</xdr:colOff>
      <xdr:row>56</xdr:row>
      <xdr:rowOff>72555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C31C5C4-3524-415D-AA78-6C87DAEDE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240196</xdr:colOff>
      <xdr:row>12</xdr:row>
      <xdr:rowOff>132521</xdr:rowOff>
    </xdr:from>
    <xdr:to>
      <xdr:col>3</xdr:col>
      <xdr:colOff>480391</xdr:colOff>
      <xdr:row>17</xdr:row>
      <xdr:rowOff>82826</xdr:rowOff>
    </xdr:to>
    <xdr:sp macro="" textlink="">
      <xdr:nvSpPr>
        <xdr:cNvPr id="11" name="Стрелка: вправо 10">
          <a:extLst>
            <a:ext uri="{FF2B5EF4-FFF2-40B4-BE49-F238E27FC236}">
              <a16:creationId xmlns:a16="http://schemas.microsoft.com/office/drawing/2014/main" id="{4E380090-E2A0-402B-B10A-2CA340B642DF}"/>
            </a:ext>
          </a:extLst>
        </xdr:cNvPr>
        <xdr:cNvSpPr/>
      </xdr:nvSpPr>
      <xdr:spPr>
        <a:xfrm>
          <a:off x="240196" y="2319130"/>
          <a:ext cx="2078934" cy="86139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графики зависят</a:t>
          </a:r>
          <a:r>
            <a:rPr lang="ru-RU" sz="1100" baseline="0"/>
            <a:t> от скорости жидкости</a:t>
          </a:r>
          <a:endParaRPr lang="ru-RU" sz="1100"/>
        </a:p>
      </xdr:txBody>
    </xdr:sp>
    <xdr:clientData/>
  </xdr:twoCellAnchor>
  <xdr:twoCellAnchor editAs="oneCell">
    <xdr:from>
      <xdr:col>17</xdr:col>
      <xdr:colOff>451071</xdr:colOff>
      <xdr:row>49</xdr:row>
      <xdr:rowOff>27993</xdr:rowOff>
    </xdr:from>
    <xdr:to>
      <xdr:col>26</xdr:col>
      <xdr:colOff>607447</xdr:colOff>
      <xdr:row>72</xdr:row>
      <xdr:rowOff>27167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F2E374F8-3FE6-4395-9FB1-D7851934D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870593" y="8956645"/>
          <a:ext cx="5672593" cy="41901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0;&#1085;&#1080;&#1075;&#1072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decode_json_crv"/>
      <definedName name="encode_ESP_separation"/>
      <definedName name="encode_feed"/>
      <definedName name="encode_linspace"/>
      <definedName name="encode_PVT"/>
      <definedName name="feed_mu_liq_cP"/>
      <definedName name="feed_q_gas_rc_m3day"/>
      <definedName name="feed_q_liq_rc_m3day"/>
      <definedName name="feed_rho_liq_kgm3"/>
      <definedName name="feed_ST_liqgas_Nm"/>
      <definedName name="PVT_mu_gas_cP"/>
      <definedName name="PVT_rho_gas_kgm3"/>
      <definedName name="unf_ksep_ESP_Marquez_build_bubble_tracks"/>
      <definedName name="unf_ksep_ESP_natural_mechanistic_Marquez"/>
      <definedName name="unf_ksep_ESP_natural_mechanistic_pkv"/>
      <definedName name="unf_ksep_ESP_natural_mechanistic_pump_below_perf"/>
      <definedName name="unf_ksep_ESP_natural_simplified_Marquez"/>
      <definedName name="unf_ksep_mechanistic_Marquez_reverse_build_bubble_tracks"/>
      <definedName name="unf_ksep_mechanistic_pkv_build_bubble_tracks"/>
      <definedName name="well_ksep_full_d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</sheetNames>
    <sheetDataSet>
      <sheetData sheetId="0">
        <row r="50">
          <cell r="H50">
            <v>0.96142007482709602</v>
          </cell>
        </row>
        <row r="51">
          <cell r="G51">
            <v>1</v>
          </cell>
          <cell r="H51">
            <v>0.99515799896101598</v>
          </cell>
        </row>
        <row r="52">
          <cell r="G52">
            <v>10.96</v>
          </cell>
          <cell r="H52">
            <v>0.95692932370412498</v>
          </cell>
        </row>
        <row r="53">
          <cell r="G53">
            <v>20.92</v>
          </cell>
          <cell r="H53">
            <v>0.10952952801881299</v>
          </cell>
        </row>
        <row r="54">
          <cell r="G54">
            <v>30.88</v>
          </cell>
          <cell r="H54">
            <v>7.9866276375778304E-3</v>
          </cell>
        </row>
        <row r="55">
          <cell r="G55">
            <v>40.840000000000003</v>
          </cell>
          <cell r="H55">
            <v>5.4405907504374599E-3</v>
          </cell>
        </row>
        <row r="56">
          <cell r="G56">
            <v>50.8</v>
          </cell>
          <cell r="H56">
            <v>4.88848686692352E-3</v>
          </cell>
        </row>
        <row r="57">
          <cell r="G57">
            <v>60.76</v>
          </cell>
          <cell r="H57">
            <v>4.4436411169249696E-3</v>
          </cell>
        </row>
        <row r="58">
          <cell r="G58">
            <v>70.72</v>
          </cell>
          <cell r="H58">
            <v>4.08519722588397E-3</v>
          </cell>
        </row>
        <row r="59">
          <cell r="G59">
            <v>80.680000000000007</v>
          </cell>
          <cell r="H59">
            <v>3.7969862887875E-3</v>
          </cell>
        </row>
        <row r="60">
          <cell r="G60">
            <v>90.64</v>
          </cell>
          <cell r="H60">
            <v>3.5660046788571001E-3</v>
          </cell>
        </row>
        <row r="61">
          <cell r="G61">
            <v>100.6</v>
          </cell>
          <cell r="H61">
            <v>3.3815182221466002E-3</v>
          </cell>
        </row>
        <row r="62">
          <cell r="G62">
            <v>110.56</v>
          </cell>
          <cell r="H62">
            <v>3.2344946556884498E-3</v>
          </cell>
        </row>
        <row r="63">
          <cell r="G63">
            <v>120.52</v>
          </cell>
          <cell r="H63">
            <v>3.1172231874639399E-3</v>
          </cell>
        </row>
        <row r="64">
          <cell r="G64">
            <v>130.47999999999999</v>
          </cell>
          <cell r="H64">
            <v>3.0230477780494301E-3</v>
          </cell>
        </row>
        <row r="65">
          <cell r="G65">
            <v>140.44</v>
          </cell>
          <cell r="H65">
            <v>2.94617317860293E-3</v>
          </cell>
        </row>
        <row r="66">
          <cell r="G66">
            <v>150.4</v>
          </cell>
          <cell r="H66">
            <v>2.8815195128497799E-3</v>
          </cell>
        </row>
        <row r="67">
          <cell r="G67">
            <v>160.36000000000001</v>
          </cell>
          <cell r="H67">
            <v>2.82461040772741E-3</v>
          </cell>
        </row>
        <row r="68">
          <cell r="G68">
            <v>170.32</v>
          </cell>
          <cell r="H68">
            <v>2.77148501598703E-3</v>
          </cell>
        </row>
        <row r="69">
          <cell r="G69">
            <v>180.28</v>
          </cell>
          <cell r="H69">
            <v>2.71862750343097E-3</v>
          </cell>
        </row>
        <row r="70">
          <cell r="G70">
            <v>190.24</v>
          </cell>
          <cell r="H70">
            <v>2.6629096025419601E-3</v>
          </cell>
        </row>
        <row r="71">
          <cell r="G71">
            <v>200.2</v>
          </cell>
          <cell r="H71">
            <v>2.6015431561535098E-3</v>
          </cell>
        </row>
        <row r="72">
          <cell r="G72">
            <v>210.16</v>
          </cell>
          <cell r="H72">
            <v>2.5320404738053801E-3</v>
          </cell>
        </row>
        <row r="73">
          <cell r="G73">
            <v>220.12</v>
          </cell>
          <cell r="H73">
            <v>2.4521809815804701E-3</v>
          </cell>
        </row>
        <row r="74">
          <cell r="G74">
            <v>230.08</v>
          </cell>
          <cell r="H74">
            <v>2.1361313636318398E-3</v>
          </cell>
        </row>
        <row r="75">
          <cell r="G75">
            <v>240.04</v>
          </cell>
          <cell r="H75">
            <v>1.9851104723910898E-3</v>
          </cell>
        </row>
        <row r="76">
          <cell r="G76">
            <v>250</v>
          </cell>
          <cell r="H76">
            <v>1.81257773477359E-3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C921C-5993-4EC2-9B8A-0EA4696B4951}">
  <sheetPr codeName="Лист3"/>
  <dimension ref="C4:U76"/>
  <sheetViews>
    <sheetView tabSelected="1" topLeftCell="A4" workbookViewId="0">
      <selection activeCell="C4" sqref="C4"/>
    </sheetView>
  </sheetViews>
  <sheetFormatPr defaultRowHeight="15" x14ac:dyDescent="0.25"/>
  <cols>
    <col min="3" max="3" width="18.5703125" customWidth="1"/>
    <col min="7" max="7" width="22.140625" customWidth="1"/>
    <col min="11" max="11" width="19" customWidth="1"/>
    <col min="14" max="14" width="14.85546875" customWidth="1"/>
    <col min="17" max="17" width="15" customWidth="1"/>
    <col min="20" max="20" width="14.28515625" customWidth="1"/>
    <col min="21" max="21" width="9.7109375" customWidth="1"/>
  </cols>
  <sheetData>
    <row r="4" spans="3:12" x14ac:dyDescent="0.25">
      <c r="C4" t="s">
        <v>119</v>
      </c>
    </row>
    <row r="6" spans="3:12" x14ac:dyDescent="0.25">
      <c r="C6" s="32" t="s">
        <v>0</v>
      </c>
      <c r="D6" s="1">
        <v>0.8</v>
      </c>
      <c r="G6" s="32" t="s">
        <v>99</v>
      </c>
      <c r="H6" s="1">
        <v>0</v>
      </c>
      <c r="K6" t="str" cm="1">
        <f t="array" ref="K6:L13">[1]!decode_json(gas_separation_json)</f>
        <v>calc_mode</v>
      </c>
      <c r="L6" t="str">
        <v>by_correlation</v>
      </c>
    </row>
    <row r="7" spans="3:12" x14ac:dyDescent="0.25">
      <c r="C7" s="32" t="s">
        <v>1</v>
      </c>
      <c r="D7" s="1">
        <v>0.86</v>
      </c>
      <c r="G7" s="32" t="s">
        <v>100</v>
      </c>
      <c r="H7" s="1">
        <v>40</v>
      </c>
      <c r="K7" t="str">
        <v>natsep_model</v>
      </c>
      <c r="L7" t="str">
        <v>0</v>
      </c>
    </row>
    <row r="8" spans="3:12" x14ac:dyDescent="0.25">
      <c r="C8" s="32" t="s">
        <v>2</v>
      </c>
      <c r="D8" s="1">
        <v>1.1000000000000001</v>
      </c>
      <c r="G8" s="32" t="s">
        <v>101</v>
      </c>
      <c r="H8" s="1">
        <v>60</v>
      </c>
      <c r="K8" t="str">
        <v>d_intake_mm</v>
      </c>
      <c r="L8" t="str">
        <v>92</v>
      </c>
    </row>
    <row r="9" spans="3:12" x14ac:dyDescent="0.25">
      <c r="C9" s="32" t="s">
        <v>3</v>
      </c>
      <c r="D9" s="1">
        <v>120</v>
      </c>
      <c r="G9" s="32" t="s">
        <v>102</v>
      </c>
      <c r="H9" s="1">
        <v>0</v>
      </c>
      <c r="K9" t="str">
        <v>d_cas_mm</v>
      </c>
      <c r="L9" t="str">
        <v>132</v>
      </c>
    </row>
    <row r="10" spans="3:12" x14ac:dyDescent="0.25">
      <c r="C10" s="32" t="s">
        <v>4</v>
      </c>
      <c r="D10" s="1">
        <v>130</v>
      </c>
      <c r="G10" s="32" t="s">
        <v>103</v>
      </c>
      <c r="H10" s="1">
        <v>92</v>
      </c>
      <c r="K10" t="str">
        <v>pkv_period_ratio</v>
      </c>
      <c r="L10" t="str">
        <v>0,3</v>
      </c>
    </row>
    <row r="11" spans="3:12" x14ac:dyDescent="0.25">
      <c r="C11" s="32" t="s">
        <v>5</v>
      </c>
      <c r="D11" s="1">
        <v>80</v>
      </c>
      <c r="G11" s="32" t="s">
        <v>104</v>
      </c>
      <c r="H11" s="1">
        <v>132</v>
      </c>
      <c r="K11" t="str">
        <v>gassep_type</v>
      </c>
      <c r="L11" t="str">
        <v>0</v>
      </c>
    </row>
    <row r="12" spans="3:12" x14ac:dyDescent="0.25">
      <c r="C12" s="32" t="s">
        <v>6</v>
      </c>
      <c r="D12" s="1">
        <v>1.2</v>
      </c>
      <c r="G12" s="32" t="s">
        <v>105</v>
      </c>
      <c r="H12" s="1">
        <v>0.3</v>
      </c>
      <c r="K12" t="str">
        <v>gassep_qnom_sm3day</v>
      </c>
      <c r="L12" t="str">
        <v>200</v>
      </c>
    </row>
    <row r="13" spans="3:12" x14ac:dyDescent="0.25">
      <c r="C13" s="32" t="s">
        <v>7</v>
      </c>
      <c r="D13" s="1">
        <v>0.6</v>
      </c>
      <c r="G13" s="32" t="s">
        <v>106</v>
      </c>
      <c r="H13" s="1"/>
      <c r="K13" t="str">
        <v>param</v>
      </c>
      <c r="L13" t="str">
        <v>{"show_array":1,"gas_goes_into_solution":1,"calibr_li":2}</v>
      </c>
    </row>
    <row r="14" spans="3:12" x14ac:dyDescent="0.25">
      <c r="C14" s="32" t="s">
        <v>8</v>
      </c>
      <c r="D14" s="1">
        <v>0</v>
      </c>
      <c r="G14" s="32" t="s">
        <v>107</v>
      </c>
      <c r="H14" s="1"/>
    </row>
    <row r="15" spans="3:12" x14ac:dyDescent="0.25">
      <c r="C15" s="32" t="s">
        <v>9</v>
      </c>
      <c r="D15" s="2" t="str">
        <f>[1]!encode_PVT(D6,D7,D8,D9,D10,D11,D12,D13,D14)</f>
        <v>{"gamma_gas":0.8,"gamma_oil":0.86,"gamma_wat":1.1,"rsb_m3m3":120,"pb_atma":130,"t_res_C":80,"bob_m3m3":1.2,"muob_cP":0.6,"PVT_corr_set":0}</v>
      </c>
      <c r="G15" s="32" t="s">
        <v>108</v>
      </c>
      <c r="H15" s="1"/>
    </row>
    <row r="16" spans="3:12" x14ac:dyDescent="0.25">
      <c r="C16" s="32" t="s">
        <v>10</v>
      </c>
      <c r="D16" s="1">
        <v>10</v>
      </c>
      <c r="G16" s="32" t="s">
        <v>109</v>
      </c>
      <c r="H16" s="1"/>
    </row>
    <row r="17" spans="3:21" x14ac:dyDescent="0.25">
      <c r="C17" s="32" t="s">
        <v>11</v>
      </c>
      <c r="D17" s="1">
        <v>10</v>
      </c>
      <c r="G17" s="32" t="s">
        <v>110</v>
      </c>
      <c r="H17" s="1"/>
    </row>
    <row r="18" spans="3:21" x14ac:dyDescent="0.25">
      <c r="C18" s="32" t="s">
        <v>12</v>
      </c>
      <c r="D18" s="1">
        <v>120</v>
      </c>
      <c r="G18" s="32" t="s">
        <v>111</v>
      </c>
      <c r="H18" s="1">
        <v>0</v>
      </c>
    </row>
    <row r="19" spans="3:21" x14ac:dyDescent="0.25">
      <c r="C19" s="32" t="s">
        <v>13</v>
      </c>
      <c r="D19" s="1">
        <v>0</v>
      </c>
      <c r="G19" s="32" t="s">
        <v>112</v>
      </c>
      <c r="H19" s="1"/>
    </row>
    <row r="20" spans="3:21" x14ac:dyDescent="0.25">
      <c r="C20" s="32" t="s">
        <v>14</v>
      </c>
      <c r="D20" s="2" t="str">
        <f>[1]!encode_feed(D16,D17,D18,D19,D15)</f>
        <v>{"gamma_gas":0.8,"gamma_oil":0.86,"gamma_wat":1.1,"rsb_m3m3":120,"pb_atma":130,"t_res_C":80,"bob_m3m3":1.2,"muob_cP":0.6,"PVT_corr_set":0,"q_liq_sm3day":10,"fw_perc":10,"rp_m3m3":120}</v>
      </c>
      <c r="G20" s="32" t="s">
        <v>113</v>
      </c>
      <c r="H20" s="1"/>
    </row>
    <row r="21" spans="3:21" x14ac:dyDescent="0.25">
      <c r="G21" s="32" t="s">
        <v>114</v>
      </c>
      <c r="H21" s="2" t="str">
        <f>[1]!encode_ESP_separation(H6, H7, H8,H9, H10, H11, H12, H13, H14, H15, H16, H17, H18, H19, H20)</f>
        <v>{"calc_mode":"by_correlation","natsep_model":"0","d_intake_mm":"92","d_cas_mm":"132","pkv_period_ratio":"0,3","gassep_type":"0","gassep_qnom_sm3day":"200","param":{"show_array":1,"gas_goes_into_solution":1,"calibr_li":2}}</v>
      </c>
    </row>
    <row r="26" spans="3:21" x14ac:dyDescent="0.25">
      <c r="H26" t="str" cm="1">
        <f t="array" ref="H26">[1]!well_ksep_full_d(H7,H8,feed_json,gas_separation_json)</f>
        <v>{"ksep_total_fr":0.961420074827096,"ksep_nat_fr":0.804402070289124,"ksep_gassep_fr":0.802759031090303,"q_gas_annulus_after_nat_sep_sm3day":-327.259926386018,"fluid":{"gamma_gas":0.8,"gamma_oil":0.86,"gamma_wat":1.1,"rsb_m3m3":120,"pb_atma":130,"t_res_C":80,"bob_m3m3":1.2,"muob_cP":0.6,"PVT_corr_set":0,"q_liq_sm3day":10,"fw_perc":10,"rp_m3m3":120},"fluid_gs":{"gamma_gas":0.8,"gamma_oil":0.86,"gamma_wat":1.1,"rsb_m3m3":37.423,"pb_atma":49.443,"t_res_C":80,"bob_m3m3":1.077,"muob_cP":1.169,"PVT_corr_set":0,"q_liq_sm3day":33.333,"fw_perc":10,"rp_m3m3":37.423},"fluid_tub":{"gamma_gas":0.8,"gamma_oil":0.86,"gamma_wat":1.1,"rsb_m3m3":32.751,"pb_atma":44.442,"t_res_C":80,"bob_m3m3":1.071,"muob_cP":1.248,"PVT_corr_set":0,"q_liq_sm3day":33.333,"fw_perc":10,"rp_m3m3":32.751},"fluid_cas":{"gamma_gas":0.8,"gamma_oil":0.86,"gamma_wat":1.1,"rsb_m3m3":120,"pb_atma":130,"t_res_C":80,"bob_m3m3":1.2,"muob_cP":0.6,"PVT_corr_set":0,"q_liq_sm3day":0,"fw_perc":10,"rp_m3m3":120,"q_gas_free_sm3day":795.435}}</v>
      </c>
    </row>
    <row r="30" spans="3:21" x14ac:dyDescent="0.25">
      <c r="G30" t="str" cm="1">
        <f t="array" ref="G30:H37">[1]!decode_json(H26)</f>
        <v>ksep_total_fr</v>
      </c>
      <c r="H30" s="25">
        <v>0.96142007482709602</v>
      </c>
      <c r="K30" t="str" cm="1">
        <f t="array" ref="K30:L41">[1]!decode_json(H34)</f>
        <v>gamma_gas</v>
      </c>
      <c r="L30">
        <v>0.8</v>
      </c>
      <c r="N30" t="str" cm="1">
        <f t="array" ref="N30:O41">[1]!decode_json(H35)</f>
        <v>gamma_gas</v>
      </c>
      <c r="O30">
        <v>0.8</v>
      </c>
      <c r="Q30" t="str" cm="1">
        <f t="array" ref="Q30:R41">[1]!decode_json(H36)</f>
        <v>gamma_gas</v>
      </c>
      <c r="R30">
        <v>0.8</v>
      </c>
      <c r="T30" t="str" cm="1">
        <f t="array" ref="T30:U42">[1]!decode_json(H37)</f>
        <v>gamma_gas</v>
      </c>
      <c r="U30">
        <v>0.8</v>
      </c>
    </row>
    <row r="31" spans="3:21" x14ac:dyDescent="0.25">
      <c r="G31" t="str">
        <v>ksep_nat_fr</v>
      </c>
      <c r="H31" s="25">
        <v>0.80440207028912403</v>
      </c>
      <c r="K31" t="str">
        <v>gamma_oil</v>
      </c>
      <c r="L31">
        <v>0.86</v>
      </c>
      <c r="N31" t="str">
        <v>gamma_oil</v>
      </c>
      <c r="O31">
        <v>0.86</v>
      </c>
      <c r="Q31" t="str">
        <v>gamma_oil</v>
      </c>
      <c r="R31">
        <v>0.86</v>
      </c>
      <c r="T31" t="str">
        <v>gamma_oil</v>
      </c>
      <c r="U31">
        <v>0.86</v>
      </c>
    </row>
    <row r="32" spans="3:21" x14ac:dyDescent="0.25">
      <c r="G32" t="str">
        <v>ksep_gassep_fr</v>
      </c>
      <c r="H32" s="25">
        <v>0.802759031090303</v>
      </c>
      <c r="K32" t="str">
        <v>gamma_wat</v>
      </c>
      <c r="L32">
        <v>1.1000000000000001</v>
      </c>
      <c r="N32" t="str">
        <v>gamma_wat</v>
      </c>
      <c r="O32">
        <v>1.1000000000000001</v>
      </c>
      <c r="Q32" t="str">
        <v>gamma_wat</v>
      </c>
      <c r="R32">
        <v>1.1000000000000001</v>
      </c>
      <c r="T32" t="str">
        <v>gamma_wat</v>
      </c>
      <c r="U32">
        <v>1.1000000000000001</v>
      </c>
    </row>
    <row r="33" spans="7:21" x14ac:dyDescent="0.25">
      <c r="G33" t="str">
        <v>q_gas_annulus_after_nat_sep_sm3day</v>
      </c>
      <c r="H33" s="33">
        <v>-327.25992638601798</v>
      </c>
      <c r="K33" t="str">
        <v>rsb_m3m3</v>
      </c>
      <c r="L33">
        <v>120</v>
      </c>
      <c r="N33" t="str">
        <v>rsb_m3m3</v>
      </c>
      <c r="O33">
        <v>37.423000000000002</v>
      </c>
      <c r="Q33" t="str">
        <v>rsb_m3m3</v>
      </c>
      <c r="R33">
        <v>32.750999999999998</v>
      </c>
      <c r="T33" t="str">
        <v>rsb_m3m3</v>
      </c>
      <c r="U33">
        <v>120</v>
      </c>
    </row>
    <row r="34" spans="7:21" x14ac:dyDescent="0.25">
      <c r="G34" t="str">
        <v>fluid</v>
      </c>
      <c r="H34" t="str">
        <v>{"gamma_gas":0.8,"gamma_oil":0.86,"gamma_wat":1.1,"rsb_m3m3":120,"pb_atma":130,"t_res_C":80,"bob_m3m3":1.2,"muob_cP":0.6,"PVT_corr_set":0,"q_liq_sm3day":10,"fw_perc":10,"rp_m3m3":120}</v>
      </c>
      <c r="K34" t="str">
        <v>pb_atma</v>
      </c>
      <c r="L34">
        <v>130</v>
      </c>
      <c r="N34" t="str">
        <v>pb_atma</v>
      </c>
      <c r="O34">
        <v>49.442999999999998</v>
      </c>
      <c r="Q34" t="str">
        <v>pb_atma</v>
      </c>
      <c r="R34">
        <v>44.442</v>
      </c>
      <c r="T34" t="str">
        <v>pb_atma</v>
      </c>
      <c r="U34">
        <v>130</v>
      </c>
    </row>
    <row r="35" spans="7:21" x14ac:dyDescent="0.25">
      <c r="G35" t="str">
        <v>fluid_gs</v>
      </c>
      <c r="H35" t="str">
        <v>{"gamma_gas":0.8,"gamma_oil":0.86,"gamma_wat":1.1,"rsb_m3m3":37.423,"pb_atma":49.443,"t_res_C":80,"bob_m3m3":1.077,"muob_cP":1.169,"PVT_corr_set":0,"q_liq_sm3day":33.333,"fw_perc":10,"rp_m3m3":37.423}</v>
      </c>
      <c r="K35" t="str">
        <v>t_res_C</v>
      </c>
      <c r="L35">
        <v>80</v>
      </c>
      <c r="N35" t="str">
        <v>t_res_C</v>
      </c>
      <c r="O35">
        <v>80</v>
      </c>
      <c r="Q35" t="str">
        <v>t_res_C</v>
      </c>
      <c r="R35">
        <v>80</v>
      </c>
      <c r="T35" t="str">
        <v>t_res_C</v>
      </c>
      <c r="U35">
        <v>80</v>
      </c>
    </row>
    <row r="36" spans="7:21" x14ac:dyDescent="0.25">
      <c r="G36" t="str">
        <v>fluid_tub</v>
      </c>
      <c r="H36" t="str">
        <v>{"gamma_gas":0.8,"gamma_oil":0.86,"gamma_wat":1.1,"rsb_m3m3":32.751,"pb_atma":44.442,"t_res_C":80,"bob_m3m3":1.071,"muob_cP":1.248,"PVT_corr_set":0,"q_liq_sm3day":33.333,"fw_perc":10,"rp_m3m3":32.751}</v>
      </c>
      <c r="K36" t="str">
        <v>bob_m3m3</v>
      </c>
      <c r="L36">
        <v>1.2</v>
      </c>
      <c r="N36" t="str">
        <v>bob_m3m3</v>
      </c>
      <c r="O36">
        <v>1.077</v>
      </c>
      <c r="Q36" t="str">
        <v>bob_m3m3</v>
      </c>
      <c r="R36">
        <v>1.071</v>
      </c>
      <c r="T36" t="str">
        <v>bob_m3m3</v>
      </c>
      <c r="U36">
        <v>1.2</v>
      </c>
    </row>
    <row r="37" spans="7:21" x14ac:dyDescent="0.25">
      <c r="G37" t="str">
        <v>fluid_cas</v>
      </c>
      <c r="H37" t="str">
        <v>{"gamma_gas":0.8,"gamma_oil":0.86,"gamma_wat":1.1,"rsb_m3m3":120,"pb_atma":130,"t_res_C":80,"bob_m3m3":1.2,"muob_cP":0.6,"PVT_corr_set":0,"q_liq_sm3day":0,"fw_perc":10,"rp_m3m3":120,"q_gas_free_sm3day":795.435}</v>
      </c>
      <c r="K37" t="str">
        <v>muob_cP</v>
      </c>
      <c r="L37">
        <v>0.6</v>
      </c>
      <c r="N37" t="str">
        <v>muob_cP</v>
      </c>
      <c r="O37">
        <v>1.169</v>
      </c>
      <c r="Q37" t="str">
        <v>muob_cP</v>
      </c>
      <c r="R37">
        <v>1.248</v>
      </c>
      <c r="T37" t="str">
        <v>muob_cP</v>
      </c>
      <c r="U37">
        <v>0.6</v>
      </c>
    </row>
    <row r="38" spans="7:21" x14ac:dyDescent="0.25">
      <c r="K38" t="str">
        <v>PVT_corr_set</v>
      </c>
      <c r="L38">
        <v>0</v>
      </c>
      <c r="N38" t="str">
        <v>PVT_corr_set</v>
      </c>
      <c r="O38">
        <v>0</v>
      </c>
      <c r="Q38" t="str">
        <v>PVT_corr_set</v>
      </c>
      <c r="R38">
        <v>0</v>
      </c>
      <c r="T38" t="str">
        <v>PVT_corr_set</v>
      </c>
      <c r="U38">
        <v>0</v>
      </c>
    </row>
    <row r="39" spans="7:21" x14ac:dyDescent="0.25">
      <c r="K39" t="str">
        <v>q_liq_sm3day</v>
      </c>
      <c r="L39">
        <v>10</v>
      </c>
      <c r="N39" t="str">
        <v>q_liq_sm3day</v>
      </c>
      <c r="O39">
        <v>33.332999999999998</v>
      </c>
      <c r="Q39" t="str">
        <v>q_liq_sm3day</v>
      </c>
      <c r="R39">
        <v>33.332999999999998</v>
      </c>
      <c r="T39" t="str">
        <v>q_liq_sm3day</v>
      </c>
      <c r="U39">
        <v>0</v>
      </c>
    </row>
    <row r="40" spans="7:21" x14ac:dyDescent="0.25">
      <c r="K40" t="str">
        <v>fw_perc</v>
      </c>
      <c r="L40">
        <v>10</v>
      </c>
      <c r="N40" t="str">
        <v>fw_perc</v>
      </c>
      <c r="O40">
        <v>10</v>
      </c>
      <c r="Q40" t="str">
        <v>fw_perc</v>
      </c>
      <c r="R40">
        <v>10</v>
      </c>
      <c r="T40" t="str">
        <v>fw_perc</v>
      </c>
      <c r="U40">
        <v>10</v>
      </c>
    </row>
    <row r="41" spans="7:21" x14ac:dyDescent="0.25">
      <c r="K41" t="str">
        <v>rp_m3m3</v>
      </c>
      <c r="L41">
        <v>120</v>
      </c>
      <c r="N41" t="str">
        <v>rp_m3m3</v>
      </c>
      <c r="O41">
        <v>37.423000000000002</v>
      </c>
      <c r="Q41" t="str">
        <v>rp_m3m3</v>
      </c>
      <c r="R41">
        <v>32.750999999999998</v>
      </c>
      <c r="T41" t="str">
        <v>rp_m3m3</v>
      </c>
      <c r="U41">
        <v>120</v>
      </c>
    </row>
    <row r="42" spans="7:21" x14ac:dyDescent="0.25">
      <c r="T42" t="str">
        <v>q_gas_free_sm3day</v>
      </c>
      <c r="U42">
        <v>795.43499999999995</v>
      </c>
    </row>
    <row r="45" spans="7:21" x14ac:dyDescent="0.25">
      <c r="G45" s="32" t="s">
        <v>115</v>
      </c>
      <c r="H45" s="1">
        <v>1</v>
      </c>
    </row>
    <row r="46" spans="7:21" x14ac:dyDescent="0.25">
      <c r="G46" s="32" t="s">
        <v>116</v>
      </c>
      <c r="H46" s="1">
        <v>250</v>
      </c>
    </row>
    <row r="47" spans="7:21" x14ac:dyDescent="0.25">
      <c r="G47" s="32" t="s">
        <v>117</v>
      </c>
      <c r="H47" s="1">
        <v>25</v>
      </c>
    </row>
    <row r="48" spans="7:21" x14ac:dyDescent="0.25">
      <c r="G48" s="32" t="s">
        <v>118</v>
      </c>
      <c r="H48" s="2" t="str">
        <f>[1]!encode_linspace(H45,H46,H47)</f>
        <v>[1,10.96,20.92,30.88,40.84,50.8,60.76,70.72,80.68,90.64,100.6,110.56,120.52,130.48,140.44,150.4,160.36,170.32,180.28,190.24,200.2,210.16,220.12,230.08,240.04,250]</v>
      </c>
    </row>
    <row r="50" spans="7:8" x14ac:dyDescent="0.25">
      <c r="H50" s="34">
        <f>H30</f>
        <v>0.96142007482709602</v>
      </c>
    </row>
    <row r="51" spans="7:8" x14ac:dyDescent="0.25">
      <c r="G51">
        <f t="array" ref="G51:G76">[1]!decode_json($H$48)</f>
        <v>1</v>
      </c>
      <c r="H51">
        <f t="dataTable" ref="H51:H76" dt2D="0" dtr="0" r1="D16"/>
        <v>0.99515799896101598</v>
      </c>
    </row>
    <row r="52" spans="7:8" x14ac:dyDescent="0.25">
      <c r="G52">
        <v>10.96</v>
      </c>
      <c r="H52">
        <v>0.95692932370412498</v>
      </c>
    </row>
    <row r="53" spans="7:8" x14ac:dyDescent="0.25">
      <c r="G53">
        <v>20.92</v>
      </c>
      <c r="H53">
        <v>0.10952952801881299</v>
      </c>
    </row>
    <row r="54" spans="7:8" x14ac:dyDescent="0.25">
      <c r="G54">
        <v>30.88</v>
      </c>
      <c r="H54">
        <v>7.9866276375778304E-3</v>
      </c>
    </row>
    <row r="55" spans="7:8" x14ac:dyDescent="0.25">
      <c r="G55">
        <v>40.840000000000003</v>
      </c>
      <c r="H55">
        <v>5.4405907504374599E-3</v>
      </c>
    </row>
    <row r="56" spans="7:8" x14ac:dyDescent="0.25">
      <c r="G56">
        <v>50.8</v>
      </c>
      <c r="H56">
        <v>4.88848686692352E-3</v>
      </c>
    </row>
    <row r="57" spans="7:8" x14ac:dyDescent="0.25">
      <c r="G57">
        <v>60.76</v>
      </c>
      <c r="H57">
        <v>4.4436411169249696E-3</v>
      </c>
    </row>
    <row r="58" spans="7:8" x14ac:dyDescent="0.25">
      <c r="G58">
        <v>70.72</v>
      </c>
      <c r="H58">
        <v>4.08519722588397E-3</v>
      </c>
    </row>
    <row r="59" spans="7:8" x14ac:dyDescent="0.25">
      <c r="G59">
        <v>80.680000000000007</v>
      </c>
      <c r="H59">
        <v>3.7969862887875E-3</v>
      </c>
    </row>
    <row r="60" spans="7:8" x14ac:dyDescent="0.25">
      <c r="G60">
        <v>90.64</v>
      </c>
      <c r="H60">
        <v>3.5660046788571001E-3</v>
      </c>
    </row>
    <row r="61" spans="7:8" x14ac:dyDescent="0.25">
      <c r="G61">
        <v>100.6</v>
      </c>
      <c r="H61">
        <v>3.3815182221466002E-3</v>
      </c>
    </row>
    <row r="62" spans="7:8" x14ac:dyDescent="0.25">
      <c r="G62">
        <v>110.56</v>
      </c>
      <c r="H62">
        <v>3.2344946556884498E-3</v>
      </c>
    </row>
    <row r="63" spans="7:8" x14ac:dyDescent="0.25">
      <c r="G63">
        <v>120.52</v>
      </c>
      <c r="H63">
        <v>3.1172231874639399E-3</v>
      </c>
    </row>
    <row r="64" spans="7:8" x14ac:dyDescent="0.25">
      <c r="G64">
        <v>130.47999999999999</v>
      </c>
      <c r="H64">
        <v>3.0230477780494301E-3</v>
      </c>
    </row>
    <row r="65" spans="7:8" x14ac:dyDescent="0.25">
      <c r="G65">
        <v>140.44</v>
      </c>
      <c r="H65">
        <v>2.94617317860293E-3</v>
      </c>
    </row>
    <row r="66" spans="7:8" x14ac:dyDescent="0.25">
      <c r="G66">
        <v>150.4</v>
      </c>
      <c r="H66">
        <v>2.8815195128497799E-3</v>
      </c>
    </row>
    <row r="67" spans="7:8" x14ac:dyDescent="0.25">
      <c r="G67">
        <v>160.36000000000001</v>
      </c>
      <c r="H67">
        <v>2.82461040772741E-3</v>
      </c>
    </row>
    <row r="68" spans="7:8" x14ac:dyDescent="0.25">
      <c r="G68">
        <v>170.32</v>
      </c>
      <c r="H68">
        <v>2.77148501598703E-3</v>
      </c>
    </row>
    <row r="69" spans="7:8" x14ac:dyDescent="0.25">
      <c r="G69">
        <v>180.28</v>
      </c>
      <c r="H69">
        <v>2.71862750343097E-3</v>
      </c>
    </row>
    <row r="70" spans="7:8" x14ac:dyDescent="0.25">
      <c r="G70">
        <v>190.24</v>
      </c>
      <c r="H70">
        <v>2.6629096025419601E-3</v>
      </c>
    </row>
    <row r="71" spans="7:8" x14ac:dyDescent="0.25">
      <c r="G71">
        <v>200.2</v>
      </c>
      <c r="H71">
        <v>2.6015431561535098E-3</v>
      </c>
    </row>
    <row r="72" spans="7:8" x14ac:dyDescent="0.25">
      <c r="G72">
        <v>210.16</v>
      </c>
      <c r="H72">
        <v>2.5320404738053801E-3</v>
      </c>
    </row>
    <row r="73" spans="7:8" x14ac:dyDescent="0.25">
      <c r="G73">
        <v>220.12</v>
      </c>
      <c r="H73">
        <v>2.4521809815804701E-3</v>
      </c>
    </row>
    <row r="74" spans="7:8" x14ac:dyDescent="0.25">
      <c r="G74">
        <v>230.08</v>
      </c>
      <c r="H74">
        <v>2.1361313636318398E-3</v>
      </c>
    </row>
    <row r="75" spans="7:8" x14ac:dyDescent="0.25">
      <c r="G75">
        <v>240.04</v>
      </c>
      <c r="H75">
        <v>1.9851104723910898E-3</v>
      </c>
    </row>
    <row r="76" spans="7:8" x14ac:dyDescent="0.25">
      <c r="G76">
        <v>250</v>
      </c>
      <c r="H76">
        <v>1.81257773477359E-3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B1:AF75"/>
  <sheetViews>
    <sheetView zoomScale="70" zoomScaleNormal="70" workbookViewId="0">
      <selection activeCell="O18" sqref="O18"/>
    </sheetView>
  </sheetViews>
  <sheetFormatPr defaultRowHeight="15" x14ac:dyDescent="0.25"/>
  <cols>
    <col min="4" max="4" width="18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1" max="23" width="10.140625" bestFit="1" customWidth="1"/>
    <col min="24" max="24" width="11.140625" bestFit="1" customWidth="1"/>
    <col min="25" max="25" width="10.140625" bestFit="1" customWidth="1"/>
  </cols>
  <sheetData>
    <row r="1" spans="2:15" x14ac:dyDescent="0.25">
      <c r="B1" t="s">
        <v>59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125</v>
      </c>
      <c r="J6" s="13" t="s">
        <v>18</v>
      </c>
      <c r="K6" s="13">
        <f>dcas/1000</f>
        <v>0.125</v>
      </c>
      <c r="M6" s="13" t="s">
        <v>19</v>
      </c>
      <c r="N6" s="14" cm="1">
        <f t="array" ref="N6">[1]!feed_rho_liq_kgm3(p,t,feed_json)</f>
        <v>712.7468421788584</v>
      </c>
      <c r="O6" s="13" t="s">
        <v>28</v>
      </c>
    </row>
    <row r="7" spans="2:15" x14ac:dyDescent="0.25">
      <c r="D7" s="1" t="s">
        <v>1</v>
      </c>
      <c r="E7" s="1">
        <v>0.82</v>
      </c>
      <c r="H7" s="9" t="s">
        <v>25</v>
      </c>
      <c r="I7" s="12">
        <v>73</v>
      </c>
      <c r="J7" s="13" t="s">
        <v>18</v>
      </c>
      <c r="K7" s="13">
        <f>dintake/1000</f>
        <v>7.2999999999999995E-2</v>
      </c>
      <c r="M7" s="13" t="s">
        <v>20</v>
      </c>
      <c r="N7" s="14" cm="1">
        <f t="array" ref="N7">[1]!PVT_rho_gas_kgm3(p,t,PVT_json)</f>
        <v>116.32084897430778</v>
      </c>
      <c r="O7" s="13" t="s">
        <v>28</v>
      </c>
    </row>
    <row r="8" spans="2:15" x14ac:dyDescent="0.25">
      <c r="D8" s="1" t="s">
        <v>2</v>
      </c>
      <c r="E8" s="1">
        <v>1.1000000000000001</v>
      </c>
      <c r="H8" s="10" t="s">
        <v>45</v>
      </c>
      <c r="I8" s="12">
        <v>200</v>
      </c>
      <c r="J8" s="13" t="s">
        <v>35</v>
      </c>
      <c r="K8" s="13">
        <f>I8/1000</f>
        <v>0.2</v>
      </c>
      <c r="M8" s="13" t="s">
        <v>21</v>
      </c>
      <c r="N8" s="15" cm="1">
        <f t="array" ref="N8">[1]!feed_ST_liqgas_Nm(p,t,feed_json)*calibr_st</f>
        <v>2.3693872187412611E-2</v>
      </c>
      <c r="O8" s="13" t="s">
        <v>29</v>
      </c>
    </row>
    <row r="9" spans="2:15" x14ac:dyDescent="0.25">
      <c r="D9" s="1" t="s">
        <v>3</v>
      </c>
      <c r="E9" s="1">
        <v>120</v>
      </c>
      <c r="H9" s="10" t="s">
        <v>26</v>
      </c>
      <c r="I9" s="12">
        <v>100</v>
      </c>
      <c r="M9" s="13" t="s">
        <v>22</v>
      </c>
      <c r="N9" s="16" cm="1">
        <f t="array" ref="N9">[1]!feed_q_liq_rc_m3day(p,t,feed_json)</f>
        <v>76.822045931694333</v>
      </c>
      <c r="O9" s="13" t="s">
        <v>57</v>
      </c>
    </row>
    <row r="10" spans="2:15" x14ac:dyDescent="0.25">
      <c r="D10" s="1" t="s">
        <v>4</v>
      </c>
      <c r="E10" s="1"/>
      <c r="H10" s="10" t="s">
        <v>27</v>
      </c>
      <c r="I10" s="12">
        <v>60</v>
      </c>
      <c r="M10" s="13" t="s">
        <v>23</v>
      </c>
      <c r="N10" s="16" cm="1">
        <f t="array" ref="N10">[1]!feed_q_gas_rc_m3day(p,t,feed_json)</f>
        <v>13.499589852653768</v>
      </c>
      <c r="O10" s="13" t="s">
        <v>57</v>
      </c>
    </row>
    <row r="11" spans="2:15" x14ac:dyDescent="0.25">
      <c r="D11" s="1" t="s">
        <v>5</v>
      </c>
      <c r="E11" s="1"/>
      <c r="H11" s="10" t="s">
        <v>48</v>
      </c>
      <c r="I11" s="12">
        <v>2</v>
      </c>
      <c r="M11" s="13" t="s">
        <v>30</v>
      </c>
      <c r="N11" s="15" cm="1">
        <f t="array" ref="N11">[1]!feed_mu_liq_cP(p,t,feed_json)</f>
        <v>1.7967811455081182</v>
      </c>
      <c r="O11" s="13" t="s">
        <v>58</v>
      </c>
    </row>
    <row r="12" spans="2:15" x14ac:dyDescent="0.25">
      <c r="D12" s="1" t="s">
        <v>6</v>
      </c>
      <c r="E12" s="1"/>
      <c r="H12" s="11" t="s">
        <v>49</v>
      </c>
      <c r="I12" s="12">
        <v>1</v>
      </c>
      <c r="M12" s="13" t="s">
        <v>31</v>
      </c>
      <c r="N12" s="15" cm="1">
        <f t="array" ref="N12">[1]!PVT_mu_gas_cP(p,t,PVT_json)</f>
        <v>1.6103282892022303E-2</v>
      </c>
      <c r="O12" s="13" t="s">
        <v>58</v>
      </c>
    </row>
    <row r="13" spans="2:15" x14ac:dyDescent="0.25">
      <c r="D13" s="1" t="s">
        <v>7</v>
      </c>
      <c r="E13" s="1">
        <v>1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{"gamma_gas":0.81,"gamma_oil":0.82,"gamma_wat":1.1,"rsb_m3m3":120,"muob_cP":1,"PVT_corr_set":1}</v>
      </c>
      <c r="F15" t="s">
        <v>56</v>
      </c>
    </row>
    <row r="16" spans="2:15" x14ac:dyDescent="0.25">
      <c r="D16" s="1" t="s">
        <v>10</v>
      </c>
      <c r="E16" s="1">
        <v>60</v>
      </c>
    </row>
    <row r="17" spans="4:25" x14ac:dyDescent="0.25">
      <c r="D17" s="1" t="s">
        <v>11</v>
      </c>
      <c r="E17" s="1">
        <v>0</v>
      </c>
    </row>
    <row r="18" spans="4:25" x14ac:dyDescent="0.25">
      <c r="D18" s="1" t="s">
        <v>12</v>
      </c>
      <c r="E18" s="1">
        <v>120</v>
      </c>
    </row>
    <row r="19" spans="4:25" x14ac:dyDescent="0.25">
      <c r="D19" s="1" t="s">
        <v>13</v>
      </c>
      <c r="E19" s="1">
        <v>0</v>
      </c>
    </row>
    <row r="20" spans="4:25" x14ac:dyDescent="0.25">
      <c r="D20" s="1" t="s">
        <v>14</v>
      </c>
      <c r="E20" s="2" t="str">
        <f>[1]!encode_feed(E16,E17,E18,E19,E15)</f>
        <v>{"gamma_gas":0.81,"gamma_oil":0.82,"gamma_wat":1.1,"rsb_m3m3":120,"muob_cP":1,"PVT_corr_set":1,"q_liq_sm3day":60,"fw_perc":0,"rp_m3m3":120}</v>
      </c>
      <c r="F20" t="s">
        <v>56</v>
      </c>
    </row>
    <row r="23" spans="4:25" x14ac:dyDescent="0.25">
      <c r="I23" s="4"/>
    </row>
    <row r="26" spans="4:25" x14ac:dyDescent="0.25">
      <c r="E26" t="s">
        <v>46</v>
      </c>
    </row>
    <row r="28" spans="4:25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33</v>
      </c>
      <c r="P28" s="13" t="s">
        <v>34</v>
      </c>
    </row>
    <row r="29" spans="4:25" x14ac:dyDescent="0.25">
      <c r="F29" s="1">
        <v>2</v>
      </c>
      <c r="G29" s="13" t="str">
        <f>[1]!encode_feed(F29,$E$17,$E$18,$E$19,$E$15)</f>
        <v>{"gamma_gas":0.81,"gamma_oil":0.82,"gamma_wat":1.1,"rsb_m3m3":120,"muob_cP":1,"PVT_corr_set":1,"q_liq_sm3day":2,"fw_perc":0,"rp_m3m3":120}</v>
      </c>
      <c r="H29" s="14" cm="1">
        <f t="array" ref="H29">[1]!feed_rho_liq_kgm3(p,t,G29)</f>
        <v>712.7468421788584</v>
      </c>
      <c r="I29" s="14" cm="1">
        <f t="array" ref="I29">[1]!PVT_rho_gas_kgm3(p,t,PVT_json)</f>
        <v>116.32084897430778</v>
      </c>
      <c r="J29" s="15" cm="1">
        <f t="array" ref="J29">[1]!feed_ST_liqgas_Nm(p,t,G29)</f>
        <v>2.3693872187412611E-2</v>
      </c>
      <c r="K29" s="17" cm="1">
        <f t="array" ref="K29">[1]!feed_q_liq_rc_m3day(p,t,G29)</f>
        <v>2.5607348643898113</v>
      </c>
      <c r="L29" s="17" cm="1">
        <f t="array" ref="L29">[1]!feed_q_gas_rc_m3day(p,t,G29)</f>
        <v>0.44998632842179231</v>
      </c>
      <c r="M29" s="16" cm="1">
        <f t="array" ref="M29">[1]!feed_mu_liq_cP(p,t,G29)</f>
        <v>1.7967811455081182</v>
      </c>
      <c r="N29" s="16" cm="1">
        <f t="array" ref="N29">[1]!PVT_mu_gas_cP(p,t,G29)</f>
        <v>1.6103282892022303E-2</v>
      </c>
      <c r="O29" s="18" cm="1">
        <f t="array" ref="O29">[1]!unf_ksep_ESP_natural_simplified_Marquez(dintake_m,dcas_m,K29,L29,J29,H29,I29,1)</f>
        <v>0.97531811431639082</v>
      </c>
      <c r="P29" s="18" cm="1">
        <f t="array" ref="P29">[1]!unf_ksep_ESP_natural_mechanistic_Marquez(dintake_m,dcas_m,K29,L29,J29,H29,I29,M29,N29,1,hint,calibr_li,calibr_st)</f>
        <v>0.96918421088263473</v>
      </c>
      <c r="R29" s="6">
        <f t="array" ref="R29:Y29">[1]!unf_ksep_ESP_natural_mechanistic_Marquez(dintake_m,dcas_m,K29,L29,J29,H29,I29,M29,N29,0,hint,calibr_li,calibr_st)</f>
        <v>0.96918421088263473</v>
      </c>
      <c r="S29" s="6">
        <v>0</v>
      </c>
      <c r="T29" s="5">
        <v>1.3941558775465576E-3</v>
      </c>
      <c r="U29" s="6">
        <v>0.19664784102492083</v>
      </c>
      <c r="V29" s="6">
        <v>3.6651324792824863E-3</v>
      </c>
      <c r="W29" s="6">
        <v>6.4405711441148481E-4</v>
      </c>
      <c r="X29" s="6">
        <v>0.1918831688018536</v>
      </c>
      <c r="Y29" s="8" t="e">
        <v>#N/A</v>
      </c>
    </row>
    <row r="30" spans="4:25" x14ac:dyDescent="0.25">
      <c r="F30" s="1">
        <v>10</v>
      </c>
      <c r="G30" s="13" t="str">
        <f>[1]!encode_feed(F30,$E$17,$E$18,$E$19,$E$15)</f>
        <v>{"gamma_gas":0.81,"gamma_oil":0.82,"gamma_wat":1.1,"rsb_m3m3":120,"muob_cP":1,"PVT_corr_set":1,"q_liq_sm3day":10,"fw_perc":0,"rp_m3m3":120}</v>
      </c>
      <c r="H30" s="14" cm="1">
        <f t="array" ref="H30">[1]!feed_rho_liq_kgm3(p,t,G30)</f>
        <v>712.7468421788584</v>
      </c>
      <c r="I30" s="14" cm="1">
        <f t="array" ref="I30">[1]!PVT_rho_gas_kgm3(p,t,PVT_json)</f>
        <v>116.32084897430778</v>
      </c>
      <c r="J30" s="15" cm="1">
        <f t="array" ref="J30">[1]!feed_ST_liqgas_Nm(p,t,G30)</f>
        <v>2.3693872187412611E-2</v>
      </c>
      <c r="K30" s="17" cm="1">
        <f t="array" ref="K30">[1]!feed_q_liq_rc_m3day(p,t,G30)</f>
        <v>12.803674321949057</v>
      </c>
      <c r="L30" s="17" cm="1">
        <f t="array" ref="L30">[1]!feed_q_gas_rc_m3day(p,t,G30)</f>
        <v>2.2499316421089617</v>
      </c>
      <c r="M30" s="16" cm="1">
        <f t="array" ref="M30">[1]!feed_mu_liq_cP(p,t,G30)</f>
        <v>1.7967811455081182</v>
      </c>
      <c r="N30" s="16" cm="1">
        <f t="array" ref="N30">[1]!PVT_mu_gas_cP(p,t,G30)</f>
        <v>1.6103282892022303E-2</v>
      </c>
      <c r="O30" s="18" cm="1">
        <f t="array" ref="O30">[1]!unf_ksep_ESP_natural_simplified_Marquez(dintake_m,dcas_m,K30,L30,J30,H30,I30,1)</f>
        <v>0.92421907951868054</v>
      </c>
      <c r="P30" s="18" cm="1">
        <f t="array" ref="P30">[1]!unf_ksep_ESP_natural_mechanistic_Marquez(dintake_m,dcas_m,K30,L30,J30,H30,I30,M30,N30,1,hint,calibr_li,calibr_st)</f>
        <v>0.86066864393382203</v>
      </c>
      <c r="R30" s="6">
        <f t="array" ref="R30:Y30">[1]!unf_ksep_ESP_natural_mechanistic_Marquez(dintake_m,dcas_m,K30,L30,J30,H30,I30,M30,N30,0,hint,calibr_li,calibr_st)</f>
        <v>0.86066864393382203</v>
      </c>
      <c r="S30" s="6">
        <v>0</v>
      </c>
      <c r="T30" s="5">
        <v>1.3899687053988312E-3</v>
      </c>
      <c r="U30" s="6">
        <v>0.19664784102492083</v>
      </c>
      <c r="V30" s="6">
        <v>1.8325662396412434E-2</v>
      </c>
      <c r="W30" s="6">
        <v>3.2202855720574242E-3</v>
      </c>
      <c r="X30" s="6">
        <v>0.17282447990958466</v>
      </c>
      <c r="Y30" s="8" t="e">
        <v>#N/A</v>
      </c>
    </row>
    <row r="31" spans="4:25" x14ac:dyDescent="0.25">
      <c r="F31" s="1">
        <v>30</v>
      </c>
      <c r="G31" s="13" t="str">
        <f>[1]!encode_feed(F31,$E$17,$E$18,$E$19,$E$15)</f>
        <v>{"gamma_gas":0.81,"gamma_oil":0.82,"gamma_wat":1.1,"rsb_m3m3":120,"muob_cP":1,"PVT_corr_set":1,"q_liq_sm3day":30,"fw_perc":0,"rp_m3m3":120}</v>
      </c>
      <c r="H31" s="14" cm="1">
        <f t="array" ref="H31">[1]!feed_rho_liq_kgm3(p,t,G31)</f>
        <v>712.7468421788584</v>
      </c>
      <c r="I31" s="14" cm="1">
        <f t="array" ref="I31">[1]!PVT_rho_gas_kgm3(p,t,PVT_json)</f>
        <v>116.32084897430778</v>
      </c>
      <c r="J31" s="15" cm="1">
        <f t="array" ref="J31">[1]!feed_ST_liqgas_Nm(p,t,G31)</f>
        <v>2.3693872187412611E-2</v>
      </c>
      <c r="K31" s="17" cm="1">
        <f t="array" ref="K31">[1]!feed_q_liq_rc_m3day(p,t,G31)</f>
        <v>38.411022965847167</v>
      </c>
      <c r="L31" s="17" cm="1">
        <f t="array" ref="L31">[1]!feed_q_gas_rc_m3day(p,t,G31)</f>
        <v>6.7497949263268842</v>
      </c>
      <c r="M31" s="16" cm="1">
        <f t="array" ref="M31">[1]!feed_mu_liq_cP(p,t,G31)</f>
        <v>1.7967811455081182</v>
      </c>
      <c r="N31" s="16" cm="1">
        <f t="array" ref="N31">[1]!PVT_mu_gas_cP(p,t,G31)</f>
        <v>1.6103282892022303E-2</v>
      </c>
      <c r="O31" s="18" cm="1">
        <f t="array" ref="O31">[1]!unf_ksep_ESP_natural_simplified_Marquez(dintake_m,dcas_m,K31,L31,J31,H31,I31,1)</f>
        <v>0.81204441723443999</v>
      </c>
      <c r="P31" s="18" cm="1">
        <f t="array" ref="P31">[1]!unf_ksep_ESP_natural_mechanistic_Marquez(dintake_m,dcas_m,K31,L31,J31,H31,I31,M31,N31,1,hint,calibr_li,calibr_st)</f>
        <v>0.6664219015224071</v>
      </c>
      <c r="R31" s="6">
        <f t="array" ref="R31:Y31">[1]!unf_ksep_ESP_natural_mechanistic_Marquez(dintake_m,dcas_m,K31,L31,J31,H31,I31,M31,N31,0,hint,calibr_li,calibr_st)</f>
        <v>0.6664219015224071</v>
      </c>
      <c r="S31" s="6">
        <v>3</v>
      </c>
      <c r="T31" s="5">
        <v>1.3803453742746593E-3</v>
      </c>
      <c r="U31" s="6">
        <v>0.18122448094453489</v>
      </c>
      <c r="V31" s="6">
        <v>5.497698718923729E-2</v>
      </c>
      <c r="W31" s="6">
        <v>9.6608567161722714E-3</v>
      </c>
      <c r="X31" s="6">
        <v>0.12517775767891234</v>
      </c>
      <c r="Y31" s="8" t="e">
        <v>#N/A</v>
      </c>
    </row>
    <row r="32" spans="4:25" x14ac:dyDescent="0.25">
      <c r="F32" s="1">
        <v>50</v>
      </c>
      <c r="G32" s="13" t="str">
        <f>[1]!encode_feed(F32,$E$17,$E$18,$E$19,$E$15)</f>
        <v>{"gamma_gas":0.81,"gamma_oil":0.82,"gamma_wat":1.1,"rsb_m3m3":120,"muob_cP":1,"PVT_corr_set":1,"q_liq_sm3day":50,"fw_perc":0,"rp_m3m3":120}</v>
      </c>
      <c r="H32" s="14" cm="1">
        <f t="array" ref="H32">[1]!feed_rho_liq_kgm3(p,t,G32)</f>
        <v>712.7468421788584</v>
      </c>
      <c r="I32" s="14" cm="1">
        <f t="array" ref="I32">[1]!PVT_rho_gas_kgm3(p,t,PVT_json)</f>
        <v>116.32084897430778</v>
      </c>
      <c r="J32" s="15" cm="1">
        <f t="array" ref="J32">[1]!feed_ST_liqgas_Nm(p,t,G32)</f>
        <v>2.3693872187412611E-2</v>
      </c>
      <c r="K32" s="17" cm="1">
        <f t="array" ref="K32">[1]!feed_q_liq_rc_m3day(p,t,G32)</f>
        <v>64.018371609745287</v>
      </c>
      <c r="L32" s="17" cm="1">
        <f t="array" ref="L32">[1]!feed_q_gas_rc_m3day(p,t,G32)</f>
        <v>11.249658210544808</v>
      </c>
      <c r="M32" s="16" cm="1">
        <f t="array" ref="M32">[1]!feed_mu_liq_cP(p,t,G32)</f>
        <v>1.7967811455081182</v>
      </c>
      <c r="N32" s="16" cm="1">
        <f t="array" ref="N32">[1]!PVT_mu_gas_cP(p,t,G32)</f>
        <v>1.6103282892022303E-2</v>
      </c>
      <c r="O32" s="18" cm="1">
        <f t="array" ref="O32">[1]!unf_ksep_ESP_natural_simplified_Marquez(dintake_m,dcas_m,K32,L32,J32,H32,I32,1)</f>
        <v>0.72751989425767538</v>
      </c>
      <c r="P32" s="18" cm="1">
        <f t="array" ref="P32">[1]!unf_ksep_ESP_natural_mechanistic_Marquez(dintake_m,dcas_m,K32,L32,J32,H32,I32,M32,N32,1,hint,calibr_li,calibr_st)</f>
        <v>0.53734368128808363</v>
      </c>
      <c r="R32" s="6">
        <f t="array" ref="R32:Y32">[1]!unf_ksep_ESP_natural_mechanistic_Marquez(dintake_m,dcas_m,K32,L32,J32,H32,I32,M32,N32,0,hint,calibr_li,calibr_st)</f>
        <v>0.53734368128808363</v>
      </c>
      <c r="S32" s="6">
        <v>3</v>
      </c>
      <c r="T32" s="5">
        <v>1.3718407036138521E-3</v>
      </c>
      <c r="U32" s="6">
        <v>0.18122448094453489</v>
      </c>
      <c r="V32" s="6">
        <v>9.1628311982062172E-2</v>
      </c>
      <c r="W32" s="6">
        <v>1.6101427860287121E-2</v>
      </c>
      <c r="X32" s="6">
        <v>7.7531035448240013E-2</v>
      </c>
      <c r="Y32" s="8" t="e">
        <v>#N/A</v>
      </c>
    </row>
    <row r="33" spans="5:25" x14ac:dyDescent="0.25">
      <c r="F33" s="1">
        <v>70</v>
      </c>
      <c r="G33" s="13" t="str">
        <f>[1]!encode_feed(F33,$E$17,$E$18,$E$19,$E$15)</f>
        <v>{"gamma_gas":0.81,"gamma_oil":0.82,"gamma_wat":1.1,"rsb_m3m3":120,"muob_cP":1,"PVT_corr_set":1,"q_liq_sm3day":70,"fw_perc":0,"rp_m3m3":120}</v>
      </c>
      <c r="H33" s="14" cm="1">
        <f t="array" ref="H33">[1]!feed_rho_liq_kgm3(p,t,G33)</f>
        <v>712.7468421788584</v>
      </c>
      <c r="I33" s="14" cm="1">
        <f t="array" ref="I33">[1]!PVT_rho_gas_kgm3(p,t,PVT_json)</f>
        <v>116.32084897430778</v>
      </c>
      <c r="J33" s="15" cm="1">
        <f t="array" ref="J33">[1]!feed_ST_liqgas_Nm(p,t,G33)</f>
        <v>2.3693872187412611E-2</v>
      </c>
      <c r="K33" s="17" cm="1">
        <f t="array" ref="K33">[1]!feed_q_liq_rc_m3day(p,t,G33)</f>
        <v>89.625720253643394</v>
      </c>
      <c r="L33" s="17" cm="1">
        <f t="array" ref="L33">[1]!feed_q_gas_rc_m3day(p,t,G33)</f>
        <v>15.749521494762732</v>
      </c>
      <c r="M33" s="16" cm="1">
        <f t="array" ref="M33">[1]!feed_mu_liq_cP(p,t,G33)</f>
        <v>1.7967811455081182</v>
      </c>
      <c r="N33" s="16" cm="1">
        <f t="array" ref="N33">[1]!PVT_mu_gas_cP(p,t,G33)</f>
        <v>1.6103282892022303E-2</v>
      </c>
      <c r="O33" s="18" cm="1">
        <f t="array" ref="O33">[1]!unf_ksep_ESP_natural_simplified_Marquez(dintake_m,dcas_m,K33,L33,J33,H33,I33,1)</f>
        <v>0.65784724443441345</v>
      </c>
      <c r="P33" s="18" cm="1">
        <f t="array" ref="P33">[1]!unf_ksep_ESP_natural_mechanistic_Marquez(dintake_m,dcas_m,K33,L33,J33,H33,I33,M33,N33,1,hint,calibr_li,calibr_st)</f>
        <v>0.4461431814190146</v>
      </c>
      <c r="R33" s="6">
        <f t="array" ref="R33:Y33">[1]!unf_ksep_ESP_natural_mechanistic_Marquez(dintake_m,dcas_m,K33,L33,J33,H33,I33,M33,N33,0,hint,calibr_li,calibr_st)</f>
        <v>0.4461431814190146</v>
      </c>
      <c r="S33" s="6">
        <v>3</v>
      </c>
      <c r="T33" s="5">
        <v>1.364355563990678E-3</v>
      </c>
      <c r="U33" s="6">
        <v>0.18122448094453489</v>
      </c>
      <c r="V33" s="6">
        <v>0.12827963677488702</v>
      </c>
      <c r="W33" s="6">
        <v>2.2541999004401972E-2</v>
      </c>
      <c r="X33" s="6">
        <v>2.9884313217567703E-2</v>
      </c>
      <c r="Y33" s="8" t="e">
        <v>#N/A</v>
      </c>
    </row>
    <row r="34" spans="5:25" x14ac:dyDescent="0.25">
      <c r="F34" s="1">
        <v>90</v>
      </c>
      <c r="G34" s="13" t="str">
        <f>[1]!encode_feed(F34,$E$17,$E$18,$E$19,$E$15)</f>
        <v>{"gamma_gas":0.81,"gamma_oil":0.82,"gamma_wat":1.1,"rsb_m3m3":120,"muob_cP":1,"PVT_corr_set":1,"q_liq_sm3day":90,"fw_perc":0,"rp_m3m3":120}</v>
      </c>
      <c r="H34" s="14" cm="1">
        <f t="array" ref="H34">[1]!feed_rho_liq_kgm3(p,t,G34)</f>
        <v>712.7468421788584</v>
      </c>
      <c r="I34" s="14" cm="1">
        <f t="array" ref="I34">[1]!PVT_rho_gas_kgm3(p,t,PVT_json)</f>
        <v>116.32084897430778</v>
      </c>
      <c r="J34" s="15" cm="1">
        <f t="array" ref="J34">[1]!feed_ST_liqgas_Nm(p,t,G34)</f>
        <v>2.3693872187412611E-2</v>
      </c>
      <c r="K34" s="17" cm="1">
        <f t="array" ref="K34">[1]!feed_q_liq_rc_m3day(p,t,G34)</f>
        <v>115.23306889754151</v>
      </c>
      <c r="L34" s="17" cm="1">
        <f t="array" ref="L34">[1]!feed_q_gas_rc_m3day(p,t,G34)</f>
        <v>20.249384778980655</v>
      </c>
      <c r="M34" s="16" cm="1">
        <f t="array" ref="M34">[1]!feed_mu_liq_cP(p,t,G34)</f>
        <v>1.7967811455081182</v>
      </c>
      <c r="N34" s="16" cm="1">
        <f t="array" ref="N34">[1]!PVT_mu_gas_cP(p,t,G34)</f>
        <v>1.6103282892022303E-2</v>
      </c>
      <c r="O34" s="18" cm="1">
        <f t="array" ref="O34">[1]!unf_ksep_ESP_natural_simplified_Marquez(dintake_m,dcas_m,K34,L34,J34,H34,I34,1)</f>
        <v>0.59934848841213717</v>
      </c>
      <c r="P34" s="18" cm="1">
        <f t="array" ref="P34">[1]!unf_ksep_ESP_natural_mechanistic_Marquez(dintake_m,dcas_m,K34,L34,J34,H34,I34,M34,N34,1,hint,calibr_li,calibr_st)</f>
        <v>0.37872194892623667</v>
      </c>
      <c r="R34" s="6">
        <f t="array" ref="R34:Y34">[1]!unf_ksep_ESP_natural_mechanistic_Marquez(dintake_m,dcas_m,K34,L34,J34,H34,I34,M34,N34,0,hint,calibr_li,calibr_st)</f>
        <v>0.37872194892623667</v>
      </c>
      <c r="S34" s="6">
        <v>3</v>
      </c>
      <c r="T34" s="5">
        <v>1.3578018935942349E-3</v>
      </c>
      <c r="U34" s="6">
        <v>0.18122448094453489</v>
      </c>
      <c r="V34" s="6">
        <v>0.16493096156771189</v>
      </c>
      <c r="W34" s="6">
        <v>2.898257014851682E-2</v>
      </c>
      <c r="X34" s="6">
        <v>-1.7762409013104635E-2</v>
      </c>
      <c r="Y34" s="8" t="e">
        <v>#N/A</v>
      </c>
    </row>
    <row r="35" spans="5:25" x14ac:dyDescent="0.25">
      <c r="F35" s="1">
        <v>110</v>
      </c>
      <c r="G35" s="13" t="str">
        <f>[1]!encode_feed(F35,$E$17,$E$18,$E$19,$E$15)</f>
        <v>{"gamma_gas":0.81,"gamma_oil":0.82,"gamma_wat":1.1,"rsb_m3m3":120,"muob_cP":1,"PVT_corr_set":1,"q_liq_sm3day":110,"fw_perc":0,"rp_m3m3":120}</v>
      </c>
      <c r="H35" s="14" cm="1">
        <f t="array" ref="H35">[1]!feed_rho_liq_kgm3(p,t,G35)</f>
        <v>712.7468421788584</v>
      </c>
      <c r="I35" s="14" cm="1">
        <f t="array" ref="I35">[1]!PVT_rho_gas_kgm3(p,t,PVT_json)</f>
        <v>116.32084897430778</v>
      </c>
      <c r="J35" s="15" cm="1">
        <f t="array" ref="J35">[1]!feed_ST_liqgas_Nm(p,t,G35)</f>
        <v>2.3693872187412611E-2</v>
      </c>
      <c r="K35" s="17" cm="1">
        <f t="array" ref="K35">[1]!feed_q_liq_rc_m3day(p,t,G35)</f>
        <v>140.84041754143962</v>
      </c>
      <c r="L35" s="17" cm="1">
        <f t="array" ref="L35">[1]!feed_q_gas_rc_m3day(p,t,G35)</f>
        <v>24.749248063198575</v>
      </c>
      <c r="M35" s="16" cm="1">
        <f t="array" ref="M35">[1]!feed_mu_liq_cP(p,t,G35)</f>
        <v>1.7967811455081182</v>
      </c>
      <c r="N35" s="16" cm="1">
        <f t="array" ref="N35">[1]!PVT_mu_gas_cP(p,t,G35)</f>
        <v>1.6103282892022303E-2</v>
      </c>
      <c r="O35" s="18" cm="1">
        <f t="array" ref="O35">[1]!unf_ksep_ESP_natural_simplified_Marquez(dintake_m,dcas_m,K35,L35,J35,H35,I35,1)</f>
        <v>0.54976616710400705</v>
      </c>
      <c r="P35" s="18" cm="1">
        <f t="array" ref="P35">[1]!unf_ksep_ESP_natural_mechanistic_Marquez(dintake_m,dcas_m,K35,L35,J35,H35,I35,M35,N35,1,hint,calibr_li,calibr_st)</f>
        <v>0.32713677142807862</v>
      </c>
      <c r="R35" s="6">
        <f t="array" ref="R35:Y35">[1]!unf_ksep_ESP_natural_mechanistic_Marquez(dintake_m,dcas_m,K35,L35,J35,H35,I35,M35,N35,0,hint,calibr_li,calibr_st)</f>
        <v>0.32713677142807862</v>
      </c>
      <c r="S35" s="6">
        <v>3</v>
      </c>
      <c r="T35" s="5">
        <v>1.3521011637576681E-3</v>
      </c>
      <c r="U35" s="6">
        <v>0.18122448094453489</v>
      </c>
      <c r="V35" s="6">
        <v>0.20158228636053674</v>
      </c>
      <c r="W35" s="6">
        <v>3.542314129263166E-2</v>
      </c>
      <c r="X35" s="6">
        <v>-6.5409131243776938E-2</v>
      </c>
      <c r="Y35" s="8" t="e">
        <v>#N/A</v>
      </c>
    </row>
    <row r="36" spans="5:25" x14ac:dyDescent="0.25">
      <c r="F36" s="1">
        <v>130</v>
      </c>
      <c r="G36" s="13" t="str">
        <f>[1]!encode_feed(F36,$E$17,$E$18,$E$19,$E$15)</f>
        <v>{"gamma_gas":0.81,"gamma_oil":0.82,"gamma_wat":1.1,"rsb_m3m3":120,"muob_cP":1,"PVT_corr_set":1,"q_liq_sm3day":130,"fw_perc":0,"rp_m3m3":120}</v>
      </c>
      <c r="H36" s="14" cm="1">
        <f t="array" ref="H36">[1]!feed_rho_liq_kgm3(p,t,G36)</f>
        <v>712.7468421788584</v>
      </c>
      <c r="I36" s="14" cm="1">
        <f t="array" ref="I36">[1]!PVT_rho_gas_kgm3(p,t,PVT_json)</f>
        <v>116.32084897430778</v>
      </c>
      <c r="J36" s="15" cm="1">
        <f t="array" ref="J36">[1]!feed_ST_liqgas_Nm(p,t,G36)</f>
        <v>2.3693872187412611E-2</v>
      </c>
      <c r="K36" s="17" cm="1">
        <f t="array" ref="K36">[1]!feed_q_liq_rc_m3day(p,t,G36)</f>
        <v>166.44776618533774</v>
      </c>
      <c r="L36" s="17" cm="1">
        <f t="array" ref="L36">[1]!feed_q_gas_rc_m3day(p,t,G36)</f>
        <v>29.249111347416498</v>
      </c>
      <c r="M36" s="16" cm="1">
        <f t="array" ref="M36">[1]!feed_mu_liq_cP(p,t,G36)</f>
        <v>1.7967811455081182</v>
      </c>
      <c r="N36" s="16" cm="1">
        <f t="array" ref="N36">[1]!PVT_mu_gas_cP(p,t,G36)</f>
        <v>1.6103282892022303E-2</v>
      </c>
      <c r="O36" s="18" cm="1">
        <f t="array" ref="O36">[1]!unf_ksep_ESP_natural_simplified_Marquez(dintake_m,dcas_m,K36,L36,J36,H36,I36,1)</f>
        <v>0.52822421786505003</v>
      </c>
      <c r="P36" s="18" cm="1">
        <f t="array" ref="P36">[1]!unf_ksep_ESP_natural_mechanistic_Marquez(dintake_m,dcas_m,K36,L36,J36,H36,I36,M36,N36,1,hint,calibr_li,calibr_st)</f>
        <v>0.28657190741626837</v>
      </c>
      <c r="R36" s="6">
        <f t="array" ref="R36:Y36">[1]!unf_ksep_ESP_natural_mechanistic_Marquez(dintake_m,dcas_m,K36,L36,J36,H36,I36,M36,N36,0,hint,calibr_li,calibr_st)</f>
        <v>0.28657190741626837</v>
      </c>
      <c r="S36" s="6">
        <v>1</v>
      </c>
      <c r="T36" s="5">
        <v>1.3471830935170767E-3</v>
      </c>
      <c r="U36" s="6">
        <v>0.19664784102492083</v>
      </c>
      <c r="V36" s="6">
        <v>0.23823361115336161</v>
      </c>
      <c r="W36" s="6">
        <v>4.1863712436746511E-2</v>
      </c>
      <c r="X36" s="6">
        <v>-0.11305585347444927</v>
      </c>
      <c r="Y36" s="8" t="e">
        <v>#N/A</v>
      </c>
    </row>
    <row r="37" spans="5:25" x14ac:dyDescent="0.25">
      <c r="F37" s="1">
        <v>150</v>
      </c>
      <c r="G37" s="13" t="str">
        <f>[1]!encode_feed(F37,$E$17,$E$18,$E$19,$E$15)</f>
        <v>{"gamma_gas":0.81,"gamma_oil":0.82,"gamma_wat":1.1,"rsb_m3m3":120,"muob_cP":1,"PVT_corr_set":1,"q_liq_sm3day":150,"fw_perc":0,"rp_m3m3":120}</v>
      </c>
      <c r="H37" s="14" cm="1">
        <f t="array" ref="H37">[1]!feed_rho_liq_kgm3(p,t,G37)</f>
        <v>712.7468421788584</v>
      </c>
      <c r="I37" s="14" cm="1">
        <f t="array" ref="I37">[1]!PVT_rho_gas_kgm3(p,t,PVT_json)</f>
        <v>116.32084897430778</v>
      </c>
      <c r="J37" s="15" cm="1">
        <f t="array" ref="J37">[1]!feed_ST_liqgas_Nm(p,t,G37)</f>
        <v>2.3693872187412611E-2</v>
      </c>
      <c r="K37" s="17" cm="1">
        <f t="array" ref="K37">[1]!feed_q_liq_rc_m3day(p,t,G37)</f>
        <v>192.05511482923586</v>
      </c>
      <c r="L37" s="17" cm="1">
        <f t="array" ref="L37">[1]!feed_q_gas_rc_m3day(p,t,G37)</f>
        <v>33.748974631634425</v>
      </c>
      <c r="M37" s="16" cm="1">
        <f t="array" ref="M37">[1]!feed_mu_liq_cP(p,t,G37)</f>
        <v>1.7967811455081182</v>
      </c>
      <c r="N37" s="16" cm="1">
        <f t="array" ref="N37">[1]!PVT_mu_gas_cP(p,t,G37)</f>
        <v>1.6103282892022303E-2</v>
      </c>
      <c r="O37" s="18" cm="1">
        <f t="array" ref="O37">[1]!unf_ksep_ESP_natural_simplified_Marquez(dintake_m,dcas_m,K37,L37,J37,H37,I37,1)</f>
        <v>0.49198822728973801</v>
      </c>
      <c r="P37" s="18" cm="1">
        <f t="array" ref="P37">[1]!unf_ksep_ESP_natural_mechanistic_Marquez(dintake_m,dcas_m,K37,L37,J37,H37,I37,M37,N37,1,hint,calibr_li,calibr_st)</f>
        <v>0.25396567657066532</v>
      </c>
      <c r="R37" s="6">
        <f t="array" ref="R37:Y37">[1]!unf_ksep_ESP_natural_mechanistic_Marquez(dintake_m,dcas_m,K37,L37,J37,H37,I37,M37,N37,0,hint,calibr_li,calibr_st)</f>
        <v>0.25396567657066532</v>
      </c>
      <c r="S37" s="6">
        <v>1</v>
      </c>
      <c r="T37" s="5">
        <v>1.342984567359919E-3</v>
      </c>
      <c r="U37" s="6">
        <v>0.19664784102492083</v>
      </c>
      <c r="V37" s="6">
        <v>0.27488493594618651</v>
      </c>
      <c r="W37" s="6">
        <v>4.8304283580861369E-2</v>
      </c>
      <c r="X37" s="6">
        <v>-0.16070257570512164</v>
      </c>
      <c r="Y37" s="8" t="e">
        <v>#N/A</v>
      </c>
    </row>
    <row r="38" spans="5:25" x14ac:dyDescent="0.25">
      <c r="F38" s="1">
        <v>170</v>
      </c>
      <c r="G38" s="13" t="str">
        <f>[1]!encode_feed(F38,$E$17,$E$18,$E$19,$E$15)</f>
        <v>{"gamma_gas":0.81,"gamma_oil":0.82,"gamma_wat":1.1,"rsb_m3m3":120,"muob_cP":1,"PVT_corr_set":1,"q_liq_sm3day":170,"fw_perc":0,"rp_m3m3":120}</v>
      </c>
      <c r="H38" s="14" cm="1">
        <f t="array" ref="H38">[1]!feed_rho_liq_kgm3(p,t,G38)</f>
        <v>712.7468421788584</v>
      </c>
      <c r="I38" s="14" cm="1">
        <f t="array" ref="I38">[1]!PVT_rho_gas_kgm3(p,t,PVT_json)</f>
        <v>116.32084897430778</v>
      </c>
      <c r="J38" s="15" cm="1">
        <f t="array" ref="J38">[1]!feed_ST_liqgas_Nm(p,t,G38)</f>
        <v>2.3693872187412611E-2</v>
      </c>
      <c r="K38" s="17" cm="1">
        <f t="array" ref="K38">[1]!feed_q_liq_rc_m3day(p,t,G38)</f>
        <v>217.66246347313395</v>
      </c>
      <c r="L38" s="17" cm="1">
        <f t="array" ref="L38">[1]!feed_q_gas_rc_m3day(p,t,G38)</f>
        <v>38.248837915852341</v>
      </c>
      <c r="M38" s="16" cm="1">
        <f t="array" ref="M38">[1]!feed_mu_liq_cP(p,t,G38)</f>
        <v>1.7967811455081182</v>
      </c>
      <c r="N38" s="16" cm="1">
        <f t="array" ref="N38">[1]!PVT_mu_gas_cP(p,t,G38)</f>
        <v>1.6103282892022303E-2</v>
      </c>
      <c r="O38" s="18" cm="1">
        <f t="array" ref="O38">[1]!unf_ksep_ESP_natural_simplified_Marquez(dintake_m,dcas_m,K38,L38,J38,H38,I38,1)</f>
        <v>0.46064423477530259</v>
      </c>
      <c r="P38" s="18" cm="1">
        <f t="array" ref="P38">[1]!unf_ksep_ESP_natural_mechanistic_Marquez(dintake_m,dcas_m,K38,L38,J38,H38,I38,M38,N38,1,hint,calibr_li,calibr_st)</f>
        <v>0.22727539799377289</v>
      </c>
      <c r="R38" s="6">
        <f t="array" ref="R38:Y38">[1]!unf_ksep_ESP_natural_mechanistic_Marquez(dintake_m,dcas_m,K38,L38,J38,H38,I38,M38,N38,0,hint,calibr_li,calibr_st)</f>
        <v>0.22727539799377289</v>
      </c>
      <c r="S38" s="6">
        <v>1</v>
      </c>
      <c r="T38" s="5">
        <v>1.3394487197166656E-3</v>
      </c>
      <c r="U38" s="6">
        <v>0.19664784102492083</v>
      </c>
      <c r="V38" s="6">
        <v>0.31153626073901136</v>
      </c>
      <c r="W38" s="6">
        <v>5.4744854724976207E-2</v>
      </c>
      <c r="X38" s="6">
        <v>-0.20834929793579396</v>
      </c>
      <c r="Y38" s="8" t="e">
        <v>#N/A</v>
      </c>
    </row>
    <row r="39" spans="5:25" x14ac:dyDescent="0.25">
      <c r="F39" s="1">
        <v>190</v>
      </c>
      <c r="G39" s="13" t="str">
        <f>[1]!encode_feed(F39,$E$17,$E$18,$E$19,$E$15)</f>
        <v>{"gamma_gas":0.81,"gamma_oil":0.82,"gamma_wat":1.1,"rsb_m3m3":120,"muob_cP":1,"PVT_corr_set":1,"q_liq_sm3day":190,"fw_perc":0,"rp_m3m3":120}</v>
      </c>
      <c r="H39" s="14" cm="1">
        <f t="array" ref="H39">[1]!feed_rho_liq_kgm3(p,t,G39)</f>
        <v>712.7468421788584</v>
      </c>
      <c r="I39" s="14" cm="1">
        <f t="array" ref="I39">[1]!PVT_rho_gas_kgm3(p,t,PVT_json)</f>
        <v>116.32084897430778</v>
      </c>
      <c r="J39" s="15" cm="1">
        <f t="array" ref="J39">[1]!feed_ST_liqgas_Nm(p,t,G39)</f>
        <v>2.3693872187412611E-2</v>
      </c>
      <c r="K39" s="17" cm="1">
        <f t="array" ref="K39">[1]!feed_q_liq_rc_m3day(p,t,G39)</f>
        <v>243.26981211703207</v>
      </c>
      <c r="L39" s="17" cm="1">
        <f t="array" ref="L39">[1]!feed_q_gas_rc_m3day(p,t,G39)</f>
        <v>42.748701200070265</v>
      </c>
      <c r="M39" s="16" cm="1">
        <f t="array" ref="M39">[1]!feed_mu_liq_cP(p,t,G39)</f>
        <v>1.7967811455081182</v>
      </c>
      <c r="N39" s="16" cm="1">
        <f t="array" ref="N39">[1]!PVT_mu_gas_cP(p,t,G39)</f>
        <v>1.6103282892022303E-2</v>
      </c>
      <c r="O39" s="18" cm="1">
        <f t="array" ref="O39">[1]!unf_ksep_ESP_natural_simplified_Marquez(dintake_m,dcas_m,K39,L39,J39,H39,I39,1)</f>
        <v>0.43352460347650212</v>
      </c>
      <c r="P39" s="18" cm="1">
        <f t="array" ref="P39">[1]!unf_ksep_ESP_natural_mechanistic_Marquez(dintake_m,dcas_m,K39,L39,J39,H39,I39,M39,N39,1,hint,calibr_li,calibr_st)</f>
        <v>0.2050852280738332</v>
      </c>
      <c r="R39" s="6">
        <f t="array" ref="R39:Y39">[1]!unf_ksep_ESP_natural_mechanistic_Marquez(dintake_m,dcas_m,K39,L39,J39,H39,I39,M39,N39,0,hint,calibr_li,calibr_st)</f>
        <v>0.2050852280738332</v>
      </c>
      <c r="S39" s="6">
        <v>1</v>
      </c>
      <c r="T39" s="5">
        <v>1.3365241570314813E-3</v>
      </c>
      <c r="U39" s="6">
        <v>0.19664784102492083</v>
      </c>
      <c r="V39" s="6">
        <v>0.34818758553183621</v>
      </c>
      <c r="W39" s="6">
        <v>6.1185425869091051E-2</v>
      </c>
      <c r="X39" s="6">
        <v>-0.25599602016646628</v>
      </c>
      <c r="Y39" s="8" t="e">
        <v>#N/A</v>
      </c>
    </row>
    <row r="40" spans="5:25" x14ac:dyDescent="0.25">
      <c r="F40" s="1">
        <v>210</v>
      </c>
      <c r="G40" s="13" t="str">
        <f>[1]!encode_feed(F40,$E$17,$E$18,$E$19,$E$15)</f>
        <v>{"gamma_gas":0.81,"gamma_oil":0.82,"gamma_wat":1.1,"rsb_m3m3":120,"muob_cP":1,"PVT_corr_set":1,"q_liq_sm3day":210,"fw_perc":0,"rp_m3m3":120}</v>
      </c>
      <c r="H40" s="14" cm="1">
        <f t="array" ref="H40">[1]!feed_rho_liq_kgm3(p,t,G40)</f>
        <v>712.7468421788584</v>
      </c>
      <c r="I40" s="14" cm="1">
        <f t="array" ref="I40">[1]!PVT_rho_gas_kgm3(p,t,PVT_json)</f>
        <v>116.32084897430778</v>
      </c>
      <c r="J40" s="15" cm="1">
        <f t="array" ref="J40">[1]!feed_ST_liqgas_Nm(p,t,G40)</f>
        <v>2.3693872187412611E-2</v>
      </c>
      <c r="K40" s="17" cm="1">
        <f t="array" ref="K40">[1]!feed_q_liq_rc_m3day(p,t,G40)</f>
        <v>268.87716076093017</v>
      </c>
      <c r="L40" s="17" cm="1">
        <f t="array" ref="L40">[1]!feed_q_gas_rc_m3day(p,t,G40)</f>
        <v>47.248564484288188</v>
      </c>
      <c r="M40" s="16" cm="1">
        <f t="array" ref="M40">[1]!feed_mu_liq_cP(p,t,G40)</f>
        <v>1.7967811455081182</v>
      </c>
      <c r="N40" s="16" cm="1">
        <f t="array" ref="N40">[1]!PVT_mu_gas_cP(p,t,G40)</f>
        <v>1.6103282892022303E-2</v>
      </c>
      <c r="O40" s="18" cm="1">
        <f t="array" ref="O40">[1]!unf_ksep_ESP_natural_simplified_Marquez(dintake_m,dcas_m,K40,L40,J40,H40,I40,1)</f>
        <v>0.41007222490252482</v>
      </c>
      <c r="P40" s="18" cm="1">
        <f t="array" ref="P40">[1]!unf_ksep_ESP_natural_mechanistic_Marquez(dintake_m,dcas_m,K40,L40,J40,H40,I40,M40,N40,1,hint,calibr_li,calibr_st)</f>
        <v>0.18639463296678055</v>
      </c>
      <c r="R40" s="6" cm="1">
        <f t="array" ref="R40:X41">[1]!unf_ksep_ESP_natural_mechanistic_Marquez(dintake_m,dcas_m,K40,L40,J40,H40,I40,M40,N40,0,hint,calibr_li,calibr_st)</f>
        <v>0.18639463296678055</v>
      </c>
      <c r="S40" s="6">
        <v>1</v>
      </c>
      <c r="T40" s="5">
        <v>1.3341642939325897E-3</v>
      </c>
      <c r="U40" s="6">
        <v>0.19664784102492083</v>
      </c>
      <c r="V40" s="6">
        <v>0.38483891032466105</v>
      </c>
      <c r="W40" s="6">
        <v>6.7625997013205902E-2</v>
      </c>
      <c r="X40" s="6">
        <v>-0.30364274239713857</v>
      </c>
      <c r="Y40" s="8"/>
    </row>
    <row r="41" spans="5:25" x14ac:dyDescent="0.25">
      <c r="R41" s="5" t="str">
        <v>ksep</v>
      </c>
      <c r="S41" s="5" t="str">
        <v>flow regime</v>
      </c>
      <c r="T41" s="5" t="str">
        <v>li</v>
      </c>
      <c r="U41" s="5" t="str">
        <v>v_ooz</v>
      </c>
      <c r="V41" s="5" t="str">
        <v>vsl</v>
      </c>
      <c r="W41" s="5" t="str">
        <v>vsg</v>
      </c>
      <c r="X41" s="5" t="str">
        <v>vg_downflow</v>
      </c>
      <c r="Y41" s="5"/>
    </row>
    <row r="45" spans="5:25" x14ac:dyDescent="0.25">
      <c r="E45" t="s">
        <v>47</v>
      </c>
    </row>
    <row r="47" spans="5:25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25" x14ac:dyDescent="0.25">
      <c r="F48" s="13">
        <f>E16</f>
        <v>60</v>
      </c>
      <c r="G48" s="13" t="str">
        <f>[1]!encode_feed(F48,$E$17,$E$18,$E$19,$E$15)</f>
        <v>{"gamma_gas":0.81,"gamma_oil":0.82,"gamma_wat":1.1,"rsb_m3m3":120,"muob_cP":1,"PVT_corr_set":1,"q_liq_sm3day":60,"fw_perc":0,"rp_m3m3":120}</v>
      </c>
      <c r="H48" s="14" cm="1">
        <f t="array" ref="H48">[1]!feed_rho_liq_kgm3(p,t,G48)</f>
        <v>712.7468421788584</v>
      </c>
      <c r="I48" s="14" cm="1">
        <f t="array" ref="I48">[1]!PVT_rho_gas_kgm3(p,t,PVT_json)</f>
        <v>116.32084897430778</v>
      </c>
      <c r="J48" s="15" cm="1">
        <f t="array" ref="J48">[1]!feed_ST_liqgas_Nm(p,t,G48)</f>
        <v>2.3693872187412611E-2</v>
      </c>
      <c r="K48" s="17" cm="1">
        <f t="array" ref="K48">[1]!feed_q_liq_rc_m3day(p,t,G48)</f>
        <v>76.822045931694333</v>
      </c>
      <c r="L48" s="17" cm="1">
        <f t="array" ref="L48">[1]!feed_q_gas_rc_m3day(p,t,G48)</f>
        <v>13.499589852653768</v>
      </c>
      <c r="M48" s="16" cm="1">
        <f t="array" ref="M48">[1]!feed_mu_liq_cP(p,t,G48)</f>
        <v>1.7967811455081182</v>
      </c>
      <c r="N48" s="16" cm="1">
        <f t="array" ref="N48">[1]!PVT_mu_gas_cP(p,t,G48)</f>
        <v>1.6103282892022303E-2</v>
      </c>
      <c r="R48" s="19" cm="1">
        <f t="array" ref="R48:X49">[1]!unf_ksep_ESP_natural_mechanistic_Marquez(dintake_m,dcas_m,K48,L48,J48,H48,I48,M48,N48,0,hint,calibr_li,calibr_st)</f>
        <v>0.48808797835901635</v>
      </c>
      <c r="S48" s="13">
        <v>3</v>
      </c>
      <c r="T48" s="13">
        <v>1.3679764363579887E-3</v>
      </c>
      <c r="U48" s="13">
        <v>0.18122448094453489</v>
      </c>
      <c r="V48" s="13">
        <v>0.10995397437847458</v>
      </c>
      <c r="W48" s="13">
        <v>1.9321713432344543E-2</v>
      </c>
      <c r="X48" s="13">
        <v>5.3707674332903875E-2</v>
      </c>
      <c r="Y48" s="13"/>
    </row>
    <row r="49" spans="5:32" x14ac:dyDescent="0.25">
      <c r="R49" s="13" t="str">
        <v>ksep</v>
      </c>
      <c r="S49" s="13" t="str">
        <v>flow regime</v>
      </c>
      <c r="T49" s="13" t="str">
        <v>li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/>
    </row>
    <row r="53" spans="5:32" x14ac:dyDescent="0.25">
      <c r="E53" s="5" t="str" cm="1">
        <f t="array" ref="E53">[1]!unf_ksep_ESP_Marquez_build_bubble_tracks(dintake_m,dcas_m,K48,L48,J48,H48,I48,M48,N48,hint,calibr_li,calibr_st)</f>
        <v>{"n 1":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,"n 2":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,"n 3":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,"n 4":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,"n 5":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,"n 6":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,"n 7":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,"n 8":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56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</v>
      </c>
      <c r="G55" t="s">
        <v>56</v>
      </c>
      <c r="I55" s="22" t="str" cm="1">
        <f t="array" ref="I55:J70">[1]!decode_json_crv(F55)</f>
        <v>x</v>
      </c>
      <c r="J55" s="22" t="str">
        <v>y</v>
      </c>
      <c r="L55" s="22" t="str" cm="1">
        <f t="array" ref="L55:M70">[1]!decode_json_crv(F56)</f>
        <v>x</v>
      </c>
      <c r="M55" s="22" t="str">
        <v>y</v>
      </c>
      <c r="O55" s="22" t="str" cm="1">
        <f t="array" ref="O55:P70">[1]!decode_json_crv(F57)</f>
        <v>x</v>
      </c>
      <c r="P55" s="22" t="str">
        <v>y</v>
      </c>
      <c r="R55" s="22" t="str" cm="1">
        <f t="array" ref="R55:S70">[1]!decode_json_crv(F58)</f>
        <v>x</v>
      </c>
      <c r="S55" s="22" t="str">
        <v>y</v>
      </c>
      <c r="U55" s="22" t="str" cm="1">
        <f t="array" ref="U55:V70">[1]!decode_json_crv(F59)</f>
        <v>x</v>
      </c>
      <c r="V55" s="22" t="str">
        <v>y</v>
      </c>
      <c r="X55" s="22" t="str" cm="1">
        <f t="array" ref="X55:Y70">[1]!decode_json_crv(F60)</f>
        <v>x</v>
      </c>
      <c r="Y55" s="22" t="str">
        <v>y</v>
      </c>
      <c r="AA55" s="22" t="str" cm="1">
        <f t="array" ref="AA55:AB70">[1]!decode_json_crv(F61)</f>
        <v>x</v>
      </c>
      <c r="AB55" s="22" t="str">
        <v>y</v>
      </c>
      <c r="AD55" s="22" t="str" cm="1">
        <f t="array" ref="AD55:AE70">[1]!decode_json_crv(F62)</f>
        <v>x</v>
      </c>
      <c r="AE55" s="22" t="str">
        <v>y</v>
      </c>
    </row>
    <row r="56" spans="5:32" x14ac:dyDescent="0.25">
      <c r="E56" s="20" t="str">
        <v>n 2</v>
      </c>
      <c r="F56" s="20" t="str">
        <v>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</v>
      </c>
      <c r="G56" t="s">
        <v>56</v>
      </c>
      <c r="I56" s="21">
        <v>-0.04</v>
      </c>
      <c r="J56" s="21">
        <v>5.3323000000000002E-2</v>
      </c>
      <c r="L56" s="21">
        <v>-0.04</v>
      </c>
      <c r="M56" s="21">
        <v>5.5371999999999998E-2</v>
      </c>
      <c r="O56" s="21">
        <v>-0.04</v>
      </c>
      <c r="P56" s="21">
        <v>5.7598999999999997E-2</v>
      </c>
      <c r="R56" s="21">
        <v>-0.04</v>
      </c>
      <c r="S56" s="21">
        <v>5.9982000000000001E-2</v>
      </c>
      <c r="U56" s="21">
        <v>-0.04</v>
      </c>
      <c r="V56" s="21">
        <v>3.9955999999999998E-2</v>
      </c>
      <c r="X56" s="21">
        <v>-0.04</v>
      </c>
      <c r="Y56" s="21">
        <v>4.3638000000000003E-2</v>
      </c>
      <c r="AA56" s="21">
        <v>-0.04</v>
      </c>
      <c r="AB56" s="21">
        <v>4.7491999999999999E-2</v>
      </c>
      <c r="AD56" s="21">
        <v>-0.04</v>
      </c>
      <c r="AE56" s="21">
        <v>5.1477000000000002E-2</v>
      </c>
    </row>
    <row r="57" spans="5:32" x14ac:dyDescent="0.25">
      <c r="E57" s="20" t="str">
        <v>n 3</v>
      </c>
      <c r="F57" s="20" t="str">
        <v>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</v>
      </c>
      <c r="G57" t="s">
        <v>56</v>
      </c>
      <c r="I57" s="21">
        <v>-1.6667000000000001E-2</v>
      </c>
      <c r="J57" s="21">
        <v>5.3323000000000002E-2</v>
      </c>
      <c r="L57" s="21">
        <v>-1.6667000000000001E-2</v>
      </c>
      <c r="M57" s="21">
        <v>5.5371999999999998E-2</v>
      </c>
      <c r="O57" s="21">
        <v>-1.6667000000000001E-2</v>
      </c>
      <c r="P57" s="21">
        <v>5.7598999999999997E-2</v>
      </c>
      <c r="R57" s="21">
        <v>-1.6667000000000001E-2</v>
      </c>
      <c r="S57" s="21">
        <v>5.9982000000000001E-2</v>
      </c>
      <c r="U57" s="21">
        <v>-3.3077000000000002E-2</v>
      </c>
      <c r="V57" s="21">
        <v>3.9955999999999998E-2</v>
      </c>
      <c r="X57" s="21">
        <v>-2.9231E-2</v>
      </c>
      <c r="Y57" s="21">
        <v>4.3638000000000003E-2</v>
      </c>
      <c r="AA57" s="21">
        <v>-2.5385000000000001E-2</v>
      </c>
      <c r="AB57" s="21">
        <v>4.7491999999999999E-2</v>
      </c>
      <c r="AD57" s="21">
        <v>-2.1538000000000002E-2</v>
      </c>
      <c r="AE57" s="21">
        <v>5.1477000000000002E-2</v>
      </c>
    </row>
    <row r="58" spans="5:32" x14ac:dyDescent="0.25">
      <c r="E58" s="20" t="str">
        <v>n 4</v>
      </c>
      <c r="F58" s="20" t="str">
        <v>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</v>
      </c>
      <c r="G58" t="s">
        <v>56</v>
      </c>
      <c r="I58" s="21">
        <v>6.6670000000000002E-3</v>
      </c>
      <c r="J58" s="21">
        <v>5.3323000000000002E-2</v>
      </c>
      <c r="L58" s="21">
        <v>6.6670000000000002E-3</v>
      </c>
      <c r="M58" s="21">
        <v>5.5371999999999998E-2</v>
      </c>
      <c r="O58" s="21">
        <v>6.6670000000000002E-3</v>
      </c>
      <c r="P58" s="21">
        <v>5.7598999999999997E-2</v>
      </c>
      <c r="R58" s="21">
        <v>6.6670000000000002E-3</v>
      </c>
      <c r="S58" s="21">
        <v>5.9982000000000001E-2</v>
      </c>
      <c r="U58" s="21">
        <v>-2.6154E-2</v>
      </c>
      <c r="V58" s="21">
        <v>3.9955999999999998E-2</v>
      </c>
      <c r="X58" s="21">
        <v>-1.8461999999999999E-2</v>
      </c>
      <c r="Y58" s="21">
        <v>4.3638000000000003E-2</v>
      </c>
      <c r="AA58" s="21">
        <v>-1.0769000000000001E-2</v>
      </c>
      <c r="AB58" s="21">
        <v>4.7491999999999999E-2</v>
      </c>
      <c r="AD58" s="21">
        <v>-3.0769999999999999E-3</v>
      </c>
      <c r="AE58" s="21">
        <v>5.1477000000000002E-2</v>
      </c>
    </row>
    <row r="59" spans="5:32" x14ac:dyDescent="0.25">
      <c r="E59" s="20" t="str">
        <v>n 5</v>
      </c>
      <c r="F59" s="20" t="str">
        <v>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</v>
      </c>
      <c r="G59" t="s">
        <v>56</v>
      </c>
      <c r="I59" s="21">
        <v>0.03</v>
      </c>
      <c r="J59" s="21">
        <v>5.3323000000000002E-2</v>
      </c>
      <c r="L59" s="21">
        <v>0.03</v>
      </c>
      <c r="M59" s="21">
        <v>5.5371999999999998E-2</v>
      </c>
      <c r="O59" s="21">
        <v>0.03</v>
      </c>
      <c r="P59" s="21">
        <v>5.7598999999999997E-2</v>
      </c>
      <c r="R59" s="21">
        <v>0.03</v>
      </c>
      <c r="S59" s="21">
        <v>5.9982000000000001E-2</v>
      </c>
      <c r="U59" s="21">
        <v>-1.9231000000000002E-2</v>
      </c>
      <c r="V59" s="21">
        <v>3.9955999999999998E-2</v>
      </c>
      <c r="X59" s="21">
        <v>-7.6920000000000001E-3</v>
      </c>
      <c r="Y59" s="21">
        <v>4.3638000000000003E-2</v>
      </c>
      <c r="AA59" s="21">
        <v>3.846E-3</v>
      </c>
      <c r="AB59" s="21">
        <v>4.7491999999999999E-2</v>
      </c>
      <c r="AD59" s="21">
        <v>1.5384999999999999E-2</v>
      </c>
      <c r="AE59" s="21">
        <v>5.1477000000000002E-2</v>
      </c>
    </row>
    <row r="60" spans="5:32" x14ac:dyDescent="0.25">
      <c r="E60" s="20" t="str">
        <v>n 6</v>
      </c>
      <c r="F60" s="20" t="str">
        <v>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</v>
      </c>
      <c r="G60" t="s">
        <v>56</v>
      </c>
      <c r="I60" s="21">
        <v>5.3332999999999998E-2</v>
      </c>
      <c r="J60" s="21">
        <v>5.3323000000000002E-2</v>
      </c>
      <c r="L60" s="21">
        <v>5.3332999999999998E-2</v>
      </c>
      <c r="M60" s="21">
        <v>5.5371999999999998E-2</v>
      </c>
      <c r="O60" s="21">
        <v>5.3332999999999998E-2</v>
      </c>
      <c r="P60" s="21">
        <v>5.7598999999999997E-2</v>
      </c>
      <c r="R60" s="21">
        <v>5.3332999999999998E-2</v>
      </c>
      <c r="S60" s="21">
        <v>5.9982000000000001E-2</v>
      </c>
      <c r="U60" s="21">
        <v>-1.2307999999999999E-2</v>
      </c>
      <c r="V60" s="21">
        <v>3.9955999999999998E-2</v>
      </c>
      <c r="X60" s="21">
        <v>3.0769999999999999E-3</v>
      </c>
      <c r="Y60" s="21">
        <v>4.3638000000000003E-2</v>
      </c>
      <c r="AA60" s="21">
        <v>1.8461999999999999E-2</v>
      </c>
      <c r="AB60" s="21">
        <v>4.7491999999999999E-2</v>
      </c>
      <c r="AD60" s="21">
        <v>3.3846000000000001E-2</v>
      </c>
      <c r="AE60" s="21">
        <v>5.1477000000000002E-2</v>
      </c>
    </row>
    <row r="61" spans="5:32" x14ac:dyDescent="0.25">
      <c r="E61" s="20" t="str">
        <v>n 7</v>
      </c>
      <c r="F61" s="20" t="str">
        <v>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</v>
      </c>
      <c r="G61" t="s">
        <v>56</v>
      </c>
      <c r="I61" s="21">
        <v>7.6666999999999999E-2</v>
      </c>
      <c r="J61" s="21">
        <v>5.3323000000000002E-2</v>
      </c>
      <c r="L61" s="21">
        <v>7.6666999999999999E-2</v>
      </c>
      <c r="M61" s="21">
        <v>5.5371999999999998E-2</v>
      </c>
      <c r="O61" s="21">
        <v>7.6666999999999999E-2</v>
      </c>
      <c r="P61" s="21">
        <v>5.7598999999999997E-2</v>
      </c>
      <c r="R61" s="21">
        <v>7.6666999999999999E-2</v>
      </c>
      <c r="S61" s="21">
        <v>5.9982000000000001E-2</v>
      </c>
      <c r="U61" s="21">
        <v>-5.385E-3</v>
      </c>
      <c r="V61" s="21">
        <v>3.9955999999999998E-2</v>
      </c>
      <c r="X61" s="21">
        <v>1.3846000000000001E-2</v>
      </c>
      <c r="Y61" s="21">
        <v>4.3638000000000003E-2</v>
      </c>
      <c r="AA61" s="21">
        <v>3.3077000000000002E-2</v>
      </c>
      <c r="AB61" s="21">
        <v>4.7491999999999999E-2</v>
      </c>
      <c r="AD61" s="21">
        <v>5.2308E-2</v>
      </c>
      <c r="AE61" s="21">
        <v>5.1477000000000002E-2</v>
      </c>
    </row>
    <row r="62" spans="5:32" x14ac:dyDescent="0.25">
      <c r="E62" s="20" t="str">
        <v>n 8</v>
      </c>
      <c r="F62" s="20" t="str">
        <v>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</v>
      </c>
      <c r="G62" t="s">
        <v>56</v>
      </c>
      <c r="I62" s="21">
        <v>0.1</v>
      </c>
      <c r="J62" s="21">
        <v>5.3323000000000002E-2</v>
      </c>
      <c r="L62" s="21">
        <v>0.1</v>
      </c>
      <c r="M62" s="21">
        <v>5.5371999999999998E-2</v>
      </c>
      <c r="O62" s="21">
        <v>0.1</v>
      </c>
      <c r="P62" s="21">
        <v>5.7598999999999997E-2</v>
      </c>
      <c r="R62" s="21">
        <v>0.1</v>
      </c>
      <c r="S62" s="21">
        <v>5.9982000000000001E-2</v>
      </c>
      <c r="U62" s="21">
        <v>1.5380000000000001E-3</v>
      </c>
      <c r="V62" s="21">
        <v>3.9955999999999998E-2</v>
      </c>
      <c r="X62" s="21">
        <v>2.4615000000000001E-2</v>
      </c>
      <c r="Y62" s="21">
        <v>4.3638000000000003E-2</v>
      </c>
      <c r="AA62" s="21">
        <v>4.7691999999999998E-2</v>
      </c>
      <c r="AB62" s="21">
        <v>4.7491999999999999E-2</v>
      </c>
      <c r="AD62" s="21">
        <v>7.0768999999999999E-2</v>
      </c>
      <c r="AE62" s="21">
        <v>5.1477000000000002E-2</v>
      </c>
    </row>
    <row r="63" spans="5:32" x14ac:dyDescent="0.25">
      <c r="I63" s="21">
        <v>0.123333</v>
      </c>
      <c r="J63" s="21">
        <v>5.3323000000000002E-2</v>
      </c>
      <c r="L63" s="21">
        <v>0.123333</v>
      </c>
      <c r="M63" s="21">
        <v>5.5371999999999998E-2</v>
      </c>
      <c r="O63" s="21">
        <v>0.123333</v>
      </c>
      <c r="P63" s="21">
        <v>5.7598999999999997E-2</v>
      </c>
      <c r="R63" s="21">
        <v>0.123333</v>
      </c>
      <c r="S63" s="21">
        <v>5.9982000000000001E-2</v>
      </c>
      <c r="U63" s="21">
        <v>8.4620000000000008E-3</v>
      </c>
      <c r="V63" s="21">
        <v>3.9955999999999998E-2</v>
      </c>
      <c r="X63" s="21">
        <v>3.5385E-2</v>
      </c>
      <c r="Y63" s="21">
        <v>4.3638000000000003E-2</v>
      </c>
      <c r="AA63" s="21">
        <v>6.2308000000000002E-2</v>
      </c>
      <c r="AB63" s="21">
        <v>4.7491999999999999E-2</v>
      </c>
      <c r="AD63" s="21">
        <v>8.9231000000000005E-2</v>
      </c>
      <c r="AE63" s="21">
        <v>5.1477000000000002E-2</v>
      </c>
    </row>
    <row r="64" spans="5:32" x14ac:dyDescent="0.25">
      <c r="I64" s="21">
        <v>0.129409</v>
      </c>
      <c r="J64" s="21">
        <v>5.3323000000000002E-2</v>
      </c>
      <c r="L64" s="21">
        <v>0.14517099999999999</v>
      </c>
      <c r="M64" s="21">
        <v>5.5371999999999998E-2</v>
      </c>
      <c r="O64" s="21">
        <v>0.14666699999999999</v>
      </c>
      <c r="P64" s="21">
        <v>5.7598999999999997E-2</v>
      </c>
      <c r="R64" s="21">
        <v>0.14666699999999999</v>
      </c>
      <c r="S64" s="21">
        <v>5.9982000000000001E-2</v>
      </c>
      <c r="U64" s="21">
        <v>1.5384999999999999E-2</v>
      </c>
      <c r="V64" s="21">
        <v>3.9955999999999998E-2</v>
      </c>
      <c r="X64" s="21">
        <v>4.6154000000000001E-2</v>
      </c>
      <c r="Y64" s="21">
        <v>4.3638000000000003E-2</v>
      </c>
      <c r="AA64" s="21">
        <v>7.6923000000000005E-2</v>
      </c>
      <c r="AB64" s="21">
        <v>4.7491999999999999E-2</v>
      </c>
      <c r="AD64" s="21">
        <v>0.107692</v>
      </c>
      <c r="AE64" s="21">
        <v>5.1477000000000002E-2</v>
      </c>
    </row>
    <row r="65" spans="5:31" x14ac:dyDescent="0.25">
      <c r="I65" s="21">
        <v>0.14666699999999999</v>
      </c>
      <c r="J65" s="21">
        <v>5.092E-2</v>
      </c>
      <c r="L65" s="21">
        <v>0.14666699999999999</v>
      </c>
      <c r="M65" s="21">
        <v>5.5173E-2</v>
      </c>
      <c r="O65" s="21">
        <v>0.162303</v>
      </c>
      <c r="P65" s="21">
        <v>5.7598999999999997E-2</v>
      </c>
      <c r="R65" s="21">
        <v>0.17</v>
      </c>
      <c r="S65" s="21">
        <v>5.9982000000000001E-2</v>
      </c>
      <c r="U65" s="21">
        <v>2.2308000000000001E-2</v>
      </c>
      <c r="V65" s="21">
        <v>3.9955999999999998E-2</v>
      </c>
      <c r="X65" s="21">
        <v>5.4908999999999999E-2</v>
      </c>
      <c r="Y65" s="21">
        <v>4.3638000000000003E-2</v>
      </c>
      <c r="AA65" s="21">
        <v>8.4552000000000002E-2</v>
      </c>
      <c r="AB65" s="21">
        <v>4.7491999999999999E-2</v>
      </c>
      <c r="AD65" s="21">
        <v>0.11521000000000001</v>
      </c>
      <c r="AE65" s="21">
        <v>5.1477000000000002E-2</v>
      </c>
    </row>
    <row r="66" spans="5:31" x14ac:dyDescent="0.25">
      <c r="I66" s="21">
        <v>0.17</v>
      </c>
      <c r="J66" s="21">
        <v>4.7273000000000003E-2</v>
      </c>
      <c r="L66" s="21">
        <v>0.17</v>
      </c>
      <c r="M66" s="21">
        <v>5.1855999999999999E-2</v>
      </c>
      <c r="O66" s="21">
        <v>0.17</v>
      </c>
      <c r="P66" s="21">
        <v>5.6559999999999999E-2</v>
      </c>
      <c r="R66" s="21">
        <v>0.18062900000000001</v>
      </c>
      <c r="S66" s="21">
        <v>5.9982000000000001E-2</v>
      </c>
      <c r="U66" s="21">
        <v>2.6588000000000001E-2</v>
      </c>
      <c r="V66" s="21">
        <v>3.9955999999999998E-2</v>
      </c>
      <c r="X66" s="21">
        <v>5.6923000000000001E-2</v>
      </c>
      <c r="Y66" s="21">
        <v>4.3366000000000002E-2</v>
      </c>
      <c r="AA66" s="21">
        <v>9.1537999999999994E-2</v>
      </c>
      <c r="AB66" s="21">
        <v>4.6538000000000003E-2</v>
      </c>
      <c r="AD66" s="21">
        <v>0.12615399999999999</v>
      </c>
      <c r="AE66" s="21">
        <v>4.9974999999999999E-2</v>
      </c>
    </row>
    <row r="67" spans="5:31" x14ac:dyDescent="0.25">
      <c r="I67" s="21">
        <v>0.193333</v>
      </c>
      <c r="J67" s="21">
        <v>4.3043999999999999E-2</v>
      </c>
      <c r="L67" s="21">
        <v>0.193333</v>
      </c>
      <c r="M67" s="21">
        <v>4.8079999999999998E-2</v>
      </c>
      <c r="O67" s="21">
        <v>0.193333</v>
      </c>
      <c r="P67" s="21">
        <v>5.3152999999999999E-2</v>
      </c>
      <c r="R67" s="21">
        <v>0.193333</v>
      </c>
      <c r="S67" s="21">
        <v>5.8250999999999997E-2</v>
      </c>
      <c r="U67" s="21">
        <v>2.9231E-2</v>
      </c>
      <c r="V67" s="21">
        <v>3.9595999999999999E-2</v>
      </c>
      <c r="X67" s="21">
        <v>6.7692000000000002E-2</v>
      </c>
      <c r="Y67" s="21">
        <v>4.1846000000000001E-2</v>
      </c>
      <c r="AA67" s="21">
        <v>0.106154</v>
      </c>
      <c r="AB67" s="21">
        <v>4.4402999999999998E-2</v>
      </c>
      <c r="AD67" s="21">
        <v>0.14461499999999999</v>
      </c>
      <c r="AE67" s="21">
        <v>4.7217000000000002E-2</v>
      </c>
    </row>
    <row r="68" spans="5:31" x14ac:dyDescent="0.25">
      <c r="I68" s="21">
        <v>0.2</v>
      </c>
      <c r="J68" s="21">
        <v>4.1700000000000001E-2</v>
      </c>
      <c r="L68" s="21">
        <v>0.2</v>
      </c>
      <c r="M68" s="21">
        <v>4.6899999999999997E-2</v>
      </c>
      <c r="O68" s="21">
        <v>0.2</v>
      </c>
      <c r="P68" s="21">
        <v>5.21E-2</v>
      </c>
      <c r="R68" s="21">
        <v>0.2</v>
      </c>
      <c r="S68" s="21">
        <v>5.7299999999999997E-2</v>
      </c>
      <c r="U68" s="21">
        <v>3.6153999999999999E-2</v>
      </c>
      <c r="V68" s="21">
        <v>3.8618E-2</v>
      </c>
      <c r="X68" s="21">
        <v>7.8462000000000004E-2</v>
      </c>
      <c r="Y68" s="21">
        <v>4.0208000000000001E-2</v>
      </c>
      <c r="AA68" s="21">
        <v>0.120769</v>
      </c>
      <c r="AB68" s="21">
        <v>4.2054000000000001E-2</v>
      </c>
      <c r="AD68" s="21">
        <v>0.163077</v>
      </c>
      <c r="AE68" s="21">
        <v>4.4123000000000002E-2</v>
      </c>
    </row>
    <row r="69" spans="5:31" x14ac:dyDescent="0.25">
      <c r="I69" s="21">
        <v>0.216667</v>
      </c>
      <c r="J69" s="21">
        <v>4.1700000000000001E-2</v>
      </c>
      <c r="L69" s="21">
        <v>0.216667</v>
      </c>
      <c r="M69" s="21">
        <v>4.6899999999999997E-2</v>
      </c>
      <c r="O69" s="21">
        <v>0.216667</v>
      </c>
      <c r="P69" s="21">
        <v>5.21E-2</v>
      </c>
      <c r="R69" s="21">
        <v>0.216667</v>
      </c>
      <c r="S69" s="21">
        <v>5.7299999999999997E-2</v>
      </c>
      <c r="U69" s="21">
        <v>4.3076999999999997E-2</v>
      </c>
      <c r="V69" s="21">
        <v>3.7588000000000003E-2</v>
      </c>
      <c r="X69" s="21">
        <v>8.9231000000000005E-2</v>
      </c>
      <c r="Y69" s="21">
        <v>3.8434000000000003E-2</v>
      </c>
      <c r="AA69" s="21">
        <v>0.13538500000000001</v>
      </c>
      <c r="AB69" s="21">
        <v>3.9441999999999998E-2</v>
      </c>
      <c r="AD69" s="21">
        <v>0.181538</v>
      </c>
      <c r="AE69" s="21">
        <v>4.0601999999999999E-2</v>
      </c>
    </row>
    <row r="70" spans="5:31" x14ac:dyDescent="0.25">
      <c r="I70" s="21">
        <v>0.24</v>
      </c>
      <c r="J70" s="21">
        <v>4.1700000000000001E-2</v>
      </c>
      <c r="L70" s="21">
        <v>0.24</v>
      </c>
      <c r="M70" s="21">
        <v>4.6899999999999997E-2</v>
      </c>
      <c r="O70" s="21">
        <v>0.24</v>
      </c>
      <c r="P70" s="21">
        <v>5.21E-2</v>
      </c>
      <c r="R70" s="21">
        <v>0.24</v>
      </c>
      <c r="S70" s="21">
        <v>5.7299999999999997E-2</v>
      </c>
      <c r="U70" s="21">
        <v>0.05</v>
      </c>
      <c r="V70" s="21">
        <v>3.6499999999999998E-2</v>
      </c>
      <c r="X70" s="21">
        <v>0.1</v>
      </c>
      <c r="Y70" s="21">
        <v>3.6499999999999998E-2</v>
      </c>
      <c r="AA70" s="21">
        <v>0.15</v>
      </c>
      <c r="AB70" s="21">
        <v>3.6499999999999998E-2</v>
      </c>
      <c r="AD70" s="21">
        <v>0.2</v>
      </c>
      <c r="AE70" s="21">
        <v>3.6499999999999998E-2</v>
      </c>
    </row>
    <row r="72" spans="5:31" x14ac:dyDescent="0.25">
      <c r="E72" s="20" t="s">
        <v>55</v>
      </c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</row>
    <row r="73" spans="5:31" x14ac:dyDescent="0.25">
      <c r="E73" s="20"/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5:31" x14ac:dyDescent="0.25">
      <c r="E74" s="20"/>
      <c r="F74" s="20">
        <f>dintake_m/2</f>
        <v>3.6499999999999998E-2</v>
      </c>
      <c r="G74" s="20">
        <v>0</v>
      </c>
      <c r="H74" s="20"/>
      <c r="I74" s="20">
        <f>dintake_m/2</f>
        <v>3.6499999999999998E-2</v>
      </c>
      <c r="J74" s="20">
        <f>M74</f>
        <v>-3.999999999999998E-2</v>
      </c>
      <c r="K74" s="20"/>
      <c r="L74" s="20">
        <f>dcas_m/2</f>
        <v>6.25E-2</v>
      </c>
      <c r="M74" s="20">
        <f>P75-M75</f>
        <v>-3.999999999999998E-2</v>
      </c>
      <c r="N74" s="20"/>
      <c r="O74" s="20">
        <f>F74</f>
        <v>3.6499999999999998E-2</v>
      </c>
      <c r="P74" s="20">
        <v>0</v>
      </c>
    </row>
    <row r="75" spans="5:31" x14ac:dyDescent="0.25">
      <c r="E75" s="20"/>
      <c r="F75" s="20">
        <f>F74</f>
        <v>3.6499999999999998E-2</v>
      </c>
      <c r="G75" s="20">
        <f>hint</f>
        <v>0.2</v>
      </c>
      <c r="H75" s="20"/>
      <c r="I75" s="20">
        <f>I74</f>
        <v>3.6499999999999998E-2</v>
      </c>
      <c r="J75" s="20">
        <f>hint*1.2</f>
        <v>0.24</v>
      </c>
      <c r="K75" s="20"/>
      <c r="L75" s="20">
        <f>L74</f>
        <v>6.25E-2</v>
      </c>
      <c r="M75" s="20">
        <f>hint*1.2</f>
        <v>0.24</v>
      </c>
      <c r="N75" s="20"/>
      <c r="O75" s="20">
        <f>L75</f>
        <v>6.25E-2</v>
      </c>
      <c r="P75" s="20">
        <f>G75</f>
        <v>0.2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EB6-9037-44C5-9077-020BF6052E78}">
  <sheetPr codeName="Лист6"/>
  <dimension ref="B1:AF75"/>
  <sheetViews>
    <sheetView zoomScale="70" zoomScaleNormal="70" workbookViewId="0">
      <selection activeCell="AJ48" sqref="AJ48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18" max="18" width="10.7109375" bestFit="1" customWidth="1"/>
    <col min="26" max="26" width="12.28515625" bestFit="1" customWidth="1"/>
  </cols>
  <sheetData>
    <row r="1" spans="2:15" x14ac:dyDescent="0.25">
      <c r="B1" t="s">
        <v>60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130</v>
      </c>
      <c r="J6" s="13" t="s">
        <v>18</v>
      </c>
      <c r="K6" s="13">
        <f>dcas/1000</f>
        <v>0.13</v>
      </c>
      <c r="M6" s="13" t="s">
        <v>19</v>
      </c>
      <c r="N6" s="14" cm="1">
        <f t="array" ref="N6">[1]!feed_rho_liq_kgm3(p,t,feed_json)</f>
        <v>692.68525477941614</v>
      </c>
      <c r="O6" s="13" t="s">
        <v>28</v>
      </c>
    </row>
    <row r="7" spans="2:15" x14ac:dyDescent="0.25">
      <c r="D7" s="1" t="s">
        <v>1</v>
      </c>
      <c r="E7" s="1">
        <v>0.86</v>
      </c>
      <c r="H7" s="9" t="s">
        <v>25</v>
      </c>
      <c r="I7" s="12">
        <v>5</v>
      </c>
      <c r="J7" s="13" t="s">
        <v>18</v>
      </c>
      <c r="K7" s="13">
        <f>dintake/1000</f>
        <v>5.0000000000000001E-3</v>
      </c>
      <c r="M7" s="13" t="s">
        <v>20</v>
      </c>
      <c r="N7" s="14" cm="1">
        <f t="array" ref="N7">[1]!PVT_rho_gas_kgm3(p,t,PVT_json)</f>
        <v>188.71052616498764</v>
      </c>
      <c r="O7" s="13" t="s">
        <v>28</v>
      </c>
    </row>
    <row r="8" spans="2:15" x14ac:dyDescent="0.25">
      <c r="D8" s="1" t="s">
        <v>2</v>
      </c>
      <c r="E8" s="1">
        <v>1.1000000000000001</v>
      </c>
      <c r="M8" s="13" t="s">
        <v>21</v>
      </c>
      <c r="N8" s="15" cm="1">
        <f t="array" ref="N8">[1]!feed_ST_liqgas_Nm(p,t,feed_json)*calibr_st</f>
        <v>2.6905630849376586E-2</v>
      </c>
      <c r="O8" s="13" t="s">
        <v>29</v>
      </c>
    </row>
    <row r="9" spans="2:15" x14ac:dyDescent="0.25">
      <c r="D9" s="1" t="s">
        <v>3</v>
      </c>
      <c r="E9" s="1">
        <v>268</v>
      </c>
      <c r="H9" s="9" t="s">
        <v>26</v>
      </c>
      <c r="I9" s="12">
        <v>180</v>
      </c>
      <c r="M9" s="13" t="s">
        <v>22</v>
      </c>
      <c r="N9" s="16" cm="1">
        <f t="array" ref="N9">[1]!feed_q_liq_rc_m3day(p,t,feed_json)</f>
        <v>242.2566084560747</v>
      </c>
      <c r="O9" s="13"/>
    </row>
    <row r="10" spans="2:15" x14ac:dyDescent="0.25">
      <c r="D10" s="1" t="s">
        <v>4</v>
      </c>
      <c r="E10" s="1">
        <v>199</v>
      </c>
      <c r="H10" s="9" t="s">
        <v>27</v>
      </c>
      <c r="I10" s="12">
        <v>80</v>
      </c>
      <c r="M10" s="13" t="s">
        <v>23</v>
      </c>
      <c r="N10" s="16" cm="1">
        <f t="array" ref="N10">[1]!feed_q_gas_rc_m3day(p,t,feed_json)</f>
        <v>22.843403725975772</v>
      </c>
      <c r="O10" s="13"/>
    </row>
    <row r="11" spans="2:15" x14ac:dyDescent="0.25">
      <c r="D11" s="1" t="s">
        <v>5</v>
      </c>
      <c r="E11" s="1">
        <v>80</v>
      </c>
      <c r="H11" s="9" t="s">
        <v>48</v>
      </c>
      <c r="I11" s="12">
        <v>1</v>
      </c>
      <c r="M11" s="13" t="s">
        <v>30</v>
      </c>
      <c r="N11" s="15" cm="1">
        <f t="array" ref="N11">[1]!feed_mu_liq_cP(p,t,feed_json)</f>
        <v>0.39778655743087443</v>
      </c>
      <c r="O11" s="13"/>
    </row>
    <row r="12" spans="2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5" cm="1">
        <f t="array" ref="N12">[1]!PVT_mu_gas_cP(p,t,PVT_json)</f>
        <v>2.2179447288884175E-2</v>
      </c>
      <c r="O12" s="13"/>
    </row>
    <row r="13" spans="2:15" x14ac:dyDescent="0.25">
      <c r="D13" s="1" t="s">
        <v>7</v>
      </c>
      <c r="E13" s="1"/>
      <c r="H13" s="9" t="s">
        <v>50</v>
      </c>
      <c r="I13" s="12">
        <v>10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{"gamma_gas":0.81,"gamma_oil":0.86,"gamma_wat":1.1,"rsb_m3m3":268,"pb_atma":199,"t_res_C":80,"PVT_corr_set":1}</v>
      </c>
      <c r="F15" t="s">
        <v>56</v>
      </c>
    </row>
    <row r="16" spans="2:15" x14ac:dyDescent="0.25">
      <c r="D16" s="1" t="s">
        <v>10</v>
      </c>
      <c r="E16" s="1">
        <v>150</v>
      </c>
    </row>
    <row r="17" spans="4:24" x14ac:dyDescent="0.25">
      <c r="D17" s="1" t="s">
        <v>11</v>
      </c>
      <c r="E17" s="1">
        <v>10</v>
      </c>
    </row>
    <row r="18" spans="4:24" x14ac:dyDescent="0.25">
      <c r="D18" s="1" t="s">
        <v>12</v>
      </c>
      <c r="E18" s="1">
        <v>268</v>
      </c>
    </row>
    <row r="19" spans="4:24" x14ac:dyDescent="0.25">
      <c r="D19" s="1" t="s">
        <v>13</v>
      </c>
      <c r="E19" s="1">
        <v>0</v>
      </c>
    </row>
    <row r="20" spans="4:24" x14ac:dyDescent="0.25">
      <c r="D20" s="1" t="s">
        <v>14</v>
      </c>
      <c r="E20" s="2" t="str">
        <f>[1]!encode_feed(E16,E17,E18,E19,E15)</f>
        <v>{"gamma_gas":0.81,"gamma_oil":0.86,"gamma_wat":1.1,"rsb_m3m3":268,"pb_atma":199,"t_res_C":80,"PVT_corr_set":1,"q_liq_sm3day":150,"fw_perc":10,"rp_m3m3":268}</v>
      </c>
      <c r="F20" t="s">
        <v>56</v>
      </c>
    </row>
    <row r="23" spans="4:24" x14ac:dyDescent="0.25">
      <c r="I23" s="4"/>
    </row>
    <row r="26" spans="4:24" x14ac:dyDescent="0.25">
      <c r="E26" t="s">
        <v>46</v>
      </c>
    </row>
    <row r="28" spans="4:24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34</v>
      </c>
    </row>
    <row r="29" spans="4:24" x14ac:dyDescent="0.25">
      <c r="F29" s="1">
        <v>2</v>
      </c>
      <c r="G29" s="13" t="str">
        <f>[1]!encode_feed(F29,$E$17,$E$18,$E$19,$E$15)</f>
        <v>{"gamma_gas":0.81,"gamma_oil":0.86,"gamma_wat":1.1,"rsb_m3m3":268,"pb_atma":199,"t_res_C":80,"PVT_corr_set":1,"q_liq_sm3day":2,"fw_perc":10,"rp_m3m3":268}</v>
      </c>
      <c r="H29" s="14" cm="1">
        <f t="array" ref="H29">[1]!feed_rho_liq_kgm3(p,t,G29)</f>
        <v>692.68525477941614</v>
      </c>
      <c r="I29" s="14" cm="1">
        <f t="array" ref="I29">[1]!PVT_rho_gas_kgm3(p,t,PVT_json)</f>
        <v>188.71052616498764</v>
      </c>
      <c r="J29" s="15" cm="1">
        <f t="array" ref="J29">[1]!feed_ST_liqgas_Nm(p,t,G29)</f>
        <v>2.6905630849376586E-2</v>
      </c>
      <c r="K29" s="17" cm="1">
        <f t="array" ref="K29">[1]!feed_q_liq_rc_m3day(p,t,G29)</f>
        <v>3.2300881127476622</v>
      </c>
      <c r="L29" s="17" cm="1">
        <f t="array" ref="L29">[1]!feed_q_gas_rc_m3day(p,t,G29)</f>
        <v>0.30457871634634376</v>
      </c>
      <c r="M29" s="16" cm="1">
        <f t="array" ref="M29">[1]!feed_mu_liq_cP(p,t,G29)</f>
        <v>0.39778655743087443</v>
      </c>
      <c r="N29" s="16" cm="1">
        <f t="array" ref="N29">[1]!PVT_mu_gas_cP(p,t,G29)</f>
        <v>2.2179447288884175E-2</v>
      </c>
      <c r="O29" s="18" cm="1">
        <f t="array" ref="O29">[1]!unf_ksep_ESP_natural_mechanistic_pump_below_perf(dintake_m,dcas_m,K29,L29,J29,H29,I29,M29,N29,1,hperf,calibr_li,calibr_st)</f>
        <v>1</v>
      </c>
      <c r="R29" s="7">
        <f t="array" ref="R29:X29">[1]!unf_ksep_ESP_natural_mechanistic_pump_below_perf(dintake_m,dcas_m,K29,L29,J29,H29,I29,M29,N29,0,hperf,calibr_li,calibr_st)</f>
        <v>1</v>
      </c>
      <c r="S29" s="7">
        <v>0</v>
      </c>
      <c r="T29" s="7">
        <v>6.9464963995788983E-4</v>
      </c>
      <c r="U29" s="7">
        <v>0.19742570428117145</v>
      </c>
      <c r="V29" s="7">
        <v>2.8207473230476145E-3</v>
      </c>
      <c r="W29" s="7">
        <v>2.6598023608105355E-4</v>
      </c>
      <c r="X29" s="7">
        <v>0.19375873276120956</v>
      </c>
    </row>
    <row r="30" spans="4:24" x14ac:dyDescent="0.25">
      <c r="F30" s="1">
        <v>10</v>
      </c>
      <c r="G30" s="13" t="str">
        <f>[1]!encode_feed(F30,$E$17,$E$18,$E$19,$E$15)</f>
        <v>{"gamma_gas":0.81,"gamma_oil":0.86,"gamma_wat":1.1,"rsb_m3m3":268,"pb_atma":199,"t_res_C":80,"PVT_corr_set":1,"q_liq_sm3day":10,"fw_perc":10,"rp_m3m3":268}</v>
      </c>
      <c r="H30" s="14" cm="1">
        <f t="array" ref="H30">[1]!feed_rho_liq_kgm3(p,t,G30)</f>
        <v>692.68525477941614</v>
      </c>
      <c r="I30" s="14" cm="1">
        <f t="array" ref="I30">[1]!PVT_rho_gas_kgm3(p,t,PVT_json)</f>
        <v>188.71052616498764</v>
      </c>
      <c r="J30" s="15" cm="1">
        <f t="array" ref="J30">[1]!feed_ST_liqgas_Nm(p,t,G30)</f>
        <v>2.6905630849376586E-2</v>
      </c>
      <c r="K30" s="17" cm="1">
        <f t="array" ref="K30">[1]!feed_q_liq_rc_m3day(p,t,G30)</f>
        <v>16.150440563738314</v>
      </c>
      <c r="L30" s="17" cm="1">
        <f t="array" ref="L30">[1]!feed_q_gas_rc_m3day(p,t,G30)</f>
        <v>1.522893581731718</v>
      </c>
      <c r="M30" s="16" cm="1">
        <f t="array" ref="M30">[1]!feed_mu_liq_cP(p,t,G30)</f>
        <v>0.39778655743087443</v>
      </c>
      <c r="N30" s="16" cm="1">
        <f t="array" ref="N30">[1]!PVT_mu_gas_cP(p,t,G30)</f>
        <v>2.2179447288884175E-2</v>
      </c>
      <c r="O30" s="18" cm="1">
        <f t="array" ref="O30">[1]!unf_ksep_ESP_natural_mechanistic_pump_below_perf(dintake_m,dcas_m,K30,L30,J30,H30,I30,M30,N30,1,hperf,calibr_li,calibr_st)</f>
        <v>1</v>
      </c>
      <c r="R30" s="7">
        <f t="array" ref="R30:X30">[1]!unf_ksep_ESP_natural_mechanistic_pump_below_perf(dintake_m,dcas_m,K30,L30,J30,H30,I30,M30,N30,0,hperf,calibr_li,calibr_st)</f>
        <v>1</v>
      </c>
      <c r="S30" s="7">
        <v>0</v>
      </c>
      <c r="T30" s="7">
        <v>6.9378484739542089E-4</v>
      </c>
      <c r="U30" s="7">
        <v>0.19742570428117145</v>
      </c>
      <c r="V30" s="7">
        <v>1.4103736615238076E-2</v>
      </c>
      <c r="W30" s="7">
        <v>1.329901180405267E-3</v>
      </c>
      <c r="X30" s="7">
        <v>0.17909084668136196</v>
      </c>
    </row>
    <row r="31" spans="4:24" x14ac:dyDescent="0.25">
      <c r="F31" s="1">
        <v>30</v>
      </c>
      <c r="G31" s="13" t="str">
        <f>[1]!encode_feed(F31,$E$17,$E$18,$E$19,$E$15)</f>
        <v>{"gamma_gas":0.81,"gamma_oil":0.86,"gamma_wat":1.1,"rsb_m3m3":268,"pb_atma":199,"t_res_C":80,"PVT_corr_set":1,"q_liq_sm3day":30,"fw_perc":10,"rp_m3m3":268}</v>
      </c>
      <c r="H31" s="14" cm="1">
        <f t="array" ref="H31">[1]!feed_rho_liq_kgm3(p,t,G31)</f>
        <v>692.68525477941614</v>
      </c>
      <c r="I31" s="14" cm="1">
        <f t="array" ref="I31">[1]!PVT_rho_gas_kgm3(p,t,PVT_json)</f>
        <v>188.71052616498764</v>
      </c>
      <c r="J31" s="15" cm="1">
        <f t="array" ref="J31">[1]!feed_ST_liqgas_Nm(p,t,G31)</f>
        <v>2.6905630849376586E-2</v>
      </c>
      <c r="K31" s="17" cm="1">
        <f t="array" ref="K31">[1]!feed_q_liq_rc_m3day(p,t,G31)</f>
        <v>48.451321691214936</v>
      </c>
      <c r="L31" s="17" cm="1">
        <f t="array" ref="L31">[1]!feed_q_gas_rc_m3day(p,t,G31)</f>
        <v>4.568680745195155</v>
      </c>
      <c r="M31" s="16" cm="1">
        <f t="array" ref="M31">[1]!feed_mu_liq_cP(p,t,G31)</f>
        <v>0.39778655743087443</v>
      </c>
      <c r="N31" s="16" cm="1">
        <f t="array" ref="N31">[1]!PVT_mu_gas_cP(p,t,G31)</f>
        <v>2.2179447288884175E-2</v>
      </c>
      <c r="O31" s="18" cm="1">
        <f t="array" ref="O31">[1]!unf_ksep_ESP_natural_mechanistic_pump_below_perf(dintake_m,dcas_m,K31,L31,J31,H31,I31,M31,N31,1,hperf,calibr_li,calibr_st)</f>
        <v>1</v>
      </c>
      <c r="R31" s="7">
        <f t="array" ref="R31:X31">[1]!unf_ksep_ESP_natural_mechanistic_pump_below_perf(dintake_m,dcas_m,K31,L31,J31,H31,I31,M31,N31,0,hperf,calibr_li,calibr_st)</f>
        <v>1</v>
      </c>
      <c r="S31" s="7">
        <v>3</v>
      </c>
      <c r="T31" s="7">
        <v>6.9169665154348713E-4</v>
      </c>
      <c r="U31" s="7">
        <v>0.18194133531794229</v>
      </c>
      <c r="V31" s="7">
        <v>4.2311209845714223E-2</v>
      </c>
      <c r="W31" s="7">
        <v>3.989703541215802E-3</v>
      </c>
      <c r="X31" s="7">
        <v>0.14242113148174296</v>
      </c>
    </row>
    <row r="32" spans="4:24" x14ac:dyDescent="0.25">
      <c r="F32" s="1">
        <v>50</v>
      </c>
      <c r="G32" s="13" t="str">
        <f>[1]!encode_feed(F32,$E$17,$E$18,$E$19,$E$15)</f>
        <v>{"gamma_gas":0.81,"gamma_oil":0.86,"gamma_wat":1.1,"rsb_m3m3":268,"pb_atma":199,"t_res_C":80,"PVT_corr_set":1,"q_liq_sm3day":50,"fw_perc":10,"rp_m3m3":268}</v>
      </c>
      <c r="H32" s="14" cm="1">
        <f t="array" ref="H32">[1]!feed_rho_liq_kgm3(p,t,G32)</f>
        <v>692.68525477941614</v>
      </c>
      <c r="I32" s="14" cm="1">
        <f t="array" ref="I32">[1]!PVT_rho_gas_kgm3(p,t,PVT_json)</f>
        <v>188.71052616498764</v>
      </c>
      <c r="J32" s="15" cm="1">
        <f t="array" ref="J32">[1]!feed_ST_liqgas_Nm(p,t,G32)</f>
        <v>2.6905630849376586E-2</v>
      </c>
      <c r="K32" s="17" cm="1">
        <f t="array" ref="K32">[1]!feed_q_liq_rc_m3day(p,t,G32)</f>
        <v>80.752202818691558</v>
      </c>
      <c r="L32" s="17" cm="1">
        <f t="array" ref="L32">[1]!feed_q_gas_rc_m3day(p,t,G32)</f>
        <v>7.6144679086585905</v>
      </c>
      <c r="M32" s="16" cm="1">
        <f t="array" ref="M32">[1]!feed_mu_liq_cP(p,t,G32)</f>
        <v>0.39778655743087443</v>
      </c>
      <c r="N32" s="16" cm="1">
        <f t="array" ref="N32">[1]!PVT_mu_gas_cP(p,t,G32)</f>
        <v>2.2179447288884175E-2</v>
      </c>
      <c r="O32" s="18" cm="1">
        <f t="array" ref="O32">[1]!unf_ksep_ESP_natural_mechanistic_pump_below_perf(dintake_m,dcas_m,K32,L32,J32,H32,I32,M32,N32,1,hperf,calibr_li,calibr_st)</f>
        <v>1</v>
      </c>
      <c r="R32" s="7">
        <f t="array" ref="R32:X32">[1]!unf_ksep_ESP_natural_mechanistic_pump_below_perf(dintake_m,dcas_m,K32,L32,J32,H32,I32,M32,N32,0,hperf,calibr_li,calibr_st)</f>
        <v>1</v>
      </c>
      <c r="S32" s="7">
        <v>3</v>
      </c>
      <c r="T32" s="7">
        <v>6.8971056270545749E-4</v>
      </c>
      <c r="U32" s="7">
        <v>0.18194133531794229</v>
      </c>
      <c r="V32" s="7">
        <v>7.0518683076190372E-2</v>
      </c>
      <c r="W32" s="7">
        <v>6.6495059020263356E-3</v>
      </c>
      <c r="X32" s="7">
        <v>0.10575141628212396</v>
      </c>
    </row>
    <row r="33" spans="5:25" x14ac:dyDescent="0.25">
      <c r="F33" s="1">
        <v>70</v>
      </c>
      <c r="G33" s="13" t="str">
        <f>[1]!encode_feed(F33,$E$17,$E$18,$E$19,$E$15)</f>
        <v>{"gamma_gas":0.81,"gamma_oil":0.86,"gamma_wat":1.1,"rsb_m3m3":268,"pb_atma":199,"t_res_C":80,"PVT_corr_set":1,"q_liq_sm3day":70,"fw_perc":10,"rp_m3m3":268}</v>
      </c>
      <c r="H33" s="14" cm="1">
        <f t="array" ref="H33">[1]!feed_rho_liq_kgm3(p,t,G33)</f>
        <v>692.68525477941614</v>
      </c>
      <c r="I33" s="14" cm="1">
        <f t="array" ref="I33">[1]!PVT_rho_gas_kgm3(p,t,PVT_json)</f>
        <v>188.71052616498764</v>
      </c>
      <c r="J33" s="15" cm="1">
        <f t="array" ref="J33">[1]!feed_ST_liqgas_Nm(p,t,G33)</f>
        <v>2.6905630849376586E-2</v>
      </c>
      <c r="K33" s="17" cm="1">
        <f t="array" ref="K33">[1]!feed_q_liq_rc_m3day(p,t,G33)</f>
        <v>113.05308394616819</v>
      </c>
      <c r="L33" s="17" cm="1">
        <f t="array" ref="L33">[1]!feed_q_gas_rc_m3day(p,t,G33)</f>
        <v>10.660255072122027</v>
      </c>
      <c r="M33" s="16" cm="1">
        <f t="array" ref="M33">[1]!feed_mu_liq_cP(p,t,G33)</f>
        <v>0.39778655743087443</v>
      </c>
      <c r="N33" s="16" cm="1">
        <f t="array" ref="N33">[1]!PVT_mu_gas_cP(p,t,G33)</f>
        <v>2.2179447288884175E-2</v>
      </c>
      <c r="O33" s="18" cm="1">
        <f t="array" ref="O33">[1]!unf_ksep_ESP_natural_mechanistic_pump_below_perf(dintake_m,dcas_m,K33,L33,J33,H33,I33,M33,N33,1,hperf,calibr_li,calibr_st)</f>
        <v>1</v>
      </c>
      <c r="R33" s="7">
        <f t="array" ref="R33:X33">[1]!unf_ksep_ESP_natural_mechanistic_pump_below_perf(dintake_m,dcas_m,K33,L33,J33,H33,I33,M33,N33,0,hperf,calibr_li,calibr_st)</f>
        <v>1</v>
      </c>
      <c r="S33" s="7">
        <v>3</v>
      </c>
      <c r="T33" s="7">
        <v>6.8782263181951439E-4</v>
      </c>
      <c r="U33" s="7">
        <v>0.18194133531794229</v>
      </c>
      <c r="V33" s="7">
        <v>9.8726156306666521E-2</v>
      </c>
      <c r="W33" s="7">
        <v>9.3093082628368708E-3</v>
      </c>
      <c r="X33" s="7">
        <v>6.908170108250497E-2</v>
      </c>
    </row>
    <row r="34" spans="5:25" x14ac:dyDescent="0.25">
      <c r="F34" s="1">
        <v>90</v>
      </c>
      <c r="G34" s="13" t="str">
        <f>[1]!encode_feed(F34,$E$17,$E$18,$E$19,$E$15)</f>
        <v>{"gamma_gas":0.81,"gamma_oil":0.86,"gamma_wat":1.1,"rsb_m3m3":268,"pb_atma":199,"t_res_C":80,"PVT_corr_set":1,"q_liq_sm3day":90,"fw_perc":10,"rp_m3m3":268}</v>
      </c>
      <c r="H34" s="14" cm="1">
        <f t="array" ref="H34">[1]!feed_rho_liq_kgm3(p,t,G34)</f>
        <v>692.68525477941614</v>
      </c>
      <c r="I34" s="14" cm="1">
        <f t="array" ref="I34">[1]!PVT_rho_gas_kgm3(p,t,PVT_json)</f>
        <v>188.71052616498764</v>
      </c>
      <c r="J34" s="15" cm="1">
        <f t="array" ref="J34">[1]!feed_ST_liqgas_Nm(p,t,G34)</f>
        <v>2.6905630849376586E-2</v>
      </c>
      <c r="K34" s="17" cm="1">
        <f t="array" ref="K34">[1]!feed_q_liq_rc_m3day(p,t,G34)</f>
        <v>145.35396507364482</v>
      </c>
      <c r="L34" s="17" cm="1">
        <f t="array" ref="L34">[1]!feed_q_gas_rc_m3day(p,t,G34)</f>
        <v>13.706042235585462</v>
      </c>
      <c r="M34" s="16" cm="1">
        <f t="array" ref="M34">[1]!feed_mu_liq_cP(p,t,G34)</f>
        <v>0.39778655743087443</v>
      </c>
      <c r="N34" s="16" cm="1">
        <f t="array" ref="N34">[1]!PVT_mu_gas_cP(p,t,G34)</f>
        <v>2.2179447288884175E-2</v>
      </c>
      <c r="O34" s="18" cm="1">
        <f t="array" ref="O34">[1]!unf_ksep_ESP_natural_mechanistic_pump_below_perf(dintake_m,dcas_m,K34,L34,J34,H34,I34,M34,N34,1,hperf,calibr_li,calibr_st)</f>
        <v>0.73618494108013122</v>
      </c>
      <c r="R34" s="7">
        <f t="array" ref="R34:X34">[1]!unf_ksep_ESP_natural_mechanistic_pump_below_perf(dintake_m,dcas_m,K34,L34,J34,H34,I34,M34,N34,0,hperf,calibr_li,calibr_st)</f>
        <v>0.73618494108013122</v>
      </c>
      <c r="S34" s="7">
        <v>3</v>
      </c>
      <c r="T34" s="7">
        <v>6.8602910652196063E-4</v>
      </c>
      <c r="U34" s="7">
        <v>0.18194133531794229</v>
      </c>
      <c r="V34" s="7">
        <v>0.12693362953714268</v>
      </c>
      <c r="W34" s="7">
        <v>1.1969110623647404E-2</v>
      </c>
      <c r="X34" s="7">
        <v>3.2411985882885963E-2</v>
      </c>
    </row>
    <row r="35" spans="5:25" x14ac:dyDescent="0.25">
      <c r="F35" s="1">
        <v>110</v>
      </c>
      <c r="G35" s="13" t="str">
        <f>[1]!encode_feed(F35,$E$17,$E$18,$E$19,$E$15)</f>
        <v>{"gamma_gas":0.81,"gamma_oil":0.86,"gamma_wat":1.1,"rsb_m3m3":268,"pb_atma":199,"t_res_C":80,"PVT_corr_set":1,"q_liq_sm3day":110,"fw_perc":10,"rp_m3m3":268}</v>
      </c>
      <c r="H35" s="14" cm="1">
        <f t="array" ref="H35">[1]!feed_rho_liq_kgm3(p,t,G35)</f>
        <v>692.68525477941614</v>
      </c>
      <c r="I35" s="14" cm="1">
        <f t="array" ref="I35">[1]!PVT_rho_gas_kgm3(p,t,PVT_json)</f>
        <v>188.71052616498764</v>
      </c>
      <c r="J35" s="15" cm="1">
        <f t="array" ref="J35">[1]!feed_ST_liqgas_Nm(p,t,G35)</f>
        <v>2.6905630849376586E-2</v>
      </c>
      <c r="K35" s="17" cm="1">
        <f t="array" ref="K35">[1]!feed_q_liq_rc_m3day(p,t,G35)</f>
        <v>177.65484620112144</v>
      </c>
      <c r="L35" s="17" cm="1">
        <f t="array" ref="L35">[1]!feed_q_gas_rc_m3day(p,t,G35)</f>
        <v>16.751829399048901</v>
      </c>
      <c r="M35" s="16" cm="1">
        <f t="array" ref="M35">[1]!feed_mu_liq_cP(p,t,G35)</f>
        <v>0.39778655743087443</v>
      </c>
      <c r="N35" s="16" cm="1">
        <f t="array" ref="N35">[1]!PVT_mu_gas_cP(p,t,G35)</f>
        <v>2.2179447288884175E-2</v>
      </c>
      <c r="O35" s="18" cm="1">
        <f t="array" ref="O35">[1]!unf_ksep_ESP_natural_mechanistic_pump_below_perf(dintake_m,dcas_m,K35,L35,J35,H35,I35,M35,N35,1,hperf,calibr_li,calibr_st)</f>
        <v>0.44691492580255421</v>
      </c>
      <c r="R35" s="7">
        <f t="array" ref="R35:X35">[1]!unf_ksep_ESP_natural_mechanistic_pump_below_perf(dintake_m,dcas_m,K35,L35,J35,H35,I35,M35,N35,0,hperf,calibr_li,calibr_st)</f>
        <v>0.44691492580255421</v>
      </c>
      <c r="S35" s="7">
        <v>3</v>
      </c>
      <c r="T35" s="7">
        <v>6.8432641881485364E-4</v>
      </c>
      <c r="U35" s="7">
        <v>0.18194133531794229</v>
      </c>
      <c r="V35" s="7">
        <v>0.15514110276761883</v>
      </c>
      <c r="W35" s="7">
        <v>1.462891298445794E-2</v>
      </c>
      <c r="X35" s="7">
        <v>-4.2577293167330348E-3</v>
      </c>
    </row>
    <row r="36" spans="5:25" x14ac:dyDescent="0.25">
      <c r="F36" s="1">
        <v>130</v>
      </c>
      <c r="G36" s="13" t="str">
        <f>[1]!encode_feed(F36,$E$17,$E$18,$E$19,$E$15)</f>
        <v>{"gamma_gas":0.81,"gamma_oil":0.86,"gamma_wat":1.1,"rsb_m3m3":268,"pb_atma":199,"t_res_C":80,"PVT_corr_set":1,"q_liq_sm3day":130,"fw_perc":10,"rp_m3m3":268}</v>
      </c>
      <c r="H36" s="14" cm="1">
        <f t="array" ref="H36">[1]!feed_rho_liq_kgm3(p,t,G36)</f>
        <v>692.68525477941614</v>
      </c>
      <c r="I36" s="14" cm="1">
        <f t="array" ref="I36">[1]!PVT_rho_gas_kgm3(p,t,PVT_json)</f>
        <v>188.71052616498764</v>
      </c>
      <c r="J36" s="15" cm="1">
        <f t="array" ref="J36">[1]!feed_ST_liqgas_Nm(p,t,G36)</f>
        <v>2.6905630849376586E-2</v>
      </c>
      <c r="K36" s="17" cm="1">
        <f t="array" ref="K36">[1]!feed_q_liq_rc_m3day(p,t,G36)</f>
        <v>209.95572732859807</v>
      </c>
      <c r="L36" s="17" cm="1">
        <f t="array" ref="L36">[1]!feed_q_gas_rc_m3day(p,t,G36)</f>
        <v>19.797616562512339</v>
      </c>
      <c r="M36" s="16" cm="1">
        <f t="array" ref="M36">[1]!feed_mu_liq_cP(p,t,G36)</f>
        <v>0.39778655743087443</v>
      </c>
      <c r="N36" s="16" cm="1">
        <f t="array" ref="N36">[1]!PVT_mu_gas_cP(p,t,G36)</f>
        <v>2.2179447288884175E-2</v>
      </c>
      <c r="O36" s="18" cm="1">
        <f t="array" ref="O36">[1]!unf_ksep_ESP_natural_mechanistic_pump_below_perf(dintake_m,dcas_m,K36,L36,J36,H36,I36,M36,N36,1,hperf,calibr_li,calibr_st)</f>
        <v>0.35608475392987116</v>
      </c>
      <c r="R36" s="7">
        <f t="array" ref="R36:X36">[1]!unf_ksep_ESP_natural_mechanistic_pump_below_perf(dintake_m,dcas_m,K36,L36,J36,H36,I36,M36,N36,0,hperf,calibr_li,calibr_st)</f>
        <v>0.35608475392987116</v>
      </c>
      <c r="S36" s="7">
        <v>3</v>
      </c>
      <c r="T36" s="7">
        <v>6.8271117365141184E-4</v>
      </c>
      <c r="U36" s="7">
        <v>0.18194133531794229</v>
      </c>
      <c r="V36" s="7">
        <v>0.18334857599809498</v>
      </c>
      <c r="W36" s="7">
        <v>1.7288715345268477E-2</v>
      </c>
      <c r="X36" s="7">
        <v>-4.0927444516352031E-2</v>
      </c>
    </row>
    <row r="37" spans="5:25" x14ac:dyDescent="0.25">
      <c r="F37" s="1">
        <v>150</v>
      </c>
      <c r="G37" s="13" t="str">
        <f>[1]!encode_feed(F37,$E$17,$E$18,$E$19,$E$15)</f>
        <v>{"gamma_gas":0.81,"gamma_oil":0.86,"gamma_wat":1.1,"rsb_m3m3":268,"pb_atma":199,"t_res_C":80,"PVT_corr_set":1,"q_liq_sm3day":150,"fw_perc":10,"rp_m3m3":268}</v>
      </c>
      <c r="H37" s="14" cm="1">
        <f t="array" ref="H37">[1]!feed_rho_liq_kgm3(p,t,G37)</f>
        <v>692.68525477941614</v>
      </c>
      <c r="I37" s="14" cm="1">
        <f t="array" ref="I37">[1]!PVT_rho_gas_kgm3(p,t,PVT_json)</f>
        <v>188.71052616498764</v>
      </c>
      <c r="J37" s="15" cm="1">
        <f t="array" ref="J37">[1]!feed_ST_liqgas_Nm(p,t,G37)</f>
        <v>2.6905630849376586E-2</v>
      </c>
      <c r="K37" s="17" cm="1">
        <f t="array" ref="K37">[1]!feed_q_liq_rc_m3day(p,t,G37)</f>
        <v>242.2566084560747</v>
      </c>
      <c r="L37" s="17" cm="1">
        <f t="array" ref="L37">[1]!feed_q_gas_rc_m3day(p,t,G37)</f>
        <v>22.843403725975772</v>
      </c>
      <c r="M37" s="16" cm="1">
        <f t="array" ref="M37">[1]!feed_mu_liq_cP(p,t,G37)</f>
        <v>0.39778655743087443</v>
      </c>
      <c r="N37" s="16" cm="1">
        <f t="array" ref="N37">[1]!PVT_mu_gas_cP(p,t,G37)</f>
        <v>2.2179447288884175E-2</v>
      </c>
      <c r="O37" s="18" cm="1">
        <f t="array" ref="O37">[1]!unf_ksep_ESP_natural_mechanistic_pump_below_perf(dintake_m,dcas_m,K37,L37,J37,H37,I37,M37,N37,1,hperf,calibr_li,calibr_st)</f>
        <v>0.29645774346592901</v>
      </c>
      <c r="R37" s="7">
        <f t="array" ref="R37:X37">[1]!unf_ksep_ESP_natural_mechanistic_pump_below_perf(dintake_m,dcas_m,K37,L37,J37,H37,I37,M37,N37,0,hperf,calibr_li,calibr_st)</f>
        <v>0.29645774346592901</v>
      </c>
      <c r="S37" s="7">
        <v>3</v>
      </c>
      <c r="T37" s="7">
        <v>6.8118013836059488E-4</v>
      </c>
      <c r="U37" s="7">
        <v>0.18194133531794229</v>
      </c>
      <c r="V37" s="7">
        <v>0.21155604922857113</v>
      </c>
      <c r="W37" s="7">
        <v>1.9948517706079007E-2</v>
      </c>
      <c r="X37" s="7">
        <v>-7.7597159715971017E-2</v>
      </c>
    </row>
    <row r="38" spans="5:25" x14ac:dyDescent="0.25">
      <c r="F38" s="1">
        <v>170</v>
      </c>
      <c r="G38" s="13" t="str">
        <f>[1]!encode_feed(F38,$E$17,$E$18,$E$19,$E$15)</f>
        <v>{"gamma_gas":0.81,"gamma_oil":0.86,"gamma_wat":1.1,"rsb_m3m3":268,"pb_atma":199,"t_res_C":80,"PVT_corr_set":1,"q_liq_sm3day":170,"fw_perc":10,"rp_m3m3":268}</v>
      </c>
      <c r="H38" s="14" cm="1">
        <f t="array" ref="H38">[1]!feed_rho_liq_kgm3(p,t,G38)</f>
        <v>692.68525477941614</v>
      </c>
      <c r="I38" s="14" cm="1">
        <f t="array" ref="I38">[1]!PVT_rho_gas_kgm3(p,t,PVT_json)</f>
        <v>188.71052616498764</v>
      </c>
      <c r="J38" s="15" cm="1">
        <f t="array" ref="J38">[1]!feed_ST_liqgas_Nm(p,t,G38)</f>
        <v>2.6905630849376586E-2</v>
      </c>
      <c r="K38" s="17" cm="1">
        <f t="array" ref="K38">[1]!feed_q_liq_rc_m3day(p,t,G38)</f>
        <v>274.55748958355133</v>
      </c>
      <c r="L38" s="17" cm="1">
        <f t="array" ref="L38">[1]!feed_q_gas_rc_m3day(p,t,G38)</f>
        <v>25.88919088943921</v>
      </c>
      <c r="M38" s="16" cm="1">
        <f t="array" ref="M38">[1]!feed_mu_liq_cP(p,t,G38)</f>
        <v>0.39778655743087443</v>
      </c>
      <c r="N38" s="16" cm="1">
        <f t="array" ref="N38">[1]!PVT_mu_gas_cP(p,t,G38)</f>
        <v>2.2179447288884175E-2</v>
      </c>
      <c r="O38" s="18" cm="1">
        <f t="array" ref="O38">[1]!unf_ksep_ESP_natural_mechanistic_pump_below_perf(dintake_m,dcas_m,K38,L38,J38,H38,I38,M38,N38,1,hperf,calibr_li,calibr_st)</f>
        <v>0.2539438754296553</v>
      </c>
      <c r="R38" s="7">
        <f t="array" ref="R38:X38">[1]!unf_ksep_ESP_natural_mechanistic_pump_below_perf(dintake_m,dcas_m,K38,L38,J38,H38,I38,M38,N38,0,hperf,calibr_li,calibr_st)</f>
        <v>0.2539438754296553</v>
      </c>
      <c r="S38" s="7">
        <v>3</v>
      </c>
      <c r="T38" s="7">
        <v>6.7973023283983891E-4</v>
      </c>
      <c r="U38" s="7">
        <v>0.18194133531794229</v>
      </c>
      <c r="V38" s="7">
        <v>0.23976352245904728</v>
      </c>
      <c r="W38" s="7">
        <v>2.2608320066889544E-2</v>
      </c>
      <c r="X38" s="7">
        <v>-0.11426687491559002</v>
      </c>
    </row>
    <row r="39" spans="5:25" x14ac:dyDescent="0.25">
      <c r="F39" s="1">
        <v>190</v>
      </c>
      <c r="G39" s="13" t="str">
        <f>[1]!encode_feed(F39,$E$17,$E$18,$E$19,$E$15)</f>
        <v>{"gamma_gas":0.81,"gamma_oil":0.86,"gamma_wat":1.1,"rsb_m3m3":268,"pb_atma":199,"t_res_C":80,"PVT_corr_set":1,"q_liq_sm3day":190,"fw_perc":10,"rp_m3m3":268}</v>
      </c>
      <c r="H39" s="14" cm="1">
        <f t="array" ref="H39">[1]!feed_rho_liq_kgm3(p,t,G39)</f>
        <v>692.68525477941614</v>
      </c>
      <c r="I39" s="14" cm="1">
        <f t="array" ref="I39">[1]!PVT_rho_gas_kgm3(p,t,PVT_json)</f>
        <v>188.71052616498764</v>
      </c>
      <c r="J39" s="15" cm="1">
        <f t="array" ref="J39">[1]!feed_ST_liqgas_Nm(p,t,G39)</f>
        <v>2.6905630849376586E-2</v>
      </c>
      <c r="K39" s="17" cm="1">
        <f t="array" ref="K39">[1]!feed_q_liq_rc_m3day(p,t,G39)</f>
        <v>306.85837071102793</v>
      </c>
      <c r="L39" s="17" cm="1">
        <f t="array" ref="L39">[1]!feed_q_gas_rc_m3day(p,t,G39)</f>
        <v>28.934978052902647</v>
      </c>
      <c r="M39" s="16" cm="1">
        <f t="array" ref="M39">[1]!feed_mu_liq_cP(p,t,G39)</f>
        <v>0.39778655743087443</v>
      </c>
      <c r="N39" s="16" cm="1">
        <f t="array" ref="N39">[1]!PVT_mu_gas_cP(p,t,G39)</f>
        <v>2.2179447288884175E-2</v>
      </c>
      <c r="O39" s="18" cm="1">
        <f t="array" ref="O39">[1]!unf_ksep_ESP_natural_mechanistic_pump_below_perf(dintake_m,dcas_m,K39,L39,J39,H39,I39,M39,N39,1,hperf,calibr_li,calibr_st)</f>
        <v>0.22199116784338804</v>
      </c>
      <c r="R39" s="7">
        <f t="array" ref="R39:X39">[1]!unf_ksep_ESP_natural_mechanistic_pump_below_perf(dintake_m,dcas_m,K39,L39,J39,H39,I39,M39,N39,0,hperf,calibr_li,calibr_st)</f>
        <v>0.22199116784338804</v>
      </c>
      <c r="S39" s="7">
        <v>3</v>
      </c>
      <c r="T39" s="7">
        <v>6.7835852045172002E-4</v>
      </c>
      <c r="U39" s="7">
        <v>0.18194133531794229</v>
      </c>
      <c r="V39" s="7">
        <v>0.26797099568952343</v>
      </c>
      <c r="W39" s="7">
        <v>2.5268122427700077E-2</v>
      </c>
      <c r="X39" s="7">
        <v>-0.15093659011520902</v>
      </c>
    </row>
    <row r="40" spans="5:25" x14ac:dyDescent="0.25">
      <c r="F40" s="1">
        <v>210</v>
      </c>
      <c r="G40" s="13" t="str">
        <f>[1]!encode_feed(F40,$E$17,$E$18,$E$19,$E$15)</f>
        <v>{"gamma_gas":0.81,"gamma_oil":0.86,"gamma_wat":1.1,"rsb_m3m3":268,"pb_atma":199,"t_res_C":80,"PVT_corr_set":1,"q_liq_sm3day":210,"fw_perc":10,"rp_m3m3":268}</v>
      </c>
      <c r="H40" s="14" cm="1">
        <f t="array" ref="H40">[1]!feed_rho_liq_kgm3(p,t,G40)</f>
        <v>692.68525477941614</v>
      </c>
      <c r="I40" s="14" cm="1">
        <f t="array" ref="I40">[1]!PVT_rho_gas_kgm3(p,t,PVT_json)</f>
        <v>188.71052616498764</v>
      </c>
      <c r="J40" s="15" cm="1">
        <f t="array" ref="J40">[1]!feed_ST_liqgas_Nm(p,t,G40)</f>
        <v>2.6905630849376586E-2</v>
      </c>
      <c r="K40" s="17" cm="1">
        <f t="array" ref="K40">[1]!feed_q_liq_rc_m3day(p,t,G40)</f>
        <v>339.15925183850459</v>
      </c>
      <c r="L40" s="17" cm="1">
        <f t="array" ref="L40">[1]!feed_q_gas_rc_m3day(p,t,G40)</f>
        <v>31.980765216366084</v>
      </c>
      <c r="M40" s="16" cm="1">
        <f t="array" ref="M40">[1]!feed_mu_liq_cP(p,t,G40)</f>
        <v>0.39778655743087443</v>
      </c>
      <c r="N40" s="16" cm="1">
        <f t="array" ref="N40">[1]!PVT_mu_gas_cP(p,t,G40)</f>
        <v>2.2179447288884175E-2</v>
      </c>
      <c r="O40" s="18" cm="1">
        <f t="array" ref="O40">[1]!unf_ksep_ESP_natural_mechanistic_pump_below_perf(dintake_m,dcas_m,K40,L40,J40,H40,I40,M40,N40,1,hperf,calibr_li,calibr_st)</f>
        <v>0.19706280708636417</v>
      </c>
      <c r="R40" s="7" cm="1">
        <f t="array" ref="R40:X41">[1]!unf_ksep_ESP_natural_mechanistic_pump_below_perf(dintake_m,dcas_m,K40,L40,J40,H40,I40,M40,N40,0,hperf,calibr_li,calibr_st)</f>
        <v>0.19706280708636417</v>
      </c>
      <c r="S40" s="7">
        <v>3</v>
      </c>
      <c r="T40" s="7">
        <v>6.7706219956638575E-4</v>
      </c>
      <c r="U40" s="7">
        <v>0.18194133531794229</v>
      </c>
      <c r="V40" s="7">
        <v>0.2961784689199996</v>
      </c>
      <c r="W40" s="7">
        <v>2.7927924788510614E-2</v>
      </c>
      <c r="X40" s="7">
        <v>-0.18760630531482805</v>
      </c>
    </row>
    <row r="41" spans="5:25" x14ac:dyDescent="0.25">
      <c r="R41" s="5" t="str">
        <v>ksep</v>
      </c>
      <c r="S41" s="5" t="str">
        <v>flow regime</v>
      </c>
      <c r="T41" s="5" t="str">
        <v>li</v>
      </c>
      <c r="U41" s="5" t="str">
        <v>v_ooz</v>
      </c>
      <c r="V41" s="5" t="str">
        <v>vsl</v>
      </c>
      <c r="W41" s="5" t="str">
        <v>vsg</v>
      </c>
      <c r="X41" s="5" t="str">
        <v>vg_downflow</v>
      </c>
    </row>
    <row r="45" spans="5:25" x14ac:dyDescent="0.25">
      <c r="E45" t="s">
        <v>47</v>
      </c>
    </row>
    <row r="47" spans="5:25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25" x14ac:dyDescent="0.25">
      <c r="F48" s="13">
        <f>E16</f>
        <v>150</v>
      </c>
      <c r="G48" s="13" t="str">
        <f>[1]!encode_feed(F48,$E$17,$E$18,$E$19,$E$15)</f>
        <v>{"gamma_gas":0.81,"gamma_oil":0.86,"gamma_wat":1.1,"rsb_m3m3":268,"pb_atma":199,"t_res_C":80,"PVT_corr_set":1,"q_liq_sm3day":150,"fw_perc":10,"rp_m3m3":268}</v>
      </c>
      <c r="H48" s="14" cm="1">
        <f t="array" ref="H48">[1]!feed_rho_liq_kgm3(p,t,G48)</f>
        <v>692.68525477941614</v>
      </c>
      <c r="I48" s="14" cm="1">
        <f t="array" ref="I48">[1]!PVT_rho_gas_kgm3(p,t,PVT_json)</f>
        <v>188.71052616498764</v>
      </c>
      <c r="J48" s="15" cm="1">
        <f t="array" ref="J48">[1]!feed_ST_liqgas_Nm(p,t,G48)</f>
        <v>2.6905630849376586E-2</v>
      </c>
      <c r="K48" s="17" cm="1">
        <f t="array" ref="K48">[1]!feed_q_liq_rc_m3day(p,t,G48)</f>
        <v>242.2566084560747</v>
      </c>
      <c r="L48" s="17" cm="1">
        <f t="array" ref="L48">[1]!feed_q_gas_rc_m3day(p,t,G48)</f>
        <v>22.843403725975772</v>
      </c>
      <c r="M48" s="16" cm="1">
        <f t="array" ref="M48">[1]!feed_mu_liq_cP(p,t,G48)</f>
        <v>0.39778655743087443</v>
      </c>
      <c r="N48" s="16" cm="1">
        <f t="array" ref="N48">[1]!PVT_mu_gas_cP(p,t,G48)</f>
        <v>2.2179447288884175E-2</v>
      </c>
      <c r="R48" s="13" cm="1">
        <f t="array" ref="R48:X49">[1]!unf_ksep_ESP_natural_mechanistic_pump_below_perf(dintake_m,dcas_m,K48,L48,J48,H48,I48,M48,N48,0,hperf,calibr_li,calibr_st)</f>
        <v>0.29645774346592901</v>
      </c>
      <c r="S48" s="13">
        <v>3</v>
      </c>
      <c r="T48" s="13">
        <v>6.8118013836059488E-4</v>
      </c>
      <c r="U48" s="13">
        <v>0.18194133531794229</v>
      </c>
      <c r="V48" s="13">
        <v>0.21155604922857113</v>
      </c>
      <c r="W48" s="13">
        <v>1.9948517706079007E-2</v>
      </c>
      <c r="X48" s="13">
        <v>-7.7597159715971017E-2</v>
      </c>
      <c r="Y48" s="13"/>
    </row>
    <row r="49" spans="5:32" x14ac:dyDescent="0.25">
      <c r="R49" s="13" t="str">
        <v>ksep</v>
      </c>
      <c r="S49" s="13" t="str">
        <v>flow regime</v>
      </c>
      <c r="T49" s="13" t="str">
        <v>li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/>
    </row>
    <row r="53" spans="5:32" x14ac:dyDescent="0.25">
      <c r="E53" s="5" t="str" cm="1">
        <f t="array" ref="E53">[1]!unf_ksep_mechanistic_Marquez_reverse_build_bubble_tracks(dintake_m,dcas_m,K48,L48,J48,H48,I48,M48,N48,hperf,calibr_li,calibr_st)</f>
        <v>{"n 1":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,"n 2":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,"n 3":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,"n 4":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,"n 5":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,"n 6":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,"n 7":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,"n 8":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56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</v>
      </c>
      <c r="G55" t="s">
        <v>56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</row>
    <row r="56" spans="5:32" x14ac:dyDescent="0.25">
      <c r="E56" s="20" t="str">
        <v>n 2</v>
      </c>
      <c r="F56" s="20" t="str">
        <v>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</v>
      </c>
      <c r="G56" t="s">
        <v>56</v>
      </c>
      <c r="I56" s="21">
        <v>2.2870999999999999E-2</v>
      </c>
      <c r="J56" s="21">
        <v>0</v>
      </c>
      <c r="L56" s="20">
        <v>2.0466000000000002E-2</v>
      </c>
      <c r="M56" s="20">
        <v>0</v>
      </c>
      <c r="O56" s="20">
        <v>1.7047E-2</v>
      </c>
      <c r="P56" s="20">
        <v>0</v>
      </c>
      <c r="R56" s="20">
        <v>1.2975E-2</v>
      </c>
      <c r="S56" s="20">
        <v>0</v>
      </c>
      <c r="U56" s="20">
        <v>8.4849999999999995E-3</v>
      </c>
      <c r="V56" s="20">
        <v>0</v>
      </c>
      <c r="X56" s="20">
        <v>3.7269999999999998E-3</v>
      </c>
      <c r="Y56" s="20">
        <v>0</v>
      </c>
      <c r="AA56" s="20">
        <v>3.2224000000000003E-2</v>
      </c>
      <c r="AB56" s="20">
        <v>12</v>
      </c>
      <c r="AD56" s="20">
        <v>5.0368000000000003E-2</v>
      </c>
      <c r="AE56" s="20">
        <v>12</v>
      </c>
    </row>
    <row r="57" spans="5:32" x14ac:dyDescent="0.25">
      <c r="E57" s="20" t="str">
        <v>n 3</v>
      </c>
      <c r="F57" s="20" t="str">
        <v>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</v>
      </c>
      <c r="G57" t="s">
        <v>56</v>
      </c>
      <c r="I57" s="21">
        <v>2.2880999999999999E-2</v>
      </c>
      <c r="J57" s="21">
        <v>6.7390030000000003</v>
      </c>
      <c r="L57" s="20">
        <v>2.0476000000000001E-2</v>
      </c>
      <c r="M57" s="20">
        <v>7.1238780000000004</v>
      </c>
      <c r="O57" s="20">
        <v>1.7056999999999999E-2</v>
      </c>
      <c r="P57" s="20">
        <v>7.6708220000000003</v>
      </c>
      <c r="R57" s="20">
        <v>1.2985E-2</v>
      </c>
      <c r="S57" s="20">
        <v>8.3223870000000009</v>
      </c>
      <c r="U57" s="20">
        <v>8.4950000000000008E-3</v>
      </c>
      <c r="V57" s="20">
        <v>9.040832</v>
      </c>
      <c r="X57" s="20">
        <v>3.7369999999999999E-3</v>
      </c>
      <c r="Y57" s="20">
        <v>9.8021119999999993</v>
      </c>
      <c r="AA57" s="20">
        <v>3.2233999999999999E-2</v>
      </c>
      <c r="AB57" s="20">
        <v>10</v>
      </c>
      <c r="AD57" s="20">
        <v>5.0377999999999999E-2</v>
      </c>
      <c r="AE57" s="20">
        <v>10</v>
      </c>
    </row>
    <row r="58" spans="5:32" x14ac:dyDescent="0.25">
      <c r="E58" s="20" t="str">
        <v>n 4</v>
      </c>
      <c r="F58" s="20" t="str">
        <v>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</v>
      </c>
      <c r="G58" t="s">
        <v>56</v>
      </c>
      <c r="I58" s="21">
        <v>2.6112E-2</v>
      </c>
      <c r="J58" s="21">
        <v>6.5946239999999996</v>
      </c>
      <c r="L58" s="20">
        <v>2.3890999999999999E-2</v>
      </c>
      <c r="M58" s="20">
        <v>6.9933820000000004</v>
      </c>
      <c r="O58" s="20">
        <v>2.0736000000000001E-2</v>
      </c>
      <c r="P58" s="20">
        <v>7.5603470000000002</v>
      </c>
      <c r="R58" s="20">
        <v>1.6976999999999999E-2</v>
      </c>
      <c r="S58" s="20">
        <v>8.2361909999999998</v>
      </c>
      <c r="U58" s="20">
        <v>1.2832E-2</v>
      </c>
      <c r="V58" s="20">
        <v>8.9822710000000008</v>
      </c>
      <c r="X58" s="20">
        <v>8.4399999999999996E-3</v>
      </c>
      <c r="Y58" s="20">
        <v>9.7740989999999996</v>
      </c>
      <c r="AA58" s="20">
        <v>3.4744999999999998E-2</v>
      </c>
      <c r="AB58" s="20">
        <v>9.8952589999999994</v>
      </c>
      <c r="AD58" s="20">
        <v>5.1493999999999998E-2</v>
      </c>
      <c r="AE58" s="20">
        <v>9.9289939999999994</v>
      </c>
    </row>
    <row r="59" spans="5:32" x14ac:dyDescent="0.25">
      <c r="E59" s="20" t="str">
        <v>n 5</v>
      </c>
      <c r="F59" s="20" t="str">
        <v>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</v>
      </c>
      <c r="G59" t="s">
        <v>56</v>
      </c>
      <c r="I59" s="21">
        <v>2.9353000000000001E-2</v>
      </c>
      <c r="J59" s="21">
        <v>6.4265150000000002</v>
      </c>
      <c r="L59" s="20">
        <v>2.7317000000000001E-2</v>
      </c>
      <c r="M59" s="20">
        <v>6.8387320000000003</v>
      </c>
      <c r="O59" s="20">
        <v>2.4424999999999999E-2</v>
      </c>
      <c r="P59" s="20">
        <v>7.4249320000000001</v>
      </c>
      <c r="R59" s="20">
        <v>2.0979000000000001E-2</v>
      </c>
      <c r="S59" s="20">
        <v>8.1236160000000002</v>
      </c>
      <c r="U59" s="20">
        <v>1.7179E-2</v>
      </c>
      <c r="V59" s="20">
        <v>8.8952200000000001</v>
      </c>
      <c r="X59" s="20">
        <v>1.3153E-2</v>
      </c>
      <c r="Y59" s="20">
        <v>9.7147330000000007</v>
      </c>
      <c r="AA59" s="20">
        <v>3.7266000000000001E-2</v>
      </c>
      <c r="AB59" s="20">
        <v>9.7808320000000002</v>
      </c>
      <c r="AD59" s="20">
        <v>5.2618999999999999E-2</v>
      </c>
      <c r="AE59" s="20">
        <v>9.8552710000000001</v>
      </c>
    </row>
    <row r="60" spans="5:32" x14ac:dyDescent="0.25">
      <c r="E60" s="20" t="str">
        <v>n 6</v>
      </c>
      <c r="F60" s="20" t="str">
        <v>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</v>
      </c>
      <c r="G60" t="s">
        <v>56</v>
      </c>
      <c r="I60" s="21">
        <v>3.2592999999999997E-2</v>
      </c>
      <c r="J60" s="21">
        <v>6.2332049999999999</v>
      </c>
      <c r="L60" s="20">
        <v>3.0742999999999999E-2</v>
      </c>
      <c r="M60" s="20">
        <v>6.6588329999999996</v>
      </c>
      <c r="O60" s="20">
        <v>2.8112999999999999E-2</v>
      </c>
      <c r="P60" s="20">
        <v>7.2636649999999996</v>
      </c>
      <c r="R60" s="20">
        <v>2.4981E-2</v>
      </c>
      <c r="S60" s="20">
        <v>7.9842380000000004</v>
      </c>
      <c r="U60" s="20">
        <v>2.1527000000000001E-2</v>
      </c>
      <c r="V60" s="20">
        <v>8.7796149999999997</v>
      </c>
      <c r="X60" s="20">
        <v>1.7867000000000001E-2</v>
      </c>
      <c r="Y60" s="20">
        <v>9.6243309999999997</v>
      </c>
      <c r="AA60" s="20">
        <v>3.9787000000000003E-2</v>
      </c>
      <c r="AB60" s="20">
        <v>9.6568129999999996</v>
      </c>
      <c r="AD60" s="20">
        <v>5.3745000000000001E-2</v>
      </c>
      <c r="AE60" s="20">
        <v>9.7794089999999994</v>
      </c>
    </row>
    <row r="61" spans="5:32" x14ac:dyDescent="0.25">
      <c r="E61" s="20" t="str">
        <v>n 7</v>
      </c>
      <c r="F61" s="20" t="str">
        <v>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</v>
      </c>
      <c r="G61" t="s">
        <v>56</v>
      </c>
      <c r="I61" s="21">
        <v>3.5833999999999998E-2</v>
      </c>
      <c r="J61" s="21">
        <v>6.0125339999999996</v>
      </c>
      <c r="L61" s="20">
        <v>3.4168999999999998E-2</v>
      </c>
      <c r="M61" s="20">
        <v>6.4516390000000001</v>
      </c>
      <c r="O61" s="20">
        <v>3.1801999999999997E-2</v>
      </c>
      <c r="P61" s="20">
        <v>7.0749029999999999</v>
      </c>
      <c r="R61" s="20">
        <v>2.8982999999999998E-2</v>
      </c>
      <c r="S61" s="20">
        <v>7.8166029999999997</v>
      </c>
      <c r="U61" s="20">
        <v>2.5874000000000001E-2</v>
      </c>
      <c r="V61" s="20">
        <v>8.6347129999999996</v>
      </c>
      <c r="X61" s="20">
        <v>2.2579999999999999E-2</v>
      </c>
      <c r="Y61" s="20">
        <v>9.5029900000000005</v>
      </c>
      <c r="AA61" s="20">
        <v>4.2308999999999999E-2</v>
      </c>
      <c r="AB61" s="20">
        <v>9.5228479999999998</v>
      </c>
      <c r="AD61" s="20">
        <v>5.4870000000000002E-2</v>
      </c>
      <c r="AE61" s="20">
        <v>9.7012309999999999</v>
      </c>
    </row>
    <row r="62" spans="5:32" x14ac:dyDescent="0.25">
      <c r="E62" s="20" t="str">
        <v>n 8</v>
      </c>
      <c r="F62" s="20" t="str">
        <v>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</v>
      </c>
      <c r="G62" t="s">
        <v>56</v>
      </c>
      <c r="I62" s="21">
        <v>3.9074999999999999E-2</v>
      </c>
      <c r="J62" s="21">
        <v>5.7615939999999997</v>
      </c>
      <c r="L62" s="20">
        <v>3.7594000000000002E-2</v>
      </c>
      <c r="M62" s="20">
        <v>6.2147379999999997</v>
      </c>
      <c r="O62" s="20">
        <v>3.5491000000000002E-2</v>
      </c>
      <c r="P62" s="20">
        <v>6.8566089999999997</v>
      </c>
      <c r="R62" s="20">
        <v>3.2985E-2</v>
      </c>
      <c r="S62" s="20">
        <v>7.6192869999999999</v>
      </c>
      <c r="U62" s="20">
        <v>3.0221000000000001E-2</v>
      </c>
      <c r="V62" s="20">
        <v>8.4592749999999999</v>
      </c>
      <c r="X62" s="20">
        <v>2.7293000000000001E-2</v>
      </c>
      <c r="Y62" s="20">
        <v>9.3497909999999997</v>
      </c>
      <c r="AA62" s="20">
        <v>4.4830000000000002E-2</v>
      </c>
      <c r="AB62" s="20">
        <v>9.3785340000000001</v>
      </c>
      <c r="AD62" s="20">
        <v>5.5995999999999997E-2</v>
      </c>
      <c r="AE62" s="20">
        <v>9.6208159999999996</v>
      </c>
    </row>
    <row r="63" spans="5:32" x14ac:dyDescent="0.25">
      <c r="I63" s="21">
        <v>4.2314999999999998E-2</v>
      </c>
      <c r="J63" s="21">
        <v>5.4764780000000002</v>
      </c>
      <c r="L63" s="20">
        <v>4.1020000000000001E-2</v>
      </c>
      <c r="M63" s="20">
        <v>5.9445889999999997</v>
      </c>
      <c r="O63" s="20">
        <v>3.9178999999999999E-2</v>
      </c>
      <c r="P63" s="20">
        <v>6.606039</v>
      </c>
      <c r="R63" s="20">
        <v>3.6986999999999999E-2</v>
      </c>
      <c r="S63" s="20">
        <v>7.3899800000000004</v>
      </c>
      <c r="U63" s="20">
        <v>3.4569000000000003E-2</v>
      </c>
      <c r="V63" s="20">
        <v>8.2515630000000009</v>
      </c>
      <c r="X63" s="20">
        <v>3.2007000000000001E-2</v>
      </c>
      <c r="Y63" s="20">
        <v>9.1635439999999999</v>
      </c>
      <c r="AA63" s="20">
        <v>4.7350999999999997E-2</v>
      </c>
      <c r="AB63" s="20">
        <v>9.2234079999999992</v>
      </c>
      <c r="AD63" s="20">
        <v>5.7120999999999998E-2</v>
      </c>
      <c r="AE63" s="20">
        <v>9.5381090000000004</v>
      </c>
    </row>
    <row r="64" spans="5:32" x14ac:dyDescent="0.25">
      <c r="I64" s="21">
        <v>4.5555999999999999E-2</v>
      </c>
      <c r="J64" s="21">
        <v>5.1518620000000004</v>
      </c>
      <c r="L64" s="20">
        <v>4.4445999999999999E-2</v>
      </c>
      <c r="M64" s="20">
        <v>5.6369559999999996</v>
      </c>
      <c r="O64" s="20">
        <v>4.2868000000000003E-2</v>
      </c>
      <c r="P64" s="20">
        <v>6.319572</v>
      </c>
      <c r="R64" s="20">
        <v>4.0987999999999997E-2</v>
      </c>
      <c r="S64" s="20">
        <v>7.1257390000000003</v>
      </c>
      <c r="U64" s="20">
        <v>3.8915999999999999E-2</v>
      </c>
      <c r="V64" s="20">
        <v>8.0092540000000003</v>
      </c>
      <c r="X64" s="20">
        <v>3.6720000000000003E-2</v>
      </c>
      <c r="Y64" s="20">
        <v>8.9423290000000009</v>
      </c>
      <c r="AA64" s="20">
        <v>4.9872E-2</v>
      </c>
      <c r="AB64" s="20">
        <v>9.0569400000000009</v>
      </c>
      <c r="AD64" s="20">
        <v>5.8247E-2</v>
      </c>
      <c r="AE64" s="20">
        <v>9.4530550000000009</v>
      </c>
    </row>
    <row r="65" spans="6:31" x14ac:dyDescent="0.25">
      <c r="I65" s="21">
        <v>4.8797E-2</v>
      </c>
      <c r="J65" s="21">
        <v>4.7800459999999996</v>
      </c>
      <c r="L65" s="20">
        <v>4.7870999999999997E-2</v>
      </c>
      <c r="M65" s="20">
        <v>5.2852899999999998</v>
      </c>
      <c r="O65" s="20">
        <v>4.6557000000000001E-2</v>
      </c>
      <c r="P65" s="20">
        <v>5.9923400000000004</v>
      </c>
      <c r="R65" s="20">
        <v>4.4990000000000002E-2</v>
      </c>
      <c r="S65" s="20">
        <v>6.8229480000000002</v>
      </c>
      <c r="U65" s="20">
        <v>4.3263000000000003E-2</v>
      </c>
      <c r="V65" s="20">
        <v>7.729285</v>
      </c>
      <c r="X65" s="20">
        <v>4.1432999999999998E-2</v>
      </c>
      <c r="Y65" s="20">
        <v>8.6836889999999993</v>
      </c>
      <c r="AA65" s="20">
        <v>5.2394000000000003E-2</v>
      </c>
      <c r="AB65" s="20">
        <v>8.87852</v>
      </c>
      <c r="AD65" s="20">
        <v>5.9372000000000001E-2</v>
      </c>
      <c r="AE65" s="20">
        <v>9.3655910000000002</v>
      </c>
    </row>
    <row r="66" spans="6:31" x14ac:dyDescent="0.25">
      <c r="I66" s="21">
        <v>5.2037E-2</v>
      </c>
      <c r="J66" s="21">
        <v>4.3495499999999998</v>
      </c>
      <c r="L66" s="20">
        <v>5.1297000000000002E-2</v>
      </c>
      <c r="M66" s="20">
        <v>4.8811499999999999</v>
      </c>
      <c r="O66" s="20">
        <v>5.0244999999999998E-2</v>
      </c>
      <c r="P66" s="20">
        <v>5.6176060000000003</v>
      </c>
      <c r="R66" s="20">
        <v>4.8992000000000001E-2</v>
      </c>
      <c r="S66" s="20">
        <v>6.4760499999999999</v>
      </c>
      <c r="U66" s="20">
        <v>4.7611000000000001E-2</v>
      </c>
      <c r="V66" s="20">
        <v>7.4076079999999997</v>
      </c>
      <c r="X66" s="20">
        <v>4.6147000000000001E-2</v>
      </c>
      <c r="Y66" s="20">
        <v>8.3843920000000001</v>
      </c>
      <c r="AA66" s="20">
        <v>5.4914999999999999E-2</v>
      </c>
      <c r="AB66" s="20">
        <v>8.6874400000000005</v>
      </c>
      <c r="AD66" s="20">
        <v>6.0498000000000003E-2</v>
      </c>
      <c r="AE66" s="20">
        <v>9.2754999999999992</v>
      </c>
    </row>
    <row r="67" spans="6:31" x14ac:dyDescent="0.25">
      <c r="I67" s="21">
        <v>5.5278000000000001E-2</v>
      </c>
      <c r="J67" s="21">
        <v>3.8422390000000002</v>
      </c>
      <c r="L67" s="20">
        <v>5.4723000000000001E-2</v>
      </c>
      <c r="M67" s="20">
        <v>4.4102399999999999</v>
      </c>
      <c r="O67" s="20">
        <v>5.3934000000000003E-2</v>
      </c>
      <c r="P67" s="20">
        <v>5.1856450000000001</v>
      </c>
      <c r="R67" s="20">
        <v>5.2993999999999999E-2</v>
      </c>
      <c r="S67" s="20">
        <v>6.0783290000000001</v>
      </c>
      <c r="U67" s="20">
        <v>5.1957999999999997E-2</v>
      </c>
      <c r="V67" s="20">
        <v>7.03878</v>
      </c>
      <c r="X67" s="20">
        <v>5.0860000000000002E-2</v>
      </c>
      <c r="Y67" s="20">
        <v>8.0400100000000005</v>
      </c>
      <c r="AA67" s="20">
        <v>5.7436000000000001E-2</v>
      </c>
      <c r="AB67" s="20">
        <v>8.4828790000000005</v>
      </c>
      <c r="AD67" s="20">
        <v>6.1622999999999997E-2</v>
      </c>
      <c r="AE67" s="20">
        <v>9.1828599999999998</v>
      </c>
    </row>
    <row r="68" spans="6:31" x14ac:dyDescent="0.25">
      <c r="I68" s="21">
        <v>5.8519000000000002E-2</v>
      </c>
      <c r="J68" s="21">
        <v>3.224634</v>
      </c>
      <c r="L68" s="20">
        <v>5.8148999999999999E-2</v>
      </c>
      <c r="M68" s="20">
        <v>3.8508360000000001</v>
      </c>
      <c r="O68" s="20">
        <v>5.7623000000000001E-2</v>
      </c>
      <c r="P68" s="20">
        <v>4.6815490000000004</v>
      </c>
      <c r="R68" s="20">
        <v>5.6995999999999998E-2</v>
      </c>
      <c r="S68" s="20">
        <v>5.6193049999999998</v>
      </c>
      <c r="U68" s="20">
        <v>5.6305000000000001E-2</v>
      </c>
      <c r="V68" s="20">
        <v>6.6152899999999999</v>
      </c>
      <c r="X68" s="20">
        <v>5.5572999999999997E-2</v>
      </c>
      <c r="Y68" s="20">
        <v>7.6449210000000001</v>
      </c>
      <c r="AA68" s="20">
        <v>5.9957000000000003E-2</v>
      </c>
      <c r="AB68" s="20">
        <v>8.2638750000000005</v>
      </c>
      <c r="AD68" s="20">
        <v>6.2748999999999999E-2</v>
      </c>
      <c r="AE68" s="20">
        <v>9.0875979999999998</v>
      </c>
    </row>
    <row r="69" spans="6:31" x14ac:dyDescent="0.25">
      <c r="I69" s="21">
        <v>6.1759000000000001E-2</v>
      </c>
      <c r="J69" s="21">
        <v>2.420442</v>
      </c>
      <c r="L69" s="20">
        <v>6.1573999999999997E-2</v>
      </c>
      <c r="M69" s="20">
        <v>3.157556</v>
      </c>
      <c r="O69" s="20">
        <v>6.1310999999999997E-2</v>
      </c>
      <c r="P69" s="20">
        <v>4.0803079999999996</v>
      </c>
      <c r="R69" s="20">
        <v>6.0997999999999997E-2</v>
      </c>
      <c r="S69" s="20">
        <v>5.0832129999999998</v>
      </c>
      <c r="U69" s="20">
        <v>6.0652999999999999E-2</v>
      </c>
      <c r="V69" s="20">
        <v>6.1263490000000003</v>
      </c>
      <c r="X69" s="20">
        <v>6.0287E-2</v>
      </c>
      <c r="Y69" s="20">
        <v>7.1908190000000003</v>
      </c>
      <c r="AA69" s="20">
        <v>6.2479E-2</v>
      </c>
      <c r="AB69" s="20">
        <v>8.0292929999999991</v>
      </c>
      <c r="AD69" s="20">
        <v>6.3874E-2</v>
      </c>
      <c r="AE69" s="20">
        <v>8.9896349999999998</v>
      </c>
    </row>
    <row r="70" spans="6:31" x14ac:dyDescent="0.25">
      <c r="I70" s="21">
        <v>6.5000000000000002E-2</v>
      </c>
      <c r="J70" s="21">
        <v>1.111111</v>
      </c>
      <c r="L70" s="20">
        <v>6.5000000000000002E-2</v>
      </c>
      <c r="M70" s="20">
        <v>2.2222219999999999</v>
      </c>
      <c r="O70" s="20">
        <v>6.5000000000000002E-2</v>
      </c>
      <c r="P70" s="20">
        <v>3.3333330000000001</v>
      </c>
      <c r="R70" s="20">
        <v>6.5000000000000002E-2</v>
      </c>
      <c r="S70" s="20">
        <v>4.4444439999999998</v>
      </c>
      <c r="U70" s="20">
        <v>6.5000000000000002E-2</v>
      </c>
      <c r="V70" s="20">
        <v>5.5555560000000002</v>
      </c>
      <c r="X70" s="20">
        <v>6.5000000000000002E-2</v>
      </c>
      <c r="Y70" s="20">
        <v>6.6666670000000003</v>
      </c>
      <c r="AA70" s="20">
        <v>6.5000000000000002E-2</v>
      </c>
      <c r="AB70" s="20">
        <v>7.7777779999999996</v>
      </c>
      <c r="AD70" s="20">
        <v>6.5000000000000002E-2</v>
      </c>
      <c r="AE70" s="20">
        <v>8.8888890000000007</v>
      </c>
    </row>
    <row r="73" spans="6:31" x14ac:dyDescent="0.25"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6:31" x14ac:dyDescent="0.25">
      <c r="F74" s="20">
        <f>dcas_m/2</f>
        <v>6.5000000000000002E-2</v>
      </c>
      <c r="G74" s="20">
        <v>0</v>
      </c>
      <c r="H74" s="20"/>
      <c r="I74" s="20">
        <f>dintake_m/2</f>
        <v>2.5000000000000001E-3</v>
      </c>
      <c r="J74" s="20">
        <f>M74</f>
        <v>-2</v>
      </c>
      <c r="K74" s="20"/>
      <c r="L74" s="20">
        <f>dcas_m/2</f>
        <v>6.5000000000000002E-2</v>
      </c>
      <c r="M74" s="20">
        <f>P75-M75</f>
        <v>-2</v>
      </c>
      <c r="N74" s="20"/>
      <c r="O74" s="20">
        <f>dcas_m/2</f>
        <v>6.5000000000000002E-2</v>
      </c>
      <c r="P74" s="20">
        <v>0</v>
      </c>
    </row>
    <row r="75" spans="6:31" x14ac:dyDescent="0.25">
      <c r="F75" s="20">
        <f>F74</f>
        <v>6.5000000000000002E-2</v>
      </c>
      <c r="G75" s="20">
        <f>hperf</f>
        <v>10</v>
      </c>
      <c r="H75" s="20"/>
      <c r="I75" s="20">
        <f>I74</f>
        <v>2.5000000000000001E-3</v>
      </c>
      <c r="J75" s="20">
        <f>hperf*1.2</f>
        <v>12</v>
      </c>
      <c r="K75" s="20"/>
      <c r="L75" s="20">
        <f>L74</f>
        <v>6.5000000000000002E-2</v>
      </c>
      <c r="M75" s="20">
        <f>hperf*1.2</f>
        <v>12</v>
      </c>
      <c r="N75" s="20"/>
      <c r="O75" s="20">
        <f>dintake_m/2</f>
        <v>2.5000000000000001E-3</v>
      </c>
      <c r="P75" s="20">
        <f>G75</f>
        <v>10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A3A9-9EED-45AA-B9F4-4C1C2CAC774F}">
  <sheetPr codeName="Лист7"/>
  <dimension ref="C1:AH75"/>
  <sheetViews>
    <sheetView zoomScale="90" zoomScaleNormal="90" workbookViewId="0">
      <selection activeCell="P44" sqref="P44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18" max="31" width="12.28515625" customWidth="1"/>
  </cols>
  <sheetData>
    <row r="1" spans="3:15" x14ac:dyDescent="0.25">
      <c r="C1" t="s">
        <v>52</v>
      </c>
    </row>
    <row r="3" spans="3:15" x14ac:dyDescent="0.25">
      <c r="D3" t="s">
        <v>15</v>
      </c>
      <c r="H3" t="s">
        <v>17</v>
      </c>
      <c r="M3" t="s">
        <v>16</v>
      </c>
    </row>
    <row r="5" spans="3:15" x14ac:dyDescent="0.25">
      <c r="H5" s="9" t="s">
        <v>74</v>
      </c>
      <c r="I5" s="12">
        <v>73</v>
      </c>
      <c r="J5" s="13" t="s">
        <v>18</v>
      </c>
      <c r="K5" s="13">
        <f>dtub/1000</f>
        <v>7.2999999999999995E-2</v>
      </c>
    </row>
    <row r="6" spans="3:15" x14ac:dyDescent="0.25">
      <c r="D6" s="1" t="s">
        <v>0</v>
      </c>
      <c r="E6" s="1">
        <v>0.81</v>
      </c>
      <c r="H6" s="9" t="s">
        <v>24</v>
      </c>
      <c r="I6" s="12">
        <v>130</v>
      </c>
      <c r="J6" s="13" t="s">
        <v>18</v>
      </c>
      <c r="K6" s="13">
        <f>dcas/1000</f>
        <v>0.13</v>
      </c>
      <c r="M6" s="13" t="s">
        <v>19</v>
      </c>
      <c r="N6" s="23" cm="1">
        <f t="array" ref="N6">[1]!feed_rho_liq_kgm3(p,t,feed_json)</f>
        <v>746.87220553572797</v>
      </c>
      <c r="O6" s="13" t="s">
        <v>28</v>
      </c>
    </row>
    <row r="7" spans="3:15" x14ac:dyDescent="0.25">
      <c r="D7" s="1" t="s">
        <v>1</v>
      </c>
      <c r="E7" s="1">
        <v>0.82</v>
      </c>
      <c r="H7" s="9" t="s">
        <v>25</v>
      </c>
      <c r="I7" s="12">
        <v>102</v>
      </c>
      <c r="J7" s="13" t="s">
        <v>18</v>
      </c>
      <c r="K7" s="13">
        <f>dintake/1000</f>
        <v>0.10199999999999999</v>
      </c>
      <c r="M7" s="13" t="s">
        <v>20</v>
      </c>
      <c r="N7" s="23" cm="1">
        <f t="array" ref="N7">[1]!PVT_rho_gas_kgm3(p,t,PVT_json)</f>
        <v>45.818612464325518</v>
      </c>
      <c r="O7" s="13" t="s">
        <v>28</v>
      </c>
    </row>
    <row r="8" spans="3:15" x14ac:dyDescent="0.25">
      <c r="D8" s="1" t="s">
        <v>2</v>
      </c>
      <c r="E8" s="1">
        <v>1.1000000000000001</v>
      </c>
      <c r="H8" s="9" t="s">
        <v>45</v>
      </c>
      <c r="I8" s="12">
        <v>100</v>
      </c>
      <c r="J8" s="13" t="s">
        <v>35</v>
      </c>
      <c r="K8" s="13">
        <f>I8/1000</f>
        <v>0.1</v>
      </c>
      <c r="M8" s="13" t="s">
        <v>21</v>
      </c>
      <c r="N8" s="24" cm="1">
        <f t="array" ref="N8">[1]!feed_ST_liqgas_Nm(p,t,feed_json)*calibr_st</f>
        <v>2.5266366698127592E-2</v>
      </c>
      <c r="O8" s="13" t="s">
        <v>29</v>
      </c>
    </row>
    <row r="9" spans="3:15" x14ac:dyDescent="0.25">
      <c r="D9" s="1" t="s">
        <v>3</v>
      </c>
      <c r="E9" s="1">
        <v>120</v>
      </c>
      <c r="H9" s="9" t="s">
        <v>26</v>
      </c>
      <c r="I9" s="12">
        <v>50</v>
      </c>
      <c r="M9" s="13" t="s">
        <v>22</v>
      </c>
      <c r="N9" s="23" cm="1">
        <f t="array" ref="N9">[1]!feed_q_liq_rc_m3day(p,t,feed_json)</f>
        <v>17.126955194065889</v>
      </c>
      <c r="O9" s="13"/>
    </row>
    <row r="10" spans="3:15" x14ac:dyDescent="0.25">
      <c r="D10" s="1" t="s">
        <v>4</v>
      </c>
      <c r="E10" s="1"/>
      <c r="H10" s="9" t="s">
        <v>27</v>
      </c>
      <c r="I10" s="12">
        <v>80</v>
      </c>
      <c r="M10" s="13" t="s">
        <v>23</v>
      </c>
      <c r="N10" s="19" cm="1">
        <f t="array" ref="N10">[1]!feed_q_gas_rc_m3day(p,t,feed_json)</f>
        <v>28.145588238851523</v>
      </c>
      <c r="O10" s="13"/>
    </row>
    <row r="11" spans="3:15" x14ac:dyDescent="0.25">
      <c r="D11" s="1" t="s">
        <v>5</v>
      </c>
      <c r="E11" s="1"/>
      <c r="H11" s="9" t="s">
        <v>48</v>
      </c>
      <c r="I11" s="12">
        <v>2</v>
      </c>
      <c r="M11" s="13" t="s">
        <v>30</v>
      </c>
      <c r="N11" s="19" cm="1">
        <f t="array" ref="N11">[1]!feed_mu_liq_cP(p,t,feed_json)</f>
        <v>0.59336593270331894</v>
      </c>
      <c r="O11" s="13" t="s">
        <v>58</v>
      </c>
    </row>
    <row r="12" spans="3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9" cm="1">
        <f t="array" ref="N12">[1]!PVT_mu_gas_cP(p,t,PVT_json)</f>
        <v>1.3310824327567267E-2</v>
      </c>
      <c r="O12" s="13" t="s">
        <v>58</v>
      </c>
    </row>
    <row r="13" spans="3:15" x14ac:dyDescent="0.25">
      <c r="D13" s="1" t="s">
        <v>7</v>
      </c>
      <c r="E13" s="1">
        <v>0.3</v>
      </c>
      <c r="H13" s="9" t="s">
        <v>51</v>
      </c>
      <c r="I13" s="12">
        <v>0.35</v>
      </c>
    </row>
    <row r="14" spans="3:15" x14ac:dyDescent="0.25">
      <c r="D14" s="1" t="s">
        <v>8</v>
      </c>
      <c r="E14" s="1">
        <v>0</v>
      </c>
    </row>
    <row r="15" spans="3:15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{"gamma_gas":0.81,"gamma_oil":0.82,"gamma_wat":1.1,"rsb_m3m3":120,"muob_cP":0.3,"PVT_corr_set":0}</v>
      </c>
      <c r="F15" t="s">
        <v>56</v>
      </c>
    </row>
    <row r="16" spans="3:15" x14ac:dyDescent="0.25">
      <c r="D16" s="1" t="s">
        <v>10</v>
      </c>
      <c r="E16" s="1">
        <v>15</v>
      </c>
      <c r="F16" s="13" t="s">
        <v>53</v>
      </c>
      <c r="G16" s="10">
        <f>E16/pkv_ratio</f>
        <v>42.857142857142861</v>
      </c>
      <c r="H16" s="13" t="s">
        <v>54</v>
      </c>
    </row>
    <row r="17" spans="4:32" x14ac:dyDescent="0.25">
      <c r="D17" s="1" t="s">
        <v>11</v>
      </c>
      <c r="E17" s="1">
        <v>0</v>
      </c>
    </row>
    <row r="18" spans="4:32" x14ac:dyDescent="0.25">
      <c r="D18" s="1" t="s">
        <v>12</v>
      </c>
      <c r="E18" s="1">
        <v>120</v>
      </c>
      <c r="H18" s="26" t="s">
        <v>66</v>
      </c>
    </row>
    <row r="19" spans="4:32" x14ac:dyDescent="0.25">
      <c r="D19" s="1" t="s">
        <v>13</v>
      </c>
      <c r="E19" s="1">
        <v>0</v>
      </c>
      <c r="H19" s="3" t="s">
        <v>62</v>
      </c>
      <c r="I19" s="27">
        <f>(dcas_m^2-dintake_m^2)*3.1415/4</f>
        <v>5.1017960000000031E-3</v>
      </c>
      <c r="J19" t="s">
        <v>67</v>
      </c>
      <c r="K19" t="s">
        <v>68</v>
      </c>
    </row>
    <row r="20" spans="4:32" x14ac:dyDescent="0.25">
      <c r="D20" s="1" t="s">
        <v>14</v>
      </c>
      <c r="E20" s="2" t="str">
        <f>[1]!encode_feed(E16,E17,E18,E19,E15)</f>
        <v>{"gamma_gas":0.81,"gamma_oil":0.82,"gamma_wat":1.1,"rsb_m3m3":120,"muob_cP":0.3,"PVT_corr_set":0,"q_liq_sm3day":15,"fw_perc":0,"rp_m3m3":120}</v>
      </c>
      <c r="F20" t="s">
        <v>56</v>
      </c>
      <c r="H20" s="3" t="s">
        <v>63</v>
      </c>
      <c r="I20" s="3">
        <v>20</v>
      </c>
      <c r="J20" t="s">
        <v>69</v>
      </c>
      <c r="K20" t="s">
        <v>70</v>
      </c>
    </row>
    <row r="21" spans="4:32" x14ac:dyDescent="0.25">
      <c r="H21" s="3" t="s">
        <v>64</v>
      </c>
      <c r="I21" s="25">
        <f>I19*I20</f>
        <v>0.10203592000000006</v>
      </c>
      <c r="J21" t="s">
        <v>73</v>
      </c>
      <c r="K21" t="s">
        <v>71</v>
      </c>
    </row>
    <row r="22" spans="4:32" x14ac:dyDescent="0.25">
      <c r="H22" s="3" t="s">
        <v>27</v>
      </c>
      <c r="I22" s="25">
        <f>I21/(G16-E16)*24*60</f>
        <v>5.2744721723076946</v>
      </c>
      <c r="J22" t="s">
        <v>65</v>
      </c>
      <c r="K22" t="s">
        <v>72</v>
      </c>
    </row>
    <row r="23" spans="4:32" x14ac:dyDescent="0.25">
      <c r="I23" s="4"/>
    </row>
    <row r="26" spans="4:32" x14ac:dyDescent="0.25">
      <c r="E26" t="s">
        <v>46</v>
      </c>
    </row>
    <row r="28" spans="4:32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61</v>
      </c>
      <c r="P28" s="13" t="s">
        <v>98</v>
      </c>
    </row>
    <row r="29" spans="4:32" x14ac:dyDescent="0.25">
      <c r="F29" s="1">
        <v>2</v>
      </c>
      <c r="G29" s="13" t="str">
        <f>[1]!encode_feed(F29,$E$17,$E$18,$E$19,$E$15)</f>
        <v>{"gamma_gas":0.81,"gamma_oil":0.82,"gamma_wat":1.1,"rsb_m3m3":120,"muob_cP":0.3,"PVT_corr_set":0,"q_liq_sm3day":2,"fw_perc":0,"rp_m3m3":120}</v>
      </c>
      <c r="H29" s="14" cm="1">
        <f t="array" ref="H29">[1]!feed_rho_liq_kgm3(p,t,G29)</f>
        <v>746.87220553572797</v>
      </c>
      <c r="I29" s="14" cm="1">
        <f t="array" ref="I29">[1]!PVT_rho_gas_kgm3(p,t,PVT_json)</f>
        <v>45.818612464325518</v>
      </c>
      <c r="J29" s="15" cm="1">
        <f t="array" ref="J29">[1]!feed_ST_liqgas_Nm(p,t,G29)</f>
        <v>2.5266366698127592E-2</v>
      </c>
      <c r="K29" s="17" cm="1">
        <f t="array" ref="K29">[1]!feed_q_liq_rc_m3day(p,t,G29)</f>
        <v>2.2835940258754519</v>
      </c>
      <c r="L29" s="17" cm="1">
        <f t="array" ref="L29">[1]!feed_q_gas_rc_m3day(p,t,G29)</f>
        <v>3.7527450985135364</v>
      </c>
      <c r="M29" s="16" cm="1">
        <f t="array" ref="M29">[1]!feed_mu_liq_cP(p,t,G29)</f>
        <v>0.59336593270331894</v>
      </c>
      <c r="N29" s="16" cm="1">
        <f t="array" ref="N29">[1]!PVT_mu_gas_cP(p,t,G29)</f>
        <v>1.3310824327567267E-2</v>
      </c>
      <c r="O29" s="18" cm="1">
        <f t="array" ref="O29">[1]!unf_ksep_ESP_natural_mechanistic_Marquez(dintake_m,dcas_m,K29,L29,J29,H29,I29,M29,N29,1,+hint,calibr_li,calibr_st)</f>
        <v>0.98652589537613511</v>
      </c>
      <c r="P29" s="18" cm="1">
        <f t="array" ref="P29">[1]!unf_ksep_ESP_natural_mechanistic_pkv(dintake_m,dcas_m,K29,L29,J29,H29,I29,M29,N29,1,hint,calibr_li,calibr_st,pkv_ratio,$K$5)</f>
        <v>0.96428022048833972</v>
      </c>
      <c r="R29" s="30">
        <f t="array" ref="R29:AE29">[1]!unf_ksep_ESP_natural_mechanistic_pkv(dintake_m,dcas_m,K29,L29,J29,H29,I29,M29,N29,0,hint,calibr_li,calibr_st,pkv_ratio,$K$5)</f>
        <v>0.96428022048833972</v>
      </c>
      <c r="S29" s="6">
        <v>0</v>
      </c>
      <c r="T29" s="6">
        <v>1.3388048996005033E-3</v>
      </c>
      <c r="U29" s="6">
        <v>0.20326333056384913</v>
      </c>
      <c r="V29" s="6">
        <v>5.1804379786909551E-3</v>
      </c>
      <c r="W29" s="6">
        <v>8.5132746943638073E-3</v>
      </c>
      <c r="X29" s="6">
        <v>0.19075627315815238</v>
      </c>
      <c r="Y29" s="31">
        <v>0.98749807717091886</v>
      </c>
      <c r="Z29" s="31">
        <v>0.35</v>
      </c>
      <c r="AA29" s="6">
        <v>-9.6208133889974894E-3</v>
      </c>
      <c r="AB29" s="6">
        <v>1.5810367289532785E-2</v>
      </c>
      <c r="AC29" s="6">
        <v>-5.4011583938231534E-3</v>
      </c>
      <c r="AD29" s="6">
        <v>8.8759956713166544E-3</v>
      </c>
      <c r="AE29" s="6">
        <v>0.19624182465187903</v>
      </c>
      <c r="AF29" s="6"/>
    </row>
    <row r="30" spans="4:32" x14ac:dyDescent="0.25">
      <c r="F30" s="1">
        <v>5</v>
      </c>
      <c r="G30" s="13" t="str">
        <f>[1]!encode_feed(F30,$E$17,$E$18,$E$19,$E$15)</f>
        <v>{"gamma_gas":0.81,"gamma_oil":0.82,"gamma_wat":1.1,"rsb_m3m3":120,"muob_cP":0.3,"PVT_corr_set":0,"q_liq_sm3day":5,"fw_perc":0,"rp_m3m3":120}</v>
      </c>
      <c r="H30" s="14" cm="1">
        <f t="array" ref="H30">[1]!feed_rho_liq_kgm3(p,t,G30)</f>
        <v>746.87220553572797</v>
      </c>
      <c r="I30" s="14" cm="1">
        <f t="array" ref="I30">[1]!PVT_rho_gas_kgm3(p,t,PVT_json)</f>
        <v>45.818612464325518</v>
      </c>
      <c r="J30" s="15" cm="1">
        <f t="array" ref="J30">[1]!feed_ST_liqgas_Nm(p,t,G30)</f>
        <v>2.5266366698127592E-2</v>
      </c>
      <c r="K30" s="17" cm="1">
        <f t="array" ref="K30">[1]!feed_q_liq_rc_m3day(p,t,G30)</f>
        <v>5.7089850646886298</v>
      </c>
      <c r="L30" s="17" cm="1">
        <f t="array" ref="L30">[1]!feed_q_gas_rc_m3day(p,t,G30)</f>
        <v>9.3818627462838418</v>
      </c>
      <c r="M30" s="16" cm="1">
        <f t="array" ref="M30">[1]!feed_mu_liq_cP(p,t,G30)</f>
        <v>0.59336593270331894</v>
      </c>
      <c r="N30" s="16" cm="1">
        <f t="array" ref="N30">[1]!PVT_mu_gas_cP(p,t,G30)</f>
        <v>1.3310824327567267E-2</v>
      </c>
      <c r="O30" s="18" cm="1">
        <f t="array" ref="O30">[1]!unf_ksep_ESP_natural_mechanistic_Marquez(dintake_m,dcas_m,K30,L30,J30,H30,I30,M30,N30,1,+hint,calibr_li,calibr_st)</f>
        <v>0.96595282671141469</v>
      </c>
      <c r="P30" s="18" cm="1">
        <f t="array" ref="P30">[1]!unf_ksep_ESP_natural_mechanistic_pkv(dintake_m,dcas_m,K30,L30,J30,H30,I30,M30,N30,1,hint,calibr_li,calibr_st,pkv_ratio,$K$5)</f>
        <v>0.90820618088559768</v>
      </c>
      <c r="R30" s="30">
        <f t="array" ref="R30:AE30">[1]!unf_ksep_ESP_natural_mechanistic_pkv(dintake_m,dcas_m,K30,L30,J30,H30,I30,M30,N30,0,hint,calibr_li,calibr_st,pkv_ratio,$K$5)</f>
        <v>0.90820618088559768</v>
      </c>
      <c r="S30" s="6">
        <v>0</v>
      </c>
      <c r="T30" s="6">
        <v>1.3255057824235932E-3</v>
      </c>
      <c r="U30" s="6">
        <v>0.20326333056384913</v>
      </c>
      <c r="V30" s="6">
        <v>1.2951094946727387E-2</v>
      </c>
      <c r="W30" s="6">
        <v>2.128318673590952E-2</v>
      </c>
      <c r="X30" s="6">
        <v>0.1719956870496073</v>
      </c>
      <c r="Y30" s="31">
        <v>0.96787216330995918</v>
      </c>
      <c r="Z30" s="31">
        <v>0.35</v>
      </c>
      <c r="AA30" s="6">
        <v>-2.4052033472493722E-2</v>
      </c>
      <c r="AB30" s="6">
        <v>3.9525918223831967E-2</v>
      </c>
      <c r="AC30" s="6">
        <v>-1.3502895984557882E-2</v>
      </c>
      <c r="AD30" s="6">
        <v>2.2189989178291639E-2</v>
      </c>
      <c r="AE30" s="6">
        <v>0.18570956578392389</v>
      </c>
      <c r="AF30" s="6"/>
    </row>
    <row r="31" spans="4:32" x14ac:dyDescent="0.25">
      <c r="F31" s="1">
        <v>12</v>
      </c>
      <c r="G31" s="13" t="str">
        <f>[1]!encode_feed(F31,$E$17,$E$18,$E$19,$E$15)</f>
        <v>{"gamma_gas":0.81,"gamma_oil":0.82,"gamma_wat":1.1,"rsb_m3m3":120,"muob_cP":0.3,"PVT_corr_set":0,"q_liq_sm3day":12,"fw_perc":0,"rp_m3m3":120}</v>
      </c>
      <c r="H31" s="14" cm="1">
        <f t="array" ref="H31">[1]!feed_rho_liq_kgm3(p,t,G31)</f>
        <v>746.87220553572797</v>
      </c>
      <c r="I31" s="14" cm="1">
        <f t="array" ref="I31">[1]!PVT_rho_gas_kgm3(p,t,PVT_json)</f>
        <v>45.818612464325518</v>
      </c>
      <c r="J31" s="15" cm="1">
        <f t="array" ref="J31">[1]!feed_ST_liqgas_Nm(p,t,G31)</f>
        <v>2.5266366698127592E-2</v>
      </c>
      <c r="K31" s="17" cm="1">
        <f t="array" ref="K31">[1]!feed_q_liq_rc_m3day(p,t,G31)</f>
        <v>13.701564155252711</v>
      </c>
      <c r="L31" s="17" cm="1">
        <f t="array" ref="L31">[1]!feed_q_gas_rc_m3day(p,t,G31)</f>
        <v>22.51647059108122</v>
      </c>
      <c r="M31" s="16" cm="1">
        <f t="array" ref="M31">[1]!feed_mu_liq_cP(p,t,G31)</f>
        <v>0.59336593270331894</v>
      </c>
      <c r="N31" s="16" cm="1">
        <f t="array" ref="N31">[1]!PVT_mu_gas_cP(p,t,G31)</f>
        <v>1.3310824327567267E-2</v>
      </c>
      <c r="O31" s="18" cm="1">
        <f t="array" ref="O31">[1]!unf_ksep_ESP_natural_mechanistic_Marquez(dintake_m,dcas_m,K31,L31,J31,H31,I31,M31,N31,1,+hint,calibr_li,calibr_st)</f>
        <v>0.91797886966024145</v>
      </c>
      <c r="P31" s="18" cm="1">
        <f t="array" ref="P31">[1]!unf_ksep_ESP_natural_mechanistic_pkv(dintake_m,dcas_m,K31,L31,J31,H31,I31,M31,N31,1,hint,calibr_li,calibr_st,pkv_ratio,$K$5)</f>
        <v>0.77190794348101344</v>
      </c>
      <c r="R31" s="30">
        <f t="array" ref="R31:AE31">[1]!unf_ksep_ESP_natural_mechanistic_pkv(dintake_m,dcas_m,K31,L31,J31,H31,I31,M31,N31,0,hint,calibr_li,calibr_st,pkv_ratio,$K$5)</f>
        <v>0.77190794348101344</v>
      </c>
      <c r="S31" s="6">
        <v>3</v>
      </c>
      <c r="T31" s="6">
        <v>1.3064932559885617E-3</v>
      </c>
      <c r="U31" s="6">
        <v>0.18732110855884132</v>
      </c>
      <c r="V31" s="6">
        <v>3.1082627872145729E-2</v>
      </c>
      <c r="W31" s="6">
        <v>5.1079648166182844E-2</v>
      </c>
      <c r="X31" s="6">
        <v>0.1282209861296687</v>
      </c>
      <c r="Y31" s="31">
        <v>0.92016778021835466</v>
      </c>
      <c r="Z31" s="31">
        <v>0.35</v>
      </c>
      <c r="AA31" s="6">
        <v>-5.7724880333984929E-2</v>
      </c>
      <c r="AB31" s="6">
        <v>9.4862203737196713E-2</v>
      </c>
      <c r="AC31" s="6">
        <v>-3.2406950362938926E-2</v>
      </c>
      <c r="AD31" s="6">
        <v>5.325597402789993E-2</v>
      </c>
      <c r="AE31" s="6">
        <v>0.16113429509202853</v>
      </c>
      <c r="AF31" s="6"/>
    </row>
    <row r="32" spans="4:32" x14ac:dyDescent="0.25">
      <c r="F32" s="1">
        <v>19</v>
      </c>
      <c r="G32" s="13" t="str">
        <f>[1]!encode_feed(F32,$E$17,$E$18,$E$19,$E$15)</f>
        <v>{"gamma_gas":0.81,"gamma_oil":0.82,"gamma_wat":1.1,"rsb_m3m3":120,"muob_cP":0.3,"PVT_corr_set":0,"q_liq_sm3day":19,"fw_perc":0,"rp_m3m3":120}</v>
      </c>
      <c r="H32" s="14" cm="1">
        <f t="array" ref="H32">[1]!feed_rho_liq_kgm3(p,t,G32)</f>
        <v>746.87220553572797</v>
      </c>
      <c r="I32" s="14" cm="1">
        <f t="array" ref="I32">[1]!PVT_rho_gas_kgm3(p,t,PVT_json)</f>
        <v>45.818612464325518</v>
      </c>
      <c r="J32" s="15" cm="1">
        <f t="array" ref="J32">[1]!feed_ST_liqgas_Nm(p,t,G32)</f>
        <v>2.5266366698127592E-2</v>
      </c>
      <c r="K32" s="17" cm="1">
        <f t="array" ref="K32">[1]!feed_q_liq_rc_m3day(p,t,G32)</f>
        <v>21.694143245816793</v>
      </c>
      <c r="L32" s="17" cm="1">
        <f t="array" ref="L32">[1]!feed_q_gas_rc_m3day(p,t,G32)</f>
        <v>35.651078435878595</v>
      </c>
      <c r="M32" s="16" cm="1">
        <f t="array" ref="M32">[1]!feed_mu_liq_cP(p,t,G32)</f>
        <v>0.59336593270331894</v>
      </c>
      <c r="N32" s="16" cm="1">
        <f t="array" ref="N32">[1]!PVT_mu_gas_cP(p,t,G32)</f>
        <v>1.3310824327567267E-2</v>
      </c>
      <c r="O32" s="18" cm="1">
        <f t="array" ref="O32">[1]!unf_ksep_ESP_natural_mechanistic_Marquez(dintake_m,dcas_m,K32,L32,J32,H32,I32,M32,N32,1,+hint,calibr_li,calibr_st)</f>
        <v>0.87223641920057748</v>
      </c>
      <c r="P32" s="18" cm="1">
        <f t="array" ref="P32">[1]!unf_ksep_ESP_natural_mechanistic_pkv(dintake_m,dcas_m,K32,L32,J32,H32,I32,M32,N32,1,hint,calibr_li,calibr_st,pkv_ratio,$K$5)</f>
        <v>0.63645998626064793</v>
      </c>
      <c r="R32" s="30">
        <f t="array" ref="R32:AE32">[1]!unf_ksep_ESP_natural_mechanistic_pkv(dintake_m,dcas_m,K32,L32,J32,H32,I32,M32,N32,0,hint,calibr_li,calibr_st,pkv_ratio,$K$5)</f>
        <v>0.63645998626064793</v>
      </c>
      <c r="S32" s="6">
        <v>3</v>
      </c>
      <c r="T32" s="6">
        <v>1.2999224232039242E-3</v>
      </c>
      <c r="U32" s="6">
        <v>0.18732110855884132</v>
      </c>
      <c r="V32" s="6">
        <v>4.921416079756407E-2</v>
      </c>
      <c r="W32" s="6">
        <v>8.0876109596456164E-2</v>
      </c>
      <c r="X32" s="6">
        <v>8.4446285209730146E-2</v>
      </c>
      <c r="Y32" s="31">
        <v>0.87276099519122674</v>
      </c>
      <c r="Z32" s="31">
        <v>0.35</v>
      </c>
      <c r="AA32" s="6">
        <v>-9.1397727195476133E-2</v>
      </c>
      <c r="AB32" s="6">
        <v>0.15019848925056145</v>
      </c>
      <c r="AC32" s="6">
        <v>-5.1311004741319957E-2</v>
      </c>
      <c r="AD32" s="6">
        <v>8.4321958877508207E-2</v>
      </c>
      <c r="AE32" s="6">
        <v>0.13655902440013318</v>
      </c>
      <c r="AF32" s="6"/>
    </row>
    <row r="33" spans="5:32" x14ac:dyDescent="0.25">
      <c r="F33" s="1">
        <v>26</v>
      </c>
      <c r="G33" s="13" t="str">
        <f>[1]!encode_feed(F33,$E$17,$E$18,$E$19,$E$15)</f>
        <v>{"gamma_gas":0.81,"gamma_oil":0.82,"gamma_wat":1.1,"rsb_m3m3":120,"muob_cP":0.3,"PVT_corr_set":0,"q_liq_sm3day":26,"fw_perc":0,"rp_m3m3":120}</v>
      </c>
      <c r="H33" s="14" cm="1">
        <f t="array" ref="H33">[1]!feed_rho_liq_kgm3(p,t,G33)</f>
        <v>746.87220553572797</v>
      </c>
      <c r="I33" s="14" cm="1">
        <f t="array" ref="I33">[1]!PVT_rho_gas_kgm3(p,t,PVT_json)</f>
        <v>45.818612464325518</v>
      </c>
      <c r="J33" s="15" cm="1">
        <f t="array" ref="J33">[1]!feed_ST_liqgas_Nm(p,t,G33)</f>
        <v>2.5266366698127592E-2</v>
      </c>
      <c r="K33" s="17" cm="1">
        <f t="array" ref="K33">[1]!feed_q_liq_rc_m3day(p,t,G33)</f>
        <v>29.686722336380875</v>
      </c>
      <c r="L33" s="17" cm="1">
        <f t="array" ref="L33">[1]!feed_q_gas_rc_m3day(p,t,G33)</f>
        <v>48.785686280675975</v>
      </c>
      <c r="M33" s="16" cm="1">
        <f t="array" ref="M33">[1]!feed_mu_liq_cP(p,t,G33)</f>
        <v>0.59336593270331894</v>
      </c>
      <c r="N33" s="16" cm="1">
        <f t="array" ref="N33">[1]!PVT_mu_gas_cP(p,t,G33)</f>
        <v>1.3310824327567267E-2</v>
      </c>
      <c r="O33" s="18" cm="1">
        <f t="array" ref="O33">[1]!unf_ksep_ESP_natural_mechanistic_Marquez(dintake_m,dcas_m,K33,L33,J33,H33,I33,M33,N33,1,+hint,calibr_li,calibr_st)</f>
        <v>0.83020272486203139</v>
      </c>
      <c r="P33" s="18" cm="1">
        <f t="array" ref="P33">[1]!unf_ksep_ESP_natural_mechanistic_pkv(dintake_m,dcas_m,K33,L33,J33,H33,I33,M33,N33,1,hint,calibr_li,calibr_st,pkv_ratio,$K$5)</f>
        <v>0.50744439038383859</v>
      </c>
      <c r="R33" s="30">
        <f t="array" ref="R33:AE33">[1]!unf_ksep_ESP_natural_mechanistic_pkv(dintake_m,dcas_m,K33,L33,J33,H33,I33,M33,N33,0,hint,calibr_li,calibr_st,pkv_ratio,$K$5)</f>
        <v>0.50744439038383859</v>
      </c>
      <c r="S33" s="6">
        <v>3</v>
      </c>
      <c r="T33" s="6">
        <v>1.3020731279795215E-3</v>
      </c>
      <c r="U33" s="6">
        <v>0.18732110855884132</v>
      </c>
      <c r="V33" s="6">
        <v>6.7345693722982408E-2</v>
      </c>
      <c r="W33" s="6">
        <v>0.11067257102672949</v>
      </c>
      <c r="X33" s="6">
        <v>4.0671584289791576E-2</v>
      </c>
      <c r="Y33" s="31">
        <v>0.82760553663434355</v>
      </c>
      <c r="Z33" s="31">
        <v>0.35</v>
      </c>
      <c r="AA33" s="6">
        <v>-0.12507057405696734</v>
      </c>
      <c r="AB33" s="6">
        <v>0.20553477476392623</v>
      </c>
      <c r="AC33" s="6">
        <v>-7.0215059119700995E-2</v>
      </c>
      <c r="AD33" s="6">
        <v>0.11538794372711651</v>
      </c>
      <c r="AE33" s="6">
        <v>0.11198375370823783</v>
      </c>
      <c r="AF33" s="6"/>
    </row>
    <row r="34" spans="5:32" x14ac:dyDescent="0.25">
      <c r="F34" s="1">
        <v>33</v>
      </c>
      <c r="G34" s="13" t="str">
        <f>[1]!encode_feed(F34,$E$17,$E$18,$E$19,$E$15)</f>
        <v>{"gamma_gas":0.81,"gamma_oil":0.82,"gamma_wat":1.1,"rsb_m3m3":120,"muob_cP":0.3,"PVT_corr_set":0,"q_liq_sm3day":33,"fw_perc":0,"rp_m3m3":120}</v>
      </c>
      <c r="H34" s="14" cm="1">
        <f t="array" ref="H34">[1]!feed_rho_liq_kgm3(p,t,G34)</f>
        <v>746.87220553572797</v>
      </c>
      <c r="I34" s="14" cm="1">
        <f t="array" ref="I34">[1]!PVT_rho_gas_kgm3(p,t,PVT_json)</f>
        <v>45.818612464325518</v>
      </c>
      <c r="J34" s="15" cm="1">
        <f t="array" ref="J34">[1]!feed_ST_liqgas_Nm(p,t,G34)</f>
        <v>2.5266366698127592E-2</v>
      </c>
      <c r="K34" s="17" cm="1">
        <f t="array" ref="K34">[1]!feed_q_liq_rc_m3day(p,t,G34)</f>
        <v>37.67930142694496</v>
      </c>
      <c r="L34" s="17" cm="1">
        <f t="array" ref="L34">[1]!feed_q_gas_rc_m3day(p,t,G34)</f>
        <v>61.920294125473362</v>
      </c>
      <c r="M34" s="16" cm="1">
        <f t="array" ref="M34">[1]!feed_mu_liq_cP(p,t,G34)</f>
        <v>0.59336593270331894</v>
      </c>
      <c r="N34" s="16" cm="1">
        <f t="array" ref="N34">[1]!PVT_mu_gas_cP(p,t,G34)</f>
        <v>1.3310824327567267E-2</v>
      </c>
      <c r="O34" s="18" cm="1">
        <f t="array" ref="O34">[1]!unf_ksep_ESP_natural_mechanistic_Marquez(dintake_m,dcas_m,K34,L34,J34,H34,I34,M34,N34,1,+hint,calibr_li,calibr_st)</f>
        <v>0.79219504319407874</v>
      </c>
      <c r="P34" s="18" cm="1">
        <f t="array" ref="P34">[1]!unf_ksep_ESP_natural_mechanistic_pkv(dintake_m,dcas_m,K34,L34,J34,H34,I34,M34,N34,1,hint,calibr_li,calibr_st,pkv_ratio,$K$5)</f>
        <v>0</v>
      </c>
      <c r="R34" s="30">
        <f t="array" ref="R34:AE34">[1]!unf_ksep_ESP_natural_mechanistic_pkv(dintake_m,dcas_m,K34,L34,J34,H34,I34,M34,N34,0,hint,calibr_li,calibr_st,pkv_ratio,$K$5)</f>
        <v>0</v>
      </c>
      <c r="S34" s="6">
        <v>3</v>
      </c>
      <c r="T34" s="6">
        <v>1.3104497987360849E-3</v>
      </c>
      <c r="U34" s="6">
        <v>0.18732110855884132</v>
      </c>
      <c r="V34" s="6">
        <v>8.5477226648400767E-2</v>
      </c>
      <c r="W34" s="6">
        <v>0.14046903245700285</v>
      </c>
      <c r="X34" s="6">
        <v>-3.1031166301470387E-3</v>
      </c>
      <c r="Y34" s="31">
        <v>0.65</v>
      </c>
      <c r="Z34" s="31">
        <v>0.35</v>
      </c>
      <c r="AA34" s="6">
        <v>-0.15874342091845858</v>
      </c>
      <c r="AB34" s="6">
        <v>-0.26087106027729101</v>
      </c>
      <c r="AC34" s="6">
        <v>-8.9119113498082048E-2</v>
      </c>
      <c r="AD34" s="6">
        <v>-0.14645392857672485</v>
      </c>
      <c r="AE34" s="6">
        <v>8.7408483016342464E-2</v>
      </c>
      <c r="AF34" s="6"/>
    </row>
    <row r="35" spans="5:32" x14ac:dyDescent="0.25">
      <c r="F35" s="1">
        <v>40</v>
      </c>
      <c r="G35" s="13" t="str">
        <f>[1]!encode_feed(F35,$E$17,$E$18,$E$19,$E$15)</f>
        <v>{"gamma_gas":0.81,"gamma_oil":0.82,"gamma_wat":1.1,"rsb_m3m3":120,"muob_cP":0.3,"PVT_corr_set":0,"q_liq_sm3day":40,"fw_perc":0,"rp_m3m3":120}</v>
      </c>
      <c r="H35" s="14" cm="1">
        <f t="array" ref="H35">[1]!feed_rho_liq_kgm3(p,t,G35)</f>
        <v>746.87220553572797</v>
      </c>
      <c r="I35" s="14" cm="1">
        <f t="array" ref="I35">[1]!PVT_rho_gas_kgm3(p,t,PVT_json)</f>
        <v>45.818612464325518</v>
      </c>
      <c r="J35" s="15" cm="1">
        <f t="array" ref="J35">[1]!feed_ST_liqgas_Nm(p,t,G35)</f>
        <v>2.5266366698127592E-2</v>
      </c>
      <c r="K35" s="17" cm="1">
        <f t="array" ref="K35">[1]!feed_q_liq_rc_m3day(p,t,G35)</f>
        <v>45.671880517509038</v>
      </c>
      <c r="L35" s="17" cm="1">
        <f t="array" ref="L35">[1]!feed_q_gas_rc_m3day(p,t,G35)</f>
        <v>75.054901970270734</v>
      </c>
      <c r="M35" s="16" cm="1">
        <f t="array" ref="M35">[1]!feed_mu_liq_cP(p,t,G35)</f>
        <v>0.59336593270331894</v>
      </c>
      <c r="N35" s="16" cm="1">
        <f t="array" ref="N35">[1]!PVT_mu_gas_cP(p,t,G35)</f>
        <v>1.3310824327567267E-2</v>
      </c>
      <c r="O35" s="18" cm="1">
        <f t="array" ref="O35">[1]!unf_ksep_ESP_natural_mechanistic_Marquez(dintake_m,dcas_m,K35,L35,J35,H35,I35,M35,N35,1,+hint,calibr_li,calibr_st)</f>
        <v>0.75786897640393236</v>
      </c>
      <c r="P35" s="18" cm="1">
        <f t="array" ref="P35">[1]!unf_ksep_ESP_natural_mechanistic_pkv(dintake_m,dcas_m,K35,L35,J35,H35,I35,M35,N35,1,hint,calibr_li,calibr_st,pkv_ratio,$K$5)</f>
        <v>0</v>
      </c>
      <c r="R35" s="30">
        <f t="array" ref="R35:AE35">[1]!unf_ksep_ESP_natural_mechanistic_pkv(dintake_m,dcas_m,K35,L35,J35,H35,I35,M35,N35,0,hint,calibr_li,calibr_st,pkv_ratio,$K$5)</f>
        <v>0</v>
      </c>
      <c r="S35" s="6">
        <v>3</v>
      </c>
      <c r="T35" s="6">
        <v>1.3233004417737904E-3</v>
      </c>
      <c r="U35" s="6">
        <v>0.18732110855884132</v>
      </c>
      <c r="V35" s="6">
        <v>0.1036087595738191</v>
      </c>
      <c r="W35" s="6">
        <v>0.17026549388727616</v>
      </c>
      <c r="X35" s="6">
        <v>-4.6877817550085583E-2</v>
      </c>
      <c r="Y35" s="31">
        <v>0.65</v>
      </c>
      <c r="Z35" s="31">
        <v>0.35</v>
      </c>
      <c r="AA35" s="6">
        <v>-0.19241626777994977</v>
      </c>
      <c r="AB35" s="6">
        <v>-0.31620734579065574</v>
      </c>
      <c r="AC35" s="6">
        <v>-0.10802316787646306</v>
      </c>
      <c r="AD35" s="6">
        <v>-0.17751991342633311</v>
      </c>
      <c r="AE35" s="6">
        <v>6.2833212324447135E-2</v>
      </c>
      <c r="AF35" s="6"/>
    </row>
    <row r="36" spans="5:32" x14ac:dyDescent="0.25">
      <c r="F36" s="1">
        <v>47</v>
      </c>
      <c r="G36" s="13" t="str">
        <f>[1]!encode_feed(F36,$E$17,$E$18,$E$19,$E$15)</f>
        <v>{"gamma_gas":0.81,"gamma_oil":0.82,"gamma_wat":1.1,"rsb_m3m3":120,"muob_cP":0.3,"PVT_corr_set":0,"q_liq_sm3day":47,"fw_perc":0,"rp_m3m3":120}</v>
      </c>
      <c r="H36" s="14" cm="1">
        <f t="array" ref="H36">[1]!feed_rho_liq_kgm3(p,t,G36)</f>
        <v>746.87220553572797</v>
      </c>
      <c r="I36" s="14" cm="1">
        <f t="array" ref="I36">[1]!PVT_rho_gas_kgm3(p,t,PVT_json)</f>
        <v>45.818612464325518</v>
      </c>
      <c r="J36" s="15" cm="1">
        <f t="array" ref="J36">[1]!feed_ST_liqgas_Nm(p,t,G36)</f>
        <v>2.5266366698127592E-2</v>
      </c>
      <c r="K36" s="17" cm="1">
        <f t="array" ref="K36">[1]!feed_q_liq_rc_m3day(p,t,G36)</f>
        <v>53.664459608073116</v>
      </c>
      <c r="L36" s="17" cm="1">
        <f t="array" ref="L36">[1]!feed_q_gas_rc_m3day(p,t,G36)</f>
        <v>88.189509815068106</v>
      </c>
      <c r="M36" s="16" cm="1">
        <f t="array" ref="M36">[1]!feed_mu_liq_cP(p,t,G36)</f>
        <v>0.59336593270331894</v>
      </c>
      <c r="N36" s="16" cm="1">
        <f t="array" ref="N36">[1]!PVT_mu_gas_cP(p,t,G36)</f>
        <v>1.3310824327567267E-2</v>
      </c>
      <c r="O36" s="18" cm="1">
        <f t="array" ref="O36">[1]!unf_ksep_ESP_natural_mechanistic_Marquez(dintake_m,dcas_m,K36,L36,J36,H36,I36,M36,N36,1,+hint,calibr_li,calibr_st)</f>
        <v>0.72679358239122083</v>
      </c>
      <c r="P36" s="18" cm="1">
        <f t="array" ref="P36">[1]!unf_ksep_ESP_natural_mechanistic_pkv(dintake_m,dcas_m,K36,L36,J36,H36,I36,M36,N36,1,hint,calibr_li,calibr_st,pkv_ratio,$K$5)</f>
        <v>0</v>
      </c>
      <c r="R36" s="30">
        <f t="array" ref="R36:AE36">[1]!unf_ksep_ESP_natural_mechanistic_pkv(dintake_m,dcas_m,K36,L36,J36,H36,I36,M36,N36,0,hint,calibr_li,calibr_st,pkv_ratio,$K$5)</f>
        <v>0</v>
      </c>
      <c r="S36" s="6">
        <v>3</v>
      </c>
      <c r="T36" s="6">
        <v>1.3393501906470218E-3</v>
      </c>
      <c r="U36" s="6">
        <v>0.18732110855884132</v>
      </c>
      <c r="V36" s="6">
        <v>0.12174029249923743</v>
      </c>
      <c r="W36" s="6">
        <v>0.20006195531754947</v>
      </c>
      <c r="X36" s="6">
        <v>-9.0652518470024132E-2</v>
      </c>
      <c r="Y36" s="31">
        <v>0.65</v>
      </c>
      <c r="Z36" s="31">
        <v>0.35</v>
      </c>
      <c r="AA36" s="6">
        <v>-0.22608911464144096</v>
      </c>
      <c r="AB36" s="6">
        <v>-0.37154363130402046</v>
      </c>
      <c r="AC36" s="6">
        <v>-0.1269272222548441</v>
      </c>
      <c r="AD36" s="6">
        <v>-0.20858589827594137</v>
      </c>
      <c r="AE36" s="6">
        <v>3.8257941632551792E-2</v>
      </c>
      <c r="AF36" s="6"/>
    </row>
    <row r="37" spans="5:32" x14ac:dyDescent="0.25">
      <c r="F37" s="1">
        <v>54</v>
      </c>
      <c r="G37" s="13" t="str">
        <f>[1]!encode_feed(F37,$E$17,$E$18,$E$19,$E$15)</f>
        <v>{"gamma_gas":0.81,"gamma_oil":0.82,"gamma_wat":1.1,"rsb_m3m3":120,"muob_cP":0.3,"PVT_corr_set":0,"q_liq_sm3day":54,"fw_perc":0,"rp_m3m3":120}</v>
      </c>
      <c r="H37" s="14" cm="1">
        <f t="array" ref="H37">[1]!feed_rho_liq_kgm3(p,t,G37)</f>
        <v>746.87220553572797</v>
      </c>
      <c r="I37" s="14" cm="1">
        <f t="array" ref="I37">[1]!PVT_rho_gas_kgm3(p,t,PVT_json)</f>
        <v>45.818612464325518</v>
      </c>
      <c r="J37" s="15" cm="1">
        <f t="array" ref="J37">[1]!feed_ST_liqgas_Nm(p,t,G37)</f>
        <v>2.5266366698127592E-2</v>
      </c>
      <c r="K37" s="17" cm="1">
        <f t="array" ref="K37">[1]!feed_q_liq_rc_m3day(p,t,G37)</f>
        <v>61.657038698637201</v>
      </c>
      <c r="L37" s="17" cm="1">
        <f t="array" ref="L37">[1]!feed_q_gas_rc_m3day(p,t,G37)</f>
        <v>101.32411765986548</v>
      </c>
      <c r="M37" s="16" cm="1">
        <f t="array" ref="M37">[1]!feed_mu_liq_cP(p,t,G37)</f>
        <v>0.59336593270331894</v>
      </c>
      <c r="N37" s="16" cm="1">
        <f t="array" ref="N37">[1]!PVT_mu_gas_cP(p,t,G37)</f>
        <v>1.3310824327567267E-2</v>
      </c>
      <c r="O37" s="18" cm="1">
        <f t="array" ref="O37">[1]!unf_ksep_ESP_natural_mechanistic_Marquez(dintake_m,dcas_m,K37,L37,J37,H37,I37,M37,N37,1,+hint,calibr_li,calibr_st)</f>
        <v>0.69852251884139227</v>
      </c>
      <c r="P37" s="18" cm="1">
        <f t="array" ref="P37">[1]!unf_ksep_ESP_natural_mechanistic_pkv(dintake_m,dcas_m,K37,L37,J37,H37,I37,M37,N37,1,hint,calibr_li,calibr_st,pkv_ratio,$K$5)</f>
        <v>0</v>
      </c>
      <c r="R37" s="30">
        <f t="array" ref="R37:AE37">[1]!unf_ksep_ESP_natural_mechanistic_pkv(dintake_m,dcas_m,K37,L37,J37,H37,I37,M37,N37,0,hint,calibr_li,calibr_st,pkv_ratio,$K$5)</f>
        <v>0</v>
      </c>
      <c r="S37" s="6">
        <v>1</v>
      </c>
      <c r="T37" s="6">
        <v>1.3576456027151707E-3</v>
      </c>
      <c r="U37" s="6">
        <v>0.20326333056384913</v>
      </c>
      <c r="V37" s="6">
        <v>0.13987182542465579</v>
      </c>
      <c r="W37" s="6">
        <v>0.22985841674782276</v>
      </c>
      <c r="X37" s="6">
        <v>-0.13442721938996274</v>
      </c>
      <c r="Y37" s="31">
        <v>0.65</v>
      </c>
      <c r="Z37" s="31">
        <v>0.35</v>
      </c>
      <c r="AA37" s="6">
        <v>-0.25976196150293218</v>
      </c>
      <c r="AB37" s="6">
        <v>-0.42687991681738519</v>
      </c>
      <c r="AC37" s="6">
        <v>-0.14583127663322515</v>
      </c>
      <c r="AD37" s="6">
        <v>-0.23965188312554966</v>
      </c>
      <c r="AE37" s="6">
        <v>1.3682670940656429E-2</v>
      </c>
      <c r="AF37" s="6"/>
    </row>
    <row r="38" spans="5:32" x14ac:dyDescent="0.25">
      <c r="F38" s="1">
        <v>61</v>
      </c>
      <c r="G38" s="13" t="str">
        <f>[1]!encode_feed(F38,$E$17,$E$18,$E$19,$E$15)</f>
        <v>{"gamma_gas":0.81,"gamma_oil":0.82,"gamma_wat":1.1,"rsb_m3m3":120,"muob_cP":0.3,"PVT_corr_set":0,"q_liq_sm3day":61,"fw_perc":0,"rp_m3m3":120}</v>
      </c>
      <c r="H38" s="14" cm="1">
        <f t="array" ref="H38">[1]!feed_rho_liq_kgm3(p,t,G38)</f>
        <v>746.87220553572797</v>
      </c>
      <c r="I38" s="14" cm="1">
        <f t="array" ref="I38">[1]!PVT_rho_gas_kgm3(p,t,PVT_json)</f>
        <v>45.818612464325518</v>
      </c>
      <c r="J38" s="15" cm="1">
        <f t="array" ref="J38">[1]!feed_ST_liqgas_Nm(p,t,G38)</f>
        <v>2.5266366698127592E-2</v>
      </c>
      <c r="K38" s="17" cm="1">
        <f t="array" ref="K38">[1]!feed_q_liq_rc_m3day(p,t,G38)</f>
        <v>69.649617789201287</v>
      </c>
      <c r="L38" s="17" cm="1">
        <f t="array" ref="L38">[1]!feed_q_gas_rc_m3day(p,t,G38)</f>
        <v>114.45872550466287</v>
      </c>
      <c r="M38" s="16" cm="1">
        <f t="array" ref="M38">[1]!feed_mu_liq_cP(p,t,G38)</f>
        <v>0.59336593270331894</v>
      </c>
      <c r="N38" s="16" cm="1">
        <f t="array" ref="N38">[1]!PVT_mu_gas_cP(p,t,G38)</f>
        <v>1.3310824327567267E-2</v>
      </c>
      <c r="O38" s="18" cm="1">
        <f t="array" ref="O38">[1]!unf_ksep_ESP_natural_mechanistic_Marquez(dintake_m,dcas_m,K38,L38,J38,H38,I38,M38,N38,1,+hint,calibr_li,calibr_st)</f>
        <v>0.67260599413406619</v>
      </c>
      <c r="P38" s="18" cm="1">
        <f t="array" ref="P38">[1]!unf_ksep_ESP_natural_mechanistic_pkv(dintake_m,dcas_m,K38,L38,J38,H38,I38,M38,N38,1,hint,calibr_li,calibr_st,pkv_ratio,$K$5)</f>
        <v>0</v>
      </c>
      <c r="R38" s="30">
        <f t="array" ref="R38:AE38">[1]!unf_ksep_ESP_natural_mechanistic_pkv(dintake_m,dcas_m,K38,L38,J38,H38,I38,M38,N38,0,hint,calibr_li,calibr_st,pkv_ratio,$K$5)</f>
        <v>0</v>
      </c>
      <c r="S38" s="6">
        <v>1</v>
      </c>
      <c r="T38" s="6">
        <v>1.3774593429199209E-3</v>
      </c>
      <c r="U38" s="6">
        <v>0.20326333056384913</v>
      </c>
      <c r="V38" s="6">
        <v>0.15800335835007412</v>
      </c>
      <c r="W38" s="6">
        <v>0.25965487817809613</v>
      </c>
      <c r="X38" s="6">
        <v>-0.17820192030990128</v>
      </c>
      <c r="Y38" s="31">
        <v>0.05</v>
      </c>
      <c r="Z38" s="31">
        <v>0.35</v>
      </c>
      <c r="AA38" s="6">
        <v>-0.29343480836442337</v>
      </c>
      <c r="AB38" s="6">
        <v>-0.48221620233075002</v>
      </c>
      <c r="AC38" s="6">
        <v>-0.1647353310116062</v>
      </c>
      <c r="AD38" s="6">
        <v>-0.27071786797515796</v>
      </c>
      <c r="AE38" s="6">
        <v>-1.0892599751238935E-2</v>
      </c>
      <c r="AF38" s="6"/>
    </row>
    <row r="39" spans="5:32" x14ac:dyDescent="0.25">
      <c r="F39" s="1">
        <v>68</v>
      </c>
      <c r="G39" s="13" t="str">
        <f>[1]!encode_feed(F39,$E$17,$E$18,$E$19,$E$15)</f>
        <v>{"gamma_gas":0.81,"gamma_oil":0.82,"gamma_wat":1.1,"rsb_m3m3":120,"muob_cP":0.3,"PVT_corr_set":0,"q_liq_sm3day":68,"fw_perc":0,"rp_m3m3":120}</v>
      </c>
      <c r="H39" s="14" cm="1">
        <f t="array" ref="H39">[1]!feed_rho_liq_kgm3(p,t,G39)</f>
        <v>746.87220553572797</v>
      </c>
      <c r="I39" s="14" cm="1">
        <f t="array" ref="I39">[1]!PVT_rho_gas_kgm3(p,t,PVT_json)</f>
        <v>45.818612464325518</v>
      </c>
      <c r="J39" s="15" cm="1">
        <f t="array" ref="J39">[1]!feed_ST_liqgas_Nm(p,t,G39)</f>
        <v>2.5266366698127592E-2</v>
      </c>
      <c r="K39" s="17" cm="1">
        <f t="array" ref="K39">[1]!feed_q_liq_rc_m3day(p,t,G39)</f>
        <v>77.642196879765365</v>
      </c>
      <c r="L39" s="17" cm="1">
        <f t="array" ref="L39">[1]!feed_q_gas_rc_m3day(p,t,G39)</f>
        <v>127.59333334946024</v>
      </c>
      <c r="M39" s="16" cm="1">
        <f t="array" ref="M39">[1]!feed_mu_liq_cP(p,t,G39)</f>
        <v>0.59336593270331894</v>
      </c>
      <c r="N39" s="16" cm="1">
        <f t="array" ref="N39">[1]!PVT_mu_gas_cP(p,t,G39)</f>
        <v>1.3310824327567267E-2</v>
      </c>
      <c r="O39" s="18" cm="1">
        <f t="array" ref="O39">[1]!unf_ksep_ESP_natural_mechanistic_Marquez(dintake_m,dcas_m,K39,L39,J39,H39,I39,M39,N39,1,+hint,calibr_li,calibr_st)</f>
        <v>0.64863862551486717</v>
      </c>
      <c r="P39" s="18" cm="1">
        <f t="array" ref="P39">[1]!unf_ksep_ESP_natural_mechanistic_pkv(dintake_m,dcas_m,K39,L39,J39,H39,I39,M39,N39,1,hint,calibr_li,calibr_st,pkv_ratio,$K$5)</f>
        <v>0</v>
      </c>
      <c r="R39" s="30">
        <f t="array" ref="R39:AE39">[1]!unf_ksep_ESP_natural_mechanistic_pkv(dintake_m,dcas_m,K39,L39,J39,H39,I39,M39,N39,0,hint,calibr_li,calibr_st,pkv_ratio,$K$5)</f>
        <v>0</v>
      </c>
      <c r="S39" s="6">
        <v>1</v>
      </c>
      <c r="T39" s="6">
        <v>1.3982292910810726E-3</v>
      </c>
      <c r="U39" s="6">
        <v>0.20326333056384913</v>
      </c>
      <c r="V39" s="6">
        <v>0.17613489127549245</v>
      </c>
      <c r="W39" s="6">
        <v>0.28945133960836944</v>
      </c>
      <c r="X39" s="6">
        <v>-0.22197662122983985</v>
      </c>
      <c r="Y39" s="31">
        <v>0.05</v>
      </c>
      <c r="Z39" s="31">
        <v>0.35</v>
      </c>
      <c r="AA39" s="6">
        <v>-0.32710765522591456</v>
      </c>
      <c r="AB39" s="6">
        <v>-0.53755248784411469</v>
      </c>
      <c r="AC39" s="6">
        <v>-0.18363938538998723</v>
      </c>
      <c r="AD39" s="6">
        <v>-0.30178385282476627</v>
      </c>
      <c r="AE39" s="6">
        <v>-3.5467870443134264E-2</v>
      </c>
      <c r="AF39" s="6"/>
    </row>
    <row r="40" spans="5:32" x14ac:dyDescent="0.25">
      <c r="F40" s="1">
        <v>75</v>
      </c>
      <c r="G40" s="13" t="str">
        <f>[1]!encode_feed(F40,$E$17,$E$18,$E$19,$E$15)</f>
        <v>{"gamma_gas":0.81,"gamma_oil":0.82,"gamma_wat":1.1,"rsb_m3m3":120,"muob_cP":0.3,"PVT_corr_set":0,"q_liq_sm3day":75,"fw_perc":0,"rp_m3m3":120}</v>
      </c>
      <c r="H40" s="14" cm="1">
        <f t="array" ref="H40">[1]!feed_rho_liq_kgm3(p,t,G40)</f>
        <v>746.87220553572797</v>
      </c>
      <c r="I40" s="14" cm="1">
        <f t="array" ref="I40">[1]!PVT_rho_gas_kgm3(p,t,PVT_json)</f>
        <v>45.818612464325518</v>
      </c>
      <c r="J40" s="15" cm="1">
        <f t="array" ref="J40">[1]!feed_ST_liqgas_Nm(p,t,G40)</f>
        <v>2.5266366698127592E-2</v>
      </c>
      <c r="K40" s="17" cm="1">
        <f t="array" ref="K40">[1]!feed_q_liq_rc_m3day(p,t,G40)</f>
        <v>85.634775970329443</v>
      </c>
      <c r="L40" s="17" cm="1">
        <f t="array" ref="L40">[1]!feed_q_gas_rc_m3day(p,t,G40)</f>
        <v>140.72794119425762</v>
      </c>
      <c r="M40" s="16" cm="1">
        <f t="array" ref="M40">[1]!feed_mu_liq_cP(p,t,G40)</f>
        <v>0.59336593270331894</v>
      </c>
      <c r="N40" s="16" cm="1">
        <f t="array" ref="N40">[1]!PVT_mu_gas_cP(p,t,G40)</f>
        <v>1.3310824327567267E-2</v>
      </c>
      <c r="O40" s="18" cm="1">
        <f t="array" ref="O40">[1]!unf_ksep_ESP_natural_mechanistic_Marquez(dintake_m,dcas_m,K40,L40,J40,H40,I40,M40,N40,1,+hint,calibr_li,calibr_st)</f>
        <v>0.63699463796811695</v>
      </c>
      <c r="P40" s="18" cm="1">
        <f t="array" ref="P40">[1]!unf_ksep_ESP_natural_mechanistic_pkv(dintake_m,dcas_m,K40,L40,J40,H40,I40,M40,N40,1,hint,calibr_li,calibr_st,pkv_ratio,$K$5)</f>
        <v>0</v>
      </c>
      <c r="R40" s="30" cm="1">
        <f t="array" ref="R40:AE41">[1]!unf_ksep_ESP_natural_mechanistic_pkv(dintake_m,dcas_m,K40,L40,J40,H40,I40,M40,N40,0,hint,calibr_li,calibr_st,pkv_ratio,$K$5)</f>
        <v>0</v>
      </c>
      <c r="S40" s="6">
        <v>1</v>
      </c>
      <c r="T40" s="6">
        <v>1.4641916405247234E-3</v>
      </c>
      <c r="U40" s="6">
        <v>0.20326333056384913</v>
      </c>
      <c r="V40" s="6">
        <v>0.19426642420091081</v>
      </c>
      <c r="W40" s="6">
        <v>0.31924780103864275</v>
      </c>
      <c r="X40" s="6">
        <v>-0.28169354415478626</v>
      </c>
      <c r="Y40" s="31">
        <v>0.05</v>
      </c>
      <c r="Z40" s="31">
        <v>0.35</v>
      </c>
      <c r="AA40" s="6">
        <v>-0.36078050208740581</v>
      </c>
      <c r="AB40" s="6">
        <v>-0.59288877335747947</v>
      </c>
      <c r="AC40" s="6">
        <v>-0.20254343976836825</v>
      </c>
      <c r="AD40" s="6">
        <v>-0.33284983767437459</v>
      </c>
      <c r="AE40" s="6">
        <v>-7.5985363140037399E-2</v>
      </c>
      <c r="AF40" s="6"/>
    </row>
    <row r="41" spans="5:32" x14ac:dyDescent="0.25">
      <c r="R41" s="5" t="str">
        <v>ksep</v>
      </c>
      <c r="S41" s="5" t="str">
        <v>flow regime</v>
      </c>
      <c r="T41" s="5" t="str">
        <v>li</v>
      </c>
      <c r="U41" s="5" t="str">
        <v>v_ooz</v>
      </c>
      <c r="V41" s="5" t="str">
        <v>vsl</v>
      </c>
      <c r="W41" s="5" t="str">
        <v>vsg</v>
      </c>
      <c r="X41" s="5" t="str">
        <v>vg_downflow</v>
      </c>
      <c r="Y41" s="28" t="str">
        <v>ksep_average_cycle</v>
      </c>
      <c r="Z41" s="28" t="str">
        <v>pkv_ratio</v>
      </c>
      <c r="AA41" s="28" t="str">
        <v>vsl_ann_intake_msec</v>
      </c>
      <c r="AB41" s="28" t="str">
        <v>vsg_ann_intake_msec</v>
      </c>
      <c r="AC41" s="28" t="str">
        <v>vsl_ann_tub_msec</v>
      </c>
      <c r="AD41" s="28" t="str">
        <v>vsg_ann_tub_msec</v>
      </c>
      <c r="AE41" s="28" t="str">
        <v>vg_downflow_tub_msec</v>
      </c>
    </row>
    <row r="45" spans="5:32" x14ac:dyDescent="0.25">
      <c r="E45" t="s">
        <v>47</v>
      </c>
    </row>
    <row r="47" spans="5:32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32" x14ac:dyDescent="0.25">
      <c r="F48" s="13">
        <f>E16</f>
        <v>15</v>
      </c>
      <c r="G48" s="13" t="str">
        <f>[1]!encode_feed(F48,$E$17,$E$18,$E$19,$E$15)</f>
        <v>{"gamma_gas":0.81,"gamma_oil":0.82,"gamma_wat":1.1,"rsb_m3m3":120,"muob_cP":0.3,"PVT_corr_set":0,"q_liq_sm3day":15,"fw_perc":0,"rp_m3m3":120}</v>
      </c>
      <c r="H48" s="14" cm="1">
        <f t="array" ref="H48">[1]!feed_rho_liq_kgm3(p,t,G48)</f>
        <v>746.87220553572797</v>
      </c>
      <c r="I48" s="14" cm="1">
        <f t="array" ref="I48">[1]!PVT_rho_gas_kgm3(p,t,PVT_json)</f>
        <v>45.818612464325518</v>
      </c>
      <c r="J48" s="15" cm="1">
        <f t="array" ref="J48">[1]!feed_ST_liqgas_Nm(p,t,G48)</f>
        <v>2.5266366698127592E-2</v>
      </c>
      <c r="K48" s="17" cm="1">
        <f t="array" ref="K48">[1]!feed_q_liq_rc_m3day(p,t,G48)</f>
        <v>17.126955194065889</v>
      </c>
      <c r="L48" s="17" cm="1">
        <f t="array" ref="L48">[1]!feed_q_gas_rc_m3day(p,t,G48)</f>
        <v>28.145588238851523</v>
      </c>
      <c r="M48" s="16" cm="1">
        <f t="array" ref="M48">[1]!feed_mu_liq_cP(p,t,G48)</f>
        <v>0.59336593270331894</v>
      </c>
      <c r="N48" s="16" cm="1">
        <f t="array" ref="N48">[1]!PVT_mu_gas_cP(p,t,G48)</f>
        <v>1.3310824327567267E-2</v>
      </c>
      <c r="R48" s="19" cm="1">
        <f t="array" ref="R48:AE49">[1]!unf_ksep_ESP_natural_mechanistic_pkv(dintake_m,dcas_m,K48,L48,J48,H48,I48,M48,N48,0,hint,calibr_li,calibr_st,pkv_ratio)</f>
        <v>0.71332972621630419</v>
      </c>
      <c r="S48" s="13">
        <v>3</v>
      </c>
      <c r="T48" s="13">
        <v>1.3024066243645298E-3</v>
      </c>
      <c r="U48" s="13">
        <v>0.18732110855884132</v>
      </c>
      <c r="V48" s="13">
        <v>3.8853284840182162E-2</v>
      </c>
      <c r="W48" s="13">
        <v>6.3849560207728556E-2</v>
      </c>
      <c r="X48" s="13">
        <v>0.1094604000211236</v>
      </c>
      <c r="Y48" s="13">
        <v>0.89966540417570651</v>
      </c>
      <c r="Z48" s="19">
        <v>0.35</v>
      </c>
      <c r="AA48" s="24">
        <v>-7.2156100417481162E-2</v>
      </c>
      <c r="AB48" s="24">
        <v>0.11857775467149591</v>
      </c>
      <c r="AC48" s="15">
        <v>-4.0508687953673649E-2</v>
      </c>
      <c r="AD48" s="15">
        <v>6.6569967534874916E-2</v>
      </c>
      <c r="AE48" s="15">
        <v>0.15060203622407337</v>
      </c>
    </row>
    <row r="49" spans="5:34" x14ac:dyDescent="0.25">
      <c r="R49" s="13" t="str">
        <v>ksep</v>
      </c>
      <c r="S49" s="13" t="str">
        <v>flow regime</v>
      </c>
      <c r="T49" s="13" t="str">
        <v>li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 t="str">
        <v>ksep_average_cycle</v>
      </c>
      <c r="Z49" s="13" t="str">
        <v>pkv_ratio</v>
      </c>
      <c r="AA49" s="13" t="str">
        <v>vsl_ann_intake_msec</v>
      </c>
      <c r="AB49" s="13" t="str">
        <v>vsg_ann_intake_msec</v>
      </c>
      <c r="AC49" s="13" t="str">
        <v>vsl_ann_tub_msec</v>
      </c>
      <c r="AD49" s="13" t="str">
        <v>vsg_ann_tub_msec</v>
      </c>
      <c r="AE49" s="13" t="str">
        <v>vg_downflow_tub_msec</v>
      </c>
    </row>
    <row r="53" spans="5:34" x14ac:dyDescent="0.25">
      <c r="E53" s="5" t="str" cm="1">
        <f t="array" ref="E53">[1]!unf_ksep_mechanistic_pkv_build_bubble_tracks(dintake_m,dcas_m,K48,L48,J48,H48,I48,M48,N48,hint,calibr_li,calibr_st,pkv_ratio)</f>
        <v>{"n 1":{"curve_x":"x","curve_y":"y","x":[-0.02,-0.015794,-0.011588,-0.007382,-0.003176,0.00103,0.003889,0.005235,0.009441,0.013647,0.017853,0.022059,0.026265,0.030471,0.034677],"y":[0.052556,0.052556,0.052556,0.052556,0.052556,0.052556,0.052556,0.052491,0.05229,0.052084,0.051875,0.051662,0.051445,0.051224,0.051]},"n 2":{"curve_x":"x","curve_y":"y","x":[-0.02,-0.013116,-0.006233,0.000651,0.007535,0.007778,0.014418,0.021302,0.028186,0.03507,0.041953,0.048837,0.055721,0.062604,0.069488],"y":[0.054111,0.054111,0.054111,0.054111,0.054111,0.054111,0.0538,0.053469,0.053128,0.052777,0.052421,0.052064,0.051709,0.051354,0.051]},"n 3":{"curve_x":"x","curve_y":"y","x":[-0.02,-0.008333,0.003333,0.011667,0.015,0.026667,0.038333,0.05,0.061667,0.073333,0.085,0.096667,0.097795,0.108333,0.12],"y":[0.055667,0.055667,0.055667,0.055667,0.055515,0.054969,0.054397,0.053818,0.053242,0.052668,0.052097,0.05153,0.051475,0.051475,0.051475]},"n 4":{"curve_x":"x","curve_y":"y","x":[-0.02,-0.008333,0.003333,0.015,0.015556,0.026667,0.038333,0.05,0.061667,0.073333,0.085,0.086576,0.096667,0.108333,0.12],"y":[0.057222,0.057222,0.057222,0.057222,0.057222,0.056721,0.056171,0.055615,0.055062,0.054512,0.053965,0.053891,0.053891,0.053891,0.053891]},"n 5":{"curve_x":"x","curve_y":"y","x":[-0.02,-0.008333,0.003333,0.015,0.019444,0.026667,0.038333,0.05,0.061667,0.073333,0.075732,0.085,0.096667,0.108333,0.12],"y":[0.058778,0.058778,0.058778,0.058778,0.058778,0.058461,0.057932,0.057396,0.056864,0.056335,0.056227,0.056227,0.056227,0.056227,0.056227]},"n 6":{"curve_x":"x","curve_y":"y","x":[-0.02,-0.008333,0.003333,0.015,0.023333,0.026667,0.038333,0.05,0.061667,0.065194,0.073333,0.085,0.096667,0.108333,0.12],"y":[0.060333,0.060333,0.060333,0.060333,0.060333,0.060191,0.05968,0.059164,0.058651,0.058497,0.058497,0.058497,0.058497,0.058497,0.058497]},"n 7":{"curve_x":"x","curve_y":"y","x":[-0.02,-0.008333,0.003333,0.015,0.026667,0.027222,0.038333,0.05,0.054917,0.061667,0.073333,0.085,0.096667,0.108333,0.12],"y":[0.061889,0.061889,0.061889,0.061889,0.061889,0.061889,0.061418,0.060919,0.06071,0.06071,0.06071,0.06071,0.06071,0.06071,0.06071]},"n 8":{"curve_x":"x","curve_y":"y","x":[-0.02,-0.008333,0.003333,0.015,0.026667,0.031111,0.038333,0.044863,0.05,0.061667,0.073333,0.085,0.096667,0.108333,0.12],"y":[0.063444,0.063444,0.063444,0.063444,0.063444,0.063444,0.063146,0.062876,0.062876,0.062876,0.062876,0.062876,0.062876,0.062876,0.062876]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t="s">
        <v>56</v>
      </c>
    </row>
    <row r="55" spans="5:34" x14ac:dyDescent="0.25">
      <c r="E55" s="20" t="str" cm="1">
        <f t="array" ref="E55:F62">[1]!decode_json(E53)</f>
        <v>n 1</v>
      </c>
      <c r="F55" s="20" t="str">
        <v>{"curve_x":"x","curve_y":"y","x":[-0.02,-0.015794,-0.011588,-0.007382,-0.003176,0.00103,0.003889,0.005235,0.009441,0.013647,0.017853,0.022059,0.026265,0.030471,0.034677],"y":[0.052556,0.052556,0.052556,0.052556,0.052556,0.052556,0.052556,0.052491,0.05229,0.052084,0.051875,0.051662,0.051445,0.051224,0.051]}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  <c r="AF55" s="20"/>
      <c r="AG55" s="20"/>
    </row>
    <row r="56" spans="5:34" x14ac:dyDescent="0.25">
      <c r="E56" s="20" t="str">
        <v>n 2</v>
      </c>
      <c r="F56" s="20" t="str">
        <v>{"curve_x":"x","curve_y":"y","x":[-0.02,-0.013116,-0.006233,0.000651,0.007535,0.007778,0.014418,0.021302,0.028186,0.03507,0.041953,0.048837,0.055721,0.062604,0.069488],"y":[0.054111,0.054111,0.054111,0.054111,0.054111,0.054111,0.0538,0.053469,0.053128,0.052777,0.052421,0.052064,0.051709,0.051354,0.051]}</v>
      </c>
      <c r="I56" s="21">
        <v>-0.02</v>
      </c>
      <c r="J56" s="21">
        <v>5.2555999999999999E-2</v>
      </c>
      <c r="L56" s="20">
        <v>-0.02</v>
      </c>
      <c r="M56" s="20">
        <v>5.4110999999999999E-2</v>
      </c>
      <c r="O56" s="20">
        <v>-0.02</v>
      </c>
      <c r="P56" s="20">
        <v>5.5667000000000001E-2</v>
      </c>
      <c r="R56" s="20">
        <v>-0.02</v>
      </c>
      <c r="S56" s="20">
        <v>5.7222000000000002E-2</v>
      </c>
      <c r="U56" s="20">
        <v>-0.02</v>
      </c>
      <c r="V56" s="20">
        <v>5.8777999999999997E-2</v>
      </c>
      <c r="X56" s="20">
        <v>-0.02</v>
      </c>
      <c r="Y56" s="20">
        <v>6.0332999999999998E-2</v>
      </c>
      <c r="AA56" s="20">
        <v>-0.02</v>
      </c>
      <c r="AB56" s="20">
        <v>6.1889E-2</v>
      </c>
      <c r="AD56" s="20">
        <v>-0.02</v>
      </c>
      <c r="AE56" s="20">
        <v>6.3444E-2</v>
      </c>
      <c r="AF56" s="20"/>
      <c r="AG56" s="20"/>
    </row>
    <row r="57" spans="5:34" x14ac:dyDescent="0.25">
      <c r="E57" s="20" t="str">
        <v>n 3</v>
      </c>
      <c r="F57" s="20" t="str">
        <v>{"curve_x":"x","curve_y":"y","x":[-0.02,-0.008333,0.003333,0.011667,0.015,0.026667,0.038333,0.05,0.061667,0.073333,0.085,0.096667,0.097795,0.108333,0.12],"y":[0.055667,0.055667,0.055667,0.055667,0.055515,0.054969,0.054397,0.053818,0.053242,0.052668,0.052097,0.05153,0.051475,0.051475,0.051475]}</v>
      </c>
      <c r="I57" s="21">
        <v>-1.5793999999999999E-2</v>
      </c>
      <c r="J57" s="21">
        <v>5.2555999999999999E-2</v>
      </c>
      <c r="L57" s="20">
        <v>-1.3115999999999999E-2</v>
      </c>
      <c r="M57" s="20">
        <v>5.4110999999999999E-2</v>
      </c>
      <c r="O57" s="20">
        <v>-8.3330000000000001E-3</v>
      </c>
      <c r="P57" s="20">
        <v>5.5667000000000001E-2</v>
      </c>
      <c r="R57" s="20">
        <v>-8.3330000000000001E-3</v>
      </c>
      <c r="S57" s="20">
        <v>5.7222000000000002E-2</v>
      </c>
      <c r="U57" s="20">
        <v>-8.3330000000000001E-3</v>
      </c>
      <c r="V57" s="20">
        <v>5.8777999999999997E-2</v>
      </c>
      <c r="X57" s="20">
        <v>-8.3330000000000001E-3</v>
      </c>
      <c r="Y57" s="20">
        <v>6.0332999999999998E-2</v>
      </c>
      <c r="AA57" s="20">
        <v>-8.3330000000000001E-3</v>
      </c>
      <c r="AB57" s="20">
        <v>6.1889E-2</v>
      </c>
      <c r="AD57" s="20">
        <v>-8.3330000000000001E-3</v>
      </c>
      <c r="AE57" s="20">
        <v>6.3444E-2</v>
      </c>
      <c r="AF57" s="20"/>
      <c r="AG57" s="20"/>
    </row>
    <row r="58" spans="5:34" x14ac:dyDescent="0.25">
      <c r="E58" s="20" t="str">
        <v>n 4</v>
      </c>
      <c r="F58" s="20" t="str">
        <v>{"curve_x":"x","curve_y":"y","x":[-0.02,-0.008333,0.003333,0.015,0.015556,0.026667,0.038333,0.05,0.061667,0.073333,0.085,0.086576,0.096667,0.108333,0.12],"y":[0.057222,0.057222,0.057222,0.057222,0.057222,0.056721,0.056171,0.055615,0.055062,0.054512,0.053965,0.053891,0.053891,0.053891,0.053891]}</v>
      </c>
      <c r="I58" s="21">
        <v>-1.1587999999999999E-2</v>
      </c>
      <c r="J58" s="21">
        <v>5.2555999999999999E-2</v>
      </c>
      <c r="L58" s="20">
        <v>-6.2329999999999998E-3</v>
      </c>
      <c r="M58" s="20">
        <v>5.4110999999999999E-2</v>
      </c>
      <c r="O58" s="20">
        <v>3.333E-3</v>
      </c>
      <c r="P58" s="20">
        <v>5.5667000000000001E-2</v>
      </c>
      <c r="R58" s="20">
        <v>3.333E-3</v>
      </c>
      <c r="S58" s="20">
        <v>5.7222000000000002E-2</v>
      </c>
      <c r="U58" s="20">
        <v>3.333E-3</v>
      </c>
      <c r="V58" s="20">
        <v>5.8777999999999997E-2</v>
      </c>
      <c r="X58" s="20">
        <v>3.333E-3</v>
      </c>
      <c r="Y58" s="20">
        <v>6.0332999999999998E-2</v>
      </c>
      <c r="AA58" s="20">
        <v>3.333E-3</v>
      </c>
      <c r="AB58" s="20">
        <v>6.1889E-2</v>
      </c>
      <c r="AD58" s="20">
        <v>3.333E-3</v>
      </c>
      <c r="AE58" s="20">
        <v>6.3444E-2</v>
      </c>
      <c r="AF58" s="20"/>
      <c r="AG58" s="20"/>
    </row>
    <row r="59" spans="5:34" x14ac:dyDescent="0.25">
      <c r="E59" s="20" t="str">
        <v>n 5</v>
      </c>
      <c r="F59" s="20" t="str">
        <v>{"curve_x":"x","curve_y":"y","x":[-0.02,-0.008333,0.003333,0.015,0.019444,0.026667,0.038333,0.05,0.061667,0.073333,0.075732,0.085,0.096667,0.108333,0.12],"y":[0.058778,0.058778,0.058778,0.058778,0.058778,0.058461,0.057932,0.057396,0.056864,0.056335,0.056227,0.056227,0.056227,0.056227,0.056227]}</v>
      </c>
      <c r="I59" s="21">
        <v>-7.3819999999999997E-3</v>
      </c>
      <c r="J59" s="21">
        <v>5.2555999999999999E-2</v>
      </c>
      <c r="L59" s="20">
        <v>6.5099999999999999E-4</v>
      </c>
      <c r="M59" s="20">
        <v>5.4110999999999999E-2</v>
      </c>
      <c r="O59" s="20">
        <v>1.1667E-2</v>
      </c>
      <c r="P59" s="20">
        <v>5.5667000000000001E-2</v>
      </c>
      <c r="R59" s="20">
        <v>1.4999999999999999E-2</v>
      </c>
      <c r="S59" s="20">
        <v>5.7222000000000002E-2</v>
      </c>
      <c r="U59" s="20">
        <v>1.4999999999999999E-2</v>
      </c>
      <c r="V59" s="20">
        <v>5.8777999999999997E-2</v>
      </c>
      <c r="X59" s="20">
        <v>1.4999999999999999E-2</v>
      </c>
      <c r="Y59" s="20">
        <v>6.0332999999999998E-2</v>
      </c>
      <c r="AA59" s="20">
        <v>1.4999999999999999E-2</v>
      </c>
      <c r="AB59" s="20">
        <v>6.1889E-2</v>
      </c>
      <c r="AD59" s="20">
        <v>1.4999999999999999E-2</v>
      </c>
      <c r="AE59" s="20">
        <v>6.3444E-2</v>
      </c>
      <c r="AF59" s="20"/>
      <c r="AG59" s="20"/>
    </row>
    <row r="60" spans="5:34" x14ac:dyDescent="0.25">
      <c r="E60" s="20" t="str">
        <v>n 6</v>
      </c>
      <c r="F60" s="20" t="str">
        <v>{"curve_x":"x","curve_y":"y","x":[-0.02,-0.008333,0.003333,0.015,0.023333,0.026667,0.038333,0.05,0.061667,0.065194,0.073333,0.085,0.096667,0.108333,0.12],"y":[0.060333,0.060333,0.060333,0.060333,0.060333,0.060191,0.05968,0.059164,0.058651,0.058497,0.058497,0.058497,0.058497,0.058497,0.058497]}</v>
      </c>
      <c r="I60" s="21">
        <v>-3.176E-3</v>
      </c>
      <c r="J60" s="21">
        <v>5.2555999999999999E-2</v>
      </c>
      <c r="L60" s="20">
        <v>7.535E-3</v>
      </c>
      <c r="M60" s="20">
        <v>5.4110999999999999E-2</v>
      </c>
      <c r="O60" s="20">
        <v>1.4999999999999999E-2</v>
      </c>
      <c r="P60" s="20">
        <v>5.5515000000000002E-2</v>
      </c>
      <c r="R60" s="20">
        <v>1.5556E-2</v>
      </c>
      <c r="S60" s="20">
        <v>5.7222000000000002E-2</v>
      </c>
      <c r="U60" s="20">
        <v>1.9443999999999999E-2</v>
      </c>
      <c r="V60" s="20">
        <v>5.8777999999999997E-2</v>
      </c>
      <c r="X60" s="20">
        <v>2.3333E-2</v>
      </c>
      <c r="Y60" s="20">
        <v>6.0332999999999998E-2</v>
      </c>
      <c r="AA60" s="20">
        <v>2.6667E-2</v>
      </c>
      <c r="AB60" s="20">
        <v>6.1889E-2</v>
      </c>
      <c r="AD60" s="20">
        <v>2.6667E-2</v>
      </c>
      <c r="AE60" s="20">
        <v>6.3444E-2</v>
      </c>
      <c r="AF60" s="20"/>
      <c r="AG60" s="20"/>
    </row>
    <row r="61" spans="5:34" x14ac:dyDescent="0.25">
      <c r="E61" s="20" t="str">
        <v>n 7</v>
      </c>
      <c r="F61" s="20" t="str">
        <v>{"curve_x":"x","curve_y":"y","x":[-0.02,-0.008333,0.003333,0.015,0.026667,0.027222,0.038333,0.05,0.054917,0.061667,0.073333,0.085,0.096667,0.108333,0.12],"y":[0.061889,0.061889,0.061889,0.061889,0.061889,0.061889,0.061418,0.060919,0.06071,0.06071,0.06071,0.06071,0.06071,0.06071,0.06071]}</v>
      </c>
      <c r="I61" s="21">
        <v>1.0300000000000001E-3</v>
      </c>
      <c r="J61" s="21">
        <v>5.2555999999999999E-2</v>
      </c>
      <c r="L61" s="20">
        <v>7.7780000000000002E-3</v>
      </c>
      <c r="M61" s="20">
        <v>5.4110999999999999E-2</v>
      </c>
      <c r="O61" s="20">
        <v>2.6667E-2</v>
      </c>
      <c r="P61" s="20">
        <v>5.4968999999999997E-2</v>
      </c>
      <c r="R61" s="20">
        <v>2.6667E-2</v>
      </c>
      <c r="S61" s="20">
        <v>5.6721000000000001E-2</v>
      </c>
      <c r="U61" s="20">
        <v>2.6667E-2</v>
      </c>
      <c r="V61" s="20">
        <v>5.8460999999999999E-2</v>
      </c>
      <c r="X61" s="20">
        <v>2.6667E-2</v>
      </c>
      <c r="Y61" s="20">
        <v>6.0191000000000001E-2</v>
      </c>
      <c r="AA61" s="20">
        <v>2.7222E-2</v>
      </c>
      <c r="AB61" s="20">
        <v>6.1889E-2</v>
      </c>
      <c r="AD61" s="20">
        <v>3.1111E-2</v>
      </c>
      <c r="AE61" s="20">
        <v>6.3444E-2</v>
      </c>
      <c r="AF61" s="20"/>
      <c r="AG61" s="20"/>
    </row>
    <row r="62" spans="5:34" x14ac:dyDescent="0.25">
      <c r="E62" s="20" t="str">
        <v>n 8</v>
      </c>
      <c r="F62" s="20" t="str">
        <v>{"curve_x":"x","curve_y":"y","x":[-0.02,-0.008333,0.003333,0.015,0.026667,0.031111,0.038333,0.044863,0.05,0.061667,0.073333,0.085,0.096667,0.108333,0.12],"y":[0.063444,0.063444,0.063444,0.063444,0.063444,0.063444,0.063146,0.062876,0.062876,0.062876,0.062876,0.062876,0.062876,0.062876,0.062876]}</v>
      </c>
      <c r="I62" s="21">
        <v>3.8890000000000001E-3</v>
      </c>
      <c r="J62" s="21">
        <v>5.2555999999999999E-2</v>
      </c>
      <c r="L62" s="20">
        <v>1.4418E-2</v>
      </c>
      <c r="M62" s="20">
        <v>5.3800000000000001E-2</v>
      </c>
      <c r="O62" s="20">
        <v>3.8332999999999999E-2</v>
      </c>
      <c r="P62" s="20">
        <v>5.4397000000000001E-2</v>
      </c>
      <c r="R62" s="20">
        <v>3.8332999999999999E-2</v>
      </c>
      <c r="S62" s="20">
        <v>5.6170999999999999E-2</v>
      </c>
      <c r="U62" s="20">
        <v>3.8332999999999999E-2</v>
      </c>
      <c r="V62" s="20">
        <v>5.7931999999999997E-2</v>
      </c>
      <c r="X62" s="20">
        <v>3.8332999999999999E-2</v>
      </c>
      <c r="Y62" s="20">
        <v>5.9679999999999997E-2</v>
      </c>
      <c r="AA62" s="20">
        <v>3.8332999999999999E-2</v>
      </c>
      <c r="AB62" s="20">
        <v>6.1418E-2</v>
      </c>
      <c r="AD62" s="20">
        <v>3.8332999999999999E-2</v>
      </c>
      <c r="AE62" s="20">
        <v>6.3145999999999994E-2</v>
      </c>
      <c r="AF62" s="20"/>
      <c r="AG62" s="20"/>
    </row>
    <row r="63" spans="5:34" x14ac:dyDescent="0.25">
      <c r="I63" s="21">
        <v>5.2350000000000001E-3</v>
      </c>
      <c r="J63" s="21">
        <v>5.2491000000000003E-2</v>
      </c>
      <c r="L63" s="20">
        <v>2.1302000000000001E-2</v>
      </c>
      <c r="M63" s="20">
        <v>5.3469000000000003E-2</v>
      </c>
      <c r="O63" s="20">
        <v>0.05</v>
      </c>
      <c r="P63" s="20">
        <v>5.3817999999999998E-2</v>
      </c>
      <c r="R63" s="20">
        <v>0.05</v>
      </c>
      <c r="S63" s="20">
        <v>5.5614999999999998E-2</v>
      </c>
      <c r="U63" s="20">
        <v>0.05</v>
      </c>
      <c r="V63" s="20">
        <v>5.7396000000000003E-2</v>
      </c>
      <c r="X63" s="20">
        <v>0.05</v>
      </c>
      <c r="Y63" s="20">
        <v>5.9164000000000001E-2</v>
      </c>
      <c r="AA63" s="20">
        <v>0.05</v>
      </c>
      <c r="AB63" s="20">
        <v>6.0919000000000001E-2</v>
      </c>
      <c r="AD63" s="20">
        <v>4.4863E-2</v>
      </c>
      <c r="AE63" s="20">
        <v>6.2876000000000001E-2</v>
      </c>
    </row>
    <row r="64" spans="5:34" x14ac:dyDescent="0.25">
      <c r="I64" s="21">
        <v>9.4409999999999997E-3</v>
      </c>
      <c r="J64" s="21">
        <v>5.2290000000000003E-2</v>
      </c>
      <c r="L64" s="20">
        <v>2.8185999999999999E-2</v>
      </c>
      <c r="M64" s="20">
        <v>5.3128000000000002E-2</v>
      </c>
      <c r="O64" s="20">
        <v>6.1667E-2</v>
      </c>
      <c r="P64" s="20">
        <v>5.3241999999999998E-2</v>
      </c>
      <c r="R64" s="20">
        <v>6.1667E-2</v>
      </c>
      <c r="S64" s="20">
        <v>5.5062E-2</v>
      </c>
      <c r="U64" s="20">
        <v>6.1667E-2</v>
      </c>
      <c r="V64" s="20">
        <v>5.6863999999999998E-2</v>
      </c>
      <c r="X64" s="20">
        <v>6.1667E-2</v>
      </c>
      <c r="Y64" s="20">
        <v>5.8651000000000002E-2</v>
      </c>
      <c r="AA64" s="20">
        <v>5.4917000000000001E-2</v>
      </c>
      <c r="AB64" s="20">
        <v>6.071E-2</v>
      </c>
      <c r="AD64" s="20">
        <v>0.05</v>
      </c>
      <c r="AE64" s="20">
        <v>6.2876000000000001E-2</v>
      </c>
    </row>
    <row r="65" spans="5:31" x14ac:dyDescent="0.25">
      <c r="I65" s="21">
        <v>1.3646999999999999E-2</v>
      </c>
      <c r="J65" s="21">
        <v>5.2083999999999998E-2</v>
      </c>
      <c r="L65" s="20">
        <v>3.5069999999999997E-2</v>
      </c>
      <c r="M65" s="20">
        <v>5.2776999999999998E-2</v>
      </c>
      <c r="O65" s="20">
        <v>7.3332999999999995E-2</v>
      </c>
      <c r="P65" s="20">
        <v>5.2668E-2</v>
      </c>
      <c r="R65" s="20">
        <v>7.3332999999999995E-2</v>
      </c>
      <c r="S65" s="20">
        <v>5.4511999999999998E-2</v>
      </c>
      <c r="U65" s="20">
        <v>7.3332999999999995E-2</v>
      </c>
      <c r="V65" s="20">
        <v>5.6335000000000003E-2</v>
      </c>
      <c r="X65" s="20">
        <v>6.5194000000000002E-2</v>
      </c>
      <c r="Y65" s="20">
        <v>5.8497E-2</v>
      </c>
      <c r="AA65" s="20">
        <v>6.1667E-2</v>
      </c>
      <c r="AB65" s="20">
        <v>6.071E-2</v>
      </c>
      <c r="AD65" s="20">
        <v>6.1667E-2</v>
      </c>
      <c r="AE65" s="20">
        <v>6.2876000000000001E-2</v>
      </c>
    </row>
    <row r="66" spans="5:31" x14ac:dyDescent="0.25">
      <c r="I66" s="21">
        <v>1.7853000000000001E-2</v>
      </c>
      <c r="J66" s="21">
        <v>5.1874999999999998E-2</v>
      </c>
      <c r="L66" s="20">
        <v>4.1952999999999997E-2</v>
      </c>
      <c r="M66" s="20">
        <v>5.2421000000000002E-2</v>
      </c>
      <c r="O66" s="20">
        <v>8.5000000000000006E-2</v>
      </c>
      <c r="P66" s="20">
        <v>5.2096999999999997E-2</v>
      </c>
      <c r="R66" s="20">
        <v>8.5000000000000006E-2</v>
      </c>
      <c r="S66" s="20">
        <v>5.3964999999999999E-2</v>
      </c>
      <c r="U66" s="20">
        <v>7.5731999999999994E-2</v>
      </c>
      <c r="V66" s="20">
        <v>5.6226999999999999E-2</v>
      </c>
      <c r="X66" s="20">
        <v>7.3332999999999995E-2</v>
      </c>
      <c r="Y66" s="20">
        <v>5.8497E-2</v>
      </c>
      <c r="AA66" s="20">
        <v>7.3332999999999995E-2</v>
      </c>
      <c r="AB66" s="20">
        <v>6.071E-2</v>
      </c>
      <c r="AD66" s="20">
        <v>7.3332999999999995E-2</v>
      </c>
      <c r="AE66" s="20">
        <v>6.2876000000000001E-2</v>
      </c>
    </row>
    <row r="67" spans="5:31" x14ac:dyDescent="0.25">
      <c r="I67" s="21">
        <v>2.2058999999999999E-2</v>
      </c>
      <c r="J67" s="21">
        <v>5.1662E-2</v>
      </c>
      <c r="L67" s="20">
        <v>4.8836999999999998E-2</v>
      </c>
      <c r="M67" s="20">
        <v>5.2063999999999999E-2</v>
      </c>
      <c r="O67" s="20">
        <v>9.6667000000000003E-2</v>
      </c>
      <c r="P67" s="20">
        <v>5.1529999999999999E-2</v>
      </c>
      <c r="R67" s="20">
        <v>8.6576E-2</v>
      </c>
      <c r="S67" s="20">
        <v>5.3891000000000001E-2</v>
      </c>
      <c r="U67" s="20">
        <v>8.5000000000000006E-2</v>
      </c>
      <c r="V67" s="20">
        <v>5.6226999999999999E-2</v>
      </c>
      <c r="X67" s="20">
        <v>8.5000000000000006E-2</v>
      </c>
      <c r="Y67" s="20">
        <v>5.8497E-2</v>
      </c>
      <c r="AA67" s="20">
        <v>8.5000000000000006E-2</v>
      </c>
      <c r="AB67" s="20">
        <v>6.071E-2</v>
      </c>
      <c r="AD67" s="20">
        <v>8.5000000000000006E-2</v>
      </c>
      <c r="AE67" s="20">
        <v>6.2876000000000001E-2</v>
      </c>
    </row>
    <row r="68" spans="5:31" x14ac:dyDescent="0.25">
      <c r="I68" s="21">
        <v>2.6265E-2</v>
      </c>
      <c r="J68" s="21">
        <v>5.1444999999999998E-2</v>
      </c>
      <c r="L68" s="20">
        <v>5.5721E-2</v>
      </c>
      <c r="M68" s="20">
        <v>5.1708999999999998E-2</v>
      </c>
      <c r="O68" s="20">
        <v>9.7795000000000007E-2</v>
      </c>
      <c r="P68" s="20">
        <v>5.1475E-2</v>
      </c>
      <c r="R68" s="20">
        <v>9.6667000000000003E-2</v>
      </c>
      <c r="S68" s="20">
        <v>5.3891000000000001E-2</v>
      </c>
      <c r="U68" s="20">
        <v>9.6667000000000003E-2</v>
      </c>
      <c r="V68" s="20">
        <v>5.6226999999999999E-2</v>
      </c>
      <c r="X68" s="20">
        <v>9.6667000000000003E-2</v>
      </c>
      <c r="Y68" s="20">
        <v>5.8497E-2</v>
      </c>
      <c r="AA68" s="20">
        <v>9.6667000000000003E-2</v>
      </c>
      <c r="AB68" s="20">
        <v>6.071E-2</v>
      </c>
      <c r="AD68" s="20">
        <v>9.6667000000000003E-2</v>
      </c>
      <c r="AE68" s="20">
        <v>6.2876000000000001E-2</v>
      </c>
    </row>
    <row r="69" spans="5:31" x14ac:dyDescent="0.25">
      <c r="I69" s="21">
        <v>3.0471000000000002E-2</v>
      </c>
      <c r="J69" s="21">
        <v>5.1223999999999999E-2</v>
      </c>
      <c r="L69" s="20">
        <v>6.2604000000000007E-2</v>
      </c>
      <c r="M69" s="20">
        <v>5.1353999999999997E-2</v>
      </c>
      <c r="O69" s="20">
        <v>0.108333</v>
      </c>
      <c r="P69" s="20">
        <v>5.1475E-2</v>
      </c>
      <c r="R69" s="20">
        <v>0.108333</v>
      </c>
      <c r="S69" s="20">
        <v>5.3891000000000001E-2</v>
      </c>
      <c r="U69" s="20">
        <v>0.108333</v>
      </c>
      <c r="V69" s="20">
        <v>5.6226999999999999E-2</v>
      </c>
      <c r="X69" s="20">
        <v>0.108333</v>
      </c>
      <c r="Y69" s="20">
        <v>5.8497E-2</v>
      </c>
      <c r="AA69" s="20">
        <v>0.108333</v>
      </c>
      <c r="AB69" s="20">
        <v>6.071E-2</v>
      </c>
      <c r="AD69" s="20">
        <v>0.108333</v>
      </c>
      <c r="AE69" s="20">
        <v>6.2876000000000001E-2</v>
      </c>
    </row>
    <row r="70" spans="5:31" x14ac:dyDescent="0.25">
      <c r="I70" s="21">
        <v>3.4676999999999999E-2</v>
      </c>
      <c r="J70" s="21">
        <v>5.0999999999999997E-2</v>
      </c>
      <c r="L70" s="20">
        <v>6.9487999999999994E-2</v>
      </c>
      <c r="M70" s="20">
        <v>5.0999999999999997E-2</v>
      </c>
      <c r="O70" s="20">
        <v>0.12</v>
      </c>
      <c r="P70" s="20">
        <v>5.1475E-2</v>
      </c>
      <c r="R70" s="20">
        <v>0.12</v>
      </c>
      <c r="S70" s="20">
        <v>5.3891000000000001E-2</v>
      </c>
      <c r="U70" s="20">
        <v>0.12</v>
      </c>
      <c r="V70" s="20">
        <v>5.6226999999999999E-2</v>
      </c>
      <c r="X70" s="20">
        <v>0.12</v>
      </c>
      <c r="Y70" s="20">
        <v>5.8497E-2</v>
      </c>
      <c r="AA70" s="20">
        <v>0.12</v>
      </c>
      <c r="AB70" s="20">
        <v>6.071E-2</v>
      </c>
      <c r="AD70" s="20">
        <v>0.12</v>
      </c>
      <c r="AE70" s="20">
        <v>6.2876000000000001E-2</v>
      </c>
    </row>
    <row r="73" spans="5:31" x14ac:dyDescent="0.25">
      <c r="E73" t="s">
        <v>44</v>
      </c>
      <c r="F73" t="s">
        <v>43</v>
      </c>
      <c r="H73" t="s">
        <v>44</v>
      </c>
      <c r="I73" t="s">
        <v>43</v>
      </c>
      <c r="K73" t="s">
        <v>44</v>
      </c>
      <c r="N73" t="s">
        <v>44</v>
      </c>
      <c r="O73" t="s">
        <v>43</v>
      </c>
      <c r="Q73" t="s">
        <v>44</v>
      </c>
      <c r="R73" t="s">
        <v>43</v>
      </c>
    </row>
    <row r="74" spans="5:31" x14ac:dyDescent="0.25">
      <c r="E74">
        <f>dintake_m/2</f>
        <v>5.0999999999999997E-2</v>
      </c>
      <c r="F74">
        <v>0</v>
      </c>
      <c r="H74">
        <f>dintake_m/2</f>
        <v>5.0999999999999997E-2</v>
      </c>
      <c r="I74">
        <f>L74</f>
        <v>-8.4999999999999992E-2</v>
      </c>
      <c r="K74">
        <f>dcas_m/2</f>
        <v>6.5000000000000002E-2</v>
      </c>
      <c r="L74">
        <f>O75-L75</f>
        <v>-8.4999999999999992E-2</v>
      </c>
      <c r="N74">
        <f>E74</f>
        <v>5.0999999999999997E-2</v>
      </c>
      <c r="O74">
        <v>0</v>
      </c>
      <c r="Q74">
        <f>H74</f>
        <v>5.0999999999999997E-2</v>
      </c>
      <c r="R74">
        <f>hint</f>
        <v>0.1</v>
      </c>
    </row>
    <row r="75" spans="5:31" x14ac:dyDescent="0.25">
      <c r="E75">
        <f>E74</f>
        <v>5.0999999999999997E-2</v>
      </c>
      <c r="F75">
        <f>hint</f>
        <v>0.1</v>
      </c>
      <c r="H75">
        <f>H74</f>
        <v>5.0999999999999997E-2</v>
      </c>
      <c r="I75">
        <f>hint*1.2</f>
        <v>0.12</v>
      </c>
      <c r="K75">
        <f>K74</f>
        <v>6.5000000000000002E-2</v>
      </c>
      <c r="L75">
        <f>hint*1.2</f>
        <v>0.12</v>
      </c>
      <c r="N75">
        <f>K75</f>
        <v>6.5000000000000002E-2</v>
      </c>
      <c r="O75">
        <f>hint*pkv_ratio</f>
        <v>3.4999999999999996E-2</v>
      </c>
      <c r="Q75">
        <f>N75</f>
        <v>6.5000000000000002E-2</v>
      </c>
      <c r="R75">
        <f>hint*pkv_ratio</f>
        <v>3.4999999999999996E-2</v>
      </c>
    </row>
  </sheetData>
  <conditionalFormatting sqref="X29:X4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{85B3FFA0-CBEA-4062-A942-CCBF8E340BD9}</x14:id>
        </ext>
      </extLst>
    </cfRule>
  </conditionalFormatting>
  <conditionalFormatting sqref="AE29:AE4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{3A346E08-41C1-4A1E-9BD1-E97494EF5E0F}</x14:id>
        </ext>
      </extLst>
    </cfRule>
  </conditionalFormatting>
  <conditionalFormatting sqref="AF29:AF4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{A31F386E-1650-4A32-BD63-CD3F668BA22B}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B3FFA0-CBEA-4062-A942-CCBF8E340B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X29:X40</xm:sqref>
        </x14:conditionalFormatting>
        <x14:conditionalFormatting xmlns:xm="http://schemas.microsoft.com/office/excel/2006/main">
          <x14:cfRule type="dataBar" id="{3A346E08-41C1-4A1E-9BD1-E97494EF5E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AE29:AE40</xm:sqref>
        </x14:conditionalFormatting>
        <x14:conditionalFormatting xmlns:xm="http://schemas.microsoft.com/office/excel/2006/main">
          <x14:cfRule type="dataBar" id="{A31F386E-1650-4A32-BD63-CD3F668BA2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AF29:AF40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B7:O54"/>
  <sheetViews>
    <sheetView topLeftCell="A28" zoomScale="115" zoomScaleNormal="115" workbookViewId="0">
      <selection activeCell="F18" sqref="F18"/>
    </sheetView>
  </sheetViews>
  <sheetFormatPr defaultRowHeight="15" x14ac:dyDescent="0.25"/>
  <sheetData>
    <row r="7" spans="4:15" x14ac:dyDescent="0.25">
      <c r="D7" t="s">
        <v>36</v>
      </c>
    </row>
    <row r="15" spans="4:15" x14ac:dyDescent="0.25">
      <c r="E15" t="s">
        <v>37</v>
      </c>
      <c r="F15">
        <v>0.6</v>
      </c>
      <c r="G15" t="s">
        <v>96</v>
      </c>
      <c r="H15">
        <f>v_ooz*0.3048</f>
        <v>0.18288000000000001</v>
      </c>
      <c r="I15" t="s">
        <v>97</v>
      </c>
      <c r="J15" t="s">
        <v>38</v>
      </c>
      <c r="K15" t="s">
        <v>39</v>
      </c>
      <c r="M15" t="s">
        <v>40</v>
      </c>
      <c r="N15" t="s">
        <v>41</v>
      </c>
    </row>
    <row r="16" spans="4:15" x14ac:dyDescent="0.25">
      <c r="E16" t="s">
        <v>42</v>
      </c>
      <c r="F16">
        <v>1</v>
      </c>
      <c r="G16" t="s">
        <v>96</v>
      </c>
      <c r="H16">
        <f>v_sl*0.3048</f>
        <v>0.30480000000000002</v>
      </c>
      <c r="I16" t="s">
        <v>97</v>
      </c>
      <c r="J16">
        <v>0.1</v>
      </c>
      <c r="K16">
        <f t="shared" ref="K16:K33" si="0">3/71.617/(1-EXP(-2.368*J16))*J16/(J16+v_ooz)</f>
        <v>2.8381257574715147E-2</v>
      </c>
      <c r="L16">
        <f>K16*0.0254*2</f>
        <v>1.4417678847955294E-3</v>
      </c>
      <c r="M16">
        <f>0.036*(2.364^J16)*J16^0.72</f>
        <v>7.4759648020391789E-3</v>
      </c>
      <c r="N16">
        <f t="shared" ref="N16:N33" si="1">-0.1653*(-0.0492-EXP(-1.0476*v_sl))</f>
        <v>6.6116463958020164E-2</v>
      </c>
      <c r="O16">
        <f>N16*0.0254</f>
        <v>1.679358184533712E-3</v>
      </c>
    </row>
    <row r="17" spans="2:14" x14ac:dyDescent="0.25">
      <c r="J17">
        <v>0.2</v>
      </c>
      <c r="K17">
        <f>3/71.617/(1-EXP(-2.368*J17))*J17/(J17+v_ooz)</f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2:14" x14ac:dyDescent="0.2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2:14" x14ac:dyDescent="0.2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2:14" x14ac:dyDescent="0.2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2:14" x14ac:dyDescent="0.2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2:14" x14ac:dyDescent="0.2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2:14" x14ac:dyDescent="0.2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2:14" x14ac:dyDescent="0.2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2:14" x14ac:dyDescent="0.2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2:14" x14ac:dyDescent="0.25">
      <c r="B26" t="s">
        <v>75</v>
      </c>
      <c r="D26">
        <v>5</v>
      </c>
      <c r="E26" t="s">
        <v>58</v>
      </c>
      <c r="F26" s="29">
        <f>IF(G26="Па·с",IF(E26="Па·с",D26,IF(E26="мПа·с",D26/1000,IF(E26="сП",D26/1000,))),IF(G26="мПа·с",IF(E26="Па·с",D26,IF(E26="мПа·с",D26/1000,IF(E26="сП",D26/1000,)))*1000,IF(G26="сП",IF(E26="Па·с",D26,IF(E26="мПа·с",D26/1000,IF(E26="сП",D26/1000,)))*1000,)))</f>
        <v>5</v>
      </c>
      <c r="G26" t="s">
        <v>76</v>
      </c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2:14" x14ac:dyDescent="0.25">
      <c r="B27" t="s">
        <v>77</v>
      </c>
      <c r="D27">
        <v>200</v>
      </c>
      <c r="E27" t="s">
        <v>78</v>
      </c>
      <c r="F27" s="29">
        <f>IF(G27="Па",IF(E27="Па",D27,IF(E27="МПа",D27*1000000,IF(E27="ат",D27*98066.5,IF(E27="кгс/см²",D27*98066.5,IF(E27="атм",D27*101325,IF(E27="psi",D27*6894.76,IF(E27="бар",D27*100000,))))))),IF(G27="МПа",IF(E27="Па",D27,IF(E27="МПа",D27*1000000,IF(E27="ат",D27*98066.5,IF(E27="кгс/см²",D27*98066.5,IF(E27="атм",D27*101325,IF(E27="psi",D27*6894.76,IF(E27="бар",D27*100000,)))))))/1000000,IF(G27="ат",IF(E27="Па",D27,IF(E27="МПа",D27*1000000,IF(E27="ат",D27*98066.5,IF(E27="кгс/см²",D27*98066.5,IF(E27="атм",D27*101325,IF(E27="psi",D27*6894.76,IF(E27="бар",D27*100000,)))))))/98066.5,IF(G27="кгс/см²",IF(E27="Па",D27,IF(E27="МПа",D27*1000000,IF(E27="ат",D27*98066.5,IF(E27="кгс/см²",D27*98066.5,IF(E27="атм",D27*101325,IF(E27="psi",D27*6894.76,IF(E27="бар",D27*100000,)))))))/98066.5,IF(G27="атм",IF(E27="Па",D27,IF(E27="МПа",D27*1000000,IF(E27="ат",D27*98066.5,IF(E27="кгс/см²",D27*98066.5,IF(E27="атм",D27*101325,IF(E27="psi",D27*6894.76,IF(E27="бар",D27*100000,)))))))/101325,IF(G27="psi",IF(E27="Па",D27,IF(E27="МПа",D27*1000000,IF(E27="ат",D27*98066.5,IF(E27="кгс/см²",D27*98066.5,IF(E27="атм",D27*101325,IF(E27="psi",D27*6894.76,IF(E27="бар",D27*100000,)))))))/6894.76,IF(G27="бар",IF(E27="Па",D27,IF(E27="МПа",D27*1000000,IF(E27="ат",D27*98066.5,IF(E27="кгс/см²",D27*98066.5,IF(E27="атм",D27*101325,IF(E27="psi",D27*6894.76,IF(E27="бар",D27*100000,)))))))/100000,)))))))</f>
        <v>2900.7536157893819</v>
      </c>
      <c r="G27" t="s">
        <v>79</v>
      </c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2:14" x14ac:dyDescent="0.25">
      <c r="B28" t="s">
        <v>80</v>
      </c>
      <c r="D28">
        <v>100</v>
      </c>
      <c r="E28" t="s">
        <v>81</v>
      </c>
      <c r="F28" s="29">
        <f>IF(G28="м²",IF(E28="м²",D28,IF(E28="Д",D28*0.00000000000102,IF(E28="мД",D28*0.00000000000000102,))),IF(G28="Д",IF(E28="м²",D28,IF(E28="Д",D28*0.00000000000102,IF(E28="мД",D28*0.00000000000000102,)))/0.00000000000102,IF(G28="мД",IF(E28="м²",D28,IF(E28="Д",D28*0.00000000000102,IF(E28="мД",D28*0.00000000000000102,)))/0.00000000000000102,)))</f>
        <v>100</v>
      </c>
      <c r="G28" t="s">
        <v>81</v>
      </c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2:14" x14ac:dyDescent="0.25">
      <c r="B29" t="s">
        <v>82</v>
      </c>
      <c r="D29">
        <v>100</v>
      </c>
      <c r="E29" t="s">
        <v>83</v>
      </c>
      <c r="F29" s="29">
        <f>IF(G29="°К",IF(E29="°К",D29,IF(E29="°С",D29+273.15,IF(E29="°F",(D29-32)*5/9+273.15,))),IF(G29="°С",IF(E29="°К",D29,IF(E29="°С",D29+273.15,IF(E29="°F",(D29-32)*5/9+273.15,)))-273.15,IF(G29="°F",(IF(E29="°К",D29,IF(E29="°С",D29+273.15,IF(E29="°F",(D29-32)*5/9+273.15,)))-273.15)*9/5+32,)))</f>
        <v>212</v>
      </c>
      <c r="G29" t="s">
        <v>84</v>
      </c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2:14" x14ac:dyDescent="0.25">
      <c r="B30" t="s">
        <v>85</v>
      </c>
      <c r="D30">
        <v>50</v>
      </c>
      <c r="E30" t="s">
        <v>86</v>
      </c>
      <c r="F30" s="29">
        <f>IF(G30="м³/м³",IF(E30="м³/м³",D30,IF(E30="scft/bbl",D30*0.02832/0.158987,IF(E30="ft³/bbl",D30*0.02832/0.158987,))),IF(G30="scft/bbl",IF(E30="м³/м³",D30,IF(E30="scft/bbl",D30*0.02832/0.158987,IF(E30="ft³/bbl",D30*0.02832/0.158987,)))/0.02832*0.158987,IF(G30="ft³/bbl",IF(E30="м³/м³",D30,IF(E30="scft/bbl",D30*0.02832/0.158987,IF(E30="ft³/bbl",D30*0.02832/0.158987,)))/0.02832*0.158987,)))</f>
        <v>280.69738700564972</v>
      </c>
      <c r="G30" t="s">
        <v>87</v>
      </c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2:14" x14ac:dyDescent="0.25">
      <c r="B31" t="s">
        <v>88</v>
      </c>
      <c r="D31">
        <v>1</v>
      </c>
      <c r="E31" t="s">
        <v>89</v>
      </c>
      <c r="F31" s="29">
        <f>IF(G31="м",IF(E31="м",D31,IF(E31="мм",D31/1000,IF(E31="см",D31/100,IF(E31="in",D31*0.0254,IF(E31="ft",D31*0.3048,))))),IF(G31="мм",IF(E31="м",D31,IF(E31="мм",D31/1000,IF(E31="см",D31/100,IF(E31="in",D31*0.0254,IF(E31="ft",D31*0.3048,)))))*1000,IF(G31="см",IF(E31="м",D31,IF(E31="мм",D31/1000,IF(E31="см",D31/100,IF(E31="in",D31*0.0254,IF(E31="ft",D31*0.3048,)))))*100,IF(G31="in",IF(E31="м",D31,IF(E31="мм",D31/1000,IF(E31="см",D31/100,IF(E31="in",D31*0.0254,IF(E31="ft",D31*0.3048,)))))/0.0254,IF(G31="ft",IF(E31="м",D31,IF(E31="мм",D31/1000,IF(E31="см",D31/100,IF(E31="in",D31*0.0254,IF(E31="ft",D31*0.3048,)))))/0.3048,)))))</f>
        <v>2.5399999999999999E-2</v>
      </c>
      <c r="G31" t="s">
        <v>69</v>
      </c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2:14" x14ac:dyDescent="0.25">
      <c r="B32" t="s">
        <v>90</v>
      </c>
      <c r="D32">
        <v>100</v>
      </c>
      <c r="E32" t="s">
        <v>91</v>
      </c>
      <c r="F32" s="29">
        <f>IF(G32="м³/с",IF(E32="м³/с",D32,IF(E32="м³/сут",D32/86400,IF(E32="л/мин",D32/60000,IF(E32="л/сек",D32/1000,IF(E32="bpd",D32*0.158987/86400,IF(E32="ft³/сут",D32*0.02832/86400,)))))),IF(G32="м³/сут",IF(E32="м³/с",D32,IF(E32="м³/сут",D32/86400,IF(E32="л/мин",D32/60000,IF(E32="л/сек",D32/1000,IF(E32="bpd",D32*0.158987/86400,IF(E32="ft³/сут",D32*0.02832/86400,))))))*86400,IF(G32="л/мин",IF(E32="м³/с",D32,IF(E32="м³/сут",D32/86400,IF(E32="л/мин",D32/60000,IF(E32="л/сек",D32/1000,IF(E32="bpd",D32*0.158987/86400,IF(E32="ft³/сут",D32*0.02832/86400,))))))*60000,IF(G32="л/сек",IF(E32="м³/с",D32,IF(E32="м³/сут",D32/86400,IF(E32="л/мин",D32/60000,IF(E32="л/сек",D32/1000,IF(E32="bpd",D32*0.158987/86400,IF(E32="ft³/сут",D32*0.02832/86400,))))))*1000,IF(G32="bpd",IF(E32="м³/с",D32,IF(E32="м³/сут",D32/86400,IF(E32="л/мин",D32/60000,IF(E32="л/сек",D32/1000,IF(E32="bpd",D32*0.158987/86400,IF(E32="ft³/сут",D32*0.02832/86400,))))))/0.158987*86400,IF(G32="ft³/сут",IF(E32="м³/с",D32,IF(E32="м³/сут",D32/86400,IF(E32="л/мин",D32/60000,IF(E32="л/сек",D32/1000,IF(E32="bpd",D32*0.158987/86400,IF(E32="ft³/сут",D32*0.02832/86400,))))))/0.02832*86400,))))))</f>
        <v>628.9822438312566</v>
      </c>
      <c r="G32" t="s">
        <v>92</v>
      </c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2:14" x14ac:dyDescent="0.25">
      <c r="B33" t="s">
        <v>93</v>
      </c>
      <c r="D33">
        <v>850</v>
      </c>
      <c r="E33" t="s">
        <v>94</v>
      </c>
      <c r="F33" s="29">
        <f>IF(G33="кг/м³",IF(E33="кг/м³",D33,IF(E33="г/cм³",D33*1000,IF(E33="lb/gal",D33*119.8,IF(E33="lb/in³",D33*27679.9,IF(E33="lb/ft³",D33*16.01846,IF(E33="°API",141.5*1000/(131.5+D33),)))))),IF(G33="г/cм³",IF(E33="кг/м³",D33,IF(E33="г/cм³",D33*1000,IF(E33="lb/gal",D33*119.8,IF(E33="lb/in³",D33*27679.9,IF(E33="lb/ft³",D33*16.01846,IF(E33="°API",141.5*1000/(131.5+D33),))))))/1000,IF(G33="lb/gal",IF(E33="кг/м³",D33,IF(E33="г/cм³",D33*1000,IF(E33="lb/gal",D33*119.8,IF(E33="lb/in³",D33*27679.9,IF(E33="lb/ft³",D33*16.01846,IF(E33="°API",141.5*1000/(131.5+D33),))))))/119.8,IF(G33="lb/in³",IF(E33="кг/м³",D33,IF(E33="г/cм³",D33*1000,IF(E33="lb/gal",D33*119.8,IF(E33="lb/in³",D33*27679.9,IF(E33="lb/ft³",D33*16.01846,IF(E33="°API",141.5*1000/(131.5+D33),))))))/27679.9,IF(G33="lb/ft³",IF(E33="кг/м³",D33,IF(E33="г/cм³",D33*1000,IF(E33="lb/gal",D33*119.8,IF(E33="lb/in³",D33*27679.9,IF(E33="lb/ft³",D33*16.01846,IF(E33="°API",141.5*1000/(131.5+D33),))))))/16.01846,IF(G33="°API",141.5*1000/IF(E33="кг/м³",D33,IF(E33="г/cм³",D33*1000,IF(E33="lb/gal",D33*119.8,IF(E33="lb/in³",D33*27679.9,IF(E33="lb/ft³",D33*16.01846,IF(E33="°API",141.5*1000/(131.5+D33),))))))-131.5,))))))</f>
        <v>34.970588235294116</v>
      </c>
      <c r="G33" t="s">
        <v>95</v>
      </c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  <row r="37" spans="2:14" x14ac:dyDescent="0.25">
      <c r="J37">
        <f>J16*0.3048</f>
        <v>3.0480000000000004E-2</v>
      </c>
      <c r="K37">
        <f>K16*0.0254</f>
        <v>7.2088394239776471E-4</v>
      </c>
      <c r="M37">
        <f>M16*0.0254</f>
        <v>1.8988950597179514E-4</v>
      </c>
      <c r="N37">
        <f>N16*0.0254</f>
        <v>1.679358184533712E-3</v>
      </c>
    </row>
    <row r="38" spans="2:14" x14ac:dyDescent="0.25">
      <c r="J38">
        <f t="shared" ref="J38:J54" si="3">J17*0.3048</f>
        <v>6.0960000000000007E-2</v>
      </c>
      <c r="K38">
        <f t="shared" ref="K38:K54" si="4">K17*0.0254</f>
        <v>7.0510998649934628E-4</v>
      </c>
      <c r="M38">
        <f t="shared" ref="M38:N38" si="5">M17*0.0254</f>
        <v>3.4088454268071938E-4</v>
      </c>
      <c r="N38">
        <f t="shared" si="5"/>
        <v>1.679358184533712E-3</v>
      </c>
    </row>
    <row r="39" spans="2:14" x14ac:dyDescent="0.25">
      <c r="J39">
        <f t="shared" si="3"/>
        <v>9.1440000000000007E-2</v>
      </c>
      <c r="K39">
        <f t="shared" si="4"/>
        <v>6.9739987610960893E-4</v>
      </c>
      <c r="M39">
        <f t="shared" ref="M39:N39" si="6">M18*0.0254</f>
        <v>4.9745953829410721E-4</v>
      </c>
      <c r="N39">
        <f t="shared" si="6"/>
        <v>1.679358184533712E-3</v>
      </c>
    </row>
    <row r="40" spans="2:14" x14ac:dyDescent="0.25">
      <c r="J40">
        <f t="shared" si="3"/>
        <v>0.12192000000000001</v>
      </c>
      <c r="K40">
        <f t="shared" si="4"/>
        <v>6.9522205813097649E-4</v>
      </c>
      <c r="M40">
        <f t="shared" ref="M40:N40" si="7">M19*0.0254</f>
        <v>6.6692715386011594E-4</v>
      </c>
      <c r="N40">
        <f t="shared" si="7"/>
        <v>1.679358184533712E-3</v>
      </c>
    </row>
    <row r="41" spans="2:14" x14ac:dyDescent="0.25">
      <c r="J41">
        <f t="shared" si="3"/>
        <v>0.15240000000000001</v>
      </c>
      <c r="K41">
        <f t="shared" si="4"/>
        <v>6.9693020389532002E-4</v>
      </c>
      <c r="M41">
        <f t="shared" ref="M41:N41" si="8">M20*0.0254</f>
        <v>8.5352914753538376E-4</v>
      </c>
      <c r="N41">
        <f t="shared" si="8"/>
        <v>1.679358184533712E-3</v>
      </c>
    </row>
    <row r="42" spans="2:14" x14ac:dyDescent="0.25">
      <c r="J42">
        <f t="shared" si="3"/>
        <v>0.18288000000000001</v>
      </c>
      <c r="K42">
        <f t="shared" si="4"/>
        <v>7.013989823161401E-4</v>
      </c>
      <c r="M42">
        <f t="shared" ref="M42:N42" si="9">M21*0.0254</f>
        <v>1.0607025208456166E-3</v>
      </c>
      <c r="N42">
        <f t="shared" si="9"/>
        <v>1.679358184533712E-3</v>
      </c>
    </row>
    <row r="43" spans="2:14" x14ac:dyDescent="0.25">
      <c r="J43">
        <f t="shared" si="3"/>
        <v>0.21335999999999999</v>
      </c>
      <c r="K43">
        <f t="shared" si="4"/>
        <v>7.0782861208346917E-4</v>
      </c>
      <c r="M43">
        <f t="shared" ref="M43:N43" si="10">M22*0.0254</f>
        <v>1.2916951732974038E-3</v>
      </c>
      <c r="N43">
        <f t="shared" si="10"/>
        <v>1.679358184533712E-3</v>
      </c>
    </row>
    <row r="44" spans="2:14" x14ac:dyDescent="0.25">
      <c r="J44">
        <f t="shared" si="3"/>
        <v>0.24384000000000003</v>
      </c>
      <c r="K44">
        <f t="shared" si="4"/>
        <v>7.1563350654879621E-4</v>
      </c>
      <c r="M44">
        <f t="shared" ref="M44:N44" si="11">M23*0.0254</f>
        <v>1.5498118805637514E-3</v>
      </c>
      <c r="N44">
        <f t="shared" si="11"/>
        <v>1.679358184533712E-3</v>
      </c>
    </row>
    <row r="45" spans="2:14" x14ac:dyDescent="0.25">
      <c r="J45">
        <f t="shared" si="3"/>
        <v>0.27432000000000001</v>
      </c>
      <c r="K45">
        <f t="shared" si="4"/>
        <v>7.2437549807568343E-4</v>
      </c>
      <c r="M45">
        <f t="shared" ref="M45:N45" si="12">M24*0.0254</f>
        <v>1.8385419735354391E-3</v>
      </c>
      <c r="N45">
        <f t="shared" si="12"/>
        <v>1.679358184533712E-3</v>
      </c>
    </row>
    <row r="46" spans="2:14" x14ac:dyDescent="0.25">
      <c r="J46">
        <f t="shared" si="3"/>
        <v>0.30480000000000002</v>
      </c>
      <c r="K46">
        <f t="shared" si="4"/>
        <v>7.3372191358679183E-4</v>
      </c>
      <c r="M46">
        <f t="shared" ref="M46:N46" si="13">M25*0.0254</f>
        <v>2.1616415999999995E-3</v>
      </c>
      <c r="N46">
        <f t="shared" si="13"/>
        <v>1.679358184533712E-3</v>
      </c>
    </row>
    <row r="47" spans="2:14" x14ac:dyDescent="0.25">
      <c r="J47">
        <f t="shared" si="3"/>
        <v>0.33528000000000002</v>
      </c>
      <c r="K47">
        <f t="shared" si="4"/>
        <v>7.4341809814795789E-4</v>
      </c>
      <c r="M47">
        <f t="shared" ref="M47:N47" si="14">M26*0.0254</f>
        <v>2.523197061051973E-3</v>
      </c>
      <c r="N47">
        <f t="shared" si="14"/>
        <v>1.679358184533712E-3</v>
      </c>
    </row>
    <row r="48" spans="2:14" x14ac:dyDescent="0.25">
      <c r="J48">
        <f t="shared" si="3"/>
        <v>0.36576000000000003</v>
      </c>
      <c r="K48">
        <f t="shared" si="4"/>
        <v>7.5326865331720532E-4</v>
      </c>
      <c r="M48">
        <f t="shared" ref="M48:N48" si="15">M27*0.0254</f>
        <v>2.92768050746565E-3</v>
      </c>
      <c r="N48">
        <f t="shared" si="15"/>
        <v>1.679358184533712E-3</v>
      </c>
    </row>
    <row r="49" spans="10:14" x14ac:dyDescent="0.25">
      <c r="J49">
        <f t="shared" si="3"/>
        <v>0.39624000000000004</v>
      </c>
      <c r="K49">
        <f t="shared" si="4"/>
        <v>7.6312411597822248E-4</v>
      </c>
      <c r="M49">
        <f t="shared" ref="M49:N49" si="16">M28*0.0254</f>
        <v>3.3800034605374948E-3</v>
      </c>
      <c r="N49">
        <f t="shared" si="16"/>
        <v>1.679358184533712E-3</v>
      </c>
    </row>
    <row r="50" spans="10:14" x14ac:dyDescent="0.25">
      <c r="J50">
        <f t="shared" si="3"/>
        <v>0.42671999999999999</v>
      </c>
      <c r="K50">
        <f t="shared" si="4"/>
        <v>7.7287115243330822E-4</v>
      </c>
      <c r="M50">
        <f t="shared" ref="M50:N50" si="17">M29*0.0254</f>
        <v>3.885571134675411E-3</v>
      </c>
      <c r="N50">
        <f t="shared" si="17"/>
        <v>1.679358184533712E-3</v>
      </c>
    </row>
    <row r="51" spans="10:14" x14ac:dyDescent="0.25">
      <c r="J51">
        <f t="shared" si="3"/>
        <v>0.45720000000000005</v>
      </c>
      <c r="K51">
        <f t="shared" si="4"/>
        <v>7.8242510726342232E-4</v>
      </c>
      <c r="M51">
        <f t="shared" ref="M51:N51" si="18">M30*0.0254</f>
        <v>4.4503393898506997E-3</v>
      </c>
      <c r="N51">
        <f t="shared" si="18"/>
        <v>1.679358184533712E-3</v>
      </c>
    </row>
    <row r="52" spans="10:14" x14ac:dyDescent="0.25">
      <c r="J52">
        <f t="shared" si="3"/>
        <v>0.48768000000000006</v>
      </c>
      <c r="K52">
        <f t="shared" si="4"/>
        <v>7.9172419102737919E-4</v>
      </c>
      <c r="M52">
        <f t="shared" ref="M52:N52" si="19">M31*0.0254</f>
        <v>5.0808755841634159E-3</v>
      </c>
      <c r="N52">
        <f t="shared" si="19"/>
        <v>1.679358184533712E-3</v>
      </c>
    </row>
    <row r="53" spans="10:14" x14ac:dyDescent="0.25">
      <c r="J53">
        <f t="shared" si="3"/>
        <v>0.51816000000000006</v>
      </c>
      <c r="K53">
        <f t="shared" si="4"/>
        <v>8.0072485421825771E-4</v>
      </c>
      <c r="M53">
        <f t="shared" ref="M53:N53" si="20">M32*0.0254</f>
        <v>5.784424321887147E-3</v>
      </c>
      <c r="N53">
        <f t="shared" si="20"/>
        <v>1.679358184533712E-3</v>
      </c>
    </row>
    <row r="54" spans="10:14" x14ac:dyDescent="0.25">
      <c r="J54">
        <f t="shared" si="3"/>
        <v>0.60960000000000003</v>
      </c>
      <c r="K54">
        <f t="shared" si="4"/>
        <v>8.2570072320633603E-4</v>
      </c>
      <c r="M54">
        <f t="shared" ref="M54:N54" si="21">M33*0.0254</f>
        <v>8.417299081186682E-3</v>
      </c>
      <c r="N54">
        <f t="shared" si="21"/>
        <v>1.679358184533712E-3</v>
      </c>
    </row>
  </sheetData>
  <dataValidations count="8">
    <dataValidation type="list" allowBlank="1" showInputMessage="1" showErrorMessage="1" sqref="E26 G26" xr:uid="{85A60555-A1F7-4427-A761-425898BD5A7C}">
      <formula1>",Па·с,мПа·с,сП"</formula1>
    </dataValidation>
    <dataValidation type="list" allowBlank="1" showInputMessage="1" showErrorMessage="1" sqref="E27 G27" xr:uid="{3354076C-12C5-45D5-A78C-2948CC7756B4}">
      <formula1>",Па,МПа,ат,кгс/см²,атм,psi,бар"</formula1>
    </dataValidation>
    <dataValidation type="list" allowBlank="1" showInputMessage="1" showErrorMessage="1" sqref="E28 G28" xr:uid="{F5640466-97CF-4EF7-82AA-5B4E45077CF2}">
      <formula1>",м²,Д,мД"</formula1>
    </dataValidation>
    <dataValidation type="list" allowBlank="1" showInputMessage="1" showErrorMessage="1" sqref="E29 G29" xr:uid="{A0406A64-189F-473E-897E-1B9A76F7B289}">
      <formula1>",°К,°С,°F"</formula1>
    </dataValidation>
    <dataValidation type="list" allowBlank="1" showInputMessage="1" showErrorMessage="1" sqref="E30 G30" xr:uid="{DDE9B46A-FE6D-45CD-A7DD-F75BBF267E13}">
      <formula1>",м³/м³,scft/bbl,ft³/bbl"</formula1>
    </dataValidation>
    <dataValidation type="list" allowBlank="1" showInputMessage="1" showErrorMessage="1" sqref="E31 G31" xr:uid="{132A7C1E-A005-447D-BCF0-7078C5A3F282}">
      <formula1>",м,мм,см,in,ft"</formula1>
    </dataValidation>
    <dataValidation type="list" allowBlank="1" showInputMessage="1" showErrorMessage="1" sqref="E32 G32" xr:uid="{0642E027-A858-4A3E-8226-53A472D1E38C}">
      <formula1>",м³/с,м³/сут,л/мин,л/сек,bpd,ft³/сут"</formula1>
    </dataValidation>
    <dataValidation type="list" allowBlank="1" showInputMessage="1" showErrorMessage="1" sqref="E33 G33" xr:uid="{FAD4676C-2124-4C8C-9D99-66E1D916E952}">
      <formula1>",кг/м³,г/cм³,lb/gal,lb/in³,lb/ft³,°API"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67</vt:i4>
      </vt:variant>
    </vt:vector>
  </HeadingPairs>
  <TitlesOfParts>
    <vt:vector size="72" baseType="lpstr">
      <vt:lpstr>Лист1</vt:lpstr>
      <vt:lpstr>прием ЭЦН</vt:lpstr>
      <vt:lpstr>реверсивный поток</vt:lpstr>
      <vt:lpstr>прием ПКВ</vt:lpstr>
      <vt:lpstr>оценка диаметра</vt:lpstr>
      <vt:lpstr>'прием ПКВ'!calibr_li</vt:lpstr>
      <vt:lpstr>'реверсивный поток'!calibr_li</vt:lpstr>
      <vt:lpstr>calibr_li</vt:lpstr>
      <vt:lpstr>'прием ПКВ'!calibr_st</vt:lpstr>
      <vt:lpstr>'реверсивный поток'!calibr_st</vt:lpstr>
      <vt:lpstr>calibr_st</vt:lpstr>
      <vt:lpstr>'прием ПКВ'!dcas</vt:lpstr>
      <vt:lpstr>'реверсивный поток'!dcas</vt:lpstr>
      <vt:lpstr>dcas</vt:lpstr>
      <vt:lpstr>'прием ПКВ'!dcas_m</vt:lpstr>
      <vt:lpstr>'реверсивный поток'!dcas_m</vt:lpstr>
      <vt:lpstr>dcas_m</vt:lpstr>
      <vt:lpstr>'прием ПКВ'!dintake</vt:lpstr>
      <vt:lpstr>'реверсивный поток'!dintake</vt:lpstr>
      <vt:lpstr>dintake</vt:lpstr>
      <vt:lpstr>'прием ПКВ'!dintake_m</vt:lpstr>
      <vt:lpstr>'реверсивный поток'!dintake_m</vt:lpstr>
      <vt:lpstr>dintake_m</vt:lpstr>
      <vt:lpstr>dtub</vt:lpstr>
      <vt:lpstr>Лист1!feed_json</vt:lpstr>
      <vt:lpstr>'прием ПКВ'!feed_json</vt:lpstr>
      <vt:lpstr>'реверсивный поток'!feed_json</vt:lpstr>
      <vt:lpstr>feed_json</vt:lpstr>
      <vt:lpstr>gas_separation_json</vt:lpstr>
      <vt:lpstr>'прием ПКВ'!hint</vt:lpstr>
      <vt:lpstr>'реверсивный поток'!hint</vt:lpstr>
      <vt:lpstr>hint</vt:lpstr>
      <vt:lpstr>hperf</vt:lpstr>
      <vt:lpstr>linspace</vt:lpstr>
      <vt:lpstr>'прием ПКВ'!mu_gas</vt:lpstr>
      <vt:lpstr>'реверсивный поток'!mu_gas</vt:lpstr>
      <vt:lpstr>mu_gas</vt:lpstr>
      <vt:lpstr>'прием ПКВ'!mu_liq</vt:lpstr>
      <vt:lpstr>'реверсивный поток'!mu_liq</vt:lpstr>
      <vt:lpstr>mu_liq</vt:lpstr>
      <vt:lpstr>'прием ПКВ'!p</vt:lpstr>
      <vt:lpstr>'реверсивный поток'!p</vt:lpstr>
      <vt:lpstr>p</vt:lpstr>
      <vt:lpstr>'прием ПКВ'!pkv_ratio</vt:lpstr>
      <vt:lpstr>pkv_ratio</vt:lpstr>
      <vt:lpstr>Лист1!PVT_json</vt:lpstr>
      <vt:lpstr>'прием ПКВ'!PVT_json</vt:lpstr>
      <vt:lpstr>'реверсивный поток'!PVT_json</vt:lpstr>
      <vt:lpstr>PVT_json</vt:lpstr>
      <vt:lpstr>'прием ПКВ'!Qgas_in_situ</vt:lpstr>
      <vt:lpstr>'реверсивный поток'!Qgas_in_situ</vt:lpstr>
      <vt:lpstr>Qgas_in_situ</vt:lpstr>
      <vt:lpstr>'прием ПКВ'!Qliq_in_situ</vt:lpstr>
      <vt:lpstr>'реверсивный поток'!Qliq_in_situ</vt:lpstr>
      <vt:lpstr>Qliq_in_situ</vt:lpstr>
      <vt:lpstr>'прием ПКВ'!st</vt:lpstr>
      <vt:lpstr>'реверсивный поток'!st</vt:lpstr>
      <vt:lpstr>st</vt:lpstr>
      <vt:lpstr>'прием ПКВ'!t</vt:lpstr>
      <vt:lpstr>'реверсивный поток'!t</vt:lpstr>
      <vt:lpstr>t</vt:lpstr>
      <vt:lpstr>v_ooz</vt:lpstr>
      <vt:lpstr>v_sl</vt:lpstr>
      <vt:lpstr>'прием ПКВ'!Плотность_газа</vt:lpstr>
      <vt:lpstr>'реверсивный поток'!Плотность_газа</vt:lpstr>
      <vt:lpstr>Плотность_газа</vt:lpstr>
      <vt:lpstr>'прием ПКВ'!Плотность_жидкости</vt:lpstr>
      <vt:lpstr>'реверсивный поток'!Плотность_жидкости</vt:lpstr>
      <vt:lpstr>Плотность_жидкости</vt:lpstr>
      <vt:lpstr>'прием ПКВ'!Пов._Натяжение</vt:lpstr>
      <vt:lpstr>'реверсивный поток'!Пов._Натяжение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2025-03-22T05:18:47Z</dcterms:modified>
</cp:coreProperties>
</file>