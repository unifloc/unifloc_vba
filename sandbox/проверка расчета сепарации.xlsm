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sandbox\"/>
    </mc:Choice>
  </mc:AlternateContent>
  <xr:revisionPtr revIDLastSave="0" documentId="13_ncr:1_{EFDCDEBC-9651-4F3F-B12B-7FD8C12AEE59}" xr6:coauthVersionLast="47" xr6:coauthVersionMax="47" xr10:uidLastSave="{00000000-0000-0000-0000-000000000000}"/>
  <bookViews>
    <workbookView xWindow="3360" yWindow="4350" windowWidth="28800" windowHeight="15435" xr2:uid="{26514309-3F53-4B4B-855D-536B1B29DCF5}"/>
  </bookViews>
  <sheets>
    <sheet name="Лист1" sheetId="1" r:id="rId1"/>
    <sheet name="Лист2" sheetId="2" r:id="rId2"/>
    <sheet name="Лист3" sheetId="3" r:id="rId3"/>
  </sheets>
  <externalReferences>
    <externalReference r:id="rId4"/>
  </externalReferences>
  <definedNames>
    <definedName name="dcas">Лист1!$I$6</definedName>
    <definedName name="dcas_m">Лист1!$K$6</definedName>
    <definedName name="dintake">Лист1!$I$7</definedName>
    <definedName name="dintake_m">Лист1!$K$7</definedName>
    <definedName name="feed_json">Лист1!$E$20</definedName>
    <definedName name="mu_gas">Лист1!$N$12</definedName>
    <definedName name="mu_liq">Лист1!$N$11</definedName>
    <definedName name="p">Лист1!$I$9</definedName>
    <definedName name="pkv_ratio">Лист1!$I$12</definedName>
    <definedName name="PVT_json">Лист1!$E$15</definedName>
    <definedName name="Qgas_in_situ">Лист1!$N$10</definedName>
    <definedName name="Qliq_in_situ">Лист1!$N$9</definedName>
    <definedName name="st">Лист1!$P$8</definedName>
    <definedName name="t">Лист1!$I$10</definedName>
    <definedName name="v_ooz">Лист2!$H$15</definedName>
    <definedName name="v_sl">Лист2!$H$16</definedName>
    <definedName name="Плотность_газа">Лист1!$N$7</definedName>
    <definedName name="Плотность_жидкости">Лист1!$N$6</definedName>
    <definedName name="Пов._Натяжение">Лист1!$N$8</definedName>
  </definedNames>
  <calcPr calcId="191029" calcOnSave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3" l="1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16" i="2"/>
  <c r="U12" i="1"/>
  <c r="K7" i="1"/>
  <c r="K6" i="1"/>
  <c r="E15" i="1"/>
  <c r="N12" i="1" a="1"/>
  <c r="E20" i="1"/>
  <c r="G58" i="1" s="1" a="1"/>
  <c r="N8" i="1" a="1"/>
  <c r="N7" i="1" a="1"/>
  <c r="G29" i="1"/>
  <c r="G30" i="1"/>
  <c r="G33" i="1"/>
  <c r="G32" i="1"/>
  <c r="G31" i="1"/>
  <c r="G40" i="1"/>
  <c r="G39" i="1"/>
  <c r="G38" i="1"/>
  <c r="G37" i="1"/>
  <c r="G36" i="1"/>
  <c r="G35" i="1"/>
  <c r="G34" i="1"/>
  <c r="N6" i="1" a="1"/>
  <c r="N10" i="1" a="1"/>
  <c r="N9" i="1" a="1"/>
  <c r="I29" i="1" a="1"/>
  <c r="I32" i="1" a="1"/>
  <c r="I31" i="1" a="1"/>
  <c r="I34" i="1" a="1"/>
  <c r="I38" i="1" a="1"/>
  <c r="I35" i="1" a="1"/>
  <c r="I40" i="1" a="1"/>
  <c r="I37" i="1" a="1"/>
  <c r="I39" i="1" a="1"/>
  <c r="I36" i="1" a="1"/>
  <c r="I33" i="1" a="1"/>
  <c r="I30" i="1" a="1"/>
  <c r="H29" i="1" a="1"/>
  <c r="J29" i="1" a="1"/>
  <c r="K29" i="1" a="1"/>
  <c r="L29" i="1" a="1"/>
  <c r="M29" i="1" a="1"/>
  <c r="N29" i="1" a="1"/>
  <c r="L30" i="1" a="1"/>
  <c r="K30" i="1" a="1"/>
  <c r="J30" i="1" a="1"/>
  <c r="M30" i="1" a="1"/>
  <c r="N30" i="1" a="1"/>
  <c r="H30" i="1" a="1"/>
  <c r="M33" i="1" a="1"/>
  <c r="J33" i="1" a="1"/>
  <c r="L33" i="1" a="1"/>
  <c r="K33" i="1" a="1"/>
  <c r="N33" i="1" a="1"/>
  <c r="H33" i="1" a="1"/>
  <c r="H32" i="1" a="1"/>
  <c r="L32" i="1" a="1"/>
  <c r="M32" i="1" a="1"/>
  <c r="K32" i="1" a="1"/>
  <c r="N32" i="1" a="1"/>
  <c r="J32" i="1" a="1"/>
  <c r="J31" i="1" a="1"/>
  <c r="N31" i="1" a="1"/>
  <c r="H31" i="1" a="1"/>
  <c r="M31" i="1" a="1"/>
  <c r="K31" i="1" a="1"/>
  <c r="L31" i="1" a="1"/>
  <c r="K40" i="1" a="1"/>
  <c r="H40" i="1" a="1"/>
  <c r="J40" i="1" a="1"/>
  <c r="N40" i="1" a="1"/>
  <c r="M40" i="1" a="1"/>
  <c r="L40" i="1" a="1"/>
  <c r="L39" i="1" a="1"/>
  <c r="K39" i="1" a="1"/>
  <c r="J39" i="1" a="1"/>
  <c r="M39" i="1" a="1"/>
  <c r="N39" i="1" a="1"/>
  <c r="H39" i="1" a="1"/>
  <c r="N38" i="1" a="1"/>
  <c r="L38" i="1" a="1"/>
  <c r="H38" i="1" a="1"/>
  <c r="M38" i="1" a="1"/>
  <c r="K38" i="1" a="1"/>
  <c r="J38" i="1" a="1"/>
  <c r="K37" i="1" a="1"/>
  <c r="N37" i="1" a="1"/>
  <c r="H37" i="1" a="1"/>
  <c r="J37" i="1" a="1"/>
  <c r="M37" i="1" a="1"/>
  <c r="L37" i="1" a="1"/>
  <c r="K36" i="1" a="1"/>
  <c r="J36" i="1" a="1"/>
  <c r="M36" i="1" a="1"/>
  <c r="L36" i="1" a="1"/>
  <c r="N36" i="1" a="1"/>
  <c r="H36" i="1" a="1"/>
  <c r="H35" i="1" a="1"/>
  <c r="N35" i="1" a="1"/>
  <c r="L35" i="1" a="1"/>
  <c r="K35" i="1" a="1"/>
  <c r="M35" i="1" a="1"/>
  <c r="J35" i="1" a="1"/>
  <c r="K34" i="1" a="1"/>
  <c r="N34" i="1" a="1"/>
  <c r="H34" i="1" a="1"/>
  <c r="J34" i="1" a="1"/>
  <c r="M34" i="1" a="1"/>
  <c r="L34" i="1" a="1"/>
  <c r="G58" i="1" l="1"/>
  <c r="K37" i="1"/>
  <c r="K34" i="1"/>
  <c r="J31" i="1"/>
  <c r="S31" i="1" s="1"/>
  <c r="L30" i="1"/>
  <c r="M33" i="1"/>
  <c r="K30" i="1"/>
  <c r="I32" i="1"/>
  <c r="L39" i="1"/>
  <c r="H35" i="1"/>
  <c r="I31" i="1"/>
  <c r="K40" i="1"/>
  <c r="N38" i="1"/>
  <c r="N35" i="1"/>
  <c r="H32" i="1"/>
  <c r="K39" i="1"/>
  <c r="K36" i="1"/>
  <c r="I34" i="1"/>
  <c r="H40" i="1"/>
  <c r="J39" i="1"/>
  <c r="S39" i="1" s="1"/>
  <c r="L38" i="1"/>
  <c r="N37" i="1"/>
  <c r="H37" i="1"/>
  <c r="J36" i="1"/>
  <c r="S36" i="1" s="1"/>
  <c r="L35" i="1"/>
  <c r="N34" i="1"/>
  <c r="H34" i="1"/>
  <c r="J33" i="1"/>
  <c r="S33" i="1" s="1"/>
  <c r="L32" i="1"/>
  <c r="N31" i="1"/>
  <c r="H31" i="1"/>
  <c r="J30" i="1"/>
  <c r="S30" i="1" s="1"/>
  <c r="I38" i="1"/>
  <c r="I35" i="1"/>
  <c r="J37" i="1"/>
  <c r="S37" i="1" s="1"/>
  <c r="J34" i="1"/>
  <c r="S34" i="1" s="1"/>
  <c r="I40" i="1"/>
  <c r="I37" i="1"/>
  <c r="M32" i="1"/>
  <c r="I39" i="1"/>
  <c r="M37" i="1"/>
  <c r="I36" i="1"/>
  <c r="M34" i="1"/>
  <c r="I33" i="1"/>
  <c r="K32" i="1"/>
  <c r="M31" i="1"/>
  <c r="I30" i="1"/>
  <c r="M39" i="1"/>
  <c r="M30" i="1"/>
  <c r="H38" i="1"/>
  <c r="N32" i="1"/>
  <c r="M38" i="1"/>
  <c r="K38" i="1"/>
  <c r="K35" i="1"/>
  <c r="M36" i="1"/>
  <c r="K31" i="1"/>
  <c r="J40" i="1"/>
  <c r="S40" i="1" s="1"/>
  <c r="L36" i="1"/>
  <c r="L33" i="1"/>
  <c r="M35" i="1"/>
  <c r="K33" i="1"/>
  <c r="N40" i="1"/>
  <c r="M40" i="1"/>
  <c r="L40" i="1"/>
  <c r="N39" i="1"/>
  <c r="H39" i="1"/>
  <c r="J38" i="1"/>
  <c r="S38" i="1" s="1"/>
  <c r="L37" i="1"/>
  <c r="N36" i="1"/>
  <c r="H36" i="1"/>
  <c r="J35" i="1"/>
  <c r="S35" i="1" s="1"/>
  <c r="L34" i="1"/>
  <c r="N33" i="1"/>
  <c r="H33" i="1"/>
  <c r="J32" i="1"/>
  <c r="S32" i="1" s="1"/>
  <c r="L31" i="1"/>
  <c r="N30" i="1"/>
  <c r="H30" i="1"/>
  <c r="N29" i="1"/>
  <c r="M29" i="1"/>
  <c r="L29" i="1"/>
  <c r="K29" i="1"/>
  <c r="J29" i="1"/>
  <c r="S29" i="1" s="1"/>
  <c r="H29" i="1"/>
  <c r="I29" i="1"/>
  <c r="N12" i="1"/>
  <c r="N10" i="1"/>
  <c r="N9" i="1"/>
  <c r="N8" i="1"/>
  <c r="P8" i="1" s="1"/>
  <c r="N7" i="1"/>
  <c r="N6" i="1"/>
  <c r="U32" i="1" a="1"/>
  <c r="U36" i="1" a="1"/>
  <c r="U39" i="1" a="1"/>
  <c r="U30" i="1" a="1"/>
  <c r="U33" i="1" a="1"/>
  <c r="U34" i="1" a="1"/>
  <c r="U31" i="1" a="1"/>
  <c r="U37" i="1" a="1"/>
  <c r="U38" i="1" a="1"/>
  <c r="U40" i="1" a="1"/>
  <c r="U35" i="1" a="1"/>
  <c r="U29" i="1" a="1"/>
  <c r="I24" i="1" a="1"/>
  <c r="T39" i="1" a="1"/>
  <c r="T30" i="1" a="1"/>
  <c r="T33" i="1" a="1"/>
  <c r="T35" i="1" a="1"/>
  <c r="T31" i="1" a="1"/>
  <c r="T36" i="1" a="1"/>
  <c r="T37" i="1" a="1"/>
  <c r="T38" i="1" a="1"/>
  <c r="T34" i="1" a="1"/>
  <c r="T29" i="1" a="1"/>
  <c r="T40" i="1" a="1"/>
  <c r="T32" i="1" a="1"/>
  <c r="Q39" i="1" a="1"/>
  <c r="Q31" i="1" a="1"/>
  <c r="Q34" i="1" a="1"/>
  <c r="Q30" i="1" a="1"/>
  <c r="Q38" i="1" a="1"/>
  <c r="Q33" i="1" a="1"/>
  <c r="Q40" i="1" a="1"/>
  <c r="Q32" i="1" a="1"/>
  <c r="Q35" i="1" a="1"/>
  <c r="Q29" i="1" a="1"/>
  <c r="Q36" i="1" a="1"/>
  <c r="Q37" i="1" a="1"/>
  <c r="P32" i="1" a="1"/>
  <c r="P39" i="1" a="1"/>
  <c r="P30" i="1" a="1"/>
  <c r="P40" i="1" a="1"/>
  <c r="P29" i="1" a="1"/>
  <c r="P36" i="1" a="1"/>
  <c r="P37" i="1" a="1"/>
  <c r="P38" i="1" a="1"/>
  <c r="P33" i="1" a="1"/>
  <c r="P31" i="1" a="1"/>
  <c r="P34" i="1" a="1"/>
  <c r="O29" i="1" a="1"/>
  <c r="P35" i="1" a="1"/>
  <c r="O37" i="1" a="1"/>
  <c r="O32" i="1" a="1"/>
  <c r="O33" i="1" a="1"/>
  <c r="O39" i="1" a="1"/>
  <c r="O34" i="1" a="1"/>
  <c r="O36" i="1" a="1"/>
  <c r="O38" i="1" a="1"/>
  <c r="O35" i="1" a="1"/>
  <c r="O31" i="1" a="1"/>
  <c r="O30" i="1" a="1"/>
  <c r="O40" i="1" a="1"/>
  <c r="N11" i="1" a="1"/>
  <c r="U35" i="1" l="1"/>
  <c r="U40" i="1"/>
  <c r="U38" i="1"/>
  <c r="U37" i="1"/>
  <c r="U31" i="1"/>
  <c r="U34" i="1"/>
  <c r="U33" i="1"/>
  <c r="U30" i="1"/>
  <c r="U39" i="1"/>
  <c r="U36" i="1"/>
  <c r="U32" i="1"/>
  <c r="U29" i="1"/>
  <c r="I24" i="1"/>
  <c r="T32" i="1"/>
  <c r="T40" i="1"/>
  <c r="T29" i="1"/>
  <c r="T34" i="1"/>
  <c r="T38" i="1"/>
  <c r="T37" i="1"/>
  <c r="T36" i="1"/>
  <c r="T31" i="1"/>
  <c r="T35" i="1"/>
  <c r="T33" i="1"/>
  <c r="T30" i="1"/>
  <c r="T39" i="1"/>
  <c r="Q37" i="1"/>
  <c r="Q36" i="1"/>
  <c r="Q29" i="1"/>
  <c r="Q35" i="1"/>
  <c r="Q32" i="1"/>
  <c r="Q40" i="1"/>
  <c r="Q33" i="1"/>
  <c r="Q38" i="1"/>
  <c r="Q30" i="1"/>
  <c r="Q34" i="1"/>
  <c r="Q31" i="1"/>
  <c r="Q39" i="1"/>
  <c r="P35" i="1"/>
  <c r="O29" i="1"/>
  <c r="P34" i="1"/>
  <c r="P31" i="1"/>
  <c r="P33" i="1"/>
  <c r="P38" i="1"/>
  <c r="P37" i="1"/>
  <c r="P36" i="1"/>
  <c r="P29" i="1"/>
  <c r="P40" i="1"/>
  <c r="P30" i="1"/>
  <c r="P39" i="1"/>
  <c r="P32" i="1"/>
  <c r="O40" i="1"/>
  <c r="O30" i="1"/>
  <c r="O31" i="1"/>
  <c r="O35" i="1"/>
  <c r="O38" i="1"/>
  <c r="O36" i="1"/>
  <c r="O34" i="1"/>
  <c r="O39" i="1"/>
  <c r="O33" i="1"/>
  <c r="O32" i="1"/>
  <c r="O37" i="1"/>
  <c r="N11" i="1"/>
  <c r="N24" i="1" a="1"/>
  <c r="V24" i="1" a="1"/>
  <c r="N24" i="1" l="1"/>
  <c r="Q18" i="1"/>
  <c r="S18" i="1"/>
  <c r="S16" i="1" s="1"/>
  <c r="AA22" i="1"/>
  <c r="S22" i="1"/>
  <c r="R18" i="1"/>
  <c r="R16" i="1" s="1"/>
  <c r="V2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<sst xmlns="http://schemas.openxmlformats.org/spreadsheetml/2006/main" count="66" uniqueCount="53">
  <si>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</si>
  <si>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</si>
  <si>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</si>
  <si>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</si>
  <si>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</si>
  <si>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</si>
  <si>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</si>
  <si>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</si>
  <si>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</si>
  <si>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</si>
  <si>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</si>
  <si>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</si>
  <si>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</si>
  <si>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</si>
  <si>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</si>
  <si>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Параметры флюида</t>
  </si>
  <si>
    <t>Доп расчетные параметры</t>
  </si>
  <si>
    <t xml:space="preserve">Параметры </t>
  </si>
  <si>
    <t>мм</t>
  </si>
  <si>
    <t>Плотность жидкости</t>
  </si>
  <si>
    <t>Плотность газа</t>
  </si>
  <si>
    <t xml:space="preserve">Пов. Натяжение </t>
  </si>
  <si>
    <t>Qliq in situ</t>
  </si>
  <si>
    <t>Qgas in situ</t>
  </si>
  <si>
    <t>dcas</t>
  </si>
  <si>
    <t>dintake</t>
  </si>
  <si>
    <t>p</t>
  </si>
  <si>
    <t>t</t>
  </si>
  <si>
    <t>kg/m3</t>
  </si>
  <si>
    <t>Нм</t>
  </si>
  <si>
    <t>mu_liq</t>
  </si>
  <si>
    <t>mu_gas</t>
  </si>
  <si>
    <t>ksep Marquez simplified</t>
  </si>
  <si>
    <t>q</t>
  </si>
  <si>
    <t>ksep simpl</t>
  </si>
  <si>
    <t>ksep mech</t>
  </si>
  <si>
    <t>in</t>
  </si>
  <si>
    <t>mm</t>
  </si>
  <si>
    <t>ft</t>
  </si>
  <si>
    <t>msec</t>
  </si>
  <si>
    <t>m</t>
  </si>
  <si>
    <t xml:space="preserve">li analysis </t>
  </si>
  <si>
    <t>v_ooz</t>
  </si>
  <si>
    <t>v_sgz</t>
  </si>
  <si>
    <t>li</t>
  </si>
  <si>
    <t>li slug</t>
  </si>
  <si>
    <t>li bubble</t>
  </si>
  <si>
    <t>v_sl</t>
  </si>
  <si>
    <t>pkv ratio</t>
  </si>
  <si>
    <t>PKV</t>
  </si>
  <si>
    <t>ksep reverse</t>
  </si>
  <si>
    <t>ksep mech sigma</t>
  </si>
  <si>
    <t>пример правильного расчета сепарации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</si>
</sst>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1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Лист1!$O$29:$O$40</c:f>
              <c:numCache>
                <c:formatCode>General</c:formatCode>
                <c:ptCount val="12"/>
                <c:pt idx="0">
                  <c:v>0.9750402392974461</c:v>
                </c:pt>
                <c:pt idx="1">
                  <c:v>0.85989428838396531</c:v>
                </c:pt>
                <c:pt idx="2">
                  <c:v>0.70395798935768916</c:v>
                </c:pt>
                <c:pt idx="3">
                  <c:v>0.58893414505384289</c:v>
                </c:pt>
                <c:pt idx="4">
                  <c:v>0.50459415432479338</c:v>
                </c:pt>
                <c:pt idx="5">
                  <c:v>0.44193561611163035</c:v>
                </c:pt>
                <c:pt idx="6">
                  <c:v>0.39533047515466668</c:v>
                </c:pt>
                <c:pt idx="7">
                  <c:v>0.34580597950990954</c:v>
                </c:pt>
                <c:pt idx="8">
                  <c:v>0.32288715962964121</c:v>
                </c:pt>
                <c:pt idx="9">
                  <c:v>0.30649174796133227</c:v>
                </c:pt>
                <c:pt idx="10">
                  <c:v>0.2945141633904349</c:v>
                </c:pt>
                <c:pt idx="11">
                  <c:v>0.28523233972048878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0D-4BA8-A21E-4AADF88EC522}"/>
            </c:ext>
          </c:extLst>
        </c:ser>
        <c:ser>
          <c:idx val="1"/>
          <c:order val="1"/>
          <c:tx>
            <c:strRef>
              <c:f>Лист1!$P$28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Лист1!$P$29:$P$40</c:f>
              <c:numCache>
                <c:formatCode>General</c:formatCode>
                <c:ptCount val="12"/>
                <c:pt idx="0">
                  <c:v>0.9859430851063834</c:v>
                </c:pt>
                <c:pt idx="1">
                  <c:v>0.90574468085106452</c:v>
                </c:pt>
                <c:pt idx="2">
                  <c:v>0.75228085106383047</c:v>
                </c:pt>
                <c:pt idx="3">
                  <c:v>0.63503829787234056</c:v>
                </c:pt>
                <c:pt idx="4">
                  <c:v>0.54590000000000094</c:v>
                </c:pt>
                <c:pt idx="5">
                  <c:v>0.47585531914893636</c:v>
                </c:pt>
                <c:pt idx="6">
                  <c:v>0.41531914893617067</c:v>
                </c:pt>
                <c:pt idx="7">
                  <c:v>0.36961542553191545</c:v>
                </c:pt>
                <c:pt idx="8">
                  <c:v>0.32877287234042607</c:v>
                </c:pt>
                <c:pt idx="9">
                  <c:v>0.29800691489361719</c:v>
                </c:pt>
                <c:pt idx="10">
                  <c:v>0.27228085106382982</c:v>
                </c:pt>
                <c:pt idx="11">
                  <c:v>0.24647500000000011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0D-4BA8-A21E-4AADF88EC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</a:t>
            </a:r>
            <a:r>
              <a:rPr lang="ru-RU" baseline="0"/>
              <a:t> влияния поверхностного натяжения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Лист1!$O$29:$O$40</c:f>
              <c:numCache>
                <c:formatCode>General</c:formatCode>
                <c:ptCount val="12"/>
                <c:pt idx="0">
                  <c:v>0.9750402392974461</c:v>
                </c:pt>
                <c:pt idx="1">
                  <c:v>0.85989428838396531</c:v>
                </c:pt>
                <c:pt idx="2">
                  <c:v>0.70395798935768916</c:v>
                </c:pt>
                <c:pt idx="3">
                  <c:v>0.58893414505384289</c:v>
                </c:pt>
                <c:pt idx="4">
                  <c:v>0.50459415432479338</c:v>
                </c:pt>
                <c:pt idx="5">
                  <c:v>0.44193561611163035</c:v>
                </c:pt>
                <c:pt idx="6">
                  <c:v>0.39533047515466668</c:v>
                </c:pt>
                <c:pt idx="7">
                  <c:v>0.34580597950990954</c:v>
                </c:pt>
                <c:pt idx="8">
                  <c:v>0.32288715962964121</c:v>
                </c:pt>
                <c:pt idx="9">
                  <c:v>0.30649174796133227</c:v>
                </c:pt>
                <c:pt idx="10">
                  <c:v>0.2945141633904349</c:v>
                </c:pt>
                <c:pt idx="11">
                  <c:v>0.28523233972048878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1-40D8-AF0F-04D6D1F7A613}"/>
            </c:ext>
          </c:extLst>
        </c:ser>
        <c:ser>
          <c:idx val="1"/>
          <c:order val="1"/>
          <c:tx>
            <c:strRef>
              <c:f>Лист1!$P$28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Лист1!$P$29:$P$40</c:f>
              <c:numCache>
                <c:formatCode>General</c:formatCode>
                <c:ptCount val="12"/>
                <c:pt idx="0">
                  <c:v>0.9859430851063834</c:v>
                </c:pt>
                <c:pt idx="1">
                  <c:v>0.90574468085106452</c:v>
                </c:pt>
                <c:pt idx="2">
                  <c:v>0.75228085106383047</c:v>
                </c:pt>
                <c:pt idx="3">
                  <c:v>0.63503829787234056</c:v>
                </c:pt>
                <c:pt idx="4">
                  <c:v>0.54590000000000094</c:v>
                </c:pt>
                <c:pt idx="5">
                  <c:v>0.47585531914893636</c:v>
                </c:pt>
                <c:pt idx="6">
                  <c:v>0.41531914893617067</c:v>
                </c:pt>
                <c:pt idx="7">
                  <c:v>0.36961542553191545</c:v>
                </c:pt>
                <c:pt idx="8">
                  <c:v>0.32877287234042607</c:v>
                </c:pt>
                <c:pt idx="9">
                  <c:v>0.29800691489361719</c:v>
                </c:pt>
                <c:pt idx="10">
                  <c:v>0.27228085106382982</c:v>
                </c:pt>
                <c:pt idx="11">
                  <c:v>0.24647500000000011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91-40D8-AF0F-04D6D1F7A613}"/>
            </c:ext>
          </c:extLst>
        </c:ser>
        <c:ser>
          <c:idx val="2"/>
          <c:order val="2"/>
          <c:tx>
            <c:strRef>
              <c:f>Лист1!$T$28</c:f>
              <c:strCache>
                <c:ptCount val="1"/>
                <c:pt idx="0">
                  <c:v>ksep mech sigma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Лист1!$T$29:$T$40</c:f>
              <c:numCache>
                <c:formatCode>General</c:formatCode>
                <c:ptCount val="12"/>
                <c:pt idx="0">
                  <c:v>0.9859430851063834</c:v>
                </c:pt>
                <c:pt idx="1">
                  <c:v>0.87721914893617048</c:v>
                </c:pt>
                <c:pt idx="2">
                  <c:v>0.70365319148936223</c:v>
                </c:pt>
                <c:pt idx="3">
                  <c:v>0.58068776595744731</c:v>
                </c:pt>
                <c:pt idx="4">
                  <c:v>0.49593191489361754</c:v>
                </c:pt>
                <c:pt idx="5">
                  <c:v>0.43049627659574513</c:v>
                </c:pt>
                <c:pt idx="6">
                  <c:v>0.37979414893617086</c:v>
                </c:pt>
                <c:pt idx="7">
                  <c:v>0.3390026595744684</c:v>
                </c:pt>
                <c:pt idx="8">
                  <c:v>0.30827499999999997</c:v>
                </c:pt>
                <c:pt idx="9">
                  <c:v>0.2774324468085112</c:v>
                </c:pt>
                <c:pt idx="10">
                  <c:v>0.25164255319148993</c:v>
                </c:pt>
                <c:pt idx="11">
                  <c:v>0.23095319148936164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91-40D8-AF0F-04D6D1F7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Лист1!$O$29:$O$40</c:f>
              <c:numCache>
                <c:formatCode>General</c:formatCode>
                <c:ptCount val="12"/>
                <c:pt idx="0">
                  <c:v>0.9750402392974461</c:v>
                </c:pt>
                <c:pt idx="1">
                  <c:v>0.85989428838396531</c:v>
                </c:pt>
                <c:pt idx="2">
                  <c:v>0.70395798935768916</c:v>
                </c:pt>
                <c:pt idx="3">
                  <c:v>0.58893414505384289</c:v>
                </c:pt>
                <c:pt idx="4">
                  <c:v>0.50459415432479338</c:v>
                </c:pt>
                <c:pt idx="5">
                  <c:v>0.44193561611163035</c:v>
                </c:pt>
                <c:pt idx="6">
                  <c:v>0.39533047515466668</c:v>
                </c:pt>
                <c:pt idx="7">
                  <c:v>0.34580597950990954</c:v>
                </c:pt>
                <c:pt idx="8">
                  <c:v>0.32288715962964121</c:v>
                </c:pt>
                <c:pt idx="9">
                  <c:v>0.30649174796133227</c:v>
                </c:pt>
                <c:pt idx="10">
                  <c:v>0.2945141633904349</c:v>
                </c:pt>
                <c:pt idx="11">
                  <c:v>0.28523233972048878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E2-4DAF-8013-B02E1BD188FF}"/>
            </c:ext>
          </c:extLst>
        </c:ser>
        <c:ser>
          <c:idx val="1"/>
          <c:order val="1"/>
          <c:tx>
            <c:strRef>
              <c:f>Лист1!$P$28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Лист1!$P$29:$P$40</c:f>
              <c:numCache>
                <c:formatCode>General</c:formatCode>
                <c:ptCount val="12"/>
                <c:pt idx="0">
                  <c:v>0.9859430851063834</c:v>
                </c:pt>
                <c:pt idx="1">
                  <c:v>0.90574468085106452</c:v>
                </c:pt>
                <c:pt idx="2">
                  <c:v>0.75228085106383047</c:v>
                </c:pt>
                <c:pt idx="3">
                  <c:v>0.63503829787234056</c:v>
                </c:pt>
                <c:pt idx="4">
                  <c:v>0.54590000000000094</c:v>
                </c:pt>
                <c:pt idx="5">
                  <c:v>0.47585531914893636</c:v>
                </c:pt>
                <c:pt idx="6">
                  <c:v>0.41531914893617067</c:v>
                </c:pt>
                <c:pt idx="7">
                  <c:v>0.36961542553191545</c:v>
                </c:pt>
                <c:pt idx="8">
                  <c:v>0.32877287234042607</c:v>
                </c:pt>
                <c:pt idx="9">
                  <c:v>0.29800691489361719</c:v>
                </c:pt>
                <c:pt idx="10">
                  <c:v>0.27228085106382982</c:v>
                </c:pt>
                <c:pt idx="11">
                  <c:v>0.24647500000000011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E2-4DAF-8013-B02E1BD188FF}"/>
            </c:ext>
          </c:extLst>
        </c:ser>
        <c:ser>
          <c:idx val="2"/>
          <c:order val="2"/>
          <c:tx>
            <c:strRef>
              <c:f>Лист1!$Q$28</c:f>
              <c:strCache>
                <c:ptCount val="1"/>
                <c:pt idx="0">
                  <c:v>ksep reverse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Лист1!$Q$29:$Q$40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0.85500000000000076</c:v>
                </c:pt>
                <c:pt idx="8">
                  <c:v>0.76000000000000068</c:v>
                </c:pt>
                <c:pt idx="9">
                  <c:v>0.68500000000000061</c:v>
                </c:pt>
                <c:pt idx="10">
                  <c:v>0.63000000000000056</c:v>
                </c:pt>
                <c:pt idx="11">
                  <c:v>0.58000000000000052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E2-4DAF-8013-B02E1BD18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сепарации ЭЦН</a:t>
            </a:r>
            <a:r>
              <a:rPr lang="ru-RU" baseline="0"/>
              <a:t> и ПКВ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Лист1!$O$29:$O$40</c:f>
              <c:numCache>
                <c:formatCode>General</c:formatCode>
                <c:ptCount val="12"/>
                <c:pt idx="0">
                  <c:v>0.9750402392974461</c:v>
                </c:pt>
                <c:pt idx="1">
                  <c:v>0.85989428838396531</c:v>
                </c:pt>
                <c:pt idx="2">
                  <c:v>0.70395798935768916</c:v>
                </c:pt>
                <c:pt idx="3">
                  <c:v>0.58893414505384289</c:v>
                </c:pt>
                <c:pt idx="4">
                  <c:v>0.50459415432479338</c:v>
                </c:pt>
                <c:pt idx="5">
                  <c:v>0.44193561611163035</c:v>
                </c:pt>
                <c:pt idx="6">
                  <c:v>0.39533047515466668</c:v>
                </c:pt>
                <c:pt idx="7">
                  <c:v>0.34580597950990954</c:v>
                </c:pt>
                <c:pt idx="8">
                  <c:v>0.32288715962964121</c:v>
                </c:pt>
                <c:pt idx="9">
                  <c:v>0.30649174796133227</c:v>
                </c:pt>
                <c:pt idx="10">
                  <c:v>0.2945141633904349</c:v>
                </c:pt>
                <c:pt idx="11">
                  <c:v>0.28523233972048878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063-9A15-40431154795A}"/>
            </c:ext>
          </c:extLst>
        </c:ser>
        <c:ser>
          <c:idx val="1"/>
          <c:order val="1"/>
          <c:tx>
            <c:strRef>
              <c:f>Лист1!$P$28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Лист1!$P$29:$P$40</c:f>
              <c:numCache>
                <c:formatCode>General</c:formatCode>
                <c:ptCount val="12"/>
                <c:pt idx="0">
                  <c:v>0.9859430851063834</c:v>
                </c:pt>
                <c:pt idx="1">
                  <c:v>0.90574468085106452</c:v>
                </c:pt>
                <c:pt idx="2">
                  <c:v>0.75228085106383047</c:v>
                </c:pt>
                <c:pt idx="3">
                  <c:v>0.63503829787234056</c:v>
                </c:pt>
                <c:pt idx="4">
                  <c:v>0.54590000000000094</c:v>
                </c:pt>
                <c:pt idx="5">
                  <c:v>0.47585531914893636</c:v>
                </c:pt>
                <c:pt idx="6">
                  <c:v>0.41531914893617067</c:v>
                </c:pt>
                <c:pt idx="7">
                  <c:v>0.36961542553191545</c:v>
                </c:pt>
                <c:pt idx="8">
                  <c:v>0.32877287234042607</c:v>
                </c:pt>
                <c:pt idx="9">
                  <c:v>0.29800691489361719</c:v>
                </c:pt>
                <c:pt idx="10">
                  <c:v>0.27228085106382982</c:v>
                </c:pt>
                <c:pt idx="11">
                  <c:v>0.24647500000000011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CC-4063-9A15-40431154795A}"/>
            </c:ext>
          </c:extLst>
        </c:ser>
        <c:ser>
          <c:idx val="2"/>
          <c:order val="2"/>
          <c:tx>
            <c:strRef>
              <c:f>Лист1!$U$28</c:f>
              <c:strCache>
                <c:ptCount val="1"/>
                <c:pt idx="0">
                  <c:v>PKV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Лист1!$U$29:$U$40</c:f>
              <c:numCache>
                <c:formatCode>General</c:formatCode>
                <c:ptCount val="12"/>
                <c:pt idx="0">
                  <c:v>0.99531755319148996</c:v>
                </c:pt>
                <c:pt idx="1">
                  <c:v>0.9859430851063834</c:v>
                </c:pt>
                <c:pt idx="2">
                  <c:v>0.95774308510638329</c:v>
                </c:pt>
                <c:pt idx="3">
                  <c:v>0.93415531914893746</c:v>
                </c:pt>
                <c:pt idx="4">
                  <c:v>0.91048776595744796</c:v>
                </c:pt>
                <c:pt idx="5">
                  <c:v>0.88674042553191579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CC-4063-9A15-404311547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Лист2!$K$15</c:f>
              <c:strCache>
                <c:ptCount val="1"/>
                <c:pt idx="0">
                  <c:v>li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Лист2!$J$16:$J$33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Лист2!$K$16:$K$33</c:f>
              <c:numCache>
                <c:formatCode>General</c:formatCode>
                <c:ptCount val="18"/>
                <c:pt idx="0">
                  <c:v>2.8381257574715147E-2</c:v>
                </c:pt>
                <c:pt idx="1">
                  <c:v>2.7760235688950644E-2</c:v>
                </c:pt>
                <c:pt idx="2">
                  <c:v>2.7456688035811378E-2</c:v>
                </c:pt>
                <c:pt idx="3">
                  <c:v>2.7370947170510886E-2</c:v>
                </c:pt>
                <c:pt idx="4">
                  <c:v>2.7438197003752759E-2</c:v>
                </c:pt>
                <c:pt idx="5">
                  <c:v>2.7614133162052763E-2</c:v>
                </c:pt>
                <c:pt idx="6">
                  <c:v>2.7867268192262568E-2</c:v>
                </c:pt>
                <c:pt idx="7">
                  <c:v>2.817454750192111E-2</c:v>
                </c:pt>
                <c:pt idx="8">
                  <c:v>2.851872039668045E-2</c:v>
                </c:pt>
                <c:pt idx="9">
                  <c:v>2.888668951129102E-2</c:v>
                </c:pt>
                <c:pt idx="10">
                  <c:v>2.9268429060943225E-2</c:v>
                </c:pt>
                <c:pt idx="11">
                  <c:v>2.9656246193590762E-2</c:v>
                </c:pt>
                <c:pt idx="12">
                  <c:v>3.0044256534575691E-2</c:v>
                </c:pt>
                <c:pt idx="13">
                  <c:v>3.0427998127295599E-2</c:v>
                </c:pt>
                <c:pt idx="14">
                  <c:v>3.0804138081237102E-2</c:v>
                </c:pt>
                <c:pt idx="15">
                  <c:v>3.1170243741235403E-2</c:v>
                </c:pt>
                <c:pt idx="16">
                  <c:v>3.1524600559773928E-2</c:v>
                </c:pt>
                <c:pt idx="17">
                  <c:v>3.2507902488438427E-2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53-4120-8159-E7F009D55389}"/>
            </c:ext>
          </c:extLst>
        </c:ser>
        <c:ser>
          <c:idx val="1"/>
          <c:order val="1"/>
          <c:tx>
            <c:strRef>
              <c:f>Лист2!$M$15</c:f>
              <c:strCache>
                <c:ptCount val="1"/>
                <c:pt idx="0">
                  <c:v>li slug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Лист2!$J$16:$J$33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Лист2!$M$16:$M$33</c:f>
              <c:numCache>
                <c:formatCode>General</c:formatCode>
                <c:ptCount val="18"/>
                <c:pt idx="0">
                  <c:v>7.4759648020391789E-3</c:v>
                </c:pt>
                <c:pt idx="1">
                  <c:v>1.3420651286642495E-2</c:v>
                </c:pt>
                <c:pt idx="2">
                  <c:v>1.9585021192681386E-2</c:v>
                </c:pt>
                <c:pt idx="3">
                  <c:v>2.6256974561421891E-2</c:v>
                </c:pt>
                <c:pt idx="4">
                  <c:v>3.360350974548755E-2</c:v>
                </c:pt>
                <c:pt idx="5">
                  <c:v>4.1759941765575459E-2</c:v>
                </c:pt>
                <c:pt idx="6">
                  <c:v>5.0854140681000151E-2</c:v>
                </c:pt>
                <c:pt idx="7">
                  <c:v>6.1016215770226437E-2</c:v>
                </c:pt>
                <c:pt idx="8">
                  <c:v>7.2383542265174766E-2</c:v>
                </c:pt>
                <c:pt idx="9">
                  <c:v>8.5103999999999985E-2</c:v>
                </c:pt>
                <c:pt idx="10">
                  <c:v>9.9338466970550113E-2</c:v>
                </c:pt>
                <c:pt idx="11">
                  <c:v>0.11526301210494685</c:v>
                </c:pt>
                <c:pt idx="12">
                  <c:v>0.13307100238336594</c:v>
                </c:pt>
                <c:pt idx="13">
                  <c:v>0.15297524152265399</c:v>
                </c:pt>
                <c:pt idx="14">
                  <c:v>0.17521021219884644</c:v>
                </c:pt>
                <c:pt idx="15">
                  <c:v>0.20003447181745732</c:v>
                </c:pt>
                <c:pt idx="16">
                  <c:v>0.22773324101917902</c:v>
                </c:pt>
                <c:pt idx="17">
                  <c:v>0.3313897276057749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53-4120-8159-E7F009D5538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Лист2!$J$16:$J$33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Лист2!$N$16:$N$33</c:f>
              <c:numCache>
                <c:formatCode>General</c:formatCode>
                <c:ptCount val="18"/>
                <c:pt idx="0">
                  <c:v>6.6116463958020164E-2</c:v>
                </c:pt>
                <c:pt idx="1">
                  <c:v>6.6116463958020164E-2</c:v>
                </c:pt>
                <c:pt idx="2">
                  <c:v>6.6116463958020164E-2</c:v>
                </c:pt>
                <c:pt idx="3">
                  <c:v>6.6116463958020164E-2</c:v>
                </c:pt>
                <c:pt idx="4">
                  <c:v>6.6116463958020164E-2</c:v>
                </c:pt>
                <c:pt idx="5">
                  <c:v>6.6116463958020164E-2</c:v>
                </c:pt>
                <c:pt idx="6">
                  <c:v>6.6116463958020164E-2</c:v>
                </c:pt>
                <c:pt idx="7">
                  <c:v>6.6116463958020164E-2</c:v>
                </c:pt>
                <c:pt idx="8">
                  <c:v>6.6116463958020164E-2</c:v>
                </c:pt>
                <c:pt idx="9">
                  <c:v>6.6116463958020164E-2</c:v>
                </c:pt>
                <c:pt idx="10">
                  <c:v>6.6116463958020164E-2</c:v>
                </c:pt>
                <c:pt idx="11">
                  <c:v>6.6116463958020164E-2</c:v>
                </c:pt>
                <c:pt idx="12">
                  <c:v>6.6116463958020164E-2</c:v>
                </c:pt>
                <c:pt idx="13">
                  <c:v>6.6116463958020164E-2</c:v>
                </c:pt>
                <c:pt idx="14">
                  <c:v>6.6116463958020164E-2</c:v>
                </c:pt>
                <c:pt idx="15">
                  <c:v>6.6116463958020164E-2</c:v>
                </c:pt>
                <c:pt idx="16">
                  <c:v>6.6116463958020164E-2</c:v>
                </c:pt>
                <c:pt idx="17">
                  <c:v>6.6116463958020164E-2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53-4120-8159-E7F009D5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38959"/>
        <c:axId val="1678725903"/>
      </c:scatterChart>
      <c:valAx>
        <c:axId val="1672738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v_sqz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725903"/>
        <c:crosses val="autoZero"/>
        <c:crossBetween val="midCat"/>
      </c:valAx>
      <c:valAx>
        <c:axId val="167872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l_i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2738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Лист3!$E$8:$E$28</c:f>
              <c:numCache>
                <c:formatCode>General</c:formatCode>
                <c:ptCount val="21"/>
                <c:pt idx="0">
                  <c:v>0.8</c:v>
                </c:pt>
                <c:pt idx="1">
                  <c:v>0.81</c:v>
                </c:pt>
                <c:pt idx="2">
                  <c:v>0.82</c:v>
                </c:pt>
                <c:pt idx="3">
                  <c:v>0.83</c:v>
                </c:pt>
                <c:pt idx="4">
                  <c:v>0.84</c:v>
                </c:pt>
                <c:pt idx="5">
                  <c:v>0.85</c:v>
                </c:pt>
                <c:pt idx="6">
                  <c:v>0.86</c:v>
                </c:pt>
                <c:pt idx="7">
                  <c:v>0.87</c:v>
                </c:pt>
                <c:pt idx="8">
                  <c:v>0.88</c:v>
                </c:pt>
                <c:pt idx="9">
                  <c:v>0.89</c:v>
                </c:pt>
                <c:pt idx="10">
                  <c:v>0.9</c:v>
                </c:pt>
                <c:pt idx="11">
                  <c:v>0.91</c:v>
                </c:pt>
                <c:pt idx="12">
                  <c:v>0.92</c:v>
                </c:pt>
                <c:pt idx="13">
                  <c:v>0.93</c:v>
                </c:pt>
                <c:pt idx="14">
                  <c:v>0.94</c:v>
                </c:pt>
                <c:pt idx="15">
                  <c:v>0.95</c:v>
                </c:pt>
                <c:pt idx="16">
                  <c:v>0.96</c:v>
                </c:pt>
                <c:pt idx="17">
                  <c:v>0.97</c:v>
                </c:pt>
                <c:pt idx="18">
                  <c:v>0.98</c:v>
                </c:pt>
                <c:pt idx="19">
                  <c:v>0.99</c:v>
                </c:pt>
                <c:pt idx="20">
                  <c:v>1</c:v>
                </c:pt>
              </c:numCache>
            </c:numRef>
          </c:xVal>
          <c:yVal>
            <c:numRef>
              <c:f>Лист3!$F$8:$F$28</c:f>
              <c:numCache>
                <c:formatCode>General</c:formatCode>
                <c:ptCount val="21"/>
                <c:pt idx="0">
                  <c:v>-0.79999999999999982</c:v>
                </c:pt>
                <c:pt idx="1">
                  <c:v>-0.72899999999999976</c:v>
                </c:pt>
                <c:pt idx="2">
                  <c:v>-0.65600000000000058</c:v>
                </c:pt>
                <c:pt idx="3">
                  <c:v>-0.58100000000000052</c:v>
                </c:pt>
                <c:pt idx="4">
                  <c:v>-0.50400000000000045</c:v>
                </c:pt>
                <c:pt idx="5">
                  <c:v>-0.42500000000000038</c:v>
                </c:pt>
                <c:pt idx="6">
                  <c:v>-0.34400000000000031</c:v>
                </c:pt>
                <c:pt idx="7">
                  <c:v>-0.26100000000000023</c:v>
                </c:pt>
                <c:pt idx="8">
                  <c:v>-0.17600000000000016</c:v>
                </c:pt>
                <c:pt idx="9">
                  <c:v>-8.9000000000000079E-2</c:v>
                </c:pt>
                <c:pt idx="10">
                  <c:v>0</c:v>
                </c:pt>
                <c:pt idx="11">
                  <c:v>9.1000000000000095E-2</c:v>
                </c:pt>
                <c:pt idx="12">
                  <c:v>0.18400000000000016</c:v>
                </c:pt>
                <c:pt idx="13">
                  <c:v>0.27900000000000025</c:v>
                </c:pt>
                <c:pt idx="14">
                  <c:v>0.37599999999999922</c:v>
                </c:pt>
                <c:pt idx="15">
                  <c:v>0.47499999999999931</c:v>
                </c:pt>
                <c:pt idx="16">
                  <c:v>0.5759999999999994</c:v>
                </c:pt>
                <c:pt idx="17">
                  <c:v>0.67899999999999949</c:v>
                </c:pt>
                <c:pt idx="18">
                  <c:v>0.78399999999999959</c:v>
                </c:pt>
                <c:pt idx="19">
                  <c:v>0.89099999999999968</c:v>
                </c:pt>
                <c:pt idx="20">
                  <c:v>0.99999999999999978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BF-4DAA-8499-BDBCB4DB0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692847"/>
        <c:axId val="1678697007"/>
      </c:scatterChart>
      <c:valAx>
        <c:axId val="1678692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697007"/>
        <c:crosses val="autoZero"/>
        <c:crossBetween val="midCat"/>
      </c:valAx>
      <c:valAx>
        <c:axId val="167869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692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40</xdr:row>
      <xdr:rowOff>147637</xdr:rowOff>
    </xdr:from>
    <xdr:to>
      <xdr:col>10</xdr:col>
      <xdr:colOff>323850</xdr:colOff>
      <xdr:row>55</xdr:row>
      <xdr:rowOff>33337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A024B47-F08B-450E-B65F-90C6A441B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142875</xdr:colOff>
      <xdr:row>41</xdr:row>
      <xdr:rowOff>161925</xdr:rowOff>
    </xdr:from>
    <xdr:to>
      <xdr:col>26</xdr:col>
      <xdr:colOff>447675</xdr:colOff>
      <xdr:row>56</xdr:row>
      <xdr:rowOff>47625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A61B7EC-E3CA-4436-ACCA-7A90E1CE2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438150</xdr:colOff>
      <xdr:row>26</xdr:row>
      <xdr:rowOff>85725</xdr:rowOff>
    </xdr:from>
    <xdr:to>
      <xdr:col>34</xdr:col>
      <xdr:colOff>133350</xdr:colOff>
      <xdr:row>40</xdr:row>
      <xdr:rowOff>161925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BCF290F-87DB-4B14-AF8C-E334CAB116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171450</xdr:colOff>
      <xdr:row>41</xdr:row>
      <xdr:rowOff>76200</xdr:rowOff>
    </xdr:from>
    <xdr:to>
      <xdr:col>17</xdr:col>
      <xdr:colOff>85725</xdr:colOff>
      <xdr:row>55</xdr:row>
      <xdr:rowOff>152400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8242215B-00ED-475B-AFF3-DD1726C5E8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139211</xdr:colOff>
      <xdr:row>55</xdr:row>
      <xdr:rowOff>58615</xdr:rowOff>
    </xdr:from>
    <xdr:to>
      <xdr:col>5</xdr:col>
      <xdr:colOff>571500</xdr:colOff>
      <xdr:row>59</xdr:row>
      <xdr:rowOff>95250</xdr:rowOff>
    </xdr:to>
    <xdr:sp macro="" textlink="">
      <xdr:nvSpPr>
        <xdr:cNvPr id="6" name="Стрелка: вправо 5">
          <a:extLst>
            <a:ext uri="{FF2B5EF4-FFF2-40B4-BE49-F238E27FC236}">
              <a16:creationId xmlns:a16="http://schemas.microsoft.com/office/drawing/2014/main" id="{79C13861-44E1-4A5D-9AF8-BCD400CB0FEC}"/>
            </a:ext>
          </a:extLst>
        </xdr:cNvPr>
        <xdr:cNvSpPr/>
      </xdr:nvSpPr>
      <xdr:spPr>
        <a:xfrm>
          <a:off x="2725615" y="10536115"/>
          <a:ext cx="1296866" cy="79863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6</xdr:row>
      <xdr:rowOff>123825</xdr:rowOff>
    </xdr:from>
    <xdr:to>
      <xdr:col>13</xdr:col>
      <xdr:colOff>485775</xdr:colOff>
      <xdr:row>12</xdr:row>
      <xdr:rowOff>47625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AEBA334-C7BE-4455-BF2C-963BEB64F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266825"/>
          <a:ext cx="6858000" cy="10668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76200</xdr:rowOff>
    </xdr:from>
    <xdr:to>
      <xdr:col>8</xdr:col>
      <xdr:colOff>209550</xdr:colOff>
      <xdr:row>4</xdr:row>
      <xdr:rowOff>104775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72AAFAD-DF57-417F-A4A3-7B72F897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457200"/>
          <a:ext cx="3257550" cy="409575"/>
        </a:xfrm>
        <a:prstGeom prst="rect">
          <a:avLst/>
        </a:prstGeom>
      </xdr:spPr>
    </xdr:pic>
    <xdr:clientData/>
  </xdr:twoCellAnchor>
  <xdr:twoCellAnchor>
    <xdr:from>
      <xdr:col>2</xdr:col>
      <xdr:colOff>180975</xdr:colOff>
      <xdr:row>32</xdr:row>
      <xdr:rowOff>109536</xdr:rowOff>
    </xdr:from>
    <xdr:to>
      <xdr:col>11</xdr:col>
      <xdr:colOff>581025</xdr:colOff>
      <xdr:row>52</xdr:row>
      <xdr:rowOff>133349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A0B665D-4D6E-4693-B2CE-5B83A23C0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30</xdr:col>
      <xdr:colOff>561975</xdr:colOff>
      <xdr:row>2</xdr:row>
      <xdr:rowOff>0</xdr:rowOff>
    </xdr:from>
    <xdr:to>
      <xdr:col>39</xdr:col>
      <xdr:colOff>581025</xdr:colOff>
      <xdr:row>25</xdr:row>
      <xdr:rowOff>138157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FDD7431D-9D52-4BFB-8524-FF894474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49975" y="381000"/>
          <a:ext cx="5505450" cy="4519657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8</xdr:row>
      <xdr:rowOff>0</xdr:rowOff>
    </xdr:from>
    <xdr:to>
      <xdr:col>26</xdr:col>
      <xdr:colOff>0</xdr:colOff>
      <xdr:row>11</xdr:row>
      <xdr:rowOff>66675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97B603CF-3E3E-4D8F-BBE6-40BBFC037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1524000"/>
          <a:ext cx="6096000" cy="63817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171450</xdr:rowOff>
    </xdr:from>
    <xdr:to>
      <xdr:col>31</xdr:col>
      <xdr:colOff>209550</xdr:colOff>
      <xdr:row>20</xdr:row>
      <xdr:rowOff>19050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E2DC913-F58B-445B-9D62-ADF985B4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63200" y="2457450"/>
          <a:ext cx="8743950" cy="1371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533400</xdr:colOff>
      <xdr:row>20</xdr:row>
      <xdr:rowOff>166687</xdr:rowOff>
    </xdr:from>
    <xdr:to>
      <xdr:col>23</xdr:col>
      <xdr:colOff>228600</xdr:colOff>
      <xdr:row>35</xdr:row>
      <xdr:rowOff>52387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A6238F4-2D38-4353-A94B-66F6CDA5AF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feed_mu_liq_cP"/>
      <definedName name="feed_q_gas_rc_m3day"/>
      <definedName name="feed_q_liq_rc_m3day"/>
      <definedName name="feed_rho_liq_kgm3"/>
      <definedName name="feed_ST_liqgas_Nm"/>
      <definedName name="PVT_mu_gas_cP"/>
      <definedName name="PVT_rho_gas_kgm3"/>
      <definedName name="unf_ksep_mechanistic_Marquez"/>
      <definedName name="unf_ksep_mechanistic_PKV"/>
      <definedName name="unf_ksep_natural_simplified_Marquez"/>
      <definedName name="well_ksep_natural_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B6ABE-71BC-4626-9EB3-949C944F5DD4}">
  <sheetPr codeName="Лист1"/>
  <dimension ref="D3:AA58"/>
  <sheetViews>
    <sheetView tabSelected="1" topLeftCell="B34" zoomScale="130" zoomScaleNormal="130" workbookViewId="0">
      <selection activeCell="M60" sqref="M60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13" max="13" width="20.42578125" customWidth="1"/>
    <col min="14" max="14" width="11" bestFit="1" customWidth="1"/>
    <col min="16" max="16" width="11" bestFit="1" customWidth="1"/>
  </cols>
  <sheetData>
    <row r="3" spans="4:22" x14ac:dyDescent="0.25">
      <c r="D3" t="s">
        <v>15</v>
      </c>
      <c r="H3" t="s">
        <v>17</v>
      </c>
      <c r="M3" t="s">
        <v>16</v>
      </c>
    </row>
    <row r="6" spans="4:22" x14ac:dyDescent="0.25">
      <c r="D6" s="1" t="s">
        <v>0</v>
      </c>
      <c r="E6" s="1">
        <v>0.8</v>
      </c>
      <c r="H6" s="3" t="s">
        <v>24</v>
      </c>
      <c r="I6">
        <v>125</v>
      </c>
      <c r="J6" t="s">
        <v>18</v>
      </c>
      <c r="K6">
        <f>dcas/1000</f>
        <v>0.125</v>
      </c>
      <c r="M6" t="s">
        <v>19</v>
      </c>
      <c r="N6" cm="1">
        <f t="array" ref="N6">[1]!feed_rho_liq_kgm3(p,t,feed_json)</f>
        <v>1004.1021340211433</v>
      </c>
      <c r="O6" t="s">
        <v>28</v>
      </c>
    </row>
    <row r="7" spans="4:22" x14ac:dyDescent="0.25">
      <c r="D7" s="1" t="s">
        <v>1</v>
      </c>
      <c r="E7" s="1">
        <v>0.82</v>
      </c>
      <c r="H7" s="3" t="s">
        <v>25</v>
      </c>
      <c r="I7">
        <v>110</v>
      </c>
      <c r="J7" t="s">
        <v>18</v>
      </c>
      <c r="K7">
        <f>dintake/1000</f>
        <v>0.11</v>
      </c>
      <c r="M7" t="s">
        <v>20</v>
      </c>
      <c r="N7" cm="1">
        <f t="array" ref="N7">[1]!PVT_rho_gas_kgm3(p,t,PVT_json)</f>
        <v>45.098586487859258</v>
      </c>
      <c r="O7" t="s">
        <v>28</v>
      </c>
    </row>
    <row r="8" spans="4:22" x14ac:dyDescent="0.25">
      <c r="D8" s="1" t="s">
        <v>2</v>
      </c>
      <c r="E8" s="1">
        <v>1.1000000000000001</v>
      </c>
      <c r="M8" t="s">
        <v>21</v>
      </c>
      <c r="N8" cm="1">
        <f t="array" ref="N8">[1]!feed_ST_liqgas_Nm(p,t,feed_json)</f>
        <v>5.610656365220397E-2</v>
      </c>
      <c r="O8" t="s">
        <v>29</v>
      </c>
      <c r="P8">
        <f>Пов._Натяжение/1000</f>
        <v>5.6106563652203966E-5</v>
      </c>
    </row>
    <row r="9" spans="4:22" x14ac:dyDescent="0.25">
      <c r="D9" s="1" t="s">
        <v>3</v>
      </c>
      <c r="E9" s="1">
        <v>120</v>
      </c>
      <c r="H9" s="4" t="s">
        <v>26</v>
      </c>
      <c r="I9" s="4">
        <v>50</v>
      </c>
      <c r="M9" t="s">
        <v>22</v>
      </c>
      <c r="N9" cm="1">
        <f t="array" ref="N9">[1]!feed_q_liq_rc_m3day(p,t,feed_json)</f>
        <v>31.552602889493375</v>
      </c>
    </row>
    <row r="10" spans="4:22" x14ac:dyDescent="0.25">
      <c r="D10" s="1" t="s">
        <v>4</v>
      </c>
      <c r="E10" s="1"/>
      <c r="H10" s="4" t="s">
        <v>27</v>
      </c>
      <c r="I10" s="4">
        <v>80</v>
      </c>
      <c r="M10" t="s">
        <v>23</v>
      </c>
      <c r="N10" cm="1">
        <f t="array" ref="N10">[1]!feed_q_gas_rc_m3day(p,t,feed_json)</f>
        <v>11.349940582847108</v>
      </c>
    </row>
    <row r="11" spans="4:22" x14ac:dyDescent="0.25">
      <c r="D11" s="1" t="s">
        <v>5</v>
      </c>
      <c r="E11" s="1"/>
      <c r="M11" t="s">
        <v>30</v>
      </c>
      <c r="N11" cm="1">
        <f t="array" ref="N11">[1]!feed_mu_liq_cP(p,t,feed_json)</f>
        <v>0.52844679576122078</v>
      </c>
      <c r="U11">
        <v>0.05</v>
      </c>
      <c r="V11" t="s">
        <v>36</v>
      </c>
    </row>
    <row r="12" spans="4:22" x14ac:dyDescent="0.25">
      <c r="D12" s="1" t="s">
        <v>6</v>
      </c>
      <c r="E12" s="1"/>
      <c r="H12" t="s">
        <v>48</v>
      </c>
      <c r="I12">
        <v>0.1</v>
      </c>
      <c r="M12" t="s">
        <v>31</v>
      </c>
      <c r="N12" cm="1">
        <f t="array" ref="N12">[1]!PVT_mu_gas_cP(p,t,PVT_json)</f>
        <v>1.3331977052880127E-2</v>
      </c>
      <c r="U12">
        <f>U11*25.4</f>
        <v>1.27</v>
      </c>
      <c r="V12" t="s">
        <v>37</v>
      </c>
    </row>
    <row r="13" spans="4:22" x14ac:dyDescent="0.25">
      <c r="D13" s="1" t="s">
        <v>7</v>
      </c>
      <c r="E13" s="1">
        <v>0.3</v>
      </c>
    </row>
    <row r="14" spans="4:22" x14ac:dyDescent="0.25">
      <c r="D14" s="1" t="s">
        <v>8</v>
      </c>
      <c r="E14" s="1">
        <v>0</v>
      </c>
    </row>
    <row r="15" spans="4:22" x14ac:dyDescent="0.25">
      <c r="D15" s="1" t="s">
        <v>9</v>
      </c>
      <c r="E15" s="2" t="str">
        <f>[1]!encode_PVT(E6,E7,E8,E9,E10,E11,E12,E13,E14)</f>
        <v>{"gamma_gas":0.8,"gamma_oil":0.82,"gamma_wat":1.1,"rsb_m3m3":120,"muob_cP":0.3,"PVT_corr_set":0}</v>
      </c>
      <c r="R15" t="s">
        <v>36</v>
      </c>
      <c r="S15" t="s">
        <v>36</v>
      </c>
    </row>
    <row r="16" spans="4:22" x14ac:dyDescent="0.25">
      <c r="D16" s="1" t="s">
        <v>10</v>
      </c>
      <c r="E16" s="1">
        <v>30</v>
      </c>
      <c r="R16">
        <f>R18*12</f>
        <v>1.8229816277981432</v>
      </c>
      <c r="S16">
        <f>S18*12</f>
        <v>4.5155393089775363E-2</v>
      </c>
    </row>
    <row r="17" spans="4:27" x14ac:dyDescent="0.25">
      <c r="D17" s="1" t="s">
        <v>11</v>
      </c>
      <c r="E17" s="1">
        <v>80</v>
      </c>
      <c r="R17" t="s">
        <v>38</v>
      </c>
      <c r="S17" t="s">
        <v>38</v>
      </c>
    </row>
    <row r="18" spans="4:27" x14ac:dyDescent="0.25">
      <c r="D18" s="1" t="s">
        <v>12</v>
      </c>
      <c r="E18" s="1">
        <v>120</v>
      </c>
      <c r="Q18">
        <f>Q24*3.2</f>
        <v>0.42232097279056346</v>
      </c>
      <c r="R18">
        <f>R24*3.2</f>
        <v>0.15191513564984527</v>
      </c>
      <c r="S18">
        <f>S24*3.2</f>
        <v>3.762949424147947E-3</v>
      </c>
    </row>
    <row r="19" spans="4:27" x14ac:dyDescent="0.25">
      <c r="D19" s="1" t="s">
        <v>13</v>
      </c>
      <c r="E19" s="1">
        <v>0</v>
      </c>
    </row>
    <row r="20" spans="4:27" x14ac:dyDescent="0.25">
      <c r="D20" s="1" t="s">
        <v>14</v>
      </c>
      <c r="E20" s="2" t="str">
        <f>[1]!encode_feed(E16,E17,E18,E19,E15)</f>
        <v>{"gamma_gas":0.8,"gamma_oil":0.82,"gamma_wat":1.1,"rsb_m3m3":120,"muob_cP":0.3,"PVT_corr_set":0,"q_liq_sm3day":30,"fw_perc":80,"rp_m3m3":120}</v>
      </c>
    </row>
    <row r="22" spans="4:27" x14ac:dyDescent="0.25">
      <c r="S22">
        <f>S24*1000</f>
        <v>1.1759216950462335</v>
      </c>
      <c r="AA22">
        <f t="shared" ref="X22:AA22" si="0">AA24*1000</f>
        <v>1.1759216950462335</v>
      </c>
    </row>
    <row r="23" spans="4:27" x14ac:dyDescent="0.25">
      <c r="I23" s="5" t="s">
        <v>32</v>
      </c>
    </row>
    <row r="24" spans="4:27" x14ac:dyDescent="0.25">
      <c r="I24" cm="1">
        <f t="array" ref="I24:K25">[1]!unf_ksep_natural_simplified_Marquez(dintake_m,dcas_m,Qliq_in_situ,Qgas_in_situ,Пов._Натяжение,Плотность_жидкости,Плотность_газа,0)</f>
        <v>0.70395798935768916</v>
      </c>
      <c r="J24">
        <v>1</v>
      </c>
      <c r="K24">
        <v>0.23143455798373042</v>
      </c>
      <c r="N24" cm="1">
        <f t="array" ref="N24:S25">[1]!unf_ksep_mechanistic_Marquez(dintake_m,dcas_m,Qliq_in_situ,Qgas_in_situ,Пов._Натяжение,Плотность_жидкости,Плотность_газа,mu_liq,mu_gas,,0,0)</f>
        <v>1</v>
      </c>
      <c r="O24" t="str">
        <v>Пузырьковый</v>
      </c>
      <c r="P24">
        <v>0.23143455798373042</v>
      </c>
      <c r="Q24">
        <v>0.13197530399705107</v>
      </c>
      <c r="R24">
        <v>4.7473479890576639E-2</v>
      </c>
      <c r="S24">
        <v>1.1759216950462334E-3</v>
      </c>
      <c r="V24" cm="1">
        <f t="array" ref="V24:AA25">[1]!unf_ksep_mechanistic_Marquez(dintake_m,dcas_m,Qliq_in_situ,Qgas_in_situ,Пов._Натяжение,Плотность_жидкости,Плотность_газа,mu_liq,mu_gas,,0,1)</f>
        <v>0.75228085106383047</v>
      </c>
      <c r="W24" t="str">
        <v>Пузырьковый</v>
      </c>
      <c r="X24">
        <v>0.23143455798373042</v>
      </c>
      <c r="Y24">
        <v>0.13197530399705107</v>
      </c>
      <c r="Z24">
        <v>4.7473479890576639E-2</v>
      </c>
      <c r="AA24">
        <v>1.1759216950462334E-3</v>
      </c>
    </row>
    <row r="25" spans="4:27" x14ac:dyDescent="0.25">
      <c r="I25" t="str">
        <v>ksep</v>
      </c>
      <c r="J25" t="str">
        <v>flow regime</v>
      </c>
      <c r="K25" t="str">
        <v>v_ooz</v>
      </c>
      <c r="N25" t="str">
        <v>ksep</v>
      </c>
      <c r="O25" t="str">
        <v>flow regime</v>
      </c>
      <c r="P25" t="str">
        <v>v_ooz</v>
      </c>
      <c r="Q25" t="str">
        <v>vsl</v>
      </c>
      <c r="R25" t="str">
        <v>vsg</v>
      </c>
      <c r="S25" t="str">
        <v>li</v>
      </c>
      <c r="V25" t="str">
        <v>ksep</v>
      </c>
      <c r="W25" t="str">
        <v>flow regime</v>
      </c>
      <c r="X25" t="str">
        <v>v_ooz</v>
      </c>
      <c r="Y25" t="str">
        <v>vsl</v>
      </c>
      <c r="Z25" t="str">
        <v>vsg</v>
      </c>
      <c r="AA25" t="str">
        <v>li</v>
      </c>
    </row>
    <row r="26" spans="4:27" x14ac:dyDescent="0.25">
      <c r="R26" t="s">
        <v>39</v>
      </c>
      <c r="S26" t="s">
        <v>40</v>
      </c>
    </row>
    <row r="27" spans="4:27" x14ac:dyDescent="0.25">
      <c r="S27">
        <v>2</v>
      </c>
    </row>
    <row r="28" spans="4:27" x14ac:dyDescent="0.25">
      <c r="F28" t="s">
        <v>33</v>
      </c>
      <c r="G28" t="s">
        <v>14</v>
      </c>
      <c r="H28" t="s">
        <v>19</v>
      </c>
      <c r="I28" t="s">
        <v>20</v>
      </c>
      <c r="J28" t="s">
        <v>21</v>
      </c>
      <c r="K28" t="s">
        <v>22</v>
      </c>
      <c r="L28" t="s">
        <v>23</v>
      </c>
      <c r="M28" t="s">
        <v>30</v>
      </c>
      <c r="N28" t="s">
        <v>31</v>
      </c>
      <c r="O28" t="s">
        <v>34</v>
      </c>
      <c r="P28" t="s">
        <v>35</v>
      </c>
      <c r="Q28" t="s">
        <v>50</v>
      </c>
      <c r="T28" t="s">
        <v>51</v>
      </c>
      <c r="U28" t="s">
        <v>49</v>
      </c>
    </row>
    <row r="29" spans="4:27" x14ac:dyDescent="0.25">
      <c r="F29">
        <v>1</v>
      </c>
      <c r="G29" t="str">
        <f>[1]!encode_feed(F29,$E$17,$E$18,$E$19,$E$15)</f>
        <v>{"gamma_gas":0.8,"gamma_oil":0.82,"gamma_wat":1.1,"rsb_m3m3":120,"muob_cP":0.3,"PVT_corr_set":0,"q_liq_sm3day":1,"fw_perc":80,"rp_m3m3":120}</v>
      </c>
      <c r="H29" cm="1">
        <f t="array" ref="H29">[1]!feed_rho_liq_kgm3(p,t,G29)</f>
        <v>1004.1021340211433</v>
      </c>
      <c r="I29" cm="1">
        <f t="array" ref="I29">[1]!PVT_rho_gas_kgm3(p,t,PVT_json)</f>
        <v>45.098586487859258</v>
      </c>
      <c r="J29" cm="1">
        <f t="array" ref="J29">[1]!feed_ST_liqgas_Nm(p,t,G29)</f>
        <v>5.610656365220397E-2</v>
      </c>
      <c r="K29" cm="1">
        <f t="array" ref="K29">[1]!feed_q_liq_rc_m3day(p,t,G29)</f>
        <v>1.0517534296497792</v>
      </c>
      <c r="L29" cm="1">
        <f t="array" ref="L29">[1]!feed_q_gas_rc_m3day(p,t,G29)</f>
        <v>0.37833135276157026</v>
      </c>
      <c r="M29" cm="1">
        <f t="array" ref="M29">[1]!feed_mu_liq_cP(p,t,G29)</f>
        <v>0.52844679576122078</v>
      </c>
      <c r="N29" cm="1">
        <f t="array" ref="N29">[1]!PVT_mu_gas_cP(p,t,G29)</f>
        <v>1.3331977052880127E-2</v>
      </c>
      <c r="O29" cm="1">
        <f t="array" ref="O29">[1]!unf_ksep_natural_simplified_Marquez(dintake_m,dcas_m,K29,L29,J29,H29,I29,1)</f>
        <v>0.9750402392974461</v>
      </c>
      <c r="P29" cm="1">
        <f t="array" ref="P29">[1]!unf_ksep_mechanistic_Marquez(dintake_m,dcas_m,K29,L29,J29,H29,I29,M29,N29,,1,1)</f>
        <v>0.9859430851063834</v>
      </c>
      <c r="Q29" cm="1">
        <f t="array" ref="Q29">[1]!unf_ksep_mechanistic_Marquez(dintake_m,dcas_m,K29,L29,J29,H29,I29,M29,N29,,1,0)</f>
        <v>1</v>
      </c>
      <c r="S29">
        <f>J29*$S$27</f>
        <v>0.11221312730440794</v>
      </c>
      <c r="T29" cm="1">
        <f t="array" ref="T29">[1]!unf_ksep_mechanistic_Marquez(dintake_m,dcas_m,K29,L29,S29,H29,I29,M29,N29,,1,1)</f>
        <v>0.9859430851063834</v>
      </c>
      <c r="U29" cm="1">
        <f t="array" ref="U29">[1]!unf_ksep_mechanistic_PKV(dintake_m,dcas_m,K29,L29,S29,H29,I29,M29,N29,,pkv_ratio)</f>
        <v>0.99531755319148996</v>
      </c>
    </row>
    <row r="30" spans="4:27" x14ac:dyDescent="0.25">
      <c r="F30">
        <v>10</v>
      </c>
      <c r="G30" t="str">
        <f>[1]!encode_feed(F30,$E$17,$E$18,$E$19,$E$15)</f>
        <v>{"gamma_gas":0.8,"gamma_oil":0.82,"gamma_wat":1.1,"rsb_m3m3":120,"muob_cP":0.3,"PVT_corr_set":0,"q_liq_sm3day":10,"fw_perc":80,"rp_m3m3":120}</v>
      </c>
      <c r="H30" cm="1">
        <f t="array" ref="H30">[1]!feed_rho_liq_kgm3(p,t,G30)</f>
        <v>1004.1021340211433</v>
      </c>
      <c r="I30" cm="1">
        <f t="array" ref="I30">[1]!PVT_rho_gas_kgm3(p,t,PVT_json)</f>
        <v>45.098586487859258</v>
      </c>
      <c r="J30" cm="1">
        <f t="array" ref="J30">[1]!feed_ST_liqgas_Nm(p,t,G30)</f>
        <v>5.610656365220397E-2</v>
      </c>
      <c r="K30" cm="1">
        <f t="array" ref="K30">[1]!feed_q_liq_rc_m3day(p,t,G30)</f>
        <v>10.517534296497793</v>
      </c>
      <c r="L30" cm="1">
        <f t="array" ref="L30">[1]!feed_q_gas_rc_m3day(p,t,G30)</f>
        <v>3.7833135276157033</v>
      </c>
      <c r="M30" cm="1">
        <f t="array" ref="M30">[1]!feed_mu_liq_cP(p,t,G30)</f>
        <v>0.52844679576122078</v>
      </c>
      <c r="N30" cm="1">
        <f t="array" ref="N30">[1]!PVT_mu_gas_cP(p,t,G30)</f>
        <v>1.3331977052880127E-2</v>
      </c>
      <c r="O30" cm="1">
        <f t="array" ref="O30">[1]!unf_ksep_natural_simplified_Marquez(dintake_m,dcas_m,K30,L30,J30,H30,I30,1)</f>
        <v>0.85989428838396531</v>
      </c>
      <c r="P30" cm="1">
        <f t="array" ref="P30">[1]!unf_ksep_mechanistic_Marquez(dintake_m,dcas_m,K30,L30,J30,H30,I30,M30,N30,,1,1)</f>
        <v>0.90574468085106452</v>
      </c>
      <c r="Q30" cm="1">
        <f t="array" ref="Q30">[1]!unf_ksep_mechanistic_Marquez(dintake_m,dcas_m,K30,L30,J30,H30,I30,M30,N30,,1,0)</f>
        <v>1</v>
      </c>
      <c r="S30">
        <f t="shared" ref="S30:S40" si="1">J30*$S$27</f>
        <v>0.11221312730440794</v>
      </c>
      <c r="T30" cm="1">
        <f t="array" ref="T30">[1]!unf_ksep_mechanistic_Marquez(dintake_m,dcas_m,K30,L30,S30,H30,I30,M30,N30,,1,1)</f>
        <v>0.87721914893617048</v>
      </c>
      <c r="U30" cm="1">
        <f t="array" ref="U30">[1]!unf_ksep_mechanistic_PKV(dintake_m,dcas_m,K30,L30,S30,H30,I30,M30,N30,,pkv_ratio)</f>
        <v>0.9859430851063834</v>
      </c>
    </row>
    <row r="31" spans="4:27" x14ac:dyDescent="0.25">
      <c r="F31">
        <v>30</v>
      </c>
      <c r="G31" t="str">
        <f>[1]!encode_feed(F31,$E$17,$E$18,$E$19,$E$15)</f>
        <v>{"gamma_gas":0.8,"gamma_oil":0.82,"gamma_wat":1.1,"rsb_m3m3":120,"muob_cP":0.3,"PVT_corr_set":0,"q_liq_sm3day":30,"fw_perc":80,"rp_m3m3":120}</v>
      </c>
      <c r="H31" cm="1">
        <f t="array" ref="H31">[1]!feed_rho_liq_kgm3(p,t,G31)</f>
        <v>1004.1021340211433</v>
      </c>
      <c r="I31" cm="1">
        <f t="array" ref="I31">[1]!PVT_rho_gas_kgm3(p,t,PVT_json)</f>
        <v>45.098586487859258</v>
      </c>
      <c r="J31" cm="1">
        <f t="array" ref="J31">[1]!feed_ST_liqgas_Nm(p,t,G31)</f>
        <v>5.610656365220397E-2</v>
      </c>
      <c r="K31" cm="1">
        <f t="array" ref="K31">[1]!feed_q_liq_rc_m3day(p,t,G31)</f>
        <v>31.552602889493375</v>
      </c>
      <c r="L31" cm="1">
        <f t="array" ref="L31">[1]!feed_q_gas_rc_m3day(p,t,G31)</f>
        <v>11.349940582847108</v>
      </c>
      <c r="M31" cm="1">
        <f t="array" ref="M31">[1]!feed_mu_liq_cP(p,t,G31)</f>
        <v>0.52844679576122078</v>
      </c>
      <c r="N31" cm="1">
        <f t="array" ref="N31">[1]!PVT_mu_gas_cP(p,t,G31)</f>
        <v>1.3331977052880127E-2</v>
      </c>
      <c r="O31" cm="1">
        <f t="array" ref="O31">[1]!unf_ksep_natural_simplified_Marquez(dintake_m,dcas_m,K31,L31,J31,H31,I31,1)</f>
        <v>0.70395798935768916</v>
      </c>
      <c r="P31" cm="1">
        <f t="array" ref="P31">[1]!unf_ksep_mechanistic_Marquez(dintake_m,dcas_m,K31,L31,J31,H31,I31,M31,N31,,1,1)</f>
        <v>0.75228085106383047</v>
      </c>
      <c r="Q31" cm="1">
        <f t="array" ref="Q31">[1]!unf_ksep_mechanistic_Marquez(dintake_m,dcas_m,K31,L31,J31,H31,I31,M31,N31,,1,0)</f>
        <v>1</v>
      </c>
      <c r="S31">
        <f t="shared" si="1"/>
        <v>0.11221312730440794</v>
      </c>
      <c r="T31" cm="1">
        <f t="array" ref="T31">[1]!unf_ksep_mechanistic_Marquez(dintake_m,dcas_m,K31,L31,S31,H31,I31,M31,N31,,1,1)</f>
        <v>0.70365319148936223</v>
      </c>
      <c r="U31" cm="1">
        <f t="array" ref="U31">[1]!unf_ksep_mechanistic_PKV(dintake_m,dcas_m,K31,L31,S31,H31,I31,M31,N31,,pkv_ratio)</f>
        <v>0.95774308510638329</v>
      </c>
    </row>
    <row r="32" spans="4:27" x14ac:dyDescent="0.25">
      <c r="F32">
        <v>50</v>
      </c>
      <c r="G32" t="str">
        <f>[1]!encode_feed(F32,$E$17,$E$18,$E$19,$E$15)</f>
        <v>{"gamma_gas":0.8,"gamma_oil":0.82,"gamma_wat":1.1,"rsb_m3m3":120,"muob_cP":0.3,"PVT_corr_set":0,"q_liq_sm3day":50,"fw_perc":80,"rp_m3m3":120}</v>
      </c>
      <c r="H32" cm="1">
        <f t="array" ref="H32">[1]!feed_rho_liq_kgm3(p,t,G32)</f>
        <v>1004.1021340211433</v>
      </c>
      <c r="I32" cm="1">
        <f t="array" ref="I32">[1]!PVT_rho_gas_kgm3(p,t,PVT_json)</f>
        <v>45.098586487859258</v>
      </c>
      <c r="J32" cm="1">
        <f t="array" ref="J32">[1]!feed_ST_liqgas_Nm(p,t,G32)</f>
        <v>5.610656365220397E-2</v>
      </c>
      <c r="K32" cm="1">
        <f t="array" ref="K32">[1]!feed_q_liq_rc_m3day(p,t,G32)</f>
        <v>52.587671482488958</v>
      </c>
      <c r="L32" cm="1">
        <f t="array" ref="L32">[1]!feed_q_gas_rc_m3day(p,t,G32)</f>
        <v>18.916567638078515</v>
      </c>
      <c r="M32" cm="1">
        <f t="array" ref="M32">[1]!feed_mu_liq_cP(p,t,G32)</f>
        <v>0.52844679576122078</v>
      </c>
      <c r="N32" cm="1">
        <f t="array" ref="N32">[1]!PVT_mu_gas_cP(p,t,G32)</f>
        <v>1.3331977052880127E-2</v>
      </c>
      <c r="O32" cm="1">
        <f t="array" ref="O32">[1]!unf_ksep_natural_simplified_Marquez(dintake_m,dcas_m,K32,L32,J32,H32,I32,1)</f>
        <v>0.58893414505384289</v>
      </c>
      <c r="P32" cm="1">
        <f t="array" ref="P32">[1]!unf_ksep_mechanistic_Marquez(dintake_m,dcas_m,K32,L32,J32,H32,I32,M32,N32,,1,1)</f>
        <v>0.63503829787234056</v>
      </c>
      <c r="Q32" cm="1">
        <f t="array" ref="Q32">[1]!unf_ksep_mechanistic_Marquez(dintake_m,dcas_m,K32,L32,J32,H32,I32,M32,N32,,1,0)</f>
        <v>1</v>
      </c>
      <c r="S32">
        <f t="shared" si="1"/>
        <v>0.11221312730440794</v>
      </c>
      <c r="T32" cm="1">
        <f t="array" ref="T32">[1]!unf_ksep_mechanistic_Marquez(dintake_m,dcas_m,K32,L32,S32,H32,I32,M32,N32,,1,1)</f>
        <v>0.58068776595744731</v>
      </c>
      <c r="U32" cm="1">
        <f t="array" ref="U32">[1]!unf_ksep_mechanistic_PKV(dintake_m,dcas_m,K32,L32,S32,H32,I32,M32,N32,,pkv_ratio)</f>
        <v>0.93415531914893746</v>
      </c>
    </row>
    <row r="33" spans="6:21" x14ac:dyDescent="0.25">
      <c r="F33">
        <v>70</v>
      </c>
      <c r="G33" t="str">
        <f>[1]!encode_feed(F33,$E$17,$E$18,$E$19,$E$15)</f>
        <v>{"gamma_gas":0.8,"gamma_oil":0.82,"gamma_wat":1.1,"rsb_m3m3":120,"muob_cP":0.3,"PVT_corr_set":0,"q_liq_sm3day":70,"fw_perc":80,"rp_m3m3":120}</v>
      </c>
      <c r="H33" cm="1">
        <f t="array" ref="H33">[1]!feed_rho_liq_kgm3(p,t,G33)</f>
        <v>1004.1021340211433</v>
      </c>
      <c r="I33" cm="1">
        <f t="array" ref="I33">[1]!PVT_rho_gas_kgm3(p,t,PVT_json)</f>
        <v>45.098586487859258</v>
      </c>
      <c r="J33" cm="1">
        <f t="array" ref="J33">[1]!feed_ST_liqgas_Nm(p,t,G33)</f>
        <v>5.610656365220397E-2</v>
      </c>
      <c r="K33" cm="1">
        <f t="array" ref="K33">[1]!feed_q_liq_rc_m3day(p,t,G33)</f>
        <v>73.622740075484543</v>
      </c>
      <c r="L33" cm="1">
        <f t="array" ref="L33">[1]!feed_q_gas_rc_m3day(p,t,G33)</f>
        <v>26.483194693309919</v>
      </c>
      <c r="M33" cm="1">
        <f t="array" ref="M33">[1]!feed_mu_liq_cP(p,t,G33)</f>
        <v>0.52844679576122078</v>
      </c>
      <c r="N33" cm="1">
        <f t="array" ref="N33">[1]!PVT_mu_gas_cP(p,t,G33)</f>
        <v>1.3331977052880127E-2</v>
      </c>
      <c r="O33" cm="1">
        <f t="array" ref="O33">[1]!unf_ksep_natural_simplified_Marquez(dintake_m,dcas_m,K33,L33,J33,H33,I33,1)</f>
        <v>0.50459415432479338</v>
      </c>
      <c r="P33" cm="1">
        <f t="array" ref="P33">[1]!unf_ksep_mechanistic_Marquez(dintake_m,dcas_m,K33,L33,J33,H33,I33,M33,N33,,1,1)</f>
        <v>0.54590000000000094</v>
      </c>
      <c r="Q33" cm="1">
        <f t="array" ref="Q33">[1]!unf_ksep_mechanistic_Marquez(dintake_m,dcas_m,K33,L33,J33,H33,I33,M33,N33,,1,0)</f>
        <v>1</v>
      </c>
      <c r="S33">
        <f t="shared" si="1"/>
        <v>0.11221312730440794</v>
      </c>
      <c r="T33" cm="1">
        <f t="array" ref="T33">[1]!unf_ksep_mechanistic_Marquez(dintake_m,dcas_m,K33,L33,S33,H33,I33,M33,N33,,1,1)</f>
        <v>0.49593191489361754</v>
      </c>
      <c r="U33" cm="1">
        <f t="array" ref="U33">[1]!unf_ksep_mechanistic_PKV(dintake_m,dcas_m,K33,L33,S33,H33,I33,M33,N33,,pkv_ratio)</f>
        <v>0.91048776595744796</v>
      </c>
    </row>
    <row r="34" spans="6:21" x14ac:dyDescent="0.25">
      <c r="F34">
        <v>90</v>
      </c>
      <c r="G34" t="str">
        <f>[1]!encode_feed(F34,$E$17,$E$18,$E$19,$E$15)</f>
        <v>{"gamma_gas":0.8,"gamma_oil":0.82,"gamma_wat":1.1,"rsb_m3m3":120,"muob_cP":0.3,"PVT_corr_set":0,"q_liq_sm3day":90,"fw_perc":80,"rp_m3m3":120}</v>
      </c>
      <c r="H34" cm="1">
        <f t="array" ref="H34">[1]!feed_rho_liq_kgm3(p,t,G34)</f>
        <v>1004.1021340211433</v>
      </c>
      <c r="I34" cm="1">
        <f t="array" ref="I34">[1]!PVT_rho_gas_kgm3(p,t,PVT_json)</f>
        <v>45.098586487859258</v>
      </c>
      <c r="J34" cm="1">
        <f t="array" ref="J34">[1]!feed_ST_liqgas_Nm(p,t,G34)</f>
        <v>5.610656365220397E-2</v>
      </c>
      <c r="K34" cm="1">
        <f t="array" ref="K34">[1]!feed_q_liq_rc_m3day(p,t,G34)</f>
        <v>94.657808668480129</v>
      </c>
      <c r="L34" cm="1">
        <f t="array" ref="L34">[1]!feed_q_gas_rc_m3day(p,t,G34)</f>
        <v>34.049821748541326</v>
      </c>
      <c r="M34" cm="1">
        <f t="array" ref="M34">[1]!feed_mu_liq_cP(p,t,G34)</f>
        <v>0.52844679576122078</v>
      </c>
      <c r="N34" cm="1">
        <f t="array" ref="N34">[1]!PVT_mu_gas_cP(p,t,G34)</f>
        <v>1.3331977052880127E-2</v>
      </c>
      <c r="O34" cm="1">
        <f t="array" ref="O34">[1]!unf_ksep_natural_simplified_Marquez(dintake_m,dcas_m,K34,L34,J34,H34,I34,1)</f>
        <v>0.44193561611163035</v>
      </c>
      <c r="P34" cm="1">
        <f t="array" ref="P34">[1]!unf_ksep_mechanistic_Marquez(dintake_m,dcas_m,K34,L34,J34,H34,I34,M34,N34,,1,1)</f>
        <v>0.47585531914893636</v>
      </c>
      <c r="Q34" cm="1">
        <f t="array" ref="Q34">[1]!unf_ksep_mechanistic_Marquez(dintake_m,dcas_m,K34,L34,J34,H34,I34,M34,N34,,1,0)</f>
        <v>1</v>
      </c>
      <c r="S34">
        <f t="shared" si="1"/>
        <v>0.11221312730440794</v>
      </c>
      <c r="T34" cm="1">
        <f t="array" ref="T34">[1]!unf_ksep_mechanistic_Marquez(dintake_m,dcas_m,K34,L34,S34,H34,I34,M34,N34,,1,1)</f>
        <v>0.43049627659574513</v>
      </c>
      <c r="U34" cm="1">
        <f t="array" ref="U34">[1]!unf_ksep_mechanistic_PKV(dintake_m,dcas_m,K34,L34,S34,H34,I34,M34,N34,,pkv_ratio)</f>
        <v>0.88674042553191579</v>
      </c>
    </row>
    <row r="35" spans="6:21" x14ac:dyDescent="0.25">
      <c r="F35">
        <v>110</v>
      </c>
      <c r="G35" t="str">
        <f>[1]!encode_feed(F35,$E$17,$E$18,$E$19,$E$15)</f>
        <v>{"gamma_gas":0.8,"gamma_oil":0.82,"gamma_wat":1.1,"rsb_m3m3":120,"muob_cP":0.3,"PVT_corr_set":0,"q_liq_sm3day":110,"fw_perc":80,"rp_m3m3":120}</v>
      </c>
      <c r="H35" cm="1">
        <f t="array" ref="H35">[1]!feed_rho_liq_kgm3(p,t,G35)</f>
        <v>1004.1021340211433</v>
      </c>
      <c r="I35" cm="1">
        <f t="array" ref="I35">[1]!PVT_rho_gas_kgm3(p,t,PVT_json)</f>
        <v>45.098586487859258</v>
      </c>
      <c r="J35" cm="1">
        <f t="array" ref="J35">[1]!feed_ST_liqgas_Nm(p,t,G35)</f>
        <v>5.610656365220397E-2</v>
      </c>
      <c r="K35" cm="1">
        <f t="array" ref="K35">[1]!feed_q_liq_rc_m3day(p,t,G35)</f>
        <v>115.6928772614757</v>
      </c>
      <c r="L35" cm="1">
        <f t="array" ref="L35">[1]!feed_q_gas_rc_m3day(p,t,G35)</f>
        <v>41.616448803772734</v>
      </c>
      <c r="M35" cm="1">
        <f t="array" ref="M35">[1]!feed_mu_liq_cP(p,t,G35)</f>
        <v>0.52844679576122078</v>
      </c>
      <c r="N35" cm="1">
        <f t="array" ref="N35">[1]!PVT_mu_gas_cP(p,t,G35)</f>
        <v>1.3331977052880127E-2</v>
      </c>
      <c r="O35" cm="1">
        <f t="array" ref="O35">[1]!unf_ksep_natural_simplified_Marquez(dintake_m,dcas_m,K35,L35,J35,H35,I35,1)</f>
        <v>0.39533047515466668</v>
      </c>
      <c r="P35" cm="1">
        <f t="array" ref="P35">[1]!unf_ksep_mechanistic_Marquez(dintake_m,dcas_m,K35,L35,J35,H35,I35,M35,N35,,1,1)</f>
        <v>0.41531914893617067</v>
      </c>
      <c r="Q35" cm="1">
        <f t="array" ref="Q35">[1]!unf_ksep_mechanistic_Marquez(dintake_m,dcas_m,K35,L35,J35,H35,I35,M35,N35,,1,0)</f>
        <v>1</v>
      </c>
      <c r="S35">
        <f t="shared" si="1"/>
        <v>0.11221312730440794</v>
      </c>
      <c r="T35" cm="1">
        <f t="array" ref="T35">[1]!unf_ksep_mechanistic_Marquez(dintake_m,dcas_m,K35,L35,S35,H35,I35,M35,N35,,1,1)</f>
        <v>0.37979414893617086</v>
      </c>
      <c r="U35" cm="1">
        <f t="array" ref="U35">[1]!unf_ksep_mechanistic_PKV(dintake_m,dcas_m,K35,L35,S35,H35,I35,M35,N35,,pkv_ratio)</f>
        <v>0</v>
      </c>
    </row>
    <row r="36" spans="6:21" x14ac:dyDescent="0.25">
      <c r="F36">
        <v>130</v>
      </c>
      <c r="G36" t="str">
        <f>[1]!encode_feed(F36,$E$17,$E$18,$E$19,$E$15)</f>
        <v>{"gamma_gas":0.8,"gamma_oil":0.82,"gamma_wat":1.1,"rsb_m3m3":120,"muob_cP":0.3,"PVT_corr_set":0,"q_liq_sm3day":130,"fw_perc":80,"rp_m3m3":120}</v>
      </c>
      <c r="H36" cm="1">
        <f t="array" ref="H36">[1]!feed_rho_liq_kgm3(p,t,G36)</f>
        <v>1004.1021340211433</v>
      </c>
      <c r="I36" cm="1">
        <f t="array" ref="I36">[1]!PVT_rho_gas_kgm3(p,t,PVT_json)</f>
        <v>45.098586487859258</v>
      </c>
      <c r="J36" cm="1">
        <f t="array" ref="J36">[1]!feed_ST_liqgas_Nm(p,t,G36)</f>
        <v>5.610656365220397E-2</v>
      </c>
      <c r="K36" cm="1">
        <f t="array" ref="K36">[1]!feed_q_liq_rc_m3day(p,t,G36)</f>
        <v>136.7279458544713</v>
      </c>
      <c r="L36" cm="1">
        <f t="array" ref="L36">[1]!feed_q_gas_rc_m3day(p,t,G36)</f>
        <v>49.183075859004134</v>
      </c>
      <c r="M36" cm="1">
        <f t="array" ref="M36">[1]!feed_mu_liq_cP(p,t,G36)</f>
        <v>0.52844679576122078</v>
      </c>
      <c r="N36" cm="1">
        <f t="array" ref="N36">[1]!PVT_mu_gas_cP(p,t,G36)</f>
        <v>1.3331977052880127E-2</v>
      </c>
      <c r="O36" cm="1">
        <f t="array" ref="O36">[1]!unf_ksep_natural_simplified_Marquez(dintake_m,dcas_m,K36,L36,J36,H36,I36,1)</f>
        <v>0.34580597950990954</v>
      </c>
      <c r="P36" cm="1">
        <f t="array" ref="P36">[1]!unf_ksep_mechanistic_Marquez(dintake_m,dcas_m,K36,L36,J36,H36,I36,M36,N36,,1,1)</f>
        <v>0.36961542553191545</v>
      </c>
      <c r="Q36" cm="1">
        <f t="array" ref="Q36">[1]!unf_ksep_mechanistic_Marquez(dintake_m,dcas_m,K36,L36,J36,H36,I36,M36,N36,,1,0)</f>
        <v>0.85500000000000076</v>
      </c>
      <c r="S36">
        <f t="shared" si="1"/>
        <v>0.11221312730440794</v>
      </c>
      <c r="T36" cm="1">
        <f t="array" ref="T36">[1]!unf_ksep_mechanistic_Marquez(dintake_m,dcas_m,K36,L36,S36,H36,I36,M36,N36,,1,1)</f>
        <v>0.3390026595744684</v>
      </c>
      <c r="U36" cm="1">
        <f t="array" ref="U36">[1]!unf_ksep_mechanistic_PKV(dintake_m,dcas_m,K36,L36,S36,H36,I36,M36,N36,,pkv_ratio)</f>
        <v>0</v>
      </c>
    </row>
    <row r="37" spans="6:21" x14ac:dyDescent="0.25">
      <c r="F37">
        <v>150</v>
      </c>
      <c r="G37" t="str">
        <f>[1]!encode_feed(F37,$E$17,$E$18,$E$19,$E$15)</f>
        <v>{"gamma_gas":0.8,"gamma_oil":0.82,"gamma_wat":1.1,"rsb_m3m3":120,"muob_cP":0.3,"PVT_corr_set":0,"q_liq_sm3day":150,"fw_perc":80,"rp_m3m3":120}</v>
      </c>
      <c r="H37" cm="1">
        <f t="array" ref="H37">[1]!feed_rho_liq_kgm3(p,t,G37)</f>
        <v>1004.1021340211433</v>
      </c>
      <c r="I37" cm="1">
        <f t="array" ref="I37">[1]!PVT_rho_gas_kgm3(p,t,PVT_json)</f>
        <v>45.098586487859258</v>
      </c>
      <c r="J37" cm="1">
        <f t="array" ref="J37">[1]!feed_ST_liqgas_Nm(p,t,G37)</f>
        <v>5.610656365220397E-2</v>
      </c>
      <c r="K37" cm="1">
        <f t="array" ref="K37">[1]!feed_q_liq_rc_m3day(p,t,G37)</f>
        <v>157.76301444746687</v>
      </c>
      <c r="L37" cm="1">
        <f t="array" ref="L37">[1]!feed_q_gas_rc_m3day(p,t,G37)</f>
        <v>56.749702914235542</v>
      </c>
      <c r="M37" cm="1">
        <f t="array" ref="M37">[1]!feed_mu_liq_cP(p,t,G37)</f>
        <v>0.52844679576122078</v>
      </c>
      <c r="N37" cm="1">
        <f t="array" ref="N37">[1]!PVT_mu_gas_cP(p,t,G37)</f>
        <v>1.3331977052880127E-2</v>
      </c>
      <c r="O37" cm="1">
        <f t="array" ref="O37">[1]!unf_ksep_natural_simplified_Marquez(dintake_m,dcas_m,K37,L37,J37,H37,I37,1)</f>
        <v>0.32288715962964121</v>
      </c>
      <c r="P37" cm="1">
        <f t="array" ref="P37">[1]!unf_ksep_mechanistic_Marquez(dintake_m,dcas_m,K37,L37,J37,H37,I37,M37,N37,,1,1)</f>
        <v>0.32877287234042607</v>
      </c>
      <c r="Q37" cm="1">
        <f t="array" ref="Q37">[1]!unf_ksep_mechanistic_Marquez(dintake_m,dcas_m,K37,L37,J37,H37,I37,M37,N37,,1,0)</f>
        <v>0.76000000000000068</v>
      </c>
      <c r="S37">
        <f t="shared" si="1"/>
        <v>0.11221312730440794</v>
      </c>
      <c r="T37" cm="1">
        <f t="array" ref="T37">[1]!unf_ksep_mechanistic_Marquez(dintake_m,dcas_m,K37,L37,S37,H37,I37,M37,N37,,1,1)</f>
        <v>0.30827499999999997</v>
      </c>
      <c r="U37" cm="1">
        <f t="array" ref="U37">[1]!unf_ksep_mechanistic_PKV(dintake_m,dcas_m,K37,L37,S37,H37,I37,M37,N37,,pkv_ratio)</f>
        <v>0</v>
      </c>
    </row>
    <row r="38" spans="6:21" x14ac:dyDescent="0.25">
      <c r="F38">
        <v>170</v>
      </c>
      <c r="G38" t="str">
        <f>[1]!encode_feed(F38,$E$17,$E$18,$E$19,$E$15)</f>
        <v>{"gamma_gas":0.8,"gamma_oil":0.82,"gamma_wat":1.1,"rsb_m3m3":120,"muob_cP":0.3,"PVT_corr_set":0,"q_liq_sm3day":170,"fw_perc":80,"rp_m3m3":120}</v>
      </c>
      <c r="H38" cm="1">
        <f t="array" ref="H38">[1]!feed_rho_liq_kgm3(p,t,G38)</f>
        <v>1004.1021340211433</v>
      </c>
      <c r="I38" cm="1">
        <f t="array" ref="I38">[1]!PVT_rho_gas_kgm3(p,t,PVT_json)</f>
        <v>45.098586487859258</v>
      </c>
      <c r="J38" cm="1">
        <f t="array" ref="J38">[1]!feed_ST_liqgas_Nm(p,t,G38)</f>
        <v>5.610656365220397E-2</v>
      </c>
      <c r="K38" cm="1">
        <f t="array" ref="K38">[1]!feed_q_liq_rc_m3day(p,t,G38)</f>
        <v>178.79808304046247</v>
      </c>
      <c r="L38" cm="1">
        <f t="array" ref="L38">[1]!feed_q_gas_rc_m3day(p,t,G38)</f>
        <v>64.316329969466949</v>
      </c>
      <c r="M38" cm="1">
        <f t="array" ref="M38">[1]!feed_mu_liq_cP(p,t,G38)</f>
        <v>0.52844679576122078</v>
      </c>
      <c r="N38" cm="1">
        <f t="array" ref="N38">[1]!PVT_mu_gas_cP(p,t,G38)</f>
        <v>1.3331977052880127E-2</v>
      </c>
      <c r="O38" cm="1">
        <f t="array" ref="O38">[1]!unf_ksep_natural_simplified_Marquez(dintake_m,dcas_m,K38,L38,J38,H38,I38,1)</f>
        <v>0.30649174796133227</v>
      </c>
      <c r="P38" cm="1">
        <f t="array" ref="P38">[1]!unf_ksep_mechanistic_Marquez(dintake_m,dcas_m,K38,L38,J38,H38,I38,M38,N38,,1,1)</f>
        <v>0.29800691489361719</v>
      </c>
      <c r="Q38" cm="1">
        <f t="array" ref="Q38">[1]!unf_ksep_mechanistic_Marquez(dintake_m,dcas_m,K38,L38,J38,H38,I38,M38,N38,,1,0)</f>
        <v>0.68500000000000061</v>
      </c>
      <c r="S38">
        <f t="shared" si="1"/>
        <v>0.11221312730440794</v>
      </c>
      <c r="T38" cm="1">
        <f t="array" ref="T38">[1]!unf_ksep_mechanistic_Marquez(dintake_m,dcas_m,K38,L38,S38,H38,I38,M38,N38,,1,1)</f>
        <v>0.2774324468085112</v>
      </c>
      <c r="U38" cm="1">
        <f t="array" ref="U38">[1]!unf_ksep_mechanistic_PKV(dintake_m,dcas_m,K38,L38,S38,H38,I38,M38,N38,,pkv_ratio)</f>
        <v>0</v>
      </c>
    </row>
    <row r="39" spans="6:21" x14ac:dyDescent="0.25">
      <c r="F39">
        <v>190</v>
      </c>
      <c r="G39" t="str">
        <f>[1]!encode_feed(F39,$E$17,$E$18,$E$19,$E$15)</f>
        <v>{"gamma_gas":0.8,"gamma_oil":0.82,"gamma_wat":1.1,"rsb_m3m3":120,"muob_cP":0.3,"PVT_corr_set":0,"q_liq_sm3day":190,"fw_perc":80,"rp_m3m3":120}</v>
      </c>
      <c r="H39" cm="1">
        <f t="array" ref="H39">[1]!feed_rho_liq_kgm3(p,t,G39)</f>
        <v>1004.1021340211433</v>
      </c>
      <c r="I39" cm="1">
        <f t="array" ref="I39">[1]!PVT_rho_gas_kgm3(p,t,PVT_json)</f>
        <v>45.098586487859258</v>
      </c>
      <c r="J39" cm="1">
        <f t="array" ref="J39">[1]!feed_ST_liqgas_Nm(p,t,G39)</f>
        <v>5.610656365220397E-2</v>
      </c>
      <c r="K39" cm="1">
        <f t="array" ref="K39">[1]!feed_q_liq_rc_m3day(p,t,G39)</f>
        <v>199.83315163345804</v>
      </c>
      <c r="L39" cm="1">
        <f t="array" ref="L39">[1]!feed_q_gas_rc_m3day(p,t,G39)</f>
        <v>71.882957024698356</v>
      </c>
      <c r="M39" cm="1">
        <f t="array" ref="M39">[1]!feed_mu_liq_cP(p,t,G39)</f>
        <v>0.52844679576122078</v>
      </c>
      <c r="N39" cm="1">
        <f t="array" ref="N39">[1]!PVT_mu_gas_cP(p,t,G39)</f>
        <v>1.3331977052880127E-2</v>
      </c>
      <c r="O39" cm="1">
        <f t="array" ref="O39">[1]!unf_ksep_natural_simplified_Marquez(dintake_m,dcas_m,K39,L39,J39,H39,I39,1)</f>
        <v>0.2945141633904349</v>
      </c>
      <c r="P39" cm="1">
        <f t="array" ref="P39">[1]!unf_ksep_mechanistic_Marquez(dintake_m,dcas_m,K39,L39,J39,H39,I39,M39,N39,,1,1)</f>
        <v>0.27228085106382982</v>
      </c>
      <c r="Q39" cm="1">
        <f t="array" ref="Q39">[1]!unf_ksep_mechanistic_Marquez(dintake_m,dcas_m,K39,L39,J39,H39,I39,M39,N39,,1,0)</f>
        <v>0.63000000000000056</v>
      </c>
      <c r="S39">
        <f t="shared" si="1"/>
        <v>0.11221312730440794</v>
      </c>
      <c r="T39" cm="1">
        <f t="array" ref="T39">[1]!unf_ksep_mechanistic_Marquez(dintake_m,dcas_m,K39,L39,S39,H39,I39,M39,N39,,1,1)</f>
        <v>0.25164255319148993</v>
      </c>
      <c r="U39" cm="1">
        <f t="array" ref="U39">[1]!unf_ksep_mechanistic_PKV(dintake_m,dcas_m,K39,L39,S39,H39,I39,M39,N39,,pkv_ratio)</f>
        <v>0</v>
      </c>
    </row>
    <row r="40" spans="6:21" x14ac:dyDescent="0.25">
      <c r="F40">
        <v>210</v>
      </c>
      <c r="G40" t="str">
        <f>[1]!encode_feed(F40,$E$17,$E$18,$E$19,$E$15)</f>
        <v>{"gamma_gas":0.8,"gamma_oil":0.82,"gamma_wat":1.1,"rsb_m3m3":120,"muob_cP":0.3,"PVT_corr_set":0,"q_liq_sm3day":210,"fw_perc":80,"rp_m3m3":120}</v>
      </c>
      <c r="H40" cm="1">
        <f t="array" ref="H40">[1]!feed_rho_liq_kgm3(p,t,G40)</f>
        <v>1004.1021340211433</v>
      </c>
      <c r="I40" cm="1">
        <f t="array" ref="I40">[1]!PVT_rho_gas_kgm3(p,t,PVT_json)</f>
        <v>45.098586487859258</v>
      </c>
      <c r="J40" cm="1">
        <f t="array" ref="J40">[1]!feed_ST_liqgas_Nm(p,t,G40)</f>
        <v>5.610656365220397E-2</v>
      </c>
      <c r="K40" cm="1">
        <f t="array" ref="K40">[1]!feed_q_liq_rc_m3day(p,t,G40)</f>
        <v>220.86822022645364</v>
      </c>
      <c r="L40" cm="1">
        <f t="array" ref="L40">[1]!feed_q_gas_rc_m3day(p,t,G40)</f>
        <v>79.449584079929764</v>
      </c>
      <c r="M40" cm="1">
        <f t="array" ref="M40">[1]!feed_mu_liq_cP(p,t,G40)</f>
        <v>0.52844679576122078</v>
      </c>
      <c r="N40" cm="1">
        <f t="array" ref="N40">[1]!PVT_mu_gas_cP(p,t,G40)</f>
        <v>1.3331977052880127E-2</v>
      </c>
      <c r="O40" cm="1">
        <f t="array" ref="O40">[1]!unf_ksep_natural_simplified_Marquez(dintake_m,dcas_m,K40,L40,J40,H40,I40,1)</f>
        <v>0.28523233972048878</v>
      </c>
      <c r="P40" cm="1">
        <f t="array" ref="P40">[1]!unf_ksep_mechanistic_Marquez(dintake_m,dcas_m,K40,L40,J40,H40,I40,M40,N40,,1,1)</f>
        <v>0.24647500000000011</v>
      </c>
      <c r="Q40" cm="1">
        <f t="array" ref="Q40">[1]!unf_ksep_mechanistic_Marquez(dintake_m,dcas_m,K40,L40,J40,H40,I40,M40,N40,,1,0)</f>
        <v>0.58000000000000052</v>
      </c>
      <c r="S40">
        <f t="shared" si="1"/>
        <v>0.11221312730440794</v>
      </c>
      <c r="T40" cm="1">
        <f t="array" ref="T40">[1]!unf_ksep_mechanistic_Marquez(dintake_m,dcas_m,K40,L40,S40,H40,I40,M40,N40,,1,1)</f>
        <v>0.23095319148936164</v>
      </c>
      <c r="U40" cm="1">
        <f t="array" ref="U40">[1]!unf_ksep_mechanistic_PKV(dintake_m,dcas_m,K40,L40,S40,H40,I40,M40,N40,,pkv_ratio)</f>
        <v>0</v>
      </c>
    </row>
    <row r="58" spans="7:8" x14ac:dyDescent="0.25">
      <c r="G58" cm="1">
        <f t="array" ref="G58">[1]!well_ksep_natural_d(feed_json,p,t,dintake,dcas,3,0.5)</f>
        <v>0.86291329787234117</v>
      </c>
      <c r="H58" t="s">
        <v>52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925F7-D95B-4179-B2AF-35DF9153A5EA}">
  <sheetPr codeName="Лист2"/>
  <dimension ref="D7:N33"/>
  <sheetViews>
    <sheetView topLeftCell="A4" workbookViewId="0">
      <selection activeCell="B59" sqref="B59"/>
    </sheetView>
  </sheetViews>
  <sheetFormatPr defaultRowHeight="15" x14ac:dyDescent="0.25"/>
  <sheetData>
    <row r="7" spans="4:14" x14ac:dyDescent="0.25">
      <c r="D7" t="s">
        <v>41</v>
      </c>
    </row>
    <row r="15" spans="4:14" x14ac:dyDescent="0.25">
      <c r="G15" t="s">
        <v>42</v>
      </c>
      <c r="H15">
        <v>0.6</v>
      </c>
      <c r="J15" t="s">
        <v>43</v>
      </c>
      <c r="K15" t="s">
        <v>44</v>
      </c>
      <c r="M15" t="s">
        <v>45</v>
      </c>
      <c r="N15" t="s">
        <v>46</v>
      </c>
    </row>
    <row r="16" spans="4:14" x14ac:dyDescent="0.25">
      <c r="G16" t="s">
        <v>47</v>
      </c>
      <c r="H16">
        <v>1</v>
      </c>
      <c r="J16">
        <v>0.1</v>
      </c>
      <c r="K16">
        <f>3/71.617/(1-EXP(-2.368*J16))*J16/(J16+v_ooz)</f>
        <v>2.8381257574715147E-2</v>
      </c>
      <c r="M16">
        <f>0.036*(2.364^J16)*J16^0.72</f>
        <v>7.4759648020391789E-3</v>
      </c>
      <c r="N16">
        <f>-0.1653*(-0.0492-EXP(-1.0476*v_sl))</f>
        <v>6.6116463958020164E-2</v>
      </c>
    </row>
    <row r="17" spans="10:14" x14ac:dyDescent="0.25">
      <c r="J17">
        <v>0.2</v>
      </c>
      <c r="K17">
        <f>3/71.617/(1-EXP(-2.368*J17))*J17/(J17+v_ooz)</f>
        <v>2.7760235688950644E-2</v>
      </c>
      <c r="M17">
        <f t="shared" ref="M17:M33" si="0">0.036*(2.364^J17)*J17^0.72</f>
        <v>1.3420651286642495E-2</v>
      </c>
      <c r="N17">
        <f>-0.1653*(-0.0492-EXP(-1.0476*v_sl))</f>
        <v>6.6116463958020164E-2</v>
      </c>
    </row>
    <row r="18" spans="10:14" x14ac:dyDescent="0.25">
      <c r="J18">
        <v>0.3</v>
      </c>
      <c r="K18">
        <f>3/71.617/(1-EXP(-2.368*J18))*J18/(J18+v_ooz)</f>
        <v>2.7456688035811378E-2</v>
      </c>
      <c r="M18">
        <f t="shared" si="0"/>
        <v>1.9585021192681386E-2</v>
      </c>
      <c r="N18">
        <f>-0.1653*(-0.0492-EXP(-1.0476*v_sl))</f>
        <v>6.6116463958020164E-2</v>
      </c>
    </row>
    <row r="19" spans="10:14" x14ac:dyDescent="0.25">
      <c r="J19">
        <v>0.4</v>
      </c>
      <c r="K19">
        <f>3/71.617/(1-EXP(-2.368*J19))*J19/(J19+v_ooz)</f>
        <v>2.7370947170510886E-2</v>
      </c>
      <c r="M19">
        <f t="shared" si="0"/>
        <v>2.6256974561421891E-2</v>
      </c>
      <c r="N19">
        <f>-0.1653*(-0.0492-EXP(-1.0476*v_sl))</f>
        <v>6.6116463958020164E-2</v>
      </c>
    </row>
    <row r="20" spans="10:14" x14ac:dyDescent="0.25">
      <c r="J20">
        <v>0.5</v>
      </c>
      <c r="K20">
        <f>3/71.617/(1-EXP(-2.368*J20))*J20/(J20+v_ooz)</f>
        <v>2.7438197003752759E-2</v>
      </c>
      <c r="M20">
        <f t="shared" si="0"/>
        <v>3.360350974548755E-2</v>
      </c>
      <c r="N20">
        <f>-0.1653*(-0.0492-EXP(-1.0476*v_sl))</f>
        <v>6.6116463958020164E-2</v>
      </c>
    </row>
    <row r="21" spans="10:14" x14ac:dyDescent="0.25">
      <c r="J21">
        <v>0.6</v>
      </c>
      <c r="K21">
        <f>3/71.617/(1-EXP(-2.368*J21))*J21/(J21+v_ooz)</f>
        <v>2.7614133162052763E-2</v>
      </c>
      <c r="M21">
        <f t="shared" si="0"/>
        <v>4.1759941765575459E-2</v>
      </c>
      <c r="N21">
        <f>-0.1653*(-0.0492-EXP(-1.0476*v_sl))</f>
        <v>6.6116463958020164E-2</v>
      </c>
    </row>
    <row r="22" spans="10:14" x14ac:dyDescent="0.25">
      <c r="J22">
        <v>0.7</v>
      </c>
      <c r="K22">
        <f>3/71.617/(1-EXP(-2.368*J22))*J22/(J22+v_ooz)</f>
        <v>2.7867268192262568E-2</v>
      </c>
      <c r="M22">
        <f t="shared" si="0"/>
        <v>5.0854140681000151E-2</v>
      </c>
      <c r="N22">
        <f>-0.1653*(-0.0492-EXP(-1.0476*v_sl))</f>
        <v>6.6116463958020164E-2</v>
      </c>
    </row>
    <row r="23" spans="10:14" x14ac:dyDescent="0.25">
      <c r="J23">
        <v>0.8</v>
      </c>
      <c r="K23">
        <f>3/71.617/(1-EXP(-2.368*J23))*J23/(J23+v_ooz)</f>
        <v>2.817454750192111E-2</v>
      </c>
      <c r="M23">
        <f t="shared" si="0"/>
        <v>6.1016215770226437E-2</v>
      </c>
      <c r="N23">
        <f>-0.1653*(-0.0492-EXP(-1.0476*v_sl))</f>
        <v>6.6116463958020164E-2</v>
      </c>
    </row>
    <row r="24" spans="10:14" x14ac:dyDescent="0.25">
      <c r="J24">
        <v>0.9</v>
      </c>
      <c r="K24">
        <f>3/71.617/(1-EXP(-2.368*J24))*J24/(J24+v_ooz)</f>
        <v>2.851872039668045E-2</v>
      </c>
      <c r="M24">
        <f t="shared" si="0"/>
        <v>7.2383542265174766E-2</v>
      </c>
      <c r="N24">
        <f>-0.1653*(-0.0492-EXP(-1.0476*v_sl))</f>
        <v>6.6116463958020164E-2</v>
      </c>
    </row>
    <row r="25" spans="10:14" x14ac:dyDescent="0.25">
      <c r="J25">
        <v>1</v>
      </c>
      <c r="K25">
        <f>3/71.617/(1-EXP(-2.368*J25))*J25/(J25+v_ooz)</f>
        <v>2.888668951129102E-2</v>
      </c>
      <c r="M25">
        <f t="shared" si="0"/>
        <v>8.5103999999999985E-2</v>
      </c>
      <c r="N25">
        <f>-0.1653*(-0.0492-EXP(-1.0476*v_sl))</f>
        <v>6.6116463958020164E-2</v>
      </c>
    </row>
    <row r="26" spans="10:14" x14ac:dyDescent="0.25">
      <c r="J26">
        <v>1.1000000000000001</v>
      </c>
      <c r="K26">
        <f>3/71.617/(1-EXP(-2.368*J26))*J26/(J26+v_ooz)</f>
        <v>2.9268429060943225E-2</v>
      </c>
      <c r="M26">
        <f t="shared" si="0"/>
        <v>9.9338466970550113E-2</v>
      </c>
      <c r="N26">
        <f>-0.1653*(-0.0492-EXP(-1.0476*v_sl))</f>
        <v>6.6116463958020164E-2</v>
      </c>
    </row>
    <row r="27" spans="10:14" x14ac:dyDescent="0.25">
      <c r="J27">
        <v>1.2</v>
      </c>
      <c r="K27">
        <f>3/71.617/(1-EXP(-2.368*J27))*J27/(J27+v_ooz)</f>
        <v>2.9656246193590762E-2</v>
      </c>
      <c r="M27">
        <f t="shared" si="0"/>
        <v>0.11526301210494685</v>
      </c>
      <c r="N27">
        <f>-0.1653*(-0.0492-EXP(-1.0476*v_sl))</f>
        <v>6.6116463958020164E-2</v>
      </c>
    </row>
    <row r="28" spans="10:14" x14ac:dyDescent="0.25">
      <c r="J28">
        <v>1.3</v>
      </c>
      <c r="K28">
        <f>3/71.617/(1-EXP(-2.368*J28))*J28/(J28+v_ooz)</f>
        <v>3.0044256534575691E-2</v>
      </c>
      <c r="M28">
        <f t="shared" si="0"/>
        <v>0.13307100238336594</v>
      </c>
      <c r="N28">
        <f>-0.1653*(-0.0492-EXP(-1.0476*v_sl))</f>
        <v>6.6116463958020164E-2</v>
      </c>
    </row>
    <row r="29" spans="10:14" x14ac:dyDescent="0.25">
      <c r="J29">
        <v>1.4</v>
      </c>
      <c r="K29">
        <f>3/71.617/(1-EXP(-2.368*J29))*J29/(J29+v_ooz)</f>
        <v>3.0427998127295599E-2</v>
      </c>
      <c r="M29">
        <f t="shared" si="0"/>
        <v>0.15297524152265399</v>
      </c>
      <c r="N29">
        <f>-0.1653*(-0.0492-EXP(-1.0476*v_sl))</f>
        <v>6.6116463958020164E-2</v>
      </c>
    </row>
    <row r="30" spans="10:14" x14ac:dyDescent="0.25">
      <c r="J30">
        <v>1.5</v>
      </c>
      <c r="K30">
        <f>3/71.617/(1-EXP(-2.368*J30))*J30/(J30+v_ooz)</f>
        <v>3.0804138081237102E-2</v>
      </c>
      <c r="M30">
        <f t="shared" si="0"/>
        <v>0.17521021219884644</v>
      </c>
      <c r="N30">
        <f>-0.1653*(-0.0492-EXP(-1.0476*v_sl))</f>
        <v>6.6116463958020164E-2</v>
      </c>
    </row>
    <row r="31" spans="10:14" x14ac:dyDescent="0.25">
      <c r="J31">
        <v>1.6</v>
      </c>
      <c r="K31">
        <f>3/71.617/(1-EXP(-2.368*J31))*J31/(J31+v_ooz)</f>
        <v>3.1170243741235403E-2</v>
      </c>
      <c r="M31">
        <f t="shared" si="0"/>
        <v>0.20003447181745732</v>
      </c>
      <c r="N31">
        <f>-0.1653*(-0.0492-EXP(-1.0476*v_sl))</f>
        <v>6.6116463958020164E-2</v>
      </c>
    </row>
    <row r="32" spans="10:14" x14ac:dyDescent="0.25">
      <c r="J32">
        <v>1.7</v>
      </c>
      <c r="K32">
        <f>3/71.617/(1-EXP(-2.368*J32))*J32/(J32+v_ooz)</f>
        <v>3.1524600559773928E-2</v>
      </c>
      <c r="M32">
        <f t="shared" si="0"/>
        <v>0.22773324101917902</v>
      </c>
      <c r="N32">
        <f>-0.1653*(-0.0492-EXP(-1.0476*v_sl))</f>
        <v>6.6116463958020164E-2</v>
      </c>
    </row>
    <row r="33" spans="10:14" x14ac:dyDescent="0.25">
      <c r="J33">
        <v>2</v>
      </c>
      <c r="K33">
        <f>3/71.617/(1-EXP(-2.368*J33))*J33/(J33+v_ooz)</f>
        <v>3.2507902488438427E-2</v>
      </c>
      <c r="M33">
        <f t="shared" si="0"/>
        <v>0.3313897276057749</v>
      </c>
      <c r="N33">
        <f>-0.1653*(-0.0492-EXP(-1.0476*v_sl))</f>
        <v>6.6116463958020164E-2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81734-0252-4274-8ADC-299301E7D640}">
  <sheetPr codeName="Лист3"/>
  <dimension ref="E8:F28"/>
  <sheetViews>
    <sheetView workbookViewId="0">
      <selection activeCell="F27" sqref="F27"/>
    </sheetView>
  </sheetViews>
  <sheetFormatPr defaultRowHeight="15" x14ac:dyDescent="0.25"/>
  <sheetData>
    <row r="8" spans="5:6" x14ac:dyDescent="0.25">
      <c r="E8">
        <v>0.8</v>
      </c>
      <c r="F8">
        <f t="shared" ref="F8:F27" si="0">E8*(E8-0.9)*10</f>
        <v>-0.79999999999999982</v>
      </c>
    </row>
    <row r="9" spans="5:6" x14ac:dyDescent="0.25">
      <c r="E9">
        <v>0.81</v>
      </c>
      <c r="F9">
        <f t="shared" si="0"/>
        <v>-0.72899999999999976</v>
      </c>
    </row>
    <row r="10" spans="5:6" x14ac:dyDescent="0.25">
      <c r="E10">
        <v>0.82</v>
      </c>
      <c r="F10">
        <f t="shared" si="0"/>
        <v>-0.65600000000000058</v>
      </c>
    </row>
    <row r="11" spans="5:6" x14ac:dyDescent="0.25">
      <c r="E11">
        <v>0.83</v>
      </c>
      <c r="F11">
        <f t="shared" si="0"/>
        <v>-0.58100000000000052</v>
      </c>
    </row>
    <row r="12" spans="5:6" x14ac:dyDescent="0.25">
      <c r="E12">
        <v>0.84</v>
      </c>
      <c r="F12">
        <f t="shared" si="0"/>
        <v>-0.50400000000000045</v>
      </c>
    </row>
    <row r="13" spans="5:6" x14ac:dyDescent="0.25">
      <c r="E13">
        <v>0.85</v>
      </c>
      <c r="F13">
        <f t="shared" si="0"/>
        <v>-0.42500000000000038</v>
      </c>
    </row>
    <row r="14" spans="5:6" x14ac:dyDescent="0.25">
      <c r="E14">
        <v>0.86</v>
      </c>
      <c r="F14">
        <f t="shared" si="0"/>
        <v>-0.34400000000000031</v>
      </c>
    </row>
    <row r="15" spans="5:6" x14ac:dyDescent="0.25">
      <c r="E15">
        <v>0.87</v>
      </c>
      <c r="F15">
        <f t="shared" si="0"/>
        <v>-0.26100000000000023</v>
      </c>
    </row>
    <row r="16" spans="5:6" x14ac:dyDescent="0.25">
      <c r="E16">
        <v>0.88</v>
      </c>
      <c r="F16">
        <f t="shared" si="0"/>
        <v>-0.17600000000000016</v>
      </c>
    </row>
    <row r="17" spans="5:6" x14ac:dyDescent="0.25">
      <c r="E17">
        <v>0.89</v>
      </c>
      <c r="F17">
        <f t="shared" si="0"/>
        <v>-8.9000000000000079E-2</v>
      </c>
    </row>
    <row r="18" spans="5:6" x14ac:dyDescent="0.25">
      <c r="E18">
        <v>0.9</v>
      </c>
      <c r="F18">
        <f t="shared" si="0"/>
        <v>0</v>
      </c>
    </row>
    <row r="19" spans="5:6" x14ac:dyDescent="0.25">
      <c r="E19">
        <v>0.91</v>
      </c>
      <c r="F19">
        <f t="shared" si="0"/>
        <v>9.1000000000000095E-2</v>
      </c>
    </row>
    <row r="20" spans="5:6" x14ac:dyDescent="0.25">
      <c r="E20">
        <v>0.92</v>
      </c>
      <c r="F20">
        <f t="shared" si="0"/>
        <v>0.18400000000000016</v>
      </c>
    </row>
    <row r="21" spans="5:6" x14ac:dyDescent="0.25">
      <c r="E21">
        <v>0.93</v>
      </c>
      <c r="F21">
        <f t="shared" si="0"/>
        <v>0.27900000000000025</v>
      </c>
    </row>
    <row r="22" spans="5:6" x14ac:dyDescent="0.25">
      <c r="E22">
        <v>0.94</v>
      </c>
      <c r="F22">
        <f t="shared" si="0"/>
        <v>0.37599999999999922</v>
      </c>
    </row>
    <row r="23" spans="5:6" x14ac:dyDescent="0.25">
      <c r="E23">
        <v>0.95</v>
      </c>
      <c r="F23">
        <f t="shared" si="0"/>
        <v>0.47499999999999931</v>
      </c>
    </row>
    <row r="24" spans="5:6" x14ac:dyDescent="0.25">
      <c r="E24">
        <v>0.96</v>
      </c>
      <c r="F24">
        <f t="shared" si="0"/>
        <v>0.5759999999999994</v>
      </c>
    </row>
    <row r="25" spans="5:6" x14ac:dyDescent="0.25">
      <c r="E25">
        <v>0.97</v>
      </c>
      <c r="F25">
        <f t="shared" si="0"/>
        <v>0.67899999999999949</v>
      </c>
    </row>
    <row r="26" spans="5:6" x14ac:dyDescent="0.25">
      <c r="E26">
        <v>0.98</v>
      </c>
      <c r="F26">
        <f t="shared" si="0"/>
        <v>0.78399999999999959</v>
      </c>
    </row>
    <row r="27" spans="5:6" x14ac:dyDescent="0.25">
      <c r="E27">
        <v>0.99</v>
      </c>
      <c r="F27">
        <f t="shared" si="0"/>
        <v>0.89099999999999968</v>
      </c>
    </row>
    <row r="28" spans="5:6" x14ac:dyDescent="0.25">
      <c r="E28">
        <v>1</v>
      </c>
      <c r="F28">
        <f>E28*(E28-0.9)*10</f>
        <v>0.99999999999999978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19</vt:i4>
      </vt:variant>
    </vt:vector>
  </HeadingPairs>
  <TitlesOfParts>
    <vt:vector size="22" baseType="lpstr">
      <vt:lpstr>Лист1</vt:lpstr>
      <vt:lpstr>Лист2</vt:lpstr>
      <vt:lpstr>Лист3</vt:lpstr>
      <vt:lpstr>dcas</vt:lpstr>
      <vt:lpstr>dcas_m</vt:lpstr>
      <vt:lpstr>dintake</vt:lpstr>
      <vt:lpstr>dintake_m</vt:lpstr>
      <vt:lpstr>feed_json</vt:lpstr>
      <vt:lpstr>mu_gas</vt:lpstr>
      <vt:lpstr>mu_liq</vt:lpstr>
      <vt:lpstr>p</vt:lpstr>
      <vt:lpstr>pkv_ratio</vt:lpstr>
      <vt:lpstr>PVT_json</vt:lpstr>
      <vt:lpstr>Qgas_in_situ</vt:lpstr>
      <vt:lpstr>Qliq_in_situ</vt:lpstr>
      <vt:lpstr>st</vt:lpstr>
      <vt:lpstr>t</vt:lpstr>
      <vt:lpstr>v_ooz</vt:lpstr>
      <vt:lpstr>v_sl</vt:lpstr>
      <vt:lpstr>Плотность_газа</vt:lpstr>
      <vt:lpstr>Плотность_жидкости</vt:lpstr>
      <vt:lpstr>Пов._Натяжение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2023-04-02T10:53:36Z</dcterms:created>
  <dcterms:modified xsi:type="dcterms:W3CDTF">2023-04-02T20:13:58Z</dcterms:modified>
</cp:coreProperties>
</file>