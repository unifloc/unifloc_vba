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sandbox\"/>
    </mc:Choice>
  </mc:AlternateContent>
  <xr:revisionPtr revIDLastSave="0" documentId="13_ncr:1_{470A6845-2A52-4A45-A20E-784BEE7B9480}" xr6:coauthVersionLast="47" xr6:coauthVersionMax="47" xr10:uidLastSave="{00000000-0000-0000-0000-000000000000}"/>
  <bookViews>
    <workbookView xWindow="-120" yWindow="-120" windowWidth="38640" windowHeight="21240" xr2:uid="{26514309-3F53-4B4B-855D-536B1B29DCF5}"/>
  </bookViews>
  <sheets>
    <sheet name="прием ЭЦН" sheetId="1" r:id="rId1"/>
    <sheet name="реверсивный поток" sheetId="6" r:id="rId2"/>
    <sheet name="прием ПКВ" sheetId="8" r:id="rId3"/>
    <sheet name="оценка диаметра" sheetId="2" r:id="rId4"/>
  </sheets>
  <externalReferences>
    <externalReference r:id="rId5"/>
  </externalReferences>
  <definedNames>
    <definedName name="calibr_li" localSheetId="2">'прием ПКВ'!$I$11</definedName>
    <definedName name="calibr_li" localSheetId="1">'реверсивный поток'!$I$11</definedName>
    <definedName name="calibr_li">'прием ЭЦН'!$I$11</definedName>
    <definedName name="calibr_st" localSheetId="2">'прием ПКВ'!$I$12</definedName>
    <definedName name="calibr_st" localSheetId="1">'реверсивный поток'!$I$12</definedName>
    <definedName name="calibr_st">'прием ЭЦН'!$I$12</definedName>
    <definedName name="dcas" localSheetId="2">'прием ПКВ'!$I$6</definedName>
    <definedName name="dcas" localSheetId="1">'реверсивный поток'!$I$6</definedName>
    <definedName name="dcas">'прием ЭЦН'!$I$6</definedName>
    <definedName name="dcas_m" localSheetId="2">'прием ПКВ'!$K$6</definedName>
    <definedName name="dcas_m" localSheetId="1">'реверсивный поток'!$K$6</definedName>
    <definedName name="dcas_m">'прием ЭЦН'!$K$6</definedName>
    <definedName name="dintake" localSheetId="2">'прием ПКВ'!$I$7</definedName>
    <definedName name="dintake" localSheetId="1">'реверсивный поток'!$I$7</definedName>
    <definedName name="dintake">'прием ЭЦН'!$I$7</definedName>
    <definedName name="dintake_m" localSheetId="2">'прием ПКВ'!$K$7</definedName>
    <definedName name="dintake_m" localSheetId="1">'реверсивный поток'!$K$7</definedName>
    <definedName name="dintake_m">'прием ЭЦН'!$K$7</definedName>
    <definedName name="feed_json" localSheetId="2">'прием ПКВ'!$E$20</definedName>
    <definedName name="feed_json" localSheetId="1">'реверсивный поток'!$E$20</definedName>
    <definedName name="feed_json">'прием ЭЦН'!$E$20</definedName>
    <definedName name="feed_json_1">#REF!</definedName>
    <definedName name="hint" localSheetId="2">'прием ПКВ'!$K$8</definedName>
    <definedName name="hint" localSheetId="1">'реверсивный поток'!$K$8</definedName>
    <definedName name="hint">'прием ЭЦН'!$K$8</definedName>
    <definedName name="hperf">'реверсивный поток'!$I$13</definedName>
    <definedName name="mu_gas" localSheetId="2">'прием ПКВ'!$N$12</definedName>
    <definedName name="mu_gas" localSheetId="1">'реверсивный поток'!$N$12</definedName>
    <definedName name="mu_gas">'прием ЭЦН'!$N$12</definedName>
    <definedName name="mu_liq" localSheetId="2">'прием ПКВ'!$N$11</definedName>
    <definedName name="mu_liq" localSheetId="1">'реверсивный поток'!$N$11</definedName>
    <definedName name="mu_liq">'прием ЭЦН'!$N$11</definedName>
    <definedName name="p" localSheetId="2">'прием ПКВ'!$I$9</definedName>
    <definedName name="p" localSheetId="1">'реверсивный поток'!$I$9</definedName>
    <definedName name="p">'прием ЭЦН'!$I$9</definedName>
    <definedName name="pkv_ratio" localSheetId="2">'прием ПКВ'!$I$13</definedName>
    <definedName name="pkv_ratio">'прием ЭЦН'!$I$12</definedName>
    <definedName name="PVT_json" localSheetId="2">'прием ПКВ'!$E$15</definedName>
    <definedName name="PVT_json" localSheetId="1">'реверсивный поток'!$E$15</definedName>
    <definedName name="PVT_json">'прием ЭЦН'!$E$15</definedName>
    <definedName name="PVT_json_1">#REF!</definedName>
    <definedName name="Qgas_in_situ" localSheetId="2">'прием ПКВ'!$N$10</definedName>
    <definedName name="Qgas_in_situ" localSheetId="1">'реверсивный поток'!$N$10</definedName>
    <definedName name="Qgas_in_situ">'прием ЭЦН'!$N$10</definedName>
    <definedName name="Qliq_in_situ" localSheetId="2">'прием ПКВ'!$N$9</definedName>
    <definedName name="Qliq_in_situ" localSheetId="1">'реверсивный поток'!$N$9</definedName>
    <definedName name="Qliq_in_situ">'прием ЭЦН'!$N$9</definedName>
    <definedName name="st" localSheetId="2">'прием ПКВ'!$P$8</definedName>
    <definedName name="st" localSheetId="1">'реверсивный поток'!$P$8</definedName>
    <definedName name="st">'прием ЭЦН'!$P$8</definedName>
    <definedName name="t" localSheetId="2">'прием ПКВ'!$I$10</definedName>
    <definedName name="t" localSheetId="1">'реверсивный поток'!$I$10</definedName>
    <definedName name="t">'прием ЭЦН'!$I$10</definedName>
    <definedName name="v_ooz">'оценка диаметра'!$H$15</definedName>
    <definedName name="v_sl">'оценка диаметра'!$H$16</definedName>
    <definedName name="Плотность_газа" localSheetId="2">'прием ПКВ'!$N$7</definedName>
    <definedName name="Плотность_газа" localSheetId="1">'реверсивный поток'!$N$7</definedName>
    <definedName name="Плотность_газа">'прием ЭЦН'!$N$7</definedName>
    <definedName name="Плотность_жидкости" localSheetId="2">'прием ПКВ'!$N$6</definedName>
    <definedName name="Плотность_жидкости" localSheetId="1">'реверсивный поток'!$N$6</definedName>
    <definedName name="Плотность_жидкости">'прием ЭЦН'!$N$6</definedName>
    <definedName name="Пов._Натяжение" localSheetId="2">'прием ПКВ'!$N$8</definedName>
    <definedName name="Пов._Натяжение" localSheetId="1">'реверсивный поток'!$N$8</definedName>
    <definedName name="Пов._Натяжение">'прием ЭЦН'!$N$8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8" l="1"/>
  <c r="F48" i="1" l="1"/>
  <c r="F48" i="8"/>
  <c r="R100" i="8"/>
  <c r="R101" i="8"/>
  <c r="O101" i="8"/>
  <c r="K8" i="8"/>
  <c r="L101" i="8" s="1"/>
  <c r="K7" i="8"/>
  <c r="K6" i="8"/>
  <c r="K100" i="8" s="1"/>
  <c r="K101" i="8" s="1"/>
  <c r="N101" i="8" s="1"/>
  <c r="Q101" i="8" s="1"/>
  <c r="E15" i="8"/>
  <c r="I39" i="8" a="1"/>
  <c r="I33" i="8" a="1"/>
  <c r="G34" i="8"/>
  <c r="I48" i="8" a="1"/>
  <c r="G40" i="8"/>
  <c r="M34" i="8" a="1"/>
  <c r="G39" i="8"/>
  <c r="G33" i="8"/>
  <c r="N12" i="8" a="1"/>
  <c r="N7" i="8" a="1"/>
  <c r="I38" i="8" a="1"/>
  <c r="I32" i="8" a="1"/>
  <c r="E20" i="8"/>
  <c r="G29" i="8"/>
  <c r="G35" i="8"/>
  <c r="I34" i="8" a="1"/>
  <c r="I40" i="8" a="1"/>
  <c r="G30" i="8"/>
  <c r="G36" i="8"/>
  <c r="I29" i="8" a="1"/>
  <c r="I35" i="8" a="1"/>
  <c r="G37" i="8"/>
  <c r="I36" i="8" a="1"/>
  <c r="G31" i="8"/>
  <c r="G32" i="8"/>
  <c r="G38" i="8"/>
  <c r="I30" i="8" a="1"/>
  <c r="I31" i="8" a="1"/>
  <c r="I37" i="8" a="1"/>
  <c r="G48" i="8"/>
  <c r="H34" i="8" a="1"/>
  <c r="N34" i="8" a="1"/>
  <c r="J34" i="8" a="1"/>
  <c r="K34" i="8" a="1"/>
  <c r="L34" i="8" a="1"/>
  <c r="H40" i="8" a="1"/>
  <c r="N40" i="8" a="1"/>
  <c r="J40" i="8" a="1"/>
  <c r="K40" i="8" a="1"/>
  <c r="M40" i="8" a="1"/>
  <c r="L40" i="8" a="1"/>
  <c r="J39" i="8" a="1"/>
  <c r="K39" i="8" a="1"/>
  <c r="H39" i="8" a="1"/>
  <c r="N39" i="8" a="1"/>
  <c r="L39" i="8" a="1"/>
  <c r="M39" i="8" a="1"/>
  <c r="N33" i="8" a="1"/>
  <c r="J33" i="8" a="1"/>
  <c r="K33" i="8" a="1"/>
  <c r="L33" i="8" a="1"/>
  <c r="H33" i="8" a="1"/>
  <c r="M33" i="8" a="1"/>
  <c r="N8" i="8" a="1"/>
  <c r="N9" i="8" a="1"/>
  <c r="N10" i="8" a="1"/>
  <c r="N11" i="8" a="1"/>
  <c r="N6" i="8" a="1"/>
  <c r="K29" i="8" a="1"/>
  <c r="M29" i="8" a="1"/>
  <c r="L29" i="8" a="1"/>
  <c r="H29" i="8" a="1"/>
  <c r="N29" i="8" a="1"/>
  <c r="J29" i="8" a="1"/>
  <c r="M35" i="8" a="1"/>
  <c r="L35" i="8" a="1"/>
  <c r="H35" i="8" a="1"/>
  <c r="N35" i="8" a="1"/>
  <c r="J35" i="8" a="1"/>
  <c r="K35" i="8" a="1"/>
  <c r="J30" i="8" a="1"/>
  <c r="K30" i="8" a="1"/>
  <c r="L30" i="8" a="1"/>
  <c r="H30" i="8" a="1"/>
  <c r="N30" i="8" a="1"/>
  <c r="M30" i="8" a="1"/>
  <c r="L36" i="8" a="1"/>
  <c r="M36" i="8" a="1"/>
  <c r="H36" i="8" a="1"/>
  <c r="N36" i="8" a="1"/>
  <c r="K36" i="8" a="1"/>
  <c r="J36" i="8" a="1"/>
  <c r="K37" i="8" a="1"/>
  <c r="L37" i="8" a="1"/>
  <c r="M37" i="8" a="1"/>
  <c r="H37" i="8" a="1"/>
  <c r="N37" i="8" a="1"/>
  <c r="J37" i="8" a="1"/>
  <c r="L31" i="8" a="1"/>
  <c r="K31" i="8" a="1"/>
  <c r="J31" i="8" a="1"/>
  <c r="M31" i="8" a="1"/>
  <c r="H31" i="8" a="1"/>
  <c r="N31" i="8" a="1"/>
  <c r="J32" i="8" a="1"/>
  <c r="K32" i="8" a="1"/>
  <c r="L32" i="8" a="1"/>
  <c r="M32" i="8" a="1"/>
  <c r="H32" i="8" a="1"/>
  <c r="N32" i="8" a="1"/>
  <c r="J38" i="8" a="1"/>
  <c r="K38" i="8" a="1"/>
  <c r="L38" i="8" a="1"/>
  <c r="M38" i="8" a="1"/>
  <c r="H38" i="8" a="1"/>
  <c r="N38" i="8" a="1"/>
  <c r="H48" i="8" a="1"/>
  <c r="N48" i="8" a="1"/>
  <c r="J48" i="8" a="1"/>
  <c r="K48" i="8" a="1"/>
  <c r="L48" i="8" a="1"/>
  <c r="M48" i="8" a="1"/>
  <c r="H100" i="8" l="1"/>
  <c r="H101" i="8" s="1"/>
  <c r="M48" i="8"/>
  <c r="L48" i="8"/>
  <c r="K48" i="8"/>
  <c r="J48" i="8"/>
  <c r="N48" i="8"/>
  <c r="H48" i="8"/>
  <c r="N38" i="8"/>
  <c r="H38" i="8"/>
  <c r="M38" i="8"/>
  <c r="L38" i="8"/>
  <c r="K38" i="8"/>
  <c r="J38" i="8"/>
  <c r="N32" i="8"/>
  <c r="H32" i="8"/>
  <c r="M32" i="8"/>
  <c r="L32" i="8"/>
  <c r="K32" i="8"/>
  <c r="J32" i="8"/>
  <c r="N31" i="8"/>
  <c r="H31" i="8"/>
  <c r="M31" i="8"/>
  <c r="J31" i="8"/>
  <c r="K31" i="8"/>
  <c r="L31" i="8"/>
  <c r="J37" i="8"/>
  <c r="N37" i="8"/>
  <c r="H37" i="8"/>
  <c r="M37" i="8"/>
  <c r="L37" i="8"/>
  <c r="K37" i="8"/>
  <c r="J36" i="8"/>
  <c r="K36" i="8"/>
  <c r="N36" i="8"/>
  <c r="H36" i="8"/>
  <c r="M36" i="8"/>
  <c r="L36" i="8"/>
  <c r="M30" i="8"/>
  <c r="N30" i="8"/>
  <c r="H30" i="8"/>
  <c r="L30" i="8"/>
  <c r="K30" i="8"/>
  <c r="J30" i="8"/>
  <c r="K35" i="8"/>
  <c r="J35" i="8"/>
  <c r="N35" i="8"/>
  <c r="H35" i="8"/>
  <c r="L35" i="8"/>
  <c r="M35" i="8"/>
  <c r="J29" i="8"/>
  <c r="N29" i="8"/>
  <c r="H29" i="8"/>
  <c r="L29" i="8"/>
  <c r="M29" i="8"/>
  <c r="K29" i="8"/>
  <c r="N6" i="8"/>
  <c r="N11" i="8"/>
  <c r="N10" i="8"/>
  <c r="N9" i="8"/>
  <c r="N8" i="8"/>
  <c r="P8" i="8" s="1"/>
  <c r="M33" i="8"/>
  <c r="H33" i="8"/>
  <c r="L33" i="8"/>
  <c r="K33" i="8"/>
  <c r="J33" i="8"/>
  <c r="N33" i="8"/>
  <c r="M39" i="8"/>
  <c r="L39" i="8"/>
  <c r="N39" i="8"/>
  <c r="H39" i="8"/>
  <c r="K39" i="8"/>
  <c r="J39" i="8"/>
  <c r="L40" i="8"/>
  <c r="M40" i="8"/>
  <c r="K40" i="8"/>
  <c r="J40" i="8"/>
  <c r="N40" i="8"/>
  <c r="H40" i="8"/>
  <c r="L34" i="8"/>
  <c r="K34" i="8"/>
  <c r="J34" i="8"/>
  <c r="N34" i="8"/>
  <c r="H34" i="8"/>
  <c r="I37" i="8"/>
  <c r="I31" i="8"/>
  <c r="I30" i="8"/>
  <c r="I36" i="8"/>
  <c r="I35" i="8"/>
  <c r="I29" i="8"/>
  <c r="I40" i="8"/>
  <c r="I34" i="8"/>
  <c r="I32" i="8"/>
  <c r="I38" i="8"/>
  <c r="N7" i="8"/>
  <c r="N12" i="8"/>
  <c r="M34" i="8"/>
  <c r="I48" i="8"/>
  <c r="I33" i="8"/>
  <c r="I39" i="8"/>
  <c r="F101" i="8"/>
  <c r="L100" i="8" s="1"/>
  <c r="I100" i="8" s="1"/>
  <c r="I101" i="8"/>
  <c r="E100" i="8"/>
  <c r="M75" i="6"/>
  <c r="J75" i="6"/>
  <c r="G75" i="6"/>
  <c r="F48" i="6"/>
  <c r="K7" i="6"/>
  <c r="I74" i="6" s="1"/>
  <c r="I75" i="6" s="1"/>
  <c r="K6" i="6"/>
  <c r="L74" i="6" s="1"/>
  <c r="L75" i="6" s="1"/>
  <c r="K8" i="1"/>
  <c r="E53" i="8" a="1"/>
  <c r="R40" i="8" a="1"/>
  <c r="R39" i="8" a="1"/>
  <c r="P32" i="8" a="1"/>
  <c r="R32" i="8" a="1"/>
  <c r="P35" i="8" a="1"/>
  <c r="R35" i="8" a="1"/>
  <c r="P37" i="8" a="1"/>
  <c r="R37" i="8" a="1"/>
  <c r="P30" i="8" a="1"/>
  <c r="R30" i="8" a="1"/>
  <c r="P29" i="8" a="1"/>
  <c r="R29" i="8" a="1"/>
  <c r="P33" i="8" a="1"/>
  <c r="R33" i="8" a="1"/>
  <c r="P39" i="8" a="1"/>
  <c r="P40" i="8" a="1"/>
  <c r="P31" i="8" a="1"/>
  <c r="R31" i="8" a="1"/>
  <c r="P34" i="8" a="1"/>
  <c r="R34" i="8" a="1"/>
  <c r="P38" i="8" a="1"/>
  <c r="R38" i="8" a="1"/>
  <c r="P36" i="8" a="1"/>
  <c r="R36" i="8" a="1"/>
  <c r="O30" i="8" a="1"/>
  <c r="O33" i="8" a="1"/>
  <c r="O36" i="8" a="1"/>
  <c r="O39" i="8" a="1"/>
  <c r="O35" i="8" a="1"/>
  <c r="O29" i="8" a="1"/>
  <c r="O40" i="8" a="1"/>
  <c r="O32" i="8" a="1"/>
  <c r="O34" i="8" a="1"/>
  <c r="O31" i="8" a="1"/>
  <c r="O37" i="8" a="1"/>
  <c r="O38" i="8" a="1"/>
  <c r="E15" i="6"/>
  <c r="N7" i="6" a="1"/>
  <c r="I38" i="6" a="1"/>
  <c r="I32" i="6" a="1"/>
  <c r="G39" i="6"/>
  <c r="AE39" i="6" s="1" a="1"/>
  <c r="G34" i="6"/>
  <c r="AE34" i="6" s="1" a="1"/>
  <c r="G40" i="6"/>
  <c r="AE40" i="6" s="1" a="1"/>
  <c r="I48" i="6" a="1"/>
  <c r="E20" i="6"/>
  <c r="I33" i="6" a="1"/>
  <c r="I39" i="6" a="1"/>
  <c r="G33" i="6"/>
  <c r="AE33" i="6" s="1" a="1"/>
  <c r="G29" i="6"/>
  <c r="AE29" i="6" s="1" a="1"/>
  <c r="G35" i="6"/>
  <c r="AE35" i="6" s="1" a="1"/>
  <c r="I34" i="6" a="1"/>
  <c r="I40" i="6" a="1"/>
  <c r="N12" i="6" a="1"/>
  <c r="G30" i="6"/>
  <c r="AE30" i="6" s="1" a="1"/>
  <c r="G36" i="6"/>
  <c r="AE36" i="6" s="1" a="1"/>
  <c r="I35" i="6" a="1"/>
  <c r="G37" i="6"/>
  <c r="AE37" i="6" s="1" a="1"/>
  <c r="G31" i="6"/>
  <c r="AE31" i="6" s="1" a="1"/>
  <c r="I36" i="6" a="1"/>
  <c r="I30" i="6" a="1"/>
  <c r="G32" i="6"/>
  <c r="AE32" i="6" s="1" a="1"/>
  <c r="G38" i="6"/>
  <c r="AE38" i="6" s="1" a="1"/>
  <c r="I29" i="6" a="1"/>
  <c r="I31" i="6" a="1"/>
  <c r="I37" i="6" a="1"/>
  <c r="G48" i="6"/>
  <c r="H39" i="6" a="1"/>
  <c r="N39" i="6" a="1"/>
  <c r="J39" i="6" a="1"/>
  <c r="K39" i="6" a="1"/>
  <c r="L39" i="6" a="1"/>
  <c r="M39" i="6" a="1"/>
  <c r="M34" i="6" a="1"/>
  <c r="N34" i="6" a="1"/>
  <c r="H34" i="6" a="1"/>
  <c r="J34" i="6" a="1"/>
  <c r="K34" i="6" a="1"/>
  <c r="L34" i="6" a="1"/>
  <c r="M40" i="6" a="1"/>
  <c r="H40" i="6" a="1"/>
  <c r="N40" i="6" a="1"/>
  <c r="J40" i="6" a="1"/>
  <c r="K40" i="6" a="1"/>
  <c r="L40" i="6" a="1"/>
  <c r="N8" i="6" a="1"/>
  <c r="N9" i="6" a="1"/>
  <c r="N10" i="6" a="1"/>
  <c r="N6" i="6" a="1"/>
  <c r="N11" i="6" a="1"/>
  <c r="H33" i="6" a="1"/>
  <c r="N33" i="6" a="1"/>
  <c r="J33" i="6" a="1"/>
  <c r="K33" i="6" a="1"/>
  <c r="L33" i="6" a="1"/>
  <c r="M33" i="6" a="1"/>
  <c r="L29" i="6" a="1"/>
  <c r="M29" i="6" a="1"/>
  <c r="H29" i="6" a="1"/>
  <c r="N29" i="6" a="1"/>
  <c r="J29" i="6" a="1"/>
  <c r="K29" i="6" a="1"/>
  <c r="L35" i="6" a="1"/>
  <c r="M35" i="6" a="1"/>
  <c r="H35" i="6" a="1"/>
  <c r="N35" i="6" a="1"/>
  <c r="J35" i="6" a="1"/>
  <c r="K35" i="6" a="1"/>
  <c r="K30" i="6" a="1"/>
  <c r="L30" i="6" a="1"/>
  <c r="M30" i="6" a="1"/>
  <c r="H30" i="6" a="1"/>
  <c r="N30" i="6" a="1"/>
  <c r="J30" i="6" a="1"/>
  <c r="K36" i="6" a="1"/>
  <c r="L36" i="6" a="1"/>
  <c r="M36" i="6" a="1"/>
  <c r="H36" i="6" a="1"/>
  <c r="N36" i="6" a="1"/>
  <c r="J36" i="6" a="1"/>
  <c r="J37" i="6" a="1"/>
  <c r="K37" i="6" a="1"/>
  <c r="L37" i="6" a="1"/>
  <c r="M37" i="6" a="1"/>
  <c r="H37" i="6" a="1"/>
  <c r="N37" i="6" a="1"/>
  <c r="J31" i="6" a="1"/>
  <c r="L31" i="6" a="1"/>
  <c r="K31" i="6" a="1"/>
  <c r="M31" i="6" a="1"/>
  <c r="N31" i="6" a="1"/>
  <c r="H31" i="6" a="1"/>
  <c r="J32" i="6" a="1"/>
  <c r="K32" i="6" a="1"/>
  <c r="L32" i="6" a="1"/>
  <c r="M32" i="6" a="1"/>
  <c r="H32" i="6" a="1"/>
  <c r="N32" i="6" a="1"/>
  <c r="J38" i="6" a="1"/>
  <c r="K38" i="6" a="1"/>
  <c r="L38" i="6" a="1"/>
  <c r="M38" i="6" a="1"/>
  <c r="H38" i="6" a="1"/>
  <c r="N38" i="6" a="1"/>
  <c r="N48" i="6" a="1"/>
  <c r="H48" i="6" a="1"/>
  <c r="J48" i="6" a="1"/>
  <c r="K48" i="6" a="1"/>
  <c r="L48" i="6" a="1"/>
  <c r="M48" i="6" a="1"/>
  <c r="E53" i="8" l="1"/>
  <c r="R40" i="8"/>
  <c r="V39" i="8"/>
  <c r="X39" i="8"/>
  <c r="Y39" i="8"/>
  <c r="R39" i="8"/>
  <c r="S39" i="8"/>
  <c r="D39" i="8" s="1"/>
  <c r="T39" i="8"/>
  <c r="W39" i="8"/>
  <c r="U39" i="8"/>
  <c r="D40" i="8"/>
  <c r="V36" i="8"/>
  <c r="X36" i="8"/>
  <c r="Y36" i="8"/>
  <c r="T36" i="8"/>
  <c r="U36" i="8"/>
  <c r="W36" i="8"/>
  <c r="R36" i="8"/>
  <c r="S36" i="8"/>
  <c r="D36" i="8" s="1"/>
  <c r="P36" i="8"/>
  <c r="Y38" i="8"/>
  <c r="R38" i="8"/>
  <c r="S38" i="8"/>
  <c r="D38" i="8" s="1"/>
  <c r="T38" i="8"/>
  <c r="U38" i="8"/>
  <c r="V38" i="8"/>
  <c r="W38" i="8"/>
  <c r="X38" i="8"/>
  <c r="P38" i="8"/>
  <c r="U34" i="8"/>
  <c r="V34" i="8"/>
  <c r="W34" i="8"/>
  <c r="Y34" i="8"/>
  <c r="X34" i="8"/>
  <c r="T34" i="8"/>
  <c r="S34" i="8"/>
  <c r="D34" i="8" s="1"/>
  <c r="R34" i="8"/>
  <c r="P34" i="8"/>
  <c r="U31" i="8"/>
  <c r="V31" i="8"/>
  <c r="T31" i="8"/>
  <c r="X31" i="8"/>
  <c r="R31" i="8"/>
  <c r="S31" i="8"/>
  <c r="D31" i="8" s="1"/>
  <c r="W31" i="8"/>
  <c r="Y31" i="8"/>
  <c r="P31" i="8"/>
  <c r="P40" i="8"/>
  <c r="P39" i="8"/>
  <c r="R33" i="8"/>
  <c r="S33" i="8"/>
  <c r="D33" i="8" s="1"/>
  <c r="U33" i="8"/>
  <c r="T33" i="8"/>
  <c r="V33" i="8"/>
  <c r="X33" i="8"/>
  <c r="Y33" i="8"/>
  <c r="W33" i="8"/>
  <c r="P33" i="8"/>
  <c r="X29" i="8"/>
  <c r="Y29" i="8"/>
  <c r="S29" i="8"/>
  <c r="D29" i="8" s="1"/>
  <c r="W29" i="8"/>
  <c r="R29" i="8"/>
  <c r="T29" i="8"/>
  <c r="U29" i="8"/>
  <c r="V29" i="8"/>
  <c r="P29" i="8"/>
  <c r="R30" i="8"/>
  <c r="U30" i="8"/>
  <c r="V30" i="8"/>
  <c r="W30" i="8"/>
  <c r="X30" i="8"/>
  <c r="S30" i="8"/>
  <c r="D30" i="8" s="1"/>
  <c r="T30" i="8"/>
  <c r="Y30" i="8"/>
  <c r="P30" i="8"/>
  <c r="X37" i="8"/>
  <c r="W37" i="8"/>
  <c r="Y37" i="8"/>
  <c r="V37" i="8"/>
  <c r="S37" i="8"/>
  <c r="D37" i="8" s="1"/>
  <c r="R37" i="8"/>
  <c r="T37" i="8"/>
  <c r="U37" i="8"/>
  <c r="P37" i="8"/>
  <c r="V35" i="8"/>
  <c r="W35" i="8"/>
  <c r="R35" i="8"/>
  <c r="T35" i="8"/>
  <c r="U35" i="8"/>
  <c r="X35" i="8"/>
  <c r="Y35" i="8"/>
  <c r="S35" i="8"/>
  <c r="D35" i="8" s="1"/>
  <c r="P35" i="8"/>
  <c r="Y32" i="8"/>
  <c r="W32" i="8"/>
  <c r="V32" i="8"/>
  <c r="X32" i="8"/>
  <c r="R32" i="8"/>
  <c r="S32" i="8"/>
  <c r="D32" i="8" s="1"/>
  <c r="T32" i="8"/>
  <c r="U32" i="8"/>
  <c r="P32" i="8"/>
  <c r="Q100" i="8"/>
  <c r="O38" i="8"/>
  <c r="O37" i="8"/>
  <c r="O31" i="8"/>
  <c r="O34" i="8"/>
  <c r="O32" i="8"/>
  <c r="O40" i="8"/>
  <c r="O29" i="8"/>
  <c r="O35" i="8"/>
  <c r="O39" i="8"/>
  <c r="O36" i="8"/>
  <c r="O33" i="8"/>
  <c r="O30" i="8"/>
  <c r="E101" i="8"/>
  <c r="N100" i="8"/>
  <c r="AE38" i="6"/>
  <c r="AE32" i="6"/>
  <c r="AE31" i="6"/>
  <c r="AE37" i="6"/>
  <c r="AE36" i="6"/>
  <c r="AE30" i="6"/>
  <c r="AE35" i="6"/>
  <c r="AE29" i="6"/>
  <c r="AE33" i="6"/>
  <c r="AE40" i="6"/>
  <c r="AE34" i="6"/>
  <c r="AE39" i="6"/>
  <c r="F74" i="6"/>
  <c r="O74" i="6"/>
  <c r="O75" i="6"/>
  <c r="M48" i="6"/>
  <c r="L48" i="6"/>
  <c r="K48" i="6"/>
  <c r="J48" i="6"/>
  <c r="H48" i="6"/>
  <c r="N48" i="6"/>
  <c r="N38" i="6"/>
  <c r="H38" i="6"/>
  <c r="M38" i="6"/>
  <c r="L38" i="6"/>
  <c r="K38" i="6"/>
  <c r="J38" i="6"/>
  <c r="N32" i="6"/>
  <c r="H32" i="6"/>
  <c r="M32" i="6"/>
  <c r="L32" i="6"/>
  <c r="K32" i="6"/>
  <c r="J32" i="6"/>
  <c r="H31" i="6"/>
  <c r="N31" i="6"/>
  <c r="M31" i="6"/>
  <c r="K31" i="6"/>
  <c r="L31" i="6"/>
  <c r="J31" i="6"/>
  <c r="N37" i="6"/>
  <c r="H37" i="6"/>
  <c r="M37" i="6"/>
  <c r="L37" i="6"/>
  <c r="K37" i="6"/>
  <c r="J37" i="6"/>
  <c r="J36" i="6"/>
  <c r="N36" i="6"/>
  <c r="H36" i="6"/>
  <c r="M36" i="6"/>
  <c r="L36" i="6"/>
  <c r="K36" i="6"/>
  <c r="J30" i="6"/>
  <c r="N30" i="6"/>
  <c r="H30" i="6"/>
  <c r="M30" i="6"/>
  <c r="L30" i="6"/>
  <c r="K30" i="6"/>
  <c r="K35" i="6"/>
  <c r="J35" i="6"/>
  <c r="N35" i="6"/>
  <c r="H35" i="6"/>
  <c r="M35" i="6"/>
  <c r="L35" i="6"/>
  <c r="K29" i="6"/>
  <c r="J29" i="6"/>
  <c r="N29" i="6"/>
  <c r="H29" i="6"/>
  <c r="M29" i="6"/>
  <c r="L29" i="6"/>
  <c r="M33" i="6"/>
  <c r="L33" i="6"/>
  <c r="K33" i="6"/>
  <c r="J33" i="6"/>
  <c r="N33" i="6"/>
  <c r="H33" i="6"/>
  <c r="N11" i="6"/>
  <c r="N6" i="6"/>
  <c r="N10" i="6"/>
  <c r="N9" i="6"/>
  <c r="N8" i="6"/>
  <c r="P8" i="6" s="1"/>
  <c r="L40" i="6"/>
  <c r="K40" i="6"/>
  <c r="J40" i="6"/>
  <c r="N40" i="6"/>
  <c r="H40" i="6"/>
  <c r="M40" i="6"/>
  <c r="L34" i="6"/>
  <c r="K34" i="6"/>
  <c r="J34" i="6"/>
  <c r="H34" i="6"/>
  <c r="N34" i="6"/>
  <c r="M34" i="6"/>
  <c r="M39" i="6"/>
  <c r="L39" i="6"/>
  <c r="K39" i="6"/>
  <c r="J39" i="6"/>
  <c r="N39" i="6"/>
  <c r="H39" i="6"/>
  <c r="I37" i="6"/>
  <c r="I31" i="6"/>
  <c r="I29" i="6"/>
  <c r="I30" i="6"/>
  <c r="I36" i="6"/>
  <c r="I35" i="6"/>
  <c r="N12" i="6"/>
  <c r="I40" i="6"/>
  <c r="I34" i="6"/>
  <c r="I39" i="6"/>
  <c r="I33" i="6"/>
  <c r="I48" i="6"/>
  <c r="I32" i="6"/>
  <c r="I38" i="6"/>
  <c r="N7" i="6"/>
  <c r="P75" i="6"/>
  <c r="M74" i="6" s="1"/>
  <c r="J74" i="6" s="1"/>
  <c r="G75" i="1"/>
  <c r="P75" i="1" s="1"/>
  <c r="J75" i="1"/>
  <c r="M75" i="1"/>
  <c r="E53" i="6" a="1"/>
  <c r="E55" i="8" a="1"/>
  <c r="R32" i="6" a="1"/>
  <c r="R37" i="6" a="1"/>
  <c r="R30" i="6" a="1"/>
  <c r="R29" i="6" a="1"/>
  <c r="R34" i="6" a="1"/>
  <c r="R38" i="6" a="1"/>
  <c r="R31" i="6" a="1"/>
  <c r="R36" i="6" a="1"/>
  <c r="R35" i="6" a="1"/>
  <c r="R39" i="6" a="1"/>
  <c r="R33" i="6" a="1"/>
  <c r="P34" i="6" a="1"/>
  <c r="P38" i="6" a="1"/>
  <c r="P39" i="6" a="1"/>
  <c r="P31" i="6" a="1"/>
  <c r="P36" i="6" a="1"/>
  <c r="P35" i="6" a="1"/>
  <c r="P40" i="6" a="1"/>
  <c r="R40" i="6" a="1"/>
  <c r="P33" i="6" a="1"/>
  <c r="P32" i="6" a="1"/>
  <c r="P37" i="6" a="1"/>
  <c r="P30" i="6" a="1"/>
  <c r="P29" i="6" a="1"/>
  <c r="R55" i="8" a="1"/>
  <c r="U55" i="8" a="1"/>
  <c r="X55" i="8" a="1"/>
  <c r="I55" i="8" a="1"/>
  <c r="AA55" i="8" a="1"/>
  <c r="L55" i="8" a="1"/>
  <c r="AD55" i="8" a="1"/>
  <c r="O55" i="8" a="1"/>
  <c r="E53" i="6" l="1"/>
  <c r="O55" i="8"/>
  <c r="AD55" i="8"/>
  <c r="L55" i="8"/>
  <c r="AA55" i="8"/>
  <c r="I55" i="8"/>
  <c r="X55" i="8"/>
  <c r="U55" i="8"/>
  <c r="R55" i="8"/>
  <c r="E55" i="8"/>
  <c r="S33" i="6"/>
  <c r="T33" i="6"/>
  <c r="W33" i="6"/>
  <c r="AG33" i="6" s="1"/>
  <c r="U33" i="6"/>
  <c r="V33" i="6"/>
  <c r="X33" i="6"/>
  <c r="R33" i="6"/>
  <c r="U39" i="6"/>
  <c r="V39" i="6"/>
  <c r="W39" i="6"/>
  <c r="AG39" i="6" s="1"/>
  <c r="X39" i="6"/>
  <c r="S39" i="6"/>
  <c r="R39" i="6"/>
  <c r="T39" i="6"/>
  <c r="R35" i="6"/>
  <c r="S35" i="6"/>
  <c r="T35" i="6"/>
  <c r="U35" i="6"/>
  <c r="V35" i="6"/>
  <c r="W35" i="6"/>
  <c r="AG35" i="6" s="1"/>
  <c r="X35" i="6"/>
  <c r="S36" i="6"/>
  <c r="U36" i="6"/>
  <c r="V36" i="6"/>
  <c r="W36" i="6"/>
  <c r="AG36" i="6" s="1"/>
  <c r="X36" i="6"/>
  <c r="R36" i="6"/>
  <c r="T36" i="6"/>
  <c r="V31" i="6"/>
  <c r="S31" i="6"/>
  <c r="R31" i="6"/>
  <c r="T31" i="6"/>
  <c r="W31" i="6"/>
  <c r="AG31" i="6" s="1"/>
  <c r="X31" i="6"/>
  <c r="U31" i="6"/>
  <c r="X38" i="6"/>
  <c r="U38" i="6"/>
  <c r="V38" i="6"/>
  <c r="R38" i="6"/>
  <c r="S38" i="6"/>
  <c r="T38" i="6"/>
  <c r="W38" i="6"/>
  <c r="AG38" i="6" s="1"/>
  <c r="U34" i="6"/>
  <c r="V34" i="6"/>
  <c r="R34" i="6"/>
  <c r="S34" i="6"/>
  <c r="W34" i="6"/>
  <c r="AG34" i="6" s="1"/>
  <c r="X34" i="6"/>
  <c r="T34" i="6"/>
  <c r="T29" i="6"/>
  <c r="U29" i="6"/>
  <c r="V29" i="6"/>
  <c r="W29" i="6"/>
  <c r="AG29" i="6" s="1"/>
  <c r="X29" i="6"/>
  <c r="R29" i="6"/>
  <c r="S29" i="6"/>
  <c r="U30" i="6"/>
  <c r="V30" i="6"/>
  <c r="X30" i="6"/>
  <c r="W30" i="6"/>
  <c r="AG30" i="6" s="1"/>
  <c r="S30" i="6"/>
  <c r="T30" i="6"/>
  <c r="R30" i="6"/>
  <c r="S37" i="6"/>
  <c r="V37" i="6"/>
  <c r="T37" i="6"/>
  <c r="U37" i="6"/>
  <c r="X37" i="6"/>
  <c r="W37" i="6"/>
  <c r="AG37" i="6" s="1"/>
  <c r="R37" i="6"/>
  <c r="V32" i="6"/>
  <c r="T32" i="6"/>
  <c r="W32" i="6"/>
  <c r="AG32" i="6" s="1"/>
  <c r="X32" i="6"/>
  <c r="R32" i="6"/>
  <c r="S32" i="6"/>
  <c r="U32" i="6"/>
  <c r="AJ40" i="6"/>
  <c r="AG40" i="6"/>
  <c r="AI40" i="6" s="1"/>
  <c r="P30" i="6"/>
  <c r="P37" i="6"/>
  <c r="P32" i="6"/>
  <c r="P33" i="6"/>
  <c r="R40" i="6"/>
  <c r="P40" i="6"/>
  <c r="P35" i="6"/>
  <c r="P36" i="6"/>
  <c r="P31" i="6"/>
  <c r="P39" i="6"/>
  <c r="P38" i="6"/>
  <c r="P34" i="6"/>
  <c r="P29" i="6"/>
  <c r="F75" i="6"/>
  <c r="M74" i="1"/>
  <c r="J74" i="1" s="1"/>
  <c r="E55" i="6" a="1"/>
  <c r="U55" i="6" a="1"/>
  <c r="X55" i="6" a="1"/>
  <c r="R55" i="6" a="1"/>
  <c r="I55" i="6" a="1"/>
  <c r="AA55" i="6" a="1"/>
  <c r="L55" i="6" a="1"/>
  <c r="AD55" i="6" a="1"/>
  <c r="O55" i="6" a="1"/>
  <c r="AJ29" i="6" l="1"/>
  <c r="AJ30" i="6"/>
  <c r="AI38" i="6"/>
  <c r="AI36" i="6"/>
  <c r="AI31" i="6"/>
  <c r="AI34" i="6"/>
  <c r="AJ34" i="6"/>
  <c r="AI39" i="6"/>
  <c r="AJ39" i="6"/>
  <c r="AJ36" i="6"/>
  <c r="AI30" i="6"/>
  <c r="AJ31" i="6"/>
  <c r="AJ32" i="6"/>
  <c r="AI32" i="6"/>
  <c r="AJ38" i="6"/>
  <c r="AJ35" i="6"/>
  <c r="AI35" i="6"/>
  <c r="AI33" i="6"/>
  <c r="AJ33" i="6"/>
  <c r="AI37" i="6"/>
  <c r="AI29" i="6"/>
  <c r="AJ37" i="6"/>
  <c r="O55" i="6"/>
  <c r="AD55" i="6"/>
  <c r="L55" i="6"/>
  <c r="AA55" i="6"/>
  <c r="I55" i="6"/>
  <c r="R55" i="6"/>
  <c r="X55" i="6"/>
  <c r="U55" i="6"/>
  <c r="E55" i="6"/>
  <c r="N17" i="2" l="1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16" i="2"/>
  <c r="O16" i="2" s="1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16" i="2"/>
  <c r="L16" i="2" s="1"/>
  <c r="K7" i="1"/>
  <c r="K6" i="1"/>
  <c r="L74" i="1" s="1"/>
  <c r="L75" i="1" s="1"/>
  <c r="O75" i="1" s="1"/>
  <c r="E15" i="1"/>
  <c r="G35" i="1"/>
  <c r="G36" i="1"/>
  <c r="G29" i="1"/>
  <c r="E20" i="1"/>
  <c r="N8" i="1" s="1" a="1"/>
  <c r="G38" i="1"/>
  <c r="G30" i="1"/>
  <c r="I31" i="1" a="1"/>
  <c r="K36" i="1" a="1"/>
  <c r="N7" i="1" a="1"/>
  <c r="I33" i="1" a="1"/>
  <c r="I37" i="1" a="1"/>
  <c r="N35" i="1" a="1"/>
  <c r="L30" i="1" a="1"/>
  <c r="J36" i="1" a="1"/>
  <c r="G34" i="1"/>
  <c r="N38" i="1" a="1"/>
  <c r="N30" i="1" a="1"/>
  <c r="M36" i="1" a="1"/>
  <c r="I30" i="1" a="1"/>
  <c r="G37" i="1"/>
  <c r="K34" i="1" a="1"/>
  <c r="J35" i="1" a="1"/>
  <c r="J30" i="1" a="1"/>
  <c r="L36" i="1" a="1"/>
  <c r="G40" i="1"/>
  <c r="I29" i="1" a="1"/>
  <c r="I35" i="1" a="1"/>
  <c r="I34" i="1" a="1"/>
  <c r="G31" i="1"/>
  <c r="I40" i="1" a="1"/>
  <c r="G32" i="1"/>
  <c r="G48" i="1"/>
  <c r="I36" i="1" a="1"/>
  <c r="G33" i="1"/>
  <c r="G39" i="1"/>
  <c r="I48" i="1" a="1"/>
  <c r="I38" i="1" a="1"/>
  <c r="I39" i="1" a="1"/>
  <c r="I32" i="1" a="1"/>
  <c r="N12" i="1" a="1"/>
  <c r="K35" i="1" a="1"/>
  <c r="L35" i="1" a="1"/>
  <c r="M35" i="1" a="1"/>
  <c r="H35" i="1" a="1"/>
  <c r="H36" i="1" a="1"/>
  <c r="N36" i="1" a="1"/>
  <c r="J29" i="1" a="1"/>
  <c r="M29" i="1" a="1"/>
  <c r="H29" i="1" a="1"/>
  <c r="K29" i="1" a="1"/>
  <c r="L29" i="1" a="1"/>
  <c r="N9" i="1" a="1"/>
  <c r="N6" i="1" a="1"/>
  <c r="N10" i="1" a="1"/>
  <c r="L38" i="1" a="1"/>
  <c r="K38" i="1" a="1"/>
  <c r="H38" i="1" a="1"/>
  <c r="J38" i="1" a="1"/>
  <c r="M38" i="1" a="1"/>
  <c r="M30" i="1" a="1"/>
  <c r="K30" i="1" a="1"/>
  <c r="H30" i="1" a="1"/>
  <c r="H34" i="1" a="1"/>
  <c r="M34" i="1" a="1"/>
  <c r="L34" i="1" a="1"/>
  <c r="J34" i="1" a="1"/>
  <c r="N34" i="1" a="1"/>
  <c r="J37" i="1" a="1"/>
  <c r="L37" i="1" a="1"/>
  <c r="M37" i="1" a="1"/>
  <c r="H37" i="1" a="1"/>
  <c r="N37" i="1" a="1"/>
  <c r="K37" i="1" a="1"/>
  <c r="L40" i="1" a="1"/>
  <c r="M40" i="1" a="1"/>
  <c r="N40" i="1" a="1"/>
  <c r="J40" i="1" a="1"/>
  <c r="H40" i="1" a="1"/>
  <c r="K40" i="1" a="1"/>
  <c r="K31" i="1" a="1"/>
  <c r="N31" i="1" a="1"/>
  <c r="J31" i="1" a="1"/>
  <c r="H31" i="1" a="1"/>
  <c r="M31" i="1" a="1"/>
  <c r="L31" i="1" a="1"/>
  <c r="J32" i="1" a="1"/>
  <c r="M32" i="1" a="1"/>
  <c r="K32" i="1" a="1"/>
  <c r="L32" i="1" a="1"/>
  <c r="H32" i="1" a="1"/>
  <c r="N32" i="1" a="1"/>
  <c r="H48" i="1" a="1"/>
  <c r="K48" i="1" a="1"/>
  <c r="J48" i="1" a="1"/>
  <c r="N48" i="1" a="1"/>
  <c r="L48" i="1" a="1"/>
  <c r="M48" i="1" a="1"/>
  <c r="M33" i="1" a="1"/>
  <c r="K33" i="1" a="1"/>
  <c r="N33" i="1" a="1"/>
  <c r="L33" i="1" a="1"/>
  <c r="J33" i="1" a="1"/>
  <c r="H33" i="1" a="1"/>
  <c r="K39" i="1" a="1"/>
  <c r="L39" i="1" a="1"/>
  <c r="J39" i="1" a="1"/>
  <c r="H39" i="1" a="1"/>
  <c r="N39" i="1" a="1"/>
  <c r="M39" i="1" a="1"/>
  <c r="N8" i="1" l="1"/>
  <c r="P8" i="1" s="1"/>
  <c r="H48" i="1"/>
  <c r="M48" i="1"/>
  <c r="J48" i="1"/>
  <c r="K48" i="1"/>
  <c r="N48" i="1"/>
  <c r="L48" i="1"/>
  <c r="I48" i="1"/>
  <c r="I74" i="1"/>
  <c r="I75" i="1" s="1"/>
  <c r="F74" i="1"/>
  <c r="K37" i="1"/>
  <c r="K34" i="1"/>
  <c r="J31" i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L38" i="1"/>
  <c r="N37" i="1"/>
  <c r="H37" i="1"/>
  <c r="J36" i="1"/>
  <c r="L35" i="1"/>
  <c r="N34" i="1"/>
  <c r="H34" i="1"/>
  <c r="J33" i="1"/>
  <c r="L32" i="1"/>
  <c r="N31" i="1"/>
  <c r="H31" i="1"/>
  <c r="J30" i="1"/>
  <c r="I38" i="1"/>
  <c r="I35" i="1"/>
  <c r="J37" i="1"/>
  <c r="J34" i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L36" i="1"/>
  <c r="L33" i="1"/>
  <c r="M35" i="1"/>
  <c r="K33" i="1"/>
  <c r="N40" i="1"/>
  <c r="M40" i="1"/>
  <c r="L40" i="1"/>
  <c r="N39" i="1"/>
  <c r="H39" i="1"/>
  <c r="J38" i="1"/>
  <c r="L37" i="1"/>
  <c r="N36" i="1"/>
  <c r="H36" i="1"/>
  <c r="J35" i="1"/>
  <c r="L34" i="1"/>
  <c r="N33" i="1"/>
  <c r="H33" i="1"/>
  <c r="J32" i="1"/>
  <c r="L31" i="1"/>
  <c r="N30" i="1"/>
  <c r="H30" i="1"/>
  <c r="M29" i="1"/>
  <c r="L29" i="1"/>
  <c r="K29" i="1"/>
  <c r="J29" i="1"/>
  <c r="H29" i="1"/>
  <c r="I29" i="1"/>
  <c r="N12" i="1"/>
  <c r="N10" i="1"/>
  <c r="N9" i="1"/>
  <c r="N7" i="1"/>
  <c r="N6" i="1"/>
  <c r="E53" i="1" a="1"/>
  <c r="P39" i="1" a="1"/>
  <c r="R39" i="1" a="1"/>
  <c r="P30" i="1" a="1"/>
  <c r="R30" i="1" a="1"/>
  <c r="P34" i="1" a="1"/>
  <c r="R34" i="1" a="1"/>
  <c r="P31" i="1" a="1"/>
  <c r="R31" i="1" a="1"/>
  <c r="P36" i="1" a="1"/>
  <c r="R36" i="1" a="1"/>
  <c r="P33" i="1" a="1"/>
  <c r="R33" i="1" a="1"/>
  <c r="P37" i="1" a="1"/>
  <c r="R37" i="1" a="1"/>
  <c r="P35" i="1" a="1"/>
  <c r="R35" i="1" a="1"/>
  <c r="P40" i="1" a="1"/>
  <c r="R40" i="1" a="1"/>
  <c r="P32" i="1" a="1"/>
  <c r="R32" i="1" a="1"/>
  <c r="P38" i="1" a="1"/>
  <c r="R38" i="1" a="1"/>
  <c r="O37" i="1" a="1"/>
  <c r="O36" i="1" a="1"/>
  <c r="O29" i="1" a="1"/>
  <c r="O38" i="1" a="1"/>
  <c r="O30" i="1" a="1"/>
  <c r="O32" i="1" a="1"/>
  <c r="O39" i="1" a="1"/>
  <c r="O35" i="1" a="1"/>
  <c r="O31" i="1" a="1"/>
  <c r="O33" i="1" a="1"/>
  <c r="O34" i="1" a="1"/>
  <c r="O40" i="1" a="1"/>
  <c r="N29" i="1" a="1"/>
  <c r="N11" i="1" a="1"/>
  <c r="E53" i="1" l="1"/>
  <c r="U38" i="1"/>
  <c r="W38" i="1"/>
  <c r="V38" i="1"/>
  <c r="R38" i="1"/>
  <c r="S38" i="1"/>
  <c r="T38" i="1"/>
  <c r="P38" i="1"/>
  <c r="S32" i="1"/>
  <c r="T32" i="1"/>
  <c r="W32" i="1"/>
  <c r="R32" i="1"/>
  <c r="U32" i="1"/>
  <c r="V32" i="1"/>
  <c r="P32" i="1"/>
  <c r="R40" i="1"/>
  <c r="P40" i="1"/>
  <c r="R35" i="1"/>
  <c r="S35" i="1"/>
  <c r="V35" i="1"/>
  <c r="W35" i="1"/>
  <c r="T35" i="1"/>
  <c r="U35" i="1"/>
  <c r="P35" i="1"/>
  <c r="T37" i="1"/>
  <c r="U37" i="1"/>
  <c r="V37" i="1"/>
  <c r="W37" i="1"/>
  <c r="R37" i="1"/>
  <c r="S37" i="1"/>
  <c r="P37" i="1"/>
  <c r="W33" i="1"/>
  <c r="S33" i="1"/>
  <c r="U33" i="1"/>
  <c r="V33" i="1"/>
  <c r="T33" i="1"/>
  <c r="R33" i="1"/>
  <c r="P33" i="1"/>
  <c r="V36" i="1"/>
  <c r="W36" i="1"/>
  <c r="R36" i="1"/>
  <c r="S36" i="1"/>
  <c r="T36" i="1"/>
  <c r="U36" i="1"/>
  <c r="P36" i="1"/>
  <c r="V31" i="1"/>
  <c r="W31" i="1"/>
  <c r="S31" i="1"/>
  <c r="T31" i="1"/>
  <c r="R31" i="1"/>
  <c r="U31" i="1"/>
  <c r="P31" i="1"/>
  <c r="U34" i="1"/>
  <c r="V34" i="1"/>
  <c r="S34" i="1"/>
  <c r="W34" i="1"/>
  <c r="R34" i="1"/>
  <c r="T34" i="1"/>
  <c r="P34" i="1"/>
  <c r="W30" i="1"/>
  <c r="T30" i="1"/>
  <c r="S30" i="1"/>
  <c r="R30" i="1"/>
  <c r="U30" i="1"/>
  <c r="V30" i="1"/>
  <c r="P30" i="1"/>
  <c r="W39" i="1"/>
  <c r="S39" i="1"/>
  <c r="U39" i="1"/>
  <c r="R39" i="1"/>
  <c r="T39" i="1"/>
  <c r="V39" i="1"/>
  <c r="P39" i="1"/>
  <c r="N29" i="1"/>
  <c r="F75" i="1"/>
  <c r="O74" i="1"/>
  <c r="O29" i="1"/>
  <c r="O40" i="1"/>
  <c r="O30" i="1"/>
  <c r="O31" i="1"/>
  <c r="O35" i="1"/>
  <c r="O38" i="1"/>
  <c r="O36" i="1"/>
  <c r="O34" i="1"/>
  <c r="O39" i="1"/>
  <c r="O33" i="1"/>
  <c r="O32" i="1"/>
  <c r="O37" i="1"/>
  <c r="N11" i="1"/>
  <c r="P29" i="1" a="1"/>
  <c r="R29" i="1" a="1"/>
  <c r="E55" i="1" a="1"/>
  <c r="O55" i="1" a="1"/>
  <c r="U55" i="1" a="1"/>
  <c r="R55" i="1" a="1"/>
  <c r="AA55" i="1" a="1"/>
  <c r="I55" i="1" a="1"/>
  <c r="L55" i="1" a="1"/>
  <c r="X55" i="1" a="1"/>
  <c r="AD55" i="1" a="1"/>
  <c r="U29" i="1" l="1"/>
  <c r="V29" i="1"/>
  <c r="W29" i="1"/>
  <c r="R29" i="1"/>
  <c r="S29" i="1"/>
  <c r="T29" i="1"/>
  <c r="P29" i="1"/>
  <c r="AD55" i="1"/>
  <c r="AA55" i="1"/>
  <c r="X55" i="1"/>
  <c r="U55" i="1"/>
  <c r="R55" i="1"/>
  <c r="O55" i="1"/>
  <c r="L55" i="1"/>
  <c r="I55" i="1"/>
  <c r="E5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<sst xmlns="http://schemas.openxmlformats.org/spreadsheetml/2006/main" count="213" uniqueCount="56">
  <si>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</si>
  <si>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</si>
  <si>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</si>
  <si>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</si>
  <si>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</si>
  <si>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</si>
  <si>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</si>
  <si>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</si>
  <si>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</si>
  <si>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</si>
  <si>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</si>
  <si>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</si>
  <si>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</si>
  <si>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</si>
  <si>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</si>
  <si>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</si>
  <si>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</si>
  <si>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</si>
  <si>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</si>
  <si>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</si>
  <si>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</si>
  <si>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</si>
  <si>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</si>
  <si>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</si>
  <si>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</si>
  <si>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</si>
  <si>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</si>
  <si>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</si>
  <si>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</si>
  <si>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</si>
  <si>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</si>
  <si>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</si>
  <si>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q</t>
  </si>
  <si>
    <t>ksep simpl</t>
  </si>
  <si>
    <t>ksep mech</t>
  </si>
  <si>
    <t>mm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</si>
  <si>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</si>
  <si>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</si>
  <si>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</si>
  <si>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</si>
  <si>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</si>
  <si>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</si>
  <si>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</si>
  <si>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h</t>
  </si>
  <si>
    <t>r</t>
  </si>
  <si>
    <t>hintake</t>
  </si>
  <si>
    <t>1. Построение графика зависимости коэффициента сепарации от дебита</t>
  </si>
  <si>
    <t>2. Построение траектории пузырьков газа около приема насоса</t>
  </si>
  <si>
    <t>calibr_li</t>
  </si>
  <si>
    <t>calibr_st</t>
  </si>
  <si>
    <t>hperf</t>
  </si>
  <si>
    <t>vs</t>
  </si>
  <si>
    <t>пкв отношение</t>
  </si>
  <si>
    <t>Пример расчет коэффициента сепарации для ПКВ режима</t>
  </si>
  <si>
    <t>суточный</t>
  </si>
  <si>
    <t>мгновенный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</si>
</sst>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applyFill="1" applyBorder="1" applyAlignment="1">
      <alignment horizontal="center"/>
    </xf>
    <xf numFmtId="0" fontId="0" fillId="5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ЭЦН'!$O$29:$O$40</c:f>
              <c:numCache>
                <c:formatCode>0.00</c:formatCode>
                <c:ptCount val="12"/>
                <c:pt idx="0">
                  <c:v>0.94948819713916333</c:v>
                </c:pt>
                <c:pt idx="1">
                  <c:v>0.8157771025651489</c:v>
                </c:pt>
                <c:pt idx="2">
                  <c:v>0.62517157870610984</c:v>
                </c:pt>
                <c:pt idx="3">
                  <c:v>0.49874661541190979</c:v>
                </c:pt>
                <c:pt idx="4">
                  <c:v>0.41623037169942112</c:v>
                </c:pt>
                <c:pt idx="5">
                  <c:v>0.34724401488462275</c:v>
                </c:pt>
                <c:pt idx="6">
                  <c:v>0.31601339676455442</c:v>
                </c:pt>
                <c:pt idx="7">
                  <c:v>0.29650558655770665</c:v>
                </c:pt>
                <c:pt idx="8">
                  <c:v>0.28319826861777386</c:v>
                </c:pt>
                <c:pt idx="9">
                  <c:v>0.27189576228450996</c:v>
                </c:pt>
                <c:pt idx="10">
                  <c:v>0.25935068608024459</c:v>
                </c:pt>
                <c:pt idx="11">
                  <c:v>0.24302419799072883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'прием ЭЦН'!$P$28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ЭЦН'!$P$29:$P$40</c:f>
              <c:numCache>
                <c:formatCode>0.00</c:formatCode>
                <c:ptCount val="12"/>
                <c:pt idx="0">
                  <c:v>0.96064272463282985</c:v>
                </c:pt>
                <c:pt idx="1">
                  <c:v>0.82591278367289778</c:v>
                </c:pt>
                <c:pt idx="2">
                  <c:v>0.5981760607245471</c:v>
                </c:pt>
                <c:pt idx="3">
                  <c:v>0.46075386187841039</c:v>
                </c:pt>
                <c:pt idx="4">
                  <c:v>0.37015200608930937</c:v>
                </c:pt>
                <c:pt idx="5">
                  <c:v>0.30782665024874439</c:v>
                </c:pt>
                <c:pt idx="6">
                  <c:v>0.26204565265956697</c:v>
                </c:pt>
                <c:pt idx="7">
                  <c:v>0.22751308823512545</c:v>
                </c:pt>
                <c:pt idx="8">
                  <c:v>0.20101832003990336</c:v>
                </c:pt>
                <c:pt idx="9">
                  <c:v>0.17968735458121118</c:v>
                </c:pt>
                <c:pt idx="10">
                  <c:v>0.16225474587498023</c:v>
                </c:pt>
                <c:pt idx="11">
                  <c:v>0.14778504546919524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ЭЦН'!$J$56:$J$70</c:f>
              <c:numCache>
                <c:formatCode>General</c:formatCode>
                <c:ptCount val="15"/>
                <c:pt idx="0">
                  <c:v>6.0102999999999997E-2</c:v>
                </c:pt>
                <c:pt idx="1">
                  <c:v>6.0102999999999997E-2</c:v>
                </c:pt>
                <c:pt idx="2">
                  <c:v>6.0102999999999997E-2</c:v>
                </c:pt>
                <c:pt idx="3">
                  <c:v>6.0102999999999997E-2</c:v>
                </c:pt>
                <c:pt idx="4">
                  <c:v>6.0102999999999997E-2</c:v>
                </c:pt>
                <c:pt idx="5">
                  <c:v>6.0102999999999997E-2</c:v>
                </c:pt>
                <c:pt idx="6">
                  <c:v>6.0102999999999997E-2</c:v>
                </c:pt>
                <c:pt idx="7">
                  <c:v>6.0102999999999997E-2</c:v>
                </c:pt>
                <c:pt idx="8">
                  <c:v>6.0102999999999997E-2</c:v>
                </c:pt>
                <c:pt idx="9">
                  <c:v>5.9533000000000003E-2</c:v>
                </c:pt>
                <c:pt idx="10">
                  <c:v>5.8241000000000001E-2</c:v>
                </c:pt>
                <c:pt idx="11">
                  <c:v>5.6895000000000001E-2</c:v>
                </c:pt>
                <c:pt idx="12">
                  <c:v>5.6500000000000002E-2</c:v>
                </c:pt>
                <c:pt idx="13">
                  <c:v>5.6500000000000002E-2</c:v>
                </c:pt>
                <c:pt idx="14">
                  <c:v>5.6500000000000002E-2</c:v>
                </c:pt>
              </c:numCache>
            </c:numRef>
          </c:xVal>
          <c:yVal>
            <c:numRef>
              <c:f>'прием ЭЦН'!$I$56:$I$70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0.13607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D2-4386-9C12-76A3BD21CEB1}"/>
            </c:ext>
          </c:extLst>
        </c:ser>
        <c:ser>
          <c:idx val="1"/>
          <c:order val="1"/>
          <c:tx>
            <c:strRef>
              <c:f>'прием ЭЦН'!$E$56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ЭЦН'!$M$56:$M$70</c:f>
              <c:numCache>
                <c:formatCode>General</c:formatCode>
                <c:ptCount val="15"/>
                <c:pt idx="0">
                  <c:v>6.0685000000000003E-2</c:v>
                </c:pt>
                <c:pt idx="1">
                  <c:v>6.0685000000000003E-2</c:v>
                </c:pt>
                <c:pt idx="2">
                  <c:v>6.0685000000000003E-2</c:v>
                </c:pt>
                <c:pt idx="3">
                  <c:v>6.0685000000000003E-2</c:v>
                </c:pt>
                <c:pt idx="4">
                  <c:v>6.0685000000000003E-2</c:v>
                </c:pt>
                <c:pt idx="5">
                  <c:v>6.0685000000000003E-2</c:v>
                </c:pt>
                <c:pt idx="6">
                  <c:v>6.0685000000000003E-2</c:v>
                </c:pt>
                <c:pt idx="7">
                  <c:v>6.0685000000000003E-2</c:v>
                </c:pt>
                <c:pt idx="8">
                  <c:v>6.0685000000000003E-2</c:v>
                </c:pt>
                <c:pt idx="9">
                  <c:v>6.0685000000000003E-2</c:v>
                </c:pt>
                <c:pt idx="10">
                  <c:v>5.9691000000000001E-2</c:v>
                </c:pt>
                <c:pt idx="11">
                  <c:v>5.8382999999999997E-2</c:v>
                </c:pt>
                <c:pt idx="12">
                  <c:v>5.8000000000000003E-2</c:v>
                </c:pt>
                <c:pt idx="13">
                  <c:v>5.8000000000000003E-2</c:v>
                </c:pt>
                <c:pt idx="14">
                  <c:v>5.8000000000000003E-2</c:v>
                </c:pt>
              </c:numCache>
            </c:numRef>
          </c:xVal>
          <c:yVal>
            <c:numRef>
              <c:f>'прием ЭЦН'!$L$56:$L$70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0.151611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D2-4386-9C12-76A3BD21CEB1}"/>
            </c:ext>
          </c:extLst>
        </c:ser>
        <c:ser>
          <c:idx val="2"/>
          <c:order val="2"/>
          <c:tx>
            <c:strRef>
              <c:f>'прием ЭЦН'!$E$57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ЭЦН'!$P$56:$P$70</c:f>
              <c:numCache>
                <c:formatCode>General</c:formatCode>
                <c:ptCount val="15"/>
                <c:pt idx="0">
                  <c:v>6.1279E-2</c:v>
                </c:pt>
                <c:pt idx="1">
                  <c:v>6.1279E-2</c:v>
                </c:pt>
                <c:pt idx="2">
                  <c:v>6.1279E-2</c:v>
                </c:pt>
                <c:pt idx="3">
                  <c:v>6.1279E-2</c:v>
                </c:pt>
                <c:pt idx="4">
                  <c:v>6.1279E-2</c:v>
                </c:pt>
                <c:pt idx="5">
                  <c:v>6.1279E-2</c:v>
                </c:pt>
                <c:pt idx="6">
                  <c:v>6.1279E-2</c:v>
                </c:pt>
                <c:pt idx="7">
                  <c:v>6.1279E-2</c:v>
                </c:pt>
                <c:pt idx="8">
                  <c:v>6.1279E-2</c:v>
                </c:pt>
                <c:pt idx="9">
                  <c:v>6.1279E-2</c:v>
                </c:pt>
                <c:pt idx="10">
                  <c:v>6.1143999999999997E-2</c:v>
                </c:pt>
                <c:pt idx="11">
                  <c:v>5.9872000000000002E-2</c:v>
                </c:pt>
                <c:pt idx="12">
                  <c:v>5.9499999999999997E-2</c:v>
                </c:pt>
                <c:pt idx="13">
                  <c:v>5.9499999999999997E-2</c:v>
                </c:pt>
                <c:pt idx="14">
                  <c:v>5.9499999999999997E-2</c:v>
                </c:pt>
              </c:numCache>
            </c:numRef>
          </c:xVal>
          <c:yVal>
            <c:numRef>
              <c:f>'прием ЭЦН'!$O$56:$O$70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0.16745299999999999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D2-4386-9C12-76A3BD21CEB1}"/>
            </c:ext>
          </c:extLst>
        </c:ser>
        <c:ser>
          <c:idx val="3"/>
          <c:order val="3"/>
          <c:tx>
            <c:strRef>
              <c:f>'прием ЭЦН'!$E$58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ЭЦН'!$S$56:$S$70</c:f>
              <c:numCache>
                <c:formatCode>General</c:formatCode>
                <c:ptCount val="15"/>
                <c:pt idx="0">
                  <c:v>6.1884000000000002E-2</c:v>
                </c:pt>
                <c:pt idx="1">
                  <c:v>6.1884000000000002E-2</c:v>
                </c:pt>
                <c:pt idx="2">
                  <c:v>6.1884000000000002E-2</c:v>
                </c:pt>
                <c:pt idx="3">
                  <c:v>6.1884000000000002E-2</c:v>
                </c:pt>
                <c:pt idx="4">
                  <c:v>6.1884000000000002E-2</c:v>
                </c:pt>
                <c:pt idx="5">
                  <c:v>6.1884000000000002E-2</c:v>
                </c:pt>
                <c:pt idx="6">
                  <c:v>6.1884000000000002E-2</c:v>
                </c:pt>
                <c:pt idx="7">
                  <c:v>6.1884000000000002E-2</c:v>
                </c:pt>
                <c:pt idx="8">
                  <c:v>6.1884000000000002E-2</c:v>
                </c:pt>
                <c:pt idx="9">
                  <c:v>6.1884000000000002E-2</c:v>
                </c:pt>
                <c:pt idx="10">
                  <c:v>6.1884000000000002E-2</c:v>
                </c:pt>
                <c:pt idx="11">
                  <c:v>6.1362E-2</c:v>
                </c:pt>
                <c:pt idx="12">
                  <c:v>6.0999999999999999E-2</c:v>
                </c:pt>
                <c:pt idx="13">
                  <c:v>6.0999999999999999E-2</c:v>
                </c:pt>
                <c:pt idx="14">
                  <c:v>6.0999999999999999E-2</c:v>
                </c:pt>
              </c:numCache>
            </c:numRef>
          </c:xVal>
          <c:yVal>
            <c:numRef>
              <c:f>'прием ЭЦН'!$R$56:$R$70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0.17</c:v>
                </c:pt>
                <c:pt idx="10">
                  <c:v>0.183585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D2-4386-9C12-76A3BD21CEB1}"/>
            </c:ext>
          </c:extLst>
        </c:ser>
        <c:ser>
          <c:idx val="4"/>
          <c:order val="4"/>
          <c:tx>
            <c:strRef>
              <c:f>'прием ЭЦН'!$E$59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ЭЦН'!$V$56:$V$70</c:f>
              <c:numCache>
                <c:formatCode>General</c:formatCode>
                <c:ptCount val="15"/>
                <c:pt idx="0">
                  <c:v>5.6111000000000001E-2</c:v>
                </c:pt>
                <c:pt idx="1">
                  <c:v>5.6111000000000001E-2</c:v>
                </c:pt>
                <c:pt idx="2">
                  <c:v>5.6111000000000001E-2</c:v>
                </c:pt>
                <c:pt idx="3">
                  <c:v>5.6111000000000001E-2</c:v>
                </c:pt>
                <c:pt idx="4">
                  <c:v>5.6111000000000001E-2</c:v>
                </c:pt>
                <c:pt idx="5">
                  <c:v>5.6111000000000001E-2</c:v>
                </c:pt>
                <c:pt idx="6">
                  <c:v>5.6111000000000001E-2</c:v>
                </c:pt>
                <c:pt idx="7">
                  <c:v>5.6111000000000001E-2</c:v>
                </c:pt>
                <c:pt idx="8">
                  <c:v>5.6111000000000001E-2</c:v>
                </c:pt>
                <c:pt idx="9">
                  <c:v>5.6111000000000001E-2</c:v>
                </c:pt>
                <c:pt idx="10">
                  <c:v>5.6111000000000001E-2</c:v>
                </c:pt>
                <c:pt idx="11">
                  <c:v>5.6111000000000001E-2</c:v>
                </c:pt>
                <c:pt idx="12">
                  <c:v>5.5759999999999997E-2</c:v>
                </c:pt>
                <c:pt idx="13">
                  <c:v>5.5382000000000001E-2</c:v>
                </c:pt>
                <c:pt idx="14">
                  <c:v>5.5E-2</c:v>
                </c:pt>
              </c:numCache>
            </c:numRef>
          </c:xVal>
          <c:yVal>
            <c:numRef>
              <c:f>'прием ЭЦН'!$U$56:$U$70</c:f>
              <c:numCache>
                <c:formatCode>General</c:formatCode>
                <c:ptCount val="15"/>
                <c:pt idx="0">
                  <c:v>-0.04</c:v>
                </c:pt>
                <c:pt idx="1">
                  <c:v>-3.3077000000000002E-2</c:v>
                </c:pt>
                <c:pt idx="2">
                  <c:v>-2.6154E-2</c:v>
                </c:pt>
                <c:pt idx="3">
                  <c:v>-1.9231000000000002E-2</c:v>
                </c:pt>
                <c:pt idx="4">
                  <c:v>-1.2307999999999999E-2</c:v>
                </c:pt>
                <c:pt idx="5">
                  <c:v>-5.385E-3</c:v>
                </c:pt>
                <c:pt idx="6">
                  <c:v>1.5380000000000001E-3</c:v>
                </c:pt>
                <c:pt idx="7">
                  <c:v>8.4620000000000008E-3</c:v>
                </c:pt>
                <c:pt idx="8">
                  <c:v>1.5384999999999999E-2</c:v>
                </c:pt>
                <c:pt idx="9">
                  <c:v>2.2308000000000001E-2</c:v>
                </c:pt>
                <c:pt idx="10">
                  <c:v>2.9231E-2</c:v>
                </c:pt>
                <c:pt idx="11">
                  <c:v>2.9634000000000001E-2</c:v>
                </c:pt>
                <c:pt idx="12">
                  <c:v>3.6153999999999999E-2</c:v>
                </c:pt>
                <c:pt idx="13">
                  <c:v>4.3076999999999997E-2</c:v>
                </c:pt>
                <c:pt idx="14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D2-4386-9C12-76A3BD21CEB1}"/>
            </c:ext>
          </c:extLst>
        </c:ser>
        <c:ser>
          <c:idx val="5"/>
          <c:order val="5"/>
          <c:tx>
            <c:strRef>
              <c:f>'прием ЭЦН'!$E$60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ЭЦН'!$Y$56:$Y$70</c:f>
              <c:numCache>
                <c:formatCode>General</c:formatCode>
                <c:ptCount val="15"/>
                <c:pt idx="0">
                  <c:v>5.7237999999999997E-2</c:v>
                </c:pt>
                <c:pt idx="1">
                  <c:v>5.7237999999999997E-2</c:v>
                </c:pt>
                <c:pt idx="2">
                  <c:v>5.7237999999999997E-2</c:v>
                </c:pt>
                <c:pt idx="3">
                  <c:v>5.7237999999999997E-2</c:v>
                </c:pt>
                <c:pt idx="4">
                  <c:v>5.7237999999999997E-2</c:v>
                </c:pt>
                <c:pt idx="5">
                  <c:v>5.7237999999999997E-2</c:v>
                </c:pt>
                <c:pt idx="6">
                  <c:v>5.7237999999999997E-2</c:v>
                </c:pt>
                <c:pt idx="7">
                  <c:v>5.7237999999999997E-2</c:v>
                </c:pt>
                <c:pt idx="8">
                  <c:v>5.7237999999999997E-2</c:v>
                </c:pt>
                <c:pt idx="9">
                  <c:v>5.7237999999999997E-2</c:v>
                </c:pt>
                <c:pt idx="10">
                  <c:v>5.7237999999999997E-2</c:v>
                </c:pt>
                <c:pt idx="11">
                  <c:v>5.6805000000000001E-2</c:v>
                </c:pt>
                <c:pt idx="12">
                  <c:v>5.6215000000000001E-2</c:v>
                </c:pt>
                <c:pt idx="13">
                  <c:v>5.5613999999999997E-2</c:v>
                </c:pt>
                <c:pt idx="14">
                  <c:v>5.5E-2</c:v>
                </c:pt>
              </c:numCache>
            </c:numRef>
          </c:xVal>
          <c:yVal>
            <c:numRef>
              <c:f>'прием ЭЦН'!$X$56:$X$70</c:f>
              <c:numCache>
                <c:formatCode>General</c:formatCode>
                <c:ptCount val="15"/>
                <c:pt idx="0">
                  <c:v>-0.04</c:v>
                </c:pt>
                <c:pt idx="1">
                  <c:v>-2.9231E-2</c:v>
                </c:pt>
                <c:pt idx="2">
                  <c:v>-1.8461999999999999E-2</c:v>
                </c:pt>
                <c:pt idx="3">
                  <c:v>-7.6920000000000001E-3</c:v>
                </c:pt>
                <c:pt idx="4">
                  <c:v>3.0769999999999999E-3</c:v>
                </c:pt>
                <c:pt idx="5">
                  <c:v>1.3846000000000001E-2</c:v>
                </c:pt>
                <c:pt idx="6">
                  <c:v>2.4615000000000001E-2</c:v>
                </c:pt>
                <c:pt idx="7">
                  <c:v>3.5385E-2</c:v>
                </c:pt>
                <c:pt idx="8">
                  <c:v>4.6154000000000001E-2</c:v>
                </c:pt>
                <c:pt idx="9">
                  <c:v>5.6923000000000001E-2</c:v>
                </c:pt>
                <c:pt idx="10">
                  <c:v>5.9667999999999999E-2</c:v>
                </c:pt>
                <c:pt idx="11">
                  <c:v>6.7692000000000002E-2</c:v>
                </c:pt>
                <c:pt idx="12">
                  <c:v>7.8462000000000004E-2</c:v>
                </c:pt>
                <c:pt idx="13">
                  <c:v>8.9231000000000005E-2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D2-4386-9C12-76A3BD21CEB1}"/>
            </c:ext>
          </c:extLst>
        </c:ser>
        <c:ser>
          <c:idx val="6"/>
          <c:order val="6"/>
          <c:tx>
            <c:strRef>
              <c:f>'прием ЭЦН'!$E$61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ЭЦН'!$AB$56:$AB$70</c:f>
              <c:numCache>
                <c:formatCode>General</c:formatCode>
                <c:ptCount val="15"/>
                <c:pt idx="0">
                  <c:v>5.8377999999999999E-2</c:v>
                </c:pt>
                <c:pt idx="1">
                  <c:v>5.8377999999999999E-2</c:v>
                </c:pt>
                <c:pt idx="2">
                  <c:v>5.8377999999999999E-2</c:v>
                </c:pt>
                <c:pt idx="3">
                  <c:v>5.8377999999999999E-2</c:v>
                </c:pt>
                <c:pt idx="4">
                  <c:v>5.8377999999999999E-2</c:v>
                </c:pt>
                <c:pt idx="5">
                  <c:v>5.8377999999999999E-2</c:v>
                </c:pt>
                <c:pt idx="6">
                  <c:v>5.8377999999999999E-2</c:v>
                </c:pt>
                <c:pt idx="7">
                  <c:v>5.8377999999999999E-2</c:v>
                </c:pt>
                <c:pt idx="8">
                  <c:v>5.8377999999999999E-2</c:v>
                </c:pt>
                <c:pt idx="9">
                  <c:v>5.8377999999999999E-2</c:v>
                </c:pt>
                <c:pt idx="10">
                  <c:v>5.8299999999999998E-2</c:v>
                </c:pt>
                <c:pt idx="11">
                  <c:v>5.7507000000000003E-2</c:v>
                </c:pt>
                <c:pt idx="12">
                  <c:v>5.6694000000000001E-2</c:v>
                </c:pt>
                <c:pt idx="13">
                  <c:v>5.5858999999999999E-2</c:v>
                </c:pt>
                <c:pt idx="14">
                  <c:v>5.5E-2</c:v>
                </c:pt>
              </c:numCache>
            </c:numRef>
          </c:xVal>
          <c:yVal>
            <c:numRef>
              <c:f>'прием ЭЦН'!$AA$56:$AA$70</c:f>
              <c:numCache>
                <c:formatCode>General</c:formatCode>
                <c:ptCount val="15"/>
                <c:pt idx="0">
                  <c:v>-0.04</c:v>
                </c:pt>
                <c:pt idx="1">
                  <c:v>-2.5385000000000001E-2</c:v>
                </c:pt>
                <c:pt idx="2">
                  <c:v>-1.0769000000000001E-2</c:v>
                </c:pt>
                <c:pt idx="3">
                  <c:v>3.846E-3</c:v>
                </c:pt>
                <c:pt idx="4">
                  <c:v>1.8461999999999999E-2</c:v>
                </c:pt>
                <c:pt idx="5">
                  <c:v>3.3077000000000002E-2</c:v>
                </c:pt>
                <c:pt idx="6">
                  <c:v>4.7691999999999998E-2</c:v>
                </c:pt>
                <c:pt idx="7">
                  <c:v>6.2308000000000002E-2</c:v>
                </c:pt>
                <c:pt idx="8">
                  <c:v>7.6923000000000005E-2</c:v>
                </c:pt>
                <c:pt idx="9">
                  <c:v>9.0078000000000005E-2</c:v>
                </c:pt>
                <c:pt idx="10">
                  <c:v>9.1537999999999994E-2</c:v>
                </c:pt>
                <c:pt idx="11">
                  <c:v>0.106154</c:v>
                </c:pt>
                <c:pt idx="12">
                  <c:v>0.120769</c:v>
                </c:pt>
                <c:pt idx="13">
                  <c:v>0.13538500000000001</c:v>
                </c:pt>
                <c:pt idx="1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D2-4386-9C12-76A3BD21CEB1}"/>
            </c:ext>
          </c:extLst>
        </c:ser>
        <c:ser>
          <c:idx val="7"/>
          <c:order val="7"/>
          <c:tx>
            <c:strRef>
              <c:f>'прием ЭЦН'!$E$62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ЭЦН'!$AE$56:$AE$70</c:f>
              <c:numCache>
                <c:formatCode>General</c:formatCode>
                <c:ptCount val="15"/>
                <c:pt idx="0">
                  <c:v>5.9531000000000001E-2</c:v>
                </c:pt>
                <c:pt idx="1">
                  <c:v>5.9531000000000001E-2</c:v>
                </c:pt>
                <c:pt idx="2">
                  <c:v>5.9531000000000001E-2</c:v>
                </c:pt>
                <c:pt idx="3">
                  <c:v>5.9531000000000001E-2</c:v>
                </c:pt>
                <c:pt idx="4">
                  <c:v>5.9531000000000001E-2</c:v>
                </c:pt>
                <c:pt idx="5">
                  <c:v>5.9531000000000001E-2</c:v>
                </c:pt>
                <c:pt idx="6">
                  <c:v>5.9531000000000001E-2</c:v>
                </c:pt>
                <c:pt idx="7">
                  <c:v>5.9531000000000001E-2</c:v>
                </c:pt>
                <c:pt idx="8">
                  <c:v>5.9531000000000001E-2</c:v>
                </c:pt>
                <c:pt idx="9">
                  <c:v>5.9531000000000001E-2</c:v>
                </c:pt>
                <c:pt idx="10">
                  <c:v>5.9247000000000001E-2</c:v>
                </c:pt>
                <c:pt idx="11">
                  <c:v>5.8237999999999998E-2</c:v>
                </c:pt>
                <c:pt idx="12">
                  <c:v>5.7195000000000003E-2</c:v>
                </c:pt>
                <c:pt idx="13">
                  <c:v>5.6115999999999999E-2</c:v>
                </c:pt>
                <c:pt idx="14">
                  <c:v>5.5E-2</c:v>
                </c:pt>
              </c:numCache>
            </c:numRef>
          </c:xVal>
          <c:yVal>
            <c:numRef>
              <c:f>'прием ЭЦН'!$AD$56:$AD$70</c:f>
              <c:numCache>
                <c:formatCode>General</c:formatCode>
                <c:ptCount val="15"/>
                <c:pt idx="0">
                  <c:v>-0.04</c:v>
                </c:pt>
                <c:pt idx="1">
                  <c:v>-2.1538000000000002E-2</c:v>
                </c:pt>
                <c:pt idx="2">
                  <c:v>-3.0769999999999999E-3</c:v>
                </c:pt>
                <c:pt idx="3">
                  <c:v>1.5384999999999999E-2</c:v>
                </c:pt>
                <c:pt idx="4">
                  <c:v>3.3846000000000001E-2</c:v>
                </c:pt>
                <c:pt idx="5">
                  <c:v>5.2308E-2</c:v>
                </c:pt>
                <c:pt idx="6">
                  <c:v>7.0768999999999999E-2</c:v>
                </c:pt>
                <c:pt idx="7">
                  <c:v>8.9231000000000005E-2</c:v>
                </c:pt>
                <c:pt idx="8">
                  <c:v>0.107692</c:v>
                </c:pt>
                <c:pt idx="9">
                  <c:v>0.120839</c:v>
                </c:pt>
                <c:pt idx="10">
                  <c:v>0.12615399999999999</c:v>
                </c:pt>
                <c:pt idx="11">
                  <c:v>0.14461499999999999</c:v>
                </c:pt>
                <c:pt idx="12">
                  <c:v>0.163077</c:v>
                </c:pt>
                <c:pt idx="13">
                  <c:v>0.181538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D2-4386-9C12-76A3BD21CEB1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ЭЦН'!$I$74:$I$75</c:f>
              <c:numCache>
                <c:formatCode>General</c:formatCode>
                <c:ptCount val="2"/>
                <c:pt idx="0">
                  <c:v>5.5E-2</c:v>
                </c:pt>
                <c:pt idx="1">
                  <c:v>5.5E-2</c:v>
                </c:pt>
              </c:numCache>
            </c:numRef>
          </c:xVal>
          <c:yVal>
            <c:numRef>
              <c:f>'прием ЭЦН'!$J$74:$J$75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D2-4386-9C12-76A3BD21CEB1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ЭЦН'!$L$74:$L$75</c:f>
              <c:numCache>
                <c:formatCode>General</c:formatCode>
                <c:ptCount val="2"/>
                <c:pt idx="0">
                  <c:v>6.25E-2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ЭЦН'!$M$74:$M$75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0D2-4386-9C12-76A3BD21CEB1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ЭЦН'!$F$74:$F$75</c:f>
              <c:numCache>
                <c:formatCode>General</c:formatCode>
                <c:ptCount val="2"/>
                <c:pt idx="0">
                  <c:v>5.5E-2</c:v>
                </c:pt>
                <c:pt idx="1">
                  <c:v>5.5E-2</c:v>
                </c:pt>
              </c:numCache>
            </c:numRef>
          </c:xVal>
          <c:yVal>
            <c:numRef>
              <c:f>'прием ЭЦН'!$G$74:$G$75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0D2-4386-9C12-76A3BD21CEB1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ЭЦН'!$O$74:$O$75</c:f>
              <c:numCache>
                <c:formatCode>General</c:formatCode>
                <c:ptCount val="2"/>
                <c:pt idx="0">
                  <c:v>5.5E-2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ЭЦН'!$P$74:$P$75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0D2-4386-9C12-76A3BD21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сепарации для реверсивного потока с ЭЦН ниже</a:t>
            </a:r>
            <a:r>
              <a:rPr lang="ru-RU" baseline="0"/>
              <a:t> интервала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'реверсивный поток'!$P$28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поток'!$P$29:$P$40</c:f>
              <c:numCache>
                <c:formatCode>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0.48986481946038574</c:v>
                </c:pt>
                <c:pt idx="7">
                  <c:v>0.42885943756998379</c:v>
                </c:pt>
                <c:pt idx="8">
                  <c:v>0.38512882392131353</c:v>
                </c:pt>
                <c:pt idx="9">
                  <c:v>0.35202663603341866</c:v>
                </c:pt>
                <c:pt idx="10">
                  <c:v>0.32623643634890465</c:v>
                </c:pt>
                <c:pt idx="11">
                  <c:v>0.30495433074311518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9-4CC6-94A6-598F748B3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реверсивного потока с ЭЦН ниже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'реверсивный поток'!$E$55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поток'!$I$56:$I$70</c:f>
              <c:numCache>
                <c:formatCode>General</c:formatCode>
                <c:ptCount val="15"/>
                <c:pt idx="0">
                  <c:v>6.2878000000000003E-2</c:v>
                </c:pt>
                <c:pt idx="1">
                  <c:v>6.2887999999999999E-2</c:v>
                </c:pt>
                <c:pt idx="2">
                  <c:v>6.3041E-2</c:v>
                </c:pt>
                <c:pt idx="3">
                  <c:v>6.3203999999999996E-2</c:v>
                </c:pt>
                <c:pt idx="4">
                  <c:v>6.3367999999999994E-2</c:v>
                </c:pt>
                <c:pt idx="5">
                  <c:v>6.3531000000000004E-2</c:v>
                </c:pt>
                <c:pt idx="6">
                  <c:v>6.3694000000000001E-2</c:v>
                </c:pt>
                <c:pt idx="7">
                  <c:v>6.3856999999999997E-2</c:v>
                </c:pt>
                <c:pt idx="8">
                  <c:v>6.4020999999999995E-2</c:v>
                </c:pt>
                <c:pt idx="9">
                  <c:v>6.4184000000000005E-2</c:v>
                </c:pt>
                <c:pt idx="10">
                  <c:v>6.4347000000000001E-2</c:v>
                </c:pt>
                <c:pt idx="11">
                  <c:v>6.4509999999999998E-2</c:v>
                </c:pt>
                <c:pt idx="12">
                  <c:v>6.4673999999999995E-2</c:v>
                </c:pt>
                <c:pt idx="13">
                  <c:v>6.4837000000000006E-2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поток'!$J$56:$J$70</c:f>
              <c:numCache>
                <c:formatCode>General</c:formatCode>
                <c:ptCount val="15"/>
                <c:pt idx="0">
                  <c:v>0</c:v>
                </c:pt>
                <c:pt idx="1">
                  <c:v>0.21120800000000001</c:v>
                </c:pt>
                <c:pt idx="2">
                  <c:v>0.204042</c:v>
                </c:pt>
                <c:pt idx="3">
                  <c:v>0.196405</c:v>
                </c:pt>
                <c:pt idx="4">
                  <c:v>0.18876799999999999</c:v>
                </c:pt>
                <c:pt idx="5">
                  <c:v>0.18113099999999999</c:v>
                </c:pt>
                <c:pt idx="6">
                  <c:v>0.17349400000000001</c:v>
                </c:pt>
                <c:pt idx="7">
                  <c:v>0.165857</c:v>
                </c:pt>
                <c:pt idx="8">
                  <c:v>0.15814400000000001</c:v>
                </c:pt>
                <c:pt idx="9">
                  <c:v>0.15030499999999999</c:v>
                </c:pt>
                <c:pt idx="10">
                  <c:v>0.14246600000000001</c:v>
                </c:pt>
                <c:pt idx="11">
                  <c:v>0.134627</c:v>
                </c:pt>
                <c:pt idx="12">
                  <c:v>0.12678900000000001</c:v>
                </c:pt>
                <c:pt idx="13">
                  <c:v>0.11895</c:v>
                </c:pt>
                <c:pt idx="14">
                  <c:v>0.111111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7-42D7-B5DD-68E0ECCC33CA}"/>
            </c:ext>
          </c:extLst>
        </c:ser>
        <c:ser>
          <c:idx val="1"/>
          <c:order val="1"/>
          <c:tx>
            <c:strRef>
              <c:f>'реверсивный поток'!$E$56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поток'!$L$56:$L$70</c:f>
              <c:numCache>
                <c:formatCode>General</c:formatCode>
                <c:ptCount val="15"/>
                <c:pt idx="0">
                  <c:v>6.0923999999999999E-2</c:v>
                </c:pt>
                <c:pt idx="1">
                  <c:v>6.0934000000000002E-2</c:v>
                </c:pt>
                <c:pt idx="2">
                  <c:v>6.1237E-2</c:v>
                </c:pt>
                <c:pt idx="3">
                  <c:v>6.1551000000000002E-2</c:v>
                </c:pt>
                <c:pt idx="4">
                  <c:v>6.1864000000000002E-2</c:v>
                </c:pt>
                <c:pt idx="5">
                  <c:v>6.2177999999999997E-2</c:v>
                </c:pt>
                <c:pt idx="6">
                  <c:v>6.2491999999999999E-2</c:v>
                </c:pt>
                <c:pt idx="7">
                  <c:v>6.2805E-2</c:v>
                </c:pt>
                <c:pt idx="8">
                  <c:v>6.3118999999999995E-2</c:v>
                </c:pt>
                <c:pt idx="9">
                  <c:v>6.3432000000000002E-2</c:v>
                </c:pt>
                <c:pt idx="10">
                  <c:v>6.3745999999999997E-2</c:v>
                </c:pt>
                <c:pt idx="11">
                  <c:v>6.4059000000000005E-2</c:v>
                </c:pt>
                <c:pt idx="12">
                  <c:v>6.4373E-2</c:v>
                </c:pt>
                <c:pt idx="13">
                  <c:v>6.4685999999999994E-2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поток'!$M$56:$M$70</c:f>
              <c:numCache>
                <c:formatCode>General</c:formatCode>
                <c:ptCount val="15"/>
                <c:pt idx="0">
                  <c:v>0</c:v>
                </c:pt>
                <c:pt idx="1">
                  <c:v>0.40662199999999998</c:v>
                </c:pt>
                <c:pt idx="2">
                  <c:v>0.39344899999999999</c:v>
                </c:pt>
                <c:pt idx="3">
                  <c:v>0.37984099999999998</c:v>
                </c:pt>
                <c:pt idx="4">
                  <c:v>0.36606499999999997</c:v>
                </c:pt>
                <c:pt idx="5">
                  <c:v>0.35207300000000002</c:v>
                </c:pt>
                <c:pt idx="6">
                  <c:v>0.33808199999999999</c:v>
                </c:pt>
                <c:pt idx="7">
                  <c:v>0.32408999999999999</c:v>
                </c:pt>
                <c:pt idx="8">
                  <c:v>0.30976700000000001</c:v>
                </c:pt>
                <c:pt idx="9">
                  <c:v>0.29539199999999999</c:v>
                </c:pt>
                <c:pt idx="10">
                  <c:v>0.28101799999999999</c:v>
                </c:pt>
                <c:pt idx="11">
                  <c:v>0.26649400000000001</c:v>
                </c:pt>
                <c:pt idx="12">
                  <c:v>0.25173699999999999</c:v>
                </c:pt>
                <c:pt idx="13">
                  <c:v>0.23698</c:v>
                </c:pt>
                <c:pt idx="14">
                  <c:v>0.222222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7-42D7-B5DD-68E0ECCC33CA}"/>
            </c:ext>
          </c:extLst>
        </c:ser>
        <c:ser>
          <c:idx val="2"/>
          <c:order val="2"/>
          <c:tx>
            <c:strRef>
              <c:f>'реверсивный поток'!$E$57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поток'!$O$56:$O$70</c:f>
              <c:numCache>
                <c:formatCode>General</c:formatCode>
                <c:ptCount val="15"/>
                <c:pt idx="0">
                  <c:v>5.9084999999999999E-2</c:v>
                </c:pt>
                <c:pt idx="1">
                  <c:v>5.9095000000000002E-2</c:v>
                </c:pt>
                <c:pt idx="2">
                  <c:v>5.9540000000000003E-2</c:v>
                </c:pt>
                <c:pt idx="3">
                  <c:v>5.9995E-2</c:v>
                </c:pt>
                <c:pt idx="4">
                  <c:v>6.0449999999999997E-2</c:v>
                </c:pt>
                <c:pt idx="5">
                  <c:v>6.0905000000000001E-2</c:v>
                </c:pt>
                <c:pt idx="6">
                  <c:v>6.1359999999999998E-2</c:v>
                </c:pt>
                <c:pt idx="7">
                  <c:v>6.1815000000000002E-2</c:v>
                </c:pt>
                <c:pt idx="8">
                  <c:v>6.2269999999999999E-2</c:v>
                </c:pt>
                <c:pt idx="9">
                  <c:v>6.2725000000000003E-2</c:v>
                </c:pt>
                <c:pt idx="10">
                  <c:v>6.318E-2</c:v>
                </c:pt>
                <c:pt idx="11">
                  <c:v>6.3634999999999997E-2</c:v>
                </c:pt>
                <c:pt idx="12">
                  <c:v>6.4089999999999994E-2</c:v>
                </c:pt>
                <c:pt idx="13">
                  <c:v>6.4545000000000005E-2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поток'!$P$56:$P$70</c:f>
              <c:numCache>
                <c:formatCode>General</c:formatCode>
                <c:ptCount val="15"/>
                <c:pt idx="0">
                  <c:v>0</c:v>
                </c:pt>
                <c:pt idx="1">
                  <c:v>0.59051500000000001</c:v>
                </c:pt>
                <c:pt idx="2">
                  <c:v>0.572353</c:v>
                </c:pt>
                <c:pt idx="3">
                  <c:v>0.55356000000000005</c:v>
                </c:pt>
                <c:pt idx="4">
                  <c:v>0.53476599999999996</c:v>
                </c:pt>
                <c:pt idx="5">
                  <c:v>0.51546099999999995</c:v>
                </c:pt>
                <c:pt idx="6">
                  <c:v>0.496114</c:v>
                </c:pt>
                <c:pt idx="7">
                  <c:v>0.47658</c:v>
                </c:pt>
                <c:pt idx="8">
                  <c:v>0.45668199999999998</c:v>
                </c:pt>
                <c:pt idx="9">
                  <c:v>0.43678400000000001</c:v>
                </c:pt>
                <c:pt idx="10">
                  <c:v>0.416431</c:v>
                </c:pt>
                <c:pt idx="11">
                  <c:v>0.39598299999999997</c:v>
                </c:pt>
                <c:pt idx="12">
                  <c:v>0.37532599999999999</c:v>
                </c:pt>
                <c:pt idx="13">
                  <c:v>0.35432999999999998</c:v>
                </c:pt>
                <c:pt idx="14">
                  <c:v>0.33333299999999999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7-42D7-B5DD-68E0ECCC33CA}"/>
            </c:ext>
          </c:extLst>
        </c:ser>
        <c:ser>
          <c:idx val="3"/>
          <c:order val="3"/>
          <c:tx>
            <c:strRef>
              <c:f>'реверсивный поток'!$E$58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поток'!$R$56:$R$70</c:f>
              <c:numCache>
                <c:formatCode>General</c:formatCode>
                <c:ptCount val="15"/>
                <c:pt idx="0">
                  <c:v>5.7342999999999998E-2</c:v>
                </c:pt>
                <c:pt idx="1">
                  <c:v>5.7353000000000001E-2</c:v>
                </c:pt>
                <c:pt idx="2">
                  <c:v>5.7931999999999997E-2</c:v>
                </c:pt>
                <c:pt idx="3">
                  <c:v>5.8520999999999997E-2</c:v>
                </c:pt>
                <c:pt idx="4">
                  <c:v>5.9110000000000003E-2</c:v>
                </c:pt>
                <c:pt idx="5">
                  <c:v>5.9699000000000002E-2</c:v>
                </c:pt>
                <c:pt idx="6">
                  <c:v>6.0288000000000001E-2</c:v>
                </c:pt>
                <c:pt idx="7">
                  <c:v>6.0877000000000001E-2</c:v>
                </c:pt>
                <c:pt idx="8">
                  <c:v>6.1466E-2</c:v>
                </c:pt>
                <c:pt idx="9">
                  <c:v>6.2054999999999999E-2</c:v>
                </c:pt>
                <c:pt idx="10">
                  <c:v>6.2644000000000005E-2</c:v>
                </c:pt>
                <c:pt idx="11">
                  <c:v>6.3232999999999998E-2</c:v>
                </c:pt>
                <c:pt idx="12">
                  <c:v>6.3822000000000004E-2</c:v>
                </c:pt>
                <c:pt idx="13">
                  <c:v>6.4410999999999996E-2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поток'!$S$56:$S$70</c:f>
              <c:numCache>
                <c:formatCode>General</c:formatCode>
                <c:ptCount val="15"/>
                <c:pt idx="0">
                  <c:v>0</c:v>
                </c:pt>
                <c:pt idx="1">
                  <c:v>0.76469799999999999</c:v>
                </c:pt>
                <c:pt idx="2">
                  <c:v>0.742618</c:v>
                </c:pt>
                <c:pt idx="3">
                  <c:v>0.719495</c:v>
                </c:pt>
                <c:pt idx="4">
                  <c:v>0.69637199999999999</c:v>
                </c:pt>
                <c:pt idx="5">
                  <c:v>0.67259500000000005</c:v>
                </c:pt>
                <c:pt idx="6">
                  <c:v>0.64875899999999997</c:v>
                </c:pt>
                <c:pt idx="7">
                  <c:v>0.62434100000000003</c:v>
                </c:pt>
                <c:pt idx="8">
                  <c:v>0.59979499999999997</c:v>
                </c:pt>
                <c:pt idx="9">
                  <c:v>0.57469700000000001</c:v>
                </c:pt>
                <c:pt idx="10">
                  <c:v>0.54944499999999996</c:v>
                </c:pt>
                <c:pt idx="11">
                  <c:v>0.52362900000000001</c:v>
                </c:pt>
                <c:pt idx="12">
                  <c:v>0.49767299999999998</c:v>
                </c:pt>
                <c:pt idx="13">
                  <c:v>0.47110200000000002</c:v>
                </c:pt>
                <c:pt idx="14">
                  <c:v>0.44444400000000001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77-42D7-B5DD-68E0ECCC33CA}"/>
            </c:ext>
          </c:extLst>
        </c:ser>
        <c:ser>
          <c:idx val="4"/>
          <c:order val="4"/>
          <c:tx>
            <c:strRef>
              <c:f>'реверсивный поток'!$E$59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поток'!$U$56:$U$70</c:f>
              <c:numCache>
                <c:formatCode>General</c:formatCode>
                <c:ptCount val="15"/>
                <c:pt idx="0">
                  <c:v>5.5676999999999997E-2</c:v>
                </c:pt>
                <c:pt idx="1">
                  <c:v>5.5687E-2</c:v>
                </c:pt>
                <c:pt idx="2">
                  <c:v>5.6394E-2</c:v>
                </c:pt>
                <c:pt idx="3">
                  <c:v>5.7111000000000002E-2</c:v>
                </c:pt>
                <c:pt idx="4">
                  <c:v>5.7827999999999997E-2</c:v>
                </c:pt>
                <c:pt idx="5">
                  <c:v>5.8546000000000001E-2</c:v>
                </c:pt>
                <c:pt idx="6">
                  <c:v>5.9263000000000003E-2</c:v>
                </c:pt>
                <c:pt idx="7">
                  <c:v>5.9979999999999999E-2</c:v>
                </c:pt>
                <c:pt idx="8">
                  <c:v>6.0697000000000001E-2</c:v>
                </c:pt>
                <c:pt idx="9">
                  <c:v>6.1414000000000003E-2</c:v>
                </c:pt>
                <c:pt idx="10">
                  <c:v>6.2130999999999999E-2</c:v>
                </c:pt>
                <c:pt idx="11">
                  <c:v>6.2849000000000002E-2</c:v>
                </c:pt>
                <c:pt idx="12">
                  <c:v>6.3565999999999998E-2</c:v>
                </c:pt>
                <c:pt idx="13">
                  <c:v>6.4283000000000007E-2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поток'!$V$56:$V$70</c:f>
              <c:numCache>
                <c:formatCode>General</c:formatCode>
                <c:ptCount val="15"/>
                <c:pt idx="0">
                  <c:v>0</c:v>
                </c:pt>
                <c:pt idx="1">
                  <c:v>0.931307</c:v>
                </c:pt>
                <c:pt idx="2">
                  <c:v>0.905829</c:v>
                </c:pt>
                <c:pt idx="3">
                  <c:v>0.87912400000000002</c:v>
                </c:pt>
                <c:pt idx="4">
                  <c:v>0.85230600000000001</c:v>
                </c:pt>
                <c:pt idx="5">
                  <c:v>0.82472199999999996</c:v>
                </c:pt>
                <c:pt idx="6">
                  <c:v>0.79687600000000003</c:v>
                </c:pt>
                <c:pt idx="7">
                  <c:v>0.76842999999999995</c:v>
                </c:pt>
                <c:pt idx="8">
                  <c:v>0.73951599999999995</c:v>
                </c:pt>
                <c:pt idx="9">
                  <c:v>0.71021400000000001</c:v>
                </c:pt>
                <c:pt idx="10">
                  <c:v>0.68019600000000002</c:v>
                </c:pt>
                <c:pt idx="11">
                  <c:v>0.64988699999999999</c:v>
                </c:pt>
                <c:pt idx="12">
                  <c:v>0.61888600000000005</c:v>
                </c:pt>
                <c:pt idx="13">
                  <c:v>0.58740199999999998</c:v>
                </c:pt>
                <c:pt idx="14">
                  <c:v>0.55555600000000005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77-42D7-B5DD-68E0ECCC33CA}"/>
            </c:ext>
          </c:extLst>
        </c:ser>
        <c:ser>
          <c:idx val="5"/>
          <c:order val="5"/>
          <c:tx>
            <c:strRef>
              <c:f>'реверсивный поток'!$E$60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поток'!$X$56:$X$70</c:f>
              <c:numCache>
                <c:formatCode>General</c:formatCode>
                <c:ptCount val="15"/>
                <c:pt idx="0">
                  <c:v>5.6677999999999999E-2</c:v>
                </c:pt>
                <c:pt idx="1">
                  <c:v>5.6688000000000002E-2</c:v>
                </c:pt>
                <c:pt idx="2">
                  <c:v>5.7319000000000002E-2</c:v>
                </c:pt>
                <c:pt idx="3">
                  <c:v>5.7958999999999997E-2</c:v>
                </c:pt>
                <c:pt idx="4">
                  <c:v>5.8598999999999998E-2</c:v>
                </c:pt>
                <c:pt idx="5">
                  <c:v>5.9239E-2</c:v>
                </c:pt>
                <c:pt idx="6">
                  <c:v>5.9879000000000002E-2</c:v>
                </c:pt>
                <c:pt idx="7">
                  <c:v>6.0519000000000003E-2</c:v>
                </c:pt>
                <c:pt idx="8">
                  <c:v>6.1158999999999998E-2</c:v>
                </c:pt>
                <c:pt idx="9">
                  <c:v>6.1799E-2</c:v>
                </c:pt>
                <c:pt idx="10">
                  <c:v>6.2440000000000002E-2</c:v>
                </c:pt>
                <c:pt idx="11">
                  <c:v>6.3079999999999997E-2</c:v>
                </c:pt>
                <c:pt idx="12">
                  <c:v>6.3719999999999999E-2</c:v>
                </c:pt>
                <c:pt idx="13">
                  <c:v>6.4360000000000001E-2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поток'!$Y$56:$Y$70</c:f>
              <c:numCache>
                <c:formatCode>General</c:formatCode>
                <c:ptCount val="15"/>
                <c:pt idx="0">
                  <c:v>1.2</c:v>
                </c:pt>
                <c:pt idx="1">
                  <c:v>1</c:v>
                </c:pt>
                <c:pt idx="2">
                  <c:v>0.97700600000000004</c:v>
                </c:pt>
                <c:pt idx="3">
                  <c:v>0.95321800000000001</c:v>
                </c:pt>
                <c:pt idx="4">
                  <c:v>0.92908900000000005</c:v>
                </c:pt>
                <c:pt idx="5">
                  <c:v>0.90458899999999998</c:v>
                </c:pt>
                <c:pt idx="6">
                  <c:v>0.87969699999999995</c:v>
                </c:pt>
                <c:pt idx="7">
                  <c:v>0.85444299999999995</c:v>
                </c:pt>
                <c:pt idx="8">
                  <c:v>0.828793</c:v>
                </c:pt>
                <c:pt idx="9">
                  <c:v>0.80274500000000004</c:v>
                </c:pt>
                <c:pt idx="10">
                  <c:v>0.77634199999999998</c:v>
                </c:pt>
                <c:pt idx="11">
                  <c:v>0.74946400000000002</c:v>
                </c:pt>
                <c:pt idx="12">
                  <c:v>0.72231100000000004</c:v>
                </c:pt>
                <c:pt idx="13">
                  <c:v>0.69456600000000002</c:v>
                </c:pt>
                <c:pt idx="14">
                  <c:v>0.66666700000000001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77-42D7-B5DD-68E0ECCC33CA}"/>
            </c:ext>
          </c:extLst>
        </c:ser>
        <c:ser>
          <c:idx val="6"/>
          <c:order val="6"/>
          <c:tx>
            <c:strRef>
              <c:f>'реверсивный поток'!$E$61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поток'!$AA$56:$AA$70</c:f>
              <c:numCache>
                <c:formatCode>General</c:formatCode>
                <c:ptCount val="15"/>
                <c:pt idx="0">
                  <c:v>5.9531000000000001E-2</c:v>
                </c:pt>
                <c:pt idx="1">
                  <c:v>5.9540999999999997E-2</c:v>
                </c:pt>
                <c:pt idx="2">
                  <c:v>5.9951999999999998E-2</c:v>
                </c:pt>
                <c:pt idx="3">
                  <c:v>6.0372000000000002E-2</c:v>
                </c:pt>
                <c:pt idx="4">
                  <c:v>6.0793E-2</c:v>
                </c:pt>
                <c:pt idx="5">
                  <c:v>6.1213999999999998E-2</c:v>
                </c:pt>
                <c:pt idx="6">
                  <c:v>6.1634000000000001E-2</c:v>
                </c:pt>
                <c:pt idx="7">
                  <c:v>6.2054999999999999E-2</c:v>
                </c:pt>
                <c:pt idx="8">
                  <c:v>6.2475999999999997E-2</c:v>
                </c:pt>
                <c:pt idx="9">
                  <c:v>6.2895999999999994E-2</c:v>
                </c:pt>
                <c:pt idx="10">
                  <c:v>6.3316999999999998E-2</c:v>
                </c:pt>
                <c:pt idx="11">
                  <c:v>6.3738000000000003E-2</c:v>
                </c:pt>
                <c:pt idx="12">
                  <c:v>6.4158999999999994E-2</c:v>
                </c:pt>
                <c:pt idx="13">
                  <c:v>6.4578999999999998E-2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поток'!$AB$56:$AB$70</c:f>
              <c:numCache>
                <c:formatCode>General</c:formatCode>
                <c:ptCount val="15"/>
                <c:pt idx="0">
                  <c:v>1.2</c:v>
                </c:pt>
                <c:pt idx="1">
                  <c:v>1</c:v>
                </c:pt>
                <c:pt idx="2">
                  <c:v>0.98433700000000002</c:v>
                </c:pt>
                <c:pt idx="3">
                  <c:v>0.968001</c:v>
                </c:pt>
                <c:pt idx="4">
                  <c:v>0.95146200000000003</c:v>
                </c:pt>
                <c:pt idx="5">
                  <c:v>0.93492399999999998</c:v>
                </c:pt>
                <c:pt idx="6">
                  <c:v>0.91810700000000001</c:v>
                </c:pt>
                <c:pt idx="7">
                  <c:v>0.90107800000000005</c:v>
                </c:pt>
                <c:pt idx="8">
                  <c:v>0.88404899999999997</c:v>
                </c:pt>
                <c:pt idx="9">
                  <c:v>0.86671200000000004</c:v>
                </c:pt>
                <c:pt idx="10">
                  <c:v>0.84919500000000003</c:v>
                </c:pt>
                <c:pt idx="11">
                  <c:v>0.83167800000000003</c:v>
                </c:pt>
                <c:pt idx="12">
                  <c:v>0.81378300000000003</c:v>
                </c:pt>
                <c:pt idx="13">
                  <c:v>0.79578099999999996</c:v>
                </c:pt>
                <c:pt idx="14">
                  <c:v>0.77777799999999997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77-42D7-B5DD-68E0ECCC33CA}"/>
            </c:ext>
          </c:extLst>
        </c:ser>
        <c:ser>
          <c:idx val="7"/>
          <c:order val="7"/>
          <c:tx>
            <c:strRef>
              <c:f>'реверсивный поток'!$E$62</c:f>
              <c:strCache>
                <c:ptCount val="1"/>
                <c:pt idx="0">
                  <c:v>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поток'!$AD$56:$AD$70</c:f>
              <c:numCache>
                <c:formatCode>General</c:formatCode>
                <c:ptCount val="15"/>
                <c:pt idx="0">
                  <c:v>6.2297999999999999E-2</c:v>
                </c:pt>
                <c:pt idx="1">
                  <c:v>6.2308000000000002E-2</c:v>
                </c:pt>
                <c:pt idx="2">
                  <c:v>6.2506000000000006E-2</c:v>
                </c:pt>
                <c:pt idx="3">
                  <c:v>6.2713000000000005E-2</c:v>
                </c:pt>
                <c:pt idx="4">
                  <c:v>6.2921000000000005E-2</c:v>
                </c:pt>
                <c:pt idx="5">
                  <c:v>6.3129000000000005E-2</c:v>
                </c:pt>
                <c:pt idx="6">
                  <c:v>6.3337000000000004E-2</c:v>
                </c:pt>
                <c:pt idx="7">
                  <c:v>6.3545000000000004E-2</c:v>
                </c:pt>
                <c:pt idx="8">
                  <c:v>6.3753000000000004E-2</c:v>
                </c:pt>
                <c:pt idx="9">
                  <c:v>6.3961000000000004E-2</c:v>
                </c:pt>
                <c:pt idx="10">
                  <c:v>6.4169000000000004E-2</c:v>
                </c:pt>
                <c:pt idx="11">
                  <c:v>6.4376000000000003E-2</c:v>
                </c:pt>
                <c:pt idx="12">
                  <c:v>6.4584000000000003E-2</c:v>
                </c:pt>
                <c:pt idx="13">
                  <c:v>6.4792000000000002E-2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поток'!$AE$56:$AE$70</c:f>
              <c:numCache>
                <c:formatCode>General</c:formatCode>
                <c:ptCount val="15"/>
                <c:pt idx="0">
                  <c:v>1.2</c:v>
                </c:pt>
                <c:pt idx="1">
                  <c:v>1</c:v>
                </c:pt>
                <c:pt idx="2">
                  <c:v>0.99213799999999996</c:v>
                </c:pt>
                <c:pt idx="3">
                  <c:v>0.98373299999999997</c:v>
                </c:pt>
                <c:pt idx="4">
                  <c:v>0.97523499999999996</c:v>
                </c:pt>
                <c:pt idx="5">
                  <c:v>0.96673600000000004</c:v>
                </c:pt>
                <c:pt idx="6">
                  <c:v>0.95823800000000003</c:v>
                </c:pt>
                <c:pt idx="7">
                  <c:v>0.949739</c:v>
                </c:pt>
                <c:pt idx="8">
                  <c:v>0.94124099999999999</c:v>
                </c:pt>
                <c:pt idx="9">
                  <c:v>0.93257000000000001</c:v>
                </c:pt>
                <c:pt idx="10">
                  <c:v>0.92383400000000004</c:v>
                </c:pt>
                <c:pt idx="11">
                  <c:v>0.91509799999999997</c:v>
                </c:pt>
                <c:pt idx="12">
                  <c:v>0.90636099999999997</c:v>
                </c:pt>
                <c:pt idx="13">
                  <c:v>0.89762500000000001</c:v>
                </c:pt>
                <c:pt idx="14">
                  <c:v>0.88888900000000004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77-42D7-B5DD-68E0ECCC33C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поток'!$I$74:$I$75</c:f>
              <c:numCache>
                <c:formatCode>General</c:formatCode>
                <c:ptCount val="2"/>
                <c:pt idx="0">
                  <c:v>5.5E-2</c:v>
                </c:pt>
                <c:pt idx="1">
                  <c:v>5.5E-2</c:v>
                </c:pt>
              </c:numCache>
            </c:numRef>
          </c:xVal>
          <c:yVal>
            <c:numRef>
              <c:f>'реверсивный поток'!$J$74:$J$75</c:f>
              <c:numCache>
                <c:formatCode>General</c:formatCode>
                <c:ptCount val="2"/>
                <c:pt idx="0">
                  <c:v>-0.19999999999999996</c:v>
                </c:pt>
                <c:pt idx="1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77-42D7-B5DD-68E0ECCC33C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поток'!$L$74:$L$75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поток'!$M$74:$M$75</c:f>
              <c:numCache>
                <c:formatCode>General</c:formatCode>
                <c:ptCount val="2"/>
                <c:pt idx="0">
                  <c:v>-0.19999999999999996</c:v>
                </c:pt>
                <c:pt idx="1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77-42D7-B5DD-68E0ECCC33CA}"/>
            </c:ext>
          </c:extLst>
        </c:ser>
        <c:ser>
          <c:idx val="10"/>
          <c:order val="10"/>
          <c:spPr>
            <a:ln w="635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поток'!$F$74:$F$75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поток'!$G$74:$G$75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77-42D7-B5DD-68E0ECCC33C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'реверсивный поток'!$O$74:$O$75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5.5E-2</c:v>
                </c:pt>
              </c:numCache>
            </c:numRef>
          </c:xVal>
          <c:yVal>
            <c:numRef>
              <c:f>'реверсивный поток'!$P$74:$P$75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77-42D7-B5DD-68E0ECCC3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скорости всплытия</a:t>
            </a:r>
            <a:r>
              <a:rPr lang="ru-RU" baseline="0"/>
              <a:t> газа от дебита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поток'!$X$29:$X$40</c:f>
              <c:numCache>
                <c:formatCode>General</c:formatCode>
                <c:ptCount val="12"/>
                <c:pt idx="0">
                  <c:v>0.2341423624421681</c:v>
                </c:pt>
                <c:pt idx="1">
                  <c:v>0.2140730170871033</c:v>
                </c:pt>
                <c:pt idx="2">
                  <c:v>0.16389965369944134</c:v>
                </c:pt>
                <c:pt idx="3">
                  <c:v>0.11372629031177939</c:v>
                </c:pt>
                <c:pt idx="4">
                  <c:v>6.3552926924117417E-2</c:v>
                </c:pt>
                <c:pt idx="5">
                  <c:v>1.3379563536455438E-2</c:v>
                </c:pt>
                <c:pt idx="6">
                  <c:v>-3.6793799851206545E-2</c:v>
                </c:pt>
                <c:pt idx="7">
                  <c:v>-8.6967163238868522E-2</c:v>
                </c:pt>
                <c:pt idx="8">
                  <c:v>-0.13714052662653045</c:v>
                </c:pt>
                <c:pt idx="9">
                  <c:v>-0.18731389001419249</c:v>
                </c:pt>
                <c:pt idx="10">
                  <c:v>-0.23748725340185448</c:v>
                </c:pt>
                <c:pt idx="11">
                  <c:v>-0.28766061678951632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E-43D2-A525-60B9E72BD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73696"/>
        <c:axId val="1030274528"/>
      </c:scatterChart>
      <c:valAx>
        <c:axId val="103027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4528"/>
        <c:crosses val="autoZero"/>
        <c:crossBetween val="midCat"/>
      </c:valAx>
      <c:valAx>
        <c:axId val="10302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ПКВ'!$S$29:$S$40</c:f>
              <c:numCache>
                <c:formatCode>General</c:formatCode>
                <c:ptCount val="12"/>
                <c:pt idx="0">
                  <c:v>0.93885768532930647</c:v>
                </c:pt>
                <c:pt idx="1">
                  <c:v>0.84208097139021776</c:v>
                </c:pt>
                <c:pt idx="2">
                  <c:v>0.67024972330033383</c:v>
                </c:pt>
                <c:pt idx="3">
                  <c:v>0.48945648769944516</c:v>
                </c:pt>
                <c:pt idx="4">
                  <c:v>0.30374886684209657</c:v>
                </c:pt>
                <c:pt idx="5">
                  <c:v>0.11624651709069658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8-4D25-86EF-96408067DCE6}"/>
            </c:ext>
          </c:extLst>
        </c:ser>
        <c:ser>
          <c:idx val="1"/>
          <c:order val="1"/>
          <c:tx>
            <c:strRef>
              <c:f>'прием ПКВ'!$O$28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ПКВ'!$O$29:$O$40</c:f>
              <c:numCache>
                <c:formatCode>0.00</c:formatCode>
                <c:ptCount val="12"/>
                <c:pt idx="0">
                  <c:v>0.97094276360704257</c:v>
                </c:pt>
                <c:pt idx="1">
                  <c:v>0.94507443057994278</c:v>
                </c:pt>
                <c:pt idx="2">
                  <c:v>0.90062070437749175</c:v>
                </c:pt>
                <c:pt idx="3">
                  <c:v>0.86394374751654179</c:v>
                </c:pt>
                <c:pt idx="4">
                  <c:v>0.83044907426918413</c:v>
                </c:pt>
                <c:pt idx="5">
                  <c:v>0.79952293601858515</c:v>
                </c:pt>
                <c:pt idx="6">
                  <c:v>0.7707687062379216</c:v>
                </c:pt>
                <c:pt idx="7">
                  <c:v>0.74390416277887839</c:v>
                </c:pt>
                <c:pt idx="8">
                  <c:v>0.7187157768738498</c:v>
                </c:pt>
                <c:pt idx="9">
                  <c:v>0.69503493181676235</c:v>
                </c:pt>
                <c:pt idx="10">
                  <c:v>0.67272420284554657</c:v>
                </c:pt>
                <c:pt idx="11">
                  <c:v>0.66976227366867092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8-4D25-86EF-96408067DCE6}"/>
            </c:ext>
          </c:extLst>
        </c:ser>
        <c:ser>
          <c:idx val="2"/>
          <c:order val="2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0.98980961422155112</c:v>
                </c:pt>
                <c:pt idx="1">
                  <c:v>0.97368016189836959</c:v>
                </c:pt>
                <c:pt idx="2">
                  <c:v>0.94504162055005558</c:v>
                </c:pt>
                <c:pt idx="3">
                  <c:v>0.91490941461657416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8-4D25-86EF-96408067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ПКВ'!$J$56:$J$70</c:f>
              <c:numCache>
                <c:formatCode>General</c:formatCode>
                <c:ptCount val="15"/>
                <c:pt idx="0">
                  <c:v>5.8722000000000003E-2</c:v>
                </c:pt>
                <c:pt idx="1">
                  <c:v>5.8722000000000003E-2</c:v>
                </c:pt>
                <c:pt idx="2">
                  <c:v>5.8722000000000003E-2</c:v>
                </c:pt>
                <c:pt idx="3">
                  <c:v>5.8722000000000003E-2</c:v>
                </c:pt>
                <c:pt idx="4">
                  <c:v>5.8722000000000003E-2</c:v>
                </c:pt>
                <c:pt idx="5">
                  <c:v>5.8639999999999998E-2</c:v>
                </c:pt>
                <c:pt idx="6">
                  <c:v>5.8520999999999997E-2</c:v>
                </c:pt>
                <c:pt idx="7">
                  <c:v>5.8400000000000001E-2</c:v>
                </c:pt>
                <c:pt idx="8">
                  <c:v>5.8278000000000003E-2</c:v>
                </c:pt>
                <c:pt idx="9">
                  <c:v>5.8153000000000003E-2</c:v>
                </c:pt>
                <c:pt idx="10">
                  <c:v>5.8026000000000001E-2</c:v>
                </c:pt>
                <c:pt idx="11">
                  <c:v>5.7897999999999998E-2</c:v>
                </c:pt>
                <c:pt idx="12">
                  <c:v>5.7766999999999999E-2</c:v>
                </c:pt>
                <c:pt idx="13">
                  <c:v>5.7634999999999999E-2</c:v>
                </c:pt>
                <c:pt idx="14">
                  <c:v>5.7500000000000002E-2</c:v>
                </c:pt>
              </c:numCache>
            </c:numRef>
          </c:xVal>
          <c:yVal>
            <c:numRef>
              <c:f>'прием ПКВ'!$I$56:$I$70</c:f>
              <c:numCache>
                <c:formatCode>General</c:formatCode>
                <c:ptCount val="15"/>
                <c:pt idx="0">
                  <c:v>-0.02</c:v>
                </c:pt>
                <c:pt idx="1">
                  <c:v>-1.3258000000000001E-2</c:v>
                </c:pt>
                <c:pt idx="2">
                  <c:v>-6.5160000000000001E-3</c:v>
                </c:pt>
                <c:pt idx="3">
                  <c:v>2.2599999999999999E-4</c:v>
                </c:pt>
                <c:pt idx="4">
                  <c:v>2.222E-3</c:v>
                </c:pt>
                <c:pt idx="5">
                  <c:v>6.9680000000000002E-3</c:v>
                </c:pt>
                <c:pt idx="6">
                  <c:v>1.371E-2</c:v>
                </c:pt>
                <c:pt idx="7">
                  <c:v>2.0452000000000001E-2</c:v>
                </c:pt>
                <c:pt idx="8">
                  <c:v>2.7193999999999999E-2</c:v>
                </c:pt>
                <c:pt idx="9">
                  <c:v>3.3936000000000001E-2</c:v>
                </c:pt>
                <c:pt idx="10">
                  <c:v>4.0676999999999998E-2</c:v>
                </c:pt>
                <c:pt idx="11">
                  <c:v>4.7419000000000003E-2</c:v>
                </c:pt>
                <c:pt idx="12">
                  <c:v>5.4161000000000001E-2</c:v>
                </c:pt>
                <c:pt idx="13">
                  <c:v>6.0902999999999999E-2</c:v>
                </c:pt>
                <c:pt idx="14">
                  <c:v>6.7644999999999997E-2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DBD-B82D-BF0BA7E1E02A}"/>
            </c:ext>
          </c:extLst>
        </c:ser>
        <c:ser>
          <c:idx val="1"/>
          <c:order val="1"/>
          <c:tx>
            <c:strRef>
              <c:f>'прием ПКВ'!$E$56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ПКВ'!$M$56:$M$70</c:f>
              <c:numCache>
                <c:formatCode>General</c:formatCode>
                <c:ptCount val="15"/>
                <c:pt idx="0">
                  <c:v>5.9943999999999997E-2</c:v>
                </c:pt>
                <c:pt idx="1">
                  <c:v>5.9943999999999997E-2</c:v>
                </c:pt>
                <c:pt idx="2">
                  <c:v>5.9943999999999997E-2</c:v>
                </c:pt>
                <c:pt idx="3">
                  <c:v>5.9943999999999997E-2</c:v>
                </c:pt>
                <c:pt idx="4">
                  <c:v>5.9762999999999997E-2</c:v>
                </c:pt>
                <c:pt idx="5">
                  <c:v>5.9556999999999999E-2</c:v>
                </c:pt>
                <c:pt idx="6">
                  <c:v>5.9346000000000003E-2</c:v>
                </c:pt>
                <c:pt idx="7">
                  <c:v>5.9129000000000001E-2</c:v>
                </c:pt>
                <c:pt idx="8">
                  <c:v>5.8906E-2</c:v>
                </c:pt>
                <c:pt idx="9">
                  <c:v>5.8678000000000001E-2</c:v>
                </c:pt>
                <c:pt idx="10">
                  <c:v>5.8443000000000002E-2</c:v>
                </c:pt>
                <c:pt idx="11">
                  <c:v>5.8245999999999999E-2</c:v>
                </c:pt>
                <c:pt idx="12">
                  <c:v>5.8245999999999999E-2</c:v>
                </c:pt>
                <c:pt idx="13">
                  <c:v>5.8245999999999999E-2</c:v>
                </c:pt>
                <c:pt idx="14">
                  <c:v>5.8245999999999999E-2</c:v>
                </c:pt>
              </c:numCache>
            </c:numRef>
          </c:xVal>
          <c:yVal>
            <c:numRef>
              <c:f>'прием ПКВ'!$L$56:$L$70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4.444E-3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9.4573000000000004E-2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DBD-B82D-BF0BA7E1E02A}"/>
            </c:ext>
          </c:extLst>
        </c:ser>
        <c:ser>
          <c:idx val="2"/>
          <c:order val="2"/>
          <c:tx>
            <c:strRef>
              <c:f>'прием ПКВ'!$E$57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ПКВ'!$P$56:$P$70</c:f>
              <c:numCache>
                <c:formatCode>General</c:formatCode>
                <c:ptCount val="15"/>
                <c:pt idx="0">
                  <c:v>6.1166999999999999E-2</c:v>
                </c:pt>
                <c:pt idx="1">
                  <c:v>6.1166999999999999E-2</c:v>
                </c:pt>
                <c:pt idx="2">
                  <c:v>6.1166999999999999E-2</c:v>
                </c:pt>
                <c:pt idx="3">
                  <c:v>6.1166999999999999E-2</c:v>
                </c:pt>
                <c:pt idx="4">
                  <c:v>6.1025999999999997E-2</c:v>
                </c:pt>
                <c:pt idx="5">
                  <c:v>6.0825999999999998E-2</c:v>
                </c:pt>
                <c:pt idx="6">
                  <c:v>6.062E-2</c:v>
                </c:pt>
                <c:pt idx="7">
                  <c:v>6.0408000000000003E-2</c:v>
                </c:pt>
                <c:pt idx="8">
                  <c:v>6.0191000000000001E-2</c:v>
                </c:pt>
                <c:pt idx="9">
                  <c:v>5.9968E-2</c:v>
                </c:pt>
                <c:pt idx="10">
                  <c:v>5.9769000000000003E-2</c:v>
                </c:pt>
                <c:pt idx="11">
                  <c:v>5.9769000000000003E-2</c:v>
                </c:pt>
                <c:pt idx="12">
                  <c:v>5.9769000000000003E-2</c:v>
                </c:pt>
                <c:pt idx="13">
                  <c:v>5.9769000000000003E-2</c:v>
                </c:pt>
                <c:pt idx="14">
                  <c:v>5.9769000000000003E-2</c:v>
                </c:pt>
              </c:numCache>
            </c:numRef>
          </c:xVal>
          <c:yVal>
            <c:numRef>
              <c:f>'прием ПКВ'!$O$56:$O$70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6.6670000000000002E-3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8.3501000000000006E-2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3-4DBD-B82D-BF0BA7E1E02A}"/>
            </c:ext>
          </c:extLst>
        </c:ser>
        <c:ser>
          <c:idx val="3"/>
          <c:order val="3"/>
          <c:tx>
            <c:strRef>
              <c:f>'прием ПКВ'!$E$58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ПКВ'!$S$56:$S$70</c:f>
              <c:numCache>
                <c:formatCode>General</c:formatCode>
                <c:ptCount val="15"/>
                <c:pt idx="0">
                  <c:v>6.2389E-2</c:v>
                </c:pt>
                <c:pt idx="1">
                  <c:v>6.2389E-2</c:v>
                </c:pt>
                <c:pt idx="2">
                  <c:v>6.2389E-2</c:v>
                </c:pt>
                <c:pt idx="3">
                  <c:v>6.2389E-2</c:v>
                </c:pt>
                <c:pt idx="4">
                  <c:v>6.2288000000000003E-2</c:v>
                </c:pt>
                <c:pt idx="5">
                  <c:v>6.2092000000000001E-2</c:v>
                </c:pt>
                <c:pt idx="6">
                  <c:v>6.1891000000000002E-2</c:v>
                </c:pt>
                <c:pt idx="7">
                  <c:v>6.1684000000000003E-2</c:v>
                </c:pt>
                <c:pt idx="8">
                  <c:v>6.1471999999999999E-2</c:v>
                </c:pt>
                <c:pt idx="9">
                  <c:v>6.1268000000000003E-2</c:v>
                </c:pt>
                <c:pt idx="10">
                  <c:v>6.1268000000000003E-2</c:v>
                </c:pt>
                <c:pt idx="11">
                  <c:v>6.1268000000000003E-2</c:v>
                </c:pt>
                <c:pt idx="12">
                  <c:v>6.1268000000000003E-2</c:v>
                </c:pt>
                <c:pt idx="13">
                  <c:v>6.1268000000000003E-2</c:v>
                </c:pt>
                <c:pt idx="14">
                  <c:v>6.1268000000000003E-2</c:v>
                </c:pt>
              </c:numCache>
            </c:numRef>
          </c:xVal>
          <c:yVal>
            <c:numRef>
              <c:f>'прием ПКВ'!$R$56:$R$70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8.8889999999999993E-3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7.2594000000000006E-2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D3-4DBD-B82D-BF0BA7E1E02A}"/>
            </c:ext>
          </c:extLst>
        </c:ser>
        <c:ser>
          <c:idx val="4"/>
          <c:order val="4"/>
          <c:tx>
            <c:strRef>
              <c:f>'прием ПКВ'!$E$59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ПКВ'!$V$56:$V$70</c:f>
              <c:numCache>
                <c:formatCode>General</c:formatCode>
                <c:ptCount val="15"/>
                <c:pt idx="0">
                  <c:v>6.3611000000000001E-2</c:v>
                </c:pt>
                <c:pt idx="1">
                  <c:v>6.3611000000000001E-2</c:v>
                </c:pt>
                <c:pt idx="2">
                  <c:v>6.3611000000000001E-2</c:v>
                </c:pt>
                <c:pt idx="3">
                  <c:v>6.3611000000000001E-2</c:v>
                </c:pt>
                <c:pt idx="4">
                  <c:v>6.3547999999999993E-2</c:v>
                </c:pt>
                <c:pt idx="5">
                  <c:v>6.3356999999999997E-2</c:v>
                </c:pt>
                <c:pt idx="6">
                  <c:v>6.3159999999999994E-2</c:v>
                </c:pt>
                <c:pt idx="7">
                  <c:v>6.2958E-2</c:v>
                </c:pt>
                <c:pt idx="8">
                  <c:v>6.2751000000000001E-2</c:v>
                </c:pt>
                <c:pt idx="9">
                  <c:v>6.2747999999999998E-2</c:v>
                </c:pt>
                <c:pt idx="10">
                  <c:v>6.2747999999999998E-2</c:v>
                </c:pt>
                <c:pt idx="11">
                  <c:v>6.2747999999999998E-2</c:v>
                </c:pt>
                <c:pt idx="12">
                  <c:v>6.2747999999999998E-2</c:v>
                </c:pt>
                <c:pt idx="13">
                  <c:v>6.2747999999999998E-2</c:v>
                </c:pt>
                <c:pt idx="14">
                  <c:v>6.2747999999999998E-2</c:v>
                </c:pt>
              </c:numCache>
            </c:numRef>
          </c:xVal>
          <c:yVal>
            <c:numRef>
              <c:f>'прием ПКВ'!$U$56:$U$70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1.1110999999999999E-2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6.1834E-2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3-4DBD-B82D-BF0BA7E1E02A}"/>
            </c:ext>
          </c:extLst>
        </c:ser>
        <c:ser>
          <c:idx val="5"/>
          <c:order val="5"/>
          <c:tx>
            <c:strRef>
              <c:f>'прием ПКВ'!$E$60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ПКВ'!$Y$56:$Y$70</c:f>
              <c:numCache>
                <c:formatCode>General</c:formatCode>
                <c:ptCount val="15"/>
                <c:pt idx="0">
                  <c:v>6.4833000000000002E-2</c:v>
                </c:pt>
                <c:pt idx="1">
                  <c:v>6.4833000000000002E-2</c:v>
                </c:pt>
                <c:pt idx="2">
                  <c:v>6.4833000000000002E-2</c:v>
                </c:pt>
                <c:pt idx="3">
                  <c:v>6.4833000000000002E-2</c:v>
                </c:pt>
                <c:pt idx="4">
                  <c:v>6.4807000000000003E-2</c:v>
                </c:pt>
                <c:pt idx="5">
                  <c:v>6.4618999999999996E-2</c:v>
                </c:pt>
                <c:pt idx="6">
                  <c:v>6.4426999999999998E-2</c:v>
                </c:pt>
                <c:pt idx="7">
                  <c:v>6.4229999999999995E-2</c:v>
                </c:pt>
                <c:pt idx="8">
                  <c:v>6.4209000000000002E-2</c:v>
                </c:pt>
                <c:pt idx="9">
                  <c:v>6.4209000000000002E-2</c:v>
                </c:pt>
                <c:pt idx="10">
                  <c:v>6.4209000000000002E-2</c:v>
                </c:pt>
                <c:pt idx="11">
                  <c:v>6.4209000000000002E-2</c:v>
                </c:pt>
                <c:pt idx="12">
                  <c:v>6.4209000000000002E-2</c:v>
                </c:pt>
                <c:pt idx="13">
                  <c:v>6.4209000000000002E-2</c:v>
                </c:pt>
                <c:pt idx="14">
                  <c:v>6.4209000000000002E-2</c:v>
                </c:pt>
              </c:numCache>
            </c:numRef>
          </c:xVal>
          <c:yVal>
            <c:numRef>
              <c:f>'прием ПКВ'!$X$56:$X$70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1.3332999999999999E-2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5.1207999999999997E-2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D3-4DBD-B82D-BF0BA7E1E02A}"/>
            </c:ext>
          </c:extLst>
        </c:ser>
        <c:ser>
          <c:idx val="6"/>
          <c:order val="6"/>
          <c:tx>
            <c:strRef>
              <c:f>'прием ПКВ'!$E$61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ПКВ'!$AB$56:$AB$70</c:f>
              <c:numCache>
                <c:formatCode>General</c:formatCode>
                <c:ptCount val="15"/>
                <c:pt idx="0">
                  <c:v>6.6056000000000004E-2</c:v>
                </c:pt>
                <c:pt idx="1">
                  <c:v>6.6056000000000004E-2</c:v>
                </c:pt>
                <c:pt idx="2">
                  <c:v>6.6056000000000004E-2</c:v>
                </c:pt>
                <c:pt idx="3">
                  <c:v>6.6056000000000004E-2</c:v>
                </c:pt>
                <c:pt idx="4">
                  <c:v>6.6056000000000004E-2</c:v>
                </c:pt>
                <c:pt idx="5">
                  <c:v>6.5880999999999995E-2</c:v>
                </c:pt>
                <c:pt idx="6">
                  <c:v>6.5692E-2</c:v>
                </c:pt>
                <c:pt idx="7">
                  <c:v>6.5654000000000004E-2</c:v>
                </c:pt>
                <c:pt idx="8">
                  <c:v>6.5654000000000004E-2</c:v>
                </c:pt>
                <c:pt idx="9">
                  <c:v>6.5654000000000004E-2</c:v>
                </c:pt>
                <c:pt idx="10">
                  <c:v>6.5654000000000004E-2</c:v>
                </c:pt>
                <c:pt idx="11">
                  <c:v>6.5654000000000004E-2</c:v>
                </c:pt>
                <c:pt idx="12">
                  <c:v>6.5654000000000004E-2</c:v>
                </c:pt>
                <c:pt idx="13">
                  <c:v>6.5654000000000004E-2</c:v>
                </c:pt>
                <c:pt idx="14">
                  <c:v>6.5654000000000004E-2</c:v>
                </c:pt>
              </c:numCache>
            </c:numRef>
          </c:xVal>
          <c:yVal>
            <c:numRef>
              <c:f>'прием ПКВ'!$AA$56:$AA$70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1.5556E-2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4.07E-2</c:v>
                </c:pt>
                <c:pt idx="8">
                  <c:v>0.05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D3-4DBD-B82D-BF0BA7E1E02A}"/>
            </c:ext>
          </c:extLst>
        </c:ser>
        <c:ser>
          <c:idx val="7"/>
          <c:order val="7"/>
          <c:tx>
            <c:strRef>
              <c:f>'прием ПКВ'!$E$62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ПКВ'!$AE$56:$AE$70</c:f>
              <c:numCache>
                <c:formatCode>General</c:formatCode>
                <c:ptCount val="15"/>
                <c:pt idx="0">
                  <c:v>6.7278000000000004E-2</c:v>
                </c:pt>
                <c:pt idx="1">
                  <c:v>6.7278000000000004E-2</c:v>
                </c:pt>
                <c:pt idx="2">
                  <c:v>6.7278000000000004E-2</c:v>
                </c:pt>
                <c:pt idx="3">
                  <c:v>6.7278000000000004E-2</c:v>
                </c:pt>
                <c:pt idx="4">
                  <c:v>6.7278000000000004E-2</c:v>
                </c:pt>
                <c:pt idx="5">
                  <c:v>6.7140000000000005E-2</c:v>
                </c:pt>
                <c:pt idx="6">
                  <c:v>6.7084000000000005E-2</c:v>
                </c:pt>
                <c:pt idx="7">
                  <c:v>6.7084000000000005E-2</c:v>
                </c:pt>
                <c:pt idx="8">
                  <c:v>6.7084000000000005E-2</c:v>
                </c:pt>
                <c:pt idx="9">
                  <c:v>6.7084000000000005E-2</c:v>
                </c:pt>
                <c:pt idx="10">
                  <c:v>6.7084000000000005E-2</c:v>
                </c:pt>
                <c:pt idx="11">
                  <c:v>6.7084000000000005E-2</c:v>
                </c:pt>
                <c:pt idx="12">
                  <c:v>6.7084000000000005E-2</c:v>
                </c:pt>
                <c:pt idx="13">
                  <c:v>6.7084000000000005E-2</c:v>
                </c:pt>
                <c:pt idx="14">
                  <c:v>6.7084000000000005E-2</c:v>
                </c:pt>
              </c:numCache>
            </c:numRef>
          </c:xVal>
          <c:yVal>
            <c:numRef>
              <c:f>'прием ПКВ'!$AD$56:$AD$70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1.7777999999999999E-2</c:v>
                </c:pt>
                <c:pt idx="5">
                  <c:v>2.6667E-2</c:v>
                </c:pt>
                <c:pt idx="6">
                  <c:v>3.0301000000000002E-2</c:v>
                </c:pt>
                <c:pt idx="7">
                  <c:v>3.8332999999999999E-2</c:v>
                </c:pt>
                <c:pt idx="8">
                  <c:v>0.05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D3-4DBD-B82D-BF0BA7E1E02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ПКВ'!$H$100:$H$101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5.7500000000000002E-2</c:v>
                </c:pt>
              </c:numCache>
            </c:numRef>
          </c:xVal>
          <c:yVal>
            <c:numRef>
              <c:f>'прием ПКВ'!$I$100:$I$101</c:f>
              <c:numCache>
                <c:formatCode>General</c:formatCode>
                <c:ptCount val="2"/>
                <c:pt idx="0">
                  <c:v>-9.9999999999999992E-2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D3-4DBD-B82D-BF0BA7E1E02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ПКВ'!$K$100:$K$101</c:f>
              <c:numCache>
                <c:formatCode>General</c:formatCode>
                <c:ptCount val="2"/>
                <c:pt idx="0">
                  <c:v>6.8500000000000005E-2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ПКВ'!$L$100:$L$101</c:f>
              <c:numCache>
                <c:formatCode>General</c:formatCode>
                <c:ptCount val="2"/>
                <c:pt idx="0">
                  <c:v>-9.9999999999999992E-2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D3-4DBD-B82D-BF0BA7E1E02A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ПКВ'!$E$100:$E$101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5.7500000000000002E-2</c:v>
                </c:pt>
              </c:numCache>
            </c:numRef>
          </c:xVal>
          <c:yVal>
            <c:numRef>
              <c:f>'прием ПКВ'!$F$100:$F$101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D3-4DBD-B82D-BF0BA7E1E02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ПКВ'!$N$100:$N$101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ПКВ'!$O$100:$O$101</c:f>
              <c:numCache>
                <c:formatCode>General</c:formatCode>
                <c:ptCount val="2"/>
                <c:pt idx="0">
                  <c:v>0</c:v>
                </c:pt>
                <c:pt idx="1">
                  <c:v>2.0000000000000004E-2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D3-4DBD-B82D-BF0BA7E1E02A}"/>
            </c:ext>
          </c:extLst>
        </c:ser>
        <c:ser>
          <c:idx val="12"/>
          <c:order val="12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'прием ПКВ'!$Q$100:$Q$101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ПКВ'!$R$100:$R$101</c:f>
              <c:numCache>
                <c:formatCode>General</c:formatCode>
                <c:ptCount val="2"/>
                <c:pt idx="0">
                  <c:v>0.1</c:v>
                </c:pt>
                <c:pt idx="1">
                  <c:v>2.0000000000000004E-2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D3-4DBD-B82D-BF0BA7E1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  <c:min val="5.000000000000001E-2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ПКВ'!$D$29:$D$40</c:f>
              <c:numCache>
                <c:formatCode>General</c:formatCode>
                <c:ptCount val="12"/>
                <c:pt idx="0">
                  <c:v>0.98980961422155112</c:v>
                </c:pt>
                <c:pt idx="1">
                  <c:v>0.97368016189836959</c:v>
                </c:pt>
                <c:pt idx="2">
                  <c:v>0.94504162055005558</c:v>
                </c:pt>
                <c:pt idx="3">
                  <c:v>0.91490941461657416</c:v>
                </c:pt>
                <c:pt idx="4">
                  <c:v>0.88395814447368271</c:v>
                </c:pt>
                <c:pt idx="5">
                  <c:v>0.85270775284844946</c:v>
                </c:pt>
                <c:pt idx="6">
                  <c:v>0.83333333333333337</c:v>
                </c:pt>
                <c:pt idx="7">
                  <c:v>0.83333333333333337</c:v>
                </c:pt>
                <c:pt idx="8">
                  <c:v>0.83333333333333337</c:v>
                </c:pt>
                <c:pt idx="9">
                  <c:v>0.83333333333333337</c:v>
                </c:pt>
                <c:pt idx="10">
                  <c:v>0.83333333333333337</c:v>
                </c:pt>
                <c:pt idx="11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1-400A-AB84-E9BF3E52A34F}"/>
            </c:ext>
          </c:extLst>
        </c:ser>
        <c:ser>
          <c:idx val="1"/>
          <c:order val="1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0.98980961422155112</c:v>
                </c:pt>
                <c:pt idx="1">
                  <c:v>0.97368016189836959</c:v>
                </c:pt>
                <c:pt idx="2">
                  <c:v>0.94504162055005558</c:v>
                </c:pt>
                <c:pt idx="3">
                  <c:v>0.91490941461657416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1-400A-AB84-E9BF3E52A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l_i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345375</xdr:colOff>
      <xdr:row>0</xdr:row>
      <xdr:rowOff>109610</xdr:rowOff>
    </xdr:from>
    <xdr:to>
      <xdr:col>35</xdr:col>
      <xdr:colOff>545695</xdr:colOff>
      <xdr:row>27</xdr:row>
      <xdr:rowOff>7062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72D13F-89EA-4ACB-9DDE-CD112888F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10956B-97CE-4524-889B-DE096A030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E7EEA76-881E-4AC1-99A8-98F0670F6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297756</xdr:colOff>
      <xdr:row>27</xdr:row>
      <xdr:rowOff>126785</xdr:rowOff>
    </xdr:from>
    <xdr:to>
      <xdr:col>37</xdr:col>
      <xdr:colOff>28815</xdr:colOff>
      <xdr:row>44</xdr:row>
      <xdr:rowOff>54429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7205B82-35EC-4C94-A661-E5C6A921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C554889-AFF9-4986-AFB2-ECCFB50C2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049969B-2903-4E97-B94C-9246B4514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29</xdr:row>
      <xdr:rowOff>0</xdr:rowOff>
    </xdr:from>
    <xdr:to>
      <xdr:col>36</xdr:col>
      <xdr:colOff>218922</xdr:colOff>
      <xdr:row>55</xdr:row>
      <xdr:rowOff>91762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4397102-84B8-479C-AD20-651B98BC8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485775</xdr:colOff>
      <xdr:row>12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209550</xdr:colOff>
      <xdr:row>4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2</xdr:col>
      <xdr:colOff>180975</xdr:colOff>
      <xdr:row>32</xdr:row>
      <xdr:rowOff>109536</xdr:rowOff>
    </xdr:from>
    <xdr:to>
      <xdr:col>11</xdr:col>
      <xdr:colOff>581025</xdr:colOff>
      <xdr:row>52</xdr:row>
      <xdr:rowOff>133349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581025</xdr:colOff>
      <xdr:row>25</xdr:row>
      <xdr:rowOff>138157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66675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209550</xdr:colOff>
      <xdr:row>20</xdr:row>
      <xdr:rowOff>19050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PVT"/>
      <definedName name="feed_mu_liq_cP"/>
      <definedName name="feed_q_gas_rc_m3day"/>
      <definedName name="feed_q_liq_rc_m3day"/>
      <definedName name="feed_rho_liq_kgm3"/>
      <definedName name="feed_rho_mix_kgm3"/>
      <definedName name="feed_ST_liqgas_Nm"/>
      <definedName name="PVT_mu_gas_cP"/>
      <definedName name="PVT_rho_gas_kgm3"/>
      <definedName name="unf_ksep_mechanistic_Marquez_"/>
      <definedName name="unf_ksep_mechanistic_Marquez_build_bubble_tracks"/>
      <definedName name="unf_ksep_mechanistic_Marquez_pkv"/>
      <definedName name="unf_ksep_mechanistic_Marquez_reverse"/>
      <definedName name="unf_ksep_mechanistic_Marquez_reverse_build_bubble_tracks"/>
      <definedName name="unf_ksep_mechanistic_pkv_build_bubble_tracks"/>
      <definedName name="unf_ksep_natural_simplified_Marquez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D3:AE75"/>
  <sheetViews>
    <sheetView tabSelected="1" zoomScale="85" zoomScaleNormal="85" workbookViewId="0">
      <selection activeCell="I12" sqref="I12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4" max="24" width="11" bestFit="1" customWidth="1"/>
  </cols>
  <sheetData>
    <row r="3" spans="4:16" x14ac:dyDescent="0.25">
      <c r="D3" t="s">
        <v>15</v>
      </c>
      <c r="H3" t="s">
        <v>17</v>
      </c>
      <c r="M3" t="s">
        <v>16</v>
      </c>
    </row>
    <row r="6" spans="4:16" x14ac:dyDescent="0.25">
      <c r="D6" s="1" t="s">
        <v>0</v>
      </c>
      <c r="E6" s="1">
        <v>0.81</v>
      </c>
      <c r="H6" s="3" t="s">
        <v>24</v>
      </c>
      <c r="I6">
        <v>125</v>
      </c>
      <c r="J6" t="s">
        <v>18</v>
      </c>
      <c r="K6">
        <f>dcas/1000</f>
        <v>0.125</v>
      </c>
      <c r="M6" t="s">
        <v>19</v>
      </c>
      <c r="N6" s="9" cm="1">
        <f t="array" ref="N6">[1]!feed_rho_liq_kgm3(p,t,feed_json)</f>
        <v>712.7468421788584</v>
      </c>
      <c r="O6" t="s">
        <v>28</v>
      </c>
    </row>
    <row r="7" spans="4:16" x14ac:dyDescent="0.25">
      <c r="D7" s="1" t="s">
        <v>1</v>
      </c>
      <c r="E7" s="1">
        <v>0.82</v>
      </c>
      <c r="H7" s="3" t="s">
        <v>25</v>
      </c>
      <c r="I7">
        <v>110</v>
      </c>
      <c r="J7" t="s">
        <v>18</v>
      </c>
      <c r="K7">
        <f>dintake/1000</f>
        <v>0.11</v>
      </c>
      <c r="M7" t="s">
        <v>20</v>
      </c>
      <c r="N7" s="9" cm="1">
        <f t="array" ref="N7">[1]!PVT_rho_gas_kgm3(p,t,PVT_json)</f>
        <v>116.32084897430778</v>
      </c>
      <c r="O7" t="s">
        <v>28</v>
      </c>
    </row>
    <row r="8" spans="4:16" x14ac:dyDescent="0.25">
      <c r="D8" s="1" t="s">
        <v>2</v>
      </c>
      <c r="E8" s="1">
        <v>1.1000000000000001</v>
      </c>
      <c r="H8" t="s">
        <v>45</v>
      </c>
      <c r="I8">
        <v>200</v>
      </c>
      <c r="J8" t="s">
        <v>35</v>
      </c>
      <c r="K8">
        <f>I8/1000</f>
        <v>0.2</v>
      </c>
      <c r="M8" t="s">
        <v>21</v>
      </c>
      <c r="N8" s="6" cm="1">
        <f t="array" ref="N8">[1]!feed_ST_liqgas_Nm(p,t,feed_json)*calibr_st</f>
        <v>2.3693872187412611E-2</v>
      </c>
      <c r="O8" t="s">
        <v>29</v>
      </c>
      <c r="P8">
        <f>Пов._Натяжение/1000</f>
        <v>2.369387218741261E-5</v>
      </c>
    </row>
    <row r="9" spans="4:16" x14ac:dyDescent="0.25">
      <c r="D9" s="1" t="s">
        <v>3</v>
      </c>
      <c r="E9" s="1">
        <v>120</v>
      </c>
      <c r="H9" s="4" t="s">
        <v>26</v>
      </c>
      <c r="I9" s="4">
        <v>100</v>
      </c>
      <c r="M9" t="s">
        <v>22</v>
      </c>
      <c r="N9" s="7" cm="1">
        <f t="array" ref="N9">[1]!feed_q_liq_rc_m3day(p,t,feed_json)</f>
        <v>76.822045931694333</v>
      </c>
    </row>
    <row r="10" spans="4:16" x14ac:dyDescent="0.25">
      <c r="D10" s="1" t="s">
        <v>4</v>
      </c>
      <c r="E10" s="1"/>
      <c r="H10" s="4" t="s">
        <v>27</v>
      </c>
      <c r="I10" s="4">
        <v>60</v>
      </c>
      <c r="M10" t="s">
        <v>23</v>
      </c>
      <c r="N10" s="7" cm="1">
        <f t="array" ref="N10">[1]!feed_q_gas_rc_m3day(p,t,feed_json)</f>
        <v>13.499589852653768</v>
      </c>
    </row>
    <row r="11" spans="4:16" x14ac:dyDescent="0.25">
      <c r="D11" s="1" t="s">
        <v>5</v>
      </c>
      <c r="E11" s="1"/>
      <c r="H11" s="4" t="s">
        <v>48</v>
      </c>
      <c r="I11" s="4">
        <v>3</v>
      </c>
      <c r="M11" t="s">
        <v>30</v>
      </c>
      <c r="N11" s="6" cm="1">
        <f t="array" ref="N11">[1]!feed_mu_liq_cP(p,t,feed_json)</f>
        <v>1.7967811455081182</v>
      </c>
    </row>
    <row r="12" spans="4:16" x14ac:dyDescent="0.25">
      <c r="D12" s="1" t="s">
        <v>6</v>
      </c>
      <c r="E12" s="1"/>
      <c r="H12" s="10" t="s">
        <v>49</v>
      </c>
      <c r="I12" s="4">
        <v>1</v>
      </c>
      <c r="M12" t="s">
        <v>31</v>
      </c>
      <c r="N12" s="6" cm="1">
        <f t="array" ref="N12">[1]!PVT_mu_gas_cP(p,t,PVT_json)</f>
        <v>1.6103282892022303E-2</v>
      </c>
    </row>
    <row r="13" spans="4:16" x14ac:dyDescent="0.25">
      <c r="D13" s="1" t="s">
        <v>7</v>
      </c>
      <c r="E13" s="1">
        <v>1</v>
      </c>
    </row>
    <row r="14" spans="4:16" x14ac:dyDescent="0.25">
      <c r="D14" s="1" t="s">
        <v>8</v>
      </c>
      <c r="E14" s="1">
        <v>1</v>
      </c>
    </row>
    <row r="15" spans="4:16" x14ac:dyDescent="0.25">
      <c r="D15" s="1" t="s">
        <v>9</v>
      </c>
      <c r="E15" s="2" t="str">
        <f>[1]!encode_PVT(E6,E7,E8,E9,E10,E11,E12,E13,E14)</f>
        <v>{"gamma_gas":0.81,"gamma_oil":0.82,"gamma_wat":1.1,"rsb_m3m3":120,"muob_cP":1,"PVT_corr_set":1}</v>
      </c>
    </row>
    <row r="16" spans="4:16" x14ac:dyDescent="0.25">
      <c r="D16" s="1" t="s">
        <v>10</v>
      </c>
      <c r="E16" s="1">
        <v>60</v>
      </c>
    </row>
    <row r="17" spans="4:23" x14ac:dyDescent="0.25">
      <c r="D17" s="1" t="s">
        <v>11</v>
      </c>
      <c r="E17" s="1">
        <v>0</v>
      </c>
    </row>
    <row r="18" spans="4:23" x14ac:dyDescent="0.25">
      <c r="D18" s="1" t="s">
        <v>12</v>
      </c>
      <c r="E18" s="1">
        <v>120</v>
      </c>
    </row>
    <row r="19" spans="4:23" x14ac:dyDescent="0.25">
      <c r="D19" s="1" t="s">
        <v>13</v>
      </c>
      <c r="E19" s="1">
        <v>0</v>
      </c>
    </row>
    <row r="20" spans="4:23" x14ac:dyDescent="0.25">
      <c r="D20" s="1" t="s">
        <v>14</v>
      </c>
      <c r="E20" s="2" t="str">
        <f ca="1">[1]!encode_feed(E16,E17,E18,E19,E15)</f>
        <v>{"gamma_gas":0.81,"gamma_oil":0.82,"gamma_wat":1.1,"rsb_m3m3":120,"muob_cP":1,"PVT_corr_set":1,"q_liq_sm3day":60,"fw_perc":0,"rp_m3m3":120}</v>
      </c>
    </row>
    <row r="23" spans="4:23" x14ac:dyDescent="0.25">
      <c r="I23" s="5"/>
    </row>
    <row r="26" spans="4:23" x14ac:dyDescent="0.25">
      <c r="E26" t="s">
        <v>46</v>
      </c>
    </row>
    <row r="28" spans="4:23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O28" t="s">
        <v>33</v>
      </c>
      <c r="P28" t="s">
        <v>34</v>
      </c>
    </row>
    <row r="29" spans="4:23" x14ac:dyDescent="0.25">
      <c r="F29">
        <v>2</v>
      </c>
      <c r="G29" t="str">
        <f ca="1">[1]!encode_feed(F29,$E$17,$E$18,$E$19,$E$15)</f>
        <v>{"gamma_gas":0.81,"gamma_oil":0.82,"gamma_wat":1.1,"rsb_m3m3":120,"muob_cP":1,"PVT_corr_set":1,"q_liq_sm3day":2,"fw_perc":0,"rp_m3m3":120}</v>
      </c>
      <c r="H29" s="9" cm="1">
        <f t="array" aca="1" ref="H29" ca="1">[1]!feed_rho_liq_kgm3(p,t,G29)</f>
        <v>712.7468421788584</v>
      </c>
      <c r="I29" s="9" cm="1">
        <f t="array" aca="1" ref="I29" ca="1">[1]!PVT_rho_gas_kgm3(p,t,PVT_json)</f>
        <v>116.32084897430778</v>
      </c>
      <c r="J29" s="6" cm="1">
        <f t="array" aca="1" ref="J29" ca="1">[1]!feed_ST_liqgas_Nm(p,t,G29)</f>
        <v>2.3693872187412611E-2</v>
      </c>
      <c r="K29" s="8" cm="1">
        <f t="array" aca="1" ref="K29" ca="1">[1]!feed_q_liq_rc_m3day(p,t,G29)</f>
        <v>2.5607348643898113</v>
      </c>
      <c r="L29" s="8" cm="1">
        <f t="array" aca="1" ref="L29" ca="1">[1]!feed_q_gas_rc_m3day(p,t,G29)</f>
        <v>0.44998632842179231</v>
      </c>
      <c r="M29" s="7" cm="1">
        <f t="array" aca="1" ref="M29" ca="1">[1]!feed_mu_liq_cP(p,t,G29)</f>
        <v>1.7967811455081182</v>
      </c>
      <c r="N29" s="7" cm="1">
        <f t="array" aca="1" ref="N29" ca="1">[1]!PVT_mu_gas_cP(p,t,G29)</f>
        <v>1.6103282892022303E-2</v>
      </c>
      <c r="O29" s="7" cm="1">
        <f t="array" aca="1" ref="O29" ca="1">[1]!unf_ksep_natural_simplified_Marquez(dintake_m,dcas_m,K29,L29,J29,H29,I29,1)</f>
        <v>0.94948819713916333</v>
      </c>
      <c r="P29" s="7" cm="1">
        <f t="array" aca="1" ref="P29" ca="1">[1]!unf_ksep_mechanistic_Marquez_(dintake_m,dcas_m,K29,L29,J29,H29,I29,M29,N29,1,hint,calibr_li,calibr_st)</f>
        <v>0.96064272463282985</v>
      </c>
      <c r="R29">
        <f t="array" aca="1" ref="R29:W29" ca="1">[1]!unf_ksep_mechanistic_Marquez_(dintake_m,dcas_m,K29,L29,J29,H29,I29,M29,N29,0,hint,calibr_li,calibr_st)</f>
        <v>0.96064272463282985</v>
      </c>
      <c r="S29">
        <f ca="1"/>
        <v>0</v>
      </c>
      <c r="T29">
        <f ca="1"/>
        <v>0.19664784102492083</v>
      </c>
      <c r="U29">
        <f ca="1"/>
        <v>1.0705306101189355E-2</v>
      </c>
      <c r="V29">
        <f ca="1"/>
        <v>1.8811949077959284E-3</v>
      </c>
      <c r="W29">
        <f ca="1"/>
        <v>2.0881801573355077E-3</v>
      </c>
    </row>
    <row r="30" spans="4:23" x14ac:dyDescent="0.25">
      <c r="F30">
        <v>10</v>
      </c>
      <c r="G30" t="str">
        <f ca="1">[1]!encode_feed(F30,$E$17,$E$18,$E$19,$E$15)</f>
        <v>{"gamma_gas":0.81,"gamma_oil":0.82,"gamma_wat":1.1,"rsb_m3m3":120,"muob_cP":1,"PVT_corr_set":1,"q_liq_sm3day":10,"fw_perc":0,"rp_m3m3":120}</v>
      </c>
      <c r="H30" s="9" cm="1">
        <f t="array" aca="1" ref="H30" ca="1">[1]!feed_rho_liq_kgm3(p,t,G30)</f>
        <v>712.7468421788584</v>
      </c>
      <c r="I30" s="9" cm="1">
        <f t="array" aca="1" ref="I30" ca="1">[1]!PVT_rho_gas_kgm3(p,t,PVT_json)</f>
        <v>116.32084897430778</v>
      </c>
      <c r="J30" s="6" cm="1">
        <f t="array" aca="1" ref="J30" ca="1">[1]!feed_ST_liqgas_Nm(p,t,G30)</f>
        <v>2.3693872187412611E-2</v>
      </c>
      <c r="K30" s="8" cm="1">
        <f t="array" aca="1" ref="K30" ca="1">[1]!feed_q_liq_rc_m3day(p,t,G30)</f>
        <v>12.803674321949057</v>
      </c>
      <c r="L30" s="8" cm="1">
        <f t="array" aca="1" ref="L30" ca="1">[1]!feed_q_gas_rc_m3day(p,t,G30)</f>
        <v>2.2499316421089617</v>
      </c>
      <c r="M30" s="7" cm="1">
        <f t="array" aca="1" ref="M30" ca="1">[1]!feed_mu_liq_cP(p,t,G30)</f>
        <v>1.7967811455081182</v>
      </c>
      <c r="N30" s="7" cm="1">
        <f t="array" aca="1" ref="N30" ca="1">[1]!PVT_mu_gas_cP(p,t,G30)</f>
        <v>1.6103282892022303E-2</v>
      </c>
      <c r="O30" s="7" cm="1">
        <f t="array" aca="1" ref="O30" ca="1">[1]!unf_ksep_natural_simplified_Marquez(dintake_m,dcas_m,K30,L30,J30,H30,I30,1)</f>
        <v>0.8157771025651489</v>
      </c>
      <c r="P30" s="7" cm="1">
        <f t="array" aca="1" ref="P30" ca="1">[1]!unf_ksep_mechanistic_Marquez_(dintake_m,dcas_m,K30,L30,J30,H30,I30,M30,N30,1,hint,calibr_li,calibr_st)</f>
        <v>0.82591278367289778</v>
      </c>
      <c r="R30">
        <f t="array" aca="1" ref="R30:W30" ca="1">[1]!unf_ksep_mechanistic_Marquez_(dintake_m,dcas_m,K30,L30,J30,H30,I30,M30,N30,0,hint,calibr_li,calibr_st)</f>
        <v>0.82591278367289778</v>
      </c>
      <c r="S30">
        <f ca="1"/>
        <v>3</v>
      </c>
      <c r="T30">
        <f ca="1"/>
        <v>0.18122448094453489</v>
      </c>
      <c r="U30">
        <f ca="1"/>
        <v>5.3526530505946773E-2</v>
      </c>
      <c r="V30">
        <f ca="1"/>
        <v>9.4059745389796414E-3</v>
      </c>
      <c r="W30">
        <f ca="1"/>
        <v>2.0710563896654301E-3</v>
      </c>
    </row>
    <row r="31" spans="4:23" x14ac:dyDescent="0.25">
      <c r="F31">
        <v>30</v>
      </c>
      <c r="G31" t="str">
        <f ca="1">[1]!encode_feed(F31,$E$17,$E$18,$E$19,$E$15)</f>
        <v>{"gamma_gas":0.81,"gamma_oil":0.82,"gamma_wat":1.1,"rsb_m3m3":120,"muob_cP":1,"PVT_corr_set":1,"q_liq_sm3day":30,"fw_perc":0,"rp_m3m3":120}</v>
      </c>
      <c r="H31" s="9" cm="1">
        <f t="array" aca="1" ref="H31" ca="1">[1]!feed_rho_liq_kgm3(p,t,G31)</f>
        <v>712.7468421788584</v>
      </c>
      <c r="I31" s="9" cm="1">
        <f t="array" aca="1" ref="I31" ca="1">[1]!PVT_rho_gas_kgm3(p,t,PVT_json)</f>
        <v>116.32084897430778</v>
      </c>
      <c r="J31" s="6" cm="1">
        <f t="array" aca="1" ref="J31" ca="1">[1]!feed_ST_liqgas_Nm(p,t,G31)</f>
        <v>2.3693872187412611E-2</v>
      </c>
      <c r="K31" s="8" cm="1">
        <f t="array" aca="1" ref="K31" ca="1">[1]!feed_q_liq_rc_m3day(p,t,G31)</f>
        <v>38.411022965847167</v>
      </c>
      <c r="L31" s="8" cm="1">
        <f t="array" aca="1" ref="L31" ca="1">[1]!feed_q_gas_rc_m3day(p,t,G31)</f>
        <v>6.7497949263268842</v>
      </c>
      <c r="M31" s="7" cm="1">
        <f t="array" aca="1" ref="M31" ca="1">[1]!feed_mu_liq_cP(p,t,G31)</f>
        <v>1.7967811455081182</v>
      </c>
      <c r="N31" s="7" cm="1">
        <f t="array" aca="1" ref="N31" ca="1">[1]!PVT_mu_gas_cP(p,t,G31)</f>
        <v>1.6103282892022303E-2</v>
      </c>
      <c r="O31" s="7" cm="1">
        <f t="array" aca="1" ref="O31" ca="1">[1]!unf_ksep_natural_simplified_Marquez(dintake_m,dcas_m,K31,L31,J31,H31,I31,1)</f>
        <v>0.62517157870610984</v>
      </c>
      <c r="P31" s="7" cm="1">
        <f t="array" aca="1" ref="P31" ca="1">[1]!unf_ksep_mechanistic_Marquez_(dintake_m,dcas_m,K31,L31,J31,H31,I31,M31,N31,1,hint,calibr_li,calibr_st)</f>
        <v>0.5981760607245471</v>
      </c>
      <c r="R31">
        <f t="array" aca="1" ref="R31:W31" ca="1">[1]!unf_ksep_mechanistic_Marquez_(dintake_m,dcas_m,K31,L31,J31,H31,I31,M31,N31,0,hint,calibr_li,calibr_st)</f>
        <v>0.5981760607245471</v>
      </c>
      <c r="S31">
        <f ca="1"/>
        <v>1</v>
      </c>
      <c r="T31">
        <f ca="1"/>
        <v>0.19664784102492083</v>
      </c>
      <c r="U31">
        <f ca="1"/>
        <v>0.16057959151784032</v>
      </c>
      <c r="V31">
        <f ca="1"/>
        <v>2.8217923616938922E-2</v>
      </c>
      <c r="W31">
        <f ca="1"/>
        <v>2.0378008427245535E-3</v>
      </c>
    </row>
    <row r="32" spans="4:23" x14ac:dyDescent="0.25">
      <c r="F32">
        <v>50</v>
      </c>
      <c r="G32" t="str">
        <f ca="1">[1]!encode_feed(F32,$E$17,$E$18,$E$19,$E$15)</f>
        <v>{"gamma_gas":0.81,"gamma_oil":0.82,"gamma_wat":1.1,"rsb_m3m3":120,"muob_cP":1,"PVT_corr_set":1,"q_liq_sm3day":50,"fw_perc":0,"rp_m3m3":120}</v>
      </c>
      <c r="H32" s="9" cm="1">
        <f t="array" aca="1" ref="H32" ca="1">[1]!feed_rho_liq_kgm3(p,t,G32)</f>
        <v>712.7468421788584</v>
      </c>
      <c r="I32" s="9" cm="1">
        <f t="array" aca="1" ref="I32" ca="1">[1]!PVT_rho_gas_kgm3(p,t,PVT_json)</f>
        <v>116.32084897430778</v>
      </c>
      <c r="J32" s="6" cm="1">
        <f t="array" aca="1" ref="J32" ca="1">[1]!feed_ST_liqgas_Nm(p,t,G32)</f>
        <v>2.3693872187412611E-2</v>
      </c>
      <c r="K32" s="8" cm="1">
        <f t="array" aca="1" ref="K32" ca="1">[1]!feed_q_liq_rc_m3day(p,t,G32)</f>
        <v>64.018371609745287</v>
      </c>
      <c r="L32" s="8" cm="1">
        <f t="array" aca="1" ref="L32" ca="1">[1]!feed_q_gas_rc_m3day(p,t,G32)</f>
        <v>11.249658210544808</v>
      </c>
      <c r="M32" s="7" cm="1">
        <f t="array" aca="1" ref="M32" ca="1">[1]!feed_mu_liq_cP(p,t,G32)</f>
        <v>1.7967811455081182</v>
      </c>
      <c r="N32" s="7" cm="1">
        <f t="array" aca="1" ref="N32" ca="1">[1]!PVT_mu_gas_cP(p,t,G32)</f>
        <v>1.6103282892022303E-2</v>
      </c>
      <c r="O32" s="7" cm="1">
        <f t="array" aca="1" ref="O32" ca="1">[1]!unf_ksep_natural_simplified_Marquez(dintake_m,dcas_m,K32,L32,J32,H32,I32,1)</f>
        <v>0.49874661541190979</v>
      </c>
      <c r="P32" s="7" cm="1">
        <f t="array" aca="1" ref="P32" ca="1">[1]!unf_ksep_mechanistic_Marquez_(dintake_m,dcas_m,K32,L32,J32,H32,I32,M32,N32,1,hint,calibr_li,calibr_st)</f>
        <v>0.46075386187841039</v>
      </c>
      <c r="R32">
        <f t="array" aca="1" ref="R32:W32" ca="1">[1]!unf_ksep_mechanistic_Marquez_(dintake_m,dcas_m,K32,L32,J32,H32,I32,M32,N32,0,hint,calibr_li,calibr_st)</f>
        <v>0.46075386187841039</v>
      </c>
      <c r="S32">
        <f ca="1"/>
        <v>1</v>
      </c>
      <c r="T32">
        <f ca="1"/>
        <v>0.19664784102492083</v>
      </c>
      <c r="U32">
        <f ca="1"/>
        <v>0.26763265252973389</v>
      </c>
      <c r="V32">
        <f ca="1"/>
        <v>4.7029872694898209E-2</v>
      </c>
      <c r="W32">
        <f ca="1"/>
        <v>2.0156415457105582E-3</v>
      </c>
    </row>
    <row r="33" spans="5:23" x14ac:dyDescent="0.25">
      <c r="F33">
        <v>70</v>
      </c>
      <c r="G33" t="str">
        <f ca="1">[1]!encode_feed(F33,$E$17,$E$18,$E$19,$E$15)</f>
        <v>{"gamma_gas":0.81,"gamma_oil":0.82,"gamma_wat":1.1,"rsb_m3m3":120,"muob_cP":1,"PVT_corr_set":1,"q_liq_sm3day":70,"fw_perc":0,"rp_m3m3":120}</v>
      </c>
      <c r="H33" s="9" cm="1">
        <f t="array" aca="1" ref="H33" ca="1">[1]!feed_rho_liq_kgm3(p,t,G33)</f>
        <v>712.7468421788584</v>
      </c>
      <c r="I33" s="9" cm="1">
        <f t="array" aca="1" ref="I33" ca="1">[1]!PVT_rho_gas_kgm3(p,t,PVT_json)</f>
        <v>116.32084897430778</v>
      </c>
      <c r="J33" s="6" cm="1">
        <f t="array" aca="1" ref="J33" ca="1">[1]!feed_ST_liqgas_Nm(p,t,G33)</f>
        <v>2.3693872187412611E-2</v>
      </c>
      <c r="K33" s="8" cm="1">
        <f t="array" aca="1" ref="K33" ca="1">[1]!feed_q_liq_rc_m3day(p,t,G33)</f>
        <v>89.625720253643394</v>
      </c>
      <c r="L33" s="8" cm="1">
        <f t="array" aca="1" ref="L33" ca="1">[1]!feed_q_gas_rc_m3day(p,t,G33)</f>
        <v>15.749521494762732</v>
      </c>
      <c r="M33" s="7" cm="1">
        <f t="array" aca="1" ref="M33" ca="1">[1]!feed_mu_liq_cP(p,t,G33)</f>
        <v>1.7967811455081182</v>
      </c>
      <c r="N33" s="7" cm="1">
        <f t="array" aca="1" ref="N33" ca="1">[1]!PVT_mu_gas_cP(p,t,G33)</f>
        <v>1.6103282892022303E-2</v>
      </c>
      <c r="O33" s="7" cm="1">
        <f t="array" aca="1" ref="O33" ca="1">[1]!unf_ksep_natural_simplified_Marquez(dintake_m,dcas_m,K33,L33,J33,H33,I33,1)</f>
        <v>0.41623037169942112</v>
      </c>
      <c r="P33" s="7" cm="1">
        <f t="array" aca="1" ref="P33" ca="1">[1]!unf_ksep_mechanistic_Marquez_(dintake_m,dcas_m,K33,L33,J33,H33,I33,M33,N33,1,hint,calibr_li,calibr_st)</f>
        <v>0.37015200608930937</v>
      </c>
      <c r="R33">
        <f t="array" aca="1" ref="R33:W33" ca="1">[1]!unf_ksep_mechanistic_Marquez_(dintake_m,dcas_m,K33,L33,J33,H33,I33,M33,N33,0,hint,calibr_li,calibr_st)</f>
        <v>0.37015200608930937</v>
      </c>
      <c r="S33">
        <f ca="1"/>
        <v>1</v>
      </c>
      <c r="T33">
        <f ca="1"/>
        <v>0.19664784102492083</v>
      </c>
      <c r="U33">
        <f ca="1"/>
        <v>0.37468571354162739</v>
      </c>
      <c r="V33">
        <f ca="1"/>
        <v>6.5841821772857495E-2</v>
      </c>
      <c r="W33">
        <f ca="1"/>
        <v>2.0021459777869828E-3</v>
      </c>
    </row>
    <row r="34" spans="5:23" x14ac:dyDescent="0.25">
      <c r="F34">
        <v>90</v>
      </c>
      <c r="G34" t="str">
        <f ca="1">[1]!encode_feed(F34,$E$17,$E$18,$E$19,$E$15)</f>
        <v>{"gamma_gas":0.81,"gamma_oil":0.82,"gamma_wat":1.1,"rsb_m3m3":120,"muob_cP":1,"PVT_corr_set":1,"q_liq_sm3day":90,"fw_perc":0,"rp_m3m3":120}</v>
      </c>
      <c r="H34" s="9" cm="1">
        <f t="array" aca="1" ref="H34" ca="1">[1]!feed_rho_liq_kgm3(p,t,G34)</f>
        <v>712.7468421788584</v>
      </c>
      <c r="I34" s="9" cm="1">
        <f t="array" aca="1" ref="I34" ca="1">[1]!PVT_rho_gas_kgm3(p,t,PVT_json)</f>
        <v>116.32084897430778</v>
      </c>
      <c r="J34" s="6" cm="1">
        <f t="array" aca="1" ref="J34" ca="1">[1]!feed_ST_liqgas_Nm(p,t,G34)</f>
        <v>2.3693872187412611E-2</v>
      </c>
      <c r="K34" s="8" cm="1">
        <f t="array" aca="1" ref="K34" ca="1">[1]!feed_q_liq_rc_m3day(p,t,G34)</f>
        <v>115.23306889754151</v>
      </c>
      <c r="L34" s="8" cm="1">
        <f t="array" aca="1" ref="L34" ca="1">[1]!feed_q_gas_rc_m3day(p,t,G34)</f>
        <v>20.249384778980655</v>
      </c>
      <c r="M34" s="7" cm="1">
        <f t="array" aca="1" ref="M34" ca="1">[1]!feed_mu_liq_cP(p,t,G34)</f>
        <v>1.7967811455081182</v>
      </c>
      <c r="N34" s="7" cm="1">
        <f t="array" aca="1" ref="N34" ca="1">[1]!PVT_mu_gas_cP(p,t,G34)</f>
        <v>1.6103282892022303E-2</v>
      </c>
      <c r="O34" s="7" cm="1">
        <f t="array" aca="1" ref="O34" ca="1">[1]!unf_ksep_natural_simplified_Marquez(dintake_m,dcas_m,K34,L34,J34,H34,I34,1)</f>
        <v>0.34724401488462275</v>
      </c>
      <c r="P34" s="7" cm="1">
        <f t="array" aca="1" ref="P34" ca="1">[1]!unf_ksep_mechanistic_Marquez_(dintake_m,dcas_m,K34,L34,J34,H34,I34,M34,N34,1,hint,calibr_li,calibr_st)</f>
        <v>0.30782665024874439</v>
      </c>
      <c r="R34">
        <f t="array" aca="1" ref="R34:W34" ca="1">[1]!unf_ksep_mechanistic_Marquez_(dintake_m,dcas_m,K34,L34,J34,H34,I34,M34,N34,0,hint,calibr_li,calibr_st)</f>
        <v>0.30782665024874439</v>
      </c>
      <c r="S34">
        <f ca="1"/>
        <v>2</v>
      </c>
      <c r="T34">
        <f ca="1"/>
        <v>0.18122448094453489</v>
      </c>
      <c r="U34">
        <f ca="1"/>
        <v>0.48173877455352099</v>
      </c>
      <c r="V34">
        <f ca="1"/>
        <v>8.4653770850816781E-2</v>
      </c>
      <c r="W34">
        <f ca="1"/>
        <v>1.9955112985869539E-3</v>
      </c>
    </row>
    <row r="35" spans="5:23" x14ac:dyDescent="0.25">
      <c r="F35">
        <v>110</v>
      </c>
      <c r="G35" t="str">
        <f ca="1">[1]!encode_feed(F35,$E$17,$E$18,$E$19,$E$15)</f>
        <v>{"gamma_gas":0.81,"gamma_oil":0.82,"gamma_wat":1.1,"rsb_m3m3":120,"muob_cP":1,"PVT_corr_set":1,"q_liq_sm3day":110,"fw_perc":0,"rp_m3m3":120}</v>
      </c>
      <c r="H35" s="9" cm="1">
        <f t="array" aca="1" ref="H35" ca="1">[1]!feed_rho_liq_kgm3(p,t,G35)</f>
        <v>712.7468421788584</v>
      </c>
      <c r="I35" s="9" cm="1">
        <f t="array" aca="1" ref="I35" ca="1">[1]!PVT_rho_gas_kgm3(p,t,PVT_json)</f>
        <v>116.32084897430778</v>
      </c>
      <c r="J35" s="6" cm="1">
        <f t="array" aca="1" ref="J35" ca="1">[1]!feed_ST_liqgas_Nm(p,t,G35)</f>
        <v>2.3693872187412611E-2</v>
      </c>
      <c r="K35" s="8" cm="1">
        <f t="array" aca="1" ref="K35" ca="1">[1]!feed_q_liq_rc_m3day(p,t,G35)</f>
        <v>140.84041754143962</v>
      </c>
      <c r="L35" s="8" cm="1">
        <f t="array" aca="1" ref="L35" ca="1">[1]!feed_q_gas_rc_m3day(p,t,G35)</f>
        <v>24.749248063198575</v>
      </c>
      <c r="M35" s="7" cm="1">
        <f t="array" aca="1" ref="M35" ca="1">[1]!feed_mu_liq_cP(p,t,G35)</f>
        <v>1.7967811455081182</v>
      </c>
      <c r="N35" s="7" cm="1">
        <f t="array" aca="1" ref="N35" ca="1">[1]!PVT_mu_gas_cP(p,t,G35)</f>
        <v>1.6103282892022303E-2</v>
      </c>
      <c r="O35" s="7" cm="1">
        <f t="array" aca="1" ref="O35" ca="1">[1]!unf_ksep_natural_simplified_Marquez(dintake_m,dcas_m,K35,L35,J35,H35,I35,1)</f>
        <v>0.31601339676455442</v>
      </c>
      <c r="P35" s="7" cm="1">
        <f t="array" aca="1" ref="P35" ca="1">[1]!unf_ksep_mechanistic_Marquez_(dintake_m,dcas_m,K35,L35,J35,H35,I35,M35,N35,1,hint,calibr_li,calibr_st)</f>
        <v>0.26204565265956697</v>
      </c>
      <c r="R35">
        <f t="array" aca="1" ref="R35:W35" ca="1">[1]!unf_ksep_mechanistic_Marquez_(dintake_m,dcas_m,K35,L35,J35,H35,I35,M35,N35,0,hint,calibr_li,calibr_st)</f>
        <v>0.26204565265956697</v>
      </c>
      <c r="S35">
        <f ca="1"/>
        <v>2</v>
      </c>
      <c r="T35">
        <f ca="1"/>
        <v>0.18122448094453489</v>
      </c>
      <c r="U35">
        <f ca="1"/>
        <v>0.58879183556541448</v>
      </c>
      <c r="V35">
        <f ca="1"/>
        <v>0.10346571992877605</v>
      </c>
      <c r="W35">
        <f ca="1"/>
        <v>1.9943678958233915E-3</v>
      </c>
    </row>
    <row r="36" spans="5:23" x14ac:dyDescent="0.25">
      <c r="F36">
        <v>130</v>
      </c>
      <c r="G36" t="str">
        <f ca="1">[1]!encode_feed(F36,$E$17,$E$18,$E$19,$E$15)</f>
        <v>{"gamma_gas":0.81,"gamma_oil":0.82,"gamma_wat":1.1,"rsb_m3m3":120,"muob_cP":1,"PVT_corr_set":1,"q_liq_sm3day":130,"fw_perc":0,"rp_m3m3":120}</v>
      </c>
      <c r="H36" s="9" cm="1">
        <f t="array" aca="1" ref="H36" ca="1">[1]!feed_rho_liq_kgm3(p,t,G36)</f>
        <v>712.7468421788584</v>
      </c>
      <c r="I36" s="9" cm="1">
        <f t="array" aca="1" ref="I36" ca="1">[1]!PVT_rho_gas_kgm3(p,t,PVT_json)</f>
        <v>116.32084897430778</v>
      </c>
      <c r="J36" s="6" cm="1">
        <f t="array" aca="1" ref="J36" ca="1">[1]!feed_ST_liqgas_Nm(p,t,G36)</f>
        <v>2.3693872187412611E-2</v>
      </c>
      <c r="K36" s="8" cm="1">
        <f t="array" aca="1" ref="K36" ca="1">[1]!feed_q_liq_rc_m3day(p,t,G36)</f>
        <v>166.44776618533774</v>
      </c>
      <c r="L36" s="8" cm="1">
        <f t="array" aca="1" ref="L36" ca="1">[1]!feed_q_gas_rc_m3day(p,t,G36)</f>
        <v>29.249111347416498</v>
      </c>
      <c r="M36" s="7" cm="1">
        <f t="array" aca="1" ref="M36" ca="1">[1]!feed_mu_liq_cP(p,t,G36)</f>
        <v>1.7967811455081182</v>
      </c>
      <c r="N36" s="7" cm="1">
        <f t="array" aca="1" ref="N36" ca="1">[1]!PVT_mu_gas_cP(p,t,G36)</f>
        <v>1.6103282892022303E-2</v>
      </c>
      <c r="O36" s="7" cm="1">
        <f t="array" aca="1" ref="O36" ca="1">[1]!unf_ksep_natural_simplified_Marquez(dintake_m,dcas_m,K36,L36,J36,H36,I36,1)</f>
        <v>0.29650558655770665</v>
      </c>
      <c r="P36" s="7" cm="1">
        <f t="array" aca="1" ref="P36" ca="1">[1]!unf_ksep_mechanistic_Marquez_(dintake_m,dcas_m,K36,L36,J36,H36,I36,M36,N36,1,hint,calibr_li,calibr_st)</f>
        <v>0.22751308823512545</v>
      </c>
      <c r="R36">
        <f t="array" aca="1" ref="R36:W36" ca="1">[1]!unf_ksep_mechanistic_Marquez_(dintake_m,dcas_m,K36,L36,J36,H36,I36,M36,N36,0,hint,calibr_li,calibr_st)</f>
        <v>0.22751308823512545</v>
      </c>
      <c r="S36">
        <f ca="1"/>
        <v>2</v>
      </c>
      <c r="T36">
        <f ca="1"/>
        <v>0.18122448094453489</v>
      </c>
      <c r="U36">
        <f ca="1"/>
        <v>0.69584489657730808</v>
      </c>
      <c r="V36">
        <f ca="1"/>
        <v>0.12227766900673533</v>
      </c>
      <c r="W36">
        <f ca="1"/>
        <v>1.9976527031401663E-3</v>
      </c>
    </row>
    <row r="37" spans="5:23" x14ac:dyDescent="0.25">
      <c r="F37">
        <v>150</v>
      </c>
      <c r="G37" t="str">
        <f ca="1">[1]!encode_feed(F37,$E$17,$E$18,$E$19,$E$15)</f>
        <v>{"gamma_gas":0.81,"gamma_oil":0.82,"gamma_wat":1.1,"rsb_m3m3":120,"muob_cP":1,"PVT_corr_set":1,"q_liq_sm3day":150,"fw_perc":0,"rp_m3m3":120}</v>
      </c>
      <c r="H37" s="9" cm="1">
        <f t="array" aca="1" ref="H37" ca="1">[1]!feed_rho_liq_kgm3(p,t,G37)</f>
        <v>712.7468421788584</v>
      </c>
      <c r="I37" s="9" cm="1">
        <f t="array" aca="1" ref="I37" ca="1">[1]!PVT_rho_gas_kgm3(p,t,PVT_json)</f>
        <v>116.32084897430778</v>
      </c>
      <c r="J37" s="6" cm="1">
        <f t="array" aca="1" ref="J37" ca="1">[1]!feed_ST_liqgas_Nm(p,t,G37)</f>
        <v>2.3693872187412611E-2</v>
      </c>
      <c r="K37" s="8" cm="1">
        <f t="array" aca="1" ref="K37" ca="1">[1]!feed_q_liq_rc_m3day(p,t,G37)</f>
        <v>192.05511482923586</v>
      </c>
      <c r="L37" s="8" cm="1">
        <f t="array" aca="1" ref="L37" ca="1">[1]!feed_q_gas_rc_m3day(p,t,G37)</f>
        <v>33.748974631634425</v>
      </c>
      <c r="M37" s="7" cm="1">
        <f t="array" aca="1" ref="M37" ca="1">[1]!feed_mu_liq_cP(p,t,G37)</f>
        <v>1.7967811455081182</v>
      </c>
      <c r="N37" s="7" cm="1">
        <f t="array" aca="1" ref="N37" ca="1">[1]!PVT_mu_gas_cP(p,t,G37)</f>
        <v>1.6103282892022303E-2</v>
      </c>
      <c r="O37" s="7" cm="1">
        <f t="array" aca="1" ref="O37" ca="1">[1]!unf_ksep_natural_simplified_Marquez(dintake_m,dcas_m,K37,L37,J37,H37,I37,1)</f>
        <v>0.28319826861777386</v>
      </c>
      <c r="P37" s="7" cm="1">
        <f t="array" aca="1" ref="P37" ca="1">[1]!unf_ksep_mechanistic_Marquez_(dintake_m,dcas_m,K37,L37,J37,H37,I37,M37,N37,1,hint,calibr_li,calibr_st)</f>
        <v>0.20101832003990336</v>
      </c>
      <c r="R37">
        <f t="array" aca="1" ref="R37:W37" ca="1">[1]!unf_ksep_mechanistic_Marquez_(dintake_m,dcas_m,K37,L37,J37,H37,I37,M37,N37,0,hint,calibr_li,calibr_st)</f>
        <v>0.20101832003990336</v>
      </c>
      <c r="S37">
        <f ca="1"/>
        <v>2</v>
      </c>
      <c r="T37">
        <f ca="1"/>
        <v>0.18122448094453489</v>
      </c>
      <c r="U37">
        <f ca="1"/>
        <v>0.80289795758920168</v>
      </c>
      <c r="V37">
        <f ca="1"/>
        <v>0.14108961808469464</v>
      </c>
      <c r="W37">
        <f ca="1"/>
        <v>2.0045250559134675E-3</v>
      </c>
    </row>
    <row r="38" spans="5:23" x14ac:dyDescent="0.25">
      <c r="F38">
        <v>170</v>
      </c>
      <c r="G38" t="str">
        <f ca="1">[1]!encode_feed(F38,$E$17,$E$18,$E$19,$E$15)</f>
        <v>{"gamma_gas":0.81,"gamma_oil":0.82,"gamma_wat":1.1,"rsb_m3m3":120,"muob_cP":1,"PVT_corr_set":1,"q_liq_sm3day":170,"fw_perc":0,"rp_m3m3":120}</v>
      </c>
      <c r="H38" s="9" cm="1">
        <f t="array" aca="1" ref="H38" ca="1">[1]!feed_rho_liq_kgm3(p,t,G38)</f>
        <v>712.7468421788584</v>
      </c>
      <c r="I38" s="9" cm="1">
        <f t="array" aca="1" ref="I38" ca="1">[1]!PVT_rho_gas_kgm3(p,t,PVT_json)</f>
        <v>116.32084897430778</v>
      </c>
      <c r="J38" s="6" cm="1">
        <f t="array" aca="1" ref="J38" ca="1">[1]!feed_ST_liqgas_Nm(p,t,G38)</f>
        <v>2.3693872187412611E-2</v>
      </c>
      <c r="K38" s="8" cm="1">
        <f t="array" aca="1" ref="K38" ca="1">[1]!feed_q_liq_rc_m3day(p,t,G38)</f>
        <v>217.66246347313395</v>
      </c>
      <c r="L38" s="8" cm="1">
        <f t="array" aca="1" ref="L38" ca="1">[1]!feed_q_gas_rc_m3day(p,t,G38)</f>
        <v>38.248837915852341</v>
      </c>
      <c r="M38" s="7" cm="1">
        <f t="array" aca="1" ref="M38" ca="1">[1]!feed_mu_liq_cP(p,t,G38)</f>
        <v>1.7967811455081182</v>
      </c>
      <c r="N38" s="7" cm="1">
        <f t="array" aca="1" ref="N38" ca="1">[1]!PVT_mu_gas_cP(p,t,G38)</f>
        <v>1.6103282892022303E-2</v>
      </c>
      <c r="O38" s="7" cm="1">
        <f t="array" aca="1" ref="O38" ca="1">[1]!unf_ksep_natural_simplified_Marquez(dintake_m,dcas_m,K38,L38,J38,H38,I38,1)</f>
        <v>0.27189576228450996</v>
      </c>
      <c r="P38" s="7" cm="1">
        <f t="array" aca="1" ref="P38" ca="1">[1]!unf_ksep_mechanistic_Marquez_(dintake_m,dcas_m,K38,L38,J38,H38,I38,M38,N38,1,hint,calibr_li,calibr_st)</f>
        <v>0.17968735458121118</v>
      </c>
      <c r="R38">
        <f t="array" aca="1" ref="R38:W38" ca="1">[1]!unf_ksep_mechanistic_Marquez_(dintake_m,dcas_m,K38,L38,J38,H38,I38,M38,N38,0,hint,calibr_li,calibr_st)</f>
        <v>0.17968735458121118</v>
      </c>
      <c r="S38">
        <f ca="1"/>
        <v>2</v>
      </c>
      <c r="T38">
        <f ca="1"/>
        <v>0.18122448094453489</v>
      </c>
      <c r="U38">
        <f ca="1"/>
        <v>0.90995101860109517</v>
      </c>
      <c r="V38">
        <f ca="1"/>
        <v>0.15990156716265388</v>
      </c>
      <c r="W38">
        <f ca="1"/>
        <v>2.0143093427469234E-3</v>
      </c>
    </row>
    <row r="39" spans="5:23" x14ac:dyDescent="0.25">
      <c r="F39">
        <v>190</v>
      </c>
      <c r="G39" t="str">
        <f ca="1">[1]!encode_feed(F39,$E$17,$E$18,$E$19,$E$15)</f>
        <v>{"gamma_gas":0.81,"gamma_oil":0.82,"gamma_wat":1.1,"rsb_m3m3":120,"muob_cP":1,"PVT_corr_set":1,"q_liq_sm3day":190,"fw_perc":0,"rp_m3m3":120}</v>
      </c>
      <c r="H39" s="9" cm="1">
        <f t="array" aca="1" ref="H39" ca="1">[1]!feed_rho_liq_kgm3(p,t,G39)</f>
        <v>712.7468421788584</v>
      </c>
      <c r="I39" s="9" cm="1">
        <f t="array" aca="1" ref="I39" ca="1">[1]!PVT_rho_gas_kgm3(p,t,PVT_json)</f>
        <v>116.32084897430778</v>
      </c>
      <c r="J39" s="6" cm="1">
        <f t="array" aca="1" ref="J39" ca="1">[1]!feed_ST_liqgas_Nm(p,t,G39)</f>
        <v>2.3693872187412611E-2</v>
      </c>
      <c r="K39" s="8" cm="1">
        <f t="array" aca="1" ref="K39" ca="1">[1]!feed_q_liq_rc_m3day(p,t,G39)</f>
        <v>243.26981211703207</v>
      </c>
      <c r="L39" s="8" cm="1">
        <f t="array" aca="1" ref="L39" ca="1">[1]!feed_q_gas_rc_m3day(p,t,G39)</f>
        <v>42.748701200070265</v>
      </c>
      <c r="M39" s="7" cm="1">
        <f t="array" aca="1" ref="M39" ca="1">[1]!feed_mu_liq_cP(p,t,G39)</f>
        <v>1.7967811455081182</v>
      </c>
      <c r="N39" s="7" cm="1">
        <f t="array" aca="1" ref="N39" ca="1">[1]!PVT_mu_gas_cP(p,t,G39)</f>
        <v>1.6103282892022303E-2</v>
      </c>
      <c r="O39" s="7" cm="1">
        <f t="array" aca="1" ref="O39" ca="1">[1]!unf_ksep_natural_simplified_Marquez(dintake_m,dcas_m,K39,L39,J39,H39,I39,1)</f>
        <v>0.25935068608024459</v>
      </c>
      <c r="P39" s="7" cm="1">
        <f t="array" aca="1" ref="P39" ca="1">[1]!unf_ksep_mechanistic_Marquez_(dintake_m,dcas_m,K39,L39,J39,H39,I39,M39,N39,1,hint,calibr_li,calibr_st)</f>
        <v>0.16225474587498023</v>
      </c>
      <c r="R39">
        <f t="array" aca="1" ref="R39:W39" ca="1">[1]!unf_ksep_mechanistic_Marquez_(dintake_m,dcas_m,K39,L39,J39,H39,I39,M39,N39,0,hint,calibr_li,calibr_st)</f>
        <v>0.16225474587498023</v>
      </c>
      <c r="S39">
        <f ca="1"/>
        <v>2</v>
      </c>
      <c r="T39">
        <f ca="1"/>
        <v>0.18122448094453489</v>
      </c>
      <c r="U39">
        <f ca="1"/>
        <v>1.0170040796129887</v>
      </c>
      <c r="V39">
        <f ca="1"/>
        <v>0.17871351624061316</v>
      </c>
      <c r="W39">
        <f ca="1"/>
        <v>2.0264550191415476E-3</v>
      </c>
    </row>
    <row r="40" spans="5:23" x14ac:dyDescent="0.25">
      <c r="F40">
        <v>210</v>
      </c>
      <c r="G40" t="str">
        <f ca="1">[1]!encode_feed(F40,$E$17,$E$18,$E$19,$E$15)</f>
        <v>{"gamma_gas":0.81,"gamma_oil":0.82,"gamma_wat":1.1,"rsb_m3m3":120,"muob_cP":1,"PVT_corr_set":1,"q_liq_sm3day":210,"fw_perc":0,"rp_m3m3":120}</v>
      </c>
      <c r="H40" s="9" cm="1">
        <f t="array" aca="1" ref="H40" ca="1">[1]!feed_rho_liq_kgm3(p,t,G40)</f>
        <v>712.7468421788584</v>
      </c>
      <c r="I40" s="9" cm="1">
        <f t="array" aca="1" ref="I40" ca="1">[1]!PVT_rho_gas_kgm3(p,t,PVT_json)</f>
        <v>116.32084897430778</v>
      </c>
      <c r="J40" s="6" cm="1">
        <f t="array" aca="1" ref="J40" ca="1">[1]!feed_ST_liqgas_Nm(p,t,G40)</f>
        <v>2.3693872187412611E-2</v>
      </c>
      <c r="K40" s="8" cm="1">
        <f t="array" aca="1" ref="K40" ca="1">[1]!feed_q_liq_rc_m3day(p,t,G40)</f>
        <v>268.87716076093017</v>
      </c>
      <c r="L40" s="8" cm="1">
        <f t="array" aca="1" ref="L40" ca="1">[1]!feed_q_gas_rc_m3day(p,t,G40)</f>
        <v>47.248564484288188</v>
      </c>
      <c r="M40" s="7" cm="1">
        <f t="array" aca="1" ref="M40" ca="1">[1]!feed_mu_liq_cP(p,t,G40)</f>
        <v>1.7967811455081182</v>
      </c>
      <c r="N40" s="7" cm="1">
        <f t="array" aca="1" ref="N40" ca="1">[1]!PVT_mu_gas_cP(p,t,G40)</f>
        <v>1.6103282892022303E-2</v>
      </c>
      <c r="O40" s="7" cm="1">
        <f t="array" aca="1" ref="O40" ca="1">[1]!unf_ksep_natural_simplified_Marquez(dintake_m,dcas_m,K40,L40,J40,H40,I40,1)</f>
        <v>0.24302419799072883</v>
      </c>
      <c r="P40" s="7" cm="1">
        <f t="array" aca="1" ref="P40" ca="1">[1]!unf_ksep_mechanistic_Marquez_(dintake_m,dcas_m,K40,L40,J40,H40,I40,M40,N40,1,hint,calibr_li,calibr_st)</f>
        <v>0.14778504546919524</v>
      </c>
      <c r="R40" cm="1">
        <f t="array" aca="1" ref="R40:W41" ca="1">[1]!unf_ksep_mechanistic_Marquez_(dintake_m,dcas_m,K40,L40,J40,H40,I40,M40,N40,0,hint,calibr_li,calibr_st)</f>
        <v>0.14778504546919524</v>
      </c>
      <c r="S40">
        <f ca="1"/>
        <v>2</v>
      </c>
      <c r="T40">
        <f ca="1"/>
        <v>0.18122448094453489</v>
      </c>
      <c r="U40">
        <f ca="1"/>
        <v>1.1240571406248823</v>
      </c>
      <c r="V40">
        <f ca="1"/>
        <v>0.19752546531857246</v>
      </c>
      <c r="W40">
        <f ca="1"/>
        <v>2.0405081500953536E-3</v>
      </c>
    </row>
    <row r="41" spans="5:23" x14ac:dyDescent="0.25">
      <c r="R41" t="str">
        <f ca="1"/>
        <v>ksep</v>
      </c>
      <c r="S41" t="str">
        <f ca="1"/>
        <v>flow regime</v>
      </c>
      <c r="T41" t="str">
        <f ca="1"/>
        <v>v_ooz</v>
      </c>
      <c r="U41" t="str">
        <f ca="1"/>
        <v>vsl</v>
      </c>
      <c r="V41" t="str">
        <f ca="1"/>
        <v>vsg</v>
      </c>
      <c r="W41" t="str">
        <f ca="1"/>
        <v>li</v>
      </c>
    </row>
    <row r="45" spans="5:23" x14ac:dyDescent="0.25">
      <c r="E45" t="s">
        <v>47</v>
      </c>
    </row>
    <row r="47" spans="5:23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5:23" x14ac:dyDescent="0.25">
      <c r="F48">
        <f>E16</f>
        <v>60</v>
      </c>
      <c r="G48" t="str">
        <f ca="1">[1]!encode_feed(F48,$E$17,$E$18,$E$19,$E$15)</f>
        <v>{"gamma_gas":0.81,"gamma_oil":0.82,"gamma_wat":1.1,"rsb_m3m3":120,"muob_cP":1,"PVT_corr_set":1,"q_liq_sm3day":60,"fw_perc":0,"rp_m3m3":120}</v>
      </c>
      <c r="H48" s="9" cm="1">
        <f t="array" aca="1" ref="H48" ca="1">[1]!feed_rho_liq_kgm3(p,t,G48)</f>
        <v>712.7468421788584</v>
      </c>
      <c r="I48" s="9" cm="1">
        <f t="array" aca="1" ref="I48" ca="1">[1]!PVT_rho_gas_kgm3(p,t,PVT_json)</f>
        <v>116.32084897430778</v>
      </c>
      <c r="J48" s="6" cm="1">
        <f t="array" aca="1" ref="J48" ca="1">[1]!feed_ST_liqgas_Nm(p,t,G48)</f>
        <v>2.3693872187412611E-2</v>
      </c>
      <c r="K48" s="8" cm="1">
        <f t="array" aca="1" ref="K48" ca="1">[1]!feed_q_liq_rc_m3day(p,t,G48)</f>
        <v>76.822045931694333</v>
      </c>
      <c r="L48" s="8" cm="1">
        <f t="array" aca="1" ref="L48" ca="1">[1]!feed_q_gas_rc_m3day(p,t,G48)</f>
        <v>13.499589852653768</v>
      </c>
      <c r="M48" s="7" cm="1">
        <f t="array" aca="1" ref="M48" ca="1">[1]!feed_mu_liq_cP(p,t,G48)</f>
        <v>1.7967811455081182</v>
      </c>
      <c r="N48" s="7" cm="1">
        <f t="array" aca="1" ref="N48" ca="1">[1]!PVT_mu_gas_cP(p,t,G48)</f>
        <v>1.6103282892022303E-2</v>
      </c>
    </row>
    <row r="53" spans="5:31" x14ac:dyDescent="0.25">
      <c r="E53" t="str" cm="1">
        <f t="array" aca="1" ref="E53" ca="1">[1]!unf_ksep_mechanistic_Marquez_build_bubble_tracks(dintake_m,dcas_m,K48,L48,J48,H48,I48,M48,N48,hint,calibr_li,calibr_st)</f>
        <v>{"n 1":{"curve_x":"x","curve_y":"y","x":[-0.04,-0.016667,0.006667,0.03,0.053333,0.076667,0.1,0.123333,0.13607,0.146667,0.17,0.193333,0.2,0.216667,0.24],"y":[0.060103,0.060103,0.060103,0.060103,0.060103,0.060103,0.060103,0.060103,0.060103,0.059533,0.058241,0.056895,0.0565,0.0565,0.0565]},"n 2":{"curve_x":"x","curve_y":"y","x":[-0.04,-0.016667,0.006667,0.03,0.053333,0.076667,0.1,0.123333,0.146667,0.151611,0.17,0.193333,0.2,0.216667,0.24],"y":[0.060685,0.060685,0.060685,0.060685,0.060685,0.060685,0.060685,0.060685,0.060685,0.060685,0.059691,0.058383,0.058,0.058,0.058]},"n 3":{"curve_x":"x","curve_y":"y","x":[-0.04,-0.016667,0.006667,0.03,0.053333,0.076667,0.1,0.123333,0.146667,0.167453,0.17,0.193333,0.2,0.216667,0.24],"y":[0.061279,0.061279,0.061279,0.061279,0.061279,0.061279,0.061279,0.061279,0.061279,0.061279,0.061144,0.059872,0.0595,0.0595,0.0595]},"n 4":{"curve_x":"x","curve_y":"y","x":[-0.04,-0.016667,0.006667,0.03,0.053333,0.076667,0.1,0.123333,0.146667,0.17,0.183585,0.193333,0.2,0.216667,0.24],"y":[0.061884,0.061884,0.061884,0.061884,0.061884,0.061884,0.061884,0.061884,0.061884,0.061884,0.061884,0.061362,0.061,0.061,0.061]},"n 5":{"curve_x":"x","curve_y":"y","x":[-0.04,-0.033077,-0.026154,-0.019231,-0.012308,-0.005385,0.001538,0.008462,0.015385,0.022308,0.029231,0.029634,0.036154,0.043077,0.05],"y":[0.056111,0.056111,0.056111,0.056111,0.056111,0.056111,0.056111,0.056111,0.056111,0.056111,0.056111,0.056111,0.05576,0.055382,0.055]},"n 6":{"curve_x":"x","curve_y":"y","x":[-0.04,-0.029231,-0.018462,-0.007692,0.003077,0.013846,0.024615,0.035385,0.046154,0.056923,0.059668,0.067692,0.078462,0.089231,0.1],"y":[0.057238,0.057238,0.057238,0.057238,0.057238,0.057238,0.057238,0.057238,0.057238,0.057238,0.057238,0.056805,0.056215,0.055614,0.055]},"n 7":{"curve_x":"x","curve_y":"y","x":[-0.04,-0.025385,-0.010769,0.003846,0.018462,0.033077,0.047692,0.062308,0.076923,0.090078,0.091538,0.106154,0.120769,0.135385,0.15],"y":[0.058378,0.058378,0.058378,0.058378,0.058378,0.058378,0.058378,0.058378,0.058378,0.058378,0.0583,0.057507,0.056694,0.055859,0.055]},"n 8":{"curve_x":"x","curve_y":"y","x":[-0.04,-0.021538,-0.003077,0.015385,0.033846,0.052308,0.070769,0.089231,0.107692,0.120839,0.126154,0.144615,0.163077,0.181538,0.2],"y":[0.059531,0.059531,0.059531,0.059531,0.059531,0.059531,0.059531,0.059531,0.059531,0.059531,0.059247,0.058238,0.057195,0.056116,0.055]}}</v>
      </c>
    </row>
    <row r="55" spans="5:31" x14ac:dyDescent="0.25">
      <c r="E55" t="str" cm="1">
        <f t="array" aca="1" ref="E55:F62" ca="1">[1]!decode_json(E53)</f>
        <v>n 1</v>
      </c>
      <c r="F55" t="str">
        <f ca="1"/>
        <v>{"curve_x":"x","curve_y":"y","x":[-0.04,-0.016667,0.006667,0.03,0.053333,0.076667,0.1,0.123333,0.13607,0.146667,0.17,0.193333,0.2,0.216667,0.24],"y":[0.060103,0.060103,0.060103,0.060103,0.060103,0.060103,0.060103,0.060103,0.060103,0.059533,0.058241,0.056895,0.0565,0.0565,0.0565]}</v>
      </c>
      <c r="I55" t="str" cm="1">
        <f t="array" aca="1" ref="I55:J70" ca="1">[1]!decode_json_crv(F55)</f>
        <v>x</v>
      </c>
      <c r="J55" t="str">
        <f ca="1"/>
        <v>y</v>
      </c>
      <c r="L55" t="str" cm="1">
        <f t="array" aca="1" ref="L55:M70" ca="1">[1]!decode_json_crv(F56)</f>
        <v>x</v>
      </c>
      <c r="M55" t="str">
        <f ca="1"/>
        <v>y</v>
      </c>
      <c r="O55" t="str" cm="1">
        <f t="array" aca="1" ref="O55:P70" ca="1">[1]!decode_json_crv(F57)</f>
        <v>x</v>
      </c>
      <c r="P55" t="str">
        <f ca="1"/>
        <v>y</v>
      </c>
      <c r="R55" t="str" cm="1">
        <f t="array" aca="1" ref="R55:S70" ca="1">[1]!decode_json_crv(F58)</f>
        <v>x</v>
      </c>
      <c r="S55" t="str">
        <f ca="1"/>
        <v>y</v>
      </c>
      <c r="U55" t="str" cm="1">
        <f t="array" aca="1" ref="U55:V70" ca="1">[1]!decode_json_crv(F59)</f>
        <v>x</v>
      </c>
      <c r="V55" t="str">
        <f ca="1"/>
        <v>y</v>
      </c>
      <c r="X55" t="str" cm="1">
        <f t="array" aca="1" ref="X55:Y70" ca="1">[1]!decode_json_crv(F60)</f>
        <v>x</v>
      </c>
      <c r="Y55" t="str">
        <f ca="1"/>
        <v>y</v>
      </c>
      <c r="AA55" t="str" cm="1">
        <f t="array" aca="1" ref="AA55:AB70" ca="1">[1]!decode_json_crv(F61)</f>
        <v>x</v>
      </c>
      <c r="AB55" t="str">
        <f ca="1"/>
        <v>y</v>
      </c>
      <c r="AD55" t="str" cm="1">
        <f t="array" aca="1" ref="AD55:AE70" ca="1">[1]!decode_json_crv(F62)</f>
        <v>x</v>
      </c>
      <c r="AE55" t="str">
        <f ca="1"/>
        <v>y</v>
      </c>
    </row>
    <row r="56" spans="5:31" x14ac:dyDescent="0.25">
      <c r="E56" t="str">
        <f ca="1"/>
        <v>n 2</v>
      </c>
      <c r="F56" t="str">
        <f ca="1"/>
        <v>{"curve_x":"x","curve_y":"y","x":[-0.04,-0.016667,0.006667,0.03,0.053333,0.076667,0.1,0.123333,0.146667,0.151611,0.17,0.193333,0.2,0.216667,0.24],"y":[0.060685,0.060685,0.060685,0.060685,0.060685,0.060685,0.060685,0.060685,0.060685,0.060685,0.059691,0.058383,0.058,0.058,0.058]}</v>
      </c>
      <c r="I56">
        <f ca="1"/>
        <v>-0.04</v>
      </c>
      <c r="J56">
        <f ca="1"/>
        <v>6.0102999999999997E-2</v>
      </c>
      <c r="L56">
        <f ca="1"/>
        <v>-0.04</v>
      </c>
      <c r="M56">
        <f ca="1"/>
        <v>6.0685000000000003E-2</v>
      </c>
      <c r="O56">
        <f ca="1"/>
        <v>-0.04</v>
      </c>
      <c r="P56">
        <f ca="1"/>
        <v>6.1279E-2</v>
      </c>
      <c r="R56">
        <f ca="1"/>
        <v>-0.04</v>
      </c>
      <c r="S56">
        <f ca="1"/>
        <v>6.1884000000000002E-2</v>
      </c>
      <c r="U56">
        <f ca="1"/>
        <v>-0.04</v>
      </c>
      <c r="V56">
        <f ca="1"/>
        <v>5.6111000000000001E-2</v>
      </c>
      <c r="X56">
        <f ca="1"/>
        <v>-0.04</v>
      </c>
      <c r="Y56">
        <f ca="1"/>
        <v>5.7237999999999997E-2</v>
      </c>
      <c r="AA56">
        <f ca="1"/>
        <v>-0.04</v>
      </c>
      <c r="AB56">
        <f ca="1"/>
        <v>5.8377999999999999E-2</v>
      </c>
      <c r="AD56">
        <f ca="1"/>
        <v>-0.04</v>
      </c>
      <c r="AE56">
        <f ca="1"/>
        <v>5.9531000000000001E-2</v>
      </c>
    </row>
    <row r="57" spans="5:31" x14ac:dyDescent="0.25">
      <c r="E57" t="str">
        <f ca="1"/>
        <v>n 3</v>
      </c>
      <c r="F57" t="str">
        <f ca="1"/>
        <v>{"curve_x":"x","curve_y":"y","x":[-0.04,-0.016667,0.006667,0.03,0.053333,0.076667,0.1,0.123333,0.146667,0.167453,0.17,0.193333,0.2,0.216667,0.24],"y":[0.061279,0.061279,0.061279,0.061279,0.061279,0.061279,0.061279,0.061279,0.061279,0.061279,0.061144,0.059872,0.0595,0.0595,0.0595]}</v>
      </c>
      <c r="I57">
        <f ca="1"/>
        <v>-1.6667000000000001E-2</v>
      </c>
      <c r="J57">
        <f ca="1"/>
        <v>6.0102999999999997E-2</v>
      </c>
      <c r="L57">
        <f ca="1"/>
        <v>-1.6667000000000001E-2</v>
      </c>
      <c r="M57">
        <f ca="1"/>
        <v>6.0685000000000003E-2</v>
      </c>
      <c r="O57">
        <f ca="1"/>
        <v>-1.6667000000000001E-2</v>
      </c>
      <c r="P57">
        <f ca="1"/>
        <v>6.1279E-2</v>
      </c>
      <c r="R57">
        <f ca="1"/>
        <v>-1.6667000000000001E-2</v>
      </c>
      <c r="S57">
        <f ca="1"/>
        <v>6.1884000000000002E-2</v>
      </c>
      <c r="U57">
        <f ca="1"/>
        <v>-3.3077000000000002E-2</v>
      </c>
      <c r="V57">
        <f ca="1"/>
        <v>5.6111000000000001E-2</v>
      </c>
      <c r="X57">
        <f ca="1"/>
        <v>-2.9231E-2</v>
      </c>
      <c r="Y57">
        <f ca="1"/>
        <v>5.7237999999999997E-2</v>
      </c>
      <c r="AA57">
        <f ca="1"/>
        <v>-2.5385000000000001E-2</v>
      </c>
      <c r="AB57">
        <f ca="1"/>
        <v>5.8377999999999999E-2</v>
      </c>
      <c r="AD57">
        <f ca="1"/>
        <v>-2.1538000000000002E-2</v>
      </c>
      <c r="AE57">
        <f ca="1"/>
        <v>5.9531000000000001E-2</v>
      </c>
    </row>
    <row r="58" spans="5:31" x14ac:dyDescent="0.25">
      <c r="E58" t="str">
        <f ca="1"/>
        <v>n 4</v>
      </c>
      <c r="F58" t="str">
        <f ca="1"/>
        <v>{"curve_x":"x","curve_y":"y","x":[-0.04,-0.016667,0.006667,0.03,0.053333,0.076667,0.1,0.123333,0.146667,0.17,0.183585,0.193333,0.2,0.216667,0.24],"y":[0.061884,0.061884,0.061884,0.061884,0.061884,0.061884,0.061884,0.061884,0.061884,0.061884,0.061884,0.061362,0.061,0.061,0.061]}</v>
      </c>
      <c r="I58">
        <f ca="1"/>
        <v>6.6670000000000002E-3</v>
      </c>
      <c r="J58">
        <f ca="1"/>
        <v>6.0102999999999997E-2</v>
      </c>
      <c r="L58">
        <f ca="1"/>
        <v>6.6670000000000002E-3</v>
      </c>
      <c r="M58">
        <f ca="1"/>
        <v>6.0685000000000003E-2</v>
      </c>
      <c r="O58">
        <f ca="1"/>
        <v>6.6670000000000002E-3</v>
      </c>
      <c r="P58">
        <f ca="1"/>
        <v>6.1279E-2</v>
      </c>
      <c r="R58">
        <f ca="1"/>
        <v>6.6670000000000002E-3</v>
      </c>
      <c r="S58">
        <f ca="1"/>
        <v>6.1884000000000002E-2</v>
      </c>
      <c r="U58">
        <f ca="1"/>
        <v>-2.6154E-2</v>
      </c>
      <c r="V58">
        <f ca="1"/>
        <v>5.6111000000000001E-2</v>
      </c>
      <c r="X58">
        <f ca="1"/>
        <v>-1.8461999999999999E-2</v>
      </c>
      <c r="Y58">
        <f ca="1"/>
        <v>5.7237999999999997E-2</v>
      </c>
      <c r="AA58">
        <f ca="1"/>
        <v>-1.0769000000000001E-2</v>
      </c>
      <c r="AB58">
        <f ca="1"/>
        <v>5.8377999999999999E-2</v>
      </c>
      <c r="AD58">
        <f ca="1"/>
        <v>-3.0769999999999999E-3</v>
      </c>
      <c r="AE58">
        <f ca="1"/>
        <v>5.9531000000000001E-2</v>
      </c>
    </row>
    <row r="59" spans="5:31" x14ac:dyDescent="0.25">
      <c r="E59" t="str">
        <f ca="1"/>
        <v>n 5</v>
      </c>
      <c r="F59" t="str">
        <f ca="1"/>
        <v>{"curve_x":"x","curve_y":"y","x":[-0.04,-0.033077,-0.026154,-0.019231,-0.012308,-0.005385,0.001538,0.008462,0.015385,0.022308,0.029231,0.029634,0.036154,0.043077,0.05],"y":[0.056111,0.056111,0.056111,0.056111,0.056111,0.056111,0.056111,0.056111,0.056111,0.056111,0.056111,0.056111,0.05576,0.055382,0.055]}</v>
      </c>
      <c r="I59">
        <f ca="1"/>
        <v>0.03</v>
      </c>
      <c r="J59">
        <f ca="1"/>
        <v>6.0102999999999997E-2</v>
      </c>
      <c r="L59">
        <f ca="1"/>
        <v>0.03</v>
      </c>
      <c r="M59">
        <f ca="1"/>
        <v>6.0685000000000003E-2</v>
      </c>
      <c r="O59">
        <f ca="1"/>
        <v>0.03</v>
      </c>
      <c r="P59">
        <f ca="1"/>
        <v>6.1279E-2</v>
      </c>
      <c r="R59">
        <f ca="1"/>
        <v>0.03</v>
      </c>
      <c r="S59">
        <f ca="1"/>
        <v>6.1884000000000002E-2</v>
      </c>
      <c r="U59">
        <f ca="1"/>
        <v>-1.9231000000000002E-2</v>
      </c>
      <c r="V59">
        <f ca="1"/>
        <v>5.6111000000000001E-2</v>
      </c>
      <c r="X59">
        <f ca="1"/>
        <v>-7.6920000000000001E-3</v>
      </c>
      <c r="Y59">
        <f ca="1"/>
        <v>5.7237999999999997E-2</v>
      </c>
      <c r="AA59">
        <f ca="1"/>
        <v>3.846E-3</v>
      </c>
      <c r="AB59">
        <f ca="1"/>
        <v>5.8377999999999999E-2</v>
      </c>
      <c r="AD59">
        <f ca="1"/>
        <v>1.5384999999999999E-2</v>
      </c>
      <c r="AE59">
        <f ca="1"/>
        <v>5.9531000000000001E-2</v>
      </c>
    </row>
    <row r="60" spans="5:31" x14ac:dyDescent="0.25">
      <c r="E60" t="str">
        <f ca="1"/>
        <v>n 6</v>
      </c>
      <c r="F60" t="str">
        <f ca="1"/>
        <v>{"curve_x":"x","curve_y":"y","x":[-0.04,-0.029231,-0.018462,-0.007692,0.003077,0.013846,0.024615,0.035385,0.046154,0.056923,0.059668,0.067692,0.078462,0.089231,0.1],"y":[0.057238,0.057238,0.057238,0.057238,0.057238,0.057238,0.057238,0.057238,0.057238,0.057238,0.057238,0.056805,0.056215,0.055614,0.055]}</v>
      </c>
      <c r="I60">
        <f ca="1"/>
        <v>5.3332999999999998E-2</v>
      </c>
      <c r="J60">
        <f ca="1"/>
        <v>6.0102999999999997E-2</v>
      </c>
      <c r="L60">
        <f ca="1"/>
        <v>5.3332999999999998E-2</v>
      </c>
      <c r="M60">
        <f ca="1"/>
        <v>6.0685000000000003E-2</v>
      </c>
      <c r="O60">
        <f ca="1"/>
        <v>5.3332999999999998E-2</v>
      </c>
      <c r="P60">
        <f ca="1"/>
        <v>6.1279E-2</v>
      </c>
      <c r="R60">
        <f ca="1"/>
        <v>5.3332999999999998E-2</v>
      </c>
      <c r="S60">
        <f ca="1"/>
        <v>6.1884000000000002E-2</v>
      </c>
      <c r="U60">
        <f ca="1"/>
        <v>-1.2307999999999999E-2</v>
      </c>
      <c r="V60">
        <f ca="1"/>
        <v>5.6111000000000001E-2</v>
      </c>
      <c r="X60">
        <f ca="1"/>
        <v>3.0769999999999999E-3</v>
      </c>
      <c r="Y60">
        <f ca="1"/>
        <v>5.7237999999999997E-2</v>
      </c>
      <c r="AA60">
        <f ca="1"/>
        <v>1.8461999999999999E-2</v>
      </c>
      <c r="AB60">
        <f ca="1"/>
        <v>5.8377999999999999E-2</v>
      </c>
      <c r="AD60">
        <f ca="1"/>
        <v>3.3846000000000001E-2</v>
      </c>
      <c r="AE60">
        <f ca="1"/>
        <v>5.9531000000000001E-2</v>
      </c>
    </row>
    <row r="61" spans="5:31" x14ac:dyDescent="0.25">
      <c r="E61" t="str">
        <f ca="1"/>
        <v>n 7</v>
      </c>
      <c r="F61" t="str">
        <f ca="1"/>
        <v>{"curve_x":"x","curve_y":"y","x":[-0.04,-0.025385,-0.010769,0.003846,0.018462,0.033077,0.047692,0.062308,0.076923,0.090078,0.091538,0.106154,0.120769,0.135385,0.15],"y":[0.058378,0.058378,0.058378,0.058378,0.058378,0.058378,0.058378,0.058378,0.058378,0.058378,0.0583,0.057507,0.056694,0.055859,0.055]}</v>
      </c>
      <c r="I61">
        <f ca="1"/>
        <v>7.6666999999999999E-2</v>
      </c>
      <c r="J61">
        <f ca="1"/>
        <v>6.0102999999999997E-2</v>
      </c>
      <c r="L61">
        <f ca="1"/>
        <v>7.6666999999999999E-2</v>
      </c>
      <c r="M61">
        <f ca="1"/>
        <v>6.0685000000000003E-2</v>
      </c>
      <c r="O61">
        <f ca="1"/>
        <v>7.6666999999999999E-2</v>
      </c>
      <c r="P61">
        <f ca="1"/>
        <v>6.1279E-2</v>
      </c>
      <c r="R61">
        <f ca="1"/>
        <v>7.6666999999999999E-2</v>
      </c>
      <c r="S61">
        <f ca="1"/>
        <v>6.1884000000000002E-2</v>
      </c>
      <c r="U61">
        <f ca="1"/>
        <v>-5.385E-3</v>
      </c>
      <c r="V61">
        <f ca="1"/>
        <v>5.6111000000000001E-2</v>
      </c>
      <c r="X61">
        <f ca="1"/>
        <v>1.3846000000000001E-2</v>
      </c>
      <c r="Y61">
        <f ca="1"/>
        <v>5.7237999999999997E-2</v>
      </c>
      <c r="AA61">
        <f ca="1"/>
        <v>3.3077000000000002E-2</v>
      </c>
      <c r="AB61">
        <f ca="1"/>
        <v>5.8377999999999999E-2</v>
      </c>
      <c r="AD61">
        <f ca="1"/>
        <v>5.2308E-2</v>
      </c>
      <c r="AE61">
        <f ca="1"/>
        <v>5.9531000000000001E-2</v>
      </c>
    </row>
    <row r="62" spans="5:31" x14ac:dyDescent="0.25">
      <c r="E62" t="str">
        <f ca="1"/>
        <v>n 8</v>
      </c>
      <c r="F62" t="str">
        <f ca="1"/>
        <v>{"curve_x":"x","curve_y":"y","x":[-0.04,-0.021538,-0.003077,0.015385,0.033846,0.052308,0.070769,0.089231,0.107692,0.120839,0.126154,0.144615,0.163077,0.181538,0.2],"y":[0.059531,0.059531,0.059531,0.059531,0.059531,0.059531,0.059531,0.059531,0.059531,0.059531,0.059247,0.058238,0.057195,0.056116,0.055]}</v>
      </c>
      <c r="I62">
        <f ca="1"/>
        <v>0.1</v>
      </c>
      <c r="J62">
        <f ca="1"/>
        <v>6.0102999999999997E-2</v>
      </c>
      <c r="L62">
        <f ca="1"/>
        <v>0.1</v>
      </c>
      <c r="M62">
        <f ca="1"/>
        <v>6.0685000000000003E-2</v>
      </c>
      <c r="O62">
        <f ca="1"/>
        <v>0.1</v>
      </c>
      <c r="P62">
        <f ca="1"/>
        <v>6.1279E-2</v>
      </c>
      <c r="R62">
        <f ca="1"/>
        <v>0.1</v>
      </c>
      <c r="S62">
        <f ca="1"/>
        <v>6.1884000000000002E-2</v>
      </c>
      <c r="U62">
        <f ca="1"/>
        <v>1.5380000000000001E-3</v>
      </c>
      <c r="V62">
        <f ca="1"/>
        <v>5.6111000000000001E-2</v>
      </c>
      <c r="X62">
        <f ca="1"/>
        <v>2.4615000000000001E-2</v>
      </c>
      <c r="Y62">
        <f ca="1"/>
        <v>5.7237999999999997E-2</v>
      </c>
      <c r="AA62">
        <f ca="1"/>
        <v>4.7691999999999998E-2</v>
      </c>
      <c r="AB62">
        <f ca="1"/>
        <v>5.8377999999999999E-2</v>
      </c>
      <c r="AD62">
        <f ca="1"/>
        <v>7.0768999999999999E-2</v>
      </c>
      <c r="AE62">
        <f ca="1"/>
        <v>5.9531000000000001E-2</v>
      </c>
    </row>
    <row r="63" spans="5:31" x14ac:dyDescent="0.25">
      <c r="I63">
        <f ca="1"/>
        <v>0.123333</v>
      </c>
      <c r="J63">
        <f ca="1"/>
        <v>6.0102999999999997E-2</v>
      </c>
      <c r="L63">
        <f ca="1"/>
        <v>0.123333</v>
      </c>
      <c r="M63">
        <f ca="1"/>
        <v>6.0685000000000003E-2</v>
      </c>
      <c r="O63">
        <f ca="1"/>
        <v>0.123333</v>
      </c>
      <c r="P63">
        <f ca="1"/>
        <v>6.1279E-2</v>
      </c>
      <c r="R63">
        <f ca="1"/>
        <v>0.123333</v>
      </c>
      <c r="S63">
        <f ca="1"/>
        <v>6.1884000000000002E-2</v>
      </c>
      <c r="U63">
        <f ca="1"/>
        <v>8.4620000000000008E-3</v>
      </c>
      <c r="V63">
        <f ca="1"/>
        <v>5.6111000000000001E-2</v>
      </c>
      <c r="X63">
        <f ca="1"/>
        <v>3.5385E-2</v>
      </c>
      <c r="Y63">
        <f ca="1"/>
        <v>5.7237999999999997E-2</v>
      </c>
      <c r="AA63">
        <f ca="1"/>
        <v>6.2308000000000002E-2</v>
      </c>
      <c r="AB63">
        <f ca="1"/>
        <v>5.8377999999999999E-2</v>
      </c>
      <c r="AD63">
        <f ca="1"/>
        <v>8.9231000000000005E-2</v>
      </c>
      <c r="AE63">
        <f ca="1"/>
        <v>5.9531000000000001E-2</v>
      </c>
    </row>
    <row r="64" spans="5:31" x14ac:dyDescent="0.25">
      <c r="I64">
        <f ca="1"/>
        <v>0.13607</v>
      </c>
      <c r="J64">
        <f ca="1"/>
        <v>6.0102999999999997E-2</v>
      </c>
      <c r="L64">
        <f ca="1"/>
        <v>0.14666699999999999</v>
      </c>
      <c r="M64">
        <f ca="1"/>
        <v>6.0685000000000003E-2</v>
      </c>
      <c r="O64">
        <f ca="1"/>
        <v>0.14666699999999999</v>
      </c>
      <c r="P64">
        <f ca="1"/>
        <v>6.1279E-2</v>
      </c>
      <c r="R64">
        <f ca="1"/>
        <v>0.14666699999999999</v>
      </c>
      <c r="S64">
        <f ca="1"/>
        <v>6.1884000000000002E-2</v>
      </c>
      <c r="U64">
        <f ca="1"/>
        <v>1.5384999999999999E-2</v>
      </c>
      <c r="V64">
        <f ca="1"/>
        <v>5.6111000000000001E-2</v>
      </c>
      <c r="X64">
        <f ca="1"/>
        <v>4.6154000000000001E-2</v>
      </c>
      <c r="Y64">
        <f ca="1"/>
        <v>5.7237999999999997E-2</v>
      </c>
      <c r="AA64">
        <f ca="1"/>
        <v>7.6923000000000005E-2</v>
      </c>
      <c r="AB64">
        <f ca="1"/>
        <v>5.8377999999999999E-2</v>
      </c>
      <c r="AD64">
        <f ca="1"/>
        <v>0.107692</v>
      </c>
      <c r="AE64">
        <f ca="1"/>
        <v>5.9531000000000001E-2</v>
      </c>
    </row>
    <row r="65" spans="6:31" x14ac:dyDescent="0.25">
      <c r="I65">
        <f ca="1"/>
        <v>0.14666699999999999</v>
      </c>
      <c r="J65">
        <f ca="1"/>
        <v>5.9533000000000003E-2</v>
      </c>
      <c r="L65">
        <f ca="1"/>
        <v>0.151611</v>
      </c>
      <c r="M65">
        <f ca="1"/>
        <v>6.0685000000000003E-2</v>
      </c>
      <c r="O65">
        <f ca="1"/>
        <v>0.16745299999999999</v>
      </c>
      <c r="P65">
        <f ca="1"/>
        <v>6.1279E-2</v>
      </c>
      <c r="R65">
        <f ca="1"/>
        <v>0.17</v>
      </c>
      <c r="S65">
        <f ca="1"/>
        <v>6.1884000000000002E-2</v>
      </c>
      <c r="U65">
        <f ca="1"/>
        <v>2.2308000000000001E-2</v>
      </c>
      <c r="V65">
        <f ca="1"/>
        <v>5.6111000000000001E-2</v>
      </c>
      <c r="X65">
        <f ca="1"/>
        <v>5.6923000000000001E-2</v>
      </c>
      <c r="Y65">
        <f ca="1"/>
        <v>5.7237999999999997E-2</v>
      </c>
      <c r="AA65">
        <f ca="1"/>
        <v>9.0078000000000005E-2</v>
      </c>
      <c r="AB65">
        <f ca="1"/>
        <v>5.8377999999999999E-2</v>
      </c>
      <c r="AD65">
        <f ca="1"/>
        <v>0.120839</v>
      </c>
      <c r="AE65">
        <f ca="1"/>
        <v>5.9531000000000001E-2</v>
      </c>
    </row>
    <row r="66" spans="6:31" x14ac:dyDescent="0.25">
      <c r="I66">
        <f ca="1"/>
        <v>0.17</v>
      </c>
      <c r="J66">
        <f ca="1"/>
        <v>5.8241000000000001E-2</v>
      </c>
      <c r="L66">
        <f ca="1"/>
        <v>0.17</v>
      </c>
      <c r="M66">
        <f ca="1"/>
        <v>5.9691000000000001E-2</v>
      </c>
      <c r="O66">
        <f ca="1"/>
        <v>0.17</v>
      </c>
      <c r="P66">
        <f ca="1"/>
        <v>6.1143999999999997E-2</v>
      </c>
      <c r="R66">
        <f ca="1"/>
        <v>0.183585</v>
      </c>
      <c r="S66">
        <f ca="1"/>
        <v>6.1884000000000002E-2</v>
      </c>
      <c r="U66">
        <f ca="1"/>
        <v>2.9231E-2</v>
      </c>
      <c r="V66">
        <f ca="1"/>
        <v>5.6111000000000001E-2</v>
      </c>
      <c r="X66">
        <f ca="1"/>
        <v>5.9667999999999999E-2</v>
      </c>
      <c r="Y66">
        <f ca="1"/>
        <v>5.7237999999999997E-2</v>
      </c>
      <c r="AA66">
        <f ca="1"/>
        <v>9.1537999999999994E-2</v>
      </c>
      <c r="AB66">
        <f ca="1"/>
        <v>5.8299999999999998E-2</v>
      </c>
      <c r="AD66">
        <f ca="1"/>
        <v>0.12615399999999999</v>
      </c>
      <c r="AE66">
        <f ca="1"/>
        <v>5.9247000000000001E-2</v>
      </c>
    </row>
    <row r="67" spans="6:31" x14ac:dyDescent="0.25">
      <c r="I67">
        <f ca="1"/>
        <v>0.193333</v>
      </c>
      <c r="J67">
        <f ca="1"/>
        <v>5.6895000000000001E-2</v>
      </c>
      <c r="L67">
        <f ca="1"/>
        <v>0.193333</v>
      </c>
      <c r="M67">
        <f ca="1"/>
        <v>5.8382999999999997E-2</v>
      </c>
      <c r="O67">
        <f ca="1"/>
        <v>0.193333</v>
      </c>
      <c r="P67">
        <f ca="1"/>
        <v>5.9872000000000002E-2</v>
      </c>
      <c r="R67">
        <f ca="1"/>
        <v>0.193333</v>
      </c>
      <c r="S67">
        <f ca="1"/>
        <v>6.1362E-2</v>
      </c>
      <c r="U67">
        <f ca="1"/>
        <v>2.9634000000000001E-2</v>
      </c>
      <c r="V67">
        <f ca="1"/>
        <v>5.6111000000000001E-2</v>
      </c>
      <c r="X67">
        <f ca="1"/>
        <v>6.7692000000000002E-2</v>
      </c>
      <c r="Y67">
        <f ca="1"/>
        <v>5.6805000000000001E-2</v>
      </c>
      <c r="AA67">
        <f ca="1"/>
        <v>0.106154</v>
      </c>
      <c r="AB67">
        <f ca="1"/>
        <v>5.7507000000000003E-2</v>
      </c>
      <c r="AD67">
        <f ca="1"/>
        <v>0.14461499999999999</v>
      </c>
      <c r="AE67">
        <f ca="1"/>
        <v>5.8237999999999998E-2</v>
      </c>
    </row>
    <row r="68" spans="6:31" x14ac:dyDescent="0.25">
      <c r="I68">
        <f ca="1"/>
        <v>0.2</v>
      </c>
      <c r="J68">
        <f ca="1"/>
        <v>5.6500000000000002E-2</v>
      </c>
      <c r="L68">
        <f ca="1"/>
        <v>0.2</v>
      </c>
      <c r="M68">
        <f ca="1"/>
        <v>5.8000000000000003E-2</v>
      </c>
      <c r="O68">
        <f ca="1"/>
        <v>0.2</v>
      </c>
      <c r="P68">
        <f ca="1"/>
        <v>5.9499999999999997E-2</v>
      </c>
      <c r="R68">
        <f ca="1"/>
        <v>0.2</v>
      </c>
      <c r="S68">
        <f ca="1"/>
        <v>6.0999999999999999E-2</v>
      </c>
      <c r="U68">
        <f ca="1"/>
        <v>3.6153999999999999E-2</v>
      </c>
      <c r="V68">
        <f ca="1"/>
        <v>5.5759999999999997E-2</v>
      </c>
      <c r="X68">
        <f ca="1"/>
        <v>7.8462000000000004E-2</v>
      </c>
      <c r="Y68">
        <f ca="1"/>
        <v>5.6215000000000001E-2</v>
      </c>
      <c r="AA68">
        <f ca="1"/>
        <v>0.120769</v>
      </c>
      <c r="AB68">
        <f ca="1"/>
        <v>5.6694000000000001E-2</v>
      </c>
      <c r="AD68">
        <f ca="1"/>
        <v>0.163077</v>
      </c>
      <c r="AE68">
        <f ca="1"/>
        <v>5.7195000000000003E-2</v>
      </c>
    </row>
    <row r="69" spans="6:31" x14ac:dyDescent="0.25">
      <c r="I69">
        <f ca="1"/>
        <v>0.216667</v>
      </c>
      <c r="J69">
        <f ca="1"/>
        <v>5.6500000000000002E-2</v>
      </c>
      <c r="L69">
        <f ca="1"/>
        <v>0.216667</v>
      </c>
      <c r="M69">
        <f ca="1"/>
        <v>5.8000000000000003E-2</v>
      </c>
      <c r="O69">
        <f ca="1"/>
        <v>0.216667</v>
      </c>
      <c r="P69">
        <f ca="1"/>
        <v>5.9499999999999997E-2</v>
      </c>
      <c r="R69">
        <f ca="1"/>
        <v>0.216667</v>
      </c>
      <c r="S69">
        <f ca="1"/>
        <v>6.0999999999999999E-2</v>
      </c>
      <c r="U69">
        <f ca="1"/>
        <v>4.3076999999999997E-2</v>
      </c>
      <c r="V69">
        <f ca="1"/>
        <v>5.5382000000000001E-2</v>
      </c>
      <c r="X69">
        <f ca="1"/>
        <v>8.9231000000000005E-2</v>
      </c>
      <c r="Y69">
        <f ca="1"/>
        <v>5.5613999999999997E-2</v>
      </c>
      <c r="AA69">
        <f ca="1"/>
        <v>0.13538500000000001</v>
      </c>
      <c r="AB69">
        <f ca="1"/>
        <v>5.5858999999999999E-2</v>
      </c>
      <c r="AD69">
        <f ca="1"/>
        <v>0.181538</v>
      </c>
      <c r="AE69">
        <f ca="1"/>
        <v>5.6115999999999999E-2</v>
      </c>
    </row>
    <row r="70" spans="6:31" x14ac:dyDescent="0.25">
      <c r="I70">
        <f ca="1"/>
        <v>0.24</v>
      </c>
      <c r="J70">
        <f ca="1"/>
        <v>5.6500000000000002E-2</v>
      </c>
      <c r="L70">
        <f ca="1"/>
        <v>0.24</v>
      </c>
      <c r="M70">
        <f ca="1"/>
        <v>5.8000000000000003E-2</v>
      </c>
      <c r="O70">
        <f ca="1"/>
        <v>0.24</v>
      </c>
      <c r="P70">
        <f ca="1"/>
        <v>5.9499999999999997E-2</v>
      </c>
      <c r="R70">
        <f ca="1"/>
        <v>0.24</v>
      </c>
      <c r="S70">
        <f ca="1"/>
        <v>6.0999999999999999E-2</v>
      </c>
      <c r="U70">
        <f ca="1"/>
        <v>0.05</v>
      </c>
      <c r="V70">
        <f ca="1"/>
        <v>5.5E-2</v>
      </c>
      <c r="X70">
        <f ca="1"/>
        <v>0.1</v>
      </c>
      <c r="Y70">
        <f ca="1"/>
        <v>5.5E-2</v>
      </c>
      <c r="AA70">
        <f ca="1"/>
        <v>0.15</v>
      </c>
      <c r="AB70">
        <f ca="1"/>
        <v>5.5E-2</v>
      </c>
      <c r="AD70">
        <f ca="1"/>
        <v>0.2</v>
      </c>
      <c r="AE70">
        <f ca="1"/>
        <v>5.5E-2</v>
      </c>
    </row>
    <row r="73" spans="6:31" x14ac:dyDescent="0.25">
      <c r="F73" t="s">
        <v>44</v>
      </c>
      <c r="G73" t="s">
        <v>43</v>
      </c>
      <c r="I73" t="s">
        <v>44</v>
      </c>
      <c r="J73" t="s">
        <v>43</v>
      </c>
      <c r="L73" t="s">
        <v>44</v>
      </c>
      <c r="O73" t="s">
        <v>44</v>
      </c>
      <c r="P73" t="s">
        <v>43</v>
      </c>
    </row>
    <row r="74" spans="6:31" x14ac:dyDescent="0.25">
      <c r="F74">
        <f>dintake_m/2</f>
        <v>5.5E-2</v>
      </c>
      <c r="G74">
        <v>0</v>
      </c>
      <c r="I74">
        <f>dintake_m/2</f>
        <v>5.5E-2</v>
      </c>
      <c r="J74">
        <f>M74</f>
        <v>-3.999999999999998E-2</v>
      </c>
      <c r="L74">
        <f>dcas_m/2</f>
        <v>6.25E-2</v>
      </c>
      <c r="M74">
        <f>P75-M75</f>
        <v>-3.999999999999998E-2</v>
      </c>
      <c r="O74">
        <f>F74</f>
        <v>5.5E-2</v>
      </c>
      <c r="P74">
        <v>0</v>
      </c>
    </row>
    <row r="75" spans="6:31" x14ac:dyDescent="0.25">
      <c r="F75">
        <f>F74</f>
        <v>5.5E-2</v>
      </c>
      <c r="G75">
        <f>hint</f>
        <v>0.2</v>
      </c>
      <c r="I75">
        <f>I74</f>
        <v>5.5E-2</v>
      </c>
      <c r="J75">
        <f>hint*1.2</f>
        <v>0.24</v>
      </c>
      <c r="L75">
        <f>L74</f>
        <v>6.25E-2</v>
      </c>
      <c r="M75">
        <f>hint*1.2</f>
        <v>0.24</v>
      </c>
      <c r="O75">
        <f>L75</f>
        <v>6.25E-2</v>
      </c>
      <c r="P75">
        <f>G75</f>
        <v>0.2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EB6-9037-44C5-9077-020BF6052E78}">
  <sheetPr codeName="Лист6"/>
  <dimension ref="D3:AJ75"/>
  <sheetViews>
    <sheetView zoomScale="90" zoomScaleNormal="90" workbookViewId="0">
      <selection activeCell="I12" sqref="I12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6" max="26" width="12.28515625" bestFit="1" customWidth="1"/>
  </cols>
  <sheetData>
    <row r="3" spans="4:16" x14ac:dyDescent="0.25">
      <c r="D3" t="s">
        <v>15</v>
      </c>
      <c r="H3" t="s">
        <v>17</v>
      </c>
      <c r="M3" t="s">
        <v>16</v>
      </c>
    </row>
    <row r="6" spans="4:16" x14ac:dyDescent="0.25">
      <c r="D6" s="1" t="s">
        <v>0</v>
      </c>
      <c r="E6" s="1">
        <v>0.81</v>
      </c>
      <c r="H6" s="3" t="s">
        <v>24</v>
      </c>
      <c r="I6">
        <v>130</v>
      </c>
      <c r="J6" t="s">
        <v>18</v>
      </c>
      <c r="K6">
        <f>dcas/1000</f>
        <v>0.13</v>
      </c>
      <c r="M6" t="s">
        <v>19</v>
      </c>
      <c r="N6" s="9" cm="1">
        <f t="array" aca="1" ref="N6" ca="1">[1]!feed_rho_liq_kgm3(p,t,feed_json)</f>
        <v>710.08729851862768</v>
      </c>
      <c r="O6" t="s">
        <v>28</v>
      </c>
    </row>
    <row r="7" spans="4:16" x14ac:dyDescent="0.25">
      <c r="D7" s="1" t="s">
        <v>1</v>
      </c>
      <c r="E7" s="1">
        <v>0.82</v>
      </c>
      <c r="H7" s="3" t="s">
        <v>25</v>
      </c>
      <c r="I7">
        <v>110</v>
      </c>
      <c r="J7" t="s">
        <v>18</v>
      </c>
      <c r="K7">
        <f>dintake/1000</f>
        <v>0.11</v>
      </c>
      <c r="M7" t="s">
        <v>20</v>
      </c>
      <c r="N7" s="9" cm="1">
        <f t="array" aca="1" ref="N7" ca="1">[1]!PVT_rho_gas_kgm3(p,t,PVT_json)</f>
        <v>78.967200170021485</v>
      </c>
      <c r="O7" t="s">
        <v>28</v>
      </c>
    </row>
    <row r="8" spans="4:16" x14ac:dyDescent="0.25">
      <c r="D8" s="1" t="s">
        <v>2</v>
      </c>
      <c r="E8" s="1">
        <v>1.1000000000000001</v>
      </c>
      <c r="M8" t="s">
        <v>21</v>
      </c>
      <c r="N8" s="6" cm="1">
        <f t="array" aca="1" ref="N8" ca="1">[1]!feed_ST_liqgas_Nm(p,t,feed_json)*calibr_st</f>
        <v>4.8621543161214476E-2</v>
      </c>
      <c r="O8" t="s">
        <v>29</v>
      </c>
      <c r="P8">
        <f ca="1">Пов._Натяжение/1000</f>
        <v>4.8621543161214473E-5</v>
      </c>
    </row>
    <row r="9" spans="4:16" x14ac:dyDescent="0.25">
      <c r="D9" s="1" t="s">
        <v>3</v>
      </c>
      <c r="E9" s="1">
        <v>120</v>
      </c>
      <c r="H9" s="4" t="s">
        <v>26</v>
      </c>
      <c r="I9" s="4">
        <v>80</v>
      </c>
      <c r="M9" t="s">
        <v>22</v>
      </c>
      <c r="N9" s="7" cm="1">
        <f t="array" aca="1" ref="N9" ca="1">[1]!feed_q_liq_rc_m3day(p,t,feed_json)</f>
        <v>188.67922215450145</v>
      </c>
    </row>
    <row r="10" spans="4:16" x14ac:dyDescent="0.25">
      <c r="D10" s="1" t="s">
        <v>4</v>
      </c>
      <c r="E10" s="1"/>
      <c r="H10" s="4" t="s">
        <v>27</v>
      </c>
      <c r="I10" s="4">
        <v>80</v>
      </c>
      <c r="M10" t="s">
        <v>23</v>
      </c>
      <c r="N10" s="7" cm="1">
        <f t="array" aca="1" ref="N10" ca="1">[1]!feed_q_gas_rc_m3day(p,t,feed_json)</f>
        <v>86.538041604624667</v>
      </c>
    </row>
    <row r="11" spans="4:16" x14ac:dyDescent="0.25">
      <c r="D11" s="1" t="s">
        <v>5</v>
      </c>
      <c r="E11" s="1"/>
      <c r="H11" s="4" t="s">
        <v>48</v>
      </c>
      <c r="I11" s="4">
        <v>2</v>
      </c>
      <c r="M11" t="s">
        <v>30</v>
      </c>
      <c r="N11" s="6" cm="1">
        <f t="array" aca="1" ref="N11" ca="1">[1]!feed_mu_liq_cP(p,t,feed_json)</f>
        <v>0.7664050202531727</v>
      </c>
    </row>
    <row r="12" spans="4:16" x14ac:dyDescent="0.25">
      <c r="D12" s="1" t="s">
        <v>6</v>
      </c>
      <c r="E12" s="1"/>
      <c r="H12" s="10" t="s">
        <v>49</v>
      </c>
      <c r="I12" s="4">
        <v>2</v>
      </c>
      <c r="M12" t="s">
        <v>31</v>
      </c>
      <c r="N12" s="6" cm="1">
        <f t="array" aca="1" ref="N12" ca="1">[1]!PVT_mu_gas_cP(p,t,PVT_json)</f>
        <v>1.4714724789456983E-2</v>
      </c>
    </row>
    <row r="13" spans="4:16" x14ac:dyDescent="0.25">
      <c r="D13" s="1" t="s">
        <v>7</v>
      </c>
      <c r="E13" s="1">
        <v>0.5</v>
      </c>
      <c r="H13" s="10" t="s">
        <v>50</v>
      </c>
      <c r="I13" s="4">
        <v>1</v>
      </c>
    </row>
    <row r="14" spans="4:16" x14ac:dyDescent="0.25">
      <c r="D14" s="1" t="s">
        <v>8</v>
      </c>
      <c r="E14" s="1">
        <v>1</v>
      </c>
    </row>
    <row r="15" spans="4:16" x14ac:dyDescent="0.25">
      <c r="D15" s="1" t="s">
        <v>9</v>
      </c>
      <c r="E15" s="2" t="str">
        <f ca="1">[1]!encode_PVT(E6,E7,E8,E9,E10,E11,E12,E13,E14)</f>
        <v>{"gamma_gas":0.81,"gamma_oil":0.82,"gamma_wat":1.1,"rsb_m3m3":120,"muob_cP":0.5,"PVT_corr_set":1}</v>
      </c>
    </row>
    <row r="16" spans="4:16" x14ac:dyDescent="0.25">
      <c r="D16" s="1" t="s">
        <v>10</v>
      </c>
      <c r="E16" s="1">
        <v>150</v>
      </c>
    </row>
    <row r="17" spans="4:36" x14ac:dyDescent="0.25">
      <c r="D17" s="1" t="s">
        <v>11</v>
      </c>
      <c r="E17" s="1">
        <v>0</v>
      </c>
    </row>
    <row r="18" spans="4:36" x14ac:dyDescent="0.25">
      <c r="D18" s="1" t="s">
        <v>12</v>
      </c>
      <c r="E18" s="1">
        <v>120</v>
      </c>
    </row>
    <row r="19" spans="4:36" x14ac:dyDescent="0.25">
      <c r="D19" s="1" t="s">
        <v>13</v>
      </c>
      <c r="E19" s="1">
        <v>0</v>
      </c>
    </row>
    <row r="20" spans="4:36" x14ac:dyDescent="0.25">
      <c r="D20" s="1" t="s">
        <v>14</v>
      </c>
      <c r="E20" s="2" t="str">
        <f ca="1">[1]!encode_feed(E16,E17,E18,E19,E15)</f>
        <v>{"gamma_gas":0.81,"gamma_oil":0.82,"gamma_wat":1.1,"rsb_m3m3":120,"muob_cP":0.5,"PVT_corr_set":1,"q_liq_sm3day":150,"fw_perc":0,"rp_m3m3":120}</v>
      </c>
    </row>
    <row r="23" spans="4:36" x14ac:dyDescent="0.25">
      <c r="I23" s="5"/>
    </row>
    <row r="26" spans="4:36" x14ac:dyDescent="0.25">
      <c r="E26" t="s">
        <v>46</v>
      </c>
    </row>
    <row r="28" spans="4:36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P28" t="s">
        <v>34</v>
      </c>
    </row>
    <row r="29" spans="4:36" x14ac:dyDescent="0.25">
      <c r="F29">
        <v>2</v>
      </c>
      <c r="G29" t="str">
        <f ca="1">[1]!encode_feed(F29,$E$17,$E$18,$E$19,$E$15)</f>
        <v>{"gamma_gas":0.81,"gamma_oil":0.82,"gamma_wat":1.1,"rsb_m3m3":120,"muob_cP":0.5,"PVT_corr_set":1,"q_liq_sm3day":2,"fw_perc":0,"rp_m3m3":120}</v>
      </c>
      <c r="H29" s="9" cm="1">
        <f t="array" aca="1" ref="H29" ca="1">[1]!feed_rho_liq_kgm3(p,t,G29)</f>
        <v>710.08729851862768</v>
      </c>
      <c r="I29" s="9" cm="1">
        <f t="array" aca="1" ref="I29" ca="1">[1]!PVT_rho_gas_kgm3(p,t,PVT_json)</f>
        <v>78.967200170021485</v>
      </c>
      <c r="J29" s="6" cm="1">
        <f t="array" aca="1" ref="J29" ca="1">[1]!feed_ST_liqgas_Nm(p,t,G29)</f>
        <v>2.4310771580607238E-2</v>
      </c>
      <c r="K29" s="8" cm="1">
        <f t="array" aca="1" ref="K29" ca="1">[1]!feed_q_liq_rc_m3day(p,t,G29)</f>
        <v>2.5157229620600194</v>
      </c>
      <c r="L29" s="8" cm="1">
        <f t="array" aca="1" ref="L29" ca="1">[1]!feed_q_gas_rc_m3day(p,t,G29)</f>
        <v>1.153840554728329</v>
      </c>
      <c r="M29" s="7" cm="1">
        <f t="array" aca="1" ref="M29" ca="1">[1]!feed_mu_liq_cP(p,t,G29)</f>
        <v>0.7664050202531727</v>
      </c>
      <c r="N29" s="7" cm="1">
        <f t="array" aca="1" ref="N29" ca="1">[1]!PVT_mu_gas_cP(p,t,G29)</f>
        <v>1.4714724789456983E-2</v>
      </c>
      <c r="O29" s="7"/>
      <c r="P29" s="7" cm="1">
        <f t="array" aca="1" ref="P29" ca="1">[1]!unf_ksep_mechanistic_Marquez_reverse(dintake_m,dcas_m,K29,L29,J29,H29,I29,M29,N29,1,hperf,calibr_li,calibr_st)</f>
        <v>1</v>
      </c>
      <c r="R29" s="11">
        <f t="array" aca="1" ref="R29:X29" ca="1">[1]!unf_ksep_mechanistic_Marquez_reverse(dintake_m,dcas_m,K29,L29,J29,H29,I29,M29,N29,0,hint+hperf,calibr_li,calibr_st)</f>
        <v>1</v>
      </c>
      <c r="S29" s="11">
        <f ca="1"/>
        <v>0</v>
      </c>
      <c r="T29" s="11">
        <f ca="1"/>
        <v>0.23915969878093429</v>
      </c>
      <c r="U29" s="11">
        <f ca="1"/>
        <v>7.7235181783809779E-3</v>
      </c>
      <c r="V29" s="11">
        <f ca="1"/>
        <v>3.5424045627424805E-3</v>
      </c>
      <c r="W29" s="11">
        <f ca="1"/>
        <v>1.146080589265866E-3</v>
      </c>
      <c r="X29">
        <f ca="1"/>
        <v>0.2341423624421681</v>
      </c>
      <c r="AE29" s="1" cm="1">
        <f t="array" aca="1" ref="AE29" ca="1">[1]!feed_rho_mix_kgm3(p,t,G29)/$AE$43</f>
        <v>51.16408181546376</v>
      </c>
      <c r="AF29" s="1"/>
      <c r="AG29" s="1">
        <f ca="1">W29^2*9.81*(H29-I29-AE29)/54/(M29*0.001)</f>
        <v>0.18056862006802399</v>
      </c>
      <c r="AH29" s="1"/>
      <c r="AI29" s="1">
        <f ca="1">1.2*(V29-U29)+AG29</f>
        <v>0.1755512837292578</v>
      </c>
      <c r="AJ29">
        <f ca="1">1.2*(V29-U29)+T29</f>
        <v>0.2341423624421681</v>
      </c>
    </row>
    <row r="30" spans="4:36" x14ac:dyDescent="0.25">
      <c r="F30">
        <v>10</v>
      </c>
      <c r="G30" t="str">
        <f ca="1">[1]!encode_feed(F30,$E$17,$E$18,$E$19,$E$15)</f>
        <v>{"gamma_gas":0.81,"gamma_oil":0.82,"gamma_wat":1.1,"rsb_m3m3":120,"muob_cP":0.5,"PVT_corr_set":1,"q_liq_sm3day":10,"fw_perc":0,"rp_m3m3":120}</v>
      </c>
      <c r="H30" s="9" cm="1">
        <f t="array" aca="1" ref="H30" ca="1">[1]!feed_rho_liq_kgm3(p,t,G30)</f>
        <v>710.08729851862768</v>
      </c>
      <c r="I30" s="9" cm="1">
        <f t="array" aca="1" ref="I30" ca="1">[1]!PVT_rho_gas_kgm3(p,t,PVT_json)</f>
        <v>78.967200170021485</v>
      </c>
      <c r="J30" s="6" cm="1">
        <f t="array" aca="1" ref="J30" ca="1">[1]!feed_ST_liqgas_Nm(p,t,G30)</f>
        <v>2.4310771580607238E-2</v>
      </c>
      <c r="K30" s="8" cm="1">
        <f t="array" aca="1" ref="K30" ca="1">[1]!feed_q_liq_rc_m3day(p,t,G30)</f>
        <v>12.578614810300097</v>
      </c>
      <c r="L30" s="8" cm="1">
        <f t="array" aca="1" ref="L30" ca="1">[1]!feed_q_gas_rc_m3day(p,t,G30)</f>
        <v>5.7692027736416449</v>
      </c>
      <c r="M30" s="7" cm="1">
        <f t="array" aca="1" ref="M30" ca="1">[1]!feed_mu_liq_cP(p,t,G30)</f>
        <v>0.7664050202531727</v>
      </c>
      <c r="N30" s="7" cm="1">
        <f t="array" aca="1" ref="N30" ca="1">[1]!PVT_mu_gas_cP(p,t,G30)</f>
        <v>1.4714724789456983E-2</v>
      </c>
      <c r="O30" s="7"/>
      <c r="P30" s="7" cm="1">
        <f t="array" aca="1" ref="P30" ca="1">[1]!unf_ksep_mechanistic_Marquez_reverse(dintake_m,dcas_m,K30,L30,J30,H30,I30,M30,N30,1,hperf,calibr_li,calibr_st)</f>
        <v>1</v>
      </c>
      <c r="R30" s="11">
        <f t="array" aca="1" ref="R30:X30" ca="1">[1]!unf_ksep_mechanistic_Marquez_reverse(dintake_m,dcas_m,K30,L30,J30,H30,I30,M30,N30,0,hint+hperf,calibr_li,calibr_st)</f>
        <v>1</v>
      </c>
      <c r="S30" s="11">
        <f ca="1"/>
        <v>3</v>
      </c>
      <c r="T30" s="11">
        <f ca="1"/>
        <v>0.22040207534713552</v>
      </c>
      <c r="U30" s="11">
        <f ca="1"/>
        <v>3.861759089190489E-2</v>
      </c>
      <c r="V30" s="11">
        <f ca="1"/>
        <v>1.77120228137124E-2</v>
      </c>
      <c r="W30" s="11">
        <f ca="1"/>
        <v>1.1431644806497673E-3</v>
      </c>
      <c r="X30">
        <f ca="1"/>
        <v>0.2140730170871033</v>
      </c>
      <c r="AE30" s="1" cm="1">
        <f t="array" aca="1" ref="AE30" ca="1">[1]!feed_rho_mix_kgm3(p,t,G30)/$AE$43</f>
        <v>51.16408181546376</v>
      </c>
      <c r="AF30" s="1"/>
      <c r="AG30" s="1">
        <f ca="1">W30^2*9.81*(H30-I30-AE30)/54/(M30*0.001)</f>
        <v>0.17965090481811269</v>
      </c>
      <c r="AH30" s="1"/>
      <c r="AI30" s="1">
        <f ca="1">1.2*(V30-U30)+AG30</f>
        <v>0.1545642231242817</v>
      </c>
      <c r="AJ30">
        <f ca="1">1.2*(V30-U30)+T30</f>
        <v>0.19531539365330453</v>
      </c>
    </row>
    <row r="31" spans="4:36" x14ac:dyDescent="0.25">
      <c r="F31">
        <v>30</v>
      </c>
      <c r="G31" t="str">
        <f ca="1">[1]!encode_feed(F31,$E$17,$E$18,$E$19,$E$15)</f>
        <v>{"gamma_gas":0.81,"gamma_oil":0.82,"gamma_wat":1.1,"rsb_m3m3":120,"muob_cP":0.5,"PVT_corr_set":1,"q_liq_sm3day":30,"fw_perc":0,"rp_m3m3":120}</v>
      </c>
      <c r="H31" s="9" cm="1">
        <f t="array" aca="1" ref="H31" ca="1">[1]!feed_rho_liq_kgm3(p,t,G31)</f>
        <v>710.08729851862768</v>
      </c>
      <c r="I31" s="9" cm="1">
        <f t="array" aca="1" ref="I31" ca="1">[1]!PVT_rho_gas_kgm3(p,t,PVT_json)</f>
        <v>78.967200170021485</v>
      </c>
      <c r="J31" s="6" cm="1">
        <f t="array" aca="1" ref="J31" ca="1">[1]!feed_ST_liqgas_Nm(p,t,G31)</f>
        <v>2.4310771580607238E-2</v>
      </c>
      <c r="K31" s="8" cm="1">
        <f t="array" aca="1" ref="K31" ca="1">[1]!feed_q_liq_rc_m3day(p,t,G31)</f>
        <v>37.735844430900293</v>
      </c>
      <c r="L31" s="8" cm="1">
        <f t="array" aca="1" ref="L31" ca="1">[1]!feed_q_gas_rc_m3day(p,t,G31)</f>
        <v>17.307608320924935</v>
      </c>
      <c r="M31" s="7" cm="1">
        <f t="array" aca="1" ref="M31" ca="1">[1]!feed_mu_liq_cP(p,t,G31)</f>
        <v>0.7664050202531727</v>
      </c>
      <c r="N31" s="7" cm="1">
        <f t="array" aca="1" ref="N31" ca="1">[1]!PVT_mu_gas_cP(p,t,G31)</f>
        <v>1.4714724789456983E-2</v>
      </c>
      <c r="O31" s="7"/>
      <c r="P31" s="7" cm="1">
        <f t="array" aca="1" ref="P31" ca="1">[1]!unf_ksep_mechanistic_Marquez_reverse(dintake_m,dcas_m,K31,L31,J31,H31,I31,M31,N31,1,hperf,calibr_li,calibr_st)</f>
        <v>1</v>
      </c>
      <c r="R31" s="11">
        <f t="array" aca="1" ref="R31:X31" ca="1">[1]!unf_ksep_mechanistic_Marquez_reverse(dintake_m,dcas_m,K31,L31,J31,H31,I31,M31,N31,0,hint+hperf,calibr_li,calibr_st)</f>
        <v>1</v>
      </c>
      <c r="S31" s="11">
        <f ca="1"/>
        <v>3</v>
      </c>
      <c r="T31" s="11">
        <f ca="1"/>
        <v>0.22040207534713552</v>
      </c>
      <c r="U31" s="11">
        <f ca="1"/>
        <v>0.11585277267571467</v>
      </c>
      <c r="V31" s="11">
        <f ca="1"/>
        <v>5.3136068441137205E-2</v>
      </c>
      <c r="W31" s="11">
        <f ca="1"/>
        <v>1.1453418173231968E-3</v>
      </c>
      <c r="X31">
        <f ca="1"/>
        <v>0.16389965369944134</v>
      </c>
      <c r="AE31" s="1" cm="1">
        <f t="array" aca="1" ref="AE31" ca="1">[1]!feed_rho_mix_kgm3(p,t,G31)/$AE$43</f>
        <v>51.16408181546376</v>
      </c>
      <c r="AF31" s="1"/>
      <c r="AG31" s="1">
        <f ca="1">W31^2*9.81*(H31-I31-AE31)/54/(M31*0.001)</f>
        <v>0.18033590338738961</v>
      </c>
      <c r="AH31" s="1"/>
      <c r="AI31" s="1">
        <f ca="1">1.2*(V31-U31)+AG31</f>
        <v>0.10507585830589665</v>
      </c>
      <c r="AJ31">
        <f ca="1">1.2*(V31-U31)+T31</f>
        <v>0.14514203026564254</v>
      </c>
    </row>
    <row r="32" spans="4:36" x14ac:dyDescent="0.25">
      <c r="F32">
        <v>50</v>
      </c>
      <c r="G32" t="str">
        <f ca="1">[1]!encode_feed(F32,$E$17,$E$18,$E$19,$E$15)</f>
        <v>{"gamma_gas":0.81,"gamma_oil":0.82,"gamma_wat":1.1,"rsb_m3m3":120,"muob_cP":0.5,"PVT_corr_set":1,"q_liq_sm3day":50,"fw_perc":0,"rp_m3m3":120}</v>
      </c>
      <c r="H32" s="9" cm="1">
        <f t="array" aca="1" ref="H32" ca="1">[1]!feed_rho_liq_kgm3(p,t,G32)</f>
        <v>710.08729851862768</v>
      </c>
      <c r="I32" s="9" cm="1">
        <f t="array" aca="1" ref="I32" ca="1">[1]!PVT_rho_gas_kgm3(p,t,PVT_json)</f>
        <v>78.967200170021485</v>
      </c>
      <c r="J32" s="6" cm="1">
        <f t="array" aca="1" ref="J32" ca="1">[1]!feed_ST_liqgas_Nm(p,t,G32)</f>
        <v>2.4310771580607238E-2</v>
      </c>
      <c r="K32" s="8" cm="1">
        <f t="array" aca="1" ref="K32" ca="1">[1]!feed_q_liq_rc_m3day(p,t,G32)</f>
        <v>62.893074051500484</v>
      </c>
      <c r="L32" s="8" cm="1">
        <f t="array" aca="1" ref="L32" ca="1">[1]!feed_q_gas_rc_m3day(p,t,G32)</f>
        <v>28.846013868208225</v>
      </c>
      <c r="M32" s="7" cm="1">
        <f t="array" aca="1" ref="M32" ca="1">[1]!feed_mu_liq_cP(p,t,G32)</f>
        <v>0.7664050202531727</v>
      </c>
      <c r="N32" s="7" cm="1">
        <f t="array" aca="1" ref="N32" ca="1">[1]!PVT_mu_gas_cP(p,t,G32)</f>
        <v>1.4714724789456983E-2</v>
      </c>
      <c r="O32" s="7"/>
      <c r="P32" s="7" cm="1">
        <f t="array" aca="1" ref="P32" ca="1">[1]!unf_ksep_mechanistic_Marquez_reverse(dintake_m,dcas_m,K32,L32,J32,H32,I32,M32,N32,1,hperf,calibr_li,calibr_st)</f>
        <v>1</v>
      </c>
      <c r="R32" s="11">
        <f t="array" aca="1" ref="R32:X32" ca="1">[1]!unf_ksep_mechanistic_Marquez_reverse(dintake_m,dcas_m,K32,L32,J32,H32,I32,M32,N32,0,hint+hperf,calibr_li,calibr_st)</f>
        <v>1</v>
      </c>
      <c r="S32" s="11">
        <f ca="1"/>
        <v>1</v>
      </c>
      <c r="T32" s="11">
        <f ca="1"/>
        <v>0.23915969878093429</v>
      </c>
      <c r="U32" s="11">
        <f ca="1"/>
        <v>0.19308795445952442</v>
      </c>
      <c r="V32" s="11">
        <f ca="1"/>
        <v>8.8560114068561999E-2</v>
      </c>
      <c r="W32" s="11">
        <f ca="1"/>
        <v>1.1573917053305915E-3</v>
      </c>
      <c r="X32">
        <f ca="1"/>
        <v>0.11372629031177939</v>
      </c>
      <c r="AE32" s="1" cm="1">
        <f t="array" aca="1" ref="AE32" ca="1">[1]!feed_rho_mix_kgm3(p,t,G32)/$AE$43</f>
        <v>51.16408181546376</v>
      </c>
      <c r="AF32" s="1"/>
      <c r="AG32" s="1">
        <f ca="1">W32^2*9.81*(H32-I32-AE32)/54/(M32*0.001)</f>
        <v>0.18415041251836065</v>
      </c>
      <c r="AH32" s="1"/>
      <c r="AI32" s="1">
        <f ca="1">1.2*(V32-U32)+AG32</f>
        <v>5.871700404920574E-2</v>
      </c>
      <c r="AJ32">
        <f ca="1">1.2*(V32-U32)+T32</f>
        <v>0.11372629031177939</v>
      </c>
    </row>
    <row r="33" spans="5:36" x14ac:dyDescent="0.25">
      <c r="F33">
        <v>70</v>
      </c>
      <c r="G33" t="str">
        <f ca="1">[1]!encode_feed(F33,$E$17,$E$18,$E$19,$E$15)</f>
        <v>{"gamma_gas":0.81,"gamma_oil":0.82,"gamma_wat":1.1,"rsb_m3m3":120,"muob_cP":0.5,"PVT_corr_set":1,"q_liq_sm3day":70,"fw_perc":0,"rp_m3m3":120}</v>
      </c>
      <c r="H33" s="9" cm="1">
        <f t="array" aca="1" ref="H33" ca="1">[1]!feed_rho_liq_kgm3(p,t,G33)</f>
        <v>710.08729851862768</v>
      </c>
      <c r="I33" s="9" cm="1">
        <f t="array" aca="1" ref="I33" ca="1">[1]!PVT_rho_gas_kgm3(p,t,PVT_json)</f>
        <v>78.967200170021485</v>
      </c>
      <c r="J33" s="6" cm="1">
        <f t="array" aca="1" ref="J33" ca="1">[1]!feed_ST_liqgas_Nm(p,t,G33)</f>
        <v>2.4310771580607238E-2</v>
      </c>
      <c r="K33" s="8" cm="1">
        <f t="array" aca="1" ref="K33" ca="1">[1]!feed_q_liq_rc_m3day(p,t,G33)</f>
        <v>88.050303672100682</v>
      </c>
      <c r="L33" s="8" cm="1">
        <f t="array" aca="1" ref="L33" ca="1">[1]!feed_q_gas_rc_m3day(p,t,G33)</f>
        <v>40.384419415491514</v>
      </c>
      <c r="M33" s="7" cm="1">
        <f t="array" aca="1" ref="M33" ca="1">[1]!feed_mu_liq_cP(p,t,G33)</f>
        <v>0.7664050202531727</v>
      </c>
      <c r="N33" s="7" cm="1">
        <f t="array" aca="1" ref="N33" ca="1">[1]!PVT_mu_gas_cP(p,t,G33)</f>
        <v>1.4714724789456983E-2</v>
      </c>
      <c r="O33" s="7"/>
      <c r="P33" s="7" cm="1">
        <f t="array" aca="1" ref="P33" ca="1">[1]!unf_ksep_mechanistic_Marquez_reverse(dintake_m,dcas_m,K33,L33,J33,H33,I33,M33,N33,1,hperf,calibr_li,calibr_st)</f>
        <v>1</v>
      </c>
      <c r="R33" s="11">
        <f t="array" aca="1" ref="R33:X33" ca="1">[1]!unf_ksep_mechanistic_Marquez_reverse(dintake_m,dcas_m,K33,L33,J33,H33,I33,M33,N33,0,hint+hperf,calibr_li,calibr_st)</f>
        <v>1</v>
      </c>
      <c r="S33" s="11">
        <f ca="1"/>
        <v>1</v>
      </c>
      <c r="T33" s="11">
        <f ca="1"/>
        <v>0.23915969878093429</v>
      </c>
      <c r="U33" s="11">
        <f ca="1"/>
        <v>0.27032313624333421</v>
      </c>
      <c r="V33" s="11">
        <f ca="1"/>
        <v>0.12398415969598681</v>
      </c>
      <c r="W33" s="11">
        <f ca="1"/>
        <v>1.1761498845587607E-3</v>
      </c>
      <c r="X33">
        <f ca="1"/>
        <v>6.3552926924117417E-2</v>
      </c>
      <c r="AE33" s="1" cm="1">
        <f t="array" aca="1" ref="AE33" ca="1">[1]!feed_rho_mix_kgm3(p,t,G33)/$AE$43</f>
        <v>51.164081815463767</v>
      </c>
      <c r="AF33" s="1"/>
      <c r="AG33" s="1">
        <f ca="1">W33^2*9.81*(H33-I33-AE33)/54/(M33*0.001)</f>
        <v>0.19016794151305397</v>
      </c>
      <c r="AH33" s="1"/>
      <c r="AI33" s="1">
        <f ca="1">1.2*(V33-U33)+AG33</f>
        <v>1.4561169656237105E-2</v>
      </c>
      <c r="AJ33">
        <f ca="1">1.2*(V33-U33)+T33</f>
        <v>6.3552926924117431E-2</v>
      </c>
    </row>
    <row r="34" spans="5:36" x14ac:dyDescent="0.25">
      <c r="F34">
        <v>90</v>
      </c>
      <c r="G34" t="str">
        <f ca="1">[1]!encode_feed(F34,$E$17,$E$18,$E$19,$E$15)</f>
        <v>{"gamma_gas":0.81,"gamma_oil":0.82,"gamma_wat":1.1,"rsb_m3m3":120,"muob_cP":0.5,"PVT_corr_set":1,"q_liq_sm3day":90,"fw_perc":0,"rp_m3m3":120}</v>
      </c>
      <c r="H34" s="9" cm="1">
        <f t="array" aca="1" ref="H34" ca="1">[1]!feed_rho_liq_kgm3(p,t,G34)</f>
        <v>710.08729851862768</v>
      </c>
      <c r="I34" s="9" cm="1">
        <f t="array" aca="1" ref="I34" ca="1">[1]!PVT_rho_gas_kgm3(p,t,PVT_json)</f>
        <v>78.967200170021485</v>
      </c>
      <c r="J34" s="6" cm="1">
        <f t="array" aca="1" ref="J34" ca="1">[1]!feed_ST_liqgas_Nm(p,t,G34)</f>
        <v>2.4310771580607238E-2</v>
      </c>
      <c r="K34" s="8" cm="1">
        <f t="array" aca="1" ref="K34" ca="1">[1]!feed_q_liq_rc_m3day(p,t,G34)</f>
        <v>113.20753329270087</v>
      </c>
      <c r="L34" s="8" cm="1">
        <f t="array" aca="1" ref="L34" ca="1">[1]!feed_q_gas_rc_m3day(p,t,G34)</f>
        <v>51.922824962774804</v>
      </c>
      <c r="M34" s="7" cm="1">
        <f t="array" aca="1" ref="M34" ca="1">[1]!feed_mu_liq_cP(p,t,G34)</f>
        <v>0.7664050202531727</v>
      </c>
      <c r="N34" s="7" cm="1">
        <f t="array" aca="1" ref="N34" ca="1">[1]!PVT_mu_gas_cP(p,t,G34)</f>
        <v>1.4714724789456983E-2</v>
      </c>
      <c r="O34" s="7"/>
      <c r="P34" s="7" cm="1">
        <f t="array" aca="1" ref="P34" ca="1">[1]!unf_ksep_mechanistic_Marquez_reverse(dintake_m,dcas_m,K34,L34,J34,H34,I34,M34,N34,1,hperf,calibr_li,calibr_st)</f>
        <v>1</v>
      </c>
      <c r="R34" s="11">
        <f t="array" aca="1" ref="R34:X34" ca="1">[1]!unf_ksep_mechanistic_Marquez_reverse(dintake_m,dcas_m,K34,L34,J34,H34,I34,M34,N34,0,hint+hperf,calibr_li,calibr_st)</f>
        <v>1</v>
      </c>
      <c r="S34" s="11">
        <f ca="1"/>
        <v>1</v>
      </c>
      <c r="T34" s="11">
        <f ca="1"/>
        <v>0.23915969878093429</v>
      </c>
      <c r="U34" s="11">
        <f ca="1"/>
        <v>0.34755831802714399</v>
      </c>
      <c r="V34" s="11">
        <f ca="1"/>
        <v>0.1594082053234116</v>
      </c>
      <c r="W34" s="11">
        <f ca="1"/>
        <v>1.1994679579977452E-3</v>
      </c>
      <c r="X34">
        <f ca="1"/>
        <v>1.3379563536455438E-2</v>
      </c>
      <c r="AE34" s="1" cm="1">
        <f t="array" aca="1" ref="AE34" ca="1">[1]!feed_rho_mix_kgm3(p,t,G34)/$AE$43</f>
        <v>51.16408181546376</v>
      </c>
      <c r="AF34" s="1"/>
      <c r="AG34" s="1">
        <f ca="1">W34^2*9.81*(H34-I34-AE34)/54/(M34*0.001)</f>
        <v>0.19778313967733133</v>
      </c>
      <c r="AH34" s="1"/>
      <c r="AI34" s="1">
        <f ca="1">1.2*(V34-U34)+AG34</f>
        <v>-2.799699556714752E-2</v>
      </c>
      <c r="AJ34">
        <f ca="1">1.2*(V34-U34)+T34</f>
        <v>1.3379563536455447E-2</v>
      </c>
    </row>
    <row r="35" spans="5:36" x14ac:dyDescent="0.25">
      <c r="F35">
        <v>110</v>
      </c>
      <c r="G35" t="str">
        <f ca="1">[1]!encode_feed(F35,$E$17,$E$18,$E$19,$E$15)</f>
        <v>{"gamma_gas":0.81,"gamma_oil":0.82,"gamma_wat":1.1,"rsb_m3m3":120,"muob_cP":0.5,"PVT_corr_set":1,"q_liq_sm3day":110,"fw_perc":0,"rp_m3m3":120}</v>
      </c>
      <c r="H35" s="9" cm="1">
        <f t="array" aca="1" ref="H35" ca="1">[1]!feed_rho_liq_kgm3(p,t,G35)</f>
        <v>710.08729851862768</v>
      </c>
      <c r="I35" s="9" cm="1">
        <f t="array" aca="1" ref="I35" ca="1">[1]!PVT_rho_gas_kgm3(p,t,PVT_json)</f>
        <v>78.967200170021485</v>
      </c>
      <c r="J35" s="6" cm="1">
        <f t="array" aca="1" ref="J35" ca="1">[1]!feed_ST_liqgas_Nm(p,t,G35)</f>
        <v>2.4310771580607238E-2</v>
      </c>
      <c r="K35" s="8" cm="1">
        <f t="array" aca="1" ref="K35" ca="1">[1]!feed_q_liq_rc_m3day(p,t,G35)</f>
        <v>138.36476291330106</v>
      </c>
      <c r="L35" s="8" cm="1">
        <f t="array" aca="1" ref="L35" ca="1">[1]!feed_q_gas_rc_m3day(p,t,G35)</f>
        <v>63.461230510058087</v>
      </c>
      <c r="M35" s="7" cm="1">
        <f t="array" aca="1" ref="M35" ca="1">[1]!feed_mu_liq_cP(p,t,G35)</f>
        <v>0.7664050202531727</v>
      </c>
      <c r="N35" s="7" cm="1">
        <f t="array" aca="1" ref="N35" ca="1">[1]!PVT_mu_gas_cP(p,t,G35)</f>
        <v>1.4714724789456983E-2</v>
      </c>
      <c r="O35" s="7"/>
      <c r="P35" s="7" cm="1">
        <f t="array" aca="1" ref="P35" ca="1">[1]!unf_ksep_mechanistic_Marquez_reverse(dintake_m,dcas_m,K35,L35,J35,H35,I35,M35,N35,1,hperf,calibr_li,calibr_st)</f>
        <v>0.48986481946038574</v>
      </c>
      <c r="R35" s="11">
        <f t="array" aca="1" ref="R35:X35" ca="1">[1]!unf_ksep_mechanistic_Marquez_reverse(dintake_m,dcas_m,K35,L35,J35,H35,I35,M35,N35,0,hint+hperf,calibr_li,calibr_st)</f>
        <v>0.48986481946038574</v>
      </c>
      <c r="S35" s="11">
        <f ca="1"/>
        <v>1</v>
      </c>
      <c r="T35" s="11">
        <f ca="1"/>
        <v>0.23915969878093429</v>
      </c>
      <c r="U35" s="11">
        <f ca="1"/>
        <v>0.42479349981095377</v>
      </c>
      <c r="V35" s="11">
        <f ca="1"/>
        <v>0.19483225095083639</v>
      </c>
      <c r="W35" s="11">
        <f ca="1"/>
        <v>1.2258150437798379E-3</v>
      </c>
      <c r="X35">
        <f ca="1"/>
        <v>-3.6793799851206545E-2</v>
      </c>
      <c r="AE35" s="1" cm="1">
        <f t="array" aca="1" ref="AE35" ca="1">[1]!feed_rho_mix_kgm3(p,t,G35)/$AE$43</f>
        <v>51.164081815463767</v>
      </c>
      <c r="AF35" s="1"/>
      <c r="AG35" s="1">
        <f ca="1">W35^2*9.81*(H35-I35-AE35)/54/(M35*0.001)</f>
        <v>0.20656743591383428</v>
      </c>
      <c r="AH35" s="1"/>
      <c r="AI35" s="1">
        <f ca="1">1.2*(V35-U35)+AG35</f>
        <v>-6.9386062718306579E-2</v>
      </c>
      <c r="AJ35">
        <f ca="1">1.2*(V35-U35)+T35</f>
        <v>-3.6793799851206566E-2</v>
      </c>
    </row>
    <row r="36" spans="5:36" x14ac:dyDescent="0.25">
      <c r="F36">
        <v>130</v>
      </c>
      <c r="G36" t="str">
        <f ca="1">[1]!encode_feed(F36,$E$17,$E$18,$E$19,$E$15)</f>
        <v>{"gamma_gas":0.81,"gamma_oil":0.82,"gamma_wat":1.1,"rsb_m3m3":120,"muob_cP":0.5,"PVT_corr_set":1,"q_liq_sm3day":130,"fw_perc":0,"rp_m3m3":120}</v>
      </c>
      <c r="H36" s="9" cm="1">
        <f t="array" aca="1" ref="H36" ca="1">[1]!feed_rho_liq_kgm3(p,t,G36)</f>
        <v>710.08729851862768</v>
      </c>
      <c r="I36" s="9" cm="1">
        <f t="array" aca="1" ref="I36" ca="1">[1]!PVT_rho_gas_kgm3(p,t,PVT_json)</f>
        <v>78.967200170021485</v>
      </c>
      <c r="J36" s="6" cm="1">
        <f t="array" aca="1" ref="J36" ca="1">[1]!feed_ST_liqgas_Nm(p,t,G36)</f>
        <v>2.4310771580607238E-2</v>
      </c>
      <c r="K36" s="8" cm="1">
        <f t="array" aca="1" ref="K36" ca="1">[1]!feed_q_liq_rc_m3day(p,t,G36)</f>
        <v>163.52199253390125</v>
      </c>
      <c r="L36" s="8" cm="1">
        <f t="array" aca="1" ref="L36" ca="1">[1]!feed_q_gas_rc_m3day(p,t,G36)</f>
        <v>74.999636057341377</v>
      </c>
      <c r="M36" s="7" cm="1">
        <f t="array" aca="1" ref="M36" ca="1">[1]!feed_mu_liq_cP(p,t,G36)</f>
        <v>0.7664050202531727</v>
      </c>
      <c r="N36" s="7" cm="1">
        <f t="array" aca="1" ref="N36" ca="1">[1]!PVT_mu_gas_cP(p,t,G36)</f>
        <v>1.4714724789456983E-2</v>
      </c>
      <c r="O36" s="7"/>
      <c r="P36" s="7" cm="1">
        <f t="array" aca="1" ref="P36" ca="1">[1]!unf_ksep_mechanistic_Marquez_reverse(dintake_m,dcas_m,K36,L36,J36,H36,I36,M36,N36,1,hperf,calibr_li,calibr_st)</f>
        <v>0.42885943756998379</v>
      </c>
      <c r="R36" s="11">
        <f t="array" aca="1" ref="R36:X36" ca="1">[1]!unf_ksep_mechanistic_Marquez_reverse(dintake_m,dcas_m,K36,L36,J36,H36,I36,M36,N36,0,hint+hperf,calibr_li,calibr_st)</f>
        <v>0.42885943756998379</v>
      </c>
      <c r="S36" s="11">
        <f ca="1"/>
        <v>1</v>
      </c>
      <c r="T36" s="11">
        <f ca="1"/>
        <v>0.23915969878093429</v>
      </c>
      <c r="U36" s="11">
        <f ca="1"/>
        <v>0.50202868159476355</v>
      </c>
      <c r="V36" s="11">
        <f ca="1"/>
        <v>0.23025629657826119</v>
      </c>
      <c r="W36" s="11">
        <f ca="1"/>
        <v>1.2540624883954912E-3</v>
      </c>
      <c r="X36">
        <f ca="1"/>
        <v>-8.6967163238868522E-2</v>
      </c>
      <c r="AE36" s="1" cm="1">
        <f t="array" aca="1" ref="AE36" ca="1">[1]!feed_rho_mix_kgm3(p,t,G36)/$AE$43</f>
        <v>51.16408181546376</v>
      </c>
      <c r="AF36" s="1"/>
      <c r="AG36" s="1">
        <f ca="1">W36^2*9.81*(H36-I36-AE36)/54/(M36*0.001)</f>
        <v>0.21619732676247264</v>
      </c>
      <c r="AH36" s="1"/>
      <c r="AI36" s="1">
        <f ca="1">1.2*(V36-U36)+AG36</f>
        <v>-0.10992953525733021</v>
      </c>
      <c r="AJ36">
        <f ca="1">1.2*(V36-U36)+T36</f>
        <v>-8.696716323886855E-2</v>
      </c>
    </row>
    <row r="37" spans="5:36" x14ac:dyDescent="0.25">
      <c r="F37">
        <v>150</v>
      </c>
      <c r="G37" t="str">
        <f ca="1">[1]!encode_feed(F37,$E$17,$E$18,$E$19,$E$15)</f>
        <v>{"gamma_gas":0.81,"gamma_oil":0.82,"gamma_wat":1.1,"rsb_m3m3":120,"muob_cP":0.5,"PVT_corr_set":1,"q_liq_sm3day":150,"fw_perc":0,"rp_m3m3":120}</v>
      </c>
      <c r="H37" s="9" cm="1">
        <f t="array" aca="1" ref="H37" ca="1">[1]!feed_rho_liq_kgm3(p,t,G37)</f>
        <v>710.08729851862768</v>
      </c>
      <c r="I37" s="9" cm="1">
        <f t="array" aca="1" ref="I37" ca="1">[1]!PVT_rho_gas_kgm3(p,t,PVT_json)</f>
        <v>78.967200170021485</v>
      </c>
      <c r="J37" s="6" cm="1">
        <f t="array" aca="1" ref="J37" ca="1">[1]!feed_ST_liqgas_Nm(p,t,G37)</f>
        <v>2.4310771580607238E-2</v>
      </c>
      <c r="K37" s="8" cm="1">
        <f t="array" aca="1" ref="K37" ca="1">[1]!feed_q_liq_rc_m3day(p,t,G37)</f>
        <v>188.67922215450145</v>
      </c>
      <c r="L37" s="8" cm="1">
        <f t="array" aca="1" ref="L37" ca="1">[1]!feed_q_gas_rc_m3day(p,t,G37)</f>
        <v>86.538041604624667</v>
      </c>
      <c r="M37" s="7" cm="1">
        <f t="array" aca="1" ref="M37" ca="1">[1]!feed_mu_liq_cP(p,t,G37)</f>
        <v>0.7664050202531727</v>
      </c>
      <c r="N37" s="7" cm="1">
        <f t="array" aca="1" ref="N37" ca="1">[1]!PVT_mu_gas_cP(p,t,G37)</f>
        <v>1.4714724789456983E-2</v>
      </c>
      <c r="O37" s="7"/>
      <c r="P37" s="7" cm="1">
        <f t="array" aca="1" ref="P37" ca="1">[1]!unf_ksep_mechanistic_Marquez_reverse(dintake_m,dcas_m,K37,L37,J37,H37,I37,M37,N37,1,hperf,calibr_li,calibr_st)</f>
        <v>0.38512882392131353</v>
      </c>
      <c r="R37" s="11">
        <f t="array" aca="1" ref="R37:X37" ca="1">[1]!unf_ksep_mechanistic_Marquez_reverse(dintake_m,dcas_m,K37,L37,J37,H37,I37,M37,N37,0,hint+hperf,calibr_li,calibr_st)</f>
        <v>0.38512882392131353</v>
      </c>
      <c r="S37" s="11">
        <f ca="1"/>
        <v>1</v>
      </c>
      <c r="T37" s="11">
        <f ca="1"/>
        <v>0.23915969878093429</v>
      </c>
      <c r="U37" s="11">
        <f ca="1"/>
        <v>0.57926386337857327</v>
      </c>
      <c r="V37" s="11">
        <f ca="1"/>
        <v>0.26568034220568598</v>
      </c>
      <c r="W37" s="11">
        <f ca="1"/>
        <v>1.2833603130775115E-3</v>
      </c>
      <c r="X37">
        <f ca="1"/>
        <v>-0.13714052662653045</v>
      </c>
      <c r="AE37" s="1" cm="1">
        <f t="array" aca="1" ref="AE37" ca="1">[1]!feed_rho_mix_kgm3(p,t,G37)/$AE$43</f>
        <v>51.164081815463767</v>
      </c>
      <c r="AF37" s="1"/>
      <c r="AG37" s="1">
        <f ca="1">W37^2*9.81*(H37-I37-AE37)/54/(M37*0.001)</f>
        <v>0.22641707457115781</v>
      </c>
      <c r="AH37" s="1"/>
      <c r="AI37" s="1">
        <f ca="1">1.2*(V37-U37)+AG37</f>
        <v>-0.14988315083630691</v>
      </c>
      <c r="AJ37">
        <f ca="1">1.2*(V37-U37)+T37</f>
        <v>-0.13714052662653042</v>
      </c>
    </row>
    <row r="38" spans="5:36" x14ac:dyDescent="0.25">
      <c r="F38">
        <v>170</v>
      </c>
      <c r="G38" t="str">
        <f ca="1">[1]!encode_feed(F38,$E$17,$E$18,$E$19,$E$15)</f>
        <v>{"gamma_gas":0.81,"gamma_oil":0.82,"gamma_wat":1.1,"rsb_m3m3":120,"muob_cP":0.5,"PVT_corr_set":1,"q_liq_sm3day":170,"fw_perc":0,"rp_m3m3":120}</v>
      </c>
      <c r="H38" s="9" cm="1">
        <f t="array" aca="1" ref="H38" ca="1">[1]!feed_rho_liq_kgm3(p,t,G38)</f>
        <v>710.08729851862768</v>
      </c>
      <c r="I38" s="9" cm="1">
        <f t="array" aca="1" ref="I38" ca="1">[1]!PVT_rho_gas_kgm3(p,t,PVT_json)</f>
        <v>78.967200170021485</v>
      </c>
      <c r="J38" s="6" cm="1">
        <f t="array" aca="1" ref="J38" ca="1">[1]!feed_ST_liqgas_Nm(p,t,G38)</f>
        <v>2.4310771580607238E-2</v>
      </c>
      <c r="K38" s="8" cm="1">
        <f t="array" aca="1" ref="K38" ca="1">[1]!feed_q_liq_rc_m3day(p,t,G38)</f>
        <v>213.83645177510166</v>
      </c>
      <c r="L38" s="8" cm="1">
        <f t="array" aca="1" ref="L38" ca="1">[1]!feed_q_gas_rc_m3day(p,t,G38)</f>
        <v>98.076447151907956</v>
      </c>
      <c r="M38" s="7" cm="1">
        <f t="array" aca="1" ref="M38" ca="1">[1]!feed_mu_liq_cP(p,t,G38)</f>
        <v>0.7664050202531727</v>
      </c>
      <c r="N38" s="7" cm="1">
        <f t="array" aca="1" ref="N38" ca="1">[1]!PVT_mu_gas_cP(p,t,G38)</f>
        <v>1.4714724789456983E-2</v>
      </c>
      <c r="O38" s="7"/>
      <c r="P38" s="7" cm="1">
        <f t="array" aca="1" ref="P38" ca="1">[1]!unf_ksep_mechanistic_Marquez_reverse(dintake_m,dcas_m,K38,L38,J38,H38,I38,M38,N38,1,hperf,calibr_li,calibr_st)</f>
        <v>0.35202663603341866</v>
      </c>
      <c r="R38" s="11">
        <f t="array" aca="1" ref="R38:X38" ca="1">[1]!unf_ksep_mechanistic_Marquez_reverse(dintake_m,dcas_m,K38,L38,J38,H38,I38,M38,N38,0,hint+hperf,calibr_li,calibr_st)</f>
        <v>0.35202663603341866</v>
      </c>
      <c r="S38" s="11">
        <f ca="1"/>
        <v>1</v>
      </c>
      <c r="T38" s="11">
        <f ca="1"/>
        <v>0.23915969878093429</v>
      </c>
      <c r="U38" s="11">
        <f ca="1"/>
        <v>0.65649904516238311</v>
      </c>
      <c r="V38" s="11">
        <f ca="1"/>
        <v>0.30110438783311078</v>
      </c>
      <c r="W38" s="11">
        <f ca="1"/>
        <v>1.3130620382562092E-3</v>
      </c>
      <c r="X38">
        <f ca="1"/>
        <v>-0.18731389001419249</v>
      </c>
      <c r="AE38" s="1" cm="1">
        <f t="array" aca="1" ref="AE38" ca="1">[1]!feed_rho_mix_kgm3(p,t,G38)/$AE$43</f>
        <v>51.164081815463767</v>
      </c>
      <c r="AF38" s="1"/>
      <c r="AG38" s="1">
        <f ca="1">W38^2*9.81*(H38-I38-AE38)/54/(M38*0.001)</f>
        <v>0.23701861513445141</v>
      </c>
      <c r="AH38" s="1"/>
      <c r="AI38" s="1">
        <f ca="1">1.2*(V38-U38)+AG38</f>
        <v>-0.1894549736606754</v>
      </c>
      <c r="AJ38">
        <f ca="1">1.2*(V38-U38)+T38</f>
        <v>-0.18731389001419252</v>
      </c>
    </row>
    <row r="39" spans="5:36" x14ac:dyDescent="0.25">
      <c r="F39">
        <v>190</v>
      </c>
      <c r="G39" t="str">
        <f ca="1">[1]!encode_feed(F39,$E$17,$E$18,$E$19,$E$15)</f>
        <v>{"gamma_gas":0.81,"gamma_oil":0.82,"gamma_wat":1.1,"rsb_m3m3":120,"muob_cP":0.5,"PVT_corr_set":1,"q_liq_sm3day":190,"fw_perc":0,"rp_m3m3":120}</v>
      </c>
      <c r="H39" s="9" cm="1">
        <f t="array" aca="1" ref="H39" ca="1">[1]!feed_rho_liq_kgm3(p,t,G39)</f>
        <v>710.08729851862768</v>
      </c>
      <c r="I39" s="9" cm="1">
        <f t="array" aca="1" ref="I39" ca="1">[1]!PVT_rho_gas_kgm3(p,t,PVT_json)</f>
        <v>78.967200170021485</v>
      </c>
      <c r="J39" s="6" cm="1">
        <f t="array" aca="1" ref="J39" ca="1">[1]!feed_ST_liqgas_Nm(p,t,G39)</f>
        <v>2.4310771580607238E-2</v>
      </c>
      <c r="K39" s="8" cm="1">
        <f t="array" aca="1" ref="K39" ca="1">[1]!feed_q_liq_rc_m3day(p,t,G39)</f>
        <v>238.99368139570186</v>
      </c>
      <c r="L39" s="8" cm="1">
        <f t="array" aca="1" ref="L39" ca="1">[1]!feed_q_gas_rc_m3day(p,t,G39)</f>
        <v>109.61485269919125</v>
      </c>
      <c r="M39" s="7" cm="1">
        <f t="array" aca="1" ref="M39" ca="1">[1]!feed_mu_liq_cP(p,t,G39)</f>
        <v>0.7664050202531727</v>
      </c>
      <c r="N39" s="7" cm="1">
        <f t="array" aca="1" ref="N39" ca="1">[1]!PVT_mu_gas_cP(p,t,G39)</f>
        <v>1.4714724789456983E-2</v>
      </c>
      <c r="O39" s="7"/>
      <c r="P39" s="7" cm="1">
        <f t="array" aca="1" ref="P39" ca="1">[1]!unf_ksep_mechanistic_Marquez_reverse(dintake_m,dcas_m,K39,L39,J39,H39,I39,M39,N39,1,hperf,calibr_li,calibr_st)</f>
        <v>0.32623643634890465</v>
      </c>
      <c r="R39" s="11">
        <f t="array" aca="1" ref="R39:X39" ca="1">[1]!unf_ksep_mechanistic_Marquez_reverse(dintake_m,dcas_m,K39,L39,J39,H39,I39,M39,N39,0,hint+hperf,calibr_li,calibr_st)</f>
        <v>0.32623643634890465</v>
      </c>
      <c r="S39" s="11">
        <f ca="1"/>
        <v>1</v>
      </c>
      <c r="T39" s="11">
        <f ca="1"/>
        <v>0.23915969878093429</v>
      </c>
      <c r="U39" s="11">
        <f ca="1"/>
        <v>0.73373422694619295</v>
      </c>
      <c r="V39" s="11">
        <f ca="1"/>
        <v>0.33652843346053563</v>
      </c>
      <c r="W39" s="11">
        <f ca="1"/>
        <v>1.3426760642463239E-3</v>
      </c>
      <c r="X39">
        <f ca="1"/>
        <v>-0.23748725340185448</v>
      </c>
      <c r="AE39" s="1" cm="1">
        <f t="array" aca="1" ref="AE39" ca="1">[1]!feed_rho_mix_kgm3(p,t,G39)/$AE$43</f>
        <v>51.164081815463767</v>
      </c>
      <c r="AF39" s="1"/>
      <c r="AG39" s="1">
        <f ca="1">W39^2*9.81*(H39-I39-AE39)/54/(M39*0.001)</f>
        <v>0.24783033196660928</v>
      </c>
      <c r="AH39" s="1"/>
      <c r="AI39" s="1">
        <f ca="1">1.2*(V39-U39)+AG39</f>
        <v>-0.22881662021617946</v>
      </c>
      <c r="AJ39">
        <f ca="1">1.2*(V39-U39)+T39</f>
        <v>-0.23748725340185445</v>
      </c>
    </row>
    <row r="40" spans="5:36" x14ac:dyDescent="0.25">
      <c r="F40">
        <v>210</v>
      </c>
      <c r="G40" t="str">
        <f ca="1">[1]!encode_feed(F40,$E$17,$E$18,$E$19,$E$15)</f>
        <v>{"gamma_gas":0.81,"gamma_oil":0.82,"gamma_wat":1.1,"rsb_m3m3":120,"muob_cP":0.5,"PVT_corr_set":1,"q_liq_sm3day":210,"fw_perc":0,"rp_m3m3":120}</v>
      </c>
      <c r="H40" s="9" cm="1">
        <f t="array" aca="1" ref="H40" ca="1">[1]!feed_rho_liq_kgm3(p,t,G40)</f>
        <v>710.08729851862768</v>
      </c>
      <c r="I40" s="9" cm="1">
        <f t="array" aca="1" ref="I40" ca="1">[1]!PVT_rho_gas_kgm3(p,t,PVT_json)</f>
        <v>78.967200170021485</v>
      </c>
      <c r="J40" s="6" cm="1">
        <f t="array" aca="1" ref="J40" ca="1">[1]!feed_ST_liqgas_Nm(p,t,G40)</f>
        <v>2.4310771580607238E-2</v>
      </c>
      <c r="K40" s="8" cm="1">
        <f t="array" aca="1" ref="K40" ca="1">[1]!feed_q_liq_rc_m3day(p,t,G40)</f>
        <v>264.15091101630202</v>
      </c>
      <c r="L40" s="8" cm="1">
        <f t="array" aca="1" ref="L40" ca="1">[1]!feed_q_gas_rc_m3day(p,t,G40)</f>
        <v>121.15325824647452</v>
      </c>
      <c r="M40" s="7" cm="1">
        <f t="array" aca="1" ref="M40" ca="1">[1]!feed_mu_liq_cP(p,t,G40)</f>
        <v>0.7664050202531727</v>
      </c>
      <c r="N40" s="7" cm="1">
        <f t="array" aca="1" ref="N40" ca="1">[1]!PVT_mu_gas_cP(p,t,G40)</f>
        <v>1.4714724789456983E-2</v>
      </c>
      <c r="O40" s="7"/>
      <c r="P40" s="7" cm="1">
        <f t="array" aca="1" ref="P40" ca="1">[1]!unf_ksep_mechanistic_Marquez_reverse(dintake_m,dcas_m,K40,L40,J40,H40,I40,M40,N40,1,hperf,calibr_li,calibr_st)</f>
        <v>0.30495433074311518</v>
      </c>
      <c r="R40" s="11" cm="1">
        <f t="array" aca="1" ref="R40:X41" ca="1">[1]!unf_ksep_mechanistic_Marquez_reverse(dintake_m,dcas_m,K40,L40,J40,H40,I40,M40,N40,0,hint+hperf,calibr_li,calibr_st)</f>
        <v>0.30495433074311518</v>
      </c>
      <c r="S40" s="11">
        <f ca="1"/>
        <v>2</v>
      </c>
      <c r="T40" s="11">
        <f ca="1"/>
        <v>0.22040207534713552</v>
      </c>
      <c r="U40" s="11">
        <f ca="1"/>
        <v>0.81096940873000256</v>
      </c>
      <c r="V40" s="11">
        <f ca="1"/>
        <v>0.37195247908796036</v>
      </c>
      <c r="W40" s="11">
        <f ca="1"/>
        <v>1.3718321595483321E-3</v>
      </c>
      <c r="X40">
        <f ca="1"/>
        <v>-0.28766061678951632</v>
      </c>
      <c r="AE40" s="1" cm="1">
        <f t="array" aca="1" ref="AE40" ca="1">[1]!feed_rho_mix_kgm3(p,t,G40)/$AE$43</f>
        <v>51.164081815463767</v>
      </c>
      <c r="AF40" s="1"/>
      <c r="AG40" s="1">
        <f ca="1">W40^2*9.81*(H40-I40-AE40)/54/(M40*0.001)</f>
        <v>0.25871042196376104</v>
      </c>
      <c r="AH40" s="1"/>
      <c r="AI40" s="1">
        <f ca="1">1.2*(V40-U40)+AG40</f>
        <v>-0.26810989360668958</v>
      </c>
      <c r="AJ40">
        <f ca="1">1.2*(V40-U40)+T40</f>
        <v>-0.3064182402233151</v>
      </c>
    </row>
    <row r="41" spans="5:36" x14ac:dyDescent="0.25">
      <c r="R41" s="11" t="str">
        <f ca="1"/>
        <v>ksep</v>
      </c>
      <c r="S41" s="11" t="str">
        <f ca="1"/>
        <v>flow regime</v>
      </c>
      <c r="T41" s="11" t="str">
        <f ca="1"/>
        <v>v_ooz</v>
      </c>
      <c r="U41" s="11" t="str">
        <f ca="1"/>
        <v>vsl</v>
      </c>
      <c r="V41" s="11" t="str">
        <f ca="1"/>
        <v>vsg</v>
      </c>
      <c r="W41" s="11" t="str">
        <f ca="1"/>
        <v>li</v>
      </c>
      <c r="X41" t="str">
        <f ca="1"/>
        <v>vg_downflow</v>
      </c>
    </row>
    <row r="43" spans="5:36" x14ac:dyDescent="0.25">
      <c r="AE43">
        <v>10</v>
      </c>
    </row>
    <row r="44" spans="5:36" x14ac:dyDescent="0.25">
      <c r="AG44" t="s">
        <v>51</v>
      </c>
    </row>
    <row r="45" spans="5:36" x14ac:dyDescent="0.25">
      <c r="E45" t="s">
        <v>47</v>
      </c>
    </row>
    <row r="47" spans="5:36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5:36" x14ac:dyDescent="0.25">
      <c r="F48">
        <f>E16</f>
        <v>150</v>
      </c>
      <c r="G48" t="str">
        <f ca="1">[1]!encode_feed(F48,$E$17,$E$18,$E$19,$E$15)</f>
        <v>{"gamma_gas":0.81,"gamma_oil":0.82,"gamma_wat":1.1,"rsb_m3m3":120,"muob_cP":0.5,"PVT_corr_set":1,"q_liq_sm3day":150,"fw_perc":0,"rp_m3m3":120}</v>
      </c>
      <c r="H48" s="9" cm="1">
        <f t="array" aca="1" ref="H48" ca="1">[1]!feed_rho_liq_kgm3(p,t,G48)</f>
        <v>710.08729851862768</v>
      </c>
      <c r="I48" s="9" cm="1">
        <f t="array" aca="1" ref="I48" ca="1">[1]!PVT_rho_gas_kgm3(p,t,PVT_json)</f>
        <v>78.967200170021485</v>
      </c>
      <c r="J48" s="6" cm="1">
        <f t="array" aca="1" ref="J48" ca="1">[1]!feed_ST_liqgas_Nm(p,t,G48)</f>
        <v>2.4310771580607238E-2</v>
      </c>
      <c r="K48" s="8" cm="1">
        <f t="array" aca="1" ref="K48" ca="1">[1]!feed_q_liq_rc_m3day(p,t,G48)</f>
        <v>188.67922215450145</v>
      </c>
      <c r="L48" s="8" cm="1">
        <f t="array" aca="1" ref="L48" ca="1">[1]!feed_q_gas_rc_m3day(p,t,G48)</f>
        <v>86.538041604624667</v>
      </c>
      <c r="M48" s="7" cm="1">
        <f t="array" aca="1" ref="M48" ca="1">[1]!feed_mu_liq_cP(p,t,G48)</f>
        <v>0.7664050202531727</v>
      </c>
      <c r="N48" s="7" cm="1">
        <f t="array" aca="1" ref="N48" ca="1">[1]!PVT_mu_gas_cP(p,t,G48)</f>
        <v>1.4714724789456983E-2</v>
      </c>
    </row>
    <row r="53" spans="5:31" x14ac:dyDescent="0.25">
      <c r="E53" t="str" cm="1">
        <f t="array" aca="1" ref="E53" ca="1">[1]!unf_ksep_mechanistic_Marquez_reverse_build_bubble_tracks(dintake_m,dcas_m,K48,L48,J48,H48,I48,M48,N48,hperf,calibr_li,calibr_st)</f>
        <v>{"n 1":{"curve_x":"x","curve_y":"y","x":[0.062878,0.062888,0.063041,0.063204,0.063368,0.063531,0.063694,0.063857,0.064021,0.064184,0.064347,0.06451,0.064674,0.064837,0.065],"y":[0,0.211208,0.204042,0.196405,0.188768,0.181131,0.173494,0.165857,0.158144,0.150305,0.142466,0.134627,0.126789,0.11895,0.111111]},"n 2":{"curve_x":"x","curve_y":"y","x":[0.060924,0.060934,0.061237,0.061551,0.061864,0.062178,0.062492,0.062805,0.063119,0.063432,0.063746,0.064059,0.064373,0.064686,0.065],"y":[0,0.406622,0.393449,0.379841,0.366065,0.352073,0.338082,0.32409,0.309767,0.295392,0.281018,0.266494,0.251737,0.23698,0.222222]},"n 3":{"curve_x":"x","curve_y":"y","x":[0.059085,0.059095,0.05954,0.059995,0.06045,0.060905,0.06136,0.061815,0.06227,0.062725,0.06318,0.063635,0.06409,0.064545,0.065],"y":[0,0.590515,0.572353,0.55356,0.534766,0.515461,0.496114,0.47658,0.456682,0.436784,0.416431,0.395983,0.375326,0.35433,0.333333]},"n 4":{"curve_x":"x","curve_y":"y","x":[0.057343,0.057353,0.057932,0.058521,0.05911,0.059699,0.060288,0.060877,0.061466,0.062055,0.062644,0.063233,0.063822,0.064411,0.065],"y":[0,0.764698,0.742618,0.719495,0.696372,0.672595,0.648759,0.624341,0.599795,0.574697,0.549445,0.523629,0.497673,0.471102,0.444444]},"n 5":{"curve_x":"x","curve_y":"y","x":[0.055677,0.055687,0.056394,0.057111,0.057828,0.058546,0.059263,0.05998,0.060697,0.061414,0.062131,0.062849,0.063566,0.064283,0.065],"y":[0,0.931307,0.905829,0.879124,0.852306,0.824722,0.796876,0.76843,0.739516,0.710214,0.680196,0.649887,0.618886,0.587402,0.555556]},"n 6":{"curve_x":"x","curve_y":"y","x":[0.056678,0.056688,0.057319,0.057959,0.058599,0.059239,0.059879,0.060519,0.061159,0.061799,0.06244,0.06308,0.06372,0.06436,0.065],"y":[1.2,1,0.977006,0.953218,0.929089,0.904589,0.879697,0.854443,0.828793,0.802745,0.776342,0.749464,0.722311,0.694566,0.666667]},"n 7":{"curve_x":"x","curve_y":"y","x":[0.059531,0.059541,0.059952,0.060372,0.060793,0.061214,0.061634,0.062055,0.062476,0.062896,0.063317,0.063738,0.064159,0.064579,0.065],"y":[1.2,1,0.984337,0.968001,0.951462,0.934924,0.918107,0.901078,0.884049,0.866712,0.849195,0.831678,0.813783,0.795781,0.777778]},"n 8":{"curve_x":"x","curve_y":"y","x":[0.062298,0.062308,0.062506,0.062713,0.062921,0.063129,0.063337,0.063545,0.063753,0.063961,0.064169,0.064376,0.064584,0.064792,0.065],"y":[1.2,1,0.992138,0.983733,0.975235,0.966736,0.958238,0.949739,0.941241,0.93257,0.923834,0.915098,0.906361,0.897625,0.888889]}}</v>
      </c>
    </row>
    <row r="55" spans="5:31" x14ac:dyDescent="0.25">
      <c r="E55" t="str" cm="1">
        <f t="array" aca="1" ref="E55:F62" ca="1">[1]!decode_json(E53)</f>
        <v>n 1</v>
      </c>
      <c r="F55" t="str">
        <f ca="1"/>
        <v>{"curve_x":"x","curve_y":"y","x":[0.062878,0.062888,0.063041,0.063204,0.063368,0.063531,0.063694,0.063857,0.064021,0.064184,0.064347,0.06451,0.064674,0.064837,0.065],"y":[0,0.211208,0.204042,0.196405,0.188768,0.181131,0.173494,0.165857,0.158144,0.150305,0.142466,0.134627,0.126789,0.11895,0.111111]}</v>
      </c>
      <c r="I55" t="str" cm="1">
        <f t="array" aca="1" ref="I55:J70" ca="1">[1]!decode_json_crv(F55)</f>
        <v>x</v>
      </c>
      <c r="J55" t="str">
        <f ca="1"/>
        <v>y</v>
      </c>
      <c r="L55" t="str" cm="1">
        <f t="array" aca="1" ref="L55:M70" ca="1">[1]!decode_json_crv(F56)</f>
        <v>x</v>
      </c>
      <c r="M55" t="str">
        <f ca="1"/>
        <v>y</v>
      </c>
      <c r="O55" t="str" cm="1">
        <f t="array" aca="1" ref="O55:P70" ca="1">[1]!decode_json_crv(F57)</f>
        <v>x</v>
      </c>
      <c r="P55" t="str">
        <f ca="1"/>
        <v>y</v>
      </c>
      <c r="R55" t="str" cm="1">
        <f t="array" aca="1" ref="R55:S70" ca="1">[1]!decode_json_crv(F58)</f>
        <v>x</v>
      </c>
      <c r="S55" t="str">
        <f ca="1"/>
        <v>y</v>
      </c>
      <c r="U55" t="str" cm="1">
        <f t="array" aca="1" ref="U55:V70" ca="1">[1]!decode_json_crv(F59)</f>
        <v>x</v>
      </c>
      <c r="V55" t="str">
        <f ca="1"/>
        <v>y</v>
      </c>
      <c r="X55" t="str" cm="1">
        <f t="array" aca="1" ref="X55:Y70" ca="1">[1]!decode_json_crv(F60)</f>
        <v>x</v>
      </c>
      <c r="Y55" t="str">
        <f ca="1"/>
        <v>y</v>
      </c>
      <c r="AA55" t="str" cm="1">
        <f t="array" aca="1" ref="AA55:AB70" ca="1">[1]!decode_json_crv(F61)</f>
        <v>x</v>
      </c>
      <c r="AB55" t="str">
        <f ca="1"/>
        <v>y</v>
      </c>
      <c r="AD55" t="str" cm="1">
        <f t="array" aca="1" ref="AD55:AE70" ca="1">[1]!decode_json_crv(F62)</f>
        <v>x</v>
      </c>
      <c r="AE55" t="str">
        <f ca="1"/>
        <v>y</v>
      </c>
    </row>
    <row r="56" spans="5:31" x14ac:dyDescent="0.25">
      <c r="E56" t="str">
        <f ca="1"/>
        <v>n 2</v>
      </c>
      <c r="F56" t="str">
        <f ca="1"/>
        <v>{"curve_x":"x","curve_y":"y","x":[0.060924,0.060934,0.061237,0.061551,0.061864,0.062178,0.062492,0.062805,0.063119,0.063432,0.063746,0.064059,0.064373,0.064686,0.065],"y":[0,0.406622,0.393449,0.379841,0.366065,0.352073,0.338082,0.32409,0.309767,0.295392,0.281018,0.266494,0.251737,0.23698,0.222222]}</v>
      </c>
      <c r="I56">
        <f ca="1"/>
        <v>6.2878000000000003E-2</v>
      </c>
      <c r="J56">
        <f ca="1"/>
        <v>0</v>
      </c>
      <c r="L56">
        <f ca="1"/>
        <v>6.0923999999999999E-2</v>
      </c>
      <c r="M56">
        <f ca="1"/>
        <v>0</v>
      </c>
      <c r="O56">
        <f ca="1"/>
        <v>5.9084999999999999E-2</v>
      </c>
      <c r="P56">
        <f ca="1"/>
        <v>0</v>
      </c>
      <c r="R56">
        <f ca="1"/>
        <v>5.7342999999999998E-2</v>
      </c>
      <c r="S56">
        <f ca="1"/>
        <v>0</v>
      </c>
      <c r="U56">
        <f ca="1"/>
        <v>5.5676999999999997E-2</v>
      </c>
      <c r="V56">
        <f ca="1"/>
        <v>0</v>
      </c>
      <c r="X56">
        <f ca="1"/>
        <v>5.6677999999999999E-2</v>
      </c>
      <c r="Y56">
        <f ca="1"/>
        <v>1.2</v>
      </c>
      <c r="AA56">
        <f ca="1"/>
        <v>5.9531000000000001E-2</v>
      </c>
      <c r="AB56">
        <f ca="1"/>
        <v>1.2</v>
      </c>
      <c r="AD56">
        <f ca="1"/>
        <v>6.2297999999999999E-2</v>
      </c>
      <c r="AE56">
        <f ca="1"/>
        <v>1.2</v>
      </c>
    </row>
    <row r="57" spans="5:31" x14ac:dyDescent="0.25">
      <c r="E57" t="str">
        <f ca="1"/>
        <v>n 3</v>
      </c>
      <c r="F57" t="str">
        <f ca="1"/>
        <v>{"curve_x":"x","curve_y":"y","x":[0.059085,0.059095,0.05954,0.059995,0.06045,0.060905,0.06136,0.061815,0.06227,0.062725,0.06318,0.063635,0.06409,0.064545,0.065],"y":[0,0.590515,0.572353,0.55356,0.534766,0.515461,0.496114,0.47658,0.456682,0.436784,0.416431,0.395983,0.375326,0.35433,0.333333]}</v>
      </c>
      <c r="I57">
        <f ca="1"/>
        <v>6.2887999999999999E-2</v>
      </c>
      <c r="J57">
        <f ca="1"/>
        <v>0.21120800000000001</v>
      </c>
      <c r="L57">
        <f ca="1"/>
        <v>6.0934000000000002E-2</v>
      </c>
      <c r="M57">
        <f ca="1"/>
        <v>0.40662199999999998</v>
      </c>
      <c r="O57">
        <f ca="1"/>
        <v>5.9095000000000002E-2</v>
      </c>
      <c r="P57">
        <f ca="1"/>
        <v>0.59051500000000001</v>
      </c>
      <c r="R57">
        <f ca="1"/>
        <v>5.7353000000000001E-2</v>
      </c>
      <c r="S57">
        <f ca="1"/>
        <v>0.76469799999999999</v>
      </c>
      <c r="U57">
        <f ca="1"/>
        <v>5.5687E-2</v>
      </c>
      <c r="V57">
        <f ca="1"/>
        <v>0.931307</v>
      </c>
      <c r="X57">
        <f ca="1"/>
        <v>5.6688000000000002E-2</v>
      </c>
      <c r="Y57">
        <f ca="1"/>
        <v>1</v>
      </c>
      <c r="AA57">
        <f ca="1"/>
        <v>5.9540999999999997E-2</v>
      </c>
      <c r="AB57">
        <f ca="1"/>
        <v>1</v>
      </c>
      <c r="AD57">
        <f ca="1"/>
        <v>6.2308000000000002E-2</v>
      </c>
      <c r="AE57">
        <f ca="1"/>
        <v>1</v>
      </c>
    </row>
    <row r="58" spans="5:31" x14ac:dyDescent="0.25">
      <c r="E58" t="str">
        <f ca="1"/>
        <v>n 4</v>
      </c>
      <c r="F58" t="str">
        <f ca="1"/>
        <v>{"curve_x":"x","curve_y":"y","x":[0.057343,0.057353,0.057932,0.058521,0.05911,0.059699,0.060288,0.060877,0.061466,0.062055,0.062644,0.063233,0.063822,0.064411,0.065],"y":[0,0.764698,0.742618,0.719495,0.696372,0.672595,0.648759,0.624341,0.599795,0.574697,0.549445,0.523629,0.497673,0.471102,0.444444]}</v>
      </c>
      <c r="I58">
        <f ca="1"/>
        <v>6.3041E-2</v>
      </c>
      <c r="J58">
        <f ca="1"/>
        <v>0.204042</v>
      </c>
      <c r="L58">
        <f ca="1"/>
        <v>6.1237E-2</v>
      </c>
      <c r="M58">
        <f ca="1"/>
        <v>0.39344899999999999</v>
      </c>
      <c r="O58">
        <f ca="1"/>
        <v>5.9540000000000003E-2</v>
      </c>
      <c r="P58">
        <f ca="1"/>
        <v>0.572353</v>
      </c>
      <c r="R58">
        <f ca="1"/>
        <v>5.7931999999999997E-2</v>
      </c>
      <c r="S58">
        <f ca="1"/>
        <v>0.742618</v>
      </c>
      <c r="U58">
        <f ca="1"/>
        <v>5.6394E-2</v>
      </c>
      <c r="V58">
        <f ca="1"/>
        <v>0.905829</v>
      </c>
      <c r="X58">
        <f ca="1"/>
        <v>5.7319000000000002E-2</v>
      </c>
      <c r="Y58">
        <f ca="1"/>
        <v>0.97700600000000004</v>
      </c>
      <c r="AA58">
        <f ca="1"/>
        <v>5.9951999999999998E-2</v>
      </c>
      <c r="AB58">
        <f ca="1"/>
        <v>0.98433700000000002</v>
      </c>
      <c r="AD58">
        <f ca="1"/>
        <v>6.2506000000000006E-2</v>
      </c>
      <c r="AE58">
        <f ca="1"/>
        <v>0.99213799999999996</v>
      </c>
    </row>
    <row r="59" spans="5:31" x14ac:dyDescent="0.25">
      <c r="E59" t="str">
        <f ca="1"/>
        <v>n 5</v>
      </c>
      <c r="F59" t="str">
        <f ca="1"/>
        <v>{"curve_x":"x","curve_y":"y","x":[0.055677,0.055687,0.056394,0.057111,0.057828,0.058546,0.059263,0.05998,0.060697,0.061414,0.062131,0.062849,0.063566,0.064283,0.065],"y":[0,0.931307,0.905829,0.879124,0.852306,0.824722,0.796876,0.76843,0.739516,0.710214,0.680196,0.649887,0.618886,0.587402,0.555556]}</v>
      </c>
      <c r="I59">
        <f ca="1"/>
        <v>6.3203999999999996E-2</v>
      </c>
      <c r="J59">
        <f ca="1"/>
        <v>0.196405</v>
      </c>
      <c r="L59">
        <f ca="1"/>
        <v>6.1551000000000002E-2</v>
      </c>
      <c r="M59">
        <f ca="1"/>
        <v>0.37984099999999998</v>
      </c>
      <c r="O59">
        <f ca="1"/>
        <v>5.9995E-2</v>
      </c>
      <c r="P59">
        <f ca="1"/>
        <v>0.55356000000000005</v>
      </c>
      <c r="R59">
        <f ca="1"/>
        <v>5.8520999999999997E-2</v>
      </c>
      <c r="S59">
        <f ca="1"/>
        <v>0.719495</v>
      </c>
      <c r="U59">
        <f ca="1"/>
        <v>5.7111000000000002E-2</v>
      </c>
      <c r="V59">
        <f ca="1"/>
        <v>0.87912400000000002</v>
      </c>
      <c r="X59">
        <f ca="1"/>
        <v>5.7958999999999997E-2</v>
      </c>
      <c r="Y59">
        <f ca="1"/>
        <v>0.95321800000000001</v>
      </c>
      <c r="AA59">
        <f ca="1"/>
        <v>6.0372000000000002E-2</v>
      </c>
      <c r="AB59">
        <f ca="1"/>
        <v>0.968001</v>
      </c>
      <c r="AD59">
        <f ca="1"/>
        <v>6.2713000000000005E-2</v>
      </c>
      <c r="AE59">
        <f ca="1"/>
        <v>0.98373299999999997</v>
      </c>
    </row>
    <row r="60" spans="5:31" x14ac:dyDescent="0.25">
      <c r="E60" t="str">
        <f ca="1"/>
        <v>n 6</v>
      </c>
      <c r="F60" t="str">
        <f ca="1"/>
        <v>{"curve_x":"x","curve_y":"y","x":[0.056678,0.056688,0.057319,0.057959,0.058599,0.059239,0.059879,0.060519,0.061159,0.061799,0.06244,0.06308,0.06372,0.06436,0.065],"y":[1.2,1,0.977006,0.953218,0.929089,0.904589,0.879697,0.854443,0.828793,0.802745,0.776342,0.749464,0.722311,0.694566,0.666667]}</v>
      </c>
      <c r="I60">
        <f ca="1"/>
        <v>6.3367999999999994E-2</v>
      </c>
      <c r="J60">
        <f ca="1"/>
        <v>0.18876799999999999</v>
      </c>
      <c r="L60">
        <f ca="1"/>
        <v>6.1864000000000002E-2</v>
      </c>
      <c r="M60">
        <f ca="1"/>
        <v>0.36606499999999997</v>
      </c>
      <c r="O60">
        <f ca="1"/>
        <v>6.0449999999999997E-2</v>
      </c>
      <c r="P60">
        <f ca="1"/>
        <v>0.53476599999999996</v>
      </c>
      <c r="R60">
        <f ca="1"/>
        <v>5.9110000000000003E-2</v>
      </c>
      <c r="S60">
        <f ca="1"/>
        <v>0.69637199999999999</v>
      </c>
      <c r="U60">
        <f ca="1"/>
        <v>5.7827999999999997E-2</v>
      </c>
      <c r="V60">
        <f ca="1"/>
        <v>0.85230600000000001</v>
      </c>
      <c r="X60">
        <f ca="1"/>
        <v>5.8598999999999998E-2</v>
      </c>
      <c r="Y60">
        <f ca="1"/>
        <v>0.92908900000000005</v>
      </c>
      <c r="AA60">
        <f ca="1"/>
        <v>6.0793E-2</v>
      </c>
      <c r="AB60">
        <f ca="1"/>
        <v>0.95146200000000003</v>
      </c>
      <c r="AD60">
        <f ca="1"/>
        <v>6.2921000000000005E-2</v>
      </c>
      <c r="AE60">
        <f ca="1"/>
        <v>0.97523499999999996</v>
      </c>
    </row>
    <row r="61" spans="5:31" x14ac:dyDescent="0.25">
      <c r="E61" t="str">
        <f ca="1"/>
        <v>n 7</v>
      </c>
      <c r="F61" t="str">
        <f ca="1"/>
        <v>{"curve_x":"x","curve_y":"y","x":[0.059531,0.059541,0.059952,0.060372,0.060793,0.061214,0.061634,0.062055,0.062476,0.062896,0.063317,0.063738,0.064159,0.064579,0.065],"y":[1.2,1,0.984337,0.968001,0.951462,0.934924,0.918107,0.901078,0.884049,0.866712,0.849195,0.831678,0.813783,0.795781,0.777778]}</v>
      </c>
      <c r="I61">
        <f ca="1"/>
        <v>6.3531000000000004E-2</v>
      </c>
      <c r="J61">
        <f ca="1"/>
        <v>0.18113099999999999</v>
      </c>
      <c r="L61">
        <f ca="1"/>
        <v>6.2177999999999997E-2</v>
      </c>
      <c r="M61">
        <f ca="1"/>
        <v>0.35207300000000002</v>
      </c>
      <c r="O61">
        <f ca="1"/>
        <v>6.0905000000000001E-2</v>
      </c>
      <c r="P61">
        <f ca="1"/>
        <v>0.51546099999999995</v>
      </c>
      <c r="R61">
        <f ca="1"/>
        <v>5.9699000000000002E-2</v>
      </c>
      <c r="S61">
        <f ca="1"/>
        <v>0.67259500000000005</v>
      </c>
      <c r="U61">
        <f ca="1"/>
        <v>5.8546000000000001E-2</v>
      </c>
      <c r="V61">
        <f ca="1"/>
        <v>0.82472199999999996</v>
      </c>
      <c r="X61">
        <f ca="1"/>
        <v>5.9239E-2</v>
      </c>
      <c r="Y61">
        <f ca="1"/>
        <v>0.90458899999999998</v>
      </c>
      <c r="AA61">
        <f ca="1"/>
        <v>6.1213999999999998E-2</v>
      </c>
      <c r="AB61">
        <f ca="1"/>
        <v>0.93492399999999998</v>
      </c>
      <c r="AD61">
        <f ca="1"/>
        <v>6.3129000000000005E-2</v>
      </c>
      <c r="AE61">
        <f ca="1"/>
        <v>0.96673600000000004</v>
      </c>
    </row>
    <row r="62" spans="5:31" x14ac:dyDescent="0.25">
      <c r="E62" t="str">
        <f ca="1"/>
        <v>n 8</v>
      </c>
      <c r="F62" t="str">
        <f ca="1"/>
        <v>{"curve_x":"x","curve_y":"y","x":[0.062298,0.062308,0.062506,0.062713,0.062921,0.063129,0.063337,0.063545,0.063753,0.063961,0.064169,0.064376,0.064584,0.064792,0.065],"y":[1.2,1,0.992138,0.983733,0.975235,0.966736,0.958238,0.949739,0.941241,0.93257,0.923834,0.915098,0.906361,0.897625,0.888889]}</v>
      </c>
      <c r="I62">
        <f ca="1"/>
        <v>6.3694000000000001E-2</v>
      </c>
      <c r="J62">
        <f ca="1"/>
        <v>0.17349400000000001</v>
      </c>
      <c r="L62">
        <f ca="1"/>
        <v>6.2491999999999999E-2</v>
      </c>
      <c r="M62">
        <f ca="1"/>
        <v>0.33808199999999999</v>
      </c>
      <c r="O62">
        <f ca="1"/>
        <v>6.1359999999999998E-2</v>
      </c>
      <c r="P62">
        <f ca="1"/>
        <v>0.496114</v>
      </c>
      <c r="R62">
        <f ca="1"/>
        <v>6.0288000000000001E-2</v>
      </c>
      <c r="S62">
        <f ca="1"/>
        <v>0.64875899999999997</v>
      </c>
      <c r="U62">
        <f ca="1"/>
        <v>5.9263000000000003E-2</v>
      </c>
      <c r="V62">
        <f ca="1"/>
        <v>0.79687600000000003</v>
      </c>
      <c r="X62">
        <f ca="1"/>
        <v>5.9879000000000002E-2</v>
      </c>
      <c r="Y62">
        <f ca="1"/>
        <v>0.87969699999999995</v>
      </c>
      <c r="AA62">
        <f ca="1"/>
        <v>6.1634000000000001E-2</v>
      </c>
      <c r="AB62">
        <f ca="1"/>
        <v>0.91810700000000001</v>
      </c>
      <c r="AD62">
        <f ca="1"/>
        <v>6.3337000000000004E-2</v>
      </c>
      <c r="AE62">
        <f ca="1"/>
        <v>0.95823800000000003</v>
      </c>
    </row>
    <row r="63" spans="5:31" x14ac:dyDescent="0.25">
      <c r="I63">
        <f ca="1"/>
        <v>6.3856999999999997E-2</v>
      </c>
      <c r="J63">
        <f ca="1"/>
        <v>0.165857</v>
      </c>
      <c r="L63">
        <f ca="1"/>
        <v>6.2805E-2</v>
      </c>
      <c r="M63">
        <f ca="1"/>
        <v>0.32408999999999999</v>
      </c>
      <c r="O63">
        <f ca="1"/>
        <v>6.1815000000000002E-2</v>
      </c>
      <c r="P63">
        <f ca="1"/>
        <v>0.47658</v>
      </c>
      <c r="R63">
        <f ca="1"/>
        <v>6.0877000000000001E-2</v>
      </c>
      <c r="S63">
        <f ca="1"/>
        <v>0.62434100000000003</v>
      </c>
      <c r="U63">
        <f ca="1"/>
        <v>5.9979999999999999E-2</v>
      </c>
      <c r="V63">
        <f ca="1"/>
        <v>0.76842999999999995</v>
      </c>
      <c r="X63">
        <f ca="1"/>
        <v>6.0519000000000003E-2</v>
      </c>
      <c r="Y63">
        <f ca="1"/>
        <v>0.85444299999999995</v>
      </c>
      <c r="AA63">
        <f ca="1"/>
        <v>6.2054999999999999E-2</v>
      </c>
      <c r="AB63">
        <f ca="1"/>
        <v>0.90107800000000005</v>
      </c>
      <c r="AD63">
        <f ca="1"/>
        <v>6.3545000000000004E-2</v>
      </c>
      <c r="AE63">
        <f ca="1"/>
        <v>0.949739</v>
      </c>
    </row>
    <row r="64" spans="5:31" x14ac:dyDescent="0.25">
      <c r="I64">
        <f ca="1"/>
        <v>6.4020999999999995E-2</v>
      </c>
      <c r="J64">
        <f ca="1"/>
        <v>0.15814400000000001</v>
      </c>
      <c r="L64">
        <f ca="1"/>
        <v>6.3118999999999995E-2</v>
      </c>
      <c r="M64">
        <f ca="1"/>
        <v>0.30976700000000001</v>
      </c>
      <c r="O64">
        <f ca="1"/>
        <v>6.2269999999999999E-2</v>
      </c>
      <c r="P64">
        <f ca="1"/>
        <v>0.45668199999999998</v>
      </c>
      <c r="R64">
        <f ca="1"/>
        <v>6.1466E-2</v>
      </c>
      <c r="S64">
        <f ca="1"/>
        <v>0.59979499999999997</v>
      </c>
      <c r="U64">
        <f ca="1"/>
        <v>6.0697000000000001E-2</v>
      </c>
      <c r="V64">
        <f ca="1"/>
        <v>0.73951599999999995</v>
      </c>
      <c r="X64">
        <f ca="1"/>
        <v>6.1158999999999998E-2</v>
      </c>
      <c r="Y64">
        <f ca="1"/>
        <v>0.828793</v>
      </c>
      <c r="AA64">
        <f ca="1"/>
        <v>6.2475999999999997E-2</v>
      </c>
      <c r="AB64">
        <f ca="1"/>
        <v>0.88404899999999997</v>
      </c>
      <c r="AD64">
        <f ca="1"/>
        <v>6.3753000000000004E-2</v>
      </c>
      <c r="AE64">
        <f ca="1"/>
        <v>0.94124099999999999</v>
      </c>
    </row>
    <row r="65" spans="6:31" x14ac:dyDescent="0.25">
      <c r="I65">
        <f ca="1"/>
        <v>6.4184000000000005E-2</v>
      </c>
      <c r="J65">
        <f ca="1"/>
        <v>0.15030499999999999</v>
      </c>
      <c r="L65">
        <f ca="1"/>
        <v>6.3432000000000002E-2</v>
      </c>
      <c r="M65">
        <f ca="1"/>
        <v>0.29539199999999999</v>
      </c>
      <c r="O65">
        <f ca="1"/>
        <v>6.2725000000000003E-2</v>
      </c>
      <c r="P65">
        <f ca="1"/>
        <v>0.43678400000000001</v>
      </c>
      <c r="R65">
        <f ca="1"/>
        <v>6.2054999999999999E-2</v>
      </c>
      <c r="S65">
        <f ca="1"/>
        <v>0.57469700000000001</v>
      </c>
      <c r="U65">
        <f ca="1"/>
        <v>6.1414000000000003E-2</v>
      </c>
      <c r="V65">
        <f ca="1"/>
        <v>0.71021400000000001</v>
      </c>
      <c r="X65">
        <f ca="1"/>
        <v>6.1799E-2</v>
      </c>
      <c r="Y65">
        <f ca="1"/>
        <v>0.80274500000000004</v>
      </c>
      <c r="AA65">
        <f ca="1"/>
        <v>6.2895999999999994E-2</v>
      </c>
      <c r="AB65">
        <f ca="1"/>
        <v>0.86671200000000004</v>
      </c>
      <c r="AD65">
        <f ca="1"/>
        <v>6.3961000000000004E-2</v>
      </c>
      <c r="AE65">
        <f ca="1"/>
        <v>0.93257000000000001</v>
      </c>
    </row>
    <row r="66" spans="6:31" x14ac:dyDescent="0.25">
      <c r="I66">
        <f ca="1"/>
        <v>6.4347000000000001E-2</v>
      </c>
      <c r="J66">
        <f ca="1"/>
        <v>0.14246600000000001</v>
      </c>
      <c r="L66">
        <f ca="1"/>
        <v>6.3745999999999997E-2</v>
      </c>
      <c r="M66">
        <f ca="1"/>
        <v>0.28101799999999999</v>
      </c>
      <c r="O66">
        <f ca="1"/>
        <v>6.318E-2</v>
      </c>
      <c r="P66">
        <f ca="1"/>
        <v>0.416431</v>
      </c>
      <c r="R66">
        <f ca="1"/>
        <v>6.2644000000000005E-2</v>
      </c>
      <c r="S66">
        <f ca="1"/>
        <v>0.54944499999999996</v>
      </c>
      <c r="U66">
        <f ca="1"/>
        <v>6.2130999999999999E-2</v>
      </c>
      <c r="V66">
        <f ca="1"/>
        <v>0.68019600000000002</v>
      </c>
      <c r="X66">
        <f ca="1"/>
        <v>6.2440000000000002E-2</v>
      </c>
      <c r="Y66">
        <f ca="1"/>
        <v>0.77634199999999998</v>
      </c>
      <c r="AA66">
        <f ca="1"/>
        <v>6.3316999999999998E-2</v>
      </c>
      <c r="AB66">
        <f ca="1"/>
        <v>0.84919500000000003</v>
      </c>
      <c r="AD66">
        <f ca="1"/>
        <v>6.4169000000000004E-2</v>
      </c>
      <c r="AE66">
        <f ca="1"/>
        <v>0.92383400000000004</v>
      </c>
    </row>
    <row r="67" spans="6:31" x14ac:dyDescent="0.25">
      <c r="I67">
        <f ca="1"/>
        <v>6.4509999999999998E-2</v>
      </c>
      <c r="J67">
        <f ca="1"/>
        <v>0.134627</v>
      </c>
      <c r="L67">
        <f ca="1"/>
        <v>6.4059000000000005E-2</v>
      </c>
      <c r="M67">
        <f ca="1"/>
        <v>0.26649400000000001</v>
      </c>
      <c r="O67">
        <f ca="1"/>
        <v>6.3634999999999997E-2</v>
      </c>
      <c r="P67">
        <f ca="1"/>
        <v>0.39598299999999997</v>
      </c>
      <c r="R67">
        <f ca="1"/>
        <v>6.3232999999999998E-2</v>
      </c>
      <c r="S67">
        <f ca="1"/>
        <v>0.52362900000000001</v>
      </c>
      <c r="U67">
        <f ca="1"/>
        <v>6.2849000000000002E-2</v>
      </c>
      <c r="V67">
        <f ca="1"/>
        <v>0.64988699999999999</v>
      </c>
      <c r="X67">
        <f ca="1"/>
        <v>6.3079999999999997E-2</v>
      </c>
      <c r="Y67">
        <f ca="1"/>
        <v>0.74946400000000002</v>
      </c>
      <c r="AA67">
        <f ca="1"/>
        <v>6.3738000000000003E-2</v>
      </c>
      <c r="AB67">
        <f ca="1"/>
        <v>0.83167800000000003</v>
      </c>
      <c r="AD67">
        <f ca="1"/>
        <v>6.4376000000000003E-2</v>
      </c>
      <c r="AE67">
        <f ca="1"/>
        <v>0.91509799999999997</v>
      </c>
    </row>
    <row r="68" spans="6:31" x14ac:dyDescent="0.25">
      <c r="I68">
        <f ca="1"/>
        <v>6.4673999999999995E-2</v>
      </c>
      <c r="J68">
        <f ca="1"/>
        <v>0.12678900000000001</v>
      </c>
      <c r="L68">
        <f ca="1"/>
        <v>6.4373E-2</v>
      </c>
      <c r="M68">
        <f ca="1"/>
        <v>0.25173699999999999</v>
      </c>
      <c r="O68">
        <f ca="1"/>
        <v>6.4089999999999994E-2</v>
      </c>
      <c r="P68">
        <f ca="1"/>
        <v>0.37532599999999999</v>
      </c>
      <c r="R68">
        <f ca="1"/>
        <v>6.3822000000000004E-2</v>
      </c>
      <c r="S68">
        <f ca="1"/>
        <v>0.49767299999999998</v>
      </c>
      <c r="U68">
        <f ca="1"/>
        <v>6.3565999999999998E-2</v>
      </c>
      <c r="V68">
        <f ca="1"/>
        <v>0.61888600000000005</v>
      </c>
      <c r="X68">
        <f ca="1"/>
        <v>6.3719999999999999E-2</v>
      </c>
      <c r="Y68">
        <f ca="1"/>
        <v>0.72231100000000004</v>
      </c>
      <c r="AA68">
        <f ca="1"/>
        <v>6.4158999999999994E-2</v>
      </c>
      <c r="AB68">
        <f ca="1"/>
        <v>0.81378300000000003</v>
      </c>
      <c r="AD68">
        <f ca="1"/>
        <v>6.4584000000000003E-2</v>
      </c>
      <c r="AE68">
        <f ca="1"/>
        <v>0.90636099999999997</v>
      </c>
    </row>
    <row r="69" spans="6:31" x14ac:dyDescent="0.25">
      <c r="I69">
        <f ca="1"/>
        <v>6.4837000000000006E-2</v>
      </c>
      <c r="J69">
        <f ca="1"/>
        <v>0.11895</v>
      </c>
      <c r="L69">
        <f ca="1"/>
        <v>6.4685999999999994E-2</v>
      </c>
      <c r="M69">
        <f ca="1"/>
        <v>0.23698</v>
      </c>
      <c r="O69">
        <f ca="1"/>
        <v>6.4545000000000005E-2</v>
      </c>
      <c r="P69">
        <f ca="1"/>
        <v>0.35432999999999998</v>
      </c>
      <c r="R69">
        <f ca="1"/>
        <v>6.4410999999999996E-2</v>
      </c>
      <c r="S69">
        <f ca="1"/>
        <v>0.47110200000000002</v>
      </c>
      <c r="U69">
        <f ca="1"/>
        <v>6.4283000000000007E-2</v>
      </c>
      <c r="V69">
        <f ca="1"/>
        <v>0.58740199999999998</v>
      </c>
      <c r="X69">
        <f ca="1"/>
        <v>6.4360000000000001E-2</v>
      </c>
      <c r="Y69">
        <f ca="1"/>
        <v>0.69456600000000002</v>
      </c>
      <c r="AA69">
        <f ca="1"/>
        <v>6.4578999999999998E-2</v>
      </c>
      <c r="AB69">
        <f ca="1"/>
        <v>0.79578099999999996</v>
      </c>
      <c r="AD69">
        <f ca="1"/>
        <v>6.4792000000000002E-2</v>
      </c>
      <c r="AE69">
        <f ca="1"/>
        <v>0.89762500000000001</v>
      </c>
    </row>
    <row r="70" spans="6:31" x14ac:dyDescent="0.25">
      <c r="I70">
        <f ca="1"/>
        <v>6.5000000000000002E-2</v>
      </c>
      <c r="J70">
        <f ca="1"/>
        <v>0.111111</v>
      </c>
      <c r="L70">
        <f ca="1"/>
        <v>6.5000000000000002E-2</v>
      </c>
      <c r="M70">
        <f ca="1"/>
        <v>0.222222</v>
      </c>
      <c r="O70">
        <f ca="1"/>
        <v>6.5000000000000002E-2</v>
      </c>
      <c r="P70">
        <f ca="1"/>
        <v>0.33333299999999999</v>
      </c>
      <c r="R70">
        <f ca="1"/>
        <v>6.5000000000000002E-2</v>
      </c>
      <c r="S70">
        <f ca="1"/>
        <v>0.44444400000000001</v>
      </c>
      <c r="U70">
        <f ca="1"/>
        <v>6.5000000000000002E-2</v>
      </c>
      <c r="V70">
        <f ca="1"/>
        <v>0.55555600000000005</v>
      </c>
      <c r="X70">
        <f ca="1"/>
        <v>6.5000000000000002E-2</v>
      </c>
      <c r="Y70">
        <f ca="1"/>
        <v>0.66666700000000001</v>
      </c>
      <c r="AA70">
        <f ca="1"/>
        <v>6.5000000000000002E-2</v>
      </c>
      <c r="AB70">
        <f ca="1"/>
        <v>0.77777799999999997</v>
      </c>
      <c r="AD70">
        <f ca="1"/>
        <v>6.5000000000000002E-2</v>
      </c>
      <c r="AE70">
        <f ca="1"/>
        <v>0.88888900000000004</v>
      </c>
    </row>
    <row r="73" spans="6:31" x14ac:dyDescent="0.25">
      <c r="F73" t="s">
        <v>44</v>
      </c>
      <c r="G73" t="s">
        <v>43</v>
      </c>
      <c r="I73" t="s">
        <v>44</v>
      </c>
      <c r="J73" t="s">
        <v>43</v>
      </c>
      <c r="L73" t="s">
        <v>44</v>
      </c>
      <c r="O73" t="s">
        <v>44</v>
      </c>
      <c r="P73" t="s">
        <v>43</v>
      </c>
    </row>
    <row r="74" spans="6:31" x14ac:dyDescent="0.25">
      <c r="F74">
        <f>dcas_m/2</f>
        <v>6.5000000000000002E-2</v>
      </c>
      <c r="G74">
        <v>0</v>
      </c>
      <c r="I74">
        <f>dintake_m/2</f>
        <v>5.5E-2</v>
      </c>
      <c r="J74">
        <f>M74</f>
        <v>-0.19999999999999996</v>
      </c>
      <c r="L74">
        <f>dcas_m/2</f>
        <v>6.5000000000000002E-2</v>
      </c>
      <c r="M74">
        <f>P75-M75</f>
        <v>-0.19999999999999996</v>
      </c>
      <c r="O74">
        <f>dcas_m/2</f>
        <v>6.5000000000000002E-2</v>
      </c>
      <c r="P74">
        <v>0</v>
      </c>
    </row>
    <row r="75" spans="6:31" x14ac:dyDescent="0.25">
      <c r="F75">
        <f>F74</f>
        <v>6.5000000000000002E-2</v>
      </c>
      <c r="G75">
        <f>hperf</f>
        <v>1</v>
      </c>
      <c r="I75">
        <f>I74</f>
        <v>5.5E-2</v>
      </c>
      <c r="J75">
        <f>hperf*1.2</f>
        <v>1.2</v>
      </c>
      <c r="L75">
        <f>L74</f>
        <v>6.5000000000000002E-2</v>
      </c>
      <c r="M75">
        <f>hperf*1.2</f>
        <v>1.2</v>
      </c>
      <c r="O75">
        <f>dintake_m/2</f>
        <v>5.5E-2</v>
      </c>
      <c r="P75">
        <f>G75</f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9A3A9-9EED-45AA-B9F4-4C1C2CAC774F}">
  <sheetPr codeName="Лист7"/>
  <dimension ref="C1:AE101"/>
  <sheetViews>
    <sheetView topLeftCell="C1" zoomScale="85" zoomScaleNormal="85" workbookViewId="0">
      <selection activeCell="I14" sqref="I14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</cols>
  <sheetData>
    <row r="1" spans="3:16" x14ac:dyDescent="0.25">
      <c r="C1" t="s">
        <v>53</v>
      </c>
    </row>
    <row r="3" spans="3:16" x14ac:dyDescent="0.25">
      <c r="D3" t="s">
        <v>15</v>
      </c>
      <c r="H3" t="s">
        <v>17</v>
      </c>
      <c r="M3" t="s">
        <v>16</v>
      </c>
    </row>
    <row r="6" spans="3:16" x14ac:dyDescent="0.25">
      <c r="D6" s="1" t="s">
        <v>0</v>
      </c>
      <c r="E6" s="1">
        <v>0.81</v>
      </c>
      <c r="H6" s="3" t="s">
        <v>24</v>
      </c>
      <c r="I6">
        <v>137</v>
      </c>
      <c r="J6" t="s">
        <v>18</v>
      </c>
      <c r="K6">
        <f>dcas/1000</f>
        <v>0.13700000000000001</v>
      </c>
      <c r="M6" t="s">
        <v>19</v>
      </c>
      <c r="N6" s="9" cm="1">
        <f t="array" aca="1" ref="N6" ca="1">[1]!feed_rho_liq_kgm3(p,t,feed_json)</f>
        <v>1033.0996662337236</v>
      </c>
      <c r="O6" t="s">
        <v>28</v>
      </c>
    </row>
    <row r="7" spans="3:16" x14ac:dyDescent="0.25">
      <c r="D7" s="1" t="s">
        <v>1</v>
      </c>
      <c r="E7" s="1">
        <v>0.82</v>
      </c>
      <c r="H7" s="3" t="s">
        <v>25</v>
      </c>
      <c r="I7">
        <v>115</v>
      </c>
      <c r="J7" t="s">
        <v>18</v>
      </c>
      <c r="K7">
        <f>dintake/1000</f>
        <v>0.115</v>
      </c>
      <c r="M7" t="s">
        <v>20</v>
      </c>
      <c r="N7" s="9" cm="1">
        <f t="array" aca="1" ref="N7" ca="1">[1]!PVT_rho_gas_kgm3(p,t,PVT_json)</f>
        <v>102.6081859719242</v>
      </c>
      <c r="O7" t="s">
        <v>28</v>
      </c>
    </row>
    <row r="8" spans="3:16" x14ac:dyDescent="0.25">
      <c r="D8" s="1" t="s">
        <v>2</v>
      </c>
      <c r="E8" s="1">
        <v>1.1000000000000001</v>
      </c>
      <c r="H8" t="s">
        <v>45</v>
      </c>
      <c r="I8">
        <v>100</v>
      </c>
      <c r="J8" t="s">
        <v>35</v>
      </c>
      <c r="K8">
        <f>I8/1000</f>
        <v>0.1</v>
      </c>
      <c r="M8" t="s">
        <v>21</v>
      </c>
      <c r="N8" s="6" cm="1">
        <f t="array" aca="1" ref="N8" ca="1">[1]!feed_ST_liqgas_Nm(p,t,feed_json)*calibr_st</f>
        <v>5.9138225831323561E-2</v>
      </c>
      <c r="O8" t="s">
        <v>29</v>
      </c>
      <c r="P8">
        <f ca="1">Пов._Натяжение/1000</f>
        <v>5.913822583132356E-5</v>
      </c>
    </row>
    <row r="9" spans="3:16" x14ac:dyDescent="0.25">
      <c r="D9" s="1" t="s">
        <v>3</v>
      </c>
      <c r="E9" s="1">
        <v>120</v>
      </c>
      <c r="H9" s="4" t="s">
        <v>26</v>
      </c>
      <c r="I9" s="4">
        <v>100</v>
      </c>
      <c r="M9" t="s">
        <v>22</v>
      </c>
      <c r="N9" s="7" cm="1">
        <f t="array" aca="1" ref="N9" ca="1">[1]!feed_q_liq_rc_m3day(p,t,feed_json)</f>
        <v>5.2622658738882615</v>
      </c>
    </row>
    <row r="10" spans="3:16" x14ac:dyDescent="0.25">
      <c r="D10" s="1" t="s">
        <v>4</v>
      </c>
      <c r="E10" s="1"/>
      <c r="H10" s="4" t="s">
        <v>27</v>
      </c>
      <c r="I10" s="4">
        <v>80</v>
      </c>
      <c r="M10" t="s">
        <v>23</v>
      </c>
      <c r="N10" s="7" cm="1">
        <f t="array" aca="1" ref="N10" ca="1">[1]!feed_q_gas_rc_m3day(p,t,feed_json)</f>
        <v>0.2107027645787696</v>
      </c>
    </row>
    <row r="11" spans="3:16" x14ac:dyDescent="0.25">
      <c r="D11" s="1" t="s">
        <v>5</v>
      </c>
      <c r="E11" s="1"/>
      <c r="H11" s="4" t="s">
        <v>48</v>
      </c>
      <c r="I11" s="4">
        <v>2</v>
      </c>
      <c r="M11" t="s">
        <v>30</v>
      </c>
      <c r="N11" s="6" cm="1">
        <f t="array" aca="1" ref="N11" ca="1">[1]!feed_mu_liq_cP(p,t,feed_json)</f>
        <v>0.5130308541528239</v>
      </c>
    </row>
    <row r="12" spans="3:16" x14ac:dyDescent="0.25">
      <c r="D12" s="1" t="s">
        <v>6</v>
      </c>
      <c r="E12" s="1"/>
      <c r="H12" s="10" t="s">
        <v>49</v>
      </c>
      <c r="I12" s="4">
        <v>1</v>
      </c>
      <c r="M12" t="s">
        <v>31</v>
      </c>
      <c r="N12" s="6" cm="1">
        <f t="array" aca="1" ref="N12" ca="1">[1]!PVT_mu_gas_cP(p,t,PVT_json)</f>
        <v>1.5934611970626747E-2</v>
      </c>
    </row>
    <row r="13" spans="3:16" x14ac:dyDescent="0.25">
      <c r="D13" s="1" t="s">
        <v>7</v>
      </c>
      <c r="E13" s="1">
        <v>0.3</v>
      </c>
      <c r="H13" s="10" t="s">
        <v>52</v>
      </c>
      <c r="I13" s="4">
        <v>0.2</v>
      </c>
    </row>
    <row r="14" spans="3:16" x14ac:dyDescent="0.25">
      <c r="D14" s="1" t="s">
        <v>8</v>
      </c>
      <c r="E14" s="1">
        <v>0</v>
      </c>
    </row>
    <row r="15" spans="3:16" x14ac:dyDescent="0.25">
      <c r="D15" s="1" t="s">
        <v>9</v>
      </c>
      <c r="E15" s="2" t="str">
        <f ca="1">[1]!encode_PVT(E6,E7,E8,E9,E10,E11,E12,E13,E14)</f>
        <v>{"gamma_gas":0.81,"gamma_oil":0.82,"gamma_wat":1.1,"rsb_m3m3":120,"muob_cP":0.3,"PVT_corr_set":0}</v>
      </c>
    </row>
    <row r="16" spans="3:16" x14ac:dyDescent="0.25">
      <c r="D16" s="1" t="s">
        <v>10</v>
      </c>
      <c r="E16" s="1">
        <v>5</v>
      </c>
      <c r="F16" t="s">
        <v>54</v>
      </c>
      <c r="G16">
        <f>E16/pkv_ratio</f>
        <v>25</v>
      </c>
      <c r="H16" s="10" t="s">
        <v>55</v>
      </c>
    </row>
    <row r="17" spans="4:25" x14ac:dyDescent="0.25">
      <c r="D17" s="1" t="s">
        <v>11</v>
      </c>
      <c r="E17" s="1">
        <v>90</v>
      </c>
    </row>
    <row r="18" spans="4:25" x14ac:dyDescent="0.25">
      <c r="D18" s="1" t="s">
        <v>12</v>
      </c>
      <c r="E18" s="1">
        <v>120</v>
      </c>
    </row>
    <row r="19" spans="4:25" x14ac:dyDescent="0.25">
      <c r="D19" s="1" t="s">
        <v>13</v>
      </c>
      <c r="E19" s="1">
        <v>0</v>
      </c>
    </row>
    <row r="20" spans="4:25" x14ac:dyDescent="0.25">
      <c r="D20" s="1" t="s">
        <v>14</v>
      </c>
      <c r="E20" s="2" t="str">
        <f ca="1">[1]!encode_feed(E16,E17,E18,E19,E15)</f>
        <v>{"gamma_gas":0.81,"gamma_oil":0.82,"gamma_wat":1.1,"rsb_m3m3":120,"muob_cP":0.3,"PVT_corr_set":0,"q_liq_sm3day":5,"fw_perc":90,"rp_m3m3":120}</v>
      </c>
    </row>
    <row r="23" spans="4:25" x14ac:dyDescent="0.25">
      <c r="I23" s="5"/>
    </row>
    <row r="26" spans="4:25" x14ac:dyDescent="0.25">
      <c r="E26" t="s">
        <v>46</v>
      </c>
    </row>
    <row r="28" spans="4:25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O28" t="s">
        <v>33</v>
      </c>
      <c r="P28" t="s">
        <v>34</v>
      </c>
    </row>
    <row r="29" spans="4:25" x14ac:dyDescent="0.25">
      <c r="D29">
        <f ca="1">(S29+1/pkv_ratio)/(1+1/pkv_ratio)</f>
        <v>0.98980961422155112</v>
      </c>
      <c r="F29">
        <v>2</v>
      </c>
      <c r="G29" t="str">
        <f ca="1">[1]!encode_feed(F29,$E$17,$E$18,$E$19,$E$15)</f>
        <v>{"gamma_gas":0.81,"gamma_oil":0.82,"gamma_wat":1.1,"rsb_m3m3":120,"muob_cP":0.3,"PVT_corr_set":0,"q_liq_sm3day":2,"fw_perc":90,"rp_m3m3":120}</v>
      </c>
      <c r="H29" s="9" cm="1">
        <f t="array" aca="1" ref="H29" ca="1">[1]!feed_rho_liq_kgm3(p,t,G29)</f>
        <v>1033.0996662337236</v>
      </c>
      <c r="I29" s="9" cm="1">
        <f t="array" aca="1" ref="I29" ca="1">[1]!PVT_rho_gas_kgm3(p,t,PVT_json)</f>
        <v>102.6081859719242</v>
      </c>
      <c r="J29" s="6" cm="1">
        <f t="array" aca="1" ref="J29" ca="1">[1]!feed_ST_liqgas_Nm(p,t,G29)</f>
        <v>5.9138225831323561E-2</v>
      </c>
      <c r="K29" s="8" cm="1">
        <f t="array" aca="1" ref="K29" ca="1">[1]!feed_q_liq_rc_m3day(p,t,G29)</f>
        <v>2.1049063495553044</v>
      </c>
      <c r="L29" s="8" cm="1">
        <f t="array" aca="1" ref="L29" ca="1">[1]!feed_q_gas_rc_m3day(p,t,G29)</f>
        <v>8.428110583150783E-2</v>
      </c>
      <c r="M29" s="7" cm="1">
        <f t="array" aca="1" ref="M29" ca="1">[1]!feed_mu_liq_cP(p,t,G29)</f>
        <v>0.5130308541528239</v>
      </c>
      <c r="N29" s="7" cm="1">
        <f t="array" aca="1" ref="N29" ca="1">[1]!PVT_mu_gas_cP(p,t,G29)</f>
        <v>1.5934611970626747E-2</v>
      </c>
      <c r="O29" s="7" cm="1">
        <f t="array" aca="1" ref="O29" ca="1">[1]!unf_ksep_natural_simplified_Marquez(dintake_m,dcas_m,K29,L29,J29,H29,I29,1)</f>
        <v>0.97094276360704257</v>
      </c>
      <c r="P29" s="7" cm="1">
        <f t="array" aca="1" ref="P29" ca="1">[1]!unf_ksep_mechanistic_Marquez_pkv(dintake_m,dcas_m,K29,L29,J29,H29,I29,M29,N29,1,hint,calibr_li,calibr_st,pkv_ratio)</f>
        <v>0.98980961422155112</v>
      </c>
      <c r="R29">
        <f t="array" aca="1" ref="R29:Y29" ca="1">[1]!unf_ksep_mechanistic_Marquez_pkv(dintake_m,dcas_m,K29,L29,J29,H29,I29,M29,N29,0,hint,calibr_li,calibr_st,pkv_ratio)</f>
        <v>0.98980961422155112</v>
      </c>
      <c r="S29">
        <f ca="1"/>
        <v>0.93885768532930647</v>
      </c>
      <c r="T29">
        <f ca="1"/>
        <v>0</v>
      </c>
      <c r="U29">
        <f ca="1"/>
        <v>0.22944719095665927</v>
      </c>
      <c r="V29">
        <f ca="1"/>
        <v>5.5950394526822793E-3</v>
      </c>
      <c r="W29">
        <f ca="1"/>
        <v>2.2402712231952773E-4</v>
      </c>
      <c r="X29">
        <f ca="1"/>
        <v>1.1956580852441456E-3</v>
      </c>
      <c r="Y29">
        <f ca="1"/>
        <v>0.20366633177091806</v>
      </c>
    </row>
    <row r="30" spans="4:25" x14ac:dyDescent="0.25">
      <c r="D30">
        <f ca="1">(S30+1/pkv_ratio)/(1+1/pkv_ratio)</f>
        <v>0.97368016189836959</v>
      </c>
      <c r="F30">
        <v>5</v>
      </c>
      <c r="G30" t="str">
        <f ca="1">[1]!encode_feed(F30,$E$17,$E$18,$E$19,$E$15)</f>
        <v>{"gamma_gas":0.81,"gamma_oil":0.82,"gamma_wat":1.1,"rsb_m3m3":120,"muob_cP":0.3,"PVT_corr_set":0,"q_liq_sm3day":5,"fw_perc":90,"rp_m3m3":120}</v>
      </c>
      <c r="H30" s="9" cm="1">
        <f t="array" aca="1" ref="H30" ca="1">[1]!feed_rho_liq_kgm3(p,t,G30)</f>
        <v>1033.0996662337236</v>
      </c>
      <c r="I30" s="9" cm="1">
        <f t="array" aca="1" ref="I30" ca="1">[1]!PVT_rho_gas_kgm3(p,t,PVT_json)</f>
        <v>102.6081859719242</v>
      </c>
      <c r="J30" s="6" cm="1">
        <f t="array" aca="1" ref="J30" ca="1">[1]!feed_ST_liqgas_Nm(p,t,G30)</f>
        <v>5.9138225831323561E-2</v>
      </c>
      <c r="K30" s="8" cm="1">
        <f t="array" aca="1" ref="K30" ca="1">[1]!feed_q_liq_rc_m3day(p,t,G30)</f>
        <v>5.2622658738882615</v>
      </c>
      <c r="L30" s="8" cm="1">
        <f t="array" aca="1" ref="L30" ca="1">[1]!feed_q_gas_rc_m3day(p,t,G30)</f>
        <v>0.2107027645787696</v>
      </c>
      <c r="M30" s="7" cm="1">
        <f t="array" aca="1" ref="M30" ca="1">[1]!feed_mu_liq_cP(p,t,G30)</f>
        <v>0.5130308541528239</v>
      </c>
      <c r="N30" s="7" cm="1">
        <f t="array" aca="1" ref="N30" ca="1">[1]!PVT_mu_gas_cP(p,t,G30)</f>
        <v>1.5934611970626747E-2</v>
      </c>
      <c r="O30" s="7" cm="1">
        <f t="array" aca="1" ref="O30" ca="1">[1]!unf_ksep_natural_simplified_Marquez(dintake_m,dcas_m,K30,L30,J30,H30,I30,1)</f>
        <v>0.94507443057994278</v>
      </c>
      <c r="P30" s="7" cm="1">
        <f t="array" aca="1" ref="P30" ca="1">[1]!unf_ksep_mechanistic_Marquez_pkv(dintake_m,dcas_m,K30,L30,J30,H30,I30,M30,N30,1,hint,calibr_li,calibr_st,pkv_ratio)</f>
        <v>0.97368016189836959</v>
      </c>
      <c r="R30">
        <f t="array" aca="1" ref="R30:Y30" ca="1">[1]!unf_ksep_mechanistic_Marquez_pkv(dintake_m,dcas_m,K30,L30,J30,H30,I30,M30,N30,0,hint,calibr_li,calibr_st,pkv_ratio)</f>
        <v>0.97368016189836959</v>
      </c>
      <c r="S30">
        <f ca="1"/>
        <v>0.84208097139021776</v>
      </c>
      <c r="T30">
        <f ca="1"/>
        <v>0</v>
      </c>
      <c r="U30">
        <f ca="1"/>
        <v>0.22944719095665927</v>
      </c>
      <c r="V30">
        <f ca="1"/>
        <v>1.3987598631705699E-2</v>
      </c>
      <c r="W30">
        <f ca="1"/>
        <v>5.6006780579881941E-4</v>
      </c>
      <c r="X30">
        <f ca="1"/>
        <v>1.1954672983558229E-3</v>
      </c>
      <c r="Y30">
        <f ca="1"/>
        <v>0.16499504299230627</v>
      </c>
    </row>
    <row r="31" spans="4:25" x14ac:dyDescent="0.25">
      <c r="D31">
        <f ca="1">(S31+1/pkv_ratio)/(1+1/pkv_ratio)</f>
        <v>0.94504162055005558</v>
      </c>
      <c r="F31">
        <v>10</v>
      </c>
      <c r="G31" t="str">
        <f ca="1">[1]!encode_feed(F31,$E$17,$E$18,$E$19,$E$15)</f>
        <v>{"gamma_gas":0.81,"gamma_oil":0.82,"gamma_wat":1.1,"rsb_m3m3":120,"muob_cP":0.3,"PVT_corr_set":0,"q_liq_sm3day":10,"fw_perc":90,"rp_m3m3":120}</v>
      </c>
      <c r="H31" s="9" cm="1">
        <f t="array" aca="1" ref="H31" ca="1">[1]!feed_rho_liq_kgm3(p,t,G31)</f>
        <v>1033.0996662337236</v>
      </c>
      <c r="I31" s="9" cm="1">
        <f t="array" aca="1" ref="I31" ca="1">[1]!PVT_rho_gas_kgm3(p,t,PVT_json)</f>
        <v>102.6081859719242</v>
      </c>
      <c r="J31" s="6" cm="1">
        <f t="array" aca="1" ref="J31" ca="1">[1]!feed_ST_liqgas_Nm(p,t,G31)</f>
        <v>5.9138225831323561E-2</v>
      </c>
      <c r="K31" s="8" cm="1">
        <f t="array" aca="1" ref="K31" ca="1">[1]!feed_q_liq_rc_m3day(p,t,G31)</f>
        <v>10.524531747776523</v>
      </c>
      <c r="L31" s="8" cm="1">
        <f t="array" aca="1" ref="L31" ca="1">[1]!feed_q_gas_rc_m3day(p,t,G31)</f>
        <v>0.4214055291575392</v>
      </c>
      <c r="M31" s="7" cm="1">
        <f t="array" aca="1" ref="M31" ca="1">[1]!feed_mu_liq_cP(p,t,G31)</f>
        <v>0.5130308541528239</v>
      </c>
      <c r="N31" s="7" cm="1">
        <f t="array" aca="1" ref="N31" ca="1">[1]!PVT_mu_gas_cP(p,t,G31)</f>
        <v>1.5934611970626747E-2</v>
      </c>
      <c r="O31" s="7" cm="1">
        <f t="array" aca="1" ref="O31" ca="1">[1]!unf_ksep_natural_simplified_Marquez(dintake_m,dcas_m,K31,L31,J31,H31,I31,1)</f>
        <v>0.90062070437749175</v>
      </c>
      <c r="P31" s="7" cm="1">
        <f t="array" aca="1" ref="P31" ca="1">[1]!unf_ksep_mechanistic_Marquez_pkv(dintake_m,dcas_m,K31,L31,J31,H31,I31,M31,N31,1,hint,calibr_li,calibr_st,pkv_ratio)</f>
        <v>0.94504162055005558</v>
      </c>
      <c r="R31">
        <f t="array" aca="1" ref="R31:Y31" ca="1">[1]!unf_ksep_mechanistic_Marquez_pkv(dintake_m,dcas_m,K31,L31,J31,H31,I31,M31,N31,0,hint,calibr_li,calibr_st,pkv_ratio)</f>
        <v>0.94504162055005558</v>
      </c>
      <c r="S31">
        <f ca="1"/>
        <v>0.67024972330033383</v>
      </c>
      <c r="T31">
        <f ca="1"/>
        <v>3</v>
      </c>
      <c r="U31">
        <f ca="1"/>
        <v>0.21145133284241147</v>
      </c>
      <c r="V31">
        <f ca="1"/>
        <v>2.7975197263411397E-2</v>
      </c>
      <c r="W31">
        <f ca="1"/>
        <v>1.1201356115976388E-3</v>
      </c>
      <c r="X31">
        <f ca="1"/>
        <v>1.1951535498398406E-3</v>
      </c>
      <c r="Y31">
        <f ca="1"/>
        <v>0.10054289502795324</v>
      </c>
    </row>
    <row r="32" spans="4:25" x14ac:dyDescent="0.25">
      <c r="D32">
        <f ca="1">(S32+1/pkv_ratio)/(1+1/pkv_ratio)</f>
        <v>0.91490941461657416</v>
      </c>
      <c r="F32">
        <v>15</v>
      </c>
      <c r="G32" t="str">
        <f ca="1">[1]!encode_feed(F32,$E$17,$E$18,$E$19,$E$15)</f>
        <v>{"gamma_gas":0.81,"gamma_oil":0.82,"gamma_wat":1.1,"rsb_m3m3":120,"muob_cP":0.3,"PVT_corr_set":0,"q_liq_sm3day":15,"fw_perc":90,"rp_m3m3":120}</v>
      </c>
      <c r="H32" s="9" cm="1">
        <f t="array" aca="1" ref="H32" ca="1">[1]!feed_rho_liq_kgm3(p,t,G32)</f>
        <v>1033.0996662337236</v>
      </c>
      <c r="I32" s="9" cm="1">
        <f t="array" aca="1" ref="I32" ca="1">[1]!PVT_rho_gas_kgm3(p,t,PVT_json)</f>
        <v>102.6081859719242</v>
      </c>
      <c r="J32" s="6" cm="1">
        <f t="array" aca="1" ref="J32" ca="1">[1]!feed_ST_liqgas_Nm(p,t,G32)</f>
        <v>5.9138225831323561E-2</v>
      </c>
      <c r="K32" s="8" cm="1">
        <f t="array" aca="1" ref="K32" ca="1">[1]!feed_q_liq_rc_m3day(p,t,G32)</f>
        <v>15.786797621664784</v>
      </c>
      <c r="L32" s="8" cm="1">
        <f t="array" aca="1" ref="L32" ca="1">[1]!feed_q_gas_rc_m3day(p,t,G32)</f>
        <v>0.63210829373630872</v>
      </c>
      <c r="M32" s="7" cm="1">
        <f t="array" aca="1" ref="M32" ca="1">[1]!feed_mu_liq_cP(p,t,G32)</f>
        <v>0.5130308541528239</v>
      </c>
      <c r="N32" s="7" cm="1">
        <f t="array" aca="1" ref="N32" ca="1">[1]!PVT_mu_gas_cP(p,t,G32)</f>
        <v>1.5934611970626747E-2</v>
      </c>
      <c r="O32" s="7" cm="1">
        <f t="array" aca="1" ref="O32" ca="1">[1]!unf_ksep_natural_simplified_Marquez(dintake_m,dcas_m,K32,L32,J32,H32,I32,1)</f>
        <v>0.86394374751654179</v>
      </c>
      <c r="P32" s="7" cm="1">
        <f t="array" aca="1" ref="P32" ca="1">[1]!unf_ksep_mechanistic_Marquez_pkv(dintake_m,dcas_m,K32,L32,J32,H32,I32,M32,N32,1,hint,calibr_li,calibr_st,pkv_ratio)</f>
        <v>0.91490941461657416</v>
      </c>
      <c r="R32">
        <f t="array" aca="1" ref="R32:Y32" ca="1">[1]!unf_ksep_mechanistic_Marquez_pkv(dintake_m,dcas_m,K32,L32,J32,H32,I32,M32,N32,0,hint,calibr_li,calibr_st,pkv_ratio)</f>
        <v>0.91490941461657416</v>
      </c>
      <c r="S32">
        <f ca="1"/>
        <v>0.48945648769944516</v>
      </c>
      <c r="T32">
        <f ca="1"/>
        <v>3</v>
      </c>
      <c r="U32">
        <f ca="1"/>
        <v>0.21145133284241147</v>
      </c>
      <c r="V32">
        <f ca="1"/>
        <v>4.1962795895117096E-2</v>
      </c>
      <c r="W32">
        <f ca="1"/>
        <v>1.680203417396458E-3</v>
      </c>
      <c r="X32">
        <f ca="1"/>
        <v>1.1948450550333361E-3</v>
      </c>
      <c r="Y32">
        <f ca="1"/>
        <v>3.6090747063600236E-2</v>
      </c>
    </row>
    <row r="33" spans="4:25" x14ac:dyDescent="0.25">
      <c r="D33">
        <f ca="1">(S33+1/pkv_ratio)/(1+1/pkv_ratio)</f>
        <v>0.88395814447368271</v>
      </c>
      <c r="F33">
        <v>20</v>
      </c>
      <c r="G33" t="str">
        <f ca="1">[1]!encode_feed(F33,$E$17,$E$18,$E$19,$E$15)</f>
        <v>{"gamma_gas":0.81,"gamma_oil":0.82,"gamma_wat":1.1,"rsb_m3m3":120,"muob_cP":0.3,"PVT_corr_set":0,"q_liq_sm3day":20,"fw_perc":90,"rp_m3m3":120}</v>
      </c>
      <c r="H33" s="9" cm="1">
        <f t="array" aca="1" ref="H33" ca="1">[1]!feed_rho_liq_kgm3(p,t,G33)</f>
        <v>1033.0996662337236</v>
      </c>
      <c r="I33" s="9" cm="1">
        <f t="array" aca="1" ref="I33" ca="1">[1]!PVT_rho_gas_kgm3(p,t,PVT_json)</f>
        <v>102.6081859719242</v>
      </c>
      <c r="J33" s="6" cm="1">
        <f t="array" aca="1" ref="J33" ca="1">[1]!feed_ST_liqgas_Nm(p,t,G33)</f>
        <v>5.9138225831323561E-2</v>
      </c>
      <c r="K33" s="8" cm="1">
        <f t="array" aca="1" ref="K33" ca="1">[1]!feed_q_liq_rc_m3day(p,t,G33)</f>
        <v>21.049063495553046</v>
      </c>
      <c r="L33" s="8" cm="1">
        <f t="array" aca="1" ref="L33" ca="1">[1]!feed_q_gas_rc_m3day(p,t,G33)</f>
        <v>0.84281105831507841</v>
      </c>
      <c r="M33" s="7" cm="1">
        <f t="array" aca="1" ref="M33" ca="1">[1]!feed_mu_liq_cP(p,t,G33)</f>
        <v>0.5130308541528239</v>
      </c>
      <c r="N33" s="7" cm="1">
        <f t="array" aca="1" ref="N33" ca="1">[1]!PVT_mu_gas_cP(p,t,G33)</f>
        <v>1.5934611970626747E-2</v>
      </c>
      <c r="O33" s="7" cm="1">
        <f t="array" aca="1" ref="O33" ca="1">[1]!unf_ksep_natural_simplified_Marquez(dintake_m,dcas_m,K33,L33,J33,H33,I33,1)</f>
        <v>0.83044907426918413</v>
      </c>
      <c r="P33" s="7" cm="1">
        <f t="array" aca="1" ref="P33" ca="1">[1]!unf_ksep_mechanistic_Marquez_pkv(dintake_m,dcas_m,K33,L33,J33,H33,I33,M33,N33,1,hint,calibr_li,calibr_st,pkv_ratio)</f>
        <v>0</v>
      </c>
      <c r="R33">
        <f t="array" aca="1" ref="R33:Y33" ca="1">[1]!unf_ksep_mechanistic_Marquez_pkv(dintake_m,dcas_m,K33,L33,J33,H33,I33,M33,N33,0,hint,calibr_li,calibr_st,pkv_ratio)</f>
        <v>0</v>
      </c>
      <c r="S33">
        <f ca="1"/>
        <v>0.30374886684209657</v>
      </c>
      <c r="T33">
        <f ca="1"/>
        <v>3</v>
      </c>
      <c r="U33">
        <f ca="1"/>
        <v>0.21145133284241147</v>
      </c>
      <c r="V33">
        <f ca="1"/>
        <v>5.5950394526822794E-2</v>
      </c>
      <c r="W33">
        <f ca="1"/>
        <v>2.2402712231952776E-3</v>
      </c>
      <c r="X33">
        <f ca="1"/>
        <v>1.1945417758011617E-3</v>
      </c>
      <c r="Y33">
        <f ca="1"/>
        <v>-2.8361400900752776E-2</v>
      </c>
    </row>
    <row r="34" spans="4:25" x14ac:dyDescent="0.25">
      <c r="D34">
        <f ca="1">(S34+1/pkv_ratio)/(1+1/pkv_ratio)</f>
        <v>0.85270775284844946</v>
      </c>
      <c r="F34">
        <v>25</v>
      </c>
      <c r="G34" t="str">
        <f ca="1">[1]!encode_feed(F34,$E$17,$E$18,$E$19,$E$15)</f>
        <v>{"gamma_gas":0.81,"gamma_oil":0.82,"gamma_wat":1.1,"rsb_m3m3":120,"muob_cP":0.3,"PVT_corr_set":0,"q_liq_sm3day":25,"fw_perc":90,"rp_m3m3":120}</v>
      </c>
      <c r="H34" s="9" cm="1">
        <f t="array" aca="1" ref="H34" ca="1">[1]!feed_rho_liq_kgm3(p,t,G34)</f>
        <v>1033.0996662337236</v>
      </c>
      <c r="I34" s="9" cm="1">
        <f t="array" aca="1" ref="I34" ca="1">[1]!PVT_rho_gas_kgm3(p,t,PVT_json)</f>
        <v>102.6081859719242</v>
      </c>
      <c r="J34" s="6" cm="1">
        <f t="array" aca="1" ref="J34" ca="1">[1]!feed_ST_liqgas_Nm(p,t,G34)</f>
        <v>5.9138225831323561E-2</v>
      </c>
      <c r="K34" s="8" cm="1">
        <f t="array" aca="1" ref="K34" ca="1">[1]!feed_q_liq_rc_m3day(p,t,G34)</f>
        <v>26.311329369441307</v>
      </c>
      <c r="L34" s="8" cm="1">
        <f t="array" aca="1" ref="L34" ca="1">[1]!feed_q_gas_rc_m3day(p,t,G34)</f>
        <v>1.0535138228938481</v>
      </c>
      <c r="M34" s="7" cm="1">
        <f t="array" aca="1" ref="M34" ca="1">[1]!feed_mu_liq_cP(p,t,G34)</f>
        <v>0.5130308541528239</v>
      </c>
      <c r="N34" s="7" cm="1">
        <f t="array" aca="1" ref="N34" ca="1">[1]!PVT_mu_gas_cP(p,t,G34)</f>
        <v>1.5934611970626747E-2</v>
      </c>
      <c r="O34" s="7" cm="1">
        <f t="array" aca="1" ref="O34" ca="1">[1]!unf_ksep_natural_simplified_Marquez(dintake_m,dcas_m,K34,L34,J34,H34,I34,1)</f>
        <v>0.79952293601858515</v>
      </c>
      <c r="P34" s="7" cm="1">
        <f t="array" aca="1" ref="P34" ca="1">[1]!unf_ksep_mechanistic_Marquez_pkv(dintake_m,dcas_m,K34,L34,J34,H34,I34,M34,N34,1,hint,calibr_li,calibr_st,pkv_ratio)</f>
        <v>0</v>
      </c>
      <c r="R34">
        <f t="array" aca="1" ref="R34:Y34" ca="1">[1]!unf_ksep_mechanistic_Marquez_pkv(dintake_m,dcas_m,K34,L34,J34,H34,I34,M34,N34,0,hint,calibr_li,calibr_st,pkv_ratio)</f>
        <v>0</v>
      </c>
      <c r="S34">
        <f ca="1"/>
        <v>0.11624651709069658</v>
      </c>
      <c r="T34">
        <f ca="1"/>
        <v>3</v>
      </c>
      <c r="U34">
        <f ca="1"/>
        <v>0.21145133284241147</v>
      </c>
      <c r="V34">
        <f ca="1"/>
        <v>6.9937993158528486E-2</v>
      </c>
      <c r="W34">
        <f ca="1"/>
        <v>2.8003390289940973E-3</v>
      </c>
      <c r="X34">
        <f ca="1"/>
        <v>1.1942436743619781E-3</v>
      </c>
      <c r="Y34">
        <f ca="1"/>
        <v>-9.2813548865105761E-2</v>
      </c>
    </row>
    <row r="35" spans="4:25" x14ac:dyDescent="0.25">
      <c r="D35">
        <f ca="1">(S35+1/pkv_ratio)/(1+1/pkv_ratio)</f>
        <v>0.83333333333333337</v>
      </c>
      <c r="F35">
        <v>30</v>
      </c>
      <c r="G35" t="str">
        <f ca="1">[1]!encode_feed(F35,$E$17,$E$18,$E$19,$E$15)</f>
        <v>{"gamma_gas":0.81,"gamma_oil":0.82,"gamma_wat":1.1,"rsb_m3m3":120,"muob_cP":0.3,"PVT_corr_set":0,"q_liq_sm3day":30,"fw_perc":90,"rp_m3m3":120}</v>
      </c>
      <c r="H35" s="9" cm="1">
        <f t="array" aca="1" ref="H35" ca="1">[1]!feed_rho_liq_kgm3(p,t,G35)</f>
        <v>1033.0996662337236</v>
      </c>
      <c r="I35" s="9" cm="1">
        <f t="array" aca="1" ref="I35" ca="1">[1]!PVT_rho_gas_kgm3(p,t,PVT_json)</f>
        <v>102.6081859719242</v>
      </c>
      <c r="J35" s="6" cm="1">
        <f t="array" aca="1" ref="J35" ca="1">[1]!feed_ST_liqgas_Nm(p,t,G35)</f>
        <v>5.9138225831323561E-2</v>
      </c>
      <c r="K35" s="8" cm="1">
        <f t="array" aca="1" ref="K35" ca="1">[1]!feed_q_liq_rc_m3day(p,t,G35)</f>
        <v>31.573595243329567</v>
      </c>
      <c r="L35" s="8" cm="1">
        <f t="array" aca="1" ref="L35" ca="1">[1]!feed_q_gas_rc_m3day(p,t,G35)</f>
        <v>1.2642165874726174</v>
      </c>
      <c r="M35" s="7" cm="1">
        <f t="array" aca="1" ref="M35" ca="1">[1]!feed_mu_liq_cP(p,t,G35)</f>
        <v>0.5130308541528239</v>
      </c>
      <c r="N35" s="7" cm="1">
        <f t="array" aca="1" ref="N35" ca="1">[1]!PVT_mu_gas_cP(p,t,G35)</f>
        <v>1.5934611970626747E-2</v>
      </c>
      <c r="O35" s="7" cm="1">
        <f t="array" aca="1" ref="O35" ca="1">[1]!unf_ksep_natural_simplified_Marquez(dintake_m,dcas_m,K35,L35,J35,H35,I35,1)</f>
        <v>0.7707687062379216</v>
      </c>
      <c r="P35" s="7" cm="1">
        <f t="array" aca="1" ref="P35" ca="1">[1]!unf_ksep_mechanistic_Marquez_pkv(dintake_m,dcas_m,K35,L35,J35,H35,I35,M35,N35,1,hint,calibr_li,calibr_st,pkv_ratio)</f>
        <v>0</v>
      </c>
      <c r="R35">
        <f t="array" aca="1" ref="R35:Y35" ca="1">[1]!unf_ksep_mechanistic_Marquez_pkv(dintake_m,dcas_m,K35,L35,J35,H35,I35,M35,N35,0,hint,calibr_li,calibr_st,pkv_ratio)</f>
        <v>0</v>
      </c>
      <c r="S35">
        <f ca="1"/>
        <v>0</v>
      </c>
      <c r="T35">
        <f ca="1"/>
        <v>3</v>
      </c>
      <c r="U35">
        <f ca="1"/>
        <v>0.21145133284241147</v>
      </c>
      <c r="V35">
        <f ca="1"/>
        <v>8.3925591790234191E-2</v>
      </c>
      <c r="W35">
        <f ca="1"/>
        <v>3.360406834792916E-3</v>
      </c>
      <c r="X35">
        <f ca="1"/>
        <v>1.1939507132840252E-3</v>
      </c>
      <c r="Y35">
        <f ca="1"/>
        <v>-0.15726569682945882</v>
      </c>
    </row>
    <row r="36" spans="4:25" x14ac:dyDescent="0.25">
      <c r="D36">
        <f ca="1">(S36+1/pkv_ratio)/(1+1/pkv_ratio)</f>
        <v>0.83333333333333337</v>
      </c>
      <c r="F36">
        <v>35</v>
      </c>
      <c r="G36" t="str">
        <f ca="1">[1]!encode_feed(F36,$E$17,$E$18,$E$19,$E$15)</f>
        <v>{"gamma_gas":0.81,"gamma_oil":0.82,"gamma_wat":1.1,"rsb_m3m3":120,"muob_cP":0.3,"PVT_corr_set":0,"q_liq_sm3day":35,"fw_perc":90,"rp_m3m3":120}</v>
      </c>
      <c r="H36" s="9" cm="1">
        <f t="array" aca="1" ref="H36" ca="1">[1]!feed_rho_liq_kgm3(p,t,G36)</f>
        <v>1033.0996662337236</v>
      </c>
      <c r="I36" s="9" cm="1">
        <f t="array" aca="1" ref="I36" ca="1">[1]!PVT_rho_gas_kgm3(p,t,PVT_json)</f>
        <v>102.6081859719242</v>
      </c>
      <c r="J36" s="6" cm="1">
        <f t="array" aca="1" ref="J36" ca="1">[1]!feed_ST_liqgas_Nm(p,t,G36)</f>
        <v>5.9138225831323561E-2</v>
      </c>
      <c r="K36" s="8" cm="1">
        <f t="array" aca="1" ref="K36" ca="1">[1]!feed_q_liq_rc_m3day(p,t,G36)</f>
        <v>36.835861117217831</v>
      </c>
      <c r="L36" s="8" cm="1">
        <f t="array" aca="1" ref="L36" ca="1">[1]!feed_q_gas_rc_m3day(p,t,G36)</f>
        <v>1.4749193520513872</v>
      </c>
      <c r="M36" s="7" cm="1">
        <f t="array" aca="1" ref="M36" ca="1">[1]!feed_mu_liq_cP(p,t,G36)</f>
        <v>0.5130308541528239</v>
      </c>
      <c r="N36" s="7" cm="1">
        <f t="array" aca="1" ref="N36" ca="1">[1]!PVT_mu_gas_cP(p,t,G36)</f>
        <v>1.5934611970626747E-2</v>
      </c>
      <c r="O36" s="7" cm="1">
        <f t="array" aca="1" ref="O36" ca="1">[1]!unf_ksep_natural_simplified_Marquez(dintake_m,dcas_m,K36,L36,J36,H36,I36,1)</f>
        <v>0.74390416277887839</v>
      </c>
      <c r="P36" s="7" cm="1">
        <f t="array" aca="1" ref="P36" ca="1">[1]!unf_ksep_mechanistic_Marquez_pkv(dintake_m,dcas_m,K36,L36,J36,H36,I36,M36,N36,1,hint,calibr_li,calibr_st,pkv_ratio)</f>
        <v>0</v>
      </c>
      <c r="R36">
        <f t="array" aca="1" ref="R36:Y36" ca="1">[1]!unf_ksep_mechanistic_Marquez_pkv(dintake_m,dcas_m,K36,L36,J36,H36,I36,M36,N36,0,hint,calibr_li,calibr_st,pkv_ratio)</f>
        <v>0</v>
      </c>
      <c r="S36">
        <f ca="1"/>
        <v>0</v>
      </c>
      <c r="T36">
        <f ca="1"/>
        <v>3</v>
      </c>
      <c r="U36">
        <f ca="1"/>
        <v>0.21145133284241147</v>
      </c>
      <c r="V36">
        <f ca="1"/>
        <v>9.7913190421939897E-2</v>
      </c>
      <c r="W36">
        <f ca="1"/>
        <v>3.9204746405917361E-3</v>
      </c>
      <c r="X36">
        <f ca="1"/>
        <v>1.1936628554809316E-3</v>
      </c>
      <c r="Y36">
        <f ca="1"/>
        <v>-0.22171784479381185</v>
      </c>
    </row>
    <row r="37" spans="4:25" x14ac:dyDescent="0.25">
      <c r="D37">
        <f ca="1">(S37+1/pkv_ratio)/(1+1/pkv_ratio)</f>
        <v>0.83333333333333337</v>
      </c>
      <c r="F37">
        <v>40</v>
      </c>
      <c r="G37" t="str">
        <f ca="1">[1]!encode_feed(F37,$E$17,$E$18,$E$19,$E$15)</f>
        <v>{"gamma_gas":0.81,"gamma_oil":0.82,"gamma_wat":1.1,"rsb_m3m3":120,"muob_cP":0.3,"PVT_corr_set":0,"q_liq_sm3day":40,"fw_perc":90,"rp_m3m3":120}</v>
      </c>
      <c r="H37" s="9" cm="1">
        <f t="array" aca="1" ref="H37" ca="1">[1]!feed_rho_liq_kgm3(p,t,G37)</f>
        <v>1033.0996662337236</v>
      </c>
      <c r="I37" s="9" cm="1">
        <f t="array" aca="1" ref="I37" ca="1">[1]!PVT_rho_gas_kgm3(p,t,PVT_json)</f>
        <v>102.6081859719242</v>
      </c>
      <c r="J37" s="6" cm="1">
        <f t="array" aca="1" ref="J37" ca="1">[1]!feed_ST_liqgas_Nm(p,t,G37)</f>
        <v>5.9138225831323561E-2</v>
      </c>
      <c r="K37" s="8" cm="1">
        <f t="array" aca="1" ref="K37" ca="1">[1]!feed_q_liq_rc_m3day(p,t,G37)</f>
        <v>42.098126991106092</v>
      </c>
      <c r="L37" s="8" cm="1">
        <f t="array" aca="1" ref="L37" ca="1">[1]!feed_q_gas_rc_m3day(p,t,G37)</f>
        <v>1.6856221166301568</v>
      </c>
      <c r="M37" s="7" cm="1">
        <f t="array" aca="1" ref="M37" ca="1">[1]!feed_mu_liq_cP(p,t,G37)</f>
        <v>0.5130308541528239</v>
      </c>
      <c r="N37" s="7" cm="1">
        <f t="array" aca="1" ref="N37" ca="1">[1]!PVT_mu_gas_cP(p,t,G37)</f>
        <v>1.5934611970626747E-2</v>
      </c>
      <c r="O37" s="7" cm="1">
        <f t="array" aca="1" ref="O37" ca="1">[1]!unf_ksep_natural_simplified_Marquez(dintake_m,dcas_m,K37,L37,J37,H37,I37,1)</f>
        <v>0.7187157768738498</v>
      </c>
      <c r="P37" s="7" cm="1">
        <f t="array" aca="1" ref="P37" ca="1">[1]!unf_ksep_mechanistic_Marquez_pkv(dintake_m,dcas_m,K37,L37,J37,H37,I37,M37,N37,1,hint,calibr_li,calibr_st,pkv_ratio)</f>
        <v>0</v>
      </c>
      <c r="R37">
        <f t="array" aca="1" ref="R37:Y37" ca="1">[1]!unf_ksep_mechanistic_Marquez_pkv(dintake_m,dcas_m,K37,L37,J37,H37,I37,M37,N37,0,hint,calibr_li,calibr_st,pkv_ratio)</f>
        <v>0</v>
      </c>
      <c r="S37">
        <f ca="1"/>
        <v>0</v>
      </c>
      <c r="T37">
        <f ca="1"/>
        <v>3</v>
      </c>
      <c r="U37">
        <f ca="1"/>
        <v>0.21145133284241147</v>
      </c>
      <c r="V37">
        <f ca="1"/>
        <v>0.11190078905364559</v>
      </c>
      <c r="W37">
        <f ca="1"/>
        <v>4.4805424463905553E-3</v>
      </c>
      <c r="X37">
        <f ca="1"/>
        <v>1.1933800642075739E-3</v>
      </c>
      <c r="Y37">
        <f ca="1"/>
        <v>-0.28616999275816485</v>
      </c>
    </row>
    <row r="38" spans="4:25" x14ac:dyDescent="0.25">
      <c r="D38">
        <f ca="1">(S38+1/pkv_ratio)/(1+1/pkv_ratio)</f>
        <v>0.83333333333333337</v>
      </c>
      <c r="F38">
        <v>45</v>
      </c>
      <c r="G38" t="str">
        <f ca="1">[1]!encode_feed(F38,$E$17,$E$18,$E$19,$E$15)</f>
        <v>{"gamma_gas":0.81,"gamma_oil":0.82,"gamma_wat":1.1,"rsb_m3m3":120,"muob_cP":0.3,"PVT_corr_set":0,"q_liq_sm3day":45,"fw_perc":90,"rp_m3m3":120}</v>
      </c>
      <c r="H38" s="9" cm="1">
        <f t="array" aca="1" ref="H38" ca="1">[1]!feed_rho_liq_kgm3(p,t,G38)</f>
        <v>1033.0996662337236</v>
      </c>
      <c r="I38" s="9" cm="1">
        <f t="array" aca="1" ref="I38" ca="1">[1]!PVT_rho_gas_kgm3(p,t,PVT_json)</f>
        <v>102.6081859719242</v>
      </c>
      <c r="J38" s="6" cm="1">
        <f t="array" aca="1" ref="J38" ca="1">[1]!feed_ST_liqgas_Nm(p,t,G38)</f>
        <v>5.9138225831323561E-2</v>
      </c>
      <c r="K38" s="8" cm="1">
        <f t="array" aca="1" ref="K38" ca="1">[1]!feed_q_liq_rc_m3day(p,t,G38)</f>
        <v>47.360392864994353</v>
      </c>
      <c r="L38" s="8" cm="1">
        <f t="array" aca="1" ref="L38" ca="1">[1]!feed_q_gas_rc_m3day(p,t,G38)</f>
        <v>1.8963248812089266</v>
      </c>
      <c r="M38" s="7" cm="1">
        <f t="array" aca="1" ref="M38" ca="1">[1]!feed_mu_liq_cP(p,t,G38)</f>
        <v>0.5130308541528239</v>
      </c>
      <c r="N38" s="7" cm="1">
        <f t="array" aca="1" ref="N38" ca="1">[1]!PVT_mu_gas_cP(p,t,G38)</f>
        <v>1.5934611970626747E-2</v>
      </c>
      <c r="O38" s="7" cm="1">
        <f t="array" aca="1" ref="O38" ca="1">[1]!unf_ksep_natural_simplified_Marquez(dintake_m,dcas_m,K38,L38,J38,H38,I38,1)</f>
        <v>0.69503493181676235</v>
      </c>
      <c r="P38" s="7" cm="1">
        <f t="array" aca="1" ref="P38" ca="1">[1]!unf_ksep_mechanistic_Marquez_pkv(dintake_m,dcas_m,K38,L38,J38,H38,I38,M38,N38,1,hint,calibr_li,calibr_st,pkv_ratio)</f>
        <v>0</v>
      </c>
      <c r="R38">
        <f t="array" aca="1" ref="R38:Y38" ca="1">[1]!unf_ksep_mechanistic_Marquez_pkv(dintake_m,dcas_m,K38,L38,J38,H38,I38,M38,N38,0,hint,calibr_li,calibr_st,pkv_ratio)</f>
        <v>0</v>
      </c>
      <c r="S38">
        <f ca="1"/>
        <v>0</v>
      </c>
      <c r="T38">
        <f ca="1"/>
        <v>3</v>
      </c>
      <c r="U38">
        <f ca="1"/>
        <v>0.21145133284241147</v>
      </c>
      <c r="V38">
        <f ca="1"/>
        <v>0.12588838768535129</v>
      </c>
      <c r="W38">
        <f ca="1"/>
        <v>5.0406102521893753E-3</v>
      </c>
      <c r="X38">
        <f ca="1"/>
        <v>1.1931023030560149E-3</v>
      </c>
      <c r="Y38">
        <f ca="1"/>
        <v>-0.35062214072251785</v>
      </c>
    </row>
    <row r="39" spans="4:25" x14ac:dyDescent="0.25">
      <c r="D39">
        <f ca="1">(S39+1/pkv_ratio)/(1+1/pkv_ratio)</f>
        <v>0.83333333333333337</v>
      </c>
      <c r="F39">
        <v>50</v>
      </c>
      <c r="G39" t="str">
        <f ca="1">[1]!encode_feed(F39,$E$17,$E$18,$E$19,$E$15)</f>
        <v>{"gamma_gas":0.81,"gamma_oil":0.82,"gamma_wat":1.1,"rsb_m3m3":120,"muob_cP":0.3,"PVT_corr_set":0,"q_liq_sm3day":50,"fw_perc":90,"rp_m3m3":120}</v>
      </c>
      <c r="H39" s="9" cm="1">
        <f t="array" aca="1" ref="H39" ca="1">[1]!feed_rho_liq_kgm3(p,t,G39)</f>
        <v>1033.0996662337236</v>
      </c>
      <c r="I39" s="9" cm="1">
        <f t="array" aca="1" ref="I39" ca="1">[1]!PVT_rho_gas_kgm3(p,t,PVT_json)</f>
        <v>102.6081859719242</v>
      </c>
      <c r="J39" s="6" cm="1">
        <f t="array" aca="1" ref="J39" ca="1">[1]!feed_ST_liqgas_Nm(p,t,G39)</f>
        <v>5.9138225831323561E-2</v>
      </c>
      <c r="K39" s="8" cm="1">
        <f t="array" aca="1" ref="K39" ca="1">[1]!feed_q_liq_rc_m3day(p,t,G39)</f>
        <v>52.622658738882613</v>
      </c>
      <c r="L39" s="8" cm="1">
        <f t="array" aca="1" ref="L39" ca="1">[1]!feed_q_gas_rc_m3day(p,t,G39)</f>
        <v>2.1070276457876962</v>
      </c>
      <c r="M39" s="7" cm="1">
        <f t="array" aca="1" ref="M39" ca="1">[1]!feed_mu_liq_cP(p,t,G39)</f>
        <v>0.5130308541528239</v>
      </c>
      <c r="N39" s="7" cm="1">
        <f t="array" aca="1" ref="N39" ca="1">[1]!PVT_mu_gas_cP(p,t,G39)</f>
        <v>1.5934611970626747E-2</v>
      </c>
      <c r="O39" s="7" cm="1">
        <f t="array" aca="1" ref="O39" ca="1">[1]!unf_ksep_natural_simplified_Marquez(dintake_m,dcas_m,K39,L39,J39,H39,I39,1)</f>
        <v>0.67272420284554657</v>
      </c>
      <c r="P39" s="7" cm="1">
        <f t="array" aca="1" ref="P39" ca="1">[1]!unf_ksep_mechanistic_Marquez_pkv(dintake_m,dcas_m,K39,L39,J39,H39,I39,M39,N39,1,hint,calibr_li,calibr_st,pkv_ratio)</f>
        <v>0</v>
      </c>
      <c r="R39">
        <f t="array" aca="1" ref="R39:Y39" ca="1">[1]!unf_ksep_mechanistic_Marquez_pkv(dintake_m,dcas_m,K39,L39,J39,H39,I39,M39,N39,0,hint,calibr_li,calibr_st,pkv_ratio)</f>
        <v>0</v>
      </c>
      <c r="S39">
        <f ca="1"/>
        <v>0</v>
      </c>
      <c r="T39">
        <f ca="1"/>
        <v>3</v>
      </c>
      <c r="U39">
        <f ca="1"/>
        <v>0.21145133284241147</v>
      </c>
      <c r="V39">
        <f ca="1"/>
        <v>0.13987598631705697</v>
      </c>
      <c r="W39">
        <f ca="1"/>
        <v>5.6006780579881945E-3</v>
      </c>
      <c r="X39">
        <f ca="1"/>
        <v>1.1928295359514651E-3</v>
      </c>
      <c r="Y39">
        <f ca="1"/>
        <v>-0.4150742886868708</v>
      </c>
    </row>
    <row r="40" spans="4:25" x14ac:dyDescent="0.25">
      <c r="D40">
        <f ca="1">(S40+1/pkv_ratio)/(1+1/pkv_ratio)</f>
        <v>0.83333333333333337</v>
      </c>
      <c r="F40">
        <v>55</v>
      </c>
      <c r="G40" t="str">
        <f ca="1">[1]!encode_feed(F40,$E$17,$E$18,$E$19,$E$15)</f>
        <v>{"gamma_gas":0.81,"gamma_oil":0.82,"gamma_wat":1.1,"rsb_m3m3":120,"muob_cP":0.3,"PVT_corr_set":0,"q_liq_sm3day":55,"fw_perc":90,"rp_m3m3":120}</v>
      </c>
      <c r="H40" s="9" cm="1">
        <f t="array" aca="1" ref="H40" ca="1">[1]!feed_rho_liq_kgm3(p,t,G40)</f>
        <v>1033.0996662337236</v>
      </c>
      <c r="I40" s="9" cm="1">
        <f t="array" aca="1" ref="I40" ca="1">[1]!PVT_rho_gas_kgm3(p,t,PVT_json)</f>
        <v>102.6081859719242</v>
      </c>
      <c r="J40" s="6" cm="1">
        <f t="array" aca="1" ref="J40" ca="1">[1]!feed_ST_liqgas_Nm(p,t,G40)</f>
        <v>5.9138225831323561E-2</v>
      </c>
      <c r="K40" s="8" cm="1">
        <f t="array" aca="1" ref="K40" ca="1">[1]!feed_q_liq_rc_m3day(p,t,G40)</f>
        <v>57.884924612770874</v>
      </c>
      <c r="L40" s="8" cm="1">
        <f t="array" aca="1" ref="L40" ca="1">[1]!feed_q_gas_rc_m3day(p,t,G40)</f>
        <v>2.3177304103664662</v>
      </c>
      <c r="M40" s="7" cm="1">
        <f t="array" aca="1" ref="M40" ca="1">[1]!feed_mu_liq_cP(p,t,G40)</f>
        <v>0.5130308541528239</v>
      </c>
      <c r="N40" s="7" cm="1">
        <f t="array" aca="1" ref="N40" ca="1">[1]!PVT_mu_gas_cP(p,t,G40)</f>
        <v>1.5934611970626747E-2</v>
      </c>
      <c r="O40" s="7" cm="1">
        <f t="array" aca="1" ref="O40" ca="1">[1]!unf_ksep_natural_simplified_Marquez(dintake_m,dcas_m,K40,L40,J40,H40,I40,1)</f>
        <v>0.66976227366867092</v>
      </c>
      <c r="P40" s="7" cm="1">
        <f t="array" aca="1" ref="P40" ca="1">[1]!unf_ksep_mechanistic_Marquez_pkv(dintake_m,dcas_m,K40,L40,J40,H40,I40,M40,N40,1,hint,calibr_li,calibr_st,pkv_ratio)</f>
        <v>0</v>
      </c>
      <c r="R40" cm="1">
        <f t="array" aca="1" ref="R40:Y41" ca="1">[1]!unf_ksep_mechanistic_Marquez_pkv(dintake_m,dcas_m,K40,L40,J40,H40,I40,M40,N40,0,hint,calibr_li,calibr_st,pkv_ratio)</f>
        <v>0</v>
      </c>
      <c r="S40">
        <f ca="1"/>
        <v>0</v>
      </c>
      <c r="T40">
        <f ca="1"/>
        <v>1</v>
      </c>
      <c r="U40">
        <f ca="1"/>
        <v>0.22944719095665927</v>
      </c>
      <c r="V40">
        <f ca="1"/>
        <v>0.15386358494876268</v>
      </c>
      <c r="W40">
        <f ca="1"/>
        <v>6.1607458637870155E-3</v>
      </c>
      <c r="X40">
        <f ca="1"/>
        <v>1.1925617271483476E-3</v>
      </c>
      <c r="Y40">
        <f ca="1"/>
        <v>-0.47952643665122385</v>
      </c>
    </row>
    <row r="41" spans="4:25" x14ac:dyDescent="0.25">
      <c r="R41" t="str">
        <f ca="1"/>
        <v>ksep</v>
      </c>
      <c r="S41" t="str">
        <f ca="1"/>
        <v>ksep_inst</v>
      </c>
      <c r="T41" t="str">
        <f ca="1"/>
        <v>flow regime</v>
      </c>
      <c r="U41" t="str">
        <f ca="1"/>
        <v>v_ooz</v>
      </c>
      <c r="V41" t="str">
        <f ca="1"/>
        <v>vsl</v>
      </c>
      <c r="W41" t="str">
        <f ca="1"/>
        <v>vsg</v>
      </c>
      <c r="X41" t="str">
        <f ca="1"/>
        <v>li</v>
      </c>
      <c r="Y41" t="str">
        <f ca="1"/>
        <v>vg_downflow</v>
      </c>
    </row>
    <row r="45" spans="4:25" x14ac:dyDescent="0.25">
      <c r="E45" t="s">
        <v>47</v>
      </c>
    </row>
    <row r="47" spans="4:25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4:25" x14ac:dyDescent="0.25">
      <c r="F48">
        <f>E16</f>
        <v>5</v>
      </c>
      <c r="G48" t="str">
        <f ca="1">[1]!encode_feed(F48,$E$17,$E$18,$E$19,$E$15)</f>
        <v>{"gamma_gas":0.81,"gamma_oil":0.82,"gamma_wat":1.1,"rsb_m3m3":120,"muob_cP":0.3,"PVT_corr_set":0,"q_liq_sm3day":5,"fw_perc":90,"rp_m3m3":120}</v>
      </c>
      <c r="H48" s="9" cm="1">
        <f t="array" aca="1" ref="H48" ca="1">[1]!feed_rho_liq_kgm3(p,t,G48)</f>
        <v>1033.0996662337236</v>
      </c>
      <c r="I48" s="9" cm="1">
        <f t="array" aca="1" ref="I48" ca="1">[1]!PVT_rho_gas_kgm3(p,t,PVT_json)</f>
        <v>102.6081859719242</v>
      </c>
      <c r="J48" s="6" cm="1">
        <f t="array" aca="1" ref="J48" ca="1">[1]!feed_ST_liqgas_Nm(p,t,G48)</f>
        <v>5.9138225831323561E-2</v>
      </c>
      <c r="K48" s="8" cm="1">
        <f t="array" aca="1" ref="K48" ca="1">[1]!feed_q_liq_rc_m3day(p,t,G48)</f>
        <v>5.2622658738882615</v>
      </c>
      <c r="L48" s="8" cm="1">
        <f t="array" aca="1" ref="L48" ca="1">[1]!feed_q_gas_rc_m3day(p,t,G48)</f>
        <v>0.2107027645787696</v>
      </c>
      <c r="M48" s="7" cm="1">
        <f t="array" aca="1" ref="M48" ca="1">[1]!feed_mu_liq_cP(p,t,G48)</f>
        <v>0.5130308541528239</v>
      </c>
      <c r="N48" s="7" cm="1">
        <f t="array" aca="1" ref="N48" ca="1">[1]!PVT_mu_gas_cP(p,t,G48)</f>
        <v>1.5934611970626747E-2</v>
      </c>
    </row>
    <row r="53" spans="5:31" x14ac:dyDescent="0.25">
      <c r="E53" t="str" cm="1">
        <f t="array" aca="1" ref="E53" ca="1">[1]!unf_ksep_mechanistic_pkv_build_bubble_tracks(dintake_m,dcas_m,K48,L48,J48,H48,I48,M48,N48,hint,calibr_li,calibr_st,pkv_ratio)</f>
        <v>{"n 1":{"curve_x":"x","curve_y":"y","x":[-0.02,-0.013258,-0.006516,0.000226,0.002222,0.006968,0.01371,0.020452,0.027194,0.033936,0.040677,0.047419,0.054161,0.060903,0.067645],"y":[0.058722,0.058722,0.058722,0.058722,0.058722,0.05864,0.058521,0.0584,0.058278,0.058153,0.058026,0.057898,0.057767,0.057635,0.0575]},"n 2":{"curve_x":"x","curve_y":"y","x":[-0.02,-0.008333,0.003333,0.004444,0.015,0.026667,0.038333,0.05,0.061667,0.073333,0.085,0.094573,0.096667,0.108333,0.12],"y":[0.059944,0.059944,0.059944,0.059944,0.059763,0.059557,0.059346,0.059129,0.058906,0.058678,0.058443,0.058246,0.058246,0.058246,0.058246]},"n 3":{"curve_x":"x","curve_y":"y","x":[-0.02,-0.008333,0.003333,0.006667,0.015,0.026667,0.038333,0.05,0.061667,0.073333,0.083501,0.085,0.096667,0.108333,0.12],"y":[0.061167,0.061167,0.061167,0.061167,0.061026,0.060826,0.06062,0.060408,0.060191,0.059968,0.059769,0.059769,0.059769,0.059769,0.059769]},"n 4":{"curve_x":"x","curve_y":"y","x":[-0.02,-0.008333,0.003333,0.008889,0.015,0.026667,0.038333,0.05,0.061667,0.072594,0.073333,0.085,0.096667,0.108333,0.12],"y":[0.062389,0.062389,0.062389,0.062389,0.062288,0.062092,0.061891,0.061684,0.061472,0.061268,0.061268,0.061268,0.061268,0.061268,0.061268]},"n 5":{"curve_x":"x","curve_y":"y","x":[-0.02,-0.008333,0.003333,0.011111,0.015,0.026667,0.038333,0.05,0.061667,0.061834,0.073333,0.085,0.096667,0.108333,0.12],"y":[0.063611,0.063611,0.063611,0.063611,0.063548,0.063357,0.06316,0.062958,0.062751,0.062748,0.062748,0.062748,0.062748,0.062748,0.062748]},"n 6":{"curve_x":"x","curve_y":"y","x":[-0.02,-0.008333,0.003333,0.013333,0.015,0.026667,0.038333,0.05,0.051208,0.061667,0.073333,0.085,0.096667,0.108333,0.12],"y":[0.064833,0.064833,0.064833,0.064833,0.064807,0.064619,0.064427,0.06423,0.064209,0.064209,0.064209,0.064209,0.064209,0.064209,0.064209]},"n 7":{"curve_x":"x","curve_y":"y","x":[-0.02,-0.008333,0.003333,0.015,0.015556,0.026667,0.038333,0.0407,0.05,0.061667,0.073333,0.085,0.096667,0.108333,0.12],"y":[0.066056,0.066056,0.066056,0.066056,0.066056,0.065881,0.065692,0.065654,0.065654,0.065654,0.065654,0.065654,0.065654,0.065654,0.065654]},"n 8":{"curve_x":"x","curve_y":"y","x":[-0.02,-0.008333,0.003333,0.015,0.017778,0.026667,0.030301,0.038333,0.05,0.061667,0.073333,0.085,0.096667,0.108333,0.12],"y":[0.067278,0.067278,0.067278,0.067278,0.067278,0.06714,0.067084,0.067084,0.067084,0.067084,0.067084,0.067084,0.067084,0.067084,0.067084]}}</v>
      </c>
    </row>
    <row r="55" spans="5:31" x14ac:dyDescent="0.25">
      <c r="E55" t="str" cm="1">
        <f t="array" aca="1" ref="E55:F62" ca="1">[1]!decode_json(E53)</f>
        <v>n 1</v>
      </c>
      <c r="F55" t="str">
        <f ca="1"/>
        <v>{"curve_x":"x","curve_y":"y","x":[-0.02,-0.013258,-0.006516,0.000226,0.002222,0.006968,0.01371,0.020452,0.027194,0.033936,0.040677,0.047419,0.054161,0.060903,0.067645],"y":[0.058722,0.058722,0.058722,0.058722,0.058722,0.05864,0.058521,0.0584,0.058278,0.058153,0.058026,0.057898,0.057767,0.057635,0.0575]}</v>
      </c>
      <c r="I55" t="str" cm="1">
        <f t="array" aca="1" ref="I55:J70" ca="1">[1]!decode_json_crv(F55)</f>
        <v>x</v>
      </c>
      <c r="J55" t="str">
        <f ca="1"/>
        <v>y</v>
      </c>
      <c r="L55" t="str" cm="1">
        <f t="array" aca="1" ref="L55:M70" ca="1">[1]!decode_json_crv(F56)</f>
        <v>x</v>
      </c>
      <c r="M55" t="str">
        <f ca="1"/>
        <v>y</v>
      </c>
      <c r="O55" t="str" cm="1">
        <f t="array" aca="1" ref="O55:P70" ca="1">[1]!decode_json_crv(F57)</f>
        <v>x</v>
      </c>
      <c r="P55" t="str">
        <f ca="1"/>
        <v>y</v>
      </c>
      <c r="R55" t="str" cm="1">
        <f t="array" aca="1" ref="R55:S70" ca="1">[1]!decode_json_crv(F58)</f>
        <v>x</v>
      </c>
      <c r="S55" t="str">
        <f ca="1"/>
        <v>y</v>
      </c>
      <c r="U55" t="str" cm="1">
        <f t="array" aca="1" ref="U55:V70" ca="1">[1]!decode_json_crv(F59)</f>
        <v>x</v>
      </c>
      <c r="V55" t="str">
        <f ca="1"/>
        <v>y</v>
      </c>
      <c r="X55" t="str" cm="1">
        <f t="array" aca="1" ref="X55:Y70" ca="1">[1]!decode_json_crv(F60)</f>
        <v>x</v>
      </c>
      <c r="Y55" t="str">
        <f ca="1"/>
        <v>y</v>
      </c>
      <c r="AA55" t="str" cm="1">
        <f t="array" aca="1" ref="AA55:AB70" ca="1">[1]!decode_json_crv(F61)</f>
        <v>x</v>
      </c>
      <c r="AB55" t="str">
        <f ca="1"/>
        <v>y</v>
      </c>
      <c r="AD55" t="str" cm="1">
        <f t="array" aca="1" ref="AD55:AE70" ca="1">[1]!decode_json_crv(F62)</f>
        <v>x</v>
      </c>
      <c r="AE55" t="str">
        <f ca="1"/>
        <v>y</v>
      </c>
    </row>
    <row r="56" spans="5:31" x14ac:dyDescent="0.25">
      <c r="E56" t="str">
        <f ca="1"/>
        <v>n 2</v>
      </c>
      <c r="F56" t="str">
        <f ca="1"/>
        <v>{"curve_x":"x","curve_y":"y","x":[-0.02,-0.008333,0.003333,0.004444,0.015,0.026667,0.038333,0.05,0.061667,0.073333,0.085,0.094573,0.096667,0.108333,0.12],"y":[0.059944,0.059944,0.059944,0.059944,0.059763,0.059557,0.059346,0.059129,0.058906,0.058678,0.058443,0.058246,0.058246,0.058246,0.058246]}</v>
      </c>
      <c r="I56">
        <f ca="1"/>
        <v>-0.02</v>
      </c>
      <c r="J56">
        <f ca="1"/>
        <v>5.8722000000000003E-2</v>
      </c>
      <c r="L56">
        <f ca="1"/>
        <v>-0.02</v>
      </c>
      <c r="M56">
        <f ca="1"/>
        <v>5.9943999999999997E-2</v>
      </c>
      <c r="O56">
        <f ca="1"/>
        <v>-0.02</v>
      </c>
      <c r="P56">
        <f ca="1"/>
        <v>6.1166999999999999E-2</v>
      </c>
      <c r="R56">
        <f ca="1"/>
        <v>-0.02</v>
      </c>
      <c r="S56">
        <f ca="1"/>
        <v>6.2389E-2</v>
      </c>
      <c r="U56">
        <f ca="1"/>
        <v>-0.02</v>
      </c>
      <c r="V56">
        <f ca="1"/>
        <v>6.3611000000000001E-2</v>
      </c>
      <c r="X56">
        <f ca="1"/>
        <v>-0.02</v>
      </c>
      <c r="Y56">
        <f ca="1"/>
        <v>6.4833000000000002E-2</v>
      </c>
      <c r="AA56">
        <f ca="1"/>
        <v>-0.02</v>
      </c>
      <c r="AB56">
        <f ca="1"/>
        <v>6.6056000000000004E-2</v>
      </c>
      <c r="AD56">
        <f ca="1"/>
        <v>-0.02</v>
      </c>
      <c r="AE56">
        <f ca="1"/>
        <v>6.7278000000000004E-2</v>
      </c>
    </row>
    <row r="57" spans="5:31" x14ac:dyDescent="0.25">
      <c r="E57" t="str">
        <f ca="1"/>
        <v>n 3</v>
      </c>
      <c r="F57" t="str">
        <f ca="1"/>
        <v>{"curve_x":"x","curve_y":"y","x":[-0.02,-0.008333,0.003333,0.006667,0.015,0.026667,0.038333,0.05,0.061667,0.073333,0.083501,0.085,0.096667,0.108333,0.12],"y":[0.061167,0.061167,0.061167,0.061167,0.061026,0.060826,0.06062,0.060408,0.060191,0.059968,0.059769,0.059769,0.059769,0.059769,0.059769]}</v>
      </c>
      <c r="I57">
        <f ca="1"/>
        <v>-1.3258000000000001E-2</v>
      </c>
      <c r="J57">
        <f ca="1"/>
        <v>5.8722000000000003E-2</v>
      </c>
      <c r="L57">
        <f ca="1"/>
        <v>-8.3330000000000001E-3</v>
      </c>
      <c r="M57">
        <f ca="1"/>
        <v>5.9943999999999997E-2</v>
      </c>
      <c r="O57">
        <f ca="1"/>
        <v>-8.3330000000000001E-3</v>
      </c>
      <c r="P57">
        <f ca="1"/>
        <v>6.1166999999999999E-2</v>
      </c>
      <c r="R57">
        <f ca="1"/>
        <v>-8.3330000000000001E-3</v>
      </c>
      <c r="S57">
        <f ca="1"/>
        <v>6.2389E-2</v>
      </c>
      <c r="U57">
        <f ca="1"/>
        <v>-8.3330000000000001E-3</v>
      </c>
      <c r="V57">
        <f ca="1"/>
        <v>6.3611000000000001E-2</v>
      </c>
      <c r="X57">
        <f ca="1"/>
        <v>-8.3330000000000001E-3</v>
      </c>
      <c r="Y57">
        <f ca="1"/>
        <v>6.4833000000000002E-2</v>
      </c>
      <c r="AA57">
        <f ca="1"/>
        <v>-8.3330000000000001E-3</v>
      </c>
      <c r="AB57">
        <f ca="1"/>
        <v>6.6056000000000004E-2</v>
      </c>
      <c r="AD57">
        <f ca="1"/>
        <v>-8.3330000000000001E-3</v>
      </c>
      <c r="AE57">
        <f ca="1"/>
        <v>6.7278000000000004E-2</v>
      </c>
    </row>
    <row r="58" spans="5:31" x14ac:dyDescent="0.25">
      <c r="E58" t="str">
        <f ca="1"/>
        <v>n 4</v>
      </c>
      <c r="F58" t="str">
        <f ca="1"/>
        <v>{"curve_x":"x","curve_y":"y","x":[-0.02,-0.008333,0.003333,0.008889,0.015,0.026667,0.038333,0.05,0.061667,0.072594,0.073333,0.085,0.096667,0.108333,0.12],"y":[0.062389,0.062389,0.062389,0.062389,0.062288,0.062092,0.061891,0.061684,0.061472,0.061268,0.061268,0.061268,0.061268,0.061268,0.061268]}</v>
      </c>
      <c r="I58">
        <f ca="1"/>
        <v>-6.5160000000000001E-3</v>
      </c>
      <c r="J58">
        <f ca="1"/>
        <v>5.8722000000000003E-2</v>
      </c>
      <c r="L58">
        <f ca="1"/>
        <v>3.333E-3</v>
      </c>
      <c r="M58">
        <f ca="1"/>
        <v>5.9943999999999997E-2</v>
      </c>
      <c r="O58">
        <f ca="1"/>
        <v>3.333E-3</v>
      </c>
      <c r="P58">
        <f ca="1"/>
        <v>6.1166999999999999E-2</v>
      </c>
      <c r="R58">
        <f ca="1"/>
        <v>3.333E-3</v>
      </c>
      <c r="S58">
        <f ca="1"/>
        <v>6.2389E-2</v>
      </c>
      <c r="U58">
        <f ca="1"/>
        <v>3.333E-3</v>
      </c>
      <c r="V58">
        <f ca="1"/>
        <v>6.3611000000000001E-2</v>
      </c>
      <c r="X58">
        <f ca="1"/>
        <v>3.333E-3</v>
      </c>
      <c r="Y58">
        <f ca="1"/>
        <v>6.4833000000000002E-2</v>
      </c>
      <c r="AA58">
        <f ca="1"/>
        <v>3.333E-3</v>
      </c>
      <c r="AB58">
        <f ca="1"/>
        <v>6.6056000000000004E-2</v>
      </c>
      <c r="AD58">
        <f ca="1"/>
        <v>3.333E-3</v>
      </c>
      <c r="AE58">
        <f ca="1"/>
        <v>6.7278000000000004E-2</v>
      </c>
    </row>
    <row r="59" spans="5:31" x14ac:dyDescent="0.25">
      <c r="E59" t="str">
        <f ca="1"/>
        <v>n 5</v>
      </c>
      <c r="F59" t="str">
        <f ca="1"/>
        <v>{"curve_x":"x","curve_y":"y","x":[-0.02,-0.008333,0.003333,0.011111,0.015,0.026667,0.038333,0.05,0.061667,0.061834,0.073333,0.085,0.096667,0.108333,0.12],"y":[0.063611,0.063611,0.063611,0.063611,0.063548,0.063357,0.06316,0.062958,0.062751,0.062748,0.062748,0.062748,0.062748,0.062748,0.062748]}</v>
      </c>
      <c r="I59">
        <f ca="1"/>
        <v>2.2599999999999999E-4</v>
      </c>
      <c r="J59">
        <f ca="1"/>
        <v>5.8722000000000003E-2</v>
      </c>
      <c r="L59">
        <f ca="1"/>
        <v>4.444E-3</v>
      </c>
      <c r="M59">
        <f ca="1"/>
        <v>5.9943999999999997E-2</v>
      </c>
      <c r="O59">
        <f ca="1"/>
        <v>6.6670000000000002E-3</v>
      </c>
      <c r="P59">
        <f ca="1"/>
        <v>6.1166999999999999E-2</v>
      </c>
      <c r="R59">
        <f ca="1"/>
        <v>8.8889999999999993E-3</v>
      </c>
      <c r="S59">
        <f ca="1"/>
        <v>6.2389E-2</v>
      </c>
      <c r="U59">
        <f ca="1"/>
        <v>1.1110999999999999E-2</v>
      </c>
      <c r="V59">
        <f ca="1"/>
        <v>6.3611000000000001E-2</v>
      </c>
      <c r="X59">
        <f ca="1"/>
        <v>1.3332999999999999E-2</v>
      </c>
      <c r="Y59">
        <f ca="1"/>
        <v>6.4833000000000002E-2</v>
      </c>
      <c r="AA59">
        <f ca="1"/>
        <v>1.4999999999999999E-2</v>
      </c>
      <c r="AB59">
        <f ca="1"/>
        <v>6.6056000000000004E-2</v>
      </c>
      <c r="AD59">
        <f ca="1"/>
        <v>1.4999999999999999E-2</v>
      </c>
      <c r="AE59">
        <f ca="1"/>
        <v>6.7278000000000004E-2</v>
      </c>
    </row>
    <row r="60" spans="5:31" x14ac:dyDescent="0.25">
      <c r="E60" t="str">
        <f ca="1"/>
        <v>n 6</v>
      </c>
      <c r="F60" t="str">
        <f ca="1"/>
        <v>{"curve_x":"x","curve_y":"y","x":[-0.02,-0.008333,0.003333,0.013333,0.015,0.026667,0.038333,0.05,0.051208,0.061667,0.073333,0.085,0.096667,0.108333,0.12],"y":[0.064833,0.064833,0.064833,0.064833,0.064807,0.064619,0.064427,0.06423,0.064209,0.064209,0.064209,0.064209,0.064209,0.064209,0.064209]}</v>
      </c>
      <c r="I60">
        <f ca="1"/>
        <v>2.222E-3</v>
      </c>
      <c r="J60">
        <f ca="1"/>
        <v>5.8722000000000003E-2</v>
      </c>
      <c r="L60">
        <f ca="1"/>
        <v>1.4999999999999999E-2</v>
      </c>
      <c r="M60">
        <f ca="1"/>
        <v>5.9762999999999997E-2</v>
      </c>
      <c r="O60">
        <f ca="1"/>
        <v>1.4999999999999999E-2</v>
      </c>
      <c r="P60">
        <f ca="1"/>
        <v>6.1025999999999997E-2</v>
      </c>
      <c r="R60">
        <f ca="1"/>
        <v>1.4999999999999999E-2</v>
      </c>
      <c r="S60">
        <f ca="1"/>
        <v>6.2288000000000003E-2</v>
      </c>
      <c r="U60">
        <f ca="1"/>
        <v>1.4999999999999999E-2</v>
      </c>
      <c r="V60">
        <f ca="1"/>
        <v>6.3547999999999993E-2</v>
      </c>
      <c r="X60">
        <f ca="1"/>
        <v>1.4999999999999999E-2</v>
      </c>
      <c r="Y60">
        <f ca="1"/>
        <v>6.4807000000000003E-2</v>
      </c>
      <c r="AA60">
        <f ca="1"/>
        <v>1.5556E-2</v>
      </c>
      <c r="AB60">
        <f ca="1"/>
        <v>6.6056000000000004E-2</v>
      </c>
      <c r="AD60">
        <f ca="1"/>
        <v>1.7777999999999999E-2</v>
      </c>
      <c r="AE60">
        <f ca="1"/>
        <v>6.7278000000000004E-2</v>
      </c>
    </row>
    <row r="61" spans="5:31" x14ac:dyDescent="0.25">
      <c r="E61" t="str">
        <f ca="1"/>
        <v>n 7</v>
      </c>
      <c r="F61" t="str">
        <f ca="1"/>
        <v>{"curve_x":"x","curve_y":"y","x":[-0.02,-0.008333,0.003333,0.015,0.015556,0.026667,0.038333,0.0407,0.05,0.061667,0.073333,0.085,0.096667,0.108333,0.12],"y":[0.066056,0.066056,0.066056,0.066056,0.066056,0.065881,0.065692,0.065654,0.065654,0.065654,0.065654,0.065654,0.065654,0.065654,0.065654]}</v>
      </c>
      <c r="I61">
        <f ca="1"/>
        <v>6.9680000000000002E-3</v>
      </c>
      <c r="J61">
        <f ca="1"/>
        <v>5.8639999999999998E-2</v>
      </c>
      <c r="L61">
        <f ca="1"/>
        <v>2.6667E-2</v>
      </c>
      <c r="M61">
        <f ca="1"/>
        <v>5.9556999999999999E-2</v>
      </c>
      <c r="O61">
        <f ca="1"/>
        <v>2.6667E-2</v>
      </c>
      <c r="P61">
        <f ca="1"/>
        <v>6.0825999999999998E-2</v>
      </c>
      <c r="R61">
        <f ca="1"/>
        <v>2.6667E-2</v>
      </c>
      <c r="S61">
        <f ca="1"/>
        <v>6.2092000000000001E-2</v>
      </c>
      <c r="U61">
        <f ca="1"/>
        <v>2.6667E-2</v>
      </c>
      <c r="V61">
        <f ca="1"/>
        <v>6.3356999999999997E-2</v>
      </c>
      <c r="X61">
        <f ca="1"/>
        <v>2.6667E-2</v>
      </c>
      <c r="Y61">
        <f ca="1"/>
        <v>6.4618999999999996E-2</v>
      </c>
      <c r="AA61">
        <f ca="1"/>
        <v>2.6667E-2</v>
      </c>
      <c r="AB61">
        <f ca="1"/>
        <v>6.5880999999999995E-2</v>
      </c>
      <c r="AD61">
        <f ca="1"/>
        <v>2.6667E-2</v>
      </c>
      <c r="AE61">
        <f ca="1"/>
        <v>6.7140000000000005E-2</v>
      </c>
    </row>
    <row r="62" spans="5:31" x14ac:dyDescent="0.25">
      <c r="E62" t="str">
        <f ca="1"/>
        <v>n 8</v>
      </c>
      <c r="F62" t="str">
        <f ca="1"/>
        <v>{"curve_x":"x","curve_y":"y","x":[-0.02,-0.008333,0.003333,0.015,0.017778,0.026667,0.030301,0.038333,0.05,0.061667,0.073333,0.085,0.096667,0.108333,0.12],"y":[0.067278,0.067278,0.067278,0.067278,0.067278,0.06714,0.067084,0.067084,0.067084,0.067084,0.067084,0.067084,0.067084,0.067084,0.067084]}</v>
      </c>
      <c r="I62">
        <f ca="1"/>
        <v>1.371E-2</v>
      </c>
      <c r="J62">
        <f ca="1"/>
        <v>5.8520999999999997E-2</v>
      </c>
      <c r="L62">
        <f ca="1"/>
        <v>3.8332999999999999E-2</v>
      </c>
      <c r="M62">
        <f ca="1"/>
        <v>5.9346000000000003E-2</v>
      </c>
      <c r="O62">
        <f ca="1"/>
        <v>3.8332999999999999E-2</v>
      </c>
      <c r="P62">
        <f ca="1"/>
        <v>6.062E-2</v>
      </c>
      <c r="R62">
        <f ca="1"/>
        <v>3.8332999999999999E-2</v>
      </c>
      <c r="S62">
        <f ca="1"/>
        <v>6.1891000000000002E-2</v>
      </c>
      <c r="U62">
        <f ca="1"/>
        <v>3.8332999999999999E-2</v>
      </c>
      <c r="V62">
        <f ca="1"/>
        <v>6.3159999999999994E-2</v>
      </c>
      <c r="X62">
        <f ca="1"/>
        <v>3.8332999999999999E-2</v>
      </c>
      <c r="Y62">
        <f ca="1"/>
        <v>6.4426999999999998E-2</v>
      </c>
      <c r="AA62">
        <f ca="1"/>
        <v>3.8332999999999999E-2</v>
      </c>
      <c r="AB62">
        <f ca="1"/>
        <v>6.5692E-2</v>
      </c>
      <c r="AD62">
        <f ca="1"/>
        <v>3.0301000000000002E-2</v>
      </c>
      <c r="AE62">
        <f ca="1"/>
        <v>6.7084000000000005E-2</v>
      </c>
    </row>
    <row r="63" spans="5:31" x14ac:dyDescent="0.25">
      <c r="I63">
        <f ca="1"/>
        <v>2.0452000000000001E-2</v>
      </c>
      <c r="J63">
        <f ca="1"/>
        <v>5.8400000000000001E-2</v>
      </c>
      <c r="L63">
        <f ca="1"/>
        <v>0.05</v>
      </c>
      <c r="M63">
        <f ca="1"/>
        <v>5.9129000000000001E-2</v>
      </c>
      <c r="O63">
        <f ca="1"/>
        <v>0.05</v>
      </c>
      <c r="P63">
        <f ca="1"/>
        <v>6.0408000000000003E-2</v>
      </c>
      <c r="R63">
        <f ca="1"/>
        <v>0.05</v>
      </c>
      <c r="S63">
        <f ca="1"/>
        <v>6.1684000000000003E-2</v>
      </c>
      <c r="U63">
        <f ca="1"/>
        <v>0.05</v>
      </c>
      <c r="V63">
        <f ca="1"/>
        <v>6.2958E-2</v>
      </c>
      <c r="X63">
        <f ca="1"/>
        <v>0.05</v>
      </c>
      <c r="Y63">
        <f ca="1"/>
        <v>6.4229999999999995E-2</v>
      </c>
      <c r="AA63">
        <f ca="1"/>
        <v>4.07E-2</v>
      </c>
      <c r="AB63">
        <f ca="1"/>
        <v>6.5654000000000004E-2</v>
      </c>
      <c r="AD63">
        <f ca="1"/>
        <v>3.8332999999999999E-2</v>
      </c>
      <c r="AE63">
        <f ca="1"/>
        <v>6.7084000000000005E-2</v>
      </c>
    </row>
    <row r="64" spans="5:31" x14ac:dyDescent="0.25">
      <c r="I64">
        <f ca="1"/>
        <v>2.7193999999999999E-2</v>
      </c>
      <c r="J64">
        <f ca="1"/>
        <v>5.8278000000000003E-2</v>
      </c>
      <c r="L64">
        <f ca="1"/>
        <v>6.1667E-2</v>
      </c>
      <c r="M64">
        <f ca="1"/>
        <v>5.8906E-2</v>
      </c>
      <c r="O64">
        <f ca="1"/>
        <v>6.1667E-2</v>
      </c>
      <c r="P64">
        <f ca="1"/>
        <v>6.0191000000000001E-2</v>
      </c>
      <c r="R64">
        <f ca="1"/>
        <v>6.1667E-2</v>
      </c>
      <c r="S64">
        <f ca="1"/>
        <v>6.1471999999999999E-2</v>
      </c>
      <c r="U64">
        <f ca="1"/>
        <v>6.1667E-2</v>
      </c>
      <c r="V64">
        <f ca="1"/>
        <v>6.2751000000000001E-2</v>
      </c>
      <c r="X64">
        <f ca="1"/>
        <v>5.1207999999999997E-2</v>
      </c>
      <c r="Y64">
        <f ca="1"/>
        <v>6.4209000000000002E-2</v>
      </c>
      <c r="AA64">
        <f ca="1"/>
        <v>0.05</v>
      </c>
      <c r="AB64">
        <f ca="1"/>
        <v>6.5654000000000004E-2</v>
      </c>
      <c r="AD64">
        <f ca="1"/>
        <v>0.05</v>
      </c>
      <c r="AE64">
        <f ca="1"/>
        <v>6.7084000000000005E-2</v>
      </c>
    </row>
    <row r="65" spans="9:31" x14ac:dyDescent="0.25">
      <c r="I65">
        <f ca="1"/>
        <v>3.3936000000000001E-2</v>
      </c>
      <c r="J65">
        <f ca="1"/>
        <v>5.8153000000000003E-2</v>
      </c>
      <c r="L65">
        <f ca="1"/>
        <v>7.3332999999999995E-2</v>
      </c>
      <c r="M65">
        <f ca="1"/>
        <v>5.8678000000000001E-2</v>
      </c>
      <c r="O65">
        <f ca="1"/>
        <v>7.3332999999999995E-2</v>
      </c>
      <c r="P65">
        <f ca="1"/>
        <v>5.9968E-2</v>
      </c>
      <c r="R65">
        <f ca="1"/>
        <v>7.2594000000000006E-2</v>
      </c>
      <c r="S65">
        <f ca="1"/>
        <v>6.1268000000000003E-2</v>
      </c>
      <c r="U65">
        <f ca="1"/>
        <v>6.1834E-2</v>
      </c>
      <c r="V65">
        <f ca="1"/>
        <v>6.2747999999999998E-2</v>
      </c>
      <c r="X65">
        <f ca="1"/>
        <v>6.1667E-2</v>
      </c>
      <c r="Y65">
        <f ca="1"/>
        <v>6.4209000000000002E-2</v>
      </c>
      <c r="AA65">
        <f ca="1"/>
        <v>6.1667E-2</v>
      </c>
      <c r="AB65">
        <f ca="1"/>
        <v>6.5654000000000004E-2</v>
      </c>
      <c r="AD65">
        <f ca="1"/>
        <v>6.1667E-2</v>
      </c>
      <c r="AE65">
        <f ca="1"/>
        <v>6.7084000000000005E-2</v>
      </c>
    </row>
    <row r="66" spans="9:31" x14ac:dyDescent="0.25">
      <c r="I66">
        <f ca="1"/>
        <v>4.0676999999999998E-2</v>
      </c>
      <c r="J66">
        <f ca="1"/>
        <v>5.8026000000000001E-2</v>
      </c>
      <c r="L66">
        <f ca="1"/>
        <v>8.5000000000000006E-2</v>
      </c>
      <c r="M66">
        <f ca="1"/>
        <v>5.8443000000000002E-2</v>
      </c>
      <c r="O66">
        <f ca="1"/>
        <v>8.3501000000000006E-2</v>
      </c>
      <c r="P66">
        <f ca="1"/>
        <v>5.9769000000000003E-2</v>
      </c>
      <c r="R66">
        <f ca="1"/>
        <v>7.3332999999999995E-2</v>
      </c>
      <c r="S66">
        <f ca="1"/>
        <v>6.1268000000000003E-2</v>
      </c>
      <c r="U66">
        <f ca="1"/>
        <v>7.3332999999999995E-2</v>
      </c>
      <c r="V66">
        <f ca="1"/>
        <v>6.2747999999999998E-2</v>
      </c>
      <c r="X66">
        <f ca="1"/>
        <v>7.3332999999999995E-2</v>
      </c>
      <c r="Y66">
        <f ca="1"/>
        <v>6.4209000000000002E-2</v>
      </c>
      <c r="AA66">
        <f ca="1"/>
        <v>7.3332999999999995E-2</v>
      </c>
      <c r="AB66">
        <f ca="1"/>
        <v>6.5654000000000004E-2</v>
      </c>
      <c r="AD66">
        <f ca="1"/>
        <v>7.3332999999999995E-2</v>
      </c>
      <c r="AE66">
        <f ca="1"/>
        <v>6.7084000000000005E-2</v>
      </c>
    </row>
    <row r="67" spans="9:31" x14ac:dyDescent="0.25">
      <c r="I67">
        <f ca="1"/>
        <v>4.7419000000000003E-2</v>
      </c>
      <c r="J67">
        <f ca="1"/>
        <v>5.7897999999999998E-2</v>
      </c>
      <c r="L67">
        <f ca="1"/>
        <v>9.4573000000000004E-2</v>
      </c>
      <c r="M67">
        <f ca="1"/>
        <v>5.8245999999999999E-2</v>
      </c>
      <c r="O67">
        <f ca="1"/>
        <v>8.5000000000000006E-2</v>
      </c>
      <c r="P67">
        <f ca="1"/>
        <v>5.9769000000000003E-2</v>
      </c>
      <c r="R67">
        <f ca="1"/>
        <v>8.5000000000000006E-2</v>
      </c>
      <c r="S67">
        <f ca="1"/>
        <v>6.1268000000000003E-2</v>
      </c>
      <c r="U67">
        <f ca="1"/>
        <v>8.5000000000000006E-2</v>
      </c>
      <c r="V67">
        <f ca="1"/>
        <v>6.2747999999999998E-2</v>
      </c>
      <c r="X67">
        <f ca="1"/>
        <v>8.5000000000000006E-2</v>
      </c>
      <c r="Y67">
        <f ca="1"/>
        <v>6.4209000000000002E-2</v>
      </c>
      <c r="AA67">
        <f ca="1"/>
        <v>8.5000000000000006E-2</v>
      </c>
      <c r="AB67">
        <f ca="1"/>
        <v>6.5654000000000004E-2</v>
      </c>
      <c r="AD67">
        <f ca="1"/>
        <v>8.5000000000000006E-2</v>
      </c>
      <c r="AE67">
        <f ca="1"/>
        <v>6.7084000000000005E-2</v>
      </c>
    </row>
    <row r="68" spans="9:31" x14ac:dyDescent="0.25">
      <c r="I68">
        <f ca="1"/>
        <v>5.4161000000000001E-2</v>
      </c>
      <c r="J68">
        <f ca="1"/>
        <v>5.7766999999999999E-2</v>
      </c>
      <c r="L68">
        <f ca="1"/>
        <v>9.6667000000000003E-2</v>
      </c>
      <c r="M68">
        <f ca="1"/>
        <v>5.8245999999999999E-2</v>
      </c>
      <c r="O68">
        <f ca="1"/>
        <v>9.6667000000000003E-2</v>
      </c>
      <c r="P68">
        <f ca="1"/>
        <v>5.9769000000000003E-2</v>
      </c>
      <c r="R68">
        <f ca="1"/>
        <v>9.6667000000000003E-2</v>
      </c>
      <c r="S68">
        <f ca="1"/>
        <v>6.1268000000000003E-2</v>
      </c>
      <c r="U68">
        <f ca="1"/>
        <v>9.6667000000000003E-2</v>
      </c>
      <c r="V68">
        <f ca="1"/>
        <v>6.2747999999999998E-2</v>
      </c>
      <c r="X68">
        <f ca="1"/>
        <v>9.6667000000000003E-2</v>
      </c>
      <c r="Y68">
        <f ca="1"/>
        <v>6.4209000000000002E-2</v>
      </c>
      <c r="AA68">
        <f ca="1"/>
        <v>9.6667000000000003E-2</v>
      </c>
      <c r="AB68">
        <f ca="1"/>
        <v>6.5654000000000004E-2</v>
      </c>
      <c r="AD68">
        <f ca="1"/>
        <v>9.6667000000000003E-2</v>
      </c>
      <c r="AE68">
        <f ca="1"/>
        <v>6.7084000000000005E-2</v>
      </c>
    </row>
    <row r="69" spans="9:31" x14ac:dyDescent="0.25">
      <c r="I69">
        <f ca="1"/>
        <v>6.0902999999999999E-2</v>
      </c>
      <c r="J69">
        <f ca="1"/>
        <v>5.7634999999999999E-2</v>
      </c>
      <c r="L69">
        <f ca="1"/>
        <v>0.108333</v>
      </c>
      <c r="M69">
        <f ca="1"/>
        <v>5.8245999999999999E-2</v>
      </c>
      <c r="O69">
        <f ca="1"/>
        <v>0.108333</v>
      </c>
      <c r="P69">
        <f ca="1"/>
        <v>5.9769000000000003E-2</v>
      </c>
      <c r="R69">
        <f ca="1"/>
        <v>0.108333</v>
      </c>
      <c r="S69">
        <f ca="1"/>
        <v>6.1268000000000003E-2</v>
      </c>
      <c r="U69">
        <f ca="1"/>
        <v>0.108333</v>
      </c>
      <c r="V69">
        <f ca="1"/>
        <v>6.2747999999999998E-2</v>
      </c>
      <c r="X69">
        <f ca="1"/>
        <v>0.108333</v>
      </c>
      <c r="Y69">
        <f ca="1"/>
        <v>6.4209000000000002E-2</v>
      </c>
      <c r="AA69">
        <f ca="1"/>
        <v>0.108333</v>
      </c>
      <c r="AB69">
        <f ca="1"/>
        <v>6.5654000000000004E-2</v>
      </c>
      <c r="AD69">
        <f ca="1"/>
        <v>0.108333</v>
      </c>
      <c r="AE69">
        <f ca="1"/>
        <v>6.7084000000000005E-2</v>
      </c>
    </row>
    <row r="70" spans="9:31" x14ac:dyDescent="0.25">
      <c r="I70">
        <f ca="1"/>
        <v>6.7644999999999997E-2</v>
      </c>
      <c r="J70">
        <f ca="1"/>
        <v>5.7500000000000002E-2</v>
      </c>
      <c r="L70">
        <f ca="1"/>
        <v>0.12</v>
      </c>
      <c r="M70">
        <f ca="1"/>
        <v>5.8245999999999999E-2</v>
      </c>
      <c r="O70">
        <f ca="1"/>
        <v>0.12</v>
      </c>
      <c r="P70">
        <f ca="1"/>
        <v>5.9769000000000003E-2</v>
      </c>
      <c r="R70">
        <f ca="1"/>
        <v>0.12</v>
      </c>
      <c r="S70">
        <f ca="1"/>
        <v>6.1268000000000003E-2</v>
      </c>
      <c r="U70">
        <f ca="1"/>
        <v>0.12</v>
      </c>
      <c r="V70">
        <f ca="1"/>
        <v>6.2747999999999998E-2</v>
      </c>
      <c r="X70">
        <f ca="1"/>
        <v>0.12</v>
      </c>
      <c r="Y70">
        <f ca="1"/>
        <v>6.4209000000000002E-2</v>
      </c>
      <c r="AA70">
        <f ca="1"/>
        <v>0.12</v>
      </c>
      <c r="AB70">
        <f ca="1"/>
        <v>6.5654000000000004E-2</v>
      </c>
      <c r="AD70">
        <f ca="1"/>
        <v>0.12</v>
      </c>
      <c r="AE70">
        <f ca="1"/>
        <v>6.7084000000000005E-2</v>
      </c>
    </row>
    <row r="99" spans="5:18" x14ac:dyDescent="0.25">
      <c r="E99" t="s">
        <v>44</v>
      </c>
      <c r="F99" t="s">
        <v>43</v>
      </c>
      <c r="H99" t="s">
        <v>44</v>
      </c>
      <c r="I99" t="s">
        <v>43</v>
      </c>
      <c r="K99" t="s">
        <v>44</v>
      </c>
      <c r="N99" t="s">
        <v>44</v>
      </c>
      <c r="O99" t="s">
        <v>43</v>
      </c>
      <c r="Q99" t="s">
        <v>44</v>
      </c>
      <c r="R99" t="s">
        <v>43</v>
      </c>
    </row>
    <row r="100" spans="5:18" x14ac:dyDescent="0.25">
      <c r="E100">
        <f>dintake_m/2</f>
        <v>5.7500000000000002E-2</v>
      </c>
      <c r="F100">
        <v>0</v>
      </c>
      <c r="H100">
        <f>dintake_m/2</f>
        <v>5.7500000000000002E-2</v>
      </c>
      <c r="I100">
        <f>L100</f>
        <v>-9.9999999999999992E-2</v>
      </c>
      <c r="K100">
        <f>dcas_m/2</f>
        <v>6.8500000000000005E-2</v>
      </c>
      <c r="L100">
        <f>O101-L101</f>
        <v>-9.9999999999999992E-2</v>
      </c>
      <c r="N100">
        <f>E100</f>
        <v>5.7500000000000002E-2</v>
      </c>
      <c r="O100">
        <v>0</v>
      </c>
      <c r="Q100">
        <f>H100</f>
        <v>5.7500000000000002E-2</v>
      </c>
      <c r="R100">
        <f>hint</f>
        <v>0.1</v>
      </c>
    </row>
    <row r="101" spans="5:18" x14ac:dyDescent="0.25">
      <c r="E101">
        <f>E100</f>
        <v>5.7500000000000002E-2</v>
      </c>
      <c r="F101">
        <f>hint</f>
        <v>0.1</v>
      </c>
      <c r="H101">
        <f>H100</f>
        <v>5.7500000000000002E-2</v>
      </c>
      <c r="I101">
        <f>hint*1.2</f>
        <v>0.12</v>
      </c>
      <c r="K101">
        <f>K100</f>
        <v>6.8500000000000005E-2</v>
      </c>
      <c r="L101">
        <f>hint*1.2</f>
        <v>0.12</v>
      </c>
      <c r="N101">
        <f>K101</f>
        <v>6.8500000000000005E-2</v>
      </c>
      <c r="O101">
        <f>hint*pkv_ratio</f>
        <v>2.0000000000000004E-2</v>
      </c>
      <c r="Q101">
        <f>N101</f>
        <v>6.8500000000000005E-2</v>
      </c>
      <c r="R101">
        <f>hint*pkv_ratio</f>
        <v>2.0000000000000004E-2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D7:O33"/>
  <sheetViews>
    <sheetView workbookViewId="0">
      <selection activeCell="K16" sqref="K16"/>
    </sheetView>
  </sheetViews>
  <sheetFormatPr defaultRowHeight="15" x14ac:dyDescent="0.25"/>
  <sheetData>
    <row r="7" spans="4:15" x14ac:dyDescent="0.25">
      <c r="D7" t="s">
        <v>36</v>
      </c>
    </row>
    <row r="15" spans="4:15" x14ac:dyDescent="0.25">
      <c r="G15" t="s">
        <v>37</v>
      </c>
      <c r="H15">
        <v>0.6</v>
      </c>
      <c r="J15" t="s">
        <v>38</v>
      </c>
      <c r="K15" t="s">
        <v>39</v>
      </c>
      <c r="M15" t="s">
        <v>40</v>
      </c>
      <c r="N15" t="s">
        <v>41</v>
      </c>
    </row>
    <row r="16" spans="4:15" x14ac:dyDescent="0.25">
      <c r="G16" t="s">
        <v>42</v>
      </c>
      <c r="H16">
        <v>1</v>
      </c>
      <c r="J16">
        <v>0.1</v>
      </c>
      <c r="K16">
        <f t="shared" ref="K16:K33" si="0">3/71.617/(1-EXP(-2.368*J16))*J16/(J16+v_ooz)</f>
        <v>2.8381257574715147E-2</v>
      </c>
      <c r="L16">
        <f>K16*0.0254*2</f>
        <v>1.4417678847955294E-3</v>
      </c>
      <c r="M16">
        <f>0.036*(2.364^J16)*J16^0.72</f>
        <v>7.4759648020391789E-3</v>
      </c>
      <c r="N16">
        <f t="shared" ref="N16:N33" si="1">-0.1653*(-0.0492-EXP(-1.0476*v_sl))</f>
        <v>6.6116463958020164E-2</v>
      </c>
      <c r="O16">
        <f>N16*0.0254</f>
        <v>1.679358184533712E-3</v>
      </c>
    </row>
    <row r="17" spans="10:14" x14ac:dyDescent="0.25">
      <c r="J17">
        <v>0.2</v>
      </c>
      <c r="K17">
        <f t="shared" si="0"/>
        <v>2.7760235688950644E-2</v>
      </c>
      <c r="M17">
        <f t="shared" ref="M17:M33" si="2">0.036*(2.364^J17)*J17^0.72</f>
        <v>1.3420651286642495E-2</v>
      </c>
      <c r="N17">
        <f t="shared" si="1"/>
        <v>6.6116463958020164E-2</v>
      </c>
    </row>
    <row r="18" spans="10:14" x14ac:dyDescent="0.25">
      <c r="J18">
        <v>0.3</v>
      </c>
      <c r="K18">
        <f t="shared" si="0"/>
        <v>2.7456688035811378E-2</v>
      </c>
      <c r="M18">
        <f t="shared" si="2"/>
        <v>1.9585021192681386E-2</v>
      </c>
      <c r="N18">
        <f t="shared" si="1"/>
        <v>6.6116463958020164E-2</v>
      </c>
    </row>
    <row r="19" spans="10:14" x14ac:dyDescent="0.25">
      <c r="J19">
        <v>0.4</v>
      </c>
      <c r="K19">
        <f t="shared" si="0"/>
        <v>2.7370947170510886E-2</v>
      </c>
      <c r="M19">
        <f t="shared" si="2"/>
        <v>2.6256974561421891E-2</v>
      </c>
      <c r="N19">
        <f t="shared" si="1"/>
        <v>6.6116463958020164E-2</v>
      </c>
    </row>
    <row r="20" spans="10:14" x14ac:dyDescent="0.25">
      <c r="J20">
        <v>0.5</v>
      </c>
      <c r="K20">
        <f t="shared" si="0"/>
        <v>2.7438197003752759E-2</v>
      </c>
      <c r="M20">
        <f t="shared" si="2"/>
        <v>3.360350974548755E-2</v>
      </c>
      <c r="N20">
        <f t="shared" si="1"/>
        <v>6.6116463958020164E-2</v>
      </c>
    </row>
    <row r="21" spans="10:14" x14ac:dyDescent="0.25">
      <c r="J21">
        <v>0.6</v>
      </c>
      <c r="K21">
        <f t="shared" si="0"/>
        <v>2.7614133162052763E-2</v>
      </c>
      <c r="M21">
        <f t="shared" si="2"/>
        <v>4.1759941765575459E-2</v>
      </c>
      <c r="N21">
        <f t="shared" si="1"/>
        <v>6.6116463958020164E-2</v>
      </c>
    </row>
    <row r="22" spans="10:14" x14ac:dyDescent="0.25">
      <c r="J22">
        <v>0.7</v>
      </c>
      <c r="K22">
        <f t="shared" si="0"/>
        <v>2.7867268192262568E-2</v>
      </c>
      <c r="M22">
        <f t="shared" si="2"/>
        <v>5.0854140681000151E-2</v>
      </c>
      <c r="N22">
        <f t="shared" si="1"/>
        <v>6.6116463958020164E-2</v>
      </c>
    </row>
    <row r="23" spans="10:14" x14ac:dyDescent="0.25">
      <c r="J23">
        <v>0.8</v>
      </c>
      <c r="K23">
        <f t="shared" si="0"/>
        <v>2.817454750192111E-2</v>
      </c>
      <c r="M23">
        <f t="shared" si="2"/>
        <v>6.1016215770226437E-2</v>
      </c>
      <c r="N23">
        <f t="shared" si="1"/>
        <v>6.6116463958020164E-2</v>
      </c>
    </row>
    <row r="24" spans="10:14" x14ac:dyDescent="0.25">
      <c r="J24">
        <v>0.9</v>
      </c>
      <c r="K24">
        <f t="shared" si="0"/>
        <v>2.851872039668045E-2</v>
      </c>
      <c r="M24">
        <f t="shared" si="2"/>
        <v>7.2383542265174766E-2</v>
      </c>
      <c r="N24">
        <f t="shared" si="1"/>
        <v>6.6116463958020164E-2</v>
      </c>
    </row>
    <row r="25" spans="10:14" x14ac:dyDescent="0.25">
      <c r="J25">
        <v>1</v>
      </c>
      <c r="K25">
        <f t="shared" si="0"/>
        <v>2.888668951129102E-2</v>
      </c>
      <c r="M25">
        <f t="shared" si="2"/>
        <v>8.5103999999999985E-2</v>
      </c>
      <c r="N25">
        <f t="shared" si="1"/>
        <v>6.6116463958020164E-2</v>
      </c>
    </row>
    <row r="26" spans="10:14" x14ac:dyDescent="0.25">
      <c r="J26">
        <v>1.1000000000000001</v>
      </c>
      <c r="K26">
        <f t="shared" si="0"/>
        <v>2.9268429060943225E-2</v>
      </c>
      <c r="M26">
        <f t="shared" si="2"/>
        <v>9.9338466970550113E-2</v>
      </c>
      <c r="N26">
        <f t="shared" si="1"/>
        <v>6.6116463958020164E-2</v>
      </c>
    </row>
    <row r="27" spans="10:14" x14ac:dyDescent="0.25">
      <c r="J27">
        <v>1.2</v>
      </c>
      <c r="K27">
        <f t="shared" si="0"/>
        <v>2.9656246193590762E-2</v>
      </c>
      <c r="M27">
        <f t="shared" si="2"/>
        <v>0.11526301210494685</v>
      </c>
      <c r="N27">
        <f t="shared" si="1"/>
        <v>6.6116463958020164E-2</v>
      </c>
    </row>
    <row r="28" spans="10:14" x14ac:dyDescent="0.25">
      <c r="J28">
        <v>1.3</v>
      </c>
      <c r="K28">
        <f t="shared" si="0"/>
        <v>3.0044256534575691E-2</v>
      </c>
      <c r="M28">
        <f t="shared" si="2"/>
        <v>0.13307100238336594</v>
      </c>
      <c r="N28">
        <f t="shared" si="1"/>
        <v>6.6116463958020164E-2</v>
      </c>
    </row>
    <row r="29" spans="10:14" x14ac:dyDescent="0.25">
      <c r="J29">
        <v>1.4</v>
      </c>
      <c r="K29">
        <f t="shared" si="0"/>
        <v>3.0427998127295599E-2</v>
      </c>
      <c r="M29">
        <f t="shared" si="2"/>
        <v>0.15297524152265399</v>
      </c>
      <c r="N29">
        <f t="shared" si="1"/>
        <v>6.6116463958020164E-2</v>
      </c>
    </row>
    <row r="30" spans="10:14" x14ac:dyDescent="0.25">
      <c r="J30">
        <v>1.5</v>
      </c>
      <c r="K30">
        <f t="shared" si="0"/>
        <v>3.0804138081237102E-2</v>
      </c>
      <c r="M30">
        <f t="shared" si="2"/>
        <v>0.17521021219884644</v>
      </c>
      <c r="N30">
        <f t="shared" si="1"/>
        <v>6.6116463958020164E-2</v>
      </c>
    </row>
    <row r="31" spans="10:14" x14ac:dyDescent="0.25">
      <c r="J31">
        <v>1.6</v>
      </c>
      <c r="K31">
        <f t="shared" si="0"/>
        <v>3.1170243741235403E-2</v>
      </c>
      <c r="M31">
        <f t="shared" si="2"/>
        <v>0.20003447181745732</v>
      </c>
      <c r="N31">
        <f t="shared" si="1"/>
        <v>6.6116463958020164E-2</v>
      </c>
    </row>
    <row r="32" spans="10:14" x14ac:dyDescent="0.25">
      <c r="J32">
        <v>1.7</v>
      </c>
      <c r="K32">
        <f t="shared" si="0"/>
        <v>3.1524600559773928E-2</v>
      </c>
      <c r="M32">
        <f t="shared" si="2"/>
        <v>0.22773324101917902</v>
      </c>
      <c r="N32">
        <f t="shared" si="1"/>
        <v>6.6116463958020164E-2</v>
      </c>
    </row>
    <row r="33" spans="10:14" x14ac:dyDescent="0.25">
      <c r="J33">
        <v>2</v>
      </c>
      <c r="K33">
        <f t="shared" si="0"/>
        <v>3.2507902488438427E-2</v>
      </c>
      <c r="M33">
        <f t="shared" si="2"/>
        <v>0.3313897276057749</v>
      </c>
      <c r="N33">
        <f t="shared" si="1"/>
        <v>6.6116463958020164E-2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62</vt:i4>
      </vt:variant>
    </vt:vector>
  </HeadingPairs>
  <TitlesOfParts>
    <vt:vector size="66" baseType="lpstr">
      <vt:lpstr>прием ЭЦН</vt:lpstr>
      <vt:lpstr>реверсивный поток</vt:lpstr>
      <vt:lpstr>прием ПКВ</vt:lpstr>
      <vt:lpstr>оценка диаметра</vt:lpstr>
      <vt:lpstr>'прием ПКВ'!calibr_li</vt:lpstr>
      <vt:lpstr>'реверсивный поток'!calibr_li</vt:lpstr>
      <vt:lpstr>calibr_li</vt:lpstr>
      <vt:lpstr>'прием ПКВ'!calibr_st</vt:lpstr>
      <vt:lpstr>'реверсивный поток'!calibr_st</vt:lpstr>
      <vt:lpstr>calibr_st</vt:lpstr>
      <vt:lpstr>'прием ПКВ'!dcas</vt:lpstr>
      <vt:lpstr>'реверсивный поток'!dcas</vt:lpstr>
      <vt:lpstr>dcas</vt:lpstr>
      <vt:lpstr>'прием ПКВ'!dcas_m</vt:lpstr>
      <vt:lpstr>'реверсивный поток'!dcas_m</vt:lpstr>
      <vt:lpstr>dcas_m</vt:lpstr>
      <vt:lpstr>'прием ПКВ'!dintake</vt:lpstr>
      <vt:lpstr>'реверсивный поток'!dintake</vt:lpstr>
      <vt:lpstr>dintake</vt:lpstr>
      <vt:lpstr>'прием ПКВ'!dintake_m</vt:lpstr>
      <vt:lpstr>'реверсивный поток'!dintake_m</vt:lpstr>
      <vt:lpstr>dintake_m</vt:lpstr>
      <vt:lpstr>'прием ПКВ'!feed_json</vt:lpstr>
      <vt:lpstr>'реверсивный поток'!feed_json</vt:lpstr>
      <vt:lpstr>feed_json</vt:lpstr>
      <vt:lpstr>'прием ПКВ'!hint</vt:lpstr>
      <vt:lpstr>'реверсивный поток'!hint</vt:lpstr>
      <vt:lpstr>hint</vt:lpstr>
      <vt:lpstr>hperf</vt:lpstr>
      <vt:lpstr>'прием ПКВ'!mu_gas</vt:lpstr>
      <vt:lpstr>'реверсивный поток'!mu_gas</vt:lpstr>
      <vt:lpstr>mu_gas</vt:lpstr>
      <vt:lpstr>'прием ПКВ'!mu_liq</vt:lpstr>
      <vt:lpstr>'реверсивный поток'!mu_liq</vt:lpstr>
      <vt:lpstr>mu_liq</vt:lpstr>
      <vt:lpstr>'прием ПКВ'!p</vt:lpstr>
      <vt:lpstr>'реверсивный поток'!p</vt:lpstr>
      <vt:lpstr>p</vt:lpstr>
      <vt:lpstr>'прием ПКВ'!pkv_ratio</vt:lpstr>
      <vt:lpstr>pkv_ratio</vt:lpstr>
      <vt:lpstr>'прием ПКВ'!PVT_json</vt:lpstr>
      <vt:lpstr>'реверсивный поток'!PVT_json</vt:lpstr>
      <vt:lpstr>PVT_json</vt:lpstr>
      <vt:lpstr>'прием ПКВ'!Qgas_in_situ</vt:lpstr>
      <vt:lpstr>'реверсивный поток'!Qgas_in_situ</vt:lpstr>
      <vt:lpstr>Qgas_in_situ</vt:lpstr>
      <vt:lpstr>'прием ПКВ'!Qliq_in_situ</vt:lpstr>
      <vt:lpstr>'реверсивный поток'!Qliq_in_situ</vt:lpstr>
      <vt:lpstr>Qliq_in_situ</vt:lpstr>
      <vt:lpstr>'прием ПКВ'!st</vt:lpstr>
      <vt:lpstr>'реверсивный поток'!st</vt:lpstr>
      <vt:lpstr>st</vt:lpstr>
      <vt:lpstr>'прием ПКВ'!t</vt:lpstr>
      <vt:lpstr>'реверсивный поток'!t</vt:lpstr>
      <vt:lpstr>t</vt:lpstr>
      <vt:lpstr>v_ooz</vt:lpstr>
      <vt:lpstr>v_sl</vt:lpstr>
      <vt:lpstr>'прием ПКВ'!Плотность_газа</vt:lpstr>
      <vt:lpstr>'реверсивный поток'!Плотность_газа</vt:lpstr>
      <vt:lpstr>Плотность_газа</vt:lpstr>
      <vt:lpstr>'прием ПКВ'!Плотность_жидкости</vt:lpstr>
      <vt:lpstr>'реверсивный поток'!Плотность_жидкости</vt:lpstr>
      <vt:lpstr>Плотность_жидкости</vt:lpstr>
      <vt:lpstr>'прием ПКВ'!Пов._Натяжение</vt:lpstr>
      <vt:lpstr>'реверсивный поток'!Пов._Натяжение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2023-04-02T10:53:36Z</dcterms:created>
  <dcterms:modified xsi:type="dcterms:W3CDTF">2023-04-20T15:08:49Z</dcterms:modified>
</cp:coreProperties>
</file>