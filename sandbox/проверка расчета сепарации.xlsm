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E8E170A6-48CB-4B2B-9845-E1B3D3FD8C3A}" xr6:coauthVersionLast="47" xr6:coauthVersionMax="47" xr10:uidLastSave="{00000000-0000-0000-0000-000000000000}"/>
  <bookViews>
    <workbookView xWindow="-120" yWindow="-120" windowWidth="38640" windowHeight="21240" activeTab="2" xr2:uid="{26514309-3F53-4B4B-855D-536B1B29DCF5}"/>
  </bookViews>
  <sheets>
    <sheet name="прием ЭЦН" sheetId="1" r:id="rId1"/>
    <sheet name="реверсивный поток" sheetId="6" r:id="rId2"/>
    <sheet name="прием ПКВ" sheetId="8" r:id="rId3"/>
    <sheet name="оценка диаметра" sheetId="2" r:id="rId4"/>
  </sheets>
  <externalReferences>
    <externalReference r:id="rId5"/>
  </externalReferences>
  <definedNames>
    <definedName name="calibr_li" localSheetId="2">'прием ПКВ'!$I$11</definedName>
    <definedName name="calibr_li" localSheetId="1">'реверсивный поток'!$I$11</definedName>
    <definedName name="calibr_li">'прием ЭЦН'!$I$11</definedName>
    <definedName name="calibr_st" localSheetId="2">'прием ПКВ'!$I$12</definedName>
    <definedName name="calibr_st" localSheetId="1">'реверсивный поток'!$I$12</definedName>
    <definedName name="calibr_st">'прием ЭЦН'!$I$12</definedName>
    <definedName name="dcas" localSheetId="2">'прием ПКВ'!$I$6</definedName>
    <definedName name="dcas" localSheetId="1">'реверсивный поток'!$I$6</definedName>
    <definedName name="dcas">'прием ЭЦН'!$I$6</definedName>
    <definedName name="dcas_m" localSheetId="2">'прием ПКВ'!$K$6</definedName>
    <definedName name="dcas_m" localSheetId="1">'реверсивный поток'!$K$6</definedName>
    <definedName name="dcas_m">'прием ЭЦН'!$K$6</definedName>
    <definedName name="dintake" localSheetId="2">'прием ПКВ'!$I$7</definedName>
    <definedName name="dintake" localSheetId="1">'реверсивный поток'!$I$7</definedName>
    <definedName name="dintake">'прием ЭЦН'!$I$7</definedName>
    <definedName name="dintake_m" localSheetId="2">'прием ПКВ'!$K$7</definedName>
    <definedName name="dintake_m" localSheetId="1">'реверсивный поток'!$K$7</definedName>
    <definedName name="dintake_m">'прием ЭЦН'!$K$7</definedName>
    <definedName name="dtub">'прием ПКВ'!$I$5</definedName>
    <definedName name="feed_json" localSheetId="2">'прием ПКВ'!$E$20</definedName>
    <definedName name="feed_json" localSheetId="1">'реверсивный поток'!$E$20</definedName>
    <definedName name="feed_json">'прием ЭЦН'!$E$20</definedName>
    <definedName name="feed_json_1">#REF!</definedName>
    <definedName name="hint" localSheetId="2">'прием ПКВ'!$K$8</definedName>
    <definedName name="hint" localSheetId="1">'реверсивный поток'!$K$8</definedName>
    <definedName name="hint">'прием ЭЦН'!$K$8</definedName>
    <definedName name="hperf">'реверсивный поток'!$I$13</definedName>
    <definedName name="mu_gas" localSheetId="2">'прием ПКВ'!$N$12</definedName>
    <definedName name="mu_gas" localSheetId="1">'реверсивный поток'!$N$12</definedName>
    <definedName name="mu_gas">'прием ЭЦН'!$N$12</definedName>
    <definedName name="mu_liq" localSheetId="2">'прием ПКВ'!$N$11</definedName>
    <definedName name="mu_liq" localSheetId="1">'реверсивный поток'!$N$11</definedName>
    <definedName name="mu_liq">'прием ЭЦН'!$N$11</definedName>
    <definedName name="p" localSheetId="2">'прием ПКВ'!$I$9</definedName>
    <definedName name="p" localSheetId="1">'реверсивный поток'!$I$9</definedName>
    <definedName name="p">'прием ЭЦН'!$I$9</definedName>
    <definedName name="pkv_ratio" localSheetId="2">'прием ПКВ'!$I$13</definedName>
    <definedName name="pkv_ratio">'прием ЭЦН'!$I$12</definedName>
    <definedName name="PVT_json" localSheetId="2">'прием ПКВ'!$E$15</definedName>
    <definedName name="PVT_json" localSheetId="1">'реверсивный поток'!$E$15</definedName>
    <definedName name="PVT_json">'прием ЭЦН'!$E$15</definedName>
    <definedName name="PVT_json_1">#REF!</definedName>
    <definedName name="Qgas_in_situ" localSheetId="2">'прием ПКВ'!$N$10</definedName>
    <definedName name="Qgas_in_situ" localSheetId="1">'реверсивный поток'!$N$10</definedName>
    <definedName name="Qgas_in_situ">'прием ЭЦН'!$N$10</definedName>
    <definedName name="Qliq_in_situ" localSheetId="2">'прием ПКВ'!$N$9</definedName>
    <definedName name="Qliq_in_situ" localSheetId="1">'реверсивный поток'!$N$9</definedName>
    <definedName name="Qliq_in_situ">'прием ЭЦН'!$N$9</definedName>
    <definedName name="st" localSheetId="2">'прием ПКВ'!$P$8</definedName>
    <definedName name="st" localSheetId="1">'реверсивный поток'!$P$8</definedName>
    <definedName name="st">'прием ЭЦН'!$P$8</definedName>
    <definedName name="t" localSheetId="2">'прием ПКВ'!$I$10</definedName>
    <definedName name="t" localSheetId="1">'реверсивный поток'!$I$10</definedName>
    <definedName name="t">'прием ЭЦН'!$I$10</definedName>
    <definedName name="v_ooz">'оценка диаметра'!$H$15</definedName>
    <definedName name="v_sl">'оценка диаметра'!$H$16</definedName>
    <definedName name="Плотность_газа" localSheetId="2">'прием ПКВ'!$N$7</definedName>
    <definedName name="Плотность_газа" localSheetId="1">'реверсивный поток'!$N$7</definedName>
    <definedName name="Плотность_газа">'прием ЭЦН'!$N$7</definedName>
    <definedName name="Плотность_жидкости" localSheetId="2">'прием ПКВ'!$N$6</definedName>
    <definedName name="Плотность_жидкости" localSheetId="1">'реверсивный поток'!$N$6</definedName>
    <definedName name="Плотность_жидкости">'прием ЭЦН'!$N$6</definedName>
    <definedName name="Пов._Натяжение" localSheetId="2">'прием ПКВ'!$N$8</definedName>
    <definedName name="Пов._Натяжение" localSheetId="1">'реверсивный поток'!$N$8</definedName>
    <definedName name="Пов._Натяжение">'прием ЭЦН'!$N$8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8" l="1"/>
  <c r="G16" i="8" l="1"/>
  <c r="F48" i="1" l="1"/>
  <c r="F48" i="8"/>
  <c r="K8" i="8"/>
  <c r="L75" i="8" s="1"/>
  <c r="K7" i="8"/>
  <c r="K6" i="8"/>
  <c r="K74" i="8" s="1"/>
  <c r="K75" i="8" s="1"/>
  <c r="N75" i="8" s="1"/>
  <c r="Q75" i="8" s="1"/>
  <c r="E15" i="8"/>
  <c r="G34" i="8"/>
  <c r="I37" i="8" a="1"/>
  <c r="M34" i="8" a="1"/>
  <c r="G31" i="8"/>
  <c r="I38" i="8" a="1"/>
  <c r="M31" i="8" a="1"/>
  <c r="G35" i="8"/>
  <c r="M35" i="8" a="1"/>
  <c r="G48" i="8"/>
  <c r="N48" i="8" a="1"/>
  <c r="L34" i="8" a="1"/>
  <c r="J31" i="8" a="1"/>
  <c r="N12" i="8" a="1"/>
  <c r="I30" i="8" a="1"/>
  <c r="N34" i="8" a="1"/>
  <c r="I32" i="8" a="1"/>
  <c r="G30" i="8"/>
  <c r="I48" i="8" a="1"/>
  <c r="G39" i="8"/>
  <c r="I35" i="8" a="1"/>
  <c r="G38" i="8"/>
  <c r="J30" i="8" a="1"/>
  <c r="M38" i="8" a="1"/>
  <c r="E20" i="8"/>
  <c r="I40" i="8" a="1"/>
  <c r="M48" i="8" a="1"/>
  <c r="G40" i="8"/>
  <c r="I36" i="8" a="1"/>
  <c r="G37" i="8"/>
  <c r="G32" i="8"/>
  <c r="N7" i="8" a="1"/>
  <c r="I29" i="8" a="1"/>
  <c r="G33" i="8"/>
  <c r="I39" i="8" a="1"/>
  <c r="I33" i="8" a="1"/>
  <c r="I31" i="8" a="1"/>
  <c r="G29" i="8"/>
  <c r="G36" i="8"/>
  <c r="I34" i="8" a="1"/>
  <c r="J34" i="8" a="1"/>
  <c r="H34" i="8" a="1"/>
  <c r="L31" i="8" a="1"/>
  <c r="K31" i="8" a="1"/>
  <c r="N31" i="8" a="1"/>
  <c r="H31" i="8" a="1"/>
  <c r="K35" i="8" a="1"/>
  <c r="N35" i="8" a="1"/>
  <c r="H35" i="8" a="1"/>
  <c r="L35" i="8" a="1"/>
  <c r="J35" i="8" a="1"/>
  <c r="K48" i="8" a="1"/>
  <c r="J48" i="8" a="1"/>
  <c r="L48" i="8" a="1"/>
  <c r="H48" i="8" a="1"/>
  <c r="L30" i="8" a="1"/>
  <c r="H30" i="8" a="1"/>
  <c r="K30" i="8" a="1"/>
  <c r="N30" i="8" a="1"/>
  <c r="M30" i="8" a="1"/>
  <c r="M39" i="8" a="1"/>
  <c r="H39" i="8" a="1"/>
  <c r="N39" i="8" a="1"/>
  <c r="J39" i="8" a="1"/>
  <c r="L39" i="8" a="1"/>
  <c r="K39" i="8" a="1"/>
  <c r="H38" i="8" a="1"/>
  <c r="K38" i="8" a="1"/>
  <c r="J38" i="8" a="1"/>
  <c r="N38" i="8" a="1"/>
  <c r="L38" i="8" a="1"/>
  <c r="N8" i="8" a="1"/>
  <c r="N6" i="8" a="1"/>
  <c r="N9" i="8" a="1"/>
  <c r="N11" i="8" a="1"/>
  <c r="N10" i="8" a="1"/>
  <c r="J40" i="8" a="1"/>
  <c r="K40" i="8" a="1"/>
  <c r="N40" i="8" a="1"/>
  <c r="L40" i="8" a="1"/>
  <c r="M40" i="8" a="1"/>
  <c r="H40" i="8" a="1"/>
  <c r="M37" i="8" a="1"/>
  <c r="K37" i="8" a="1"/>
  <c r="H37" i="8" a="1"/>
  <c r="N37" i="8" a="1"/>
  <c r="J37" i="8" a="1"/>
  <c r="L37" i="8" a="1"/>
  <c r="J32" i="8" a="1"/>
  <c r="K32" i="8" a="1"/>
  <c r="L32" i="8" a="1"/>
  <c r="M32" i="8" a="1"/>
  <c r="H32" i="8" a="1"/>
  <c r="N32" i="8" a="1"/>
  <c r="L33" i="8" a="1"/>
  <c r="H33" i="8" a="1"/>
  <c r="J33" i="8" a="1"/>
  <c r="N33" i="8" a="1"/>
  <c r="K33" i="8" a="1"/>
  <c r="M33" i="8" a="1"/>
  <c r="L29" i="8" a="1"/>
  <c r="M29" i="8" a="1"/>
  <c r="K29" i="8" a="1"/>
  <c r="H29" i="8" a="1"/>
  <c r="N29" i="8" a="1"/>
  <c r="J29" i="8" a="1"/>
  <c r="J36" i="8" a="1"/>
  <c r="H36" i="8" a="1"/>
  <c r="M36" i="8" a="1"/>
  <c r="L36" i="8" a="1"/>
  <c r="N36" i="8" a="1"/>
  <c r="K36" i="8" a="1"/>
  <c r="I19" i="8" l="1"/>
  <c r="I21" i="8" s="1"/>
  <c r="I22" i="8" s="1"/>
  <c r="R74" i="8"/>
  <c r="R75" i="8"/>
  <c r="O75" i="8"/>
  <c r="H74" i="8"/>
  <c r="H75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75" i="8"/>
  <c r="I75" i="8"/>
  <c r="E74" i="8"/>
  <c r="M75" i="6"/>
  <c r="J75" i="6"/>
  <c r="G75" i="6"/>
  <c r="F48" i="6"/>
  <c r="K7" i="6"/>
  <c r="I74" i="6" s="1"/>
  <c r="I75" i="6" s="1"/>
  <c r="K6" i="6"/>
  <c r="L74" i="6" s="1"/>
  <c r="L75" i="6" s="1"/>
  <c r="K8" i="1"/>
  <c r="R32" i="8" a="1"/>
  <c r="P29" i="8" a="1"/>
  <c r="O30" i="8" a="1"/>
  <c r="O31" i="8" a="1"/>
  <c r="O37" i="8" a="1"/>
  <c r="R29" i="8" a="1"/>
  <c r="R30" i="8" a="1"/>
  <c r="R37" i="8" a="1"/>
  <c r="P33" i="8" a="1"/>
  <c r="O29" i="8" a="1"/>
  <c r="P38" i="8" a="1"/>
  <c r="P39" i="8" a="1"/>
  <c r="R36" i="8" a="1"/>
  <c r="R33" i="8" a="1"/>
  <c r="P37" i="8" a="1"/>
  <c r="O33" i="8" a="1"/>
  <c r="E53" i="8" a="1"/>
  <c r="O36" i="8" a="1"/>
  <c r="R38" i="8" a="1"/>
  <c r="P40" i="8" a="1"/>
  <c r="R48" i="8" a="1"/>
  <c r="O35" i="8" a="1"/>
  <c r="R40" i="8" a="1"/>
  <c r="P30" i="8" a="1"/>
  <c r="R31" i="8" a="1"/>
  <c r="R39" i="8" a="1"/>
  <c r="P31" i="8" a="1"/>
  <c r="O40" i="8" a="1"/>
  <c r="O39" i="8" a="1"/>
  <c r="P36" i="8" a="1"/>
  <c r="P32" i="8" a="1"/>
  <c r="R35" i="8" a="1"/>
  <c r="O38" i="8" a="1"/>
  <c r="P35" i="8" a="1"/>
  <c r="O32" i="8" a="1"/>
  <c r="K34" i="8" a="1"/>
  <c r="E15" i="6"/>
  <c r="I31" i="6" a="1"/>
  <c r="E20" i="6"/>
  <c r="N8" i="6" a="1"/>
  <c r="G29" i="6"/>
  <c r="G37" i="6"/>
  <c r="N37" i="6" s="1" a="1"/>
  <c r="G32" i="6"/>
  <c r="I38" i="6" a="1"/>
  <c r="J29" i="6" a="1"/>
  <c r="G36" i="6"/>
  <c r="H37" i="6" a="1"/>
  <c r="H36" i="6" a="1"/>
  <c r="K37" i="6" a="1"/>
  <c r="G48" i="6"/>
  <c r="M29" i="6" a="1"/>
  <c r="I34" i="6" a="1"/>
  <c r="L48" i="6" a="1"/>
  <c r="G30" i="6"/>
  <c r="M37" i="6" a="1"/>
  <c r="M36" i="6" a="1"/>
  <c r="L37" i="6" a="1"/>
  <c r="I48" i="6" a="1"/>
  <c r="K32" i="6" a="1"/>
  <c r="I29" i="6" a="1"/>
  <c r="I39" i="6" a="1"/>
  <c r="I30" i="6" a="1"/>
  <c r="L36" i="6" a="1"/>
  <c r="K36" i="6" a="1"/>
  <c r="G39" i="6"/>
  <c r="J37" i="6" a="1"/>
  <c r="G40" i="6"/>
  <c r="I40" i="6" a="1"/>
  <c r="G38" i="6"/>
  <c r="I32" i="6" a="1"/>
  <c r="G35" i="6"/>
  <c r="G31" i="6"/>
  <c r="I37" i="6" a="1"/>
  <c r="G34" i="6"/>
  <c r="N7" i="6" a="1"/>
  <c r="I33" i="6" a="1"/>
  <c r="I35" i="6" a="1"/>
  <c r="N12" i="6" a="1"/>
  <c r="I36" i="6" a="1"/>
  <c r="G33" i="6"/>
  <c r="N9" i="6" a="1"/>
  <c r="N10" i="6" a="1"/>
  <c r="N6" i="6" a="1"/>
  <c r="N11" i="6" a="1"/>
  <c r="L29" i="6" a="1"/>
  <c r="H29" i="6" a="1"/>
  <c r="K29" i="6" a="1"/>
  <c r="N29" i="6" a="1"/>
  <c r="L32" i="6" a="1"/>
  <c r="M32" i="6" a="1"/>
  <c r="N32" i="6" a="1"/>
  <c r="J32" i="6" a="1"/>
  <c r="H32" i="6" a="1"/>
  <c r="J36" i="6" a="1"/>
  <c r="N36" i="6" a="1"/>
  <c r="J48" i="6" a="1"/>
  <c r="M48" i="6" a="1"/>
  <c r="N48" i="6" a="1"/>
  <c r="H48" i="6" a="1"/>
  <c r="K48" i="6" a="1"/>
  <c r="K30" i="6" a="1"/>
  <c r="H30" i="6" a="1"/>
  <c r="L30" i="6" a="1"/>
  <c r="M30" i="6" a="1"/>
  <c r="N30" i="6" a="1"/>
  <c r="J30" i="6" a="1"/>
  <c r="M39" i="6" a="1"/>
  <c r="L39" i="6" a="1"/>
  <c r="H39" i="6" a="1"/>
  <c r="J39" i="6" a="1"/>
  <c r="K39" i="6" a="1"/>
  <c r="N39" i="6" a="1"/>
  <c r="N40" i="6" a="1"/>
  <c r="K40" i="6" a="1"/>
  <c r="M40" i="6" a="1"/>
  <c r="J40" i="6" a="1"/>
  <c r="H40" i="6" a="1"/>
  <c r="L40" i="6" a="1"/>
  <c r="K38" i="6" a="1"/>
  <c r="N38" i="6" a="1"/>
  <c r="H38" i="6" a="1"/>
  <c r="J38" i="6" a="1"/>
  <c r="L38" i="6" a="1"/>
  <c r="M38" i="6" a="1"/>
  <c r="K35" i="6" a="1"/>
  <c r="M35" i="6" a="1"/>
  <c r="J35" i="6" a="1"/>
  <c r="N35" i="6" a="1"/>
  <c r="H35" i="6" a="1"/>
  <c r="L35" i="6" a="1"/>
  <c r="N31" i="6" a="1"/>
  <c r="M31" i="6" a="1"/>
  <c r="H31" i="6" a="1"/>
  <c r="L31" i="6" a="1"/>
  <c r="J31" i="6" a="1"/>
  <c r="K31" i="6" a="1"/>
  <c r="M34" i="6" a="1"/>
  <c r="N34" i="6" a="1"/>
  <c r="L34" i="6" a="1"/>
  <c r="J34" i="6" a="1"/>
  <c r="H34" i="6" a="1"/>
  <c r="K34" i="6" a="1"/>
  <c r="M33" i="6" a="1"/>
  <c r="H33" i="6" a="1"/>
  <c r="N33" i="6" a="1"/>
  <c r="J33" i="6" a="1"/>
  <c r="L33" i="6" a="1"/>
  <c r="K33" i="6" a="1"/>
  <c r="K34" i="8" l="1"/>
  <c r="R40" i="8"/>
  <c r="AD39" i="8"/>
  <c r="S39" i="8"/>
  <c r="V39" i="8"/>
  <c r="W39" i="8"/>
  <c r="X39" i="8"/>
  <c r="Y39" i="8"/>
  <c r="Z39" i="8"/>
  <c r="AB39" i="8"/>
  <c r="AC39" i="8"/>
  <c r="AA39" i="8"/>
  <c r="R39" i="8"/>
  <c r="AE39" i="8"/>
  <c r="T39" i="8"/>
  <c r="U39" i="8"/>
  <c r="S35" i="8"/>
  <c r="AD35" i="8"/>
  <c r="T35" i="8"/>
  <c r="W35" i="8"/>
  <c r="X35" i="8"/>
  <c r="Y35" i="8"/>
  <c r="Z35" i="8"/>
  <c r="AB35" i="8"/>
  <c r="AC35" i="8"/>
  <c r="R35" i="8"/>
  <c r="AE35" i="8"/>
  <c r="U35" i="8"/>
  <c r="V35" i="8"/>
  <c r="AA35" i="8"/>
  <c r="AB38" i="8"/>
  <c r="T38" i="8"/>
  <c r="R38" i="8"/>
  <c r="U38" i="8"/>
  <c r="V38" i="8"/>
  <c r="W38" i="8"/>
  <c r="X38" i="8"/>
  <c r="AC38" i="8"/>
  <c r="AE38" i="8"/>
  <c r="Y38" i="8"/>
  <c r="Z38" i="8"/>
  <c r="AD38" i="8"/>
  <c r="S38" i="8"/>
  <c r="AA38" i="8"/>
  <c r="U33" i="8"/>
  <c r="T33" i="8"/>
  <c r="AE33" i="8"/>
  <c r="X33" i="8"/>
  <c r="V33" i="8"/>
  <c r="Z33" i="8"/>
  <c r="W33" i="8"/>
  <c r="AA33" i="8"/>
  <c r="Y33" i="8"/>
  <c r="AB33" i="8"/>
  <c r="R33" i="8"/>
  <c r="AC33" i="8"/>
  <c r="AD33" i="8"/>
  <c r="S33" i="8"/>
  <c r="W37" i="8"/>
  <c r="S37" i="8"/>
  <c r="U37" i="8"/>
  <c r="V37" i="8"/>
  <c r="Z37" i="8"/>
  <c r="AB37" i="8"/>
  <c r="AC37" i="8"/>
  <c r="R37" i="8"/>
  <c r="AE37" i="8"/>
  <c r="AA37" i="8"/>
  <c r="AD37" i="8"/>
  <c r="T37" i="8"/>
  <c r="X37" i="8"/>
  <c r="Y37" i="8"/>
  <c r="AE32" i="8"/>
  <c r="W32" i="8"/>
  <c r="Y32" i="8"/>
  <c r="T32" i="8"/>
  <c r="U32" i="8"/>
  <c r="AA32" i="8"/>
  <c r="Z32" i="8"/>
  <c r="AB32" i="8"/>
  <c r="X32" i="8"/>
  <c r="V32" i="8"/>
  <c r="AC32" i="8"/>
  <c r="R32" i="8"/>
  <c r="AD32" i="8"/>
  <c r="S32" i="8"/>
  <c r="AB31" i="8"/>
  <c r="Z31" i="8"/>
  <c r="S31" i="8"/>
  <c r="U31" i="8"/>
  <c r="V31" i="8"/>
  <c r="AC31" i="8"/>
  <c r="Y31" i="8"/>
  <c r="R31" i="8"/>
  <c r="AD31" i="8"/>
  <c r="AA31" i="8"/>
  <c r="AE31" i="8"/>
  <c r="X31" i="8"/>
  <c r="T31" i="8"/>
  <c r="W31" i="8"/>
  <c r="V30" i="8"/>
  <c r="X30" i="8"/>
  <c r="AB30" i="8"/>
  <c r="AC30" i="8"/>
  <c r="R30" i="8"/>
  <c r="AD30" i="8"/>
  <c r="Z30" i="8"/>
  <c r="Y30" i="8"/>
  <c r="AA30" i="8"/>
  <c r="U30" i="8"/>
  <c r="W30" i="8"/>
  <c r="AE30" i="8"/>
  <c r="T30" i="8"/>
  <c r="S30" i="8"/>
  <c r="Y36" i="8"/>
  <c r="R36" i="8"/>
  <c r="X36" i="8"/>
  <c r="AB36" i="8"/>
  <c r="AD36" i="8"/>
  <c r="S36" i="8"/>
  <c r="T36" i="8"/>
  <c r="AE36" i="8"/>
  <c r="AC36" i="8"/>
  <c r="V36" i="8"/>
  <c r="U36" i="8"/>
  <c r="W36" i="8"/>
  <c r="AA36" i="8"/>
  <c r="Z36" i="8"/>
  <c r="T29" i="8"/>
  <c r="AB29" i="8"/>
  <c r="U29" i="8"/>
  <c r="W29" i="8"/>
  <c r="S29" i="8"/>
  <c r="V29" i="8"/>
  <c r="Y29" i="8"/>
  <c r="Z29" i="8"/>
  <c r="AA29" i="8"/>
  <c r="R29" i="8"/>
  <c r="AD29" i="8"/>
  <c r="X29" i="8"/>
  <c r="AE29" i="8"/>
  <c r="AC29" i="8"/>
  <c r="P40" i="8"/>
  <c r="P37" i="8"/>
  <c r="P33" i="8"/>
  <c r="P29" i="8"/>
  <c r="P32" i="8"/>
  <c r="P35" i="8"/>
  <c r="P36" i="8"/>
  <c r="P30" i="8"/>
  <c r="P39" i="8"/>
  <c r="P31" i="8"/>
  <c r="P38" i="8"/>
  <c r="R48" i="8"/>
  <c r="O38" i="8"/>
  <c r="O39" i="8"/>
  <c r="O40" i="8"/>
  <c r="O37" i="8"/>
  <c r="O31" i="8"/>
  <c r="O33" i="8"/>
  <c r="O29" i="8"/>
  <c r="O30" i="8"/>
  <c r="O32" i="8"/>
  <c r="O35" i="8"/>
  <c r="O36" i="8"/>
  <c r="L74" i="8"/>
  <c r="I74" i="8" s="1"/>
  <c r="E53" i="8"/>
  <c r="Q74" i="8"/>
  <c r="E75" i="8"/>
  <c r="N74" i="8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N37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L40" i="6"/>
  <c r="K40" i="6"/>
  <c r="J40" i="6"/>
  <c r="N40" i="6"/>
  <c r="H40" i="6"/>
  <c r="M40" i="6"/>
  <c r="L34" i="6"/>
  <c r="K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O34" i="8" a="1"/>
  <c r="R34" i="8" a="1"/>
  <c r="P34" i="8" a="1"/>
  <c r="O36" i="6" a="1"/>
  <c r="O33" i="6" a="1"/>
  <c r="R35" i="6" a="1"/>
  <c r="O40" i="6" a="1"/>
  <c r="O37" i="6" a="1"/>
  <c r="R48" i="6" a="1"/>
  <c r="R39" i="6" a="1"/>
  <c r="E53" i="6" a="1"/>
  <c r="O39" i="6" a="1"/>
  <c r="O35" i="6" a="1"/>
  <c r="R32" i="6" a="1"/>
  <c r="R37" i="6" a="1"/>
  <c r="R40" i="6" a="1"/>
  <c r="O32" i="6" a="1"/>
  <c r="O29" i="6" a="1"/>
  <c r="R38" i="6" a="1"/>
  <c r="R36" i="6" a="1"/>
  <c r="R33" i="6" a="1"/>
  <c r="R30" i="6" a="1"/>
  <c r="O30" i="6" a="1"/>
  <c r="R29" i="6" a="1"/>
  <c r="O38" i="6" a="1"/>
  <c r="O31" i="6" a="1"/>
  <c r="O34" i="6" a="1"/>
  <c r="R31" i="6" a="1"/>
  <c r="R34" i="6" a="1"/>
  <c r="AE37" i="6" a="1"/>
  <c r="AE33" i="6" a="1"/>
  <c r="AE40" i="6" a="1"/>
  <c r="AE29" i="6" a="1"/>
  <c r="AE35" i="6" a="1"/>
  <c r="AE30" i="6" a="1"/>
  <c r="AE39" i="6" a="1"/>
  <c r="E55" i="8" a="1"/>
  <c r="R55" i="8" a="1"/>
  <c r="AE36" i="6" a="1"/>
  <c r="AE38" i="6" a="1"/>
  <c r="AD55" i="8" a="1"/>
  <c r="AE32" i="6" a="1"/>
  <c r="AE34" i="6" a="1"/>
  <c r="U55" i="8" a="1"/>
  <c r="L55" i="8" a="1"/>
  <c r="AE31" i="6" a="1"/>
  <c r="I55" i="8" a="1"/>
  <c r="X55" i="8" a="1"/>
  <c r="AA55" i="8" a="1"/>
  <c r="O55" i="8" a="1"/>
  <c r="P34" i="8" l="1"/>
  <c r="S34" i="8"/>
  <c r="AD34" i="8"/>
  <c r="R34" i="8"/>
  <c r="W34" i="8"/>
  <c r="AA34" i="8"/>
  <c r="V34" i="8"/>
  <c r="U34" i="8"/>
  <c r="T34" i="8"/>
  <c r="Z34" i="8"/>
  <c r="AB34" i="8"/>
  <c r="AE34" i="8"/>
  <c r="X34" i="8"/>
  <c r="AC34" i="8"/>
  <c r="Y34" i="8"/>
  <c r="O34" i="8"/>
  <c r="O37" i="6"/>
  <c r="O35" i="6"/>
  <c r="O40" i="6"/>
  <c r="O33" i="6"/>
  <c r="O36" i="6"/>
  <c r="O34" i="6"/>
  <c r="O39" i="6"/>
  <c r="O31" i="6"/>
  <c r="O38" i="6"/>
  <c r="O30" i="6"/>
  <c r="O29" i="6"/>
  <c r="O32" i="6"/>
  <c r="R48" i="6"/>
  <c r="S39" i="6"/>
  <c r="V39" i="6"/>
  <c r="W39" i="6"/>
  <c r="X39" i="6"/>
  <c r="T39" i="6"/>
  <c r="R39" i="6"/>
  <c r="U39" i="6"/>
  <c r="Y39" i="6"/>
  <c r="Y34" i="6"/>
  <c r="R34" i="6"/>
  <c r="S34" i="6"/>
  <c r="U34" i="6"/>
  <c r="V34" i="6"/>
  <c r="T34" i="6"/>
  <c r="W34" i="6"/>
  <c r="X34" i="6"/>
  <c r="V35" i="6"/>
  <c r="Y35" i="6"/>
  <c r="X35" i="6"/>
  <c r="W35" i="6"/>
  <c r="T35" i="6"/>
  <c r="U35" i="6"/>
  <c r="R35" i="6"/>
  <c r="S35" i="6"/>
  <c r="S29" i="6"/>
  <c r="U29" i="6"/>
  <c r="T29" i="6"/>
  <c r="V29" i="6"/>
  <c r="W29" i="6"/>
  <c r="X29" i="6"/>
  <c r="Y29" i="6"/>
  <c r="R29" i="6"/>
  <c r="U31" i="6"/>
  <c r="T31" i="6"/>
  <c r="V31" i="6"/>
  <c r="W31" i="6"/>
  <c r="Y31" i="6"/>
  <c r="S31" i="6"/>
  <c r="X31" i="6"/>
  <c r="R31" i="6"/>
  <c r="T30" i="6"/>
  <c r="R30" i="6"/>
  <c r="U30" i="6"/>
  <c r="V30" i="6"/>
  <c r="S30" i="6"/>
  <c r="W30" i="6"/>
  <c r="X30" i="6"/>
  <c r="Y30" i="6"/>
  <c r="T33" i="6"/>
  <c r="X33" i="6"/>
  <c r="V33" i="6"/>
  <c r="W33" i="6"/>
  <c r="Y33" i="6"/>
  <c r="R33" i="6"/>
  <c r="S33" i="6"/>
  <c r="U33" i="6"/>
  <c r="R40" i="6"/>
  <c r="U36" i="6"/>
  <c r="W36" i="6"/>
  <c r="Y36" i="6"/>
  <c r="S36" i="6"/>
  <c r="T36" i="6"/>
  <c r="R36" i="6"/>
  <c r="X36" i="6"/>
  <c r="V36" i="6"/>
  <c r="U38" i="6"/>
  <c r="Y38" i="6"/>
  <c r="X38" i="6"/>
  <c r="V38" i="6"/>
  <c r="T38" i="6"/>
  <c r="W38" i="6"/>
  <c r="R38" i="6"/>
  <c r="S38" i="6"/>
  <c r="V37" i="6"/>
  <c r="X37" i="6"/>
  <c r="Y37" i="6"/>
  <c r="W37" i="6"/>
  <c r="U37" i="6"/>
  <c r="R37" i="6"/>
  <c r="S37" i="6"/>
  <c r="T37" i="6"/>
  <c r="Y32" i="6"/>
  <c r="T32" i="6"/>
  <c r="X32" i="6"/>
  <c r="V32" i="6"/>
  <c r="S32" i="6"/>
  <c r="U32" i="6"/>
  <c r="R32" i="6"/>
  <c r="W32" i="6"/>
  <c r="AE32" i="6"/>
  <c r="AE38" i="6"/>
  <c r="AE34" i="6"/>
  <c r="AE39" i="6"/>
  <c r="AE40" i="6"/>
  <c r="AG40" i="6" s="1"/>
  <c r="AI40" i="6" s="1"/>
  <c r="E53" i="6"/>
  <c r="AE37" i="6"/>
  <c r="AE31" i="6"/>
  <c r="AE36" i="6"/>
  <c r="AE35" i="6"/>
  <c r="AE30" i="6"/>
  <c r="AE29" i="6"/>
  <c r="AE33" i="6"/>
  <c r="O55" i="8"/>
  <c r="AD55" i="8"/>
  <c r="L55" i="8"/>
  <c r="AA55" i="8"/>
  <c r="I55" i="8"/>
  <c r="X55" i="8"/>
  <c r="U55" i="8"/>
  <c r="R55" i="8"/>
  <c r="E55" i="8"/>
  <c r="AJ40" i="6"/>
  <c r="F75" i="6"/>
  <c r="M74" i="1"/>
  <c r="J74" i="1" s="1"/>
  <c r="E55" i="6" a="1"/>
  <c r="U55" i="6" a="1"/>
  <c r="I55" i="6" a="1"/>
  <c r="O55" i="6" a="1"/>
  <c r="R55" i="6" a="1"/>
  <c r="AD55" i="6" a="1"/>
  <c r="AA55" i="6" a="1"/>
  <c r="L55" i="6" a="1"/>
  <c r="X55" i="6" a="1"/>
  <c r="AG38" i="6" l="1"/>
  <c r="AI38" i="6" s="1"/>
  <c r="AG36" i="6"/>
  <c r="AI36" i="6" s="1"/>
  <c r="AG39" i="6"/>
  <c r="AI39" i="6" s="1"/>
  <c r="AG34" i="6"/>
  <c r="AI34" i="6" s="1"/>
  <c r="AG33" i="6"/>
  <c r="AI33" i="6" s="1"/>
  <c r="AG37" i="6"/>
  <c r="AI37" i="6" s="1"/>
  <c r="AG31" i="6"/>
  <c r="AI31" i="6" s="1"/>
  <c r="AG30" i="6"/>
  <c r="AI30" i="6" s="1"/>
  <c r="AG35" i="6"/>
  <c r="AI35" i="6" s="1"/>
  <c r="AG32" i="6"/>
  <c r="AI32" i="6" s="1"/>
  <c r="AG29" i="6"/>
  <c r="AI29" i="6" s="1"/>
  <c r="AJ29" i="6"/>
  <c r="AJ30" i="6"/>
  <c r="AJ34" i="6"/>
  <c r="AJ39" i="6"/>
  <c r="AJ36" i="6"/>
  <c r="AJ31" i="6"/>
  <c r="AJ32" i="6"/>
  <c r="AJ38" i="6"/>
  <c r="AJ35" i="6"/>
  <c r="AJ33" i="6"/>
  <c r="AJ37" i="6"/>
  <c r="O55" i="6"/>
  <c r="AD55" i="6"/>
  <c r="L55" i="6"/>
  <c r="AA55" i="6"/>
  <c r="I55" i="6"/>
  <c r="R55" i="6"/>
  <c r="X55" i="6"/>
  <c r="U55" i="6"/>
  <c r="E55" i="6"/>
  <c r="N17" i="2" l="1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O16" i="2" s="1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L16" i="2" s="1"/>
  <c r="K7" i="1"/>
  <c r="K6" i="1"/>
  <c r="L74" i="1" s="1"/>
  <c r="L75" i="1" s="1"/>
  <c r="O75" i="1" s="1"/>
  <c r="E15" i="1"/>
  <c r="I33" i="1" a="1"/>
  <c r="G31" i="1"/>
  <c r="I38" i="1" a="1"/>
  <c r="G48" i="1"/>
  <c r="J48" i="1" s="1" a="1"/>
  <c r="G37" i="1"/>
  <c r="G39" i="1"/>
  <c r="I40" i="1" a="1"/>
  <c r="G35" i="1"/>
  <c r="J35" i="1" s="1" a="1"/>
  <c r="M48" i="1" a="1"/>
  <c r="G36" i="1"/>
  <c r="G34" i="1"/>
  <c r="G38" i="1"/>
  <c r="H39" i="1" a="1"/>
  <c r="H35" i="1" a="1"/>
  <c r="N34" i="1" a="1"/>
  <c r="L48" i="1" a="1"/>
  <c r="H38" i="1" a="1"/>
  <c r="I36" i="1" a="1"/>
  <c r="L35" i="1" a="1"/>
  <c r="N48" i="1" a="1"/>
  <c r="I34" i="1" a="1"/>
  <c r="M37" i="1" a="1"/>
  <c r="L36" i="1" a="1"/>
  <c r="L37" i="1" a="1"/>
  <c r="N36" i="1" a="1"/>
  <c r="J37" i="1" a="1"/>
  <c r="I32" i="1" a="1"/>
  <c r="M31" i="1" a="1"/>
  <c r="N35" i="1" a="1"/>
  <c r="I29" i="1" a="1"/>
  <c r="N7" i="1" a="1"/>
  <c r="G32" i="1"/>
  <c r="K39" i="1" a="1"/>
  <c r="M35" i="1" a="1"/>
  <c r="L34" i="1" a="1"/>
  <c r="K48" i="1" a="1"/>
  <c r="L38" i="1" a="1"/>
  <c r="I39" i="1" a="1"/>
  <c r="G40" i="1"/>
  <c r="N12" i="1" a="1"/>
  <c r="M39" i="1" a="1"/>
  <c r="K35" i="1" a="1"/>
  <c r="M34" i="1" a="1"/>
  <c r="H48" i="1" a="1"/>
  <c r="I35" i="1" a="1"/>
  <c r="J39" i="1" a="1"/>
  <c r="L31" i="1" a="1"/>
  <c r="E20" i="1"/>
  <c r="H31" i="1" a="1"/>
  <c r="I30" i="1" a="1"/>
  <c r="H40" i="1" a="1"/>
  <c r="I37" i="1" a="1"/>
  <c r="N32" i="1" a="1"/>
  <c r="K36" i="1" a="1"/>
  <c r="N37" i="1" a="1"/>
  <c r="G33" i="1"/>
  <c r="G30" i="1"/>
  <c r="G29" i="1"/>
  <c r="I31" i="1" a="1"/>
  <c r="I48" i="1" a="1"/>
  <c r="J31" i="1" a="1"/>
  <c r="K31" i="1" a="1"/>
  <c r="N31" i="1" a="1"/>
  <c r="H37" i="1" a="1"/>
  <c r="K37" i="1" a="1"/>
  <c r="L39" i="1" a="1"/>
  <c r="N39" i="1" a="1"/>
  <c r="J36" i="1" a="1"/>
  <c r="M36" i="1" a="1"/>
  <c r="H36" i="1" a="1"/>
  <c r="J34" i="1" a="1"/>
  <c r="H34" i="1" a="1"/>
  <c r="K34" i="1" a="1"/>
  <c r="N38" i="1" a="1"/>
  <c r="K38" i="1" a="1"/>
  <c r="J38" i="1" a="1"/>
  <c r="M38" i="1" a="1"/>
  <c r="M32" i="1" a="1"/>
  <c r="H32" i="1" a="1"/>
  <c r="J32" i="1" a="1"/>
  <c r="L32" i="1" a="1"/>
  <c r="K32" i="1" a="1"/>
  <c r="L40" i="1" a="1"/>
  <c r="N40" i="1" a="1"/>
  <c r="J40" i="1" a="1"/>
  <c r="K40" i="1" a="1"/>
  <c r="M40" i="1" a="1"/>
  <c r="N10" i="1" a="1"/>
  <c r="N9" i="1" a="1"/>
  <c r="N6" i="1" a="1"/>
  <c r="L33" i="1" a="1"/>
  <c r="M33" i="1" a="1"/>
  <c r="H33" i="1" a="1"/>
  <c r="K33" i="1" a="1"/>
  <c r="N33" i="1" a="1"/>
  <c r="J33" i="1" a="1"/>
  <c r="H30" i="1" a="1"/>
  <c r="N30" i="1" a="1"/>
  <c r="M30" i="1" a="1"/>
  <c r="J30" i="1" a="1"/>
  <c r="L30" i="1" a="1"/>
  <c r="K30" i="1" a="1"/>
  <c r="K29" i="1" a="1"/>
  <c r="L29" i="1" a="1"/>
  <c r="H29" i="1" a="1"/>
  <c r="M29" i="1" a="1"/>
  <c r="J29" i="1" a="1"/>
  <c r="H48" i="1" l="1"/>
  <c r="M48" i="1"/>
  <c r="J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J35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O29" i="1" a="1"/>
  <c r="O35" i="1" a="1"/>
  <c r="R30" i="1" a="1"/>
  <c r="R31" i="1" a="1"/>
  <c r="O38" i="1" a="1"/>
  <c r="E53" i="1" a="1"/>
  <c r="O31" i="1" a="1"/>
  <c r="R48" i="1" a="1"/>
  <c r="O30" i="1" a="1"/>
  <c r="O40" i="1" a="1"/>
  <c r="R36" i="1" a="1"/>
  <c r="O34" i="1" a="1"/>
  <c r="P35" i="1" a="1"/>
  <c r="R37" i="1" a="1"/>
  <c r="P31" i="1" a="1"/>
  <c r="P32" i="1" a="1"/>
  <c r="R38" i="1" a="1"/>
  <c r="P33" i="1" a="1"/>
  <c r="O32" i="1" a="1"/>
  <c r="O39" i="1" a="1"/>
  <c r="P36" i="1" a="1"/>
  <c r="O36" i="1" a="1"/>
  <c r="R33" i="1" a="1"/>
  <c r="R35" i="1" a="1"/>
  <c r="P34" i="1" a="1"/>
  <c r="R34" i="1" a="1"/>
  <c r="O33" i="1" a="1"/>
  <c r="O37" i="1" a="1"/>
  <c r="R40" i="1" a="1"/>
  <c r="P37" i="1" a="1"/>
  <c r="P40" i="1" a="1"/>
  <c r="R39" i="1" a="1"/>
  <c r="R32" i="1" a="1"/>
  <c r="P39" i="1" a="1"/>
  <c r="P30" i="1" a="1"/>
  <c r="P38" i="1" a="1"/>
  <c r="N8" i="1" a="1"/>
  <c r="N11" i="1" a="1"/>
  <c r="N29" i="1" a="1"/>
  <c r="R32" i="1" l="1"/>
  <c r="S32" i="1"/>
  <c r="T32" i="1"/>
  <c r="Y32" i="1"/>
  <c r="U32" i="1"/>
  <c r="V32" i="1"/>
  <c r="W32" i="1"/>
  <c r="X32" i="1"/>
  <c r="R40" i="1"/>
  <c r="S34" i="1"/>
  <c r="T34" i="1"/>
  <c r="V34" i="1"/>
  <c r="W34" i="1"/>
  <c r="X34" i="1"/>
  <c r="Y34" i="1"/>
  <c r="R34" i="1"/>
  <c r="U34" i="1"/>
  <c r="Y35" i="1"/>
  <c r="V35" i="1"/>
  <c r="R35" i="1"/>
  <c r="S35" i="1"/>
  <c r="T35" i="1"/>
  <c r="U35" i="1"/>
  <c r="W35" i="1"/>
  <c r="X35" i="1"/>
  <c r="U33" i="1"/>
  <c r="V33" i="1"/>
  <c r="W33" i="1"/>
  <c r="X33" i="1"/>
  <c r="Y33" i="1"/>
  <c r="R33" i="1"/>
  <c r="S33" i="1"/>
  <c r="T33" i="1"/>
  <c r="X38" i="1"/>
  <c r="Y38" i="1"/>
  <c r="S38" i="1"/>
  <c r="T38" i="1"/>
  <c r="R38" i="1"/>
  <c r="U38" i="1"/>
  <c r="V38" i="1"/>
  <c r="W38" i="1"/>
  <c r="S37" i="1"/>
  <c r="T37" i="1"/>
  <c r="U37" i="1"/>
  <c r="V37" i="1"/>
  <c r="W37" i="1"/>
  <c r="R37" i="1"/>
  <c r="X37" i="1"/>
  <c r="Y37" i="1"/>
  <c r="W36" i="1"/>
  <c r="Y36" i="1"/>
  <c r="R36" i="1"/>
  <c r="S36" i="1"/>
  <c r="T36" i="1"/>
  <c r="X36" i="1"/>
  <c r="U36" i="1"/>
  <c r="V36" i="1"/>
  <c r="R48" i="1"/>
  <c r="E53" i="1"/>
  <c r="V31" i="1"/>
  <c r="W31" i="1"/>
  <c r="X31" i="1"/>
  <c r="R31" i="1"/>
  <c r="S31" i="1"/>
  <c r="T31" i="1"/>
  <c r="Y31" i="1"/>
  <c r="U31" i="1"/>
  <c r="V30" i="1"/>
  <c r="W30" i="1"/>
  <c r="X30" i="1"/>
  <c r="Y30" i="1"/>
  <c r="R30" i="1"/>
  <c r="T30" i="1"/>
  <c r="U30" i="1"/>
  <c r="S30" i="1"/>
  <c r="T39" i="1"/>
  <c r="V39" i="1"/>
  <c r="Y39" i="1"/>
  <c r="U39" i="1"/>
  <c r="W39" i="1"/>
  <c r="X39" i="1"/>
  <c r="R39" i="1"/>
  <c r="S39" i="1"/>
  <c r="P40" i="1"/>
  <c r="O37" i="1"/>
  <c r="P34" i="1"/>
  <c r="P33" i="1"/>
  <c r="O39" i="1"/>
  <c r="P32" i="1"/>
  <c r="P35" i="1"/>
  <c r="O40" i="1"/>
  <c r="O38" i="1"/>
  <c r="P38" i="1"/>
  <c r="O29" i="1"/>
  <c r="O35" i="1"/>
  <c r="P37" i="1"/>
  <c r="O33" i="1"/>
  <c r="O32" i="1"/>
  <c r="P36" i="1"/>
  <c r="O36" i="1"/>
  <c r="P31" i="1"/>
  <c r="O34" i="1"/>
  <c r="O30" i="1"/>
  <c r="O31" i="1"/>
  <c r="P30" i="1"/>
  <c r="P39" i="1"/>
  <c r="N8" i="1"/>
  <c r="N29" i="1"/>
  <c r="F75" i="1"/>
  <c r="O74" i="1"/>
  <c r="N11" i="1"/>
  <c r="R29" i="1" a="1"/>
  <c r="P29" i="1" a="1"/>
  <c r="E55" i="1" a="1"/>
  <c r="I55" i="1" s="1" a="1"/>
  <c r="O55" i="1" a="1"/>
  <c r="AD55" i="1" a="1"/>
  <c r="R55" i="1" a="1"/>
  <c r="AA55" i="1" a="1"/>
  <c r="L55" i="1" a="1"/>
  <c r="U55" i="1" a="1"/>
  <c r="X55" i="1" a="1"/>
  <c r="T29" i="1" l="1"/>
  <c r="U29" i="1"/>
  <c r="V29" i="1"/>
  <c r="W29" i="1"/>
  <c r="Y29" i="1"/>
  <c r="X29" i="1"/>
  <c r="R29" i="1"/>
  <c r="S29" i="1"/>
  <c r="P29" i="1"/>
  <c r="AD55" i="1"/>
  <c r="AA55" i="1"/>
  <c r="X55" i="1"/>
  <c r="U55" i="1"/>
  <c r="R55" i="1"/>
  <c r="O55" i="1"/>
  <c r="L55" i="1"/>
  <c r="I55" i="1"/>
  <c r="E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<sst xmlns="http://schemas.openxmlformats.org/spreadsheetml/2006/main" count="262" uniqueCount="77">
  <si>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</si>
  <si>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</si>
  <si>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</si>
  <si>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</si>
  <si>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</si>
  <si>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</si>
  <si>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</si>
  <si>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</si>
  <si>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</si>
  <si>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</si>
  <si>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</si>
  <si>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</si>
  <si>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</si>
  <si>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</si>
  <si>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</si>
  <si>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</si>
  <si>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</si>
  <si>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</si>
  <si>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</si>
  <si>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</si>
  <si>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</si>
  <si>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</si>
  <si>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</si>
  <si>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</si>
  <si>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</si>
  <si>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</si>
  <si>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</si>
  <si>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</si>
  <si>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</si>
  <si>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</si>
  <si>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</si>
  <si>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</si>
  <si>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</si>
  <si>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</si>
  <si>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</si>
  <si>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</si>
  <si>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</si>
  <si>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</si>
  <si>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</si>
  <si>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</si>
  <si>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</si>
  <si>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</si>
  <si>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</si>
  <si>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</si>
  <si>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</si>
  <si>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</si>
  <si>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</si>
  <si>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</si>
  <si>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</si>
  <si>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</si>
  <si>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</si>
  <si>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vs</t>
  </si>
  <si>
    <t>пкв отношение</t>
  </si>
  <si>
    <t>Пример расчет коэффициента сепарации для ПКВ режима</t>
  </si>
  <si>
    <t>суточный</t>
  </si>
  <si>
    <t>мгновенный</t>
  </si>
  <si>
    <t>Задание красивых границ для рисунка</t>
  </si>
  <si>
    <t xml:space="preserve"> </t>
  </si>
  <si>
    <t>м3/сут</t>
  </si>
  <si>
    <t>сП</t>
  </si>
  <si>
    <t>Расчет коэффициента сепарации на приеме ЭЦН</t>
  </si>
  <si>
    <t>Расчет коэффициента сепарации в реверсивном потоке для ЭЦН ниже интервала перфорации</t>
  </si>
  <si>
    <t>ksep mech Marquez</t>
  </si>
  <si>
    <t>ksep mech pkv</t>
  </si>
  <si>
    <t>a</t>
  </si>
  <si>
    <t>l</t>
  </si>
  <si>
    <t>v</t>
  </si>
  <si>
    <t>мин</t>
  </si>
  <si>
    <t>Оценка времени откачки ГЖС из области между насосом и э/к</t>
  </si>
  <si>
    <t>м2</t>
  </si>
  <si>
    <t>площадь кольца между насосом и э/к</t>
  </si>
  <si>
    <t>м</t>
  </si>
  <si>
    <t>длина насоса</t>
  </si>
  <si>
    <t>объем пространства между насосом и э/к</t>
  </si>
  <si>
    <t>время откачки с заданным пкв отношением</t>
  </si>
  <si>
    <t>м3</t>
  </si>
  <si>
    <t>dtub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</si>
</sst>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2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6" fontId="0" fillId="4" borderId="0" xfId="0" applyNumberFormat="1" applyFill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165" fontId="0" fillId="5" borderId="0" xfId="0" applyNumberFormat="1" applyFill="1"/>
    <xf numFmtId="2" fontId="2" fillId="5" borderId="0" xfId="0" applyNumberFormat="1" applyFont="1" applyFill="1"/>
    <xf numFmtId="2" fontId="0" fillId="5" borderId="0" xfId="0" applyNumberFormat="1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66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externalLink" Target="externalLinks/externalLink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0.97531811431639082</c:v>
                </c:pt>
                <c:pt idx="1">
                  <c:v>0.92421907951868054</c:v>
                </c:pt>
                <c:pt idx="2">
                  <c:v>0.81204441723443999</c:v>
                </c:pt>
                <c:pt idx="3">
                  <c:v>0.72751989425767538</c:v>
                </c:pt>
                <c:pt idx="4">
                  <c:v>0.65784724443441345</c:v>
                </c:pt>
                <c:pt idx="5">
                  <c:v>0.59934848841213717</c:v>
                </c:pt>
                <c:pt idx="6">
                  <c:v>0.54976616710400705</c:v>
                </c:pt>
                <c:pt idx="7">
                  <c:v>0.52822421786505003</c:v>
                </c:pt>
                <c:pt idx="8">
                  <c:v>0.49198822728973801</c:v>
                </c:pt>
                <c:pt idx="9">
                  <c:v>0.46064423477530259</c:v>
                </c:pt>
                <c:pt idx="10">
                  <c:v>0.43352460347650212</c:v>
                </c:pt>
                <c:pt idx="11">
                  <c:v>0.41007222490252482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0.96918421088263473</c:v>
                </c:pt>
                <c:pt idx="1">
                  <c:v>0.86066864393382203</c:v>
                </c:pt>
                <c:pt idx="2">
                  <c:v>0.6664219015224071</c:v>
                </c:pt>
                <c:pt idx="3">
                  <c:v>0.53734368128808363</c:v>
                </c:pt>
                <c:pt idx="4">
                  <c:v>0.4461431814190146</c:v>
                </c:pt>
                <c:pt idx="5">
                  <c:v>0.37872194892623667</c:v>
                </c:pt>
                <c:pt idx="6">
                  <c:v>0.32713677142807862</c:v>
                </c:pt>
                <c:pt idx="7">
                  <c:v>0.28657190741626837</c:v>
                </c:pt>
                <c:pt idx="8">
                  <c:v>0.25396567657066532</c:v>
                </c:pt>
                <c:pt idx="9">
                  <c:v>0.22727539799377289</c:v>
                </c:pt>
                <c:pt idx="10">
                  <c:v>0.2050852280738332</c:v>
                </c:pt>
                <c:pt idx="11">
                  <c:v>0.18639463296678055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0.000</c:formatCode>
                <c:ptCount val="15"/>
                <c:pt idx="0">
                  <c:v>5.3323000000000002E-2</c:v>
                </c:pt>
                <c:pt idx="1">
                  <c:v>5.3323000000000002E-2</c:v>
                </c:pt>
                <c:pt idx="2">
                  <c:v>5.3323000000000002E-2</c:v>
                </c:pt>
                <c:pt idx="3">
                  <c:v>5.3323000000000002E-2</c:v>
                </c:pt>
                <c:pt idx="4">
                  <c:v>5.3323000000000002E-2</c:v>
                </c:pt>
                <c:pt idx="5">
                  <c:v>5.3323000000000002E-2</c:v>
                </c:pt>
                <c:pt idx="6">
                  <c:v>5.3323000000000002E-2</c:v>
                </c:pt>
                <c:pt idx="7">
                  <c:v>5.3323000000000002E-2</c:v>
                </c:pt>
                <c:pt idx="8">
                  <c:v>5.3323000000000002E-2</c:v>
                </c:pt>
                <c:pt idx="9">
                  <c:v>5.092E-2</c:v>
                </c:pt>
                <c:pt idx="10">
                  <c:v>4.7273000000000003E-2</c:v>
                </c:pt>
                <c:pt idx="11">
                  <c:v>4.3043999999999999E-2</c:v>
                </c:pt>
                <c:pt idx="12">
                  <c:v>4.1700000000000001E-2</c:v>
                </c:pt>
                <c:pt idx="13">
                  <c:v>4.1700000000000001E-2</c:v>
                </c:pt>
                <c:pt idx="14">
                  <c:v>4.1700000000000001E-2</c:v>
                </c:pt>
              </c:numCache>
            </c:numRef>
          </c:xVal>
          <c:yVal>
            <c:numRef>
              <c:f>'прием ЭЦН'!$I$56:$I$70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0.129409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0.000</c:formatCode>
                <c:ptCount val="15"/>
                <c:pt idx="0">
                  <c:v>5.5371999999999998E-2</c:v>
                </c:pt>
                <c:pt idx="1">
                  <c:v>5.5371999999999998E-2</c:v>
                </c:pt>
                <c:pt idx="2">
                  <c:v>5.5371999999999998E-2</c:v>
                </c:pt>
                <c:pt idx="3">
                  <c:v>5.5371999999999998E-2</c:v>
                </c:pt>
                <c:pt idx="4">
                  <c:v>5.5371999999999998E-2</c:v>
                </c:pt>
                <c:pt idx="5">
                  <c:v>5.5371999999999998E-2</c:v>
                </c:pt>
                <c:pt idx="6">
                  <c:v>5.5371999999999998E-2</c:v>
                </c:pt>
                <c:pt idx="7">
                  <c:v>5.5371999999999998E-2</c:v>
                </c:pt>
                <c:pt idx="8">
                  <c:v>5.5371999999999998E-2</c:v>
                </c:pt>
                <c:pt idx="9">
                  <c:v>5.5173E-2</c:v>
                </c:pt>
                <c:pt idx="10">
                  <c:v>5.1855999999999999E-2</c:v>
                </c:pt>
                <c:pt idx="11">
                  <c:v>4.8079999999999998E-2</c:v>
                </c:pt>
                <c:pt idx="12">
                  <c:v>4.6899999999999997E-2</c:v>
                </c:pt>
                <c:pt idx="13">
                  <c:v>4.6899999999999997E-2</c:v>
                </c:pt>
                <c:pt idx="14">
                  <c:v>4.6899999999999997E-2</c:v>
                </c:pt>
              </c:numCache>
            </c:numRef>
          </c:xVal>
          <c:yVal>
            <c:numRef>
              <c:f>'прием ЭЦН'!$L$56:$L$70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0.14517099999999999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0.000</c:formatCode>
                <c:ptCount val="15"/>
                <c:pt idx="0">
                  <c:v>5.7598999999999997E-2</c:v>
                </c:pt>
                <c:pt idx="1">
                  <c:v>5.7598999999999997E-2</c:v>
                </c:pt>
                <c:pt idx="2">
                  <c:v>5.7598999999999997E-2</c:v>
                </c:pt>
                <c:pt idx="3">
                  <c:v>5.7598999999999997E-2</c:v>
                </c:pt>
                <c:pt idx="4">
                  <c:v>5.7598999999999997E-2</c:v>
                </c:pt>
                <c:pt idx="5">
                  <c:v>5.7598999999999997E-2</c:v>
                </c:pt>
                <c:pt idx="6">
                  <c:v>5.7598999999999997E-2</c:v>
                </c:pt>
                <c:pt idx="7">
                  <c:v>5.7598999999999997E-2</c:v>
                </c:pt>
                <c:pt idx="8">
                  <c:v>5.7598999999999997E-2</c:v>
                </c:pt>
                <c:pt idx="9">
                  <c:v>5.7598999999999997E-2</c:v>
                </c:pt>
                <c:pt idx="10">
                  <c:v>5.6559999999999999E-2</c:v>
                </c:pt>
                <c:pt idx="11">
                  <c:v>5.3152999999999999E-2</c:v>
                </c:pt>
                <c:pt idx="12">
                  <c:v>5.21E-2</c:v>
                </c:pt>
                <c:pt idx="13">
                  <c:v>5.21E-2</c:v>
                </c:pt>
                <c:pt idx="14">
                  <c:v>5.21E-2</c:v>
                </c:pt>
              </c:numCache>
            </c:numRef>
          </c:xVal>
          <c:yVal>
            <c:numRef>
              <c:f>'прием ЭЦН'!$O$56:$O$70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0.162303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0.000</c:formatCode>
                <c:ptCount val="15"/>
                <c:pt idx="0">
                  <c:v>5.9982000000000001E-2</c:v>
                </c:pt>
                <c:pt idx="1">
                  <c:v>5.9982000000000001E-2</c:v>
                </c:pt>
                <c:pt idx="2">
                  <c:v>5.9982000000000001E-2</c:v>
                </c:pt>
                <c:pt idx="3">
                  <c:v>5.9982000000000001E-2</c:v>
                </c:pt>
                <c:pt idx="4">
                  <c:v>5.9982000000000001E-2</c:v>
                </c:pt>
                <c:pt idx="5">
                  <c:v>5.9982000000000001E-2</c:v>
                </c:pt>
                <c:pt idx="6">
                  <c:v>5.9982000000000001E-2</c:v>
                </c:pt>
                <c:pt idx="7">
                  <c:v>5.9982000000000001E-2</c:v>
                </c:pt>
                <c:pt idx="8">
                  <c:v>5.9982000000000001E-2</c:v>
                </c:pt>
                <c:pt idx="9">
                  <c:v>5.9982000000000001E-2</c:v>
                </c:pt>
                <c:pt idx="10">
                  <c:v>5.9982000000000001E-2</c:v>
                </c:pt>
                <c:pt idx="11">
                  <c:v>5.8250999999999997E-2</c:v>
                </c:pt>
                <c:pt idx="12">
                  <c:v>5.7299999999999997E-2</c:v>
                </c:pt>
                <c:pt idx="13">
                  <c:v>5.7299999999999997E-2</c:v>
                </c:pt>
                <c:pt idx="14">
                  <c:v>5.7299999999999997E-2</c:v>
                </c:pt>
              </c:numCache>
            </c:numRef>
          </c:xVal>
          <c:yVal>
            <c:numRef>
              <c:f>'прием ЭЦН'!$R$56:$R$70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0.17</c:v>
                </c:pt>
                <c:pt idx="10">
                  <c:v>0.18062900000000001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0.000</c:formatCode>
                <c:ptCount val="15"/>
                <c:pt idx="0">
                  <c:v>3.9955999999999998E-2</c:v>
                </c:pt>
                <c:pt idx="1">
                  <c:v>3.9955999999999998E-2</c:v>
                </c:pt>
                <c:pt idx="2">
                  <c:v>3.9955999999999998E-2</c:v>
                </c:pt>
                <c:pt idx="3">
                  <c:v>3.9955999999999998E-2</c:v>
                </c:pt>
                <c:pt idx="4">
                  <c:v>3.9955999999999998E-2</c:v>
                </c:pt>
                <c:pt idx="5">
                  <c:v>3.9955999999999998E-2</c:v>
                </c:pt>
                <c:pt idx="6">
                  <c:v>3.9955999999999998E-2</c:v>
                </c:pt>
                <c:pt idx="7">
                  <c:v>3.9955999999999998E-2</c:v>
                </c:pt>
                <c:pt idx="8">
                  <c:v>3.9955999999999998E-2</c:v>
                </c:pt>
                <c:pt idx="9">
                  <c:v>3.9955999999999998E-2</c:v>
                </c:pt>
                <c:pt idx="10">
                  <c:v>3.9955999999999998E-2</c:v>
                </c:pt>
                <c:pt idx="11">
                  <c:v>3.9595999999999999E-2</c:v>
                </c:pt>
                <c:pt idx="12">
                  <c:v>3.8618E-2</c:v>
                </c:pt>
                <c:pt idx="13">
                  <c:v>3.7588000000000003E-2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ЭЦН'!$U$56:$U$70</c:f>
              <c:numCache>
                <c:formatCode>0.000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8.4620000000000008E-3</c:v>
                </c:pt>
                <c:pt idx="8">
                  <c:v>1.5384999999999999E-2</c:v>
                </c:pt>
                <c:pt idx="9">
                  <c:v>2.2308000000000001E-2</c:v>
                </c:pt>
                <c:pt idx="10">
                  <c:v>2.6588000000000001E-2</c:v>
                </c:pt>
                <c:pt idx="11">
                  <c:v>2.9231E-2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0.000</c:formatCode>
                <c:ptCount val="15"/>
                <c:pt idx="0">
                  <c:v>4.3638000000000003E-2</c:v>
                </c:pt>
                <c:pt idx="1">
                  <c:v>4.3638000000000003E-2</c:v>
                </c:pt>
                <c:pt idx="2">
                  <c:v>4.3638000000000003E-2</c:v>
                </c:pt>
                <c:pt idx="3">
                  <c:v>4.3638000000000003E-2</c:v>
                </c:pt>
                <c:pt idx="4">
                  <c:v>4.3638000000000003E-2</c:v>
                </c:pt>
                <c:pt idx="5">
                  <c:v>4.3638000000000003E-2</c:v>
                </c:pt>
                <c:pt idx="6">
                  <c:v>4.3638000000000003E-2</c:v>
                </c:pt>
                <c:pt idx="7">
                  <c:v>4.3638000000000003E-2</c:v>
                </c:pt>
                <c:pt idx="8">
                  <c:v>4.3638000000000003E-2</c:v>
                </c:pt>
                <c:pt idx="9">
                  <c:v>4.3638000000000003E-2</c:v>
                </c:pt>
                <c:pt idx="10">
                  <c:v>4.3366000000000002E-2</c:v>
                </c:pt>
                <c:pt idx="11">
                  <c:v>4.1846000000000001E-2</c:v>
                </c:pt>
                <c:pt idx="12">
                  <c:v>4.0208000000000001E-2</c:v>
                </c:pt>
                <c:pt idx="13">
                  <c:v>3.8434000000000003E-2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ЭЦН'!$X$56:$X$70</c:f>
              <c:numCache>
                <c:formatCode>0.000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2.4615000000000001E-2</c:v>
                </c:pt>
                <c:pt idx="7">
                  <c:v>3.5385E-2</c:v>
                </c:pt>
                <c:pt idx="8">
                  <c:v>4.6154000000000001E-2</c:v>
                </c:pt>
                <c:pt idx="9">
                  <c:v>5.4908999999999999E-2</c:v>
                </c:pt>
                <c:pt idx="10">
                  <c:v>5.6923000000000001E-2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0.000</c:formatCode>
                <c:ptCount val="15"/>
                <c:pt idx="0">
                  <c:v>4.7491999999999999E-2</c:v>
                </c:pt>
                <c:pt idx="1">
                  <c:v>4.7491999999999999E-2</c:v>
                </c:pt>
                <c:pt idx="2">
                  <c:v>4.7491999999999999E-2</c:v>
                </c:pt>
                <c:pt idx="3">
                  <c:v>4.7491999999999999E-2</c:v>
                </c:pt>
                <c:pt idx="4">
                  <c:v>4.7491999999999999E-2</c:v>
                </c:pt>
                <c:pt idx="5">
                  <c:v>4.7491999999999999E-2</c:v>
                </c:pt>
                <c:pt idx="6">
                  <c:v>4.7491999999999999E-2</c:v>
                </c:pt>
                <c:pt idx="7">
                  <c:v>4.7491999999999999E-2</c:v>
                </c:pt>
                <c:pt idx="8">
                  <c:v>4.7491999999999999E-2</c:v>
                </c:pt>
                <c:pt idx="9">
                  <c:v>4.7491999999999999E-2</c:v>
                </c:pt>
                <c:pt idx="10">
                  <c:v>4.6538000000000003E-2</c:v>
                </c:pt>
                <c:pt idx="11">
                  <c:v>4.4402999999999998E-2</c:v>
                </c:pt>
                <c:pt idx="12">
                  <c:v>4.2054000000000001E-2</c:v>
                </c:pt>
                <c:pt idx="13">
                  <c:v>3.9441999999999998E-2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ЭЦН'!$AA$56:$AA$70</c:f>
              <c:numCache>
                <c:formatCode>0.000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3.3077000000000002E-2</c:v>
                </c:pt>
                <c:pt idx="6">
                  <c:v>4.7691999999999998E-2</c:v>
                </c:pt>
                <c:pt idx="7">
                  <c:v>6.2308000000000002E-2</c:v>
                </c:pt>
                <c:pt idx="8">
                  <c:v>7.6923000000000005E-2</c:v>
                </c:pt>
                <c:pt idx="9">
                  <c:v>8.4552000000000002E-2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0.000</c:formatCode>
                <c:ptCount val="15"/>
                <c:pt idx="0">
                  <c:v>5.1477000000000002E-2</c:v>
                </c:pt>
                <c:pt idx="1">
                  <c:v>5.1477000000000002E-2</c:v>
                </c:pt>
                <c:pt idx="2">
                  <c:v>5.1477000000000002E-2</c:v>
                </c:pt>
                <c:pt idx="3">
                  <c:v>5.1477000000000002E-2</c:v>
                </c:pt>
                <c:pt idx="4">
                  <c:v>5.1477000000000002E-2</c:v>
                </c:pt>
                <c:pt idx="5">
                  <c:v>5.1477000000000002E-2</c:v>
                </c:pt>
                <c:pt idx="6">
                  <c:v>5.1477000000000002E-2</c:v>
                </c:pt>
                <c:pt idx="7">
                  <c:v>5.1477000000000002E-2</c:v>
                </c:pt>
                <c:pt idx="8">
                  <c:v>5.1477000000000002E-2</c:v>
                </c:pt>
                <c:pt idx="9">
                  <c:v>5.1477000000000002E-2</c:v>
                </c:pt>
                <c:pt idx="10">
                  <c:v>4.9974999999999999E-2</c:v>
                </c:pt>
                <c:pt idx="11">
                  <c:v>4.7217000000000002E-2</c:v>
                </c:pt>
                <c:pt idx="12">
                  <c:v>4.4123000000000002E-2</c:v>
                </c:pt>
                <c:pt idx="13">
                  <c:v>4.0601999999999999E-2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ЭЦН'!$AD$56:$AD$70</c:f>
              <c:numCache>
                <c:formatCode>0.000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3.3846000000000001E-2</c:v>
                </c:pt>
                <c:pt idx="5">
                  <c:v>5.2308E-2</c:v>
                </c:pt>
                <c:pt idx="6">
                  <c:v>7.0768999999999999E-2</c:v>
                </c:pt>
                <c:pt idx="7">
                  <c:v>8.9231000000000005E-2</c:v>
                </c:pt>
                <c:pt idx="8">
                  <c:v>0.107692</c:v>
                </c:pt>
                <c:pt idx="9">
                  <c:v>0.11521000000000001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поток'!$O$28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поток'!$O$29:$O$40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0.73618494108013122</c:v>
                </c:pt>
                <c:pt idx="6">
                  <c:v>0.44691492580255421</c:v>
                </c:pt>
                <c:pt idx="7">
                  <c:v>0.35608475392987116</c:v>
                </c:pt>
                <c:pt idx="8">
                  <c:v>0.29645774346592901</c:v>
                </c:pt>
                <c:pt idx="9">
                  <c:v>0.2539438754296553</c:v>
                </c:pt>
                <c:pt idx="10">
                  <c:v>0.22199116784338804</c:v>
                </c:pt>
                <c:pt idx="11">
                  <c:v>0.19706280708636417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0.000</c:formatCode>
                <c:ptCount val="15"/>
                <c:pt idx="0">
                  <c:v>2.2870999999999999E-2</c:v>
                </c:pt>
                <c:pt idx="1">
                  <c:v>2.2880999999999999E-2</c:v>
                </c:pt>
                <c:pt idx="2">
                  <c:v>2.6112E-2</c:v>
                </c:pt>
                <c:pt idx="3">
                  <c:v>2.9353000000000001E-2</c:v>
                </c:pt>
                <c:pt idx="4">
                  <c:v>3.2592999999999997E-2</c:v>
                </c:pt>
                <c:pt idx="5">
                  <c:v>3.5833999999999998E-2</c:v>
                </c:pt>
                <c:pt idx="6">
                  <c:v>3.9074999999999999E-2</c:v>
                </c:pt>
                <c:pt idx="7">
                  <c:v>4.2314999999999998E-2</c:v>
                </c:pt>
                <c:pt idx="8">
                  <c:v>4.5555999999999999E-2</c:v>
                </c:pt>
                <c:pt idx="9">
                  <c:v>4.8797E-2</c:v>
                </c:pt>
                <c:pt idx="10">
                  <c:v>5.2037E-2</c:v>
                </c:pt>
                <c:pt idx="11">
                  <c:v>5.5278000000000001E-2</c:v>
                </c:pt>
                <c:pt idx="12">
                  <c:v>5.8519000000000002E-2</c:v>
                </c:pt>
                <c:pt idx="13">
                  <c:v>6.1759000000000001E-2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поток'!$J$56:$J$70</c:f>
              <c:numCache>
                <c:formatCode>0.000</c:formatCode>
                <c:ptCount val="15"/>
                <c:pt idx="0">
                  <c:v>0</c:v>
                </c:pt>
                <c:pt idx="1">
                  <c:v>6.7390030000000003</c:v>
                </c:pt>
                <c:pt idx="2">
                  <c:v>6.5946239999999996</c:v>
                </c:pt>
                <c:pt idx="3">
                  <c:v>6.4265150000000002</c:v>
                </c:pt>
                <c:pt idx="4">
                  <c:v>6.2332049999999999</c:v>
                </c:pt>
                <c:pt idx="5">
                  <c:v>6.0125339999999996</c:v>
                </c:pt>
                <c:pt idx="6">
                  <c:v>5.7615939999999997</c:v>
                </c:pt>
                <c:pt idx="7">
                  <c:v>5.4764780000000002</c:v>
                </c:pt>
                <c:pt idx="8">
                  <c:v>5.1518620000000004</c:v>
                </c:pt>
                <c:pt idx="9">
                  <c:v>4.7800459999999996</c:v>
                </c:pt>
                <c:pt idx="10">
                  <c:v>4.3495499999999998</c:v>
                </c:pt>
                <c:pt idx="11">
                  <c:v>3.8422390000000002</c:v>
                </c:pt>
                <c:pt idx="12">
                  <c:v>3.224634</c:v>
                </c:pt>
                <c:pt idx="13">
                  <c:v>2.420442</c:v>
                </c:pt>
                <c:pt idx="14">
                  <c:v>1.111111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  <c:pt idx="0">
                  <c:v>2.0466000000000002E-2</c:v>
                </c:pt>
                <c:pt idx="1">
                  <c:v>2.0476000000000001E-2</c:v>
                </c:pt>
                <c:pt idx="2">
                  <c:v>2.3890999999999999E-2</c:v>
                </c:pt>
                <c:pt idx="3">
                  <c:v>2.7317000000000001E-2</c:v>
                </c:pt>
                <c:pt idx="4">
                  <c:v>3.0742999999999999E-2</c:v>
                </c:pt>
                <c:pt idx="5">
                  <c:v>3.4168999999999998E-2</c:v>
                </c:pt>
                <c:pt idx="6">
                  <c:v>3.7594000000000002E-2</c:v>
                </c:pt>
                <c:pt idx="7">
                  <c:v>4.1020000000000001E-2</c:v>
                </c:pt>
                <c:pt idx="8">
                  <c:v>4.4445999999999999E-2</c:v>
                </c:pt>
                <c:pt idx="9">
                  <c:v>4.7870999999999997E-2</c:v>
                </c:pt>
                <c:pt idx="10">
                  <c:v>5.1297000000000002E-2</c:v>
                </c:pt>
                <c:pt idx="11">
                  <c:v>5.4723000000000001E-2</c:v>
                </c:pt>
                <c:pt idx="12">
                  <c:v>5.8148999999999999E-2</c:v>
                </c:pt>
                <c:pt idx="13">
                  <c:v>6.1573999999999997E-2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  <c:pt idx="0">
                  <c:v>0</c:v>
                </c:pt>
                <c:pt idx="1">
                  <c:v>7.1238780000000004</c:v>
                </c:pt>
                <c:pt idx="2">
                  <c:v>6.9933820000000004</c:v>
                </c:pt>
                <c:pt idx="3">
                  <c:v>6.8387320000000003</c:v>
                </c:pt>
                <c:pt idx="4">
                  <c:v>6.6588329999999996</c:v>
                </c:pt>
                <c:pt idx="5">
                  <c:v>6.4516390000000001</c:v>
                </c:pt>
                <c:pt idx="6">
                  <c:v>6.2147379999999997</c:v>
                </c:pt>
                <c:pt idx="7">
                  <c:v>5.9445889999999997</c:v>
                </c:pt>
                <c:pt idx="8">
                  <c:v>5.6369559999999996</c:v>
                </c:pt>
                <c:pt idx="9">
                  <c:v>5.2852899999999998</c:v>
                </c:pt>
                <c:pt idx="10">
                  <c:v>4.8811499999999999</c:v>
                </c:pt>
                <c:pt idx="11">
                  <c:v>4.4102399999999999</c:v>
                </c:pt>
                <c:pt idx="12">
                  <c:v>3.8508360000000001</c:v>
                </c:pt>
                <c:pt idx="13">
                  <c:v>3.157556</c:v>
                </c:pt>
                <c:pt idx="14">
                  <c:v>2.2222219999999999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  <c:pt idx="0">
                  <c:v>1.7047E-2</c:v>
                </c:pt>
                <c:pt idx="1">
                  <c:v>1.7056999999999999E-2</c:v>
                </c:pt>
                <c:pt idx="2">
                  <c:v>2.0736000000000001E-2</c:v>
                </c:pt>
                <c:pt idx="3">
                  <c:v>2.4424999999999999E-2</c:v>
                </c:pt>
                <c:pt idx="4">
                  <c:v>2.8112999999999999E-2</c:v>
                </c:pt>
                <c:pt idx="5">
                  <c:v>3.1801999999999997E-2</c:v>
                </c:pt>
                <c:pt idx="6">
                  <c:v>3.5491000000000002E-2</c:v>
                </c:pt>
                <c:pt idx="7">
                  <c:v>3.9178999999999999E-2</c:v>
                </c:pt>
                <c:pt idx="8">
                  <c:v>4.2868000000000003E-2</c:v>
                </c:pt>
                <c:pt idx="9">
                  <c:v>4.6557000000000001E-2</c:v>
                </c:pt>
                <c:pt idx="10">
                  <c:v>5.0244999999999998E-2</c:v>
                </c:pt>
                <c:pt idx="11">
                  <c:v>5.3934000000000003E-2</c:v>
                </c:pt>
                <c:pt idx="12">
                  <c:v>5.7623000000000001E-2</c:v>
                </c:pt>
                <c:pt idx="13">
                  <c:v>6.1310999999999997E-2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  <c:pt idx="0">
                  <c:v>0</c:v>
                </c:pt>
                <c:pt idx="1">
                  <c:v>7.6708220000000003</c:v>
                </c:pt>
                <c:pt idx="2">
                  <c:v>7.5603470000000002</c:v>
                </c:pt>
                <c:pt idx="3">
                  <c:v>7.4249320000000001</c:v>
                </c:pt>
                <c:pt idx="4">
                  <c:v>7.2636649999999996</c:v>
                </c:pt>
                <c:pt idx="5">
                  <c:v>7.0749029999999999</c:v>
                </c:pt>
                <c:pt idx="6">
                  <c:v>6.8566089999999997</c:v>
                </c:pt>
                <c:pt idx="7">
                  <c:v>6.606039</c:v>
                </c:pt>
                <c:pt idx="8">
                  <c:v>6.319572</c:v>
                </c:pt>
                <c:pt idx="9">
                  <c:v>5.9923400000000004</c:v>
                </c:pt>
                <c:pt idx="10">
                  <c:v>5.6176060000000003</c:v>
                </c:pt>
                <c:pt idx="11">
                  <c:v>5.1856450000000001</c:v>
                </c:pt>
                <c:pt idx="12">
                  <c:v>4.6815490000000004</c:v>
                </c:pt>
                <c:pt idx="13">
                  <c:v>4.0803079999999996</c:v>
                </c:pt>
                <c:pt idx="14">
                  <c:v>3.3333330000000001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  <c:pt idx="0">
                  <c:v>1.2975E-2</c:v>
                </c:pt>
                <c:pt idx="1">
                  <c:v>1.2985E-2</c:v>
                </c:pt>
                <c:pt idx="2">
                  <c:v>1.6976999999999999E-2</c:v>
                </c:pt>
                <c:pt idx="3">
                  <c:v>2.0979000000000001E-2</c:v>
                </c:pt>
                <c:pt idx="4">
                  <c:v>2.4981E-2</c:v>
                </c:pt>
                <c:pt idx="5">
                  <c:v>2.8982999999999998E-2</c:v>
                </c:pt>
                <c:pt idx="6">
                  <c:v>3.2985E-2</c:v>
                </c:pt>
                <c:pt idx="7">
                  <c:v>3.6986999999999999E-2</c:v>
                </c:pt>
                <c:pt idx="8">
                  <c:v>4.0987999999999997E-2</c:v>
                </c:pt>
                <c:pt idx="9">
                  <c:v>4.4990000000000002E-2</c:v>
                </c:pt>
                <c:pt idx="10">
                  <c:v>4.8992000000000001E-2</c:v>
                </c:pt>
                <c:pt idx="11">
                  <c:v>5.2993999999999999E-2</c:v>
                </c:pt>
                <c:pt idx="12">
                  <c:v>5.6995999999999998E-2</c:v>
                </c:pt>
                <c:pt idx="13">
                  <c:v>6.0997999999999997E-2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  <c:pt idx="0">
                  <c:v>0</c:v>
                </c:pt>
                <c:pt idx="1">
                  <c:v>8.3223870000000009</c:v>
                </c:pt>
                <c:pt idx="2">
                  <c:v>8.2361909999999998</c:v>
                </c:pt>
                <c:pt idx="3">
                  <c:v>8.1236160000000002</c:v>
                </c:pt>
                <c:pt idx="4">
                  <c:v>7.9842380000000004</c:v>
                </c:pt>
                <c:pt idx="5">
                  <c:v>7.8166029999999997</c:v>
                </c:pt>
                <c:pt idx="6">
                  <c:v>7.6192869999999999</c:v>
                </c:pt>
                <c:pt idx="7">
                  <c:v>7.3899800000000004</c:v>
                </c:pt>
                <c:pt idx="8">
                  <c:v>7.1257390000000003</c:v>
                </c:pt>
                <c:pt idx="9">
                  <c:v>6.8229480000000002</c:v>
                </c:pt>
                <c:pt idx="10">
                  <c:v>6.4760499999999999</c:v>
                </c:pt>
                <c:pt idx="11">
                  <c:v>6.0783290000000001</c:v>
                </c:pt>
                <c:pt idx="12">
                  <c:v>5.6193049999999998</c:v>
                </c:pt>
                <c:pt idx="13">
                  <c:v>5.0832129999999998</c:v>
                </c:pt>
                <c:pt idx="14">
                  <c:v>4.4444439999999998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  <c:pt idx="0">
                  <c:v>8.4849999999999995E-3</c:v>
                </c:pt>
                <c:pt idx="1">
                  <c:v>8.4950000000000008E-3</c:v>
                </c:pt>
                <c:pt idx="2">
                  <c:v>1.2832E-2</c:v>
                </c:pt>
                <c:pt idx="3">
                  <c:v>1.7179E-2</c:v>
                </c:pt>
                <c:pt idx="4">
                  <c:v>2.1527000000000001E-2</c:v>
                </c:pt>
                <c:pt idx="5">
                  <c:v>2.5874000000000001E-2</c:v>
                </c:pt>
                <c:pt idx="6">
                  <c:v>3.0221000000000001E-2</c:v>
                </c:pt>
                <c:pt idx="7">
                  <c:v>3.4569000000000003E-2</c:v>
                </c:pt>
                <c:pt idx="8">
                  <c:v>3.8915999999999999E-2</c:v>
                </c:pt>
                <c:pt idx="9">
                  <c:v>4.3263000000000003E-2</c:v>
                </c:pt>
                <c:pt idx="10">
                  <c:v>4.7611000000000001E-2</c:v>
                </c:pt>
                <c:pt idx="11">
                  <c:v>5.1957999999999997E-2</c:v>
                </c:pt>
                <c:pt idx="12">
                  <c:v>5.6305000000000001E-2</c:v>
                </c:pt>
                <c:pt idx="13">
                  <c:v>6.0652999999999999E-2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  <c:pt idx="0">
                  <c:v>0</c:v>
                </c:pt>
                <c:pt idx="1">
                  <c:v>9.040832</c:v>
                </c:pt>
                <c:pt idx="2">
                  <c:v>8.9822710000000008</c:v>
                </c:pt>
                <c:pt idx="3">
                  <c:v>8.8952200000000001</c:v>
                </c:pt>
                <c:pt idx="4">
                  <c:v>8.7796149999999997</c:v>
                </c:pt>
                <c:pt idx="5">
                  <c:v>8.6347129999999996</c:v>
                </c:pt>
                <c:pt idx="6">
                  <c:v>8.4592749999999999</c:v>
                </c:pt>
                <c:pt idx="7">
                  <c:v>8.2515630000000009</c:v>
                </c:pt>
                <c:pt idx="8">
                  <c:v>8.0092540000000003</c:v>
                </c:pt>
                <c:pt idx="9">
                  <c:v>7.729285</c:v>
                </c:pt>
                <c:pt idx="10">
                  <c:v>7.4076079999999997</c:v>
                </c:pt>
                <c:pt idx="11">
                  <c:v>7.03878</c:v>
                </c:pt>
                <c:pt idx="12">
                  <c:v>6.6152899999999999</c:v>
                </c:pt>
                <c:pt idx="13">
                  <c:v>6.1263490000000003</c:v>
                </c:pt>
                <c:pt idx="14">
                  <c:v>5.5555560000000002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  <c:pt idx="0">
                  <c:v>3.7269999999999998E-3</c:v>
                </c:pt>
                <c:pt idx="1">
                  <c:v>3.7369999999999999E-3</c:v>
                </c:pt>
                <c:pt idx="2">
                  <c:v>8.4399999999999996E-3</c:v>
                </c:pt>
                <c:pt idx="3">
                  <c:v>1.3153E-2</c:v>
                </c:pt>
                <c:pt idx="4">
                  <c:v>1.7867000000000001E-2</c:v>
                </c:pt>
                <c:pt idx="5">
                  <c:v>2.2579999999999999E-2</c:v>
                </c:pt>
                <c:pt idx="6">
                  <c:v>2.7293000000000001E-2</c:v>
                </c:pt>
                <c:pt idx="7">
                  <c:v>3.2007000000000001E-2</c:v>
                </c:pt>
                <c:pt idx="8">
                  <c:v>3.6720000000000003E-2</c:v>
                </c:pt>
                <c:pt idx="9">
                  <c:v>4.1432999999999998E-2</c:v>
                </c:pt>
                <c:pt idx="10">
                  <c:v>4.6147000000000001E-2</c:v>
                </c:pt>
                <c:pt idx="11">
                  <c:v>5.0860000000000002E-2</c:v>
                </c:pt>
                <c:pt idx="12">
                  <c:v>5.5572999999999997E-2</c:v>
                </c:pt>
                <c:pt idx="13">
                  <c:v>6.0287E-2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  <c:pt idx="0">
                  <c:v>0</c:v>
                </c:pt>
                <c:pt idx="1">
                  <c:v>9.8021119999999993</c:v>
                </c:pt>
                <c:pt idx="2">
                  <c:v>9.7740989999999996</c:v>
                </c:pt>
                <c:pt idx="3">
                  <c:v>9.7147330000000007</c:v>
                </c:pt>
                <c:pt idx="4">
                  <c:v>9.6243309999999997</c:v>
                </c:pt>
                <c:pt idx="5">
                  <c:v>9.5029900000000005</c:v>
                </c:pt>
                <c:pt idx="6">
                  <c:v>9.3497909999999997</c:v>
                </c:pt>
                <c:pt idx="7">
                  <c:v>9.1635439999999999</c:v>
                </c:pt>
                <c:pt idx="8">
                  <c:v>8.9423290000000009</c:v>
                </c:pt>
                <c:pt idx="9">
                  <c:v>8.6836889999999993</c:v>
                </c:pt>
                <c:pt idx="10">
                  <c:v>8.3843920000000001</c:v>
                </c:pt>
                <c:pt idx="11">
                  <c:v>8.0400100000000005</c:v>
                </c:pt>
                <c:pt idx="12">
                  <c:v>7.6449210000000001</c:v>
                </c:pt>
                <c:pt idx="13">
                  <c:v>7.1908190000000003</c:v>
                </c:pt>
                <c:pt idx="14">
                  <c:v>6.6666670000000003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  <c:pt idx="0">
                  <c:v>3.2224000000000003E-2</c:v>
                </c:pt>
                <c:pt idx="1">
                  <c:v>3.2233999999999999E-2</c:v>
                </c:pt>
                <c:pt idx="2">
                  <c:v>3.4744999999999998E-2</c:v>
                </c:pt>
                <c:pt idx="3">
                  <c:v>3.7266000000000001E-2</c:v>
                </c:pt>
                <c:pt idx="4">
                  <c:v>3.9787000000000003E-2</c:v>
                </c:pt>
                <c:pt idx="5">
                  <c:v>4.2308999999999999E-2</c:v>
                </c:pt>
                <c:pt idx="6">
                  <c:v>4.4830000000000002E-2</c:v>
                </c:pt>
                <c:pt idx="7">
                  <c:v>4.7350999999999997E-2</c:v>
                </c:pt>
                <c:pt idx="8">
                  <c:v>4.9872E-2</c:v>
                </c:pt>
                <c:pt idx="9">
                  <c:v>5.2394000000000003E-2</c:v>
                </c:pt>
                <c:pt idx="10">
                  <c:v>5.4914999999999999E-2</c:v>
                </c:pt>
                <c:pt idx="11">
                  <c:v>5.7436000000000001E-2</c:v>
                </c:pt>
                <c:pt idx="12">
                  <c:v>5.9957000000000003E-2</c:v>
                </c:pt>
                <c:pt idx="13">
                  <c:v>6.2479E-2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9.8952589999999994</c:v>
                </c:pt>
                <c:pt idx="3">
                  <c:v>9.7808320000000002</c:v>
                </c:pt>
                <c:pt idx="4">
                  <c:v>9.6568129999999996</c:v>
                </c:pt>
                <c:pt idx="5">
                  <c:v>9.5228479999999998</c:v>
                </c:pt>
                <c:pt idx="6">
                  <c:v>9.3785340000000001</c:v>
                </c:pt>
                <c:pt idx="7">
                  <c:v>9.2234079999999992</c:v>
                </c:pt>
                <c:pt idx="8">
                  <c:v>9.0569400000000009</c:v>
                </c:pt>
                <c:pt idx="9">
                  <c:v>8.87852</c:v>
                </c:pt>
                <c:pt idx="10">
                  <c:v>8.6874400000000005</c:v>
                </c:pt>
                <c:pt idx="11">
                  <c:v>8.4828790000000005</c:v>
                </c:pt>
                <c:pt idx="12">
                  <c:v>8.2638750000000005</c:v>
                </c:pt>
                <c:pt idx="13">
                  <c:v>8.0292929999999991</c:v>
                </c:pt>
                <c:pt idx="14">
                  <c:v>7.7777779999999996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  <c:pt idx="0">
                  <c:v>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  <c:pt idx="0">
                  <c:v>5.0368000000000003E-2</c:v>
                </c:pt>
                <c:pt idx="1">
                  <c:v>5.0377999999999999E-2</c:v>
                </c:pt>
                <c:pt idx="2">
                  <c:v>5.1493999999999998E-2</c:v>
                </c:pt>
                <c:pt idx="3">
                  <c:v>5.2618999999999999E-2</c:v>
                </c:pt>
                <c:pt idx="4">
                  <c:v>5.3745000000000001E-2</c:v>
                </c:pt>
                <c:pt idx="5">
                  <c:v>5.4870000000000002E-2</c:v>
                </c:pt>
                <c:pt idx="6">
                  <c:v>5.5995999999999997E-2</c:v>
                </c:pt>
                <c:pt idx="7">
                  <c:v>5.7120999999999998E-2</c:v>
                </c:pt>
                <c:pt idx="8">
                  <c:v>5.8247E-2</c:v>
                </c:pt>
                <c:pt idx="9">
                  <c:v>5.9372000000000001E-2</c:v>
                </c:pt>
                <c:pt idx="10">
                  <c:v>6.0498000000000003E-2</c:v>
                </c:pt>
                <c:pt idx="11">
                  <c:v>6.1622999999999997E-2</c:v>
                </c:pt>
                <c:pt idx="12">
                  <c:v>6.2748999999999999E-2</c:v>
                </c:pt>
                <c:pt idx="13">
                  <c:v>6.3874E-2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9.9289939999999994</c:v>
                </c:pt>
                <c:pt idx="3">
                  <c:v>9.8552710000000001</c:v>
                </c:pt>
                <c:pt idx="4">
                  <c:v>9.7794089999999994</c:v>
                </c:pt>
                <c:pt idx="5">
                  <c:v>9.7012309999999999</c:v>
                </c:pt>
                <c:pt idx="6">
                  <c:v>9.6208159999999996</c:v>
                </c:pt>
                <c:pt idx="7">
                  <c:v>9.5381090000000004</c:v>
                </c:pt>
                <c:pt idx="8">
                  <c:v>9.4530550000000009</c:v>
                </c:pt>
                <c:pt idx="9">
                  <c:v>9.3655910000000002</c:v>
                </c:pt>
                <c:pt idx="10">
                  <c:v>9.2754999999999992</c:v>
                </c:pt>
                <c:pt idx="11">
                  <c:v>9.1828599999999998</c:v>
                </c:pt>
                <c:pt idx="12">
                  <c:v>9.0875979999999998</c:v>
                </c:pt>
                <c:pt idx="13">
                  <c:v>8.9896349999999998</c:v>
                </c:pt>
                <c:pt idx="14">
                  <c:v>8.8888890000000007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193499831515276"/>
          <c:y val="0.14877497675405793"/>
          <c:w val="0.86526130448949123"/>
          <c:h val="0.8071019511430939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0.000</c:formatCode>
                <c:ptCount val="12"/>
                <c:pt idx="0">
                  <c:v>2.6598023608105355E-4</c:v>
                </c:pt>
                <c:pt idx="1">
                  <c:v>1.329901180405267E-3</c:v>
                </c:pt>
                <c:pt idx="2">
                  <c:v>3.989703541215802E-3</c:v>
                </c:pt>
                <c:pt idx="3">
                  <c:v>6.6495059020263356E-3</c:v>
                </c:pt>
                <c:pt idx="4">
                  <c:v>9.3093082628368708E-3</c:v>
                </c:pt>
                <c:pt idx="5">
                  <c:v>1.1969110623647404E-2</c:v>
                </c:pt>
                <c:pt idx="6">
                  <c:v>1.462891298445794E-2</c:v>
                </c:pt>
                <c:pt idx="7">
                  <c:v>1.7288715345268477E-2</c:v>
                </c:pt>
                <c:pt idx="8">
                  <c:v>1.9948517706079007E-2</c:v>
                </c:pt>
                <c:pt idx="9">
                  <c:v>2.2608320066889544E-2</c:v>
                </c:pt>
                <c:pt idx="10">
                  <c:v>2.5268122427700077E-2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ПКВ'!$S$41</c:f>
              <c:strCache>
                <c:ptCount val="1"/>
                <c:pt idx="0">
                  <c:v>ksep_average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ПКВ'!$S$29:$S$40</c:f>
              <c:numCache>
                <c:formatCode>0.00</c:formatCode>
                <c:ptCount val="12"/>
                <c:pt idx="0">
                  <c:v>0.99215598362381097</c:v>
                </c:pt>
                <c:pt idx="1">
                  <c:v>0.97973968950108559</c:v>
                </c:pt>
                <c:pt idx="2">
                  <c:v>0.94892219606610362</c:v>
                </c:pt>
                <c:pt idx="3">
                  <c:v>0.91731031152117082</c:v>
                </c:pt>
                <c:pt idx="4">
                  <c:v>0.88627199944058321</c:v>
                </c:pt>
                <c:pt idx="5">
                  <c:v>0.76923076923076927</c:v>
                </c:pt>
                <c:pt idx="6">
                  <c:v>0.76923076923076927</c:v>
                </c:pt>
                <c:pt idx="7">
                  <c:v>0.76923076923076927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mech Marquez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0.98880113743878095</c:v>
                </c:pt>
                <c:pt idx="1">
                  <c:v>0.9716693166450322</c:v>
                </c:pt>
                <c:pt idx="2">
                  <c:v>0.93123136994123978</c:v>
                </c:pt>
                <c:pt idx="3">
                  <c:v>0.89168385244122295</c:v>
                </c:pt>
                <c:pt idx="4">
                  <c:v>0.85418175975325727</c:v>
                </c:pt>
                <c:pt idx="5">
                  <c:v>0.81942691558566838</c:v>
                </c:pt>
                <c:pt idx="6">
                  <c:v>0.78731688037733505</c:v>
                </c:pt>
                <c:pt idx="7">
                  <c:v>0.75769140675335112</c:v>
                </c:pt>
                <c:pt idx="8">
                  <c:v>0.73034882906347121</c:v>
                </c:pt>
                <c:pt idx="9">
                  <c:v>0.70502604950288128</c:v>
                </c:pt>
                <c:pt idx="10">
                  <c:v>0.681451984909205</c:v>
                </c:pt>
                <c:pt idx="11">
                  <c:v>0.6594219955018934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mech pkv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0.96600926236984774</c:v>
                </c:pt>
                <c:pt idx="1">
                  <c:v>0.9122053211713711</c:v>
                </c:pt>
                <c:pt idx="2">
                  <c:v>0.77866284961978249</c:v>
                </c:pt>
                <c:pt idx="3">
                  <c:v>0.6416780165917404</c:v>
                </c:pt>
                <c:pt idx="4">
                  <c:v>0.50717866424252722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0.000</c:formatCode>
                <c:ptCount val="15"/>
                <c:pt idx="0">
                  <c:v>5.2832999999999998E-2</c:v>
                </c:pt>
                <c:pt idx="1">
                  <c:v>5.2832999999999998E-2</c:v>
                </c:pt>
                <c:pt idx="2">
                  <c:v>5.2832999999999998E-2</c:v>
                </c:pt>
                <c:pt idx="3">
                  <c:v>5.2832999999999998E-2</c:v>
                </c:pt>
                <c:pt idx="4">
                  <c:v>5.2832999999999998E-2</c:v>
                </c:pt>
                <c:pt idx="5">
                  <c:v>5.2832999999999998E-2</c:v>
                </c:pt>
                <c:pt idx="6">
                  <c:v>5.2832999999999998E-2</c:v>
                </c:pt>
                <c:pt idx="7">
                  <c:v>5.2732000000000001E-2</c:v>
                </c:pt>
                <c:pt idx="8">
                  <c:v>5.2499999999999998E-2</c:v>
                </c:pt>
                <c:pt idx="9">
                  <c:v>5.2262000000000003E-2</c:v>
                </c:pt>
                <c:pt idx="10">
                  <c:v>5.2019999999999997E-2</c:v>
                </c:pt>
                <c:pt idx="11">
                  <c:v>5.1773E-2</c:v>
                </c:pt>
                <c:pt idx="12">
                  <c:v>5.1520000000000003E-2</c:v>
                </c:pt>
                <c:pt idx="13">
                  <c:v>5.1262000000000002E-2</c:v>
                </c:pt>
                <c:pt idx="14">
                  <c:v>5.0999999999999997E-2</c:v>
                </c:pt>
              </c:numCache>
            </c:numRef>
          </c:xVal>
          <c:yVal>
            <c:numRef>
              <c:f>'прием ПКВ'!$I$56:$I$70</c:f>
              <c:numCache>
                <c:formatCode>0.000</c:formatCode>
                <c:ptCount val="15"/>
                <c:pt idx="0">
                  <c:v>-0.02</c:v>
                </c:pt>
                <c:pt idx="1">
                  <c:v>-1.5803000000000001E-2</c:v>
                </c:pt>
                <c:pt idx="2">
                  <c:v>-1.1606E-2</c:v>
                </c:pt>
                <c:pt idx="3">
                  <c:v>-7.4089999999999998E-3</c:v>
                </c:pt>
                <c:pt idx="4">
                  <c:v>-3.2130000000000001E-3</c:v>
                </c:pt>
                <c:pt idx="5">
                  <c:v>9.8400000000000007E-4</c:v>
                </c:pt>
                <c:pt idx="6">
                  <c:v>3.333E-3</c:v>
                </c:pt>
                <c:pt idx="7">
                  <c:v>5.1809999999999998E-3</c:v>
                </c:pt>
                <c:pt idx="8">
                  <c:v>9.3779999999999992E-3</c:v>
                </c:pt>
                <c:pt idx="9">
                  <c:v>1.3575E-2</c:v>
                </c:pt>
                <c:pt idx="10">
                  <c:v>1.7772E-2</c:v>
                </c:pt>
                <c:pt idx="11">
                  <c:v>2.1968999999999999E-2</c:v>
                </c:pt>
                <c:pt idx="12">
                  <c:v>2.6165000000000001E-2</c:v>
                </c:pt>
                <c:pt idx="13">
                  <c:v>3.0362E-2</c:v>
                </c:pt>
                <c:pt idx="14">
                  <c:v>3.4558999999999999E-2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5.4667E-2</c:v>
                </c:pt>
                <c:pt idx="1">
                  <c:v>5.4667E-2</c:v>
                </c:pt>
                <c:pt idx="2">
                  <c:v>5.4667E-2</c:v>
                </c:pt>
                <c:pt idx="3">
                  <c:v>5.4667E-2</c:v>
                </c:pt>
                <c:pt idx="4">
                  <c:v>5.4667E-2</c:v>
                </c:pt>
                <c:pt idx="5">
                  <c:v>5.4614000000000003E-2</c:v>
                </c:pt>
                <c:pt idx="6">
                  <c:v>5.4240999999999998E-2</c:v>
                </c:pt>
                <c:pt idx="7">
                  <c:v>5.3857000000000002E-2</c:v>
                </c:pt>
                <c:pt idx="8">
                  <c:v>5.3459E-2</c:v>
                </c:pt>
                <c:pt idx="9">
                  <c:v>5.305E-2</c:v>
                </c:pt>
                <c:pt idx="10">
                  <c:v>5.2639999999999999E-2</c:v>
                </c:pt>
                <c:pt idx="11">
                  <c:v>5.2229999999999999E-2</c:v>
                </c:pt>
                <c:pt idx="12">
                  <c:v>5.1819999999999998E-2</c:v>
                </c:pt>
                <c:pt idx="13">
                  <c:v>5.1409999999999997E-2</c:v>
                </c:pt>
                <c:pt idx="14">
                  <c:v>5.0999999999999997E-2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-1.3082999999999999E-2</c:v>
                </c:pt>
                <c:pt idx="2">
                  <c:v>-6.1659999999999996E-3</c:v>
                </c:pt>
                <c:pt idx="3">
                  <c:v>7.5000000000000002E-4</c:v>
                </c:pt>
                <c:pt idx="4">
                  <c:v>6.6670000000000002E-3</c:v>
                </c:pt>
                <c:pt idx="5">
                  <c:v>7.6670000000000002E-3</c:v>
                </c:pt>
                <c:pt idx="6">
                  <c:v>1.4584E-2</c:v>
                </c:pt>
                <c:pt idx="7">
                  <c:v>2.1500999999999999E-2</c:v>
                </c:pt>
                <c:pt idx="8">
                  <c:v>2.8417999999999999E-2</c:v>
                </c:pt>
                <c:pt idx="9">
                  <c:v>3.5333999999999997E-2</c:v>
                </c:pt>
                <c:pt idx="10">
                  <c:v>4.2250999999999997E-2</c:v>
                </c:pt>
                <c:pt idx="11">
                  <c:v>4.9168000000000003E-2</c:v>
                </c:pt>
                <c:pt idx="12">
                  <c:v>5.6085000000000003E-2</c:v>
                </c:pt>
                <c:pt idx="13">
                  <c:v>6.3002000000000002E-2</c:v>
                </c:pt>
                <c:pt idx="14">
                  <c:v>6.9918999999999995E-2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5.6500000000000002E-2</c:v>
                </c:pt>
                <c:pt idx="1">
                  <c:v>5.6500000000000002E-2</c:v>
                </c:pt>
                <c:pt idx="2">
                  <c:v>5.6500000000000002E-2</c:v>
                </c:pt>
                <c:pt idx="3">
                  <c:v>5.6500000000000002E-2</c:v>
                </c:pt>
                <c:pt idx="4">
                  <c:v>5.6240999999999999E-2</c:v>
                </c:pt>
                <c:pt idx="5">
                  <c:v>5.5613999999999997E-2</c:v>
                </c:pt>
                <c:pt idx="6">
                  <c:v>5.4958E-2</c:v>
                </c:pt>
                <c:pt idx="7">
                  <c:v>5.4300000000000001E-2</c:v>
                </c:pt>
                <c:pt idx="8">
                  <c:v>5.3643000000000003E-2</c:v>
                </c:pt>
                <c:pt idx="9">
                  <c:v>5.2986999999999999E-2</c:v>
                </c:pt>
                <c:pt idx="10">
                  <c:v>5.2332999999999998E-2</c:v>
                </c:pt>
                <c:pt idx="11">
                  <c:v>5.1679999999999997E-2</c:v>
                </c:pt>
                <c:pt idx="12">
                  <c:v>5.1646999999999998E-2</c:v>
                </c:pt>
                <c:pt idx="13">
                  <c:v>5.1646999999999998E-2</c:v>
                </c:pt>
                <c:pt idx="14">
                  <c:v>5.1646999999999998E-2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0.01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9.6667000000000003E-2</c:v>
                </c:pt>
                <c:pt idx="12">
                  <c:v>9.7253999999999993E-2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5.8333000000000003E-2</c:v>
                </c:pt>
                <c:pt idx="1">
                  <c:v>5.8333000000000003E-2</c:v>
                </c:pt>
                <c:pt idx="2">
                  <c:v>5.8333000000000003E-2</c:v>
                </c:pt>
                <c:pt idx="3">
                  <c:v>5.8333000000000003E-2</c:v>
                </c:pt>
                <c:pt idx="4">
                  <c:v>5.8250000000000003E-2</c:v>
                </c:pt>
                <c:pt idx="5">
                  <c:v>5.765E-2</c:v>
                </c:pt>
                <c:pt idx="6">
                  <c:v>5.7022999999999997E-2</c:v>
                </c:pt>
                <c:pt idx="7">
                  <c:v>5.6395000000000001E-2</c:v>
                </c:pt>
                <c:pt idx="8">
                  <c:v>5.577E-2</c:v>
                </c:pt>
                <c:pt idx="9">
                  <c:v>5.5146000000000001E-2</c:v>
                </c:pt>
                <c:pt idx="10">
                  <c:v>5.4524000000000003E-2</c:v>
                </c:pt>
                <c:pt idx="11">
                  <c:v>5.4519999999999999E-2</c:v>
                </c:pt>
                <c:pt idx="12">
                  <c:v>5.4519999999999999E-2</c:v>
                </c:pt>
                <c:pt idx="13">
                  <c:v>5.4519999999999999E-2</c:v>
                </c:pt>
                <c:pt idx="14">
                  <c:v>5.4519999999999999E-2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1.3332999999999999E-2</c:v>
                </c:pt>
                <c:pt idx="4">
                  <c:v>1.4999999999999999E-2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8.5065000000000002E-2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6.0166999999999998E-2</c:v>
                </c:pt>
                <c:pt idx="1">
                  <c:v>6.0166999999999998E-2</c:v>
                </c:pt>
                <c:pt idx="2">
                  <c:v>6.0166999999999998E-2</c:v>
                </c:pt>
                <c:pt idx="3">
                  <c:v>6.0166999999999998E-2</c:v>
                </c:pt>
                <c:pt idx="4">
                  <c:v>6.0166999999999998E-2</c:v>
                </c:pt>
                <c:pt idx="5">
                  <c:v>5.9672000000000003E-2</c:v>
                </c:pt>
                <c:pt idx="6">
                  <c:v>5.9070999999999999E-2</c:v>
                </c:pt>
                <c:pt idx="7">
                  <c:v>5.8471000000000002E-2</c:v>
                </c:pt>
                <c:pt idx="8">
                  <c:v>5.7873000000000001E-2</c:v>
                </c:pt>
                <c:pt idx="9">
                  <c:v>5.7277000000000002E-2</c:v>
                </c:pt>
                <c:pt idx="10">
                  <c:v>5.7275E-2</c:v>
                </c:pt>
                <c:pt idx="11">
                  <c:v>5.7275E-2</c:v>
                </c:pt>
                <c:pt idx="12">
                  <c:v>5.7275E-2</c:v>
                </c:pt>
                <c:pt idx="13">
                  <c:v>5.7275E-2</c:v>
                </c:pt>
                <c:pt idx="14">
                  <c:v>5.7275E-2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1.6667000000000001E-2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7.3380000000000001E-2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6.2E-2</c:v>
                </c:pt>
                <c:pt idx="1">
                  <c:v>6.2E-2</c:v>
                </c:pt>
                <c:pt idx="2">
                  <c:v>6.2E-2</c:v>
                </c:pt>
                <c:pt idx="3">
                  <c:v>6.2E-2</c:v>
                </c:pt>
                <c:pt idx="4">
                  <c:v>6.2E-2</c:v>
                </c:pt>
                <c:pt idx="5">
                  <c:v>6.1681E-2</c:v>
                </c:pt>
                <c:pt idx="6">
                  <c:v>6.1105E-2</c:v>
                </c:pt>
                <c:pt idx="7">
                  <c:v>6.0528999999999999E-2</c:v>
                </c:pt>
                <c:pt idx="8">
                  <c:v>5.9956000000000002E-2</c:v>
                </c:pt>
                <c:pt idx="9">
                  <c:v>5.9935000000000002E-2</c:v>
                </c:pt>
                <c:pt idx="10">
                  <c:v>5.9935000000000002E-2</c:v>
                </c:pt>
                <c:pt idx="11">
                  <c:v>5.9935000000000002E-2</c:v>
                </c:pt>
                <c:pt idx="12">
                  <c:v>5.9935000000000002E-2</c:v>
                </c:pt>
                <c:pt idx="13">
                  <c:v>5.9935000000000002E-2</c:v>
                </c:pt>
                <c:pt idx="14">
                  <c:v>5.9935000000000002E-2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6.2095999999999998E-2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6.3833000000000001E-2</c:v>
                </c:pt>
                <c:pt idx="1">
                  <c:v>6.3833000000000001E-2</c:v>
                </c:pt>
                <c:pt idx="2">
                  <c:v>6.3833000000000001E-2</c:v>
                </c:pt>
                <c:pt idx="3">
                  <c:v>6.3833000000000001E-2</c:v>
                </c:pt>
                <c:pt idx="4">
                  <c:v>6.3833000000000001E-2</c:v>
                </c:pt>
                <c:pt idx="5">
                  <c:v>6.3678999999999999E-2</c:v>
                </c:pt>
                <c:pt idx="6">
                  <c:v>6.3125000000000001E-2</c:v>
                </c:pt>
                <c:pt idx="7">
                  <c:v>6.2571000000000002E-2</c:v>
                </c:pt>
                <c:pt idx="8">
                  <c:v>6.2517000000000003E-2</c:v>
                </c:pt>
                <c:pt idx="9">
                  <c:v>6.2517000000000003E-2</c:v>
                </c:pt>
                <c:pt idx="10">
                  <c:v>6.2517000000000003E-2</c:v>
                </c:pt>
                <c:pt idx="11">
                  <c:v>6.2517000000000003E-2</c:v>
                </c:pt>
                <c:pt idx="12">
                  <c:v>6.2517000000000003E-2</c:v>
                </c:pt>
                <c:pt idx="13">
                  <c:v>6.2517000000000003E-2</c:v>
                </c:pt>
                <c:pt idx="14">
                  <c:v>6.2517000000000003E-2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2.3333E-2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5.1138999999999997E-2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6.5667000000000003E-2</c:v>
                </c:pt>
                <c:pt idx="1">
                  <c:v>6.5667000000000003E-2</c:v>
                </c:pt>
                <c:pt idx="2">
                  <c:v>6.5667000000000003E-2</c:v>
                </c:pt>
                <c:pt idx="3">
                  <c:v>6.5667000000000003E-2</c:v>
                </c:pt>
                <c:pt idx="4">
                  <c:v>6.5667000000000003E-2</c:v>
                </c:pt>
                <c:pt idx="5">
                  <c:v>6.5667000000000003E-2</c:v>
                </c:pt>
                <c:pt idx="6">
                  <c:v>6.5132999999999996E-2</c:v>
                </c:pt>
                <c:pt idx="7">
                  <c:v>6.5035999999999997E-2</c:v>
                </c:pt>
                <c:pt idx="8">
                  <c:v>6.5035999999999997E-2</c:v>
                </c:pt>
                <c:pt idx="9">
                  <c:v>6.5035999999999997E-2</c:v>
                </c:pt>
                <c:pt idx="10">
                  <c:v>6.5035999999999997E-2</c:v>
                </c:pt>
                <c:pt idx="11">
                  <c:v>6.5035999999999997E-2</c:v>
                </c:pt>
                <c:pt idx="12">
                  <c:v>6.5035999999999997E-2</c:v>
                </c:pt>
                <c:pt idx="13">
                  <c:v>6.5035999999999997E-2</c:v>
                </c:pt>
                <c:pt idx="14">
                  <c:v>6.5035999999999997E-2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2.6667E-2</c:v>
                </c:pt>
                <c:pt idx="6">
                  <c:v>3.8332999999999999E-2</c:v>
                </c:pt>
                <c:pt idx="7">
                  <c:v>4.0453999999999997E-2</c:v>
                </c:pt>
                <c:pt idx="8">
                  <c:v>0.05</c:v>
                </c:pt>
                <c:pt idx="9">
                  <c:v>6.1667E-2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ПКВ'!$H$74:$H$75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5.0999999999999997E-2</c:v>
                </c:pt>
              </c:numCache>
            </c:numRef>
          </c:xVal>
          <c:yVal>
            <c:numRef>
              <c:f>'прием ПКВ'!$I$74:$I$75</c:f>
              <c:numCache>
                <c:formatCode>General</c:formatCode>
                <c:ptCount val="2"/>
                <c:pt idx="0">
                  <c:v>-0.09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ПКВ'!$K$74:$K$75</c:f>
              <c:numCache>
                <c:formatCode>General</c:formatCode>
                <c:ptCount val="2"/>
                <c:pt idx="0">
                  <c:v>6.7500000000000004E-2</c:v>
                </c:pt>
                <c:pt idx="1">
                  <c:v>6.7500000000000004E-2</c:v>
                </c:pt>
              </c:numCache>
            </c:numRef>
          </c:xVal>
          <c:yVal>
            <c:numRef>
              <c:f>'прием ПКВ'!$L$74:$L$75</c:f>
              <c:numCache>
                <c:formatCode>General</c:formatCode>
                <c:ptCount val="2"/>
                <c:pt idx="0">
                  <c:v>-0.09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ПКВ'!$E$74:$E$75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5.0999999999999997E-2</c:v>
                </c:pt>
              </c:numCache>
            </c:numRef>
          </c:xVal>
          <c:yVal>
            <c:numRef>
              <c:f>'прием ПКВ'!$F$74:$F$75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ПКВ'!$N$74:$N$75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6.7500000000000004E-2</c:v>
                </c:pt>
              </c:numCache>
            </c:numRef>
          </c:xVal>
          <c:yVal>
            <c:numRef>
              <c:f>'прием ПКВ'!$O$74:$O$75</c:f>
              <c:numCache>
                <c:formatCode>General</c:formatCode>
                <c:ptCount val="2"/>
                <c:pt idx="0">
                  <c:v>0</c:v>
                </c:pt>
                <c:pt idx="1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ПКВ'!$Q$74:$Q$75</c:f>
              <c:numCache>
                <c:formatCode>General</c:formatCode>
                <c:ptCount val="2"/>
                <c:pt idx="0">
                  <c:v>5.0999999999999997E-2</c:v>
                </c:pt>
                <c:pt idx="1">
                  <c:v>6.7500000000000004E-2</c:v>
                </c:pt>
              </c:numCache>
            </c:numRef>
          </c:xVal>
          <c:yVal>
            <c:numRef>
              <c:f>'прием ПКВ'!$R$74:$R$75</c:f>
              <c:numCache>
                <c:formatCode>General</c:formatCode>
                <c:ptCount val="2"/>
                <c:pt idx="0">
                  <c:v>0.1</c:v>
                </c:pt>
                <c:pt idx="1">
                  <c:v>0.03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318161</xdr:colOff>
      <xdr:row>0</xdr:row>
      <xdr:rowOff>41574</xdr:rowOff>
    </xdr:from>
    <xdr:to>
      <xdr:col>35</xdr:col>
      <xdr:colOff>518481</xdr:colOff>
      <xdr:row>26</xdr:row>
      <xdr:rowOff>129526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60031</xdr:colOff>
      <xdr:row>0</xdr:row>
      <xdr:rowOff>56715</xdr:rowOff>
    </xdr:from>
    <xdr:to>
      <xdr:col>26</xdr:col>
      <xdr:colOff>250531</xdr:colOff>
      <xdr:row>26</xdr:row>
      <xdr:rowOff>156082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393006</xdr:colOff>
      <xdr:row>27</xdr:row>
      <xdr:rowOff>31535</xdr:rowOff>
    </xdr:from>
    <xdr:to>
      <xdr:col>36</xdr:col>
      <xdr:colOff>0</xdr:colOff>
      <xdr:row>43</xdr:row>
      <xdr:rowOff>149679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rho_mix_kgm3"/>
      <definedName name="feed_ST_liqgas_Nm"/>
      <definedName name="PVT_mu_gas_cP"/>
      <definedName name="PVT_rho_gas_kgm3"/>
      <definedName name="unf_ksep_ESP_Marquez_build_bubble_tracks"/>
      <definedName name="unf_ksep_ESP_natural_mechanistic_Marquez"/>
      <definedName name="unf_ksep_ESP_natural_mechanistic_pkv"/>
      <definedName name="unf_ksep_ESP_natural_mechanistic_pump_below_perf"/>
      <definedName name="unf_ksep_ESP_natural_simplified_Marquez"/>
      <definedName name="unf_ksep_mechanistic_Marquez_reverse_build_bubble_tracks"/>
      <definedName name="unf_ksep_mechanistic_pkv_build_bubble_tracks"/>
    </definedNames>
    <sheetDataSet>
      <sheetData sheetId="0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8</v>
    <v>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B1:AF75"/>
  <sheetViews>
    <sheetView topLeftCell="A7" zoomScale="70" zoomScaleNormal="70" workbookViewId="0">
      <selection activeCell="F28" sqref="F28:O40"/>
    </sheetView>
  </sheetViews>
  <sheetFormatPr defaultRowHeight="15" x14ac:dyDescent="0.25"/>
  <cols>
    <col min="4" max="4" width="18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1" max="23" width="10.140625" bestFit="1" customWidth="1"/>
    <col min="24" max="24" width="11.140625" bestFit="1" customWidth="1"/>
    <col min="25" max="25" width="10.140625" bestFit="1" customWidth="1"/>
  </cols>
  <sheetData>
    <row r="1" spans="2:15" x14ac:dyDescent="0.25">
      <c r="B1" t="s">
        <v>60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125</v>
      </c>
      <c r="J6" s="13" t="s">
        <v>18</v>
      </c>
      <c r="K6" s="13">
        <f>dcas/1000</f>
        <v>0.125</v>
      </c>
      <c r="M6" s="13" t="s">
        <v>19</v>
      </c>
      <c r="N6" s="14" cm="1">
        <f t="array" ref="N6">[1]!feed_rho_liq_kgm3(p,t,feed_json)</f>
        <v>712.7468421788584</v>
      </c>
      <c r="O6" s="13" t="s">
        <v>28</v>
      </c>
    </row>
    <row r="7" spans="2:15" x14ac:dyDescent="0.25">
      <c r="D7" s="1" t="s">
        <v>1</v>
      </c>
      <c r="E7" s="1">
        <v>0.82</v>
      </c>
      <c r="H7" s="9" t="s">
        <v>25</v>
      </c>
      <c r="I7" s="12">
        <v>73</v>
      </c>
      <c r="J7" s="13" t="s">
        <v>18</v>
      </c>
      <c r="K7" s="13">
        <f>dintake/1000</f>
        <v>7.2999999999999995E-2</v>
      </c>
      <c r="M7" s="13" t="s">
        <v>20</v>
      </c>
      <c r="N7" s="14" cm="1">
        <f t="array" ref="N7">[1]!PVT_rho_gas_kgm3(p,t,PVT_json)</f>
        <v>116.32084897430778</v>
      </c>
      <c r="O7" s="13" t="s">
        <v>28</v>
      </c>
    </row>
    <row r="8" spans="2:15" x14ac:dyDescent="0.25">
      <c r="D8" s="1" t="s">
        <v>2</v>
      </c>
      <c r="E8" s="1">
        <v>1.1000000000000001</v>
      </c>
      <c r="H8" s="10" t="s">
        <v>45</v>
      </c>
      <c r="I8" s="12">
        <v>200</v>
      </c>
      <c r="J8" s="13" t="s">
        <v>35</v>
      </c>
      <c r="K8" s="13">
        <f>I8/1000</f>
        <v>0.2</v>
      </c>
      <c r="M8" s="13" t="s">
        <v>21</v>
      </c>
      <c r="N8" s="15" cm="1">
        <f t="array" ref="N8">[1]!feed_ST_liqgas_Nm(p,t,feed_json)*calibr_st</f>
        <v>2.3693872187412611E-2</v>
      </c>
      <c r="O8" s="13" t="s">
        <v>29</v>
      </c>
    </row>
    <row r="9" spans="2:15" x14ac:dyDescent="0.25">
      <c r="D9" s="1" t="s">
        <v>3</v>
      </c>
      <c r="E9" s="1">
        <v>120</v>
      </c>
      <c r="H9" s="10" t="s">
        <v>26</v>
      </c>
      <c r="I9" s="12">
        <v>100</v>
      </c>
      <c r="M9" s="13" t="s">
        <v>22</v>
      </c>
      <c r="N9" s="16" cm="1">
        <f t="array" ref="N9">[1]!feed_q_liq_rc_m3day(p,t,feed_json)</f>
        <v>76.822045931694333</v>
      </c>
      <c r="O9" s="13" t="s">
        <v>58</v>
      </c>
    </row>
    <row r="10" spans="2:15" x14ac:dyDescent="0.25">
      <c r="D10" s="1" t="s">
        <v>4</v>
      </c>
      <c r="E10" s="1"/>
      <c r="H10" s="10" t="s">
        <v>27</v>
      </c>
      <c r="I10" s="12">
        <v>60</v>
      </c>
      <c r="M10" s="13" t="s">
        <v>23</v>
      </c>
      <c r="N10" s="16" cm="1">
        <f t="array" ref="N10">[1]!feed_q_gas_rc_m3day(p,t,feed_json)</f>
        <v>13.499589852653768</v>
      </c>
      <c r="O10" s="13" t="s">
        <v>58</v>
      </c>
    </row>
    <row r="11" spans="2:15" x14ac:dyDescent="0.25">
      <c r="D11" s="1" t="s">
        <v>5</v>
      </c>
      <c r="E11" s="1"/>
      <c r="H11" s="10" t="s">
        <v>48</v>
      </c>
      <c r="I11" s="12">
        <v>2</v>
      </c>
      <c r="M11" s="13" t="s">
        <v>30</v>
      </c>
      <c r="N11" s="15" cm="1">
        <f t="array" ref="N11">[1]!feed_mu_liq_cP(p,t,feed_json)</f>
        <v>1.7967811455081182</v>
      </c>
      <c r="O11" s="13" t="s">
        <v>59</v>
      </c>
    </row>
    <row r="12" spans="2:15" x14ac:dyDescent="0.25">
      <c r="D12" s="1" t="s">
        <v>6</v>
      </c>
      <c r="E12" s="1"/>
      <c r="H12" s="11" t="s">
        <v>49</v>
      </c>
      <c r="I12" s="12">
        <v>1</v>
      </c>
      <c r="M12" s="13" t="s">
        <v>31</v>
      </c>
      <c r="N12" s="15" cm="1">
        <f t="array" ref="N12">[1]!PVT_mu_gas_cP(p,t,PVT_json)</f>
        <v>1.6103282892022303E-2</v>
      </c>
      <c r="O12" s="13" t="s">
        <v>59</v>
      </c>
    </row>
    <row r="13" spans="2:15" x14ac:dyDescent="0.25">
      <c r="D13" s="1" t="s">
        <v>7</v>
      </c>
      <c r="E13" s="1">
        <v>1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{"gamma_gas":0.81,"gamma_oil":0.82,"gamma_wat":1.1,"rsb_m3m3":120,"muob_cP":1,"PVT_corr_set":1}</v>
      </c>
      <c r="F15" t="s">
        <v>57</v>
      </c>
    </row>
    <row r="16" spans="2:15" x14ac:dyDescent="0.25">
      <c r="D16" s="1" t="s">
        <v>10</v>
      </c>
      <c r="E16" s="1">
        <v>60</v>
      </c>
    </row>
    <row r="17" spans="4:25" x14ac:dyDescent="0.25">
      <c r="D17" s="1" t="s">
        <v>11</v>
      </c>
      <c r="E17" s="1">
        <v>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>[1]!encode_feed(E16,E17,E18,E19,E15)</f>
        <v>{"gamma_gas":0.81,"gamma_oil":0.82,"gamma_wat":1.1,"rsb_m3m3":120,"muob_cP":1,"PVT_corr_set":1,"q_liq_sm3day":60,"fw_perc":0,"rp_m3m3":120}</v>
      </c>
      <c r="F20" t="s">
        <v>57</v>
      </c>
    </row>
    <row r="23" spans="4:25" x14ac:dyDescent="0.25">
      <c r="I23" s="4"/>
    </row>
    <row r="26" spans="4:25" x14ac:dyDescent="0.25">
      <c r="E26" t="s">
        <v>46</v>
      </c>
    </row>
    <row r="28" spans="4:25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33</v>
      </c>
      <c r="P28" s="13" t="s">
        <v>34</v>
      </c>
    </row>
    <row r="29" spans="4:25" x14ac:dyDescent="0.25">
      <c r="F29" s="1">
        <v>2</v>
      </c>
      <c r="G29" s="13" t="str">
        <f>[1]!encode_feed(F29,$E$17,$E$18,$E$19,$E$15)</f>
        <v>{"gamma_gas":0.81,"gamma_oil":0.82,"gamma_wat":1.1,"rsb_m3m3":120,"muob_cP":1,"PVT_corr_set":1,"q_liq_sm3day":2,"fw_perc":0,"rp_m3m3":120}</v>
      </c>
      <c r="H29" s="14" cm="1">
        <f t="array" ref="H29">[1]!feed_rho_liq_kgm3(p,t,G29)</f>
        <v>712.7468421788584</v>
      </c>
      <c r="I29" s="14" cm="1">
        <f t="array" ref="I29">[1]!PVT_rho_gas_kgm3(p,t,PVT_json)</f>
        <v>116.32084897430778</v>
      </c>
      <c r="J29" s="15" cm="1">
        <f t="array" ref="J29">[1]!feed_ST_liqgas_Nm(p,t,G29)</f>
        <v>2.3693872187412611E-2</v>
      </c>
      <c r="K29" s="17" cm="1">
        <f t="array" ref="K29">[1]!feed_q_liq_rc_m3day(p,t,G29)</f>
        <v>2.5607348643898113</v>
      </c>
      <c r="L29" s="17" cm="1">
        <f t="array" ref="L29">[1]!feed_q_gas_rc_m3day(p,t,G29)</f>
        <v>0.44998632842179231</v>
      </c>
      <c r="M29" s="16" cm="1">
        <f t="array" ref="M29">[1]!feed_mu_liq_cP(p,t,G29)</f>
        <v>1.7967811455081182</v>
      </c>
      <c r="N29" s="16" cm="1">
        <f t="array" ref="N29">[1]!PVT_mu_gas_cP(p,t,G29)</f>
        <v>1.6103282892022303E-2</v>
      </c>
      <c r="O29" s="18" cm="1">
        <f t="array" ref="O29">[1]!unf_ksep_ESP_natural_simplified_Marquez(dintake_m,dcas_m,K29,L29,J29,H29,I29,1)</f>
        <v>0.97531811431639082</v>
      </c>
      <c r="P29" s="18" cm="1">
        <f t="array" ref="P29">[1]!unf_ksep_ESP_natural_mechanistic_Marquez(dintake_m,dcas_m,K29,L29,J29,H29,I29,M29,N29,1,hint,calibr_li,calibr_st)</f>
        <v>0.96918421088263473</v>
      </c>
      <c r="R29" s="6">
        <f t="array" ref="R29:Y29">[1]!unf_ksep_ESP_natural_mechanistic_Marquez(dintake_m,dcas_m,K29,L29,J29,H29,I29,M29,N29,0,hint,calibr_li,calibr_st)</f>
        <v>0.96918421088263473</v>
      </c>
      <c r="S29" s="6">
        <v>0.96918421088263473</v>
      </c>
      <c r="T29" s="5">
        <v>0</v>
      </c>
      <c r="U29" s="6">
        <v>1.3941558775465576E-3</v>
      </c>
      <c r="V29" s="6">
        <v>0.19664784102492083</v>
      </c>
      <c r="W29" s="6">
        <v>3.6651324792824863E-3</v>
      </c>
      <c r="X29" s="6">
        <v>6.4405711441148481E-4</v>
      </c>
      <c r="Y29" s="8">
        <v>0.1918831688018536</v>
      </c>
    </row>
    <row r="30" spans="4:25" x14ac:dyDescent="0.25">
      <c r="F30" s="1">
        <v>10</v>
      </c>
      <c r="G30" s="13" t="str">
        <f>[1]!encode_feed(F30,$E$17,$E$18,$E$19,$E$15)</f>
        <v>{"gamma_gas":0.81,"gamma_oil":0.82,"gamma_wat":1.1,"rsb_m3m3":120,"muob_cP":1,"PVT_corr_set":1,"q_liq_sm3day":10,"fw_perc":0,"rp_m3m3":120}</v>
      </c>
      <c r="H30" s="14" cm="1">
        <f t="array" ref="H30">[1]!feed_rho_liq_kgm3(p,t,G30)</f>
        <v>712.7468421788584</v>
      </c>
      <c r="I30" s="14" cm="1">
        <f t="array" ref="I30">[1]!PVT_rho_gas_kgm3(p,t,PVT_json)</f>
        <v>116.32084897430778</v>
      </c>
      <c r="J30" s="15" cm="1">
        <f t="array" ref="J30">[1]!feed_ST_liqgas_Nm(p,t,G30)</f>
        <v>2.3693872187412611E-2</v>
      </c>
      <c r="K30" s="17" cm="1">
        <f t="array" ref="K30">[1]!feed_q_liq_rc_m3day(p,t,G30)</f>
        <v>12.803674321949057</v>
      </c>
      <c r="L30" s="17" cm="1">
        <f t="array" ref="L30">[1]!feed_q_gas_rc_m3day(p,t,G30)</f>
        <v>2.2499316421089617</v>
      </c>
      <c r="M30" s="16" cm="1">
        <f t="array" ref="M30">[1]!feed_mu_liq_cP(p,t,G30)</f>
        <v>1.7967811455081182</v>
      </c>
      <c r="N30" s="16" cm="1">
        <f t="array" ref="N30">[1]!PVT_mu_gas_cP(p,t,G30)</f>
        <v>1.6103282892022303E-2</v>
      </c>
      <c r="O30" s="18" cm="1">
        <f t="array" ref="O30">[1]!unf_ksep_ESP_natural_simplified_Marquez(dintake_m,dcas_m,K30,L30,J30,H30,I30,1)</f>
        <v>0.92421907951868054</v>
      </c>
      <c r="P30" s="18" cm="1">
        <f t="array" ref="P30">[1]!unf_ksep_ESP_natural_mechanistic_Marquez(dintake_m,dcas_m,K30,L30,J30,H30,I30,M30,N30,1,hint,calibr_li,calibr_st)</f>
        <v>0.86066864393382203</v>
      </c>
      <c r="R30" s="6">
        <f t="array" ref="R30:Y30">[1]!unf_ksep_ESP_natural_mechanistic_Marquez(dintake_m,dcas_m,K30,L30,J30,H30,I30,M30,N30,0,hint,calibr_li,calibr_st)</f>
        <v>0.86066864393382203</v>
      </c>
      <c r="S30" s="6">
        <v>0.86066864393382203</v>
      </c>
      <c r="T30" s="5">
        <v>0</v>
      </c>
      <c r="U30" s="6">
        <v>1.3899687053988312E-3</v>
      </c>
      <c r="V30" s="6">
        <v>0.19664784102492083</v>
      </c>
      <c r="W30" s="6">
        <v>1.8325662396412434E-2</v>
      </c>
      <c r="X30" s="6">
        <v>3.2202855720574242E-3</v>
      </c>
      <c r="Y30" s="8">
        <v>0.17282447990958466</v>
      </c>
    </row>
    <row r="31" spans="4:25" x14ac:dyDescent="0.25">
      <c r="F31" s="1">
        <v>30</v>
      </c>
      <c r="G31" s="13" t="str">
        <f>[1]!encode_feed(F31,$E$17,$E$18,$E$19,$E$15)</f>
        <v>{"gamma_gas":0.81,"gamma_oil":0.82,"gamma_wat":1.1,"rsb_m3m3":120,"muob_cP":1,"PVT_corr_set":1,"q_liq_sm3day":30,"fw_perc":0,"rp_m3m3":120}</v>
      </c>
      <c r="H31" s="14" cm="1">
        <f t="array" ref="H31">[1]!feed_rho_liq_kgm3(p,t,G31)</f>
        <v>712.7468421788584</v>
      </c>
      <c r="I31" s="14" cm="1">
        <f t="array" ref="I31">[1]!PVT_rho_gas_kgm3(p,t,PVT_json)</f>
        <v>116.32084897430778</v>
      </c>
      <c r="J31" s="15" cm="1">
        <f t="array" ref="J31">[1]!feed_ST_liqgas_Nm(p,t,G31)</f>
        <v>2.3693872187412611E-2</v>
      </c>
      <c r="K31" s="17" cm="1">
        <f t="array" ref="K31">[1]!feed_q_liq_rc_m3day(p,t,G31)</f>
        <v>38.411022965847167</v>
      </c>
      <c r="L31" s="17" cm="1">
        <f t="array" ref="L31">[1]!feed_q_gas_rc_m3day(p,t,G31)</f>
        <v>6.7497949263268842</v>
      </c>
      <c r="M31" s="16" cm="1">
        <f t="array" ref="M31">[1]!feed_mu_liq_cP(p,t,G31)</f>
        <v>1.7967811455081182</v>
      </c>
      <c r="N31" s="16" cm="1">
        <f t="array" ref="N31">[1]!PVT_mu_gas_cP(p,t,G31)</f>
        <v>1.6103282892022303E-2</v>
      </c>
      <c r="O31" s="18" cm="1">
        <f t="array" ref="O31">[1]!unf_ksep_ESP_natural_simplified_Marquez(dintake_m,dcas_m,K31,L31,J31,H31,I31,1)</f>
        <v>0.81204441723443999</v>
      </c>
      <c r="P31" s="18" cm="1">
        <f t="array" ref="P31">[1]!unf_ksep_ESP_natural_mechanistic_Marquez(dintake_m,dcas_m,K31,L31,J31,H31,I31,M31,N31,1,hint,calibr_li,calibr_st)</f>
        <v>0.6664219015224071</v>
      </c>
      <c r="R31" s="6">
        <f t="array" ref="R31:Y31">[1]!unf_ksep_ESP_natural_mechanistic_Marquez(dintake_m,dcas_m,K31,L31,J31,H31,I31,M31,N31,0,hint,calibr_li,calibr_st)</f>
        <v>0.6664219015224071</v>
      </c>
      <c r="S31" s="6">
        <v>0.6664219015224071</v>
      </c>
      <c r="T31" s="5">
        <v>3</v>
      </c>
      <c r="U31" s="6">
        <v>1.3803453742746593E-3</v>
      </c>
      <c r="V31" s="6">
        <v>0.18122448094453489</v>
      </c>
      <c r="W31" s="6">
        <v>5.497698718923729E-2</v>
      </c>
      <c r="X31" s="6">
        <v>9.6608567161722714E-3</v>
      </c>
      <c r="Y31" s="8">
        <v>0.12517775767891234</v>
      </c>
    </row>
    <row r="32" spans="4:25" x14ac:dyDescent="0.25">
      <c r="F32" s="1">
        <v>50</v>
      </c>
      <c r="G32" s="13" t="str">
        <f>[1]!encode_feed(F32,$E$17,$E$18,$E$19,$E$15)</f>
        <v>{"gamma_gas":0.81,"gamma_oil":0.82,"gamma_wat":1.1,"rsb_m3m3":120,"muob_cP":1,"PVT_corr_set":1,"q_liq_sm3day":50,"fw_perc":0,"rp_m3m3":120}</v>
      </c>
      <c r="H32" s="14" cm="1">
        <f t="array" ref="H32">[1]!feed_rho_liq_kgm3(p,t,G32)</f>
        <v>712.7468421788584</v>
      </c>
      <c r="I32" s="14" cm="1">
        <f t="array" ref="I32">[1]!PVT_rho_gas_kgm3(p,t,PVT_json)</f>
        <v>116.32084897430778</v>
      </c>
      <c r="J32" s="15" cm="1">
        <f t="array" ref="J32">[1]!feed_ST_liqgas_Nm(p,t,G32)</f>
        <v>2.3693872187412611E-2</v>
      </c>
      <c r="K32" s="17" cm="1">
        <f t="array" ref="K32">[1]!feed_q_liq_rc_m3day(p,t,G32)</f>
        <v>64.018371609745287</v>
      </c>
      <c r="L32" s="17" cm="1">
        <f t="array" ref="L32">[1]!feed_q_gas_rc_m3day(p,t,G32)</f>
        <v>11.249658210544808</v>
      </c>
      <c r="M32" s="16" cm="1">
        <f t="array" ref="M32">[1]!feed_mu_liq_cP(p,t,G32)</f>
        <v>1.7967811455081182</v>
      </c>
      <c r="N32" s="16" cm="1">
        <f t="array" ref="N32">[1]!PVT_mu_gas_cP(p,t,G32)</f>
        <v>1.6103282892022303E-2</v>
      </c>
      <c r="O32" s="18" cm="1">
        <f t="array" ref="O32">[1]!unf_ksep_ESP_natural_simplified_Marquez(dintake_m,dcas_m,K32,L32,J32,H32,I32,1)</f>
        <v>0.72751989425767538</v>
      </c>
      <c r="P32" s="18" cm="1">
        <f t="array" ref="P32">[1]!unf_ksep_ESP_natural_mechanistic_Marquez(dintake_m,dcas_m,K32,L32,J32,H32,I32,M32,N32,1,hint,calibr_li,calibr_st)</f>
        <v>0.53734368128808363</v>
      </c>
      <c r="R32" s="6">
        <f t="array" ref="R32:Y32">[1]!unf_ksep_ESP_natural_mechanistic_Marquez(dintake_m,dcas_m,K32,L32,J32,H32,I32,M32,N32,0,hint,calibr_li,calibr_st)</f>
        <v>0.53734368128808363</v>
      </c>
      <c r="S32" s="6">
        <v>0.53734368128808363</v>
      </c>
      <c r="T32" s="5">
        <v>3</v>
      </c>
      <c r="U32" s="6">
        <v>1.3718407036138521E-3</v>
      </c>
      <c r="V32" s="6">
        <v>0.18122448094453489</v>
      </c>
      <c r="W32" s="6">
        <v>9.1628311982062172E-2</v>
      </c>
      <c r="X32" s="6">
        <v>1.6101427860287121E-2</v>
      </c>
      <c r="Y32" s="8">
        <v>7.7531035448240013E-2</v>
      </c>
    </row>
    <row r="33" spans="5:31" x14ac:dyDescent="0.25">
      <c r="F33" s="1">
        <v>70</v>
      </c>
      <c r="G33" s="13" t="str">
        <f>[1]!encode_feed(F33,$E$17,$E$18,$E$19,$E$15)</f>
        <v>{"gamma_gas":0.81,"gamma_oil":0.82,"gamma_wat":1.1,"rsb_m3m3":120,"muob_cP":1,"PVT_corr_set":1,"q_liq_sm3day":70,"fw_perc":0,"rp_m3m3":120}</v>
      </c>
      <c r="H33" s="14" cm="1">
        <f t="array" ref="H33">[1]!feed_rho_liq_kgm3(p,t,G33)</f>
        <v>712.7468421788584</v>
      </c>
      <c r="I33" s="14" cm="1">
        <f t="array" ref="I33">[1]!PVT_rho_gas_kgm3(p,t,PVT_json)</f>
        <v>116.32084897430778</v>
      </c>
      <c r="J33" s="15" cm="1">
        <f t="array" ref="J33">[1]!feed_ST_liqgas_Nm(p,t,G33)</f>
        <v>2.3693872187412611E-2</v>
      </c>
      <c r="K33" s="17" cm="1">
        <f t="array" ref="K33">[1]!feed_q_liq_rc_m3day(p,t,G33)</f>
        <v>89.625720253643394</v>
      </c>
      <c r="L33" s="17" cm="1">
        <f t="array" ref="L33">[1]!feed_q_gas_rc_m3day(p,t,G33)</f>
        <v>15.749521494762732</v>
      </c>
      <c r="M33" s="16" cm="1">
        <f t="array" ref="M33">[1]!feed_mu_liq_cP(p,t,G33)</f>
        <v>1.7967811455081182</v>
      </c>
      <c r="N33" s="16" cm="1">
        <f t="array" ref="N33">[1]!PVT_mu_gas_cP(p,t,G33)</f>
        <v>1.6103282892022303E-2</v>
      </c>
      <c r="O33" s="18" cm="1">
        <f t="array" ref="O33">[1]!unf_ksep_ESP_natural_simplified_Marquez(dintake_m,dcas_m,K33,L33,J33,H33,I33,1)</f>
        <v>0.65784724443441345</v>
      </c>
      <c r="P33" s="18" cm="1">
        <f t="array" ref="P33">[1]!unf_ksep_ESP_natural_mechanistic_Marquez(dintake_m,dcas_m,K33,L33,J33,H33,I33,M33,N33,1,hint,calibr_li,calibr_st)</f>
        <v>0.4461431814190146</v>
      </c>
      <c r="R33" s="6">
        <f t="array" ref="R33:Y33">[1]!unf_ksep_ESP_natural_mechanistic_Marquez(dintake_m,dcas_m,K33,L33,J33,H33,I33,M33,N33,0,hint,calibr_li,calibr_st)</f>
        <v>0.4461431814190146</v>
      </c>
      <c r="S33" s="6">
        <v>0.4461431814190146</v>
      </c>
      <c r="T33" s="5">
        <v>3</v>
      </c>
      <c r="U33" s="6">
        <v>1.364355563990678E-3</v>
      </c>
      <c r="V33" s="6">
        <v>0.18122448094453489</v>
      </c>
      <c r="W33" s="6">
        <v>0.12827963677488702</v>
      </c>
      <c r="X33" s="6">
        <v>2.2541999004401972E-2</v>
      </c>
      <c r="Y33" s="8">
        <v>2.9884313217567703E-2</v>
      </c>
    </row>
    <row r="34" spans="5:31" x14ac:dyDescent="0.25">
      <c r="F34" s="1">
        <v>90</v>
      </c>
      <c r="G34" s="13" t="str">
        <f>[1]!encode_feed(F34,$E$17,$E$18,$E$19,$E$15)</f>
        <v>{"gamma_gas":0.81,"gamma_oil":0.82,"gamma_wat":1.1,"rsb_m3m3":120,"muob_cP":1,"PVT_corr_set":1,"q_liq_sm3day":90,"fw_perc":0,"rp_m3m3":120}</v>
      </c>
      <c r="H34" s="14" cm="1">
        <f t="array" ref="H34">[1]!feed_rho_liq_kgm3(p,t,G34)</f>
        <v>712.7468421788584</v>
      </c>
      <c r="I34" s="14" cm="1">
        <f t="array" ref="I34">[1]!PVT_rho_gas_kgm3(p,t,PVT_json)</f>
        <v>116.32084897430778</v>
      </c>
      <c r="J34" s="15" cm="1">
        <f t="array" ref="J34">[1]!feed_ST_liqgas_Nm(p,t,G34)</f>
        <v>2.3693872187412611E-2</v>
      </c>
      <c r="K34" s="17" cm="1">
        <f t="array" ref="K34">[1]!feed_q_liq_rc_m3day(p,t,G34)</f>
        <v>115.23306889754151</v>
      </c>
      <c r="L34" s="17" cm="1">
        <f t="array" ref="L34">[1]!feed_q_gas_rc_m3day(p,t,G34)</f>
        <v>20.249384778980655</v>
      </c>
      <c r="M34" s="16" cm="1">
        <f t="array" ref="M34">[1]!feed_mu_liq_cP(p,t,G34)</f>
        <v>1.7967811455081182</v>
      </c>
      <c r="N34" s="16" cm="1">
        <f t="array" ref="N34">[1]!PVT_mu_gas_cP(p,t,G34)</f>
        <v>1.6103282892022303E-2</v>
      </c>
      <c r="O34" s="18" cm="1">
        <f t="array" ref="O34">[1]!unf_ksep_ESP_natural_simplified_Marquez(dintake_m,dcas_m,K34,L34,J34,H34,I34,1)</f>
        <v>0.59934848841213717</v>
      </c>
      <c r="P34" s="18" cm="1">
        <f t="array" ref="P34">[1]!unf_ksep_ESP_natural_mechanistic_Marquez(dintake_m,dcas_m,K34,L34,J34,H34,I34,M34,N34,1,hint,calibr_li,calibr_st)</f>
        <v>0.37872194892623667</v>
      </c>
      <c r="R34" s="6">
        <f t="array" ref="R34:Y34">[1]!unf_ksep_ESP_natural_mechanistic_Marquez(dintake_m,dcas_m,K34,L34,J34,H34,I34,M34,N34,0,hint,calibr_li,calibr_st)</f>
        <v>0.37872194892623667</v>
      </c>
      <c r="S34" s="6">
        <v>0.37872194892623667</v>
      </c>
      <c r="T34" s="5">
        <v>3</v>
      </c>
      <c r="U34" s="6">
        <v>1.3578018935942349E-3</v>
      </c>
      <c r="V34" s="6">
        <v>0.18122448094453489</v>
      </c>
      <c r="W34" s="6">
        <v>0.16493096156771189</v>
      </c>
      <c r="X34" s="6">
        <v>2.898257014851682E-2</v>
      </c>
      <c r="Y34" s="8">
        <v>-1.7762409013104635E-2</v>
      </c>
    </row>
    <row r="35" spans="5:31" x14ac:dyDescent="0.25">
      <c r="F35" s="1">
        <v>110</v>
      </c>
      <c r="G35" s="13" t="str">
        <f>[1]!encode_feed(F35,$E$17,$E$18,$E$19,$E$15)</f>
        <v>{"gamma_gas":0.81,"gamma_oil":0.82,"gamma_wat":1.1,"rsb_m3m3":120,"muob_cP":1,"PVT_corr_set":1,"q_liq_sm3day":110,"fw_perc":0,"rp_m3m3":120}</v>
      </c>
      <c r="H35" s="14" cm="1">
        <f t="array" ref="H35">[1]!feed_rho_liq_kgm3(p,t,G35)</f>
        <v>712.7468421788584</v>
      </c>
      <c r="I35" s="14" cm="1">
        <f t="array" ref="I35">[1]!PVT_rho_gas_kgm3(p,t,PVT_json)</f>
        <v>116.32084897430778</v>
      </c>
      <c r="J35" s="15" cm="1">
        <f t="array" ref="J35">[1]!feed_ST_liqgas_Nm(p,t,G35)</f>
        <v>2.3693872187412611E-2</v>
      </c>
      <c r="K35" s="17" cm="1">
        <f t="array" ref="K35">[1]!feed_q_liq_rc_m3day(p,t,G35)</f>
        <v>140.84041754143962</v>
      </c>
      <c r="L35" s="17" cm="1">
        <f t="array" ref="L35">[1]!feed_q_gas_rc_m3day(p,t,G35)</f>
        <v>24.749248063198575</v>
      </c>
      <c r="M35" s="16" cm="1">
        <f t="array" ref="M35">[1]!feed_mu_liq_cP(p,t,G35)</f>
        <v>1.7967811455081182</v>
      </c>
      <c r="N35" s="16" cm="1">
        <f t="array" ref="N35">[1]!PVT_mu_gas_cP(p,t,G35)</f>
        <v>1.6103282892022303E-2</v>
      </c>
      <c r="O35" s="18" cm="1">
        <f t="array" ref="O35">[1]!unf_ksep_ESP_natural_simplified_Marquez(dintake_m,dcas_m,K35,L35,J35,H35,I35,1)</f>
        <v>0.54976616710400705</v>
      </c>
      <c r="P35" s="18" cm="1">
        <f t="array" ref="P35">[1]!unf_ksep_ESP_natural_mechanistic_Marquez(dintake_m,dcas_m,K35,L35,J35,H35,I35,M35,N35,1,hint,calibr_li,calibr_st)</f>
        <v>0.32713677142807862</v>
      </c>
      <c r="R35" s="6">
        <f t="array" ref="R35:Y35">[1]!unf_ksep_ESP_natural_mechanistic_Marquez(dintake_m,dcas_m,K35,L35,J35,H35,I35,M35,N35,0,hint,calibr_li,calibr_st)</f>
        <v>0.32713677142807862</v>
      </c>
      <c r="S35" s="6">
        <v>0.32713677142807862</v>
      </c>
      <c r="T35" s="5">
        <v>3</v>
      </c>
      <c r="U35" s="6">
        <v>1.3521011637576681E-3</v>
      </c>
      <c r="V35" s="6">
        <v>0.18122448094453489</v>
      </c>
      <c r="W35" s="6">
        <v>0.20158228636053674</v>
      </c>
      <c r="X35" s="6">
        <v>3.542314129263166E-2</v>
      </c>
      <c r="Y35" s="8">
        <v>-6.5409131243776938E-2</v>
      </c>
    </row>
    <row r="36" spans="5:31" x14ac:dyDescent="0.25">
      <c r="F36" s="1">
        <v>130</v>
      </c>
      <c r="G36" s="13" t="str">
        <f>[1]!encode_feed(F36,$E$17,$E$18,$E$19,$E$15)</f>
        <v>{"gamma_gas":0.81,"gamma_oil":0.82,"gamma_wat":1.1,"rsb_m3m3":120,"muob_cP":1,"PVT_corr_set":1,"q_liq_sm3day":130,"fw_perc":0,"rp_m3m3":120}</v>
      </c>
      <c r="H36" s="14" cm="1">
        <f t="array" ref="H36">[1]!feed_rho_liq_kgm3(p,t,G36)</f>
        <v>712.7468421788584</v>
      </c>
      <c r="I36" s="14" cm="1">
        <f t="array" ref="I36">[1]!PVT_rho_gas_kgm3(p,t,PVT_json)</f>
        <v>116.32084897430778</v>
      </c>
      <c r="J36" s="15" cm="1">
        <f t="array" ref="J36">[1]!feed_ST_liqgas_Nm(p,t,G36)</f>
        <v>2.3693872187412611E-2</v>
      </c>
      <c r="K36" s="17" cm="1">
        <f t="array" ref="K36">[1]!feed_q_liq_rc_m3day(p,t,G36)</f>
        <v>166.44776618533774</v>
      </c>
      <c r="L36" s="17" cm="1">
        <f t="array" ref="L36">[1]!feed_q_gas_rc_m3day(p,t,G36)</f>
        <v>29.249111347416498</v>
      </c>
      <c r="M36" s="16" cm="1">
        <f t="array" ref="M36">[1]!feed_mu_liq_cP(p,t,G36)</f>
        <v>1.7967811455081182</v>
      </c>
      <c r="N36" s="16" cm="1">
        <f t="array" ref="N36">[1]!PVT_mu_gas_cP(p,t,G36)</f>
        <v>1.6103282892022303E-2</v>
      </c>
      <c r="O36" s="18" cm="1">
        <f t="array" ref="O36">[1]!unf_ksep_ESP_natural_simplified_Marquez(dintake_m,dcas_m,K36,L36,J36,H36,I36,1)</f>
        <v>0.52822421786505003</v>
      </c>
      <c r="P36" s="18" cm="1">
        <f t="array" ref="P36">[1]!unf_ksep_ESP_natural_mechanistic_Marquez(dintake_m,dcas_m,K36,L36,J36,H36,I36,M36,N36,1,hint,calibr_li,calibr_st)</f>
        <v>0.28657190741626837</v>
      </c>
      <c r="R36" s="6">
        <f t="array" ref="R36:Y36">[1]!unf_ksep_ESP_natural_mechanistic_Marquez(dintake_m,dcas_m,K36,L36,J36,H36,I36,M36,N36,0,hint,calibr_li,calibr_st)</f>
        <v>0.28657190741626837</v>
      </c>
      <c r="S36" s="6">
        <v>0.28657190741626837</v>
      </c>
      <c r="T36" s="5">
        <v>1</v>
      </c>
      <c r="U36" s="6">
        <v>1.3471830935170767E-3</v>
      </c>
      <c r="V36" s="6">
        <v>0.19664784102492083</v>
      </c>
      <c r="W36" s="6">
        <v>0.23823361115336161</v>
      </c>
      <c r="X36" s="6">
        <v>4.1863712436746511E-2</v>
      </c>
      <c r="Y36" s="8">
        <v>-0.11305585347444927</v>
      </c>
    </row>
    <row r="37" spans="5:31" x14ac:dyDescent="0.25">
      <c r="F37" s="1">
        <v>150</v>
      </c>
      <c r="G37" s="13" t="str">
        <f>[1]!encode_feed(F37,$E$17,$E$18,$E$19,$E$15)</f>
        <v>{"gamma_gas":0.81,"gamma_oil":0.82,"gamma_wat":1.1,"rsb_m3m3":120,"muob_cP":1,"PVT_corr_set":1,"q_liq_sm3day":150,"fw_perc":0,"rp_m3m3":120}</v>
      </c>
      <c r="H37" s="14" cm="1">
        <f t="array" ref="H37">[1]!feed_rho_liq_kgm3(p,t,G37)</f>
        <v>712.7468421788584</v>
      </c>
      <c r="I37" s="14" cm="1">
        <f t="array" ref="I37">[1]!PVT_rho_gas_kgm3(p,t,PVT_json)</f>
        <v>116.32084897430778</v>
      </c>
      <c r="J37" s="15" cm="1">
        <f t="array" ref="J37">[1]!feed_ST_liqgas_Nm(p,t,G37)</f>
        <v>2.3693872187412611E-2</v>
      </c>
      <c r="K37" s="17" cm="1">
        <f t="array" ref="K37">[1]!feed_q_liq_rc_m3day(p,t,G37)</f>
        <v>192.05511482923586</v>
      </c>
      <c r="L37" s="17" cm="1">
        <f t="array" ref="L37">[1]!feed_q_gas_rc_m3day(p,t,G37)</f>
        <v>33.748974631634425</v>
      </c>
      <c r="M37" s="16" cm="1">
        <f t="array" ref="M37">[1]!feed_mu_liq_cP(p,t,G37)</f>
        <v>1.7967811455081182</v>
      </c>
      <c r="N37" s="16" cm="1">
        <f t="array" ref="N37">[1]!PVT_mu_gas_cP(p,t,G37)</f>
        <v>1.6103282892022303E-2</v>
      </c>
      <c r="O37" s="18" cm="1">
        <f t="array" ref="O37">[1]!unf_ksep_ESP_natural_simplified_Marquez(dintake_m,dcas_m,K37,L37,J37,H37,I37,1)</f>
        <v>0.49198822728973801</v>
      </c>
      <c r="P37" s="18" cm="1">
        <f t="array" ref="P37">[1]!unf_ksep_ESP_natural_mechanistic_Marquez(dintake_m,dcas_m,K37,L37,J37,H37,I37,M37,N37,1,hint,calibr_li,calibr_st)</f>
        <v>0.25396567657066532</v>
      </c>
      <c r="R37" s="6">
        <f t="array" ref="R37:Y37">[1]!unf_ksep_ESP_natural_mechanistic_Marquez(dintake_m,dcas_m,K37,L37,J37,H37,I37,M37,N37,0,hint,calibr_li,calibr_st)</f>
        <v>0.25396567657066532</v>
      </c>
      <c r="S37" s="6">
        <v>0.25396567657066532</v>
      </c>
      <c r="T37" s="5">
        <v>1</v>
      </c>
      <c r="U37" s="6">
        <v>1.342984567359919E-3</v>
      </c>
      <c r="V37" s="6">
        <v>0.19664784102492083</v>
      </c>
      <c r="W37" s="6">
        <v>0.27488493594618651</v>
      </c>
      <c r="X37" s="6">
        <v>4.8304283580861369E-2</v>
      </c>
      <c r="Y37" s="8">
        <v>-0.16070257570512164</v>
      </c>
    </row>
    <row r="38" spans="5:31" x14ac:dyDescent="0.25">
      <c r="F38" s="1">
        <v>170</v>
      </c>
      <c r="G38" s="13" t="str">
        <f>[1]!encode_feed(F38,$E$17,$E$18,$E$19,$E$15)</f>
        <v>{"gamma_gas":0.81,"gamma_oil":0.82,"gamma_wat":1.1,"rsb_m3m3":120,"muob_cP":1,"PVT_corr_set":1,"q_liq_sm3day":170,"fw_perc":0,"rp_m3m3":120}</v>
      </c>
      <c r="H38" s="14" cm="1">
        <f t="array" ref="H38">[1]!feed_rho_liq_kgm3(p,t,G38)</f>
        <v>712.7468421788584</v>
      </c>
      <c r="I38" s="14" cm="1">
        <f t="array" ref="I38">[1]!PVT_rho_gas_kgm3(p,t,PVT_json)</f>
        <v>116.32084897430778</v>
      </c>
      <c r="J38" s="15" cm="1">
        <f t="array" ref="J38">[1]!feed_ST_liqgas_Nm(p,t,G38)</f>
        <v>2.3693872187412611E-2</v>
      </c>
      <c r="K38" s="17" cm="1">
        <f t="array" ref="K38">[1]!feed_q_liq_rc_m3day(p,t,G38)</f>
        <v>217.66246347313395</v>
      </c>
      <c r="L38" s="17" cm="1">
        <f t="array" ref="L38">[1]!feed_q_gas_rc_m3day(p,t,G38)</f>
        <v>38.248837915852341</v>
      </c>
      <c r="M38" s="16" cm="1">
        <f t="array" ref="M38">[1]!feed_mu_liq_cP(p,t,G38)</f>
        <v>1.7967811455081182</v>
      </c>
      <c r="N38" s="16" cm="1">
        <f t="array" ref="N38">[1]!PVT_mu_gas_cP(p,t,G38)</f>
        <v>1.6103282892022303E-2</v>
      </c>
      <c r="O38" s="18" cm="1">
        <f t="array" ref="O38">[1]!unf_ksep_ESP_natural_simplified_Marquez(dintake_m,dcas_m,K38,L38,J38,H38,I38,1)</f>
        <v>0.46064423477530259</v>
      </c>
      <c r="P38" s="18" cm="1">
        <f t="array" ref="P38">[1]!unf_ksep_ESP_natural_mechanistic_Marquez(dintake_m,dcas_m,K38,L38,J38,H38,I38,M38,N38,1,hint,calibr_li,calibr_st)</f>
        <v>0.22727539799377289</v>
      </c>
      <c r="R38" s="6">
        <f t="array" ref="R38:Y38">[1]!unf_ksep_ESP_natural_mechanistic_Marquez(dintake_m,dcas_m,K38,L38,J38,H38,I38,M38,N38,0,hint,calibr_li,calibr_st)</f>
        <v>0.22727539799377289</v>
      </c>
      <c r="S38" s="6">
        <v>0.22727539799377289</v>
      </c>
      <c r="T38" s="5">
        <v>1</v>
      </c>
      <c r="U38" s="6">
        <v>1.3394487197166656E-3</v>
      </c>
      <c r="V38" s="6">
        <v>0.19664784102492083</v>
      </c>
      <c r="W38" s="6">
        <v>0.31153626073901136</v>
      </c>
      <c r="X38" s="6">
        <v>5.4744854724976207E-2</v>
      </c>
      <c r="Y38" s="8">
        <v>-0.20834929793579396</v>
      </c>
    </row>
    <row r="39" spans="5:31" x14ac:dyDescent="0.25">
      <c r="F39" s="1">
        <v>190</v>
      </c>
      <c r="G39" s="13" t="str">
        <f>[1]!encode_feed(F39,$E$17,$E$18,$E$19,$E$15)</f>
        <v>{"gamma_gas":0.81,"gamma_oil":0.82,"gamma_wat":1.1,"rsb_m3m3":120,"muob_cP":1,"PVT_corr_set":1,"q_liq_sm3day":190,"fw_perc":0,"rp_m3m3":120}</v>
      </c>
      <c r="H39" s="14" cm="1">
        <f t="array" ref="H39">[1]!feed_rho_liq_kgm3(p,t,G39)</f>
        <v>712.7468421788584</v>
      </c>
      <c r="I39" s="14" cm="1">
        <f t="array" ref="I39">[1]!PVT_rho_gas_kgm3(p,t,PVT_json)</f>
        <v>116.32084897430778</v>
      </c>
      <c r="J39" s="15" cm="1">
        <f t="array" ref="J39">[1]!feed_ST_liqgas_Nm(p,t,G39)</f>
        <v>2.3693872187412611E-2</v>
      </c>
      <c r="K39" s="17" cm="1">
        <f t="array" ref="K39">[1]!feed_q_liq_rc_m3day(p,t,G39)</f>
        <v>243.26981211703207</v>
      </c>
      <c r="L39" s="17" cm="1">
        <f t="array" ref="L39">[1]!feed_q_gas_rc_m3day(p,t,G39)</f>
        <v>42.748701200070265</v>
      </c>
      <c r="M39" s="16" cm="1">
        <f t="array" ref="M39">[1]!feed_mu_liq_cP(p,t,G39)</f>
        <v>1.7967811455081182</v>
      </c>
      <c r="N39" s="16" cm="1">
        <f t="array" ref="N39">[1]!PVT_mu_gas_cP(p,t,G39)</f>
        <v>1.6103282892022303E-2</v>
      </c>
      <c r="O39" s="18" cm="1">
        <f t="array" ref="O39">[1]!unf_ksep_ESP_natural_simplified_Marquez(dintake_m,dcas_m,K39,L39,J39,H39,I39,1)</f>
        <v>0.43352460347650212</v>
      </c>
      <c r="P39" s="18" cm="1">
        <f t="array" ref="P39">[1]!unf_ksep_ESP_natural_mechanistic_Marquez(dintake_m,dcas_m,K39,L39,J39,H39,I39,M39,N39,1,hint,calibr_li,calibr_st)</f>
        <v>0.2050852280738332</v>
      </c>
      <c r="R39" s="6">
        <f t="array" ref="R39:Y39">[1]!unf_ksep_ESP_natural_mechanistic_Marquez(dintake_m,dcas_m,K39,L39,J39,H39,I39,M39,N39,0,hint,calibr_li,calibr_st)</f>
        <v>0.2050852280738332</v>
      </c>
      <c r="S39" s="6">
        <v>0.2050852280738332</v>
      </c>
      <c r="T39" s="5">
        <v>1</v>
      </c>
      <c r="U39" s="6">
        <v>1.3365241570314813E-3</v>
      </c>
      <c r="V39" s="6">
        <v>0.19664784102492083</v>
      </c>
      <c r="W39" s="6">
        <v>0.34818758553183621</v>
      </c>
      <c r="X39" s="6">
        <v>6.1185425869091051E-2</v>
      </c>
      <c r="Y39" s="8">
        <v>-0.25599602016646628</v>
      </c>
    </row>
    <row r="40" spans="5:31" x14ac:dyDescent="0.25">
      <c r="F40" s="1">
        <v>210</v>
      </c>
      <c r="G40" s="13" t="str">
        <f>[1]!encode_feed(F40,$E$17,$E$18,$E$19,$E$15)</f>
        <v>{"gamma_gas":0.81,"gamma_oil":0.82,"gamma_wat":1.1,"rsb_m3m3":120,"muob_cP":1,"PVT_corr_set":1,"q_liq_sm3day":210,"fw_perc":0,"rp_m3m3":120}</v>
      </c>
      <c r="H40" s="14" cm="1">
        <f t="array" ref="H40">[1]!feed_rho_liq_kgm3(p,t,G40)</f>
        <v>712.7468421788584</v>
      </c>
      <c r="I40" s="14" cm="1">
        <f t="array" ref="I40">[1]!PVT_rho_gas_kgm3(p,t,PVT_json)</f>
        <v>116.32084897430778</v>
      </c>
      <c r="J40" s="15" cm="1">
        <f t="array" ref="J40">[1]!feed_ST_liqgas_Nm(p,t,G40)</f>
        <v>2.3693872187412611E-2</v>
      </c>
      <c r="K40" s="17" cm="1">
        <f t="array" ref="K40">[1]!feed_q_liq_rc_m3day(p,t,G40)</f>
        <v>268.87716076093017</v>
      </c>
      <c r="L40" s="17" cm="1">
        <f t="array" ref="L40">[1]!feed_q_gas_rc_m3day(p,t,G40)</f>
        <v>47.248564484288188</v>
      </c>
      <c r="M40" s="16" cm="1">
        <f t="array" ref="M40">[1]!feed_mu_liq_cP(p,t,G40)</f>
        <v>1.7967811455081182</v>
      </c>
      <c r="N40" s="16" cm="1">
        <f t="array" ref="N40">[1]!PVT_mu_gas_cP(p,t,G40)</f>
        <v>1.6103282892022303E-2</v>
      </c>
      <c r="O40" s="18" cm="1">
        <f t="array" ref="O40">[1]!unf_ksep_ESP_natural_simplified_Marquez(dintake_m,dcas_m,K40,L40,J40,H40,I40,1)</f>
        <v>0.41007222490252482</v>
      </c>
      <c r="P40" s="18" cm="1">
        <f t="array" ref="P40">[1]!unf_ksep_ESP_natural_mechanistic_Marquez(dintake_m,dcas_m,K40,L40,J40,H40,I40,M40,N40,1,hint,calibr_li,calibr_st)</f>
        <v>0.18639463296678055</v>
      </c>
      <c r="R40" s="6" cm="1">
        <f t="array" ref="R40:AE41">[1]!unf_ksep_ESP_natural_mechanistic_Marquez(dintake_m,dcas_m,K40,L40,J40,H40,I40,M40,N40,0,hint,calibr_li,calibr_st)</f>
        <v>0.18639463296678055</v>
      </c>
      <c r="S40" s="6">
        <v>0.18639463296678055</v>
      </c>
      <c r="T40" s="5">
        <v>1</v>
      </c>
      <c r="U40" s="6">
        <v>1.3341642939325897E-3</v>
      </c>
      <c r="V40" s="6">
        <v>0.19664784102492083</v>
      </c>
      <c r="W40" s="6">
        <v>0.38483891032466105</v>
      </c>
      <c r="X40" s="6">
        <v>6.7625997013205902E-2</v>
      </c>
      <c r="Y40" s="8">
        <v>-0.30364274239713857</v>
      </c>
      <c r="Z40">
        <v>0.5</v>
      </c>
      <c r="AA40">
        <v>-0.38483891032466105</v>
      </c>
      <c r="AB40">
        <v>-6.7625997013205902E-2</v>
      </c>
      <c r="AC40">
        <v>-0.38483891032466105</v>
      </c>
      <c r="AD40">
        <v>-6.7625997013205902E-2</v>
      </c>
      <c r="AE40">
        <v>-0.30364274239713857</v>
      </c>
    </row>
    <row r="41" spans="5:31" x14ac:dyDescent="0.25">
      <c r="R41" s="5" t="str">
        <v>ksep</v>
      </c>
      <c r="S41" s="5" t="str">
        <v>ksep_average</v>
      </c>
      <c r="T41" s="5" t="str">
        <v>flow regime</v>
      </c>
      <c r="U41" s="5" t="str">
        <v>li</v>
      </c>
      <c r="V41" s="5" t="str">
        <v>v_ooz</v>
      </c>
      <c r="W41" s="5" t="str">
        <v>vsl</v>
      </c>
      <c r="X41" s="5" t="str">
        <v>vsg</v>
      </c>
      <c r="Y41" s="5" t="str">
        <v>vg_downflow</v>
      </c>
      <c r="Z41" t="str">
        <v>pkv_ratio</v>
      </c>
      <c r="AA41" t="str">
        <v>vsl_ann_intake_msec</v>
      </c>
      <c r="AB41" t="str">
        <v>vsg_ann_intake_msec</v>
      </c>
      <c r="AC41" t="str">
        <v>vsl_ann_tub_msec</v>
      </c>
      <c r="AD41" t="str">
        <v>vsg_ann_tub_msec</v>
      </c>
      <c r="AE41" t="str">
        <v>vg_downflow_tub_msec</v>
      </c>
    </row>
    <row r="45" spans="5:31" x14ac:dyDescent="0.25">
      <c r="E45" t="s">
        <v>47</v>
      </c>
    </row>
    <row r="47" spans="5:31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31" x14ac:dyDescent="0.25">
      <c r="F48" s="13">
        <f>E16</f>
        <v>60</v>
      </c>
      <c r="G48" s="13" t="str">
        <f>[1]!encode_feed(F48,$E$17,$E$18,$E$19,$E$15)</f>
        <v>{"gamma_gas":0.81,"gamma_oil":0.82,"gamma_wat":1.1,"rsb_m3m3":120,"muob_cP":1,"PVT_corr_set":1,"q_liq_sm3day":60,"fw_perc":0,"rp_m3m3":120}</v>
      </c>
      <c r="H48" s="14" cm="1">
        <f t="array" ref="H48">[1]!feed_rho_liq_kgm3(p,t,G48)</f>
        <v>712.7468421788584</v>
      </c>
      <c r="I48" s="14" cm="1">
        <f t="array" ref="I48">[1]!PVT_rho_gas_kgm3(p,t,PVT_json)</f>
        <v>116.32084897430778</v>
      </c>
      <c r="J48" s="15" cm="1">
        <f t="array" ref="J48">[1]!feed_ST_liqgas_Nm(p,t,G48)</f>
        <v>2.3693872187412611E-2</v>
      </c>
      <c r="K48" s="17" cm="1">
        <f t="array" ref="K48">[1]!feed_q_liq_rc_m3day(p,t,G48)</f>
        <v>76.822045931694333</v>
      </c>
      <c r="L48" s="17" cm="1">
        <f t="array" ref="L48">[1]!feed_q_gas_rc_m3day(p,t,G48)</f>
        <v>13.499589852653768</v>
      </c>
      <c r="M48" s="16" cm="1">
        <f t="array" ref="M48">[1]!feed_mu_liq_cP(p,t,G48)</f>
        <v>1.7967811455081182</v>
      </c>
      <c r="N48" s="16" cm="1">
        <f t="array" ref="N48">[1]!PVT_mu_gas_cP(p,t,G48)</f>
        <v>1.6103282892022303E-2</v>
      </c>
      <c r="R48" s="19" cm="1">
        <f t="array" ref="R48:AE49">[1]!unf_ksep_ESP_natural_mechanistic_Marquez(dintake_m,dcas_m,K48,L48,J48,H48,I48,M48,N48,0,hint,calibr_li,calibr_st)</f>
        <v>0.48808797835901635</v>
      </c>
      <c r="S48" s="13">
        <v>0.48808797835901635</v>
      </c>
      <c r="T48" s="13">
        <v>3</v>
      </c>
      <c r="U48" s="13">
        <v>1.3679764363579887E-3</v>
      </c>
      <c r="V48" s="13">
        <v>0.18122448094453489</v>
      </c>
      <c r="W48" s="13">
        <v>0.10995397437847458</v>
      </c>
      <c r="X48" s="13">
        <v>1.9321713432344543E-2</v>
      </c>
      <c r="Y48" s="13">
        <v>5.3707674332903875E-2</v>
      </c>
      <c r="Z48">
        <v>0.5</v>
      </c>
      <c r="AA48">
        <v>-0.10995397437847458</v>
      </c>
      <c r="AB48">
        <v>1.9321713432344543E-2</v>
      </c>
      <c r="AC48">
        <v>-0.10995397437847458</v>
      </c>
      <c r="AD48">
        <v>1.9321713432344543E-2</v>
      </c>
      <c r="AE48">
        <v>5.3707674332903875E-2</v>
      </c>
    </row>
    <row r="49" spans="5:32" x14ac:dyDescent="0.25">
      <c r="R49" s="13" t="str">
        <v>ksep</v>
      </c>
      <c r="S49" s="13" t="str">
        <v>ksep_average</v>
      </c>
      <c r="T49" s="13" t="str">
        <v>flow regime</v>
      </c>
      <c r="U49" s="13" t="str">
        <v>li</v>
      </c>
      <c r="V49" s="13" t="str">
        <v>v_ooz</v>
      </c>
      <c r="W49" s="13" t="str">
        <v>vsl</v>
      </c>
      <c r="X49" s="13" t="str">
        <v>vsg</v>
      </c>
      <c r="Y49" s="13" t="str">
        <v>vg_downflow</v>
      </c>
      <c r="Z49" t="str">
        <v>pkv_ratio</v>
      </c>
      <c r="AA49" t="str">
        <v>vsl_ann_intake_msec</v>
      </c>
      <c r="AB49" t="str">
        <v>vsg_ann_intake_msec</v>
      </c>
      <c r="AC49" t="str">
        <v>vsl_ann_tub_msec</v>
      </c>
      <c r="AD49" t="str">
        <v>vsg_ann_tub_msec</v>
      </c>
      <c r="AE49" t="str">
        <v>vg_downflow_tub_msec</v>
      </c>
    </row>
    <row r="53" spans="5:32" x14ac:dyDescent="0.25">
      <c r="E53" s="5" t="str" cm="1">
        <f t="array" ref="E53">[1]!unf_ksep_ESP_Marquez_build_bubble_tracks(dintake_m,dcas_m,K48,L48,J48,H48,I48,M48,N48,hint,calibr_li,calibr_st)</f>
        <v>{"n 1":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,"n 2":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,"n 3":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,"n 4":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,"n 5":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,"n 6":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,"n 7":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,"n 8":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57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</v>
      </c>
      <c r="G55" t="s">
        <v>57</v>
      </c>
      <c r="I55" s="22" t="str" cm="1">
        <f t="array" ref="I55:J70">[1]!decode_json_crv(F55)</f>
        <v>x</v>
      </c>
      <c r="J55" s="22" t="str">
        <v>y</v>
      </c>
      <c r="L55" s="22" t="str" cm="1">
        <f t="array" ref="L55:M70">[1]!decode_json_crv(F56)</f>
        <v>x</v>
      </c>
      <c r="M55" s="22" t="str">
        <v>y</v>
      </c>
      <c r="O55" s="22" t="str" cm="1">
        <f t="array" ref="O55:P70">[1]!decode_json_crv(F57)</f>
        <v>x</v>
      </c>
      <c r="P55" s="22" t="str">
        <v>y</v>
      </c>
      <c r="R55" s="22" t="str" cm="1">
        <f t="array" ref="R55:S70">[1]!decode_json_crv(F58)</f>
        <v>x</v>
      </c>
      <c r="S55" s="22" t="str">
        <v>y</v>
      </c>
      <c r="U55" s="22" t="str" cm="1">
        <f t="array" ref="U55:V70">[1]!decode_json_crv(F59)</f>
        <v>x</v>
      </c>
      <c r="V55" s="22" t="str">
        <v>y</v>
      </c>
      <c r="X55" s="22" t="str" cm="1">
        <f t="array" ref="X55:Y70">[1]!decode_json_crv(F60)</f>
        <v>x</v>
      </c>
      <c r="Y55" s="22" t="str">
        <v>y</v>
      </c>
      <c r="AA55" s="22" t="str" cm="1">
        <f t="array" ref="AA55:AB70">[1]!decode_json_crv(F61)</f>
        <v>x</v>
      </c>
      <c r="AB55" s="22" t="str">
        <v>y</v>
      </c>
      <c r="AD55" s="22" t="str" cm="1">
        <f t="array" ref="AD55:AE70">[1]!decode_json_crv(F62)</f>
        <v>x</v>
      </c>
      <c r="AE55" s="22" t="str">
        <v>y</v>
      </c>
    </row>
    <row r="56" spans="5:32" x14ac:dyDescent="0.25">
      <c r="E56" s="20" t="str">
        <v>n 2</v>
      </c>
      <c r="F56" s="20" t="str">
        <v>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</v>
      </c>
      <c r="G56" t="s">
        <v>57</v>
      </c>
      <c r="I56" s="21">
        <v>-0.04</v>
      </c>
      <c r="J56" s="21">
        <v>5.3323000000000002E-2</v>
      </c>
      <c r="L56" s="21">
        <v>-0.04</v>
      </c>
      <c r="M56" s="21">
        <v>5.5371999999999998E-2</v>
      </c>
      <c r="O56" s="21">
        <v>-0.04</v>
      </c>
      <c r="P56" s="21">
        <v>5.7598999999999997E-2</v>
      </c>
      <c r="R56" s="21">
        <v>-0.04</v>
      </c>
      <c r="S56" s="21">
        <v>5.9982000000000001E-2</v>
      </c>
      <c r="U56" s="21">
        <v>-0.04</v>
      </c>
      <c r="V56" s="21">
        <v>3.9955999999999998E-2</v>
      </c>
      <c r="X56" s="21">
        <v>-0.04</v>
      </c>
      <c r="Y56" s="21">
        <v>4.3638000000000003E-2</v>
      </c>
      <c r="AA56" s="21">
        <v>-0.04</v>
      </c>
      <c r="AB56" s="21">
        <v>4.7491999999999999E-2</v>
      </c>
      <c r="AD56" s="21">
        <v>-0.04</v>
      </c>
      <c r="AE56" s="21">
        <v>5.1477000000000002E-2</v>
      </c>
    </row>
    <row r="57" spans="5:32" x14ac:dyDescent="0.25">
      <c r="E57" s="20" t="str">
        <v>n 3</v>
      </c>
      <c r="F57" s="20" t="str">
        <v>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</v>
      </c>
      <c r="G57" t="s">
        <v>57</v>
      </c>
      <c r="I57" s="21">
        <v>-1.6667000000000001E-2</v>
      </c>
      <c r="J57" s="21">
        <v>5.3323000000000002E-2</v>
      </c>
      <c r="L57" s="21">
        <v>-1.6667000000000001E-2</v>
      </c>
      <c r="M57" s="21">
        <v>5.5371999999999998E-2</v>
      </c>
      <c r="O57" s="21">
        <v>-1.6667000000000001E-2</v>
      </c>
      <c r="P57" s="21">
        <v>5.7598999999999997E-2</v>
      </c>
      <c r="R57" s="21">
        <v>-1.6667000000000001E-2</v>
      </c>
      <c r="S57" s="21">
        <v>5.9982000000000001E-2</v>
      </c>
      <c r="U57" s="21">
        <v>-3.3077000000000002E-2</v>
      </c>
      <c r="V57" s="21">
        <v>3.9955999999999998E-2</v>
      </c>
      <c r="X57" s="21">
        <v>-2.9231E-2</v>
      </c>
      <c r="Y57" s="21">
        <v>4.3638000000000003E-2</v>
      </c>
      <c r="AA57" s="21">
        <v>-2.5385000000000001E-2</v>
      </c>
      <c r="AB57" s="21">
        <v>4.7491999999999999E-2</v>
      </c>
      <c r="AD57" s="21">
        <v>-2.1538000000000002E-2</v>
      </c>
      <c r="AE57" s="21">
        <v>5.1477000000000002E-2</v>
      </c>
    </row>
    <row r="58" spans="5:32" x14ac:dyDescent="0.25">
      <c r="E58" s="20" t="str">
        <v>n 4</v>
      </c>
      <c r="F58" s="20" t="str">
        <v>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</v>
      </c>
      <c r="G58" t="s">
        <v>57</v>
      </c>
      <c r="I58" s="21">
        <v>6.6670000000000002E-3</v>
      </c>
      <c r="J58" s="21">
        <v>5.3323000000000002E-2</v>
      </c>
      <c r="L58" s="21">
        <v>6.6670000000000002E-3</v>
      </c>
      <c r="M58" s="21">
        <v>5.5371999999999998E-2</v>
      </c>
      <c r="O58" s="21">
        <v>6.6670000000000002E-3</v>
      </c>
      <c r="P58" s="21">
        <v>5.7598999999999997E-2</v>
      </c>
      <c r="R58" s="21">
        <v>6.6670000000000002E-3</v>
      </c>
      <c r="S58" s="21">
        <v>5.9982000000000001E-2</v>
      </c>
      <c r="U58" s="21">
        <v>-2.6154E-2</v>
      </c>
      <c r="V58" s="21">
        <v>3.9955999999999998E-2</v>
      </c>
      <c r="X58" s="21">
        <v>-1.8461999999999999E-2</v>
      </c>
      <c r="Y58" s="21">
        <v>4.3638000000000003E-2</v>
      </c>
      <c r="AA58" s="21">
        <v>-1.0769000000000001E-2</v>
      </c>
      <c r="AB58" s="21">
        <v>4.7491999999999999E-2</v>
      </c>
      <c r="AD58" s="21">
        <v>-3.0769999999999999E-3</v>
      </c>
      <c r="AE58" s="21">
        <v>5.1477000000000002E-2</v>
      </c>
    </row>
    <row r="59" spans="5:32" x14ac:dyDescent="0.25">
      <c r="E59" s="20" t="str">
        <v>n 5</v>
      </c>
      <c r="F59" s="20" t="str">
        <v>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</v>
      </c>
      <c r="G59" t="s">
        <v>57</v>
      </c>
      <c r="I59" s="21">
        <v>0.03</v>
      </c>
      <c r="J59" s="21">
        <v>5.3323000000000002E-2</v>
      </c>
      <c r="L59" s="21">
        <v>0.03</v>
      </c>
      <c r="M59" s="21">
        <v>5.5371999999999998E-2</v>
      </c>
      <c r="O59" s="21">
        <v>0.03</v>
      </c>
      <c r="P59" s="21">
        <v>5.7598999999999997E-2</v>
      </c>
      <c r="R59" s="21">
        <v>0.03</v>
      </c>
      <c r="S59" s="21">
        <v>5.9982000000000001E-2</v>
      </c>
      <c r="U59" s="21">
        <v>-1.9231000000000002E-2</v>
      </c>
      <c r="V59" s="21">
        <v>3.9955999999999998E-2</v>
      </c>
      <c r="X59" s="21">
        <v>-7.6920000000000001E-3</v>
      </c>
      <c r="Y59" s="21">
        <v>4.3638000000000003E-2</v>
      </c>
      <c r="AA59" s="21">
        <v>3.846E-3</v>
      </c>
      <c r="AB59" s="21">
        <v>4.7491999999999999E-2</v>
      </c>
      <c r="AD59" s="21">
        <v>1.5384999999999999E-2</v>
      </c>
      <c r="AE59" s="21">
        <v>5.1477000000000002E-2</v>
      </c>
    </row>
    <row r="60" spans="5:32" x14ac:dyDescent="0.25">
      <c r="E60" s="20" t="str">
        <v>n 6</v>
      </c>
      <c r="F60" s="20" t="str">
        <v>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</v>
      </c>
      <c r="G60" t="s">
        <v>57</v>
      </c>
      <c r="I60" s="21">
        <v>5.3332999999999998E-2</v>
      </c>
      <c r="J60" s="21">
        <v>5.3323000000000002E-2</v>
      </c>
      <c r="L60" s="21">
        <v>5.3332999999999998E-2</v>
      </c>
      <c r="M60" s="21">
        <v>5.5371999999999998E-2</v>
      </c>
      <c r="O60" s="21">
        <v>5.3332999999999998E-2</v>
      </c>
      <c r="P60" s="21">
        <v>5.7598999999999997E-2</v>
      </c>
      <c r="R60" s="21">
        <v>5.3332999999999998E-2</v>
      </c>
      <c r="S60" s="21">
        <v>5.9982000000000001E-2</v>
      </c>
      <c r="U60" s="21">
        <v>-1.2307999999999999E-2</v>
      </c>
      <c r="V60" s="21">
        <v>3.9955999999999998E-2</v>
      </c>
      <c r="X60" s="21">
        <v>3.0769999999999999E-3</v>
      </c>
      <c r="Y60" s="21">
        <v>4.3638000000000003E-2</v>
      </c>
      <c r="AA60" s="21">
        <v>1.8461999999999999E-2</v>
      </c>
      <c r="AB60" s="21">
        <v>4.7491999999999999E-2</v>
      </c>
      <c r="AD60" s="21">
        <v>3.3846000000000001E-2</v>
      </c>
      <c r="AE60" s="21">
        <v>5.1477000000000002E-2</v>
      </c>
    </row>
    <row r="61" spans="5:32" x14ac:dyDescent="0.25">
      <c r="E61" s="20" t="str">
        <v>n 7</v>
      </c>
      <c r="F61" s="20" t="str">
        <v>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</v>
      </c>
      <c r="G61" t="s">
        <v>57</v>
      </c>
      <c r="I61" s="21">
        <v>7.6666999999999999E-2</v>
      </c>
      <c r="J61" s="21">
        <v>5.3323000000000002E-2</v>
      </c>
      <c r="L61" s="21">
        <v>7.6666999999999999E-2</v>
      </c>
      <c r="M61" s="21">
        <v>5.5371999999999998E-2</v>
      </c>
      <c r="O61" s="21">
        <v>7.6666999999999999E-2</v>
      </c>
      <c r="P61" s="21">
        <v>5.7598999999999997E-2</v>
      </c>
      <c r="R61" s="21">
        <v>7.6666999999999999E-2</v>
      </c>
      <c r="S61" s="21">
        <v>5.9982000000000001E-2</v>
      </c>
      <c r="U61" s="21">
        <v>-5.385E-3</v>
      </c>
      <c r="V61" s="21">
        <v>3.9955999999999998E-2</v>
      </c>
      <c r="X61" s="21">
        <v>1.3846000000000001E-2</v>
      </c>
      <c r="Y61" s="21">
        <v>4.3638000000000003E-2</v>
      </c>
      <c r="AA61" s="21">
        <v>3.3077000000000002E-2</v>
      </c>
      <c r="AB61" s="21">
        <v>4.7491999999999999E-2</v>
      </c>
      <c r="AD61" s="21">
        <v>5.2308E-2</v>
      </c>
      <c r="AE61" s="21">
        <v>5.1477000000000002E-2</v>
      </c>
    </row>
    <row r="62" spans="5:32" x14ac:dyDescent="0.25">
      <c r="E62" s="20" t="str">
        <v>n 8</v>
      </c>
      <c r="F62" s="20" t="str">
        <v>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</v>
      </c>
      <c r="G62" t="s">
        <v>57</v>
      </c>
      <c r="I62" s="21">
        <v>0.1</v>
      </c>
      <c r="J62" s="21">
        <v>5.3323000000000002E-2</v>
      </c>
      <c r="L62" s="21">
        <v>0.1</v>
      </c>
      <c r="M62" s="21">
        <v>5.5371999999999998E-2</v>
      </c>
      <c r="O62" s="21">
        <v>0.1</v>
      </c>
      <c r="P62" s="21">
        <v>5.7598999999999997E-2</v>
      </c>
      <c r="R62" s="21">
        <v>0.1</v>
      </c>
      <c r="S62" s="21">
        <v>5.9982000000000001E-2</v>
      </c>
      <c r="U62" s="21">
        <v>1.5380000000000001E-3</v>
      </c>
      <c r="V62" s="21">
        <v>3.9955999999999998E-2</v>
      </c>
      <c r="X62" s="21">
        <v>2.4615000000000001E-2</v>
      </c>
      <c r="Y62" s="21">
        <v>4.3638000000000003E-2</v>
      </c>
      <c r="AA62" s="21">
        <v>4.7691999999999998E-2</v>
      </c>
      <c r="AB62" s="21">
        <v>4.7491999999999999E-2</v>
      </c>
      <c r="AD62" s="21">
        <v>7.0768999999999999E-2</v>
      </c>
      <c r="AE62" s="21">
        <v>5.1477000000000002E-2</v>
      </c>
    </row>
    <row r="63" spans="5:32" x14ac:dyDescent="0.25">
      <c r="I63" s="21">
        <v>0.123333</v>
      </c>
      <c r="J63" s="21">
        <v>5.3323000000000002E-2</v>
      </c>
      <c r="L63" s="21">
        <v>0.123333</v>
      </c>
      <c r="M63" s="21">
        <v>5.5371999999999998E-2</v>
      </c>
      <c r="O63" s="21">
        <v>0.123333</v>
      </c>
      <c r="P63" s="21">
        <v>5.7598999999999997E-2</v>
      </c>
      <c r="R63" s="21">
        <v>0.123333</v>
      </c>
      <c r="S63" s="21">
        <v>5.9982000000000001E-2</v>
      </c>
      <c r="U63" s="21">
        <v>8.4620000000000008E-3</v>
      </c>
      <c r="V63" s="21">
        <v>3.9955999999999998E-2</v>
      </c>
      <c r="X63" s="21">
        <v>3.5385E-2</v>
      </c>
      <c r="Y63" s="21">
        <v>4.3638000000000003E-2</v>
      </c>
      <c r="AA63" s="21">
        <v>6.2308000000000002E-2</v>
      </c>
      <c r="AB63" s="21">
        <v>4.7491999999999999E-2</v>
      </c>
      <c r="AD63" s="21">
        <v>8.9231000000000005E-2</v>
      </c>
      <c r="AE63" s="21">
        <v>5.1477000000000002E-2</v>
      </c>
    </row>
    <row r="64" spans="5:32" x14ac:dyDescent="0.25">
      <c r="I64" s="21">
        <v>0.129409</v>
      </c>
      <c r="J64" s="21">
        <v>5.3323000000000002E-2</v>
      </c>
      <c r="L64" s="21">
        <v>0.14517099999999999</v>
      </c>
      <c r="M64" s="21">
        <v>5.5371999999999998E-2</v>
      </c>
      <c r="O64" s="21">
        <v>0.14666699999999999</v>
      </c>
      <c r="P64" s="21">
        <v>5.7598999999999997E-2</v>
      </c>
      <c r="R64" s="21">
        <v>0.14666699999999999</v>
      </c>
      <c r="S64" s="21">
        <v>5.9982000000000001E-2</v>
      </c>
      <c r="U64" s="21">
        <v>1.5384999999999999E-2</v>
      </c>
      <c r="V64" s="21">
        <v>3.9955999999999998E-2</v>
      </c>
      <c r="X64" s="21">
        <v>4.6154000000000001E-2</v>
      </c>
      <c r="Y64" s="21">
        <v>4.3638000000000003E-2</v>
      </c>
      <c r="AA64" s="21">
        <v>7.6923000000000005E-2</v>
      </c>
      <c r="AB64" s="21">
        <v>4.7491999999999999E-2</v>
      </c>
      <c r="AD64" s="21">
        <v>0.107692</v>
      </c>
      <c r="AE64" s="21">
        <v>5.1477000000000002E-2</v>
      </c>
    </row>
    <row r="65" spans="5:31" x14ac:dyDescent="0.25">
      <c r="I65" s="21">
        <v>0.14666699999999999</v>
      </c>
      <c r="J65" s="21">
        <v>5.092E-2</v>
      </c>
      <c r="L65" s="21">
        <v>0.14666699999999999</v>
      </c>
      <c r="M65" s="21">
        <v>5.5173E-2</v>
      </c>
      <c r="O65" s="21">
        <v>0.162303</v>
      </c>
      <c r="P65" s="21">
        <v>5.7598999999999997E-2</v>
      </c>
      <c r="R65" s="21">
        <v>0.17</v>
      </c>
      <c r="S65" s="21">
        <v>5.9982000000000001E-2</v>
      </c>
      <c r="U65" s="21">
        <v>2.2308000000000001E-2</v>
      </c>
      <c r="V65" s="21">
        <v>3.9955999999999998E-2</v>
      </c>
      <c r="X65" s="21">
        <v>5.4908999999999999E-2</v>
      </c>
      <c r="Y65" s="21">
        <v>4.3638000000000003E-2</v>
      </c>
      <c r="AA65" s="21">
        <v>8.4552000000000002E-2</v>
      </c>
      <c r="AB65" s="21">
        <v>4.7491999999999999E-2</v>
      </c>
      <c r="AD65" s="21">
        <v>0.11521000000000001</v>
      </c>
      <c r="AE65" s="21">
        <v>5.1477000000000002E-2</v>
      </c>
    </row>
    <row r="66" spans="5:31" x14ac:dyDescent="0.25">
      <c r="I66" s="21">
        <v>0.17</v>
      </c>
      <c r="J66" s="21">
        <v>4.7273000000000003E-2</v>
      </c>
      <c r="L66" s="21">
        <v>0.17</v>
      </c>
      <c r="M66" s="21">
        <v>5.1855999999999999E-2</v>
      </c>
      <c r="O66" s="21">
        <v>0.17</v>
      </c>
      <c r="P66" s="21">
        <v>5.6559999999999999E-2</v>
      </c>
      <c r="R66" s="21">
        <v>0.18062900000000001</v>
      </c>
      <c r="S66" s="21">
        <v>5.9982000000000001E-2</v>
      </c>
      <c r="U66" s="21">
        <v>2.6588000000000001E-2</v>
      </c>
      <c r="V66" s="21">
        <v>3.9955999999999998E-2</v>
      </c>
      <c r="X66" s="21">
        <v>5.6923000000000001E-2</v>
      </c>
      <c r="Y66" s="21">
        <v>4.3366000000000002E-2</v>
      </c>
      <c r="AA66" s="21">
        <v>9.1537999999999994E-2</v>
      </c>
      <c r="AB66" s="21">
        <v>4.6538000000000003E-2</v>
      </c>
      <c r="AD66" s="21">
        <v>0.12615399999999999</v>
      </c>
      <c r="AE66" s="21">
        <v>4.9974999999999999E-2</v>
      </c>
    </row>
    <row r="67" spans="5:31" x14ac:dyDescent="0.25">
      <c r="I67" s="21">
        <v>0.193333</v>
      </c>
      <c r="J67" s="21">
        <v>4.3043999999999999E-2</v>
      </c>
      <c r="L67" s="21">
        <v>0.193333</v>
      </c>
      <c r="M67" s="21">
        <v>4.8079999999999998E-2</v>
      </c>
      <c r="O67" s="21">
        <v>0.193333</v>
      </c>
      <c r="P67" s="21">
        <v>5.3152999999999999E-2</v>
      </c>
      <c r="R67" s="21">
        <v>0.193333</v>
      </c>
      <c r="S67" s="21">
        <v>5.8250999999999997E-2</v>
      </c>
      <c r="U67" s="21">
        <v>2.9231E-2</v>
      </c>
      <c r="V67" s="21">
        <v>3.9595999999999999E-2</v>
      </c>
      <c r="X67" s="21">
        <v>6.7692000000000002E-2</v>
      </c>
      <c r="Y67" s="21">
        <v>4.1846000000000001E-2</v>
      </c>
      <c r="AA67" s="21">
        <v>0.106154</v>
      </c>
      <c r="AB67" s="21">
        <v>4.4402999999999998E-2</v>
      </c>
      <c r="AD67" s="21">
        <v>0.14461499999999999</v>
      </c>
      <c r="AE67" s="21">
        <v>4.7217000000000002E-2</v>
      </c>
    </row>
    <row r="68" spans="5:31" x14ac:dyDescent="0.25">
      <c r="I68" s="21">
        <v>0.2</v>
      </c>
      <c r="J68" s="21">
        <v>4.1700000000000001E-2</v>
      </c>
      <c r="L68" s="21">
        <v>0.2</v>
      </c>
      <c r="M68" s="21">
        <v>4.6899999999999997E-2</v>
      </c>
      <c r="O68" s="21">
        <v>0.2</v>
      </c>
      <c r="P68" s="21">
        <v>5.21E-2</v>
      </c>
      <c r="R68" s="21">
        <v>0.2</v>
      </c>
      <c r="S68" s="21">
        <v>5.7299999999999997E-2</v>
      </c>
      <c r="U68" s="21">
        <v>3.6153999999999999E-2</v>
      </c>
      <c r="V68" s="21">
        <v>3.8618E-2</v>
      </c>
      <c r="X68" s="21">
        <v>7.8462000000000004E-2</v>
      </c>
      <c r="Y68" s="21">
        <v>4.0208000000000001E-2</v>
      </c>
      <c r="AA68" s="21">
        <v>0.120769</v>
      </c>
      <c r="AB68" s="21">
        <v>4.2054000000000001E-2</v>
      </c>
      <c r="AD68" s="21">
        <v>0.163077</v>
      </c>
      <c r="AE68" s="21">
        <v>4.4123000000000002E-2</v>
      </c>
    </row>
    <row r="69" spans="5:31" x14ac:dyDescent="0.25">
      <c r="I69" s="21">
        <v>0.216667</v>
      </c>
      <c r="J69" s="21">
        <v>4.1700000000000001E-2</v>
      </c>
      <c r="L69" s="21">
        <v>0.216667</v>
      </c>
      <c r="M69" s="21">
        <v>4.6899999999999997E-2</v>
      </c>
      <c r="O69" s="21">
        <v>0.216667</v>
      </c>
      <c r="P69" s="21">
        <v>5.21E-2</v>
      </c>
      <c r="R69" s="21">
        <v>0.216667</v>
      </c>
      <c r="S69" s="21">
        <v>5.7299999999999997E-2</v>
      </c>
      <c r="U69" s="21">
        <v>4.3076999999999997E-2</v>
      </c>
      <c r="V69" s="21">
        <v>3.7588000000000003E-2</v>
      </c>
      <c r="X69" s="21">
        <v>8.9231000000000005E-2</v>
      </c>
      <c r="Y69" s="21">
        <v>3.8434000000000003E-2</v>
      </c>
      <c r="AA69" s="21">
        <v>0.13538500000000001</v>
      </c>
      <c r="AB69" s="21">
        <v>3.9441999999999998E-2</v>
      </c>
      <c r="AD69" s="21">
        <v>0.181538</v>
      </c>
      <c r="AE69" s="21">
        <v>4.0601999999999999E-2</v>
      </c>
    </row>
    <row r="70" spans="5:31" x14ac:dyDescent="0.25">
      <c r="I70" s="21">
        <v>0.24</v>
      </c>
      <c r="J70" s="21">
        <v>4.1700000000000001E-2</v>
      </c>
      <c r="L70" s="21">
        <v>0.24</v>
      </c>
      <c r="M70" s="21">
        <v>4.6899999999999997E-2</v>
      </c>
      <c r="O70" s="21">
        <v>0.24</v>
      </c>
      <c r="P70" s="21">
        <v>5.21E-2</v>
      </c>
      <c r="R70" s="21">
        <v>0.24</v>
      </c>
      <c r="S70" s="21">
        <v>5.7299999999999997E-2</v>
      </c>
      <c r="U70" s="21">
        <v>0.05</v>
      </c>
      <c r="V70" s="21">
        <v>3.6499999999999998E-2</v>
      </c>
      <c r="X70" s="21">
        <v>0.1</v>
      </c>
      <c r="Y70" s="21">
        <v>3.6499999999999998E-2</v>
      </c>
      <c r="AA70" s="21">
        <v>0.15</v>
      </c>
      <c r="AB70" s="21">
        <v>3.6499999999999998E-2</v>
      </c>
      <c r="AD70" s="21">
        <v>0.2</v>
      </c>
      <c r="AE70" s="21">
        <v>3.6499999999999998E-2</v>
      </c>
    </row>
    <row r="72" spans="5:31" x14ac:dyDescent="0.25">
      <c r="E72" s="20" t="s">
        <v>56</v>
      </c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</row>
    <row r="73" spans="5:31" x14ac:dyDescent="0.25">
      <c r="E73" s="20"/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5:31" x14ac:dyDescent="0.25">
      <c r="E74" s="20"/>
      <c r="F74" s="20">
        <f>dintake_m/2</f>
        <v>3.6499999999999998E-2</v>
      </c>
      <c r="G74" s="20">
        <v>0</v>
      </c>
      <c r="H74" s="20"/>
      <c r="I74" s="20">
        <f>dintake_m/2</f>
        <v>3.6499999999999998E-2</v>
      </c>
      <c r="J74" s="20">
        <f>M74</f>
        <v>-3.999999999999998E-2</v>
      </c>
      <c r="K74" s="20"/>
      <c r="L74" s="20">
        <f>dcas_m/2</f>
        <v>6.25E-2</v>
      </c>
      <c r="M74" s="20">
        <f>P75-M75</f>
        <v>-3.999999999999998E-2</v>
      </c>
      <c r="N74" s="20"/>
      <c r="O74" s="20">
        <f>F74</f>
        <v>3.6499999999999998E-2</v>
      </c>
      <c r="P74" s="20">
        <v>0</v>
      </c>
    </row>
    <row r="75" spans="5:31" x14ac:dyDescent="0.25">
      <c r="E75" s="20"/>
      <c r="F75" s="20">
        <f>F74</f>
        <v>3.6499999999999998E-2</v>
      </c>
      <c r="G75" s="20">
        <f>hint</f>
        <v>0.2</v>
      </c>
      <c r="H75" s="20"/>
      <c r="I75" s="20">
        <f>I74</f>
        <v>3.6499999999999998E-2</v>
      </c>
      <c r="J75" s="20">
        <f>hint*1.2</f>
        <v>0.24</v>
      </c>
      <c r="K75" s="20"/>
      <c r="L75" s="20">
        <f>L74</f>
        <v>6.25E-2</v>
      </c>
      <c r="M75" s="20">
        <f>hint*1.2</f>
        <v>0.24</v>
      </c>
      <c r="N75" s="20"/>
      <c r="O75" s="20">
        <f>L75</f>
        <v>6.25E-2</v>
      </c>
      <c r="P75" s="20">
        <f>G75</f>
        <v>0.2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B1:AJ75"/>
  <sheetViews>
    <sheetView topLeftCell="A6" zoomScale="70" zoomScaleNormal="70" workbookViewId="0">
      <selection activeCell="AA48" sqref="AA48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6" max="26" width="12.28515625" bestFit="1" customWidth="1"/>
  </cols>
  <sheetData>
    <row r="1" spans="2:15" x14ac:dyDescent="0.25">
      <c r="B1" t="s">
        <v>61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130</v>
      </c>
      <c r="J6" s="13" t="s">
        <v>18</v>
      </c>
      <c r="K6" s="13">
        <f>dcas/1000</f>
        <v>0.13</v>
      </c>
      <c r="M6" s="13" t="s">
        <v>19</v>
      </c>
      <c r="N6" s="14" cm="1">
        <f t="array" ref="N6">[1]!feed_rho_liq_kgm3(p,t,feed_json)</f>
        <v>692.68525477941614</v>
      </c>
      <c r="O6" s="13" t="s">
        <v>28</v>
      </c>
    </row>
    <row r="7" spans="2:15" x14ac:dyDescent="0.25">
      <c r="D7" s="1" t="s">
        <v>1</v>
      </c>
      <c r="E7" s="1">
        <v>0.86</v>
      </c>
      <c r="H7" s="9" t="s">
        <v>25</v>
      </c>
      <c r="I7" s="12">
        <v>5</v>
      </c>
      <c r="J7" s="13" t="s">
        <v>18</v>
      </c>
      <c r="K7" s="13">
        <f>dintake/1000</f>
        <v>5.0000000000000001E-3</v>
      </c>
      <c r="M7" s="13" t="s">
        <v>20</v>
      </c>
      <c r="N7" s="14" cm="1">
        <f t="array" ref="N7">[1]!PVT_rho_gas_kgm3(p,t,PVT_json)</f>
        <v>188.71052616498764</v>
      </c>
      <c r="O7" s="13" t="s">
        <v>28</v>
      </c>
    </row>
    <row r="8" spans="2:15" x14ac:dyDescent="0.25">
      <c r="D8" s="1" t="s">
        <v>2</v>
      </c>
      <c r="E8" s="1">
        <v>1.1000000000000001</v>
      </c>
      <c r="M8" s="13" t="s">
        <v>21</v>
      </c>
      <c r="N8" s="15" cm="1">
        <f t="array" ref="N8">[1]!feed_ST_liqgas_Nm(p,t,feed_json)*calibr_st</f>
        <v>2.6905630849376586E-2</v>
      </c>
      <c r="O8" s="13" t="s">
        <v>29</v>
      </c>
    </row>
    <row r="9" spans="2:15" x14ac:dyDescent="0.25">
      <c r="D9" s="1" t="s">
        <v>3</v>
      </c>
      <c r="E9" s="1">
        <v>268</v>
      </c>
      <c r="H9" s="9" t="s">
        <v>26</v>
      </c>
      <c r="I9" s="12">
        <v>180</v>
      </c>
      <c r="M9" s="13" t="s">
        <v>22</v>
      </c>
      <c r="N9" s="16" cm="1">
        <f t="array" ref="N9">[1]!feed_q_liq_rc_m3day(p,t,feed_json)</f>
        <v>242.2566084560747</v>
      </c>
      <c r="O9" s="13"/>
    </row>
    <row r="10" spans="2:15" x14ac:dyDescent="0.25">
      <c r="D10" s="1" t="s">
        <v>4</v>
      </c>
      <c r="E10" s="1">
        <v>199</v>
      </c>
      <c r="H10" s="9" t="s">
        <v>27</v>
      </c>
      <c r="I10" s="12">
        <v>80</v>
      </c>
      <c r="M10" s="13" t="s">
        <v>23</v>
      </c>
      <c r="N10" s="16" cm="1">
        <f t="array" ref="N10">[1]!feed_q_gas_rc_m3day(p,t,feed_json)</f>
        <v>22.843403725975772</v>
      </c>
      <c r="O10" s="13"/>
    </row>
    <row r="11" spans="2:15" x14ac:dyDescent="0.25">
      <c r="D11" s="1" t="s">
        <v>5</v>
      </c>
      <c r="E11" s="1">
        <v>80</v>
      </c>
      <c r="H11" s="9" t="s">
        <v>48</v>
      </c>
      <c r="I11" s="12">
        <v>1</v>
      </c>
      <c r="M11" s="13" t="s">
        <v>30</v>
      </c>
      <c r="N11" s="15" cm="1">
        <f t="array" ref="N11">[1]!feed_mu_liq_cP(p,t,feed_json)</f>
        <v>0.39778655743087443</v>
      </c>
      <c r="O11" s="13"/>
    </row>
    <row r="12" spans="2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5" cm="1">
        <f t="array" ref="N12">[1]!PVT_mu_gas_cP(p,t,PVT_json)</f>
        <v>2.2179447288884175E-2</v>
      </c>
      <c r="O12" s="13"/>
    </row>
    <row r="13" spans="2:15" x14ac:dyDescent="0.25">
      <c r="D13" s="1" t="s">
        <v>7</v>
      </c>
      <c r="E13" s="1"/>
      <c r="H13" s="9" t="s">
        <v>50</v>
      </c>
      <c r="I13" s="12">
        <v>10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{"gamma_gas":0.81,"gamma_oil":0.86,"gamma_wat":1.1,"rsb_m3m3":268,"pb_atma":199,"t_res_C":80,"PVT_corr_set":1}</v>
      </c>
      <c r="F15" t="s">
        <v>57</v>
      </c>
    </row>
    <row r="16" spans="2:15" x14ac:dyDescent="0.25">
      <c r="D16" s="1" t="s">
        <v>10</v>
      </c>
      <c r="E16" s="1">
        <v>150</v>
      </c>
    </row>
    <row r="17" spans="4:36" x14ac:dyDescent="0.25">
      <c r="D17" s="1" t="s">
        <v>11</v>
      </c>
      <c r="E17" s="1">
        <v>10</v>
      </c>
    </row>
    <row r="18" spans="4:36" x14ac:dyDescent="0.25">
      <c r="D18" s="1" t="s">
        <v>12</v>
      </c>
      <c r="E18" s="1">
        <v>268</v>
      </c>
    </row>
    <row r="19" spans="4:36" x14ac:dyDescent="0.25">
      <c r="D19" s="1" t="s">
        <v>13</v>
      </c>
      <c r="E19" s="1">
        <v>0</v>
      </c>
    </row>
    <row r="20" spans="4:36" x14ac:dyDescent="0.25">
      <c r="D20" s="1" t="s">
        <v>14</v>
      </c>
      <c r="E20" s="2" t="str">
        <f>[1]!encode_feed(E16,E17,E18,E19,E15)</f>
        <v>{"gamma_gas":0.81,"gamma_oil":0.86,"gamma_wat":1.1,"rsb_m3m3":268,"pb_atma":199,"t_res_C":80,"PVT_corr_set":1,"q_liq_sm3day":150,"fw_perc":10,"rp_m3m3":268}</v>
      </c>
      <c r="F20" t="s">
        <v>57</v>
      </c>
    </row>
    <row r="23" spans="4:36" x14ac:dyDescent="0.25">
      <c r="I23" s="4"/>
    </row>
    <row r="26" spans="4:36" x14ac:dyDescent="0.25">
      <c r="E26" t="s">
        <v>46</v>
      </c>
    </row>
    <row r="28" spans="4:36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34</v>
      </c>
    </row>
    <row r="29" spans="4:36" x14ac:dyDescent="0.25">
      <c r="F29" s="1">
        <v>2</v>
      </c>
      <c r="G29" s="13" t="str">
        <f>[1]!encode_feed(F29,$E$17,$E$18,$E$19,$E$15)</f>
        <v>{"gamma_gas":0.81,"gamma_oil":0.86,"gamma_wat":1.1,"rsb_m3m3":268,"pb_atma":199,"t_res_C":80,"PVT_corr_set":1,"q_liq_sm3day":2,"fw_perc":10,"rp_m3m3":268}</v>
      </c>
      <c r="H29" s="14" cm="1">
        <f t="array" ref="H29">[1]!feed_rho_liq_kgm3(p,t,G29)</f>
        <v>692.68525477941614</v>
      </c>
      <c r="I29" s="14" cm="1">
        <f t="array" ref="I29">[1]!PVT_rho_gas_kgm3(p,t,PVT_json)</f>
        <v>188.71052616498764</v>
      </c>
      <c r="J29" s="15" cm="1">
        <f t="array" ref="J29">[1]!feed_ST_liqgas_Nm(p,t,G29)</f>
        <v>2.6905630849376586E-2</v>
      </c>
      <c r="K29" s="17" cm="1">
        <f t="array" ref="K29">[1]!feed_q_liq_rc_m3day(p,t,G29)</f>
        <v>3.2300881127476631</v>
      </c>
      <c r="L29" s="17" cm="1">
        <f t="array" ref="L29">[1]!feed_q_gas_rc_m3day(p,t,G29)</f>
        <v>0.30457871634634376</v>
      </c>
      <c r="M29" s="16" cm="1">
        <f t="array" ref="M29">[1]!feed_mu_liq_cP(p,t,G29)</f>
        <v>0.39778655743087443</v>
      </c>
      <c r="N29" s="16" cm="1">
        <f t="array" ref="N29">[1]!PVT_mu_gas_cP(p,t,G29)</f>
        <v>2.2179447288884175E-2</v>
      </c>
      <c r="O29" s="18" cm="1">
        <f t="array" ref="O29">[1]!unf_ksep_ESP_natural_mechanistic_pump_below_perf(dintake_m,dcas_m,K29,L29,J29,H29,I29,M29,N29,1,hperf,calibr_li,calibr_st)</f>
        <v>1</v>
      </c>
      <c r="R29" s="7">
        <f t="array" ref="R29:Y29">[1]!unf_ksep_ESP_natural_mechanistic_pump_below_perf(dintake_m,dcas_m,K29,L29,J29,H29,I29,M29,N29,0,hperf,calibr_li,calibr_st)</f>
        <v>1</v>
      </c>
      <c r="S29" s="7">
        <v>0</v>
      </c>
      <c r="T29" s="7">
        <v>0</v>
      </c>
      <c r="U29" s="7">
        <v>6.9464963995788983E-4</v>
      </c>
      <c r="V29" s="7">
        <v>0.19742570428117145</v>
      </c>
      <c r="W29" s="7">
        <v>2.8207473230476153E-3</v>
      </c>
      <c r="X29" s="7">
        <v>2.6598023608105355E-4</v>
      </c>
      <c r="Y29" s="8">
        <v>0.19375873276120956</v>
      </c>
      <c r="AE29" s="1" cm="1">
        <f t="array" ref="AE29">[1]!feed_rho_mix_kgm3(p,t,G29)/$AE$43</f>
        <v>64.925825491371057</v>
      </c>
      <c r="AF29" s="1"/>
      <c r="AG29" s="1">
        <f t="shared" ref="AG29:AG40" si="0">W29^2*9.81*(H29-I29-AE29)/54/(M29*0.001)</f>
        <v>1.5953883288703761</v>
      </c>
      <c r="AH29" s="1"/>
      <c r="AI29" s="1">
        <f t="shared" ref="AI29:AI40" si="1">1.2*(V29-U29)+AG29</f>
        <v>1.8314655944398324</v>
      </c>
      <c r="AJ29">
        <f t="shared" ref="AJ29:AJ40" si="2">1.2*(V29-U29)+T29</f>
        <v>0.23607726556945627</v>
      </c>
    </row>
    <row r="30" spans="4:36" x14ac:dyDescent="0.25">
      <c r="F30" s="1">
        <v>10</v>
      </c>
      <c r="G30" s="13" t="str">
        <f>[1]!encode_feed(F30,$E$17,$E$18,$E$19,$E$15)</f>
        <v>{"gamma_gas":0.81,"gamma_oil":0.86,"gamma_wat":1.1,"rsb_m3m3":268,"pb_atma":199,"t_res_C":80,"PVT_corr_set":1,"q_liq_sm3day":10,"fw_perc":10,"rp_m3m3":268}</v>
      </c>
      <c r="H30" s="14" cm="1">
        <f t="array" ref="H30">[1]!feed_rho_liq_kgm3(p,t,G30)</f>
        <v>692.68525477941614</v>
      </c>
      <c r="I30" s="14" cm="1">
        <f t="array" ref="I30">[1]!PVT_rho_gas_kgm3(p,t,PVT_json)</f>
        <v>188.71052616498764</v>
      </c>
      <c r="J30" s="15" cm="1">
        <f t="array" ref="J30">[1]!feed_ST_liqgas_Nm(p,t,G30)</f>
        <v>2.6905630849376586E-2</v>
      </c>
      <c r="K30" s="17" cm="1">
        <f t="array" ref="K30">[1]!feed_q_liq_rc_m3day(p,t,G30)</f>
        <v>16.150440563738314</v>
      </c>
      <c r="L30" s="17" cm="1">
        <f t="array" ref="L30">[1]!feed_q_gas_rc_m3day(p,t,G30)</f>
        <v>1.522893581731718</v>
      </c>
      <c r="M30" s="16" cm="1">
        <f t="array" ref="M30">[1]!feed_mu_liq_cP(p,t,G30)</f>
        <v>0.39778655743087443</v>
      </c>
      <c r="N30" s="16" cm="1">
        <f t="array" ref="N30">[1]!PVT_mu_gas_cP(p,t,G30)</f>
        <v>2.2179447288884175E-2</v>
      </c>
      <c r="O30" s="18" cm="1">
        <f t="array" ref="O30">[1]!unf_ksep_ESP_natural_mechanistic_pump_below_perf(dintake_m,dcas_m,K30,L30,J30,H30,I30,M30,N30,1,hperf,calibr_li,calibr_st)</f>
        <v>1</v>
      </c>
      <c r="R30" s="7">
        <f t="array" ref="R30:Y30">[1]!unf_ksep_ESP_natural_mechanistic_pump_below_perf(dintake_m,dcas_m,K30,L30,J30,H30,I30,M30,N30,0,hperf,calibr_li,calibr_st)</f>
        <v>1</v>
      </c>
      <c r="S30" s="7">
        <v>0</v>
      </c>
      <c r="T30" s="7">
        <v>0</v>
      </c>
      <c r="U30" s="7">
        <v>6.9378484739542089E-4</v>
      </c>
      <c r="V30" s="7">
        <v>0.19742570428117145</v>
      </c>
      <c r="W30" s="7">
        <v>1.4103736615238076E-2</v>
      </c>
      <c r="X30" s="7">
        <v>1.329901180405267E-3</v>
      </c>
      <c r="Y30" s="8">
        <v>0.17909084668136196</v>
      </c>
      <c r="AE30" s="1" cm="1">
        <f t="array" ref="AE30">[1]!feed_rho_mix_kgm3(p,t,G30)/$AE$43</f>
        <v>64.925825491371057</v>
      </c>
      <c r="AF30" s="1"/>
      <c r="AG30" s="1">
        <f t="shared" si="0"/>
        <v>39.884708221759411</v>
      </c>
      <c r="AH30" s="1"/>
      <c r="AI30" s="1">
        <f t="shared" si="1"/>
        <v>40.120786525079943</v>
      </c>
      <c r="AJ30">
        <f t="shared" si="2"/>
        <v>0.2360783033205312</v>
      </c>
    </row>
    <row r="31" spans="4:36" x14ac:dyDescent="0.25">
      <c r="F31" s="1">
        <v>30</v>
      </c>
      <c r="G31" s="13" t="str">
        <f>[1]!encode_feed(F31,$E$17,$E$18,$E$19,$E$15)</f>
        <v>{"gamma_gas":0.81,"gamma_oil":0.86,"gamma_wat":1.1,"rsb_m3m3":268,"pb_atma":199,"t_res_C":80,"PVT_corr_set":1,"q_liq_sm3day":30,"fw_perc":10,"rp_m3m3":268}</v>
      </c>
      <c r="H31" s="14" cm="1">
        <f t="array" ref="H31">[1]!feed_rho_liq_kgm3(p,t,G31)</f>
        <v>692.68525477941614</v>
      </c>
      <c r="I31" s="14" cm="1">
        <f t="array" ref="I31">[1]!PVT_rho_gas_kgm3(p,t,PVT_json)</f>
        <v>188.71052616498764</v>
      </c>
      <c r="J31" s="15" cm="1">
        <f t="array" ref="J31">[1]!feed_ST_liqgas_Nm(p,t,G31)</f>
        <v>2.6905630849376586E-2</v>
      </c>
      <c r="K31" s="17" cm="1">
        <f t="array" ref="K31">[1]!feed_q_liq_rc_m3day(p,t,G31)</f>
        <v>48.451321691214936</v>
      </c>
      <c r="L31" s="17" cm="1">
        <f t="array" ref="L31">[1]!feed_q_gas_rc_m3day(p,t,G31)</f>
        <v>4.568680745195155</v>
      </c>
      <c r="M31" s="16" cm="1">
        <f t="array" ref="M31">[1]!feed_mu_liq_cP(p,t,G31)</f>
        <v>0.39778655743087443</v>
      </c>
      <c r="N31" s="16" cm="1">
        <f t="array" ref="N31">[1]!PVT_mu_gas_cP(p,t,G31)</f>
        <v>2.2179447288884175E-2</v>
      </c>
      <c r="O31" s="18" cm="1">
        <f t="array" ref="O31">[1]!unf_ksep_ESP_natural_mechanistic_pump_below_perf(dintake_m,dcas_m,K31,L31,J31,H31,I31,M31,N31,1,hperf,calibr_li,calibr_st)</f>
        <v>1</v>
      </c>
      <c r="R31" s="7">
        <f t="array" ref="R31:Y31">[1]!unf_ksep_ESP_natural_mechanistic_pump_below_perf(dintake_m,dcas_m,K31,L31,J31,H31,I31,M31,N31,0,hperf,calibr_li,calibr_st)</f>
        <v>1</v>
      </c>
      <c r="S31" s="7">
        <v>0</v>
      </c>
      <c r="T31" s="7">
        <v>3</v>
      </c>
      <c r="U31" s="7">
        <v>6.9169665154348713E-4</v>
      </c>
      <c r="V31" s="7">
        <v>0.18194133531794229</v>
      </c>
      <c r="W31" s="7">
        <v>4.2311209845714223E-2</v>
      </c>
      <c r="X31" s="7">
        <v>3.989703541215802E-3</v>
      </c>
      <c r="Y31" s="8">
        <v>0.14242113148174296</v>
      </c>
      <c r="AE31" s="1" cm="1">
        <f t="array" ref="AE31">[1]!feed_rho_mix_kgm3(p,t,G31)/$AE$43</f>
        <v>64.925825491371057</v>
      </c>
      <c r="AF31" s="1"/>
      <c r="AG31" s="1">
        <f t="shared" si="0"/>
        <v>358.96237399583458</v>
      </c>
      <c r="AH31" s="1"/>
      <c r="AI31" s="1">
        <f t="shared" si="1"/>
        <v>359.17987356223426</v>
      </c>
      <c r="AJ31">
        <f t="shared" si="2"/>
        <v>3.2174995663996784</v>
      </c>
    </row>
    <row r="32" spans="4:36" x14ac:dyDescent="0.25">
      <c r="F32" s="1">
        <v>50</v>
      </c>
      <c r="G32" s="13" t="str">
        <f>[1]!encode_feed(F32,$E$17,$E$18,$E$19,$E$15)</f>
        <v>{"gamma_gas":0.81,"gamma_oil":0.86,"gamma_wat":1.1,"rsb_m3m3":268,"pb_atma":199,"t_res_C":80,"PVT_corr_set":1,"q_liq_sm3day":50,"fw_perc":10,"rp_m3m3":268}</v>
      </c>
      <c r="H32" s="14" cm="1">
        <f t="array" ref="H32">[1]!feed_rho_liq_kgm3(p,t,G32)</f>
        <v>692.68525477941614</v>
      </c>
      <c r="I32" s="14" cm="1">
        <f t="array" ref="I32">[1]!PVT_rho_gas_kgm3(p,t,PVT_json)</f>
        <v>188.71052616498764</v>
      </c>
      <c r="J32" s="15" cm="1">
        <f t="array" ref="J32">[1]!feed_ST_liqgas_Nm(p,t,G32)</f>
        <v>2.6905630849376586E-2</v>
      </c>
      <c r="K32" s="17" cm="1">
        <f t="array" ref="K32">[1]!feed_q_liq_rc_m3day(p,t,G32)</f>
        <v>80.752202818691558</v>
      </c>
      <c r="L32" s="17" cm="1">
        <f t="array" ref="L32">[1]!feed_q_gas_rc_m3day(p,t,G32)</f>
        <v>7.6144679086585905</v>
      </c>
      <c r="M32" s="16" cm="1">
        <f t="array" ref="M32">[1]!feed_mu_liq_cP(p,t,G32)</f>
        <v>0.39778655743087443</v>
      </c>
      <c r="N32" s="16" cm="1">
        <f t="array" ref="N32">[1]!PVT_mu_gas_cP(p,t,G32)</f>
        <v>2.2179447288884175E-2</v>
      </c>
      <c r="O32" s="18" cm="1">
        <f t="array" ref="O32">[1]!unf_ksep_ESP_natural_mechanistic_pump_below_perf(dintake_m,dcas_m,K32,L32,J32,H32,I32,M32,N32,1,hperf,calibr_li,calibr_st)</f>
        <v>1</v>
      </c>
      <c r="R32" s="7">
        <f t="array" ref="R32:Y32">[1]!unf_ksep_ESP_natural_mechanistic_pump_below_perf(dintake_m,dcas_m,K32,L32,J32,H32,I32,M32,N32,0,hperf,calibr_li,calibr_st)</f>
        <v>1</v>
      </c>
      <c r="S32" s="7">
        <v>0</v>
      </c>
      <c r="T32" s="7">
        <v>3</v>
      </c>
      <c r="U32" s="7">
        <v>6.8971056270545749E-4</v>
      </c>
      <c r="V32" s="7">
        <v>0.18194133531794229</v>
      </c>
      <c r="W32" s="7">
        <v>7.0518683076190372E-2</v>
      </c>
      <c r="X32" s="7">
        <v>6.6495059020263356E-3</v>
      </c>
      <c r="Y32" s="8">
        <v>0.10575141628212396</v>
      </c>
      <c r="AE32" s="1" cm="1">
        <f t="array" ref="AE32">[1]!feed_rho_mix_kgm3(p,t,G32)/$AE$43</f>
        <v>64.925825491371057</v>
      </c>
      <c r="AF32" s="1"/>
      <c r="AG32" s="1">
        <f t="shared" si="0"/>
        <v>997.11770554398504</v>
      </c>
      <c r="AH32" s="1"/>
      <c r="AI32" s="1">
        <f t="shared" si="1"/>
        <v>997.33520749369131</v>
      </c>
      <c r="AJ32">
        <f t="shared" si="2"/>
        <v>3.2175019497062842</v>
      </c>
    </row>
    <row r="33" spans="5:36" x14ac:dyDescent="0.25">
      <c r="F33" s="1">
        <v>70</v>
      </c>
      <c r="G33" s="13" t="str">
        <f>[1]!encode_feed(F33,$E$17,$E$18,$E$19,$E$15)</f>
        <v>{"gamma_gas":0.81,"gamma_oil":0.86,"gamma_wat":1.1,"rsb_m3m3":268,"pb_atma":199,"t_res_C":80,"PVT_corr_set":1,"q_liq_sm3day":70,"fw_perc":10,"rp_m3m3":268}</v>
      </c>
      <c r="H33" s="14" cm="1">
        <f t="array" ref="H33">[1]!feed_rho_liq_kgm3(p,t,G33)</f>
        <v>692.68525477941614</v>
      </c>
      <c r="I33" s="14" cm="1">
        <f t="array" ref="I33">[1]!PVT_rho_gas_kgm3(p,t,PVT_json)</f>
        <v>188.71052616498764</v>
      </c>
      <c r="J33" s="15" cm="1">
        <f t="array" ref="J33">[1]!feed_ST_liqgas_Nm(p,t,G33)</f>
        <v>2.6905630849376586E-2</v>
      </c>
      <c r="K33" s="17" cm="1">
        <f t="array" ref="K33">[1]!feed_q_liq_rc_m3day(p,t,G33)</f>
        <v>113.05308394616819</v>
      </c>
      <c r="L33" s="17" cm="1">
        <f t="array" ref="L33">[1]!feed_q_gas_rc_m3day(p,t,G33)</f>
        <v>10.660255072122027</v>
      </c>
      <c r="M33" s="16" cm="1">
        <f t="array" ref="M33">[1]!feed_mu_liq_cP(p,t,G33)</f>
        <v>0.39778655743087443</v>
      </c>
      <c r="N33" s="16" cm="1">
        <f t="array" ref="N33">[1]!PVT_mu_gas_cP(p,t,G33)</f>
        <v>2.2179447288884175E-2</v>
      </c>
      <c r="O33" s="18" cm="1">
        <f t="array" ref="O33">[1]!unf_ksep_ESP_natural_mechanistic_pump_below_perf(dintake_m,dcas_m,K33,L33,J33,H33,I33,M33,N33,1,hperf,calibr_li,calibr_st)</f>
        <v>1</v>
      </c>
      <c r="R33" s="7">
        <f t="array" ref="R33:Y33">[1]!unf_ksep_ESP_natural_mechanistic_pump_below_perf(dintake_m,dcas_m,K33,L33,J33,H33,I33,M33,N33,0,hperf,calibr_li,calibr_st)</f>
        <v>1</v>
      </c>
      <c r="S33" s="7">
        <v>0</v>
      </c>
      <c r="T33" s="7">
        <v>3</v>
      </c>
      <c r="U33" s="7">
        <v>6.8782263181951439E-4</v>
      </c>
      <c r="V33" s="7">
        <v>0.18194133531794229</v>
      </c>
      <c r="W33" s="7">
        <v>9.8726156306666521E-2</v>
      </c>
      <c r="X33" s="7">
        <v>9.3093082628368708E-3</v>
      </c>
      <c r="Y33" s="8">
        <v>6.908170108250497E-2</v>
      </c>
      <c r="AE33" s="1" cm="1">
        <f t="array" ref="AE33">[1]!feed_rho_mix_kgm3(p,t,G33)/$AE$43</f>
        <v>64.925825491371057</v>
      </c>
      <c r="AF33" s="1"/>
      <c r="AG33" s="1">
        <f t="shared" si="0"/>
        <v>1954.3507028662104</v>
      </c>
      <c r="AH33" s="1"/>
      <c r="AI33" s="1">
        <f t="shared" si="1"/>
        <v>1954.5682070814337</v>
      </c>
      <c r="AJ33">
        <f t="shared" si="2"/>
        <v>3.2175042152233475</v>
      </c>
    </row>
    <row r="34" spans="5:36" x14ac:dyDescent="0.25">
      <c r="F34" s="1">
        <v>90</v>
      </c>
      <c r="G34" s="13" t="str">
        <f>[1]!encode_feed(F34,$E$17,$E$18,$E$19,$E$15)</f>
        <v>{"gamma_gas":0.81,"gamma_oil":0.86,"gamma_wat":1.1,"rsb_m3m3":268,"pb_atma":199,"t_res_C":80,"PVT_corr_set":1,"q_liq_sm3day":90,"fw_perc":10,"rp_m3m3":268}</v>
      </c>
      <c r="H34" s="14" cm="1">
        <f t="array" ref="H34">[1]!feed_rho_liq_kgm3(p,t,G34)</f>
        <v>692.68525477941614</v>
      </c>
      <c r="I34" s="14" cm="1">
        <f t="array" ref="I34">[1]!PVT_rho_gas_kgm3(p,t,PVT_json)</f>
        <v>188.71052616498764</v>
      </c>
      <c r="J34" s="15" cm="1">
        <f t="array" ref="J34">[1]!feed_ST_liqgas_Nm(p,t,G34)</f>
        <v>2.6905630849376586E-2</v>
      </c>
      <c r="K34" s="17" cm="1">
        <f t="array" ref="K34">[1]!feed_q_liq_rc_m3day(p,t,G34)</f>
        <v>145.35396507364482</v>
      </c>
      <c r="L34" s="17" cm="1">
        <f t="array" ref="L34">[1]!feed_q_gas_rc_m3day(p,t,G34)</f>
        <v>13.706042235585462</v>
      </c>
      <c r="M34" s="16" cm="1">
        <f t="array" ref="M34">[1]!feed_mu_liq_cP(p,t,G34)</f>
        <v>0.39778655743087443</v>
      </c>
      <c r="N34" s="16" cm="1">
        <f t="array" ref="N34">[1]!PVT_mu_gas_cP(p,t,G34)</f>
        <v>2.2179447288884175E-2</v>
      </c>
      <c r="O34" s="18" cm="1">
        <f t="array" ref="O34">[1]!unf_ksep_ESP_natural_mechanistic_pump_below_perf(dintake_m,dcas_m,K34,L34,J34,H34,I34,M34,N34,1,hperf,calibr_li,calibr_st)</f>
        <v>0.73618494108013122</v>
      </c>
      <c r="R34" s="7">
        <f t="array" ref="R34:Y34">[1]!unf_ksep_ESP_natural_mechanistic_pump_below_perf(dintake_m,dcas_m,K34,L34,J34,H34,I34,M34,N34,0,hperf,calibr_li,calibr_st)</f>
        <v>0.73618494108013122</v>
      </c>
      <c r="S34" s="7">
        <v>0</v>
      </c>
      <c r="T34" s="7">
        <v>3</v>
      </c>
      <c r="U34" s="7">
        <v>6.8602910652196063E-4</v>
      </c>
      <c r="V34" s="7">
        <v>0.18194133531794229</v>
      </c>
      <c r="W34" s="7">
        <v>0.12693362953714268</v>
      </c>
      <c r="X34" s="7">
        <v>1.1969110623647404E-2</v>
      </c>
      <c r="Y34" s="8">
        <v>3.2411985882885963E-2</v>
      </c>
      <c r="AE34" s="1" cm="1">
        <f t="array" ref="AE34">[1]!feed_rho_mix_kgm3(p,t,G34)/$AE$43</f>
        <v>64.925825491371057</v>
      </c>
      <c r="AF34" s="1"/>
      <c r="AG34" s="1">
        <f t="shared" si="0"/>
        <v>3230.6613659625118</v>
      </c>
      <c r="AH34" s="1"/>
      <c r="AI34" s="1">
        <f t="shared" si="1"/>
        <v>3230.8788723299654</v>
      </c>
      <c r="AJ34">
        <f t="shared" si="2"/>
        <v>3.2175063674537046</v>
      </c>
    </row>
    <row r="35" spans="5:36" x14ac:dyDescent="0.25">
      <c r="F35" s="1">
        <v>110</v>
      </c>
      <c r="G35" s="13" t="str">
        <f>[1]!encode_feed(F35,$E$17,$E$18,$E$19,$E$15)</f>
        <v>{"gamma_gas":0.81,"gamma_oil":0.86,"gamma_wat":1.1,"rsb_m3m3":268,"pb_atma":199,"t_res_C":80,"PVT_corr_set":1,"q_liq_sm3day":110,"fw_perc":10,"rp_m3m3":268}</v>
      </c>
      <c r="H35" s="14" cm="1">
        <f t="array" ref="H35">[1]!feed_rho_liq_kgm3(p,t,G35)</f>
        <v>692.68525477941614</v>
      </c>
      <c r="I35" s="14" cm="1">
        <f t="array" ref="I35">[1]!PVT_rho_gas_kgm3(p,t,PVT_json)</f>
        <v>188.71052616498764</v>
      </c>
      <c r="J35" s="15" cm="1">
        <f t="array" ref="J35">[1]!feed_ST_liqgas_Nm(p,t,G35)</f>
        <v>2.6905630849376586E-2</v>
      </c>
      <c r="K35" s="17" cm="1">
        <f t="array" ref="K35">[1]!feed_q_liq_rc_m3day(p,t,G35)</f>
        <v>177.65484620112144</v>
      </c>
      <c r="L35" s="17" cm="1">
        <f t="array" ref="L35">[1]!feed_q_gas_rc_m3day(p,t,G35)</f>
        <v>16.751829399048901</v>
      </c>
      <c r="M35" s="16" cm="1">
        <f t="array" ref="M35">[1]!feed_mu_liq_cP(p,t,G35)</f>
        <v>0.39778655743087443</v>
      </c>
      <c r="N35" s="16" cm="1">
        <f t="array" ref="N35">[1]!PVT_mu_gas_cP(p,t,G35)</f>
        <v>2.2179447288884175E-2</v>
      </c>
      <c r="O35" s="18" cm="1">
        <f t="array" ref="O35">[1]!unf_ksep_ESP_natural_mechanistic_pump_below_perf(dintake_m,dcas_m,K35,L35,J35,H35,I35,M35,N35,1,hperf,calibr_li,calibr_st)</f>
        <v>0.44691492580255421</v>
      </c>
      <c r="R35" s="7">
        <f t="array" ref="R35:Y35">[1]!unf_ksep_ESP_natural_mechanistic_pump_below_perf(dintake_m,dcas_m,K35,L35,J35,H35,I35,M35,N35,0,hperf,calibr_li,calibr_st)</f>
        <v>0.44691492580255421</v>
      </c>
      <c r="S35" s="7">
        <v>0</v>
      </c>
      <c r="T35" s="7">
        <v>3</v>
      </c>
      <c r="U35" s="7">
        <v>6.8432641881485364E-4</v>
      </c>
      <c r="V35" s="7">
        <v>0.18194133531794229</v>
      </c>
      <c r="W35" s="7">
        <v>0.15514110276761883</v>
      </c>
      <c r="X35" s="7">
        <v>1.462891298445794E-2</v>
      </c>
      <c r="Y35" s="8">
        <v>-4.2577293167330348E-3</v>
      </c>
      <c r="AE35" s="1" cm="1">
        <f t="array" ref="AE35">[1]!feed_rho_mix_kgm3(p,t,G35)/$AE$43</f>
        <v>64.925825491371057</v>
      </c>
      <c r="AF35" s="1"/>
      <c r="AG35" s="1">
        <f t="shared" si="0"/>
        <v>4826.0496948328882</v>
      </c>
      <c r="AH35" s="1"/>
      <c r="AI35" s="1">
        <f t="shared" si="1"/>
        <v>4826.2672032435676</v>
      </c>
      <c r="AJ35">
        <f t="shared" si="2"/>
        <v>3.2175084106789531</v>
      </c>
    </row>
    <row r="36" spans="5:36" x14ac:dyDescent="0.25">
      <c r="F36" s="1">
        <v>130</v>
      </c>
      <c r="G36" s="13" t="str">
        <f>[1]!encode_feed(F36,$E$17,$E$18,$E$19,$E$15)</f>
        <v>{"gamma_gas":0.81,"gamma_oil":0.86,"gamma_wat":1.1,"rsb_m3m3":268,"pb_atma":199,"t_res_C":80,"PVT_corr_set":1,"q_liq_sm3day":130,"fw_perc":10,"rp_m3m3":268}</v>
      </c>
      <c r="H36" s="14" cm="1">
        <f t="array" ref="H36">[1]!feed_rho_liq_kgm3(p,t,G36)</f>
        <v>692.68525477941614</v>
      </c>
      <c r="I36" s="14" cm="1">
        <f t="array" ref="I36">[1]!PVT_rho_gas_kgm3(p,t,PVT_json)</f>
        <v>188.71052616498764</v>
      </c>
      <c r="J36" s="15" cm="1">
        <f t="array" ref="J36">[1]!feed_ST_liqgas_Nm(p,t,G36)</f>
        <v>2.6905630849376586E-2</v>
      </c>
      <c r="K36" s="17" cm="1">
        <f t="array" ref="K36">[1]!feed_q_liq_rc_m3day(p,t,G36)</f>
        <v>209.95572732859807</v>
      </c>
      <c r="L36" s="17" cm="1">
        <f t="array" ref="L36">[1]!feed_q_gas_rc_m3day(p,t,G36)</f>
        <v>19.797616562512339</v>
      </c>
      <c r="M36" s="16" cm="1">
        <f t="array" ref="M36">[1]!feed_mu_liq_cP(p,t,G36)</f>
        <v>0.39778655743087443</v>
      </c>
      <c r="N36" s="16" cm="1">
        <f t="array" ref="N36">[1]!PVT_mu_gas_cP(p,t,G36)</f>
        <v>2.2179447288884175E-2</v>
      </c>
      <c r="O36" s="18" cm="1">
        <f t="array" ref="O36">[1]!unf_ksep_ESP_natural_mechanistic_pump_below_perf(dintake_m,dcas_m,K36,L36,J36,H36,I36,M36,N36,1,hperf,calibr_li,calibr_st)</f>
        <v>0.35608475392987116</v>
      </c>
      <c r="R36" s="7">
        <f t="array" ref="R36:Y36">[1]!unf_ksep_ESP_natural_mechanistic_pump_below_perf(dintake_m,dcas_m,K36,L36,J36,H36,I36,M36,N36,0,hperf,calibr_li,calibr_st)</f>
        <v>0.35608475392987116</v>
      </c>
      <c r="S36" s="7">
        <v>0</v>
      </c>
      <c r="T36" s="7">
        <v>3</v>
      </c>
      <c r="U36" s="7">
        <v>6.8271117365141184E-4</v>
      </c>
      <c r="V36" s="7">
        <v>0.18194133531794229</v>
      </c>
      <c r="W36" s="7">
        <v>0.18334857599809498</v>
      </c>
      <c r="X36" s="7">
        <v>1.7288715345268477E-2</v>
      </c>
      <c r="Y36" s="8">
        <v>-4.0927444516352031E-2</v>
      </c>
      <c r="AE36" s="1" cm="1">
        <f t="array" ref="AE36">[1]!feed_rho_mix_kgm3(p,t,G36)/$AE$43</f>
        <v>64.925825491371057</v>
      </c>
      <c r="AF36" s="1"/>
      <c r="AG36" s="1">
        <f t="shared" si="0"/>
        <v>6740.515689477339</v>
      </c>
      <c r="AH36" s="1"/>
      <c r="AI36" s="1">
        <f t="shared" si="1"/>
        <v>6740.7331998263126</v>
      </c>
      <c r="AJ36">
        <f t="shared" si="2"/>
        <v>3.2175103489731489</v>
      </c>
    </row>
    <row r="37" spans="5:36" x14ac:dyDescent="0.25">
      <c r="F37" s="1">
        <v>150</v>
      </c>
      <c r="G37" s="13" t="str">
        <f>[1]!encode_feed(F37,$E$17,$E$18,$E$19,$E$15)</f>
        <v>{"gamma_gas":0.81,"gamma_oil":0.86,"gamma_wat":1.1,"rsb_m3m3":268,"pb_atma":199,"t_res_C":80,"PVT_corr_set":1,"q_liq_sm3day":150,"fw_perc":10,"rp_m3m3":268}</v>
      </c>
      <c r="H37" s="14" cm="1">
        <f t="array" ref="H37">[1]!feed_rho_liq_kgm3(p,t,G37)</f>
        <v>692.68525477941614</v>
      </c>
      <c r="I37" s="14" cm="1">
        <f t="array" ref="I37">[1]!PVT_rho_gas_kgm3(p,t,PVT_json)</f>
        <v>188.71052616498764</v>
      </c>
      <c r="J37" s="15" cm="1">
        <f t="array" ref="J37">[1]!feed_ST_liqgas_Nm(p,t,G37)</f>
        <v>2.6905630849376586E-2</v>
      </c>
      <c r="K37" s="17" cm="1">
        <f t="array" ref="K37">[1]!feed_q_liq_rc_m3day(p,t,G37)</f>
        <v>242.2566084560747</v>
      </c>
      <c r="L37" s="17" cm="1">
        <f t="array" ref="L37">[1]!feed_q_gas_rc_m3day(p,t,G37)</f>
        <v>22.843403725975772</v>
      </c>
      <c r="M37" s="16" cm="1">
        <f t="array" ref="M37">[1]!feed_mu_liq_cP(p,t,G37)</f>
        <v>0.39778655743087443</v>
      </c>
      <c r="N37" s="16" cm="1">
        <f t="array" ref="N37">[1]!PVT_mu_gas_cP(p,t,G37)</f>
        <v>2.2179447288884175E-2</v>
      </c>
      <c r="O37" s="18" cm="1">
        <f t="array" ref="O37">[1]!unf_ksep_ESP_natural_mechanistic_pump_below_perf(dintake_m,dcas_m,K37,L37,J37,H37,I37,M37,N37,1,hperf,calibr_li,calibr_st)</f>
        <v>0.29645774346592901</v>
      </c>
      <c r="R37" s="7">
        <f t="array" ref="R37:Y37">[1]!unf_ksep_ESP_natural_mechanistic_pump_below_perf(dintake_m,dcas_m,K37,L37,J37,H37,I37,M37,N37,0,hperf,calibr_li,calibr_st)</f>
        <v>0.29645774346592901</v>
      </c>
      <c r="S37" s="7">
        <v>0</v>
      </c>
      <c r="T37" s="7">
        <v>3</v>
      </c>
      <c r="U37" s="7">
        <v>6.8118013836059488E-4</v>
      </c>
      <c r="V37" s="7">
        <v>0.18194133531794229</v>
      </c>
      <c r="W37" s="7">
        <v>0.21155604922857113</v>
      </c>
      <c r="X37" s="7">
        <v>1.9948517706079007E-2</v>
      </c>
      <c r="Y37" s="8">
        <v>-7.7597159715971017E-2</v>
      </c>
      <c r="AE37" s="1" cm="1">
        <f t="array" ref="AE37">[1]!feed_rho_mix_kgm3(p,t,G37)/$AE$43</f>
        <v>64.925825491371057</v>
      </c>
      <c r="AF37" s="1"/>
      <c r="AG37" s="1">
        <f t="shared" si="0"/>
        <v>8974.0593498958642</v>
      </c>
      <c r="AH37" s="1"/>
      <c r="AI37" s="1">
        <f t="shared" si="1"/>
        <v>8974.2768620820789</v>
      </c>
      <c r="AJ37">
        <f t="shared" si="2"/>
        <v>3.2175121862154978</v>
      </c>
    </row>
    <row r="38" spans="5:36" x14ac:dyDescent="0.25">
      <c r="F38" s="1">
        <v>170</v>
      </c>
      <c r="G38" s="13" t="str">
        <f>[1]!encode_feed(F38,$E$17,$E$18,$E$19,$E$15)</f>
        <v>{"gamma_gas":0.81,"gamma_oil":0.86,"gamma_wat":1.1,"rsb_m3m3":268,"pb_atma":199,"t_res_C":80,"PVT_corr_set":1,"q_liq_sm3day":170,"fw_perc":10,"rp_m3m3":268}</v>
      </c>
      <c r="H38" s="14" cm="1">
        <f t="array" ref="H38">[1]!feed_rho_liq_kgm3(p,t,G38)</f>
        <v>692.68525477941614</v>
      </c>
      <c r="I38" s="14" cm="1">
        <f t="array" ref="I38">[1]!PVT_rho_gas_kgm3(p,t,PVT_json)</f>
        <v>188.71052616498764</v>
      </c>
      <c r="J38" s="15" cm="1">
        <f t="array" ref="J38">[1]!feed_ST_liqgas_Nm(p,t,G38)</f>
        <v>2.6905630849376586E-2</v>
      </c>
      <c r="K38" s="17" cm="1">
        <f t="array" ref="K38">[1]!feed_q_liq_rc_m3day(p,t,G38)</f>
        <v>274.55748958355133</v>
      </c>
      <c r="L38" s="17" cm="1">
        <f t="array" ref="L38">[1]!feed_q_gas_rc_m3day(p,t,G38)</f>
        <v>25.88919088943921</v>
      </c>
      <c r="M38" s="16" cm="1">
        <f t="array" ref="M38">[1]!feed_mu_liq_cP(p,t,G38)</f>
        <v>0.39778655743087443</v>
      </c>
      <c r="N38" s="16" cm="1">
        <f t="array" ref="N38">[1]!PVT_mu_gas_cP(p,t,G38)</f>
        <v>2.2179447288884175E-2</v>
      </c>
      <c r="O38" s="18" cm="1">
        <f t="array" ref="O38">[1]!unf_ksep_ESP_natural_mechanistic_pump_below_perf(dintake_m,dcas_m,K38,L38,J38,H38,I38,M38,N38,1,hperf,calibr_li,calibr_st)</f>
        <v>0.2539438754296553</v>
      </c>
      <c r="R38" s="7">
        <f t="array" ref="R38:Y38">[1]!unf_ksep_ESP_natural_mechanistic_pump_below_perf(dintake_m,dcas_m,K38,L38,J38,H38,I38,M38,N38,0,hperf,calibr_li,calibr_st)</f>
        <v>0.2539438754296553</v>
      </c>
      <c r="S38" s="7">
        <v>0</v>
      </c>
      <c r="T38" s="7">
        <v>3</v>
      </c>
      <c r="U38" s="7">
        <v>6.7973023283983891E-4</v>
      </c>
      <c r="V38" s="7">
        <v>0.18194133531794229</v>
      </c>
      <c r="W38" s="7">
        <v>0.23976352245904728</v>
      </c>
      <c r="X38" s="7">
        <v>2.2608320066889544E-2</v>
      </c>
      <c r="Y38" s="8">
        <v>-0.11426687491559002</v>
      </c>
      <c r="AE38" s="1" cm="1">
        <f t="array" ref="AE38">[1]!feed_rho_mix_kgm3(p,t,G38)/$AE$43</f>
        <v>64.925825491371057</v>
      </c>
      <c r="AF38" s="1"/>
      <c r="AG38" s="1">
        <f t="shared" si="0"/>
        <v>11526.680676088465</v>
      </c>
      <c r="AH38" s="1"/>
      <c r="AI38" s="1">
        <f t="shared" si="1"/>
        <v>11526.898190014566</v>
      </c>
      <c r="AJ38">
        <f t="shared" si="2"/>
        <v>3.2175139261021228</v>
      </c>
    </row>
    <row r="39" spans="5:36" x14ac:dyDescent="0.25">
      <c r="F39" s="1">
        <v>190</v>
      </c>
      <c r="G39" s="13" t="str">
        <f>[1]!encode_feed(F39,$E$17,$E$18,$E$19,$E$15)</f>
        <v>{"gamma_gas":0.81,"gamma_oil":0.86,"gamma_wat":1.1,"rsb_m3m3":268,"pb_atma":199,"t_res_C":80,"PVT_corr_set":1,"q_liq_sm3day":190,"fw_perc":10,"rp_m3m3":268}</v>
      </c>
      <c r="H39" s="14" cm="1">
        <f t="array" ref="H39">[1]!feed_rho_liq_kgm3(p,t,G39)</f>
        <v>692.68525477941614</v>
      </c>
      <c r="I39" s="14" cm="1">
        <f t="array" ref="I39">[1]!PVT_rho_gas_kgm3(p,t,PVT_json)</f>
        <v>188.71052616498764</v>
      </c>
      <c r="J39" s="15" cm="1">
        <f t="array" ref="J39">[1]!feed_ST_liqgas_Nm(p,t,G39)</f>
        <v>2.6905630849376586E-2</v>
      </c>
      <c r="K39" s="17" cm="1">
        <f t="array" ref="K39">[1]!feed_q_liq_rc_m3day(p,t,G39)</f>
        <v>306.85837071102793</v>
      </c>
      <c r="L39" s="17" cm="1">
        <f t="array" ref="L39">[1]!feed_q_gas_rc_m3day(p,t,G39)</f>
        <v>28.934978052902647</v>
      </c>
      <c r="M39" s="16" cm="1">
        <f t="array" ref="M39">[1]!feed_mu_liq_cP(p,t,G39)</f>
        <v>0.39778655743087443</v>
      </c>
      <c r="N39" s="16" cm="1">
        <f t="array" ref="N39">[1]!PVT_mu_gas_cP(p,t,G39)</f>
        <v>2.2179447288884175E-2</v>
      </c>
      <c r="O39" s="18" cm="1">
        <f t="array" ref="O39">[1]!unf_ksep_ESP_natural_mechanistic_pump_below_perf(dintake_m,dcas_m,K39,L39,J39,H39,I39,M39,N39,1,hperf,calibr_li,calibr_st)</f>
        <v>0.22199116784338804</v>
      </c>
      <c r="R39" s="7">
        <f t="array" ref="R39:Y39">[1]!unf_ksep_ESP_natural_mechanistic_pump_below_perf(dintake_m,dcas_m,K39,L39,J39,H39,I39,M39,N39,0,hperf,calibr_li,calibr_st)</f>
        <v>0.22199116784338804</v>
      </c>
      <c r="S39" s="7">
        <v>0</v>
      </c>
      <c r="T39" s="7">
        <v>3</v>
      </c>
      <c r="U39" s="7">
        <v>6.7835852045172002E-4</v>
      </c>
      <c r="V39" s="7">
        <v>0.18194133531794229</v>
      </c>
      <c r="W39" s="7">
        <v>0.26797099568952343</v>
      </c>
      <c r="X39" s="7">
        <v>2.5268122427700077E-2</v>
      </c>
      <c r="Y39" s="8">
        <v>-0.15093659011520902</v>
      </c>
      <c r="AE39" s="1" cm="1">
        <f t="array" ref="AE39">[1]!feed_rho_mix_kgm3(p,t,G39)/$AE$43</f>
        <v>64.925825491371057</v>
      </c>
      <c r="AF39" s="1"/>
      <c r="AG39" s="1">
        <f t="shared" si="0"/>
        <v>14398.379668055142</v>
      </c>
      <c r="AH39" s="1"/>
      <c r="AI39" s="1">
        <f t="shared" si="1"/>
        <v>14398.597183627298</v>
      </c>
      <c r="AJ39">
        <f t="shared" si="2"/>
        <v>3.2175155721569886</v>
      </c>
    </row>
    <row r="40" spans="5:36" x14ac:dyDescent="0.25">
      <c r="F40" s="1">
        <v>210</v>
      </c>
      <c r="G40" s="13" t="str">
        <f>[1]!encode_feed(F40,$E$17,$E$18,$E$19,$E$15)</f>
        <v>{"gamma_gas":0.81,"gamma_oil":0.86,"gamma_wat":1.1,"rsb_m3m3":268,"pb_atma":199,"t_res_C":80,"PVT_corr_set":1,"q_liq_sm3day":210,"fw_perc":10,"rp_m3m3":268}</v>
      </c>
      <c r="H40" s="14" cm="1">
        <f t="array" ref="H40">[1]!feed_rho_liq_kgm3(p,t,G40)</f>
        <v>692.68525477941614</v>
      </c>
      <c r="I40" s="14" cm="1">
        <f t="array" ref="I40">[1]!PVT_rho_gas_kgm3(p,t,PVT_json)</f>
        <v>188.71052616498764</v>
      </c>
      <c r="J40" s="15" cm="1">
        <f t="array" ref="J40">[1]!feed_ST_liqgas_Nm(p,t,G40)</f>
        <v>2.6905630849376586E-2</v>
      </c>
      <c r="K40" s="17" cm="1">
        <f t="array" ref="K40">[1]!feed_q_liq_rc_m3day(p,t,G40)</f>
        <v>339.15925183850459</v>
      </c>
      <c r="L40" s="17" cm="1">
        <f t="array" ref="L40">[1]!feed_q_gas_rc_m3day(p,t,G40)</f>
        <v>31.980765216366084</v>
      </c>
      <c r="M40" s="16" cm="1">
        <f t="array" ref="M40">[1]!feed_mu_liq_cP(p,t,G40)</f>
        <v>0.39778655743087443</v>
      </c>
      <c r="N40" s="16" cm="1">
        <f t="array" ref="N40">[1]!PVT_mu_gas_cP(p,t,G40)</f>
        <v>2.2179447288884175E-2</v>
      </c>
      <c r="O40" s="18" cm="1">
        <f t="array" ref="O40">[1]!unf_ksep_ESP_natural_mechanistic_pump_below_perf(dintake_m,dcas_m,K40,L40,J40,H40,I40,M40,N40,1,hperf,calibr_li,calibr_st)</f>
        <v>0.19706280708636417</v>
      </c>
      <c r="R40" s="7" t="e" cm="1" vm="1">
        <f t="array" aca="1" ref="R40" ca="1">[1]!unf_ksep_ESP_natural_mechanistic_pump_below_perf(dintake_m,dcas_m,K40,L40,J40,H40,I40,M40,N40,0,hperf,calibr_li,calibr_st)</f>
        <v>#VALUE!</v>
      </c>
      <c r="S40" s="7"/>
      <c r="T40" s="7"/>
      <c r="U40" s="7"/>
      <c r="V40" s="7"/>
      <c r="W40" s="7"/>
      <c r="X40" s="7"/>
      <c r="Y40" s="8"/>
      <c r="AE40" s="1" cm="1">
        <f t="array" ref="AE40">[1]!feed_rho_mix_kgm3(p,t,G40)/$AE$43</f>
        <v>64.925825491371057</v>
      </c>
      <c r="AF40" s="1"/>
      <c r="AG40" s="1">
        <f t="shared" si="0"/>
        <v>0</v>
      </c>
      <c r="AH40" s="1"/>
      <c r="AI40" s="1">
        <f t="shared" si="1"/>
        <v>0</v>
      </c>
      <c r="AJ40">
        <f t="shared" si="2"/>
        <v>0</v>
      </c>
    </row>
    <row r="41" spans="5:36" x14ac:dyDescent="0.25">
      <c r="R41" s="5"/>
      <c r="S41" s="5"/>
      <c r="T41" s="5"/>
      <c r="U41" s="5"/>
      <c r="V41" s="5"/>
      <c r="W41" s="5"/>
      <c r="X41" s="5"/>
      <c r="Y41" s="5"/>
    </row>
    <row r="43" spans="5:36" x14ac:dyDescent="0.25">
      <c r="AE43">
        <v>10</v>
      </c>
    </row>
    <row r="44" spans="5:36" x14ac:dyDescent="0.25">
      <c r="AG44" t="s">
        <v>51</v>
      </c>
    </row>
    <row r="45" spans="5:36" x14ac:dyDescent="0.25">
      <c r="E45" t="s">
        <v>47</v>
      </c>
    </row>
    <row r="47" spans="5:36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36" x14ac:dyDescent="0.25">
      <c r="F48" s="13">
        <f>E16</f>
        <v>150</v>
      </c>
      <c r="G48" s="13" t="str">
        <f>[1]!encode_feed(F48,$E$17,$E$18,$E$19,$E$15)</f>
        <v>{"gamma_gas":0.81,"gamma_oil":0.86,"gamma_wat":1.1,"rsb_m3m3":268,"pb_atma":199,"t_res_C":80,"PVT_corr_set":1,"q_liq_sm3day":150,"fw_perc":10,"rp_m3m3":268}</v>
      </c>
      <c r="H48" s="14" cm="1">
        <f t="array" ref="H48">[1]!feed_rho_liq_kgm3(p,t,G48)</f>
        <v>692.68525477941614</v>
      </c>
      <c r="I48" s="14" cm="1">
        <f t="array" ref="I48">[1]!PVT_rho_gas_kgm3(p,t,PVT_json)</f>
        <v>188.71052616498764</v>
      </c>
      <c r="J48" s="15" cm="1">
        <f t="array" ref="J48">[1]!feed_ST_liqgas_Nm(p,t,G48)</f>
        <v>2.6905630849376586E-2</v>
      </c>
      <c r="K48" s="17" cm="1">
        <f t="array" ref="K48">[1]!feed_q_liq_rc_m3day(p,t,G48)</f>
        <v>242.2566084560747</v>
      </c>
      <c r="L48" s="17" cm="1">
        <f t="array" ref="L48">[1]!feed_q_gas_rc_m3day(p,t,G48)</f>
        <v>22.843403725975772</v>
      </c>
      <c r="M48" s="16" cm="1">
        <f t="array" ref="M48">[1]!feed_mu_liq_cP(p,t,G48)</f>
        <v>0.39778655743087443</v>
      </c>
      <c r="N48" s="16" cm="1">
        <f t="array" ref="N48">[1]!PVT_mu_gas_cP(p,t,G48)</f>
        <v>2.2179447288884175E-2</v>
      </c>
      <c r="R48" s="13" cm="1">
        <f t="array" ref="R48:AE49">[1]!unf_ksep_ESP_natural_mechanistic_pump_below_perf(dintake_m,dcas_m,K48,L48,J48,H48,I48,M48,N48,0,hperf,calibr_li,calibr_st)</f>
        <v>0.29645774346592901</v>
      </c>
      <c r="S48" s="13">
        <v>0</v>
      </c>
      <c r="T48" s="13">
        <v>3</v>
      </c>
      <c r="U48" s="13">
        <v>6.8118013836059488E-4</v>
      </c>
      <c r="V48" s="13">
        <v>0.18194133531794229</v>
      </c>
      <c r="W48" s="13">
        <v>0.21155604922857113</v>
      </c>
      <c r="X48" s="13">
        <v>1.9948517706079007E-2</v>
      </c>
      <c r="Y48" s="13">
        <v>-7.7597159715971017E-2</v>
      </c>
      <c r="Z48">
        <v>0.5</v>
      </c>
      <c r="AA48">
        <v>-0.21155604922857113</v>
      </c>
      <c r="AB48">
        <v>-1.9948517706079007E-2</v>
      </c>
      <c r="AC48">
        <v>-0.30853066552001879</v>
      </c>
      <c r="AD48">
        <v>-2.9092665827506973E-2</v>
      </c>
      <c r="AE48">
        <v>-0.20366416089485298</v>
      </c>
    </row>
    <row r="49" spans="5:32" x14ac:dyDescent="0.25">
      <c r="R49" s="13" t="str">
        <v>ksep</v>
      </c>
      <c r="S49" s="13" t="str">
        <v>ksep_average</v>
      </c>
      <c r="T49" s="13" t="str">
        <v>flow regime</v>
      </c>
      <c r="U49" s="13" t="str">
        <v>li</v>
      </c>
      <c r="V49" s="13" t="str">
        <v>v_ooz</v>
      </c>
      <c r="W49" s="13" t="str">
        <v>vsl</v>
      </c>
      <c r="X49" s="13" t="str">
        <v>vsg</v>
      </c>
      <c r="Y49" s="13" t="str">
        <v>vg_downflow</v>
      </c>
      <c r="Z49" t="str">
        <v>pkv_ratio</v>
      </c>
      <c r="AA49" t="str">
        <v>vsl_ann_intake_msec</v>
      </c>
      <c r="AB49" t="str">
        <v>vsg_ann_intake_msec</v>
      </c>
      <c r="AC49" t="str">
        <v>vsl_ann_tub_msec</v>
      </c>
      <c r="AD49" t="str">
        <v>vsg_ann_tub_msec</v>
      </c>
      <c r="AE49" t="str">
        <v>vg_downflow_tub_msec</v>
      </c>
    </row>
    <row r="53" spans="5:32" x14ac:dyDescent="0.25">
      <c r="E53" s="5" t="str" cm="1">
        <f t="array" ref="E53">[1]!unf_ksep_mechanistic_Marquez_reverse_build_bubble_tracks(dintake_m,dcas_m,K48,L48,J48,H48,I48,M48,N48,hperf,calibr_li,calibr_st)</f>
        <v>{"n 1":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,"n 2":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,"n 3":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,"n 4":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,"n 5":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,"n 6":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,"n 7":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,"n 8":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57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</v>
      </c>
      <c r="G55" t="s">
        <v>57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</row>
    <row r="56" spans="5:32" x14ac:dyDescent="0.25">
      <c r="E56" s="20" t="str">
        <v>n 2</v>
      </c>
      <c r="F56" s="20" t="str">
        <v>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</v>
      </c>
      <c r="G56" t="s">
        <v>57</v>
      </c>
      <c r="I56" s="21">
        <v>2.2870999999999999E-2</v>
      </c>
      <c r="J56" s="21">
        <v>0</v>
      </c>
      <c r="L56" s="20">
        <v>2.0466000000000002E-2</v>
      </c>
      <c r="M56" s="20">
        <v>0</v>
      </c>
      <c r="O56" s="20">
        <v>1.7047E-2</v>
      </c>
      <c r="P56" s="20">
        <v>0</v>
      </c>
      <c r="R56" s="20">
        <v>1.2975E-2</v>
      </c>
      <c r="S56" s="20">
        <v>0</v>
      </c>
      <c r="U56" s="20">
        <v>8.4849999999999995E-3</v>
      </c>
      <c r="V56" s="20">
        <v>0</v>
      </c>
      <c r="X56" s="20">
        <v>3.7269999999999998E-3</v>
      </c>
      <c r="Y56" s="20">
        <v>0</v>
      </c>
      <c r="AA56" s="20">
        <v>3.2224000000000003E-2</v>
      </c>
      <c r="AB56" s="20">
        <v>12</v>
      </c>
      <c r="AD56" s="20">
        <v>5.0368000000000003E-2</v>
      </c>
      <c r="AE56" s="20">
        <v>12</v>
      </c>
    </row>
    <row r="57" spans="5:32" x14ac:dyDescent="0.25">
      <c r="E57" s="20" t="str">
        <v>n 3</v>
      </c>
      <c r="F57" s="20" t="str">
        <v>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</v>
      </c>
      <c r="G57" t="s">
        <v>57</v>
      </c>
      <c r="I57" s="21">
        <v>2.2880999999999999E-2</v>
      </c>
      <c r="J57" s="21">
        <v>6.7390030000000003</v>
      </c>
      <c r="L57" s="20">
        <v>2.0476000000000001E-2</v>
      </c>
      <c r="M57" s="20">
        <v>7.1238780000000004</v>
      </c>
      <c r="O57" s="20">
        <v>1.7056999999999999E-2</v>
      </c>
      <c r="P57" s="20">
        <v>7.6708220000000003</v>
      </c>
      <c r="R57" s="20">
        <v>1.2985E-2</v>
      </c>
      <c r="S57" s="20">
        <v>8.3223870000000009</v>
      </c>
      <c r="U57" s="20">
        <v>8.4950000000000008E-3</v>
      </c>
      <c r="V57" s="20">
        <v>9.040832</v>
      </c>
      <c r="X57" s="20">
        <v>3.7369999999999999E-3</v>
      </c>
      <c r="Y57" s="20">
        <v>9.8021119999999993</v>
      </c>
      <c r="AA57" s="20">
        <v>3.2233999999999999E-2</v>
      </c>
      <c r="AB57" s="20">
        <v>10</v>
      </c>
      <c r="AD57" s="20">
        <v>5.0377999999999999E-2</v>
      </c>
      <c r="AE57" s="20">
        <v>10</v>
      </c>
    </row>
    <row r="58" spans="5:32" x14ac:dyDescent="0.25">
      <c r="E58" s="20" t="str">
        <v>n 4</v>
      </c>
      <c r="F58" s="20" t="str">
        <v>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</v>
      </c>
      <c r="G58" t="s">
        <v>57</v>
      </c>
      <c r="I58" s="21">
        <v>2.6112E-2</v>
      </c>
      <c r="J58" s="21">
        <v>6.5946239999999996</v>
      </c>
      <c r="L58" s="20">
        <v>2.3890999999999999E-2</v>
      </c>
      <c r="M58" s="20">
        <v>6.9933820000000004</v>
      </c>
      <c r="O58" s="20">
        <v>2.0736000000000001E-2</v>
      </c>
      <c r="P58" s="20">
        <v>7.5603470000000002</v>
      </c>
      <c r="R58" s="20">
        <v>1.6976999999999999E-2</v>
      </c>
      <c r="S58" s="20">
        <v>8.2361909999999998</v>
      </c>
      <c r="U58" s="20">
        <v>1.2832E-2</v>
      </c>
      <c r="V58" s="20">
        <v>8.9822710000000008</v>
      </c>
      <c r="X58" s="20">
        <v>8.4399999999999996E-3</v>
      </c>
      <c r="Y58" s="20">
        <v>9.7740989999999996</v>
      </c>
      <c r="AA58" s="20">
        <v>3.4744999999999998E-2</v>
      </c>
      <c r="AB58" s="20">
        <v>9.8952589999999994</v>
      </c>
      <c r="AD58" s="20">
        <v>5.1493999999999998E-2</v>
      </c>
      <c r="AE58" s="20">
        <v>9.9289939999999994</v>
      </c>
    </row>
    <row r="59" spans="5:32" x14ac:dyDescent="0.25">
      <c r="E59" s="20" t="str">
        <v>n 5</v>
      </c>
      <c r="F59" s="20" t="str">
        <v>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</v>
      </c>
      <c r="G59" t="s">
        <v>57</v>
      </c>
      <c r="I59" s="21">
        <v>2.9353000000000001E-2</v>
      </c>
      <c r="J59" s="21">
        <v>6.4265150000000002</v>
      </c>
      <c r="L59" s="20">
        <v>2.7317000000000001E-2</v>
      </c>
      <c r="M59" s="20">
        <v>6.8387320000000003</v>
      </c>
      <c r="O59" s="20">
        <v>2.4424999999999999E-2</v>
      </c>
      <c r="P59" s="20">
        <v>7.4249320000000001</v>
      </c>
      <c r="R59" s="20">
        <v>2.0979000000000001E-2</v>
      </c>
      <c r="S59" s="20">
        <v>8.1236160000000002</v>
      </c>
      <c r="U59" s="20">
        <v>1.7179E-2</v>
      </c>
      <c r="V59" s="20">
        <v>8.8952200000000001</v>
      </c>
      <c r="X59" s="20">
        <v>1.3153E-2</v>
      </c>
      <c r="Y59" s="20">
        <v>9.7147330000000007</v>
      </c>
      <c r="AA59" s="20">
        <v>3.7266000000000001E-2</v>
      </c>
      <c r="AB59" s="20">
        <v>9.7808320000000002</v>
      </c>
      <c r="AD59" s="20">
        <v>5.2618999999999999E-2</v>
      </c>
      <c r="AE59" s="20">
        <v>9.8552710000000001</v>
      </c>
    </row>
    <row r="60" spans="5:32" x14ac:dyDescent="0.25">
      <c r="E60" s="20" t="str">
        <v>n 6</v>
      </c>
      <c r="F60" s="20" t="str">
        <v>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</v>
      </c>
      <c r="G60" t="s">
        <v>57</v>
      </c>
      <c r="I60" s="21">
        <v>3.2592999999999997E-2</v>
      </c>
      <c r="J60" s="21">
        <v>6.2332049999999999</v>
      </c>
      <c r="L60" s="20">
        <v>3.0742999999999999E-2</v>
      </c>
      <c r="M60" s="20">
        <v>6.6588329999999996</v>
      </c>
      <c r="O60" s="20">
        <v>2.8112999999999999E-2</v>
      </c>
      <c r="P60" s="20">
        <v>7.2636649999999996</v>
      </c>
      <c r="R60" s="20">
        <v>2.4981E-2</v>
      </c>
      <c r="S60" s="20">
        <v>7.9842380000000004</v>
      </c>
      <c r="U60" s="20">
        <v>2.1527000000000001E-2</v>
      </c>
      <c r="V60" s="20">
        <v>8.7796149999999997</v>
      </c>
      <c r="X60" s="20">
        <v>1.7867000000000001E-2</v>
      </c>
      <c r="Y60" s="20">
        <v>9.6243309999999997</v>
      </c>
      <c r="AA60" s="20">
        <v>3.9787000000000003E-2</v>
      </c>
      <c r="AB60" s="20">
        <v>9.6568129999999996</v>
      </c>
      <c r="AD60" s="20">
        <v>5.3745000000000001E-2</v>
      </c>
      <c r="AE60" s="20">
        <v>9.7794089999999994</v>
      </c>
    </row>
    <row r="61" spans="5:32" x14ac:dyDescent="0.25">
      <c r="E61" s="20" t="str">
        <v>n 7</v>
      </c>
      <c r="F61" s="20" t="str">
        <v>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</v>
      </c>
      <c r="G61" t="s">
        <v>57</v>
      </c>
      <c r="I61" s="21">
        <v>3.5833999999999998E-2</v>
      </c>
      <c r="J61" s="21">
        <v>6.0125339999999996</v>
      </c>
      <c r="L61" s="20">
        <v>3.4168999999999998E-2</v>
      </c>
      <c r="M61" s="20">
        <v>6.4516390000000001</v>
      </c>
      <c r="O61" s="20">
        <v>3.1801999999999997E-2</v>
      </c>
      <c r="P61" s="20">
        <v>7.0749029999999999</v>
      </c>
      <c r="R61" s="20">
        <v>2.8982999999999998E-2</v>
      </c>
      <c r="S61" s="20">
        <v>7.8166029999999997</v>
      </c>
      <c r="U61" s="20">
        <v>2.5874000000000001E-2</v>
      </c>
      <c r="V61" s="20">
        <v>8.6347129999999996</v>
      </c>
      <c r="X61" s="20">
        <v>2.2579999999999999E-2</v>
      </c>
      <c r="Y61" s="20">
        <v>9.5029900000000005</v>
      </c>
      <c r="AA61" s="20">
        <v>4.2308999999999999E-2</v>
      </c>
      <c r="AB61" s="20">
        <v>9.5228479999999998</v>
      </c>
      <c r="AD61" s="20">
        <v>5.4870000000000002E-2</v>
      </c>
      <c r="AE61" s="20">
        <v>9.7012309999999999</v>
      </c>
    </row>
    <row r="62" spans="5:32" x14ac:dyDescent="0.25">
      <c r="E62" s="20" t="str">
        <v>n 8</v>
      </c>
      <c r="F62" s="20" t="str">
        <v>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</v>
      </c>
      <c r="G62" t="s">
        <v>57</v>
      </c>
      <c r="I62" s="21">
        <v>3.9074999999999999E-2</v>
      </c>
      <c r="J62" s="21">
        <v>5.7615939999999997</v>
      </c>
      <c r="L62" s="20">
        <v>3.7594000000000002E-2</v>
      </c>
      <c r="M62" s="20">
        <v>6.2147379999999997</v>
      </c>
      <c r="O62" s="20">
        <v>3.5491000000000002E-2</v>
      </c>
      <c r="P62" s="20">
        <v>6.8566089999999997</v>
      </c>
      <c r="R62" s="20">
        <v>3.2985E-2</v>
      </c>
      <c r="S62" s="20">
        <v>7.6192869999999999</v>
      </c>
      <c r="U62" s="20">
        <v>3.0221000000000001E-2</v>
      </c>
      <c r="V62" s="20">
        <v>8.4592749999999999</v>
      </c>
      <c r="X62" s="20">
        <v>2.7293000000000001E-2</v>
      </c>
      <c r="Y62" s="20">
        <v>9.3497909999999997</v>
      </c>
      <c r="AA62" s="20">
        <v>4.4830000000000002E-2</v>
      </c>
      <c r="AB62" s="20">
        <v>9.3785340000000001</v>
      </c>
      <c r="AD62" s="20">
        <v>5.5995999999999997E-2</v>
      </c>
      <c r="AE62" s="20">
        <v>9.6208159999999996</v>
      </c>
    </row>
    <row r="63" spans="5:32" x14ac:dyDescent="0.25">
      <c r="I63" s="21">
        <v>4.2314999999999998E-2</v>
      </c>
      <c r="J63" s="21">
        <v>5.4764780000000002</v>
      </c>
      <c r="L63" s="20">
        <v>4.1020000000000001E-2</v>
      </c>
      <c r="M63" s="20">
        <v>5.9445889999999997</v>
      </c>
      <c r="O63" s="20">
        <v>3.9178999999999999E-2</v>
      </c>
      <c r="P63" s="20">
        <v>6.606039</v>
      </c>
      <c r="R63" s="20">
        <v>3.6986999999999999E-2</v>
      </c>
      <c r="S63" s="20">
        <v>7.3899800000000004</v>
      </c>
      <c r="U63" s="20">
        <v>3.4569000000000003E-2</v>
      </c>
      <c r="V63" s="20">
        <v>8.2515630000000009</v>
      </c>
      <c r="X63" s="20">
        <v>3.2007000000000001E-2</v>
      </c>
      <c r="Y63" s="20">
        <v>9.1635439999999999</v>
      </c>
      <c r="AA63" s="20">
        <v>4.7350999999999997E-2</v>
      </c>
      <c r="AB63" s="20">
        <v>9.2234079999999992</v>
      </c>
      <c r="AD63" s="20">
        <v>5.7120999999999998E-2</v>
      </c>
      <c r="AE63" s="20">
        <v>9.5381090000000004</v>
      </c>
    </row>
    <row r="64" spans="5:32" x14ac:dyDescent="0.25">
      <c r="I64" s="21">
        <v>4.5555999999999999E-2</v>
      </c>
      <c r="J64" s="21">
        <v>5.1518620000000004</v>
      </c>
      <c r="L64" s="20">
        <v>4.4445999999999999E-2</v>
      </c>
      <c r="M64" s="20">
        <v>5.6369559999999996</v>
      </c>
      <c r="O64" s="20">
        <v>4.2868000000000003E-2</v>
      </c>
      <c r="P64" s="20">
        <v>6.319572</v>
      </c>
      <c r="R64" s="20">
        <v>4.0987999999999997E-2</v>
      </c>
      <c r="S64" s="20">
        <v>7.1257390000000003</v>
      </c>
      <c r="U64" s="20">
        <v>3.8915999999999999E-2</v>
      </c>
      <c r="V64" s="20">
        <v>8.0092540000000003</v>
      </c>
      <c r="X64" s="20">
        <v>3.6720000000000003E-2</v>
      </c>
      <c r="Y64" s="20">
        <v>8.9423290000000009</v>
      </c>
      <c r="AA64" s="20">
        <v>4.9872E-2</v>
      </c>
      <c r="AB64" s="20">
        <v>9.0569400000000009</v>
      </c>
      <c r="AD64" s="20">
        <v>5.8247E-2</v>
      </c>
      <c r="AE64" s="20">
        <v>9.4530550000000009</v>
      </c>
    </row>
    <row r="65" spans="6:31" x14ac:dyDescent="0.25">
      <c r="I65" s="21">
        <v>4.8797E-2</v>
      </c>
      <c r="J65" s="21">
        <v>4.7800459999999996</v>
      </c>
      <c r="L65" s="20">
        <v>4.7870999999999997E-2</v>
      </c>
      <c r="M65" s="20">
        <v>5.2852899999999998</v>
      </c>
      <c r="O65" s="20">
        <v>4.6557000000000001E-2</v>
      </c>
      <c r="P65" s="20">
        <v>5.9923400000000004</v>
      </c>
      <c r="R65" s="20">
        <v>4.4990000000000002E-2</v>
      </c>
      <c r="S65" s="20">
        <v>6.8229480000000002</v>
      </c>
      <c r="U65" s="20">
        <v>4.3263000000000003E-2</v>
      </c>
      <c r="V65" s="20">
        <v>7.729285</v>
      </c>
      <c r="X65" s="20">
        <v>4.1432999999999998E-2</v>
      </c>
      <c r="Y65" s="20">
        <v>8.6836889999999993</v>
      </c>
      <c r="AA65" s="20">
        <v>5.2394000000000003E-2</v>
      </c>
      <c r="AB65" s="20">
        <v>8.87852</v>
      </c>
      <c r="AD65" s="20">
        <v>5.9372000000000001E-2</v>
      </c>
      <c r="AE65" s="20">
        <v>9.3655910000000002</v>
      </c>
    </row>
    <row r="66" spans="6:31" x14ac:dyDescent="0.25">
      <c r="I66" s="21">
        <v>5.2037E-2</v>
      </c>
      <c r="J66" s="21">
        <v>4.3495499999999998</v>
      </c>
      <c r="L66" s="20">
        <v>5.1297000000000002E-2</v>
      </c>
      <c r="M66" s="20">
        <v>4.8811499999999999</v>
      </c>
      <c r="O66" s="20">
        <v>5.0244999999999998E-2</v>
      </c>
      <c r="P66" s="20">
        <v>5.6176060000000003</v>
      </c>
      <c r="R66" s="20">
        <v>4.8992000000000001E-2</v>
      </c>
      <c r="S66" s="20">
        <v>6.4760499999999999</v>
      </c>
      <c r="U66" s="20">
        <v>4.7611000000000001E-2</v>
      </c>
      <c r="V66" s="20">
        <v>7.4076079999999997</v>
      </c>
      <c r="X66" s="20">
        <v>4.6147000000000001E-2</v>
      </c>
      <c r="Y66" s="20">
        <v>8.3843920000000001</v>
      </c>
      <c r="AA66" s="20">
        <v>5.4914999999999999E-2</v>
      </c>
      <c r="AB66" s="20">
        <v>8.6874400000000005</v>
      </c>
      <c r="AD66" s="20">
        <v>6.0498000000000003E-2</v>
      </c>
      <c r="AE66" s="20">
        <v>9.2754999999999992</v>
      </c>
    </row>
    <row r="67" spans="6:31" x14ac:dyDescent="0.25">
      <c r="I67" s="21">
        <v>5.5278000000000001E-2</v>
      </c>
      <c r="J67" s="21">
        <v>3.8422390000000002</v>
      </c>
      <c r="L67" s="20">
        <v>5.4723000000000001E-2</v>
      </c>
      <c r="M67" s="20">
        <v>4.4102399999999999</v>
      </c>
      <c r="O67" s="20">
        <v>5.3934000000000003E-2</v>
      </c>
      <c r="P67" s="20">
        <v>5.1856450000000001</v>
      </c>
      <c r="R67" s="20">
        <v>5.2993999999999999E-2</v>
      </c>
      <c r="S67" s="20">
        <v>6.0783290000000001</v>
      </c>
      <c r="U67" s="20">
        <v>5.1957999999999997E-2</v>
      </c>
      <c r="V67" s="20">
        <v>7.03878</v>
      </c>
      <c r="X67" s="20">
        <v>5.0860000000000002E-2</v>
      </c>
      <c r="Y67" s="20">
        <v>8.0400100000000005</v>
      </c>
      <c r="AA67" s="20">
        <v>5.7436000000000001E-2</v>
      </c>
      <c r="AB67" s="20">
        <v>8.4828790000000005</v>
      </c>
      <c r="AD67" s="20">
        <v>6.1622999999999997E-2</v>
      </c>
      <c r="AE67" s="20">
        <v>9.1828599999999998</v>
      </c>
    </row>
    <row r="68" spans="6:31" x14ac:dyDescent="0.25">
      <c r="I68" s="21">
        <v>5.8519000000000002E-2</v>
      </c>
      <c r="J68" s="21">
        <v>3.224634</v>
      </c>
      <c r="L68" s="20">
        <v>5.8148999999999999E-2</v>
      </c>
      <c r="M68" s="20">
        <v>3.8508360000000001</v>
      </c>
      <c r="O68" s="20">
        <v>5.7623000000000001E-2</v>
      </c>
      <c r="P68" s="20">
        <v>4.6815490000000004</v>
      </c>
      <c r="R68" s="20">
        <v>5.6995999999999998E-2</v>
      </c>
      <c r="S68" s="20">
        <v>5.6193049999999998</v>
      </c>
      <c r="U68" s="20">
        <v>5.6305000000000001E-2</v>
      </c>
      <c r="V68" s="20">
        <v>6.6152899999999999</v>
      </c>
      <c r="X68" s="20">
        <v>5.5572999999999997E-2</v>
      </c>
      <c r="Y68" s="20">
        <v>7.6449210000000001</v>
      </c>
      <c r="AA68" s="20">
        <v>5.9957000000000003E-2</v>
      </c>
      <c r="AB68" s="20">
        <v>8.2638750000000005</v>
      </c>
      <c r="AD68" s="20">
        <v>6.2748999999999999E-2</v>
      </c>
      <c r="AE68" s="20">
        <v>9.0875979999999998</v>
      </c>
    </row>
    <row r="69" spans="6:31" x14ac:dyDescent="0.25">
      <c r="I69" s="21">
        <v>6.1759000000000001E-2</v>
      </c>
      <c r="J69" s="21">
        <v>2.420442</v>
      </c>
      <c r="L69" s="20">
        <v>6.1573999999999997E-2</v>
      </c>
      <c r="M69" s="20">
        <v>3.157556</v>
      </c>
      <c r="O69" s="20">
        <v>6.1310999999999997E-2</v>
      </c>
      <c r="P69" s="20">
        <v>4.0803079999999996</v>
      </c>
      <c r="R69" s="20">
        <v>6.0997999999999997E-2</v>
      </c>
      <c r="S69" s="20">
        <v>5.0832129999999998</v>
      </c>
      <c r="U69" s="20">
        <v>6.0652999999999999E-2</v>
      </c>
      <c r="V69" s="20">
        <v>6.1263490000000003</v>
      </c>
      <c r="X69" s="20">
        <v>6.0287E-2</v>
      </c>
      <c r="Y69" s="20">
        <v>7.1908190000000003</v>
      </c>
      <c r="AA69" s="20">
        <v>6.2479E-2</v>
      </c>
      <c r="AB69" s="20">
        <v>8.0292929999999991</v>
      </c>
      <c r="AD69" s="20">
        <v>6.3874E-2</v>
      </c>
      <c r="AE69" s="20">
        <v>8.9896349999999998</v>
      </c>
    </row>
    <row r="70" spans="6:31" x14ac:dyDescent="0.25">
      <c r="I70" s="21">
        <v>6.5000000000000002E-2</v>
      </c>
      <c r="J70" s="21">
        <v>1.111111</v>
      </c>
      <c r="L70" s="20">
        <v>6.5000000000000002E-2</v>
      </c>
      <c r="M70" s="20">
        <v>2.2222219999999999</v>
      </c>
      <c r="O70" s="20">
        <v>6.5000000000000002E-2</v>
      </c>
      <c r="P70" s="20">
        <v>3.3333330000000001</v>
      </c>
      <c r="R70" s="20">
        <v>6.5000000000000002E-2</v>
      </c>
      <c r="S70" s="20">
        <v>4.4444439999999998</v>
      </c>
      <c r="U70" s="20">
        <v>6.5000000000000002E-2</v>
      </c>
      <c r="V70" s="20">
        <v>5.5555560000000002</v>
      </c>
      <c r="X70" s="20">
        <v>6.5000000000000002E-2</v>
      </c>
      <c r="Y70" s="20">
        <v>6.6666670000000003</v>
      </c>
      <c r="AA70" s="20">
        <v>6.5000000000000002E-2</v>
      </c>
      <c r="AB70" s="20">
        <v>7.7777779999999996</v>
      </c>
      <c r="AD70" s="20">
        <v>6.5000000000000002E-2</v>
      </c>
      <c r="AE70" s="20">
        <v>8.8888890000000007</v>
      </c>
    </row>
    <row r="73" spans="6:31" x14ac:dyDescent="0.25"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6:31" x14ac:dyDescent="0.25">
      <c r="F74" s="20">
        <f>dcas_m/2</f>
        <v>6.5000000000000002E-2</v>
      </c>
      <c r="G74" s="20">
        <v>0</v>
      </c>
      <c r="H74" s="20"/>
      <c r="I74" s="20">
        <f>dintake_m/2</f>
        <v>2.5000000000000001E-3</v>
      </c>
      <c r="J74" s="20">
        <f>M74</f>
        <v>-2</v>
      </c>
      <c r="K74" s="20"/>
      <c r="L74" s="20">
        <f>dcas_m/2</f>
        <v>6.5000000000000002E-2</v>
      </c>
      <c r="M74" s="20">
        <f>P75-M75</f>
        <v>-2</v>
      </c>
      <c r="N74" s="20"/>
      <c r="O74" s="20">
        <f>dcas_m/2</f>
        <v>6.5000000000000002E-2</v>
      </c>
      <c r="P74" s="20">
        <v>0</v>
      </c>
    </row>
    <row r="75" spans="6:31" x14ac:dyDescent="0.25">
      <c r="F75" s="20">
        <f>F74</f>
        <v>6.5000000000000002E-2</v>
      </c>
      <c r="G75" s="20">
        <f>hperf</f>
        <v>10</v>
      </c>
      <c r="H75" s="20"/>
      <c r="I75" s="20">
        <f>I74</f>
        <v>2.5000000000000001E-3</v>
      </c>
      <c r="J75" s="20">
        <f>hperf*1.2</f>
        <v>12</v>
      </c>
      <c r="K75" s="20"/>
      <c r="L75" s="20">
        <f>L74</f>
        <v>6.5000000000000002E-2</v>
      </c>
      <c r="M75" s="20">
        <f>hperf*1.2</f>
        <v>12</v>
      </c>
      <c r="N75" s="20"/>
      <c r="O75" s="20">
        <f>dintake_m/2</f>
        <v>2.5000000000000001E-3</v>
      </c>
      <c r="P75" s="20">
        <f>G75</f>
        <v>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H75"/>
  <sheetViews>
    <sheetView tabSelected="1" topLeftCell="B1" zoomScaleNormal="100" workbookViewId="0">
      <selection activeCell="P18" sqref="P18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18" max="22" width="9.5703125" bestFit="1" customWidth="1"/>
    <col min="23" max="23" width="12.5703125" bestFit="1" customWidth="1"/>
    <col min="24" max="25" width="9.5703125" bestFit="1" customWidth="1"/>
    <col min="26" max="26" width="9.42578125" bestFit="1" customWidth="1"/>
    <col min="27" max="27" width="10.85546875" bestFit="1" customWidth="1"/>
    <col min="28" max="28" width="11.140625" bestFit="1" customWidth="1"/>
    <col min="29" max="31" width="11" bestFit="1" customWidth="1"/>
  </cols>
  <sheetData>
    <row r="1" spans="3:15" x14ac:dyDescent="0.25">
      <c r="C1" t="s">
        <v>53</v>
      </c>
    </row>
    <row r="3" spans="3:15" x14ac:dyDescent="0.25">
      <c r="D3" t="s">
        <v>15</v>
      </c>
      <c r="H3" t="s">
        <v>17</v>
      </c>
      <c r="M3" t="s">
        <v>16</v>
      </c>
    </row>
    <row r="5" spans="3:15" x14ac:dyDescent="0.25">
      <c r="H5" s="9" t="s">
        <v>76</v>
      </c>
      <c r="I5" s="12">
        <v>73</v>
      </c>
      <c r="J5" s="13" t="s">
        <v>18</v>
      </c>
      <c r="K5" s="13">
        <f>dtub/1000</f>
        <v>7.2999999999999995E-2</v>
      </c>
    </row>
    <row r="6" spans="3:15" x14ac:dyDescent="0.25">
      <c r="D6" s="1" t="s">
        <v>0</v>
      </c>
      <c r="E6" s="1">
        <v>0.81</v>
      </c>
      <c r="H6" s="9" t="s">
        <v>24</v>
      </c>
      <c r="I6" s="12">
        <v>135</v>
      </c>
      <c r="J6" s="13" t="s">
        <v>18</v>
      </c>
      <c r="K6" s="13">
        <f>dcas/1000</f>
        <v>0.13500000000000001</v>
      </c>
      <c r="M6" s="13" t="s">
        <v>19</v>
      </c>
      <c r="N6" s="23" cm="1">
        <f t="array" ref="N6">[1]!feed_rho_liq_kgm3(p,t,feed_json)</f>
        <v>746.87220553572797</v>
      </c>
      <c r="O6" s="13" t="s">
        <v>28</v>
      </c>
    </row>
    <row r="7" spans="3:15" x14ac:dyDescent="0.25">
      <c r="D7" s="1" t="s">
        <v>1</v>
      </c>
      <c r="E7" s="1">
        <v>0.82</v>
      </c>
      <c r="H7" s="9" t="s">
        <v>25</v>
      </c>
      <c r="I7" s="12">
        <v>102</v>
      </c>
      <c r="J7" s="13" t="s">
        <v>18</v>
      </c>
      <c r="K7" s="13">
        <f>dintake/1000</f>
        <v>0.10199999999999999</v>
      </c>
      <c r="M7" s="13" t="s">
        <v>20</v>
      </c>
      <c r="N7" s="23" cm="1">
        <f t="array" ref="N7">[1]!PVT_rho_gas_kgm3(p,t,PVT_json)</f>
        <v>45.818612464325518</v>
      </c>
      <c r="O7" s="13" t="s">
        <v>28</v>
      </c>
    </row>
    <row r="8" spans="3:15" x14ac:dyDescent="0.25">
      <c r="D8" s="1" t="s">
        <v>2</v>
      </c>
      <c r="E8" s="1">
        <v>1.1000000000000001</v>
      </c>
      <c r="H8" s="9" t="s">
        <v>45</v>
      </c>
      <c r="I8" s="12">
        <v>100</v>
      </c>
      <c r="J8" s="13" t="s">
        <v>35</v>
      </c>
      <c r="K8" s="13">
        <f>I8/1000</f>
        <v>0.1</v>
      </c>
      <c r="M8" s="13" t="s">
        <v>21</v>
      </c>
      <c r="N8" s="24" cm="1">
        <f t="array" ref="N8">[1]!feed_ST_liqgas_Nm(p,t,feed_json)*calibr_st</f>
        <v>2.5266366698127592E-2</v>
      </c>
      <c r="O8" s="13" t="s">
        <v>29</v>
      </c>
    </row>
    <row r="9" spans="3:15" x14ac:dyDescent="0.25">
      <c r="D9" s="1" t="s">
        <v>3</v>
      </c>
      <c r="E9" s="1">
        <v>120</v>
      </c>
      <c r="H9" s="9" t="s">
        <v>26</v>
      </c>
      <c r="I9" s="12">
        <v>50</v>
      </c>
      <c r="M9" s="13" t="s">
        <v>22</v>
      </c>
      <c r="N9" s="23" cm="1">
        <f t="array" ref="N9">[1]!feed_q_liq_rc_m3day(p,t,feed_json)</f>
        <v>17.126955194065889</v>
      </c>
      <c r="O9" s="13"/>
    </row>
    <row r="10" spans="3:15" x14ac:dyDescent="0.25">
      <c r="D10" s="1" t="s">
        <v>4</v>
      </c>
      <c r="E10" s="1"/>
      <c r="H10" s="9" t="s">
        <v>27</v>
      </c>
      <c r="I10" s="12">
        <v>80</v>
      </c>
      <c r="M10" s="13" t="s">
        <v>23</v>
      </c>
      <c r="N10" s="19" cm="1">
        <f t="array" ref="N10">[1]!feed_q_gas_rc_m3day(p,t,feed_json)</f>
        <v>28.145588238851523</v>
      </c>
      <c r="O10" s="13"/>
    </row>
    <row r="11" spans="3:15" x14ac:dyDescent="0.25">
      <c r="D11" s="1" t="s">
        <v>5</v>
      </c>
      <c r="E11" s="1"/>
      <c r="H11" s="9" t="s">
        <v>48</v>
      </c>
      <c r="I11" s="12">
        <v>2</v>
      </c>
      <c r="M11" s="13" t="s">
        <v>30</v>
      </c>
      <c r="N11" s="19" cm="1">
        <f t="array" ref="N11">[1]!feed_mu_liq_cP(p,t,feed_json)</f>
        <v>0.59336593270331894</v>
      </c>
      <c r="O11" s="13" t="s">
        <v>59</v>
      </c>
    </row>
    <row r="12" spans="3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9" cm="1">
        <f t="array" ref="N12">[1]!PVT_mu_gas_cP(p,t,PVT_json)</f>
        <v>1.3310824327567267E-2</v>
      </c>
      <c r="O12" s="13" t="s">
        <v>59</v>
      </c>
    </row>
    <row r="13" spans="3:15" x14ac:dyDescent="0.25">
      <c r="D13" s="1" t="s">
        <v>7</v>
      </c>
      <c r="E13" s="1">
        <v>0.3</v>
      </c>
      <c r="H13" s="9" t="s">
        <v>52</v>
      </c>
      <c r="I13" s="12">
        <v>0.3</v>
      </c>
    </row>
    <row r="14" spans="3:15" x14ac:dyDescent="0.25">
      <c r="D14" s="1" t="s">
        <v>8</v>
      </c>
      <c r="E14" s="1">
        <v>0</v>
      </c>
    </row>
    <row r="15" spans="3:15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{"gamma_gas":0.81,"gamma_oil":0.82,"gamma_wat":1.1,"rsb_m3m3":120,"muob_cP":0.3,"PVT_corr_set":0}</v>
      </c>
      <c r="F15" t="s">
        <v>57</v>
      </c>
    </row>
    <row r="16" spans="3:15" x14ac:dyDescent="0.25">
      <c r="D16" s="1" t="s">
        <v>10</v>
      </c>
      <c r="E16" s="1">
        <v>15</v>
      </c>
      <c r="F16" s="13" t="s">
        <v>54</v>
      </c>
      <c r="G16" s="10">
        <f>E16/pkv_ratio</f>
        <v>50</v>
      </c>
      <c r="H16" s="13" t="s">
        <v>55</v>
      </c>
    </row>
    <row r="17" spans="4:31" x14ac:dyDescent="0.25">
      <c r="D17" s="1" t="s">
        <v>11</v>
      </c>
      <c r="E17" s="1">
        <v>0</v>
      </c>
    </row>
    <row r="18" spans="4:31" x14ac:dyDescent="0.25">
      <c r="D18" s="1" t="s">
        <v>12</v>
      </c>
      <c r="E18" s="1">
        <v>120</v>
      </c>
      <c r="H18" s="26" t="s">
        <v>68</v>
      </c>
    </row>
    <row r="19" spans="4:31" x14ac:dyDescent="0.25">
      <c r="D19" s="1" t="s">
        <v>13</v>
      </c>
      <c r="E19" s="1">
        <v>0</v>
      </c>
      <c r="H19" s="3" t="s">
        <v>64</v>
      </c>
      <c r="I19" s="27">
        <f>(dcas_m^2-dintake_m^2)*3.1415/4</f>
        <v>6.1424178750000029E-3</v>
      </c>
      <c r="J19" t="s">
        <v>69</v>
      </c>
      <c r="K19" t="s">
        <v>70</v>
      </c>
    </row>
    <row r="20" spans="4:31" x14ac:dyDescent="0.25">
      <c r="D20" s="1" t="s">
        <v>14</v>
      </c>
      <c r="E20" s="2" t="str">
        <f>[1]!encode_feed(E16,E17,E18,E19,E15)</f>
        <v>{"gamma_gas":0.81,"gamma_oil":0.82,"gamma_wat":1.1,"rsb_m3m3":120,"muob_cP":0.3,"PVT_corr_set":0,"q_liq_sm3day":15,"fw_perc":0,"rp_m3m3":120}</v>
      </c>
      <c r="F20" t="s">
        <v>57</v>
      </c>
      <c r="H20" s="3" t="s">
        <v>65</v>
      </c>
      <c r="I20" s="3">
        <v>20</v>
      </c>
      <c r="J20" t="s">
        <v>71</v>
      </c>
      <c r="K20" t="s">
        <v>72</v>
      </c>
    </row>
    <row r="21" spans="4:31" x14ac:dyDescent="0.25">
      <c r="H21" s="3" t="s">
        <v>66</v>
      </c>
      <c r="I21" s="25">
        <f>I19*I20</f>
        <v>0.12284835750000006</v>
      </c>
      <c r="J21" t="s">
        <v>75</v>
      </c>
      <c r="K21" t="s">
        <v>73</v>
      </c>
    </row>
    <row r="22" spans="4:31" x14ac:dyDescent="0.25">
      <c r="H22" s="3" t="s">
        <v>27</v>
      </c>
      <c r="I22" s="25">
        <f>I21/(G16-E16)*24*60</f>
        <v>5.0543324228571453</v>
      </c>
      <c r="J22" t="s">
        <v>67</v>
      </c>
      <c r="K22" t="s">
        <v>74</v>
      </c>
    </row>
    <row r="23" spans="4:31" x14ac:dyDescent="0.25">
      <c r="I23" s="4"/>
    </row>
    <row r="26" spans="4:31" x14ac:dyDescent="0.25">
      <c r="E26" t="s">
        <v>46</v>
      </c>
    </row>
    <row r="28" spans="4:31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62</v>
      </c>
      <c r="P28" s="13" t="s">
        <v>63</v>
      </c>
    </row>
    <row r="29" spans="4:31" x14ac:dyDescent="0.25">
      <c r="F29" s="1">
        <v>2</v>
      </c>
      <c r="G29" s="13" t="str">
        <f>[1]!encode_feed(F29,$E$17,$E$18,$E$19,$E$15)</f>
        <v>{"gamma_gas":0.81,"gamma_oil":0.82,"gamma_wat":1.1,"rsb_m3m3":120,"muob_cP":0.3,"PVT_corr_set":0,"q_liq_sm3day":2,"fw_perc":0,"rp_m3m3":120}</v>
      </c>
      <c r="H29" s="14" cm="1">
        <f t="array" ref="H29">[1]!feed_rho_liq_kgm3(p,t,G29)</f>
        <v>746.87220553572797</v>
      </c>
      <c r="I29" s="14" cm="1">
        <f t="array" ref="I29">[1]!PVT_rho_gas_kgm3(p,t,PVT_json)</f>
        <v>45.818612464325518</v>
      </c>
      <c r="J29" s="15" cm="1">
        <f t="array" ref="J29">[1]!feed_ST_liqgas_Nm(p,t,G29)</f>
        <v>2.5266366698127592E-2</v>
      </c>
      <c r="K29" s="17" cm="1">
        <f t="array" ref="K29">[1]!feed_q_liq_rc_m3day(p,t,G29)</f>
        <v>2.2835940258754519</v>
      </c>
      <c r="L29" s="17" cm="1">
        <f t="array" ref="L29">[1]!feed_q_gas_rc_m3day(p,t,G29)</f>
        <v>3.7527450985135364</v>
      </c>
      <c r="M29" s="16" cm="1">
        <f t="array" ref="M29">[1]!feed_mu_liq_cP(p,t,G29)</f>
        <v>0.59336593270331894</v>
      </c>
      <c r="N29" s="16" cm="1">
        <f t="array" ref="N29">[1]!PVT_mu_gas_cP(p,t,G29)</f>
        <v>1.3310824327567267E-2</v>
      </c>
      <c r="O29" s="18" cm="1">
        <f t="array" ref="O29">[1]!unf_ksep_ESP_natural_mechanistic_Marquez(dintake_m,dcas_m,K29,L29,J29,H29,I29,M29,N29,1,+hint,calibr_li,calibr_st)</f>
        <v>0.98880113743878095</v>
      </c>
      <c r="P29" s="18" cm="1">
        <f t="array" ref="P29">[1]!unf_ksep_ESP_natural_mechanistic_pkv(dintake_m,dcas_m,K29,L29,J29,H29,I29,M29,N29,1,hint,calibr_li,calibr_st,pkv_ratio,$K$5)</f>
        <v>0.96600926236984774</v>
      </c>
      <c r="R29" s="6">
        <f t="array" ref="R29:AE29">[1]!unf_ksep_ESP_natural_mechanistic_pkv(dintake_m,dcas_m,K29,L29,J29,H29,I29,M29,N29,0,hint,calibr_li,calibr_st,pkv_ratio,$K$5)</f>
        <v>0.96600926236984774</v>
      </c>
      <c r="S29" s="6">
        <v>0.99215598362381097</v>
      </c>
      <c r="T29" s="6">
        <v>0</v>
      </c>
      <c r="U29" s="6">
        <v>1.3405423512922582E-3</v>
      </c>
      <c r="V29" s="6">
        <v>0.20326333056384913</v>
      </c>
      <c r="W29" s="6">
        <v>4.3027905778770551E-3</v>
      </c>
      <c r="X29" s="6">
        <v>7.0709925092171458E-3</v>
      </c>
      <c r="Y29" s="8">
        <v>0.19021153247762207</v>
      </c>
      <c r="Z29" s="5">
        <v>0.3</v>
      </c>
      <c r="AA29" s="6">
        <v>-1.003984468171313E-2</v>
      </c>
      <c r="AB29" s="6">
        <v>1.6498982521506673E-2</v>
      </c>
      <c r="AC29" s="6">
        <v>-6.0888357053100499E-3</v>
      </c>
      <c r="AD29" s="6">
        <v>1.000609043895035E-2</v>
      </c>
      <c r="AE29" s="6">
        <v>0.19534784414694606</v>
      </c>
    </row>
    <row r="30" spans="4:31" x14ac:dyDescent="0.25">
      <c r="F30" s="1">
        <v>5</v>
      </c>
      <c r="G30" s="13" t="str">
        <f>[1]!encode_feed(F30,$E$17,$E$18,$E$19,$E$15)</f>
        <v>{"gamma_gas":0.81,"gamma_oil":0.82,"gamma_wat":1.1,"rsb_m3m3":120,"muob_cP":0.3,"PVT_corr_set":0,"q_liq_sm3day":5,"fw_perc":0,"rp_m3m3":120}</v>
      </c>
      <c r="H30" s="14" cm="1">
        <f t="array" ref="H30">[1]!feed_rho_liq_kgm3(p,t,G30)</f>
        <v>746.87220553572797</v>
      </c>
      <c r="I30" s="14" cm="1">
        <f t="array" ref="I30">[1]!PVT_rho_gas_kgm3(p,t,PVT_json)</f>
        <v>45.818612464325518</v>
      </c>
      <c r="J30" s="15" cm="1">
        <f t="array" ref="J30">[1]!feed_ST_liqgas_Nm(p,t,G30)</f>
        <v>2.5266366698127592E-2</v>
      </c>
      <c r="K30" s="17" cm="1">
        <f t="array" ref="K30">[1]!feed_q_liq_rc_m3day(p,t,G30)</f>
        <v>5.7089850646886298</v>
      </c>
      <c r="L30" s="17" cm="1">
        <f t="array" ref="L30">[1]!feed_q_gas_rc_m3day(p,t,G30)</f>
        <v>9.3818627462838418</v>
      </c>
      <c r="M30" s="16" cm="1">
        <f t="array" ref="M30">[1]!feed_mu_liq_cP(p,t,G30)</f>
        <v>0.59336593270331894</v>
      </c>
      <c r="N30" s="16" cm="1">
        <f t="array" ref="N30">[1]!PVT_mu_gas_cP(p,t,G30)</f>
        <v>1.3310824327567267E-2</v>
      </c>
      <c r="O30" s="18" cm="1">
        <f t="array" ref="O30">[1]!unf_ksep_ESP_natural_mechanistic_Marquez(dintake_m,dcas_m,K30,L30,J30,H30,I30,M30,N30,1,+hint,calibr_li,calibr_st)</f>
        <v>0.9716693166450322</v>
      </c>
      <c r="P30" s="18" cm="1">
        <f t="array" ref="P30">[1]!unf_ksep_ESP_natural_mechanistic_pkv(dintake_m,dcas_m,K30,L30,J30,H30,I30,M30,N30,1,hint,calibr_li,calibr_st,pkv_ratio,$K$5)</f>
        <v>0.9122053211713711</v>
      </c>
      <c r="R30" s="6">
        <f t="array" ref="R30:AE30">[1]!unf_ksep_ESP_natural_mechanistic_pkv(dintake_m,dcas_m,K30,L30,J30,H30,I30,M30,N30,0,hint,calibr_li,calibr_st,pkv_ratio,$K$5)</f>
        <v>0.9122053211713711</v>
      </c>
      <c r="S30" s="6">
        <v>0.97973968950108559</v>
      </c>
      <c r="T30" s="6">
        <v>0</v>
      </c>
      <c r="U30" s="6">
        <v>1.3288997790619859E-3</v>
      </c>
      <c r="V30" s="6">
        <v>0.20326333056384913</v>
      </c>
      <c r="W30" s="6">
        <v>1.0756976444692637E-2</v>
      </c>
      <c r="X30" s="6">
        <v>1.7677481273042864E-2</v>
      </c>
      <c r="Y30" s="8">
        <v>0.17063383534828147</v>
      </c>
      <c r="Z30" s="5">
        <v>0.3</v>
      </c>
      <c r="AA30" s="6">
        <v>-2.509961170428282E-2</v>
      </c>
      <c r="AB30" s="6">
        <v>4.1247456303766687E-2</v>
      </c>
      <c r="AC30" s="6">
        <v>-1.5222089263275123E-2</v>
      </c>
      <c r="AD30" s="6">
        <v>2.501522609737588E-2</v>
      </c>
      <c r="AE30" s="6">
        <v>0.18347461452159147</v>
      </c>
    </row>
    <row r="31" spans="4:31" x14ac:dyDescent="0.25">
      <c r="F31" s="1">
        <v>12</v>
      </c>
      <c r="G31" s="13" t="str">
        <f>[1]!encode_feed(F31,$E$17,$E$18,$E$19,$E$15)</f>
        <v>{"gamma_gas":0.81,"gamma_oil":0.82,"gamma_wat":1.1,"rsb_m3m3":120,"muob_cP":0.3,"PVT_corr_set":0,"q_liq_sm3day":12,"fw_perc":0,"rp_m3m3":120}</v>
      </c>
      <c r="H31" s="14" cm="1">
        <f t="array" ref="H31">[1]!feed_rho_liq_kgm3(p,t,G31)</f>
        <v>746.87220553572797</v>
      </c>
      <c r="I31" s="14" cm="1">
        <f t="array" ref="I31">[1]!PVT_rho_gas_kgm3(p,t,PVT_json)</f>
        <v>45.818612464325518</v>
      </c>
      <c r="J31" s="15" cm="1">
        <f t="array" ref="J31">[1]!feed_ST_liqgas_Nm(p,t,G31)</f>
        <v>2.5266366698127592E-2</v>
      </c>
      <c r="K31" s="17" cm="1">
        <f t="array" ref="K31">[1]!feed_q_liq_rc_m3day(p,t,G31)</f>
        <v>13.701564155252711</v>
      </c>
      <c r="L31" s="17" cm="1">
        <f t="array" ref="L31">[1]!feed_q_gas_rc_m3day(p,t,G31)</f>
        <v>22.51647059108122</v>
      </c>
      <c r="M31" s="16" cm="1">
        <f t="array" ref="M31">[1]!feed_mu_liq_cP(p,t,G31)</f>
        <v>0.59336593270331894</v>
      </c>
      <c r="N31" s="16" cm="1">
        <f t="array" ref="N31">[1]!PVT_mu_gas_cP(p,t,G31)</f>
        <v>1.3310824327567267E-2</v>
      </c>
      <c r="O31" s="18" cm="1">
        <f t="array" ref="O31">[1]!unf_ksep_ESP_natural_mechanistic_Marquez(dintake_m,dcas_m,K31,L31,J31,H31,I31,M31,N31,1,+hint,calibr_li,calibr_st)</f>
        <v>0.93123136994123978</v>
      </c>
      <c r="P31" s="18" cm="1">
        <f t="array" ref="P31">[1]!unf_ksep_ESP_natural_mechanistic_pkv(dintake_m,dcas_m,K31,L31,J31,H31,I31,M31,N31,1,hint,calibr_li,calibr_st,pkv_ratio,$K$5)</f>
        <v>0.77866284961978249</v>
      </c>
      <c r="R31" s="6">
        <f t="array" ref="R31:AE31">[1]!unf_ksep_ESP_natural_mechanistic_pkv(dintake_m,dcas_m,K31,L31,J31,H31,I31,M31,N31,0,hint,calibr_li,calibr_st,pkv_ratio,$K$5)</f>
        <v>0.77866284961978249</v>
      </c>
      <c r="S31" s="6">
        <v>0.94892219606610362</v>
      </c>
      <c r="T31" s="6">
        <v>3</v>
      </c>
      <c r="U31" s="6">
        <v>1.3105248087884687E-3</v>
      </c>
      <c r="V31" s="6">
        <v>0.18732110855884132</v>
      </c>
      <c r="W31" s="6">
        <v>2.5816743467262329E-2</v>
      </c>
      <c r="X31" s="6">
        <v>4.2425955055302875E-2</v>
      </c>
      <c r="Y31" s="8">
        <v>0.12495254204648672</v>
      </c>
      <c r="Z31" s="5">
        <v>0.3</v>
      </c>
      <c r="AA31" s="6">
        <v>-6.023906809027877E-2</v>
      </c>
      <c r="AB31" s="6">
        <v>9.8993895129040041E-2</v>
      </c>
      <c r="AC31" s="6">
        <v>-3.6533014231860297E-2</v>
      </c>
      <c r="AD31" s="6">
        <v>6.003654263370211E-2</v>
      </c>
      <c r="AE31" s="6">
        <v>0.15577041206243072</v>
      </c>
    </row>
    <row r="32" spans="4:31" x14ac:dyDescent="0.25">
      <c r="F32" s="1">
        <v>19</v>
      </c>
      <c r="G32" s="13" t="str">
        <f>[1]!encode_feed(F32,$E$17,$E$18,$E$19,$E$15)</f>
        <v>{"gamma_gas":0.81,"gamma_oil":0.82,"gamma_wat":1.1,"rsb_m3m3":120,"muob_cP":0.3,"PVT_corr_set":0,"q_liq_sm3day":19,"fw_perc":0,"rp_m3m3":120}</v>
      </c>
      <c r="H32" s="14" cm="1">
        <f t="array" ref="H32">[1]!feed_rho_liq_kgm3(p,t,G32)</f>
        <v>746.87220553572797</v>
      </c>
      <c r="I32" s="14" cm="1">
        <f t="array" ref="I32">[1]!PVT_rho_gas_kgm3(p,t,PVT_json)</f>
        <v>45.818612464325518</v>
      </c>
      <c r="J32" s="15" cm="1">
        <f t="array" ref="J32">[1]!feed_ST_liqgas_Nm(p,t,G32)</f>
        <v>2.5266366698127592E-2</v>
      </c>
      <c r="K32" s="17" cm="1">
        <f t="array" ref="K32">[1]!feed_q_liq_rc_m3day(p,t,G32)</f>
        <v>21.694143245816793</v>
      </c>
      <c r="L32" s="17" cm="1">
        <f t="array" ref="L32">[1]!feed_q_gas_rc_m3day(p,t,G32)</f>
        <v>35.651078435878595</v>
      </c>
      <c r="M32" s="16" cm="1">
        <f t="array" ref="M32">[1]!feed_mu_liq_cP(p,t,G32)</f>
        <v>0.59336593270331894</v>
      </c>
      <c r="N32" s="16" cm="1">
        <f t="array" ref="N32">[1]!PVT_mu_gas_cP(p,t,G32)</f>
        <v>1.3310824327567267E-2</v>
      </c>
      <c r="O32" s="18" cm="1">
        <f t="array" ref="O32">[1]!unf_ksep_ESP_natural_mechanistic_Marquez(dintake_m,dcas_m,K32,L32,J32,H32,I32,M32,N32,1,+hint,calibr_li,calibr_st)</f>
        <v>0.89168385244122295</v>
      </c>
      <c r="P32" s="18" cm="1">
        <f t="array" ref="P32">[1]!unf_ksep_ESP_natural_mechanistic_pkv(dintake_m,dcas_m,K32,L32,J32,H32,I32,M32,N32,1,hint,calibr_li,calibr_st,pkv_ratio,$K$5)</f>
        <v>0.6416780165917404</v>
      </c>
      <c r="R32" s="6">
        <f t="array" ref="R32:AE32">[1]!unf_ksep_ESP_natural_mechanistic_pkv(dintake_m,dcas_m,K32,L32,J32,H32,I32,M32,N32,0,hint,calibr_li,calibr_st,pkv_ratio,$K$5)</f>
        <v>0.6416780165917404</v>
      </c>
      <c r="S32" s="6">
        <v>0.91731031152117082</v>
      </c>
      <c r="T32" s="6">
        <v>3</v>
      </c>
      <c r="U32" s="6">
        <v>1.3016721038973578E-3</v>
      </c>
      <c r="V32" s="6">
        <v>0.18732110855884132</v>
      </c>
      <c r="W32" s="6">
        <v>4.087651048983202E-2</v>
      </c>
      <c r="X32" s="6">
        <v>6.7174428837562888E-2</v>
      </c>
      <c r="Y32" s="8">
        <v>7.9271248744691991E-2</v>
      </c>
      <c r="Z32" s="5">
        <v>0.3</v>
      </c>
      <c r="AA32" s="6">
        <v>-9.537852447627472E-2</v>
      </c>
      <c r="AB32" s="6">
        <v>0.15674033395431342</v>
      </c>
      <c r="AC32" s="6">
        <v>-5.784393920044547E-2</v>
      </c>
      <c r="AD32" s="6">
        <v>9.5057859170028333E-2</v>
      </c>
      <c r="AE32" s="6">
        <v>0.12806620960327</v>
      </c>
    </row>
    <row r="33" spans="5:31" x14ac:dyDescent="0.25">
      <c r="F33" s="1">
        <v>26</v>
      </c>
      <c r="G33" s="13" t="str">
        <f>[1]!encode_feed(F33,$E$17,$E$18,$E$19,$E$15)</f>
        <v>{"gamma_gas":0.81,"gamma_oil":0.82,"gamma_wat":1.1,"rsb_m3m3":120,"muob_cP":0.3,"PVT_corr_set":0,"q_liq_sm3day":26,"fw_perc":0,"rp_m3m3":120}</v>
      </c>
      <c r="H33" s="14" cm="1">
        <f t="array" ref="H33">[1]!feed_rho_liq_kgm3(p,t,G33)</f>
        <v>746.87220553572797</v>
      </c>
      <c r="I33" s="14" cm="1">
        <f t="array" ref="I33">[1]!PVT_rho_gas_kgm3(p,t,PVT_json)</f>
        <v>45.818612464325518</v>
      </c>
      <c r="J33" s="15" cm="1">
        <f t="array" ref="J33">[1]!feed_ST_liqgas_Nm(p,t,G33)</f>
        <v>2.5266366698127592E-2</v>
      </c>
      <c r="K33" s="17" cm="1">
        <f t="array" ref="K33">[1]!feed_q_liq_rc_m3day(p,t,G33)</f>
        <v>29.686722336380875</v>
      </c>
      <c r="L33" s="17" cm="1">
        <f t="array" ref="L33">[1]!feed_q_gas_rc_m3day(p,t,G33)</f>
        <v>48.785686280675975</v>
      </c>
      <c r="M33" s="16" cm="1">
        <f t="array" ref="M33">[1]!feed_mu_liq_cP(p,t,G33)</f>
        <v>0.59336593270331894</v>
      </c>
      <c r="N33" s="16" cm="1">
        <f t="array" ref="N33">[1]!PVT_mu_gas_cP(p,t,G33)</f>
        <v>1.3310824327567267E-2</v>
      </c>
      <c r="O33" s="18" cm="1">
        <f t="array" ref="O33">[1]!unf_ksep_ESP_natural_mechanistic_Marquez(dintake_m,dcas_m,K33,L33,J33,H33,I33,M33,N33,1,+hint,calibr_li,calibr_st)</f>
        <v>0.85418175975325727</v>
      </c>
      <c r="P33" s="18" cm="1">
        <f t="array" ref="P33">[1]!unf_ksep_ESP_natural_mechanistic_pkv(dintake_m,dcas_m,K33,L33,J33,H33,I33,M33,N33,1,hint,calibr_li,calibr_st,pkv_ratio,$K$5)</f>
        <v>0.50717866424252722</v>
      </c>
      <c r="R33" s="6">
        <f t="array" ref="R33:AE33">[1]!unf_ksep_ESP_natural_mechanistic_pkv(dintake_m,dcas_m,K33,L33,J33,H33,I33,M33,N33,0,hint,calibr_li,calibr_st,pkv_ratio,$K$5)</f>
        <v>0.50717866424252722</v>
      </c>
      <c r="S33" s="6">
        <v>0.88627199944058321</v>
      </c>
      <c r="T33" s="6">
        <v>3</v>
      </c>
      <c r="U33" s="6">
        <v>1.2998557618043016E-3</v>
      </c>
      <c r="V33" s="6">
        <v>0.18732110855884132</v>
      </c>
      <c r="W33" s="6">
        <v>5.5936277512401718E-2</v>
      </c>
      <c r="X33" s="6">
        <v>9.1922902619822902E-2</v>
      </c>
      <c r="Y33" s="8">
        <v>3.3589955442897237E-2</v>
      </c>
      <c r="Z33" s="5">
        <v>0.3</v>
      </c>
      <c r="AA33" s="6">
        <v>-0.13051798086227068</v>
      </c>
      <c r="AB33" s="6">
        <v>0.21448677277958678</v>
      </c>
      <c r="AC33" s="6">
        <v>-7.9154864169030642E-2</v>
      </c>
      <c r="AD33" s="6">
        <v>0.13007917570635458</v>
      </c>
      <c r="AE33" s="6">
        <v>0.1003620071441093</v>
      </c>
    </row>
    <row r="34" spans="5:31" x14ac:dyDescent="0.25">
      <c r="F34" s="1">
        <v>33</v>
      </c>
      <c r="G34" s="13" t="str">
        <f>[1]!encode_feed(F34,$E$17,$E$18,$E$19,$E$15)</f>
        <v>{"gamma_gas":0.81,"gamma_oil":0.82,"gamma_wat":1.1,"rsb_m3m3":120,"muob_cP":0.3,"PVT_corr_set":0,"q_liq_sm3day":33,"fw_perc":0,"rp_m3m3":120}</v>
      </c>
      <c r="H34" s="14" cm="1">
        <f t="array" ref="H34">[1]!feed_rho_liq_kgm3(p,t,G34)</f>
        <v>746.87220553572797</v>
      </c>
      <c r="I34" s="14" cm="1">
        <f t="array" ref="I34">[1]!PVT_rho_gas_kgm3(p,t,PVT_json)</f>
        <v>45.818612464325518</v>
      </c>
      <c r="J34" s="15" cm="1">
        <f t="array" ref="J34">[1]!feed_ST_liqgas_Nm(p,t,G34)</f>
        <v>2.5266366698127592E-2</v>
      </c>
      <c r="K34" s="17" cm="1">
        <f t="array" ref="K34">[1]!feed_q_liq_rc_m3day(p,t,G34)</f>
        <v>37.67930142694496</v>
      </c>
      <c r="L34" s="17" cm="1">
        <f t="array" ref="L34">[1]!feed_q_gas_rc_m3day(p,t,G34)</f>
        <v>61.920294125473362</v>
      </c>
      <c r="M34" s="16" cm="1">
        <f t="array" ref="M34">[1]!feed_mu_liq_cP(p,t,G34)</f>
        <v>0.59336593270331894</v>
      </c>
      <c r="N34" s="16" cm="1">
        <f t="array" ref="N34">[1]!PVT_mu_gas_cP(p,t,G34)</f>
        <v>1.3310824327567267E-2</v>
      </c>
      <c r="O34" s="18" cm="1">
        <f t="array" ref="O34">[1]!unf_ksep_ESP_natural_mechanistic_Marquez(dintake_m,dcas_m,K34,L34,J34,H34,I34,M34,N34,1,+hint,calibr_li,calibr_st)</f>
        <v>0.81942691558566838</v>
      </c>
      <c r="P34" s="18" cm="1">
        <f t="array" ref="P34">[1]!unf_ksep_ESP_natural_mechanistic_pkv(dintake_m,dcas_m,K34,L34,J34,H34,I34,M34,N34,1,hint,calibr_li,calibr_st,pkv_ratio,$K$5)</f>
        <v>0</v>
      </c>
      <c r="R34" s="6">
        <f t="array" ref="R34:AE34">[1]!unf_ksep_ESP_natural_mechanistic_pkv(dintake_m,dcas_m,K34,L34,J34,H34,I34,M34,N34,0,hint,calibr_li,calibr_st,pkv_ratio,$K$5)</f>
        <v>0</v>
      </c>
      <c r="S34" s="6">
        <v>0.76923076923076927</v>
      </c>
      <c r="T34" s="6">
        <v>3</v>
      </c>
      <c r="U34" s="6">
        <v>1.3033240455319073E-3</v>
      </c>
      <c r="V34" s="6">
        <v>0.18732110855884132</v>
      </c>
      <c r="W34" s="6">
        <v>7.0996044534971409E-2</v>
      </c>
      <c r="X34" s="6">
        <v>0.11667137640208292</v>
      </c>
      <c r="Y34" s="8">
        <v>-1.2091337858897499E-2</v>
      </c>
      <c r="Z34" s="5">
        <v>0.3</v>
      </c>
      <c r="AA34" s="6">
        <v>-0.16565743724826662</v>
      </c>
      <c r="AB34" s="6">
        <v>-0.27223321160486014</v>
      </c>
      <c r="AC34" s="6">
        <v>-0.10046578913761582</v>
      </c>
      <c r="AD34" s="6">
        <v>-0.16510049224268081</v>
      </c>
      <c r="AE34" s="6">
        <v>7.2657804684948549E-2</v>
      </c>
    </row>
    <row r="35" spans="5:31" x14ac:dyDescent="0.25">
      <c r="F35" s="1">
        <v>40</v>
      </c>
      <c r="G35" s="13" t="str">
        <f>[1]!encode_feed(F35,$E$17,$E$18,$E$19,$E$15)</f>
        <v>{"gamma_gas":0.81,"gamma_oil":0.82,"gamma_wat":1.1,"rsb_m3m3":120,"muob_cP":0.3,"PVT_corr_set":0,"q_liq_sm3day":40,"fw_perc":0,"rp_m3m3":120}</v>
      </c>
      <c r="H35" s="14" cm="1">
        <f t="array" ref="H35">[1]!feed_rho_liq_kgm3(p,t,G35)</f>
        <v>746.87220553572797</v>
      </c>
      <c r="I35" s="14" cm="1">
        <f t="array" ref="I35">[1]!PVT_rho_gas_kgm3(p,t,PVT_json)</f>
        <v>45.818612464325518</v>
      </c>
      <c r="J35" s="15" cm="1">
        <f t="array" ref="J35">[1]!feed_ST_liqgas_Nm(p,t,G35)</f>
        <v>2.5266366698127592E-2</v>
      </c>
      <c r="K35" s="17" cm="1">
        <f t="array" ref="K35">[1]!feed_q_liq_rc_m3day(p,t,G35)</f>
        <v>45.671880517509038</v>
      </c>
      <c r="L35" s="17" cm="1">
        <f t="array" ref="L35">[1]!feed_q_gas_rc_m3day(p,t,G35)</f>
        <v>75.054901970270734</v>
      </c>
      <c r="M35" s="16" cm="1">
        <f t="array" ref="M35">[1]!feed_mu_liq_cP(p,t,G35)</f>
        <v>0.59336593270331894</v>
      </c>
      <c r="N35" s="16" cm="1">
        <f t="array" ref="N35">[1]!PVT_mu_gas_cP(p,t,G35)</f>
        <v>1.3310824327567267E-2</v>
      </c>
      <c r="O35" s="18" cm="1">
        <f t="array" ref="O35">[1]!unf_ksep_ESP_natural_mechanistic_Marquez(dintake_m,dcas_m,K35,L35,J35,H35,I35,M35,N35,1,+hint,calibr_li,calibr_st)</f>
        <v>0.78731688037733505</v>
      </c>
      <c r="P35" s="18" cm="1">
        <f t="array" ref="P35">[1]!unf_ksep_ESP_natural_mechanistic_pkv(dintake_m,dcas_m,K35,L35,J35,H35,I35,M35,N35,1,hint,calibr_li,calibr_st,pkv_ratio,$K$5)</f>
        <v>0</v>
      </c>
      <c r="R35" s="6">
        <f t="array" ref="R35:AE35">[1]!unf_ksep_ESP_natural_mechanistic_pkv(dintake_m,dcas_m,K35,L35,J35,H35,I35,M35,N35,0,hint,calibr_li,calibr_st,pkv_ratio,$K$5)</f>
        <v>0</v>
      </c>
      <c r="S35" s="6">
        <v>0.76923076923076927</v>
      </c>
      <c r="T35" s="6">
        <v>3</v>
      </c>
      <c r="U35" s="6">
        <v>1.3107985753018376E-3</v>
      </c>
      <c r="V35" s="6">
        <v>0.18732110855884132</v>
      </c>
      <c r="W35" s="6">
        <v>8.6055811557541093E-2</v>
      </c>
      <c r="X35" s="6">
        <v>0.14141985018434292</v>
      </c>
      <c r="Y35" s="8">
        <v>-5.7772631160692207E-2</v>
      </c>
      <c r="Z35" s="5">
        <v>0.3</v>
      </c>
      <c r="AA35" s="6">
        <v>-0.20079689363426256</v>
      </c>
      <c r="AB35" s="6">
        <v>-0.3299796504301335</v>
      </c>
      <c r="AC35" s="6">
        <v>-0.12177671410620099</v>
      </c>
      <c r="AD35" s="6">
        <v>-0.20012180877900704</v>
      </c>
      <c r="AE35" s="6">
        <v>4.4953602225787835E-2</v>
      </c>
    </row>
    <row r="36" spans="5:31" x14ac:dyDescent="0.25">
      <c r="F36" s="1">
        <v>47</v>
      </c>
      <c r="G36" s="13" t="str">
        <f>[1]!encode_feed(F36,$E$17,$E$18,$E$19,$E$15)</f>
        <v>{"gamma_gas":0.81,"gamma_oil":0.82,"gamma_wat":1.1,"rsb_m3m3":120,"muob_cP":0.3,"PVT_corr_set":0,"q_liq_sm3day":47,"fw_perc":0,"rp_m3m3":120}</v>
      </c>
      <c r="H36" s="14" cm="1">
        <f t="array" ref="H36">[1]!feed_rho_liq_kgm3(p,t,G36)</f>
        <v>746.87220553572797</v>
      </c>
      <c r="I36" s="14" cm="1">
        <f t="array" ref="I36">[1]!PVT_rho_gas_kgm3(p,t,PVT_json)</f>
        <v>45.818612464325518</v>
      </c>
      <c r="J36" s="15" cm="1">
        <f t="array" ref="J36">[1]!feed_ST_liqgas_Nm(p,t,G36)</f>
        <v>2.5266366698127592E-2</v>
      </c>
      <c r="K36" s="17" cm="1">
        <f t="array" ref="K36">[1]!feed_q_liq_rc_m3day(p,t,G36)</f>
        <v>53.664459608073116</v>
      </c>
      <c r="L36" s="17" cm="1">
        <f t="array" ref="L36">[1]!feed_q_gas_rc_m3day(p,t,G36)</f>
        <v>88.189509815068106</v>
      </c>
      <c r="M36" s="16" cm="1">
        <f t="array" ref="M36">[1]!feed_mu_liq_cP(p,t,G36)</f>
        <v>0.59336593270331894</v>
      </c>
      <c r="N36" s="16" cm="1">
        <f t="array" ref="N36">[1]!PVT_mu_gas_cP(p,t,G36)</f>
        <v>1.3310824327567267E-2</v>
      </c>
      <c r="O36" s="18" cm="1">
        <f t="array" ref="O36">[1]!unf_ksep_ESP_natural_mechanistic_Marquez(dintake_m,dcas_m,K36,L36,J36,H36,I36,M36,N36,1,+hint,calibr_li,calibr_st)</f>
        <v>0.75769140675335112</v>
      </c>
      <c r="P36" s="18" cm="1">
        <f t="array" ref="P36">[1]!unf_ksep_ESP_natural_mechanistic_pkv(dintake_m,dcas_m,K36,L36,J36,H36,I36,M36,N36,1,hint,calibr_li,calibr_st,pkv_ratio,$K$5)</f>
        <v>0</v>
      </c>
      <c r="R36" s="6">
        <f t="array" ref="R36:AE36">[1]!unf_ksep_ESP_natural_mechanistic_pkv(dintake_m,dcas_m,K36,L36,J36,H36,I36,M36,N36,0,hint,calibr_li,calibr_st,pkv_ratio,$K$5)</f>
        <v>0</v>
      </c>
      <c r="S36" s="6">
        <v>0.76923076923076927</v>
      </c>
      <c r="T36" s="6">
        <v>3</v>
      </c>
      <c r="U36" s="6">
        <v>1.3213189432190015E-3</v>
      </c>
      <c r="V36" s="6">
        <v>0.18732110855884132</v>
      </c>
      <c r="W36" s="6">
        <v>0.10111557858011079</v>
      </c>
      <c r="X36" s="6">
        <v>0.16616832396660292</v>
      </c>
      <c r="Y36" s="8">
        <v>-0.10345392446248697</v>
      </c>
      <c r="Z36" s="5">
        <v>0.3</v>
      </c>
      <c r="AA36" s="6">
        <v>-0.23593635002025853</v>
      </c>
      <c r="AB36" s="6">
        <v>-0.3877260892554068</v>
      </c>
      <c r="AC36" s="6">
        <v>-0.14308763907478617</v>
      </c>
      <c r="AD36" s="6">
        <v>-0.23514312531533327</v>
      </c>
      <c r="AE36" s="6">
        <v>1.7249399766627118E-2</v>
      </c>
    </row>
    <row r="37" spans="5:31" x14ac:dyDescent="0.25">
      <c r="F37" s="1">
        <v>54</v>
      </c>
      <c r="G37" s="13" t="str">
        <f>[1]!encode_feed(F37,$E$17,$E$18,$E$19,$E$15)</f>
        <v>{"gamma_gas":0.81,"gamma_oil":0.82,"gamma_wat":1.1,"rsb_m3m3":120,"muob_cP":0.3,"PVT_corr_set":0,"q_liq_sm3day":54,"fw_perc":0,"rp_m3m3":120}</v>
      </c>
      <c r="H37" s="14" cm="1">
        <f t="array" ref="H37">[1]!feed_rho_liq_kgm3(p,t,G37)</f>
        <v>746.87220553572797</v>
      </c>
      <c r="I37" s="14" cm="1">
        <f t="array" ref="I37">[1]!PVT_rho_gas_kgm3(p,t,PVT_json)</f>
        <v>45.818612464325518</v>
      </c>
      <c r="J37" s="15" cm="1">
        <f t="array" ref="J37">[1]!feed_ST_liqgas_Nm(p,t,G37)</f>
        <v>2.5266366698127592E-2</v>
      </c>
      <c r="K37" s="17" cm="1">
        <f t="array" ref="K37">[1]!feed_q_liq_rc_m3day(p,t,G37)</f>
        <v>61.657038698637201</v>
      </c>
      <c r="L37" s="17" cm="1">
        <f t="array" ref="L37">[1]!feed_q_gas_rc_m3day(p,t,G37)</f>
        <v>101.32411765986548</v>
      </c>
      <c r="M37" s="16" cm="1">
        <f t="array" ref="M37">[1]!feed_mu_liq_cP(p,t,G37)</f>
        <v>0.59336593270331894</v>
      </c>
      <c r="N37" s="16" cm="1">
        <f t="array" ref="N37">[1]!PVT_mu_gas_cP(p,t,G37)</f>
        <v>1.3310824327567267E-2</v>
      </c>
      <c r="O37" s="18" cm="1">
        <f t="array" ref="O37">[1]!unf_ksep_ESP_natural_mechanistic_Marquez(dintake_m,dcas_m,K37,L37,J37,H37,I37,M37,N37,1,+hint,calibr_li,calibr_st)</f>
        <v>0.73034882906347121</v>
      </c>
      <c r="P37" s="18" cm="1">
        <f t="array" ref="P37">[1]!unf_ksep_ESP_natural_mechanistic_pkv(dintake_m,dcas_m,K37,L37,J37,H37,I37,M37,N37,1,hint,calibr_li,calibr_st,pkv_ratio,$K$5)</f>
        <v>0</v>
      </c>
      <c r="R37" s="6">
        <f t="array" ref="R37:AE37">[1]!unf_ksep_ESP_natural_mechanistic_pkv(dintake_m,dcas_m,K37,L37,J37,H37,I37,M37,N37,0,hint,calibr_li,calibr_st,pkv_ratio,$K$5)</f>
        <v>0</v>
      </c>
      <c r="S37" s="6">
        <v>0.05</v>
      </c>
      <c r="T37" s="6">
        <v>3</v>
      </c>
      <c r="U37" s="6">
        <v>1.3341462812696927E-3</v>
      </c>
      <c r="V37" s="6">
        <v>0.18732110855884132</v>
      </c>
      <c r="W37" s="6">
        <v>0.11617534560268049</v>
      </c>
      <c r="X37" s="6">
        <v>0.19091679774886292</v>
      </c>
      <c r="Y37" s="8">
        <v>-0.14913521776428171</v>
      </c>
      <c r="Z37" s="5">
        <v>0.3</v>
      </c>
      <c r="AA37" s="6">
        <v>-0.2710758064062545</v>
      </c>
      <c r="AB37" s="6">
        <v>-0.44547252808068016</v>
      </c>
      <c r="AC37" s="6">
        <v>-0.16439856404337136</v>
      </c>
      <c r="AD37" s="6">
        <v>-0.27016444185165944</v>
      </c>
      <c r="AE37" s="6">
        <v>-1.0454802692533641E-2</v>
      </c>
    </row>
    <row r="38" spans="5:31" x14ac:dyDescent="0.25">
      <c r="F38" s="1">
        <v>61</v>
      </c>
      <c r="G38" s="13" t="str">
        <f>[1]!encode_feed(F38,$E$17,$E$18,$E$19,$E$15)</f>
        <v>{"gamma_gas":0.81,"gamma_oil":0.82,"gamma_wat":1.1,"rsb_m3m3":120,"muob_cP":0.3,"PVT_corr_set":0,"q_liq_sm3day":61,"fw_perc":0,"rp_m3m3":120}</v>
      </c>
      <c r="H38" s="14" cm="1">
        <f t="array" ref="H38">[1]!feed_rho_liq_kgm3(p,t,G38)</f>
        <v>746.87220553572797</v>
      </c>
      <c r="I38" s="14" cm="1">
        <f t="array" ref="I38">[1]!PVT_rho_gas_kgm3(p,t,PVT_json)</f>
        <v>45.818612464325518</v>
      </c>
      <c r="J38" s="15" cm="1">
        <f t="array" ref="J38">[1]!feed_ST_liqgas_Nm(p,t,G38)</f>
        <v>2.5266366698127592E-2</v>
      </c>
      <c r="K38" s="17" cm="1">
        <f t="array" ref="K38">[1]!feed_q_liq_rc_m3day(p,t,G38)</f>
        <v>69.649617789201287</v>
      </c>
      <c r="L38" s="17" cm="1">
        <f t="array" ref="L38">[1]!feed_q_gas_rc_m3day(p,t,G38)</f>
        <v>114.45872550466287</v>
      </c>
      <c r="M38" s="16" cm="1">
        <f t="array" ref="M38">[1]!feed_mu_liq_cP(p,t,G38)</f>
        <v>0.59336593270331894</v>
      </c>
      <c r="N38" s="16" cm="1">
        <f t="array" ref="N38">[1]!PVT_mu_gas_cP(p,t,G38)</f>
        <v>1.3310824327567267E-2</v>
      </c>
      <c r="O38" s="18" cm="1">
        <f t="array" ref="O38">[1]!unf_ksep_ESP_natural_mechanistic_Marquez(dintake_m,dcas_m,K38,L38,J38,H38,I38,M38,N38,1,+hint,calibr_li,calibr_st)</f>
        <v>0.70502604950288128</v>
      </c>
      <c r="P38" s="18" cm="1">
        <f t="array" ref="P38">[1]!unf_ksep_ESP_natural_mechanistic_pkv(dintake_m,dcas_m,K38,L38,J38,H38,I38,M38,N38,1,hint,calibr_li,calibr_st,pkv_ratio,$K$5)</f>
        <v>0</v>
      </c>
      <c r="R38" s="6">
        <f t="array" ref="R38:AE38">[1]!unf_ksep_ESP_natural_mechanistic_pkv(dintake_m,dcas_m,K38,L38,J38,H38,I38,M38,N38,0,hint,calibr_li,calibr_st,pkv_ratio,$K$5)</f>
        <v>0</v>
      </c>
      <c r="S38" s="6">
        <v>0.05</v>
      </c>
      <c r="T38" s="6">
        <v>3</v>
      </c>
      <c r="U38" s="6">
        <v>1.3487012643673274E-3</v>
      </c>
      <c r="V38" s="6">
        <v>0.18732110855884132</v>
      </c>
      <c r="W38" s="6">
        <v>0.13123511262525017</v>
      </c>
      <c r="X38" s="6">
        <v>0.21566527153112294</v>
      </c>
      <c r="Y38" s="8">
        <v>-0.19481651106607642</v>
      </c>
      <c r="Z38" s="5">
        <v>0.3</v>
      </c>
      <c r="AA38" s="6">
        <v>-0.30621526279225042</v>
      </c>
      <c r="AB38" s="6">
        <v>-0.50321896690595358</v>
      </c>
      <c r="AC38" s="6">
        <v>-0.18570948901195652</v>
      </c>
      <c r="AD38" s="6">
        <v>-0.30518575838798573</v>
      </c>
      <c r="AE38" s="6">
        <v>-3.8159005151694361E-2</v>
      </c>
    </row>
    <row r="39" spans="5:31" x14ac:dyDescent="0.25">
      <c r="F39" s="1">
        <v>68</v>
      </c>
      <c r="G39" s="13" t="str">
        <f>[1]!encode_feed(F39,$E$17,$E$18,$E$19,$E$15)</f>
        <v>{"gamma_gas":0.81,"gamma_oil":0.82,"gamma_wat":1.1,"rsb_m3m3":120,"muob_cP":0.3,"PVT_corr_set":0,"q_liq_sm3day":68,"fw_perc":0,"rp_m3m3":120}</v>
      </c>
      <c r="H39" s="14" cm="1">
        <f t="array" ref="H39">[1]!feed_rho_liq_kgm3(p,t,G39)</f>
        <v>746.87220553572797</v>
      </c>
      <c r="I39" s="14" cm="1">
        <f t="array" ref="I39">[1]!PVT_rho_gas_kgm3(p,t,PVT_json)</f>
        <v>45.818612464325518</v>
      </c>
      <c r="J39" s="15" cm="1">
        <f t="array" ref="J39">[1]!feed_ST_liqgas_Nm(p,t,G39)</f>
        <v>2.5266366698127592E-2</v>
      </c>
      <c r="K39" s="17" cm="1">
        <f t="array" ref="K39">[1]!feed_q_liq_rc_m3day(p,t,G39)</f>
        <v>77.642196879765365</v>
      </c>
      <c r="L39" s="17" cm="1">
        <f t="array" ref="L39">[1]!feed_q_gas_rc_m3day(p,t,G39)</f>
        <v>127.59333334946024</v>
      </c>
      <c r="M39" s="16" cm="1">
        <f t="array" ref="M39">[1]!feed_mu_liq_cP(p,t,G39)</f>
        <v>0.59336593270331894</v>
      </c>
      <c r="N39" s="16" cm="1">
        <f t="array" ref="N39">[1]!PVT_mu_gas_cP(p,t,G39)</f>
        <v>1.3310824327567267E-2</v>
      </c>
      <c r="O39" s="18" cm="1">
        <f t="array" ref="O39">[1]!unf_ksep_ESP_natural_mechanistic_Marquez(dintake_m,dcas_m,K39,L39,J39,H39,I39,M39,N39,1,+hint,calibr_li,calibr_st)</f>
        <v>0.681451984909205</v>
      </c>
      <c r="P39" s="18" cm="1">
        <f t="array" ref="P39">[1]!unf_ksep_ESP_natural_mechanistic_pkv(dintake_m,dcas_m,K39,L39,J39,H39,I39,M39,N39,1,hint,calibr_li,calibr_st,pkv_ratio,$K$5)</f>
        <v>0</v>
      </c>
      <c r="R39" s="6">
        <f t="array" ref="R39:AE39">[1]!unf_ksep_ESP_natural_mechanistic_pkv(dintake_m,dcas_m,K39,L39,J39,H39,I39,M39,N39,0,hint,calibr_li,calibr_st,pkv_ratio,$K$5)</f>
        <v>0</v>
      </c>
      <c r="S39" s="6">
        <v>0.05</v>
      </c>
      <c r="T39" s="6">
        <v>1</v>
      </c>
      <c r="U39" s="6">
        <v>1.3645229703894851E-3</v>
      </c>
      <c r="V39" s="6">
        <v>0.20326333056384913</v>
      </c>
      <c r="W39" s="6">
        <v>0.14629487964781987</v>
      </c>
      <c r="X39" s="6">
        <v>0.24041374531338294</v>
      </c>
      <c r="Y39" s="8">
        <v>-0.24049780436787119</v>
      </c>
      <c r="Z39" s="5">
        <v>0.3</v>
      </c>
      <c r="AA39" s="6">
        <v>-0.34135471917824639</v>
      </c>
      <c r="AB39" s="6">
        <v>-0.56096540573122688</v>
      </c>
      <c r="AC39" s="6">
        <v>-0.20702041398054169</v>
      </c>
      <c r="AD39" s="6">
        <v>-0.34020707492431196</v>
      </c>
      <c r="AE39" s="6">
        <v>-6.5863207610855082E-2</v>
      </c>
    </row>
    <row r="40" spans="5:31" x14ac:dyDescent="0.25">
      <c r="F40" s="1">
        <v>75</v>
      </c>
      <c r="G40" s="13" t="str">
        <f>[1]!encode_feed(F40,$E$17,$E$18,$E$19,$E$15)</f>
        <v>{"gamma_gas":0.81,"gamma_oil":0.82,"gamma_wat":1.1,"rsb_m3m3":120,"muob_cP":0.3,"PVT_corr_set":0,"q_liq_sm3day":75,"fw_perc":0,"rp_m3m3":120}</v>
      </c>
      <c r="H40" s="14" cm="1">
        <f t="array" ref="H40">[1]!feed_rho_liq_kgm3(p,t,G40)</f>
        <v>746.87220553572797</v>
      </c>
      <c r="I40" s="14" cm="1">
        <f t="array" ref="I40">[1]!PVT_rho_gas_kgm3(p,t,PVT_json)</f>
        <v>45.818612464325518</v>
      </c>
      <c r="J40" s="15" cm="1">
        <f t="array" ref="J40">[1]!feed_ST_liqgas_Nm(p,t,G40)</f>
        <v>2.5266366698127592E-2</v>
      </c>
      <c r="K40" s="17" cm="1">
        <f t="array" ref="K40">[1]!feed_q_liq_rc_m3day(p,t,G40)</f>
        <v>85.634775970329443</v>
      </c>
      <c r="L40" s="17" cm="1">
        <f t="array" ref="L40">[1]!feed_q_gas_rc_m3day(p,t,G40)</f>
        <v>140.72794119425762</v>
      </c>
      <c r="M40" s="16" cm="1">
        <f t="array" ref="M40">[1]!feed_mu_liq_cP(p,t,G40)</f>
        <v>0.59336593270331894</v>
      </c>
      <c r="N40" s="16" cm="1">
        <f t="array" ref="N40">[1]!PVT_mu_gas_cP(p,t,G40)</f>
        <v>1.3310824327567267E-2</v>
      </c>
      <c r="O40" s="18" cm="1">
        <f t="array" ref="O40">[1]!unf_ksep_ESP_natural_mechanistic_Marquez(dintake_m,dcas_m,K40,L40,J40,H40,I40,M40,N40,1,+hint,calibr_li,calibr_st)</f>
        <v>0.6594219955018934</v>
      </c>
      <c r="P40" s="18" cm="1">
        <f t="array" ref="P40">[1]!unf_ksep_ESP_natural_mechanistic_pkv(dintake_m,dcas_m,K40,L40,J40,H40,I40,M40,N40,1,hint,calibr_li,calibr_st,pkv_ratio,$K$5)</f>
        <v>0</v>
      </c>
      <c r="R40" s="6" cm="1">
        <f t="array" ref="R40:AE41">[1]!unf_ksep_ESP_natural_mechanistic_pkv(dintake_m,dcas_m,K40,L40,J40,H40,I40,M40,N40,0,hint,calibr_li,calibr_st,pkv_ratio,$K$5)</f>
        <v>0</v>
      </c>
      <c r="S40" s="6">
        <v>0.05</v>
      </c>
      <c r="T40" s="6">
        <v>1</v>
      </c>
      <c r="U40" s="6">
        <v>1.3812407649440664E-3</v>
      </c>
      <c r="V40" s="6">
        <v>0.20326333056384913</v>
      </c>
      <c r="W40" s="6">
        <v>0.16135464667038957</v>
      </c>
      <c r="X40" s="6">
        <v>0.26516221909564297</v>
      </c>
      <c r="Y40" s="8">
        <v>-0.28617909766966593</v>
      </c>
      <c r="Z40" s="5">
        <v>0.3</v>
      </c>
      <c r="AA40" s="6">
        <v>-0.37649417556424236</v>
      </c>
      <c r="AB40" s="6">
        <v>-0.6187118445565003</v>
      </c>
      <c r="AC40" s="6">
        <v>-0.22833133894912686</v>
      </c>
      <c r="AD40" s="6">
        <v>-0.37522839146063819</v>
      </c>
      <c r="AE40" s="6">
        <v>-9.3567410070015788E-2</v>
      </c>
    </row>
    <row r="41" spans="5:31" x14ac:dyDescent="0.25">
      <c r="R41" s="5" t="str">
        <v>ksep</v>
      </c>
      <c r="S41" s="5" t="str">
        <v>ksep_average</v>
      </c>
      <c r="T41" s="5" t="str">
        <v>flow regime</v>
      </c>
      <c r="U41" s="5" t="str">
        <v>li</v>
      </c>
      <c r="V41" s="5" t="str">
        <v>v_ooz</v>
      </c>
      <c r="W41" s="5" t="str">
        <v>vsl</v>
      </c>
      <c r="X41" s="5" t="str">
        <v>vsg</v>
      </c>
      <c r="Y41" s="28" t="str">
        <v>vg_downflow</v>
      </c>
      <c r="Z41" s="28" t="str">
        <v>pkv_ratio</v>
      </c>
      <c r="AA41" s="28" t="str">
        <v>vsl_ann_intake_msec</v>
      </c>
      <c r="AB41" s="28" t="str">
        <v>vsg_ann_intake_msec</v>
      </c>
      <c r="AC41" s="28" t="str">
        <v>vsl_ann_tub_msec</v>
      </c>
      <c r="AD41" s="28" t="str">
        <v>vsg_ann_tub_msec</v>
      </c>
      <c r="AE41" s="28" t="str">
        <v>vg_downflow_tub_msec</v>
      </c>
    </row>
    <row r="45" spans="5:31" x14ac:dyDescent="0.25">
      <c r="E45" t="s">
        <v>47</v>
      </c>
    </row>
    <row r="47" spans="5:31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31" x14ac:dyDescent="0.25">
      <c r="F48" s="13">
        <f>E16</f>
        <v>15</v>
      </c>
      <c r="G48" s="13" t="str">
        <f>[1]!encode_feed(F48,$E$17,$E$18,$E$19,$E$15)</f>
        <v>{"gamma_gas":0.81,"gamma_oil":0.82,"gamma_wat":1.1,"rsb_m3m3":120,"muob_cP":0.3,"PVT_corr_set":0,"q_liq_sm3day":15,"fw_perc":0,"rp_m3m3":120}</v>
      </c>
      <c r="H48" s="14" cm="1">
        <f t="array" ref="H48">[1]!feed_rho_liq_kgm3(p,t,G48)</f>
        <v>746.87220553572797</v>
      </c>
      <c r="I48" s="14" cm="1">
        <f t="array" ref="I48">[1]!PVT_rho_gas_kgm3(p,t,PVT_json)</f>
        <v>45.818612464325518</v>
      </c>
      <c r="J48" s="15" cm="1">
        <f t="array" ref="J48">[1]!feed_ST_liqgas_Nm(p,t,G48)</f>
        <v>2.5266366698127592E-2</v>
      </c>
      <c r="K48" s="17" cm="1">
        <f t="array" ref="K48">[1]!feed_q_liq_rc_m3day(p,t,G48)</f>
        <v>17.126955194065889</v>
      </c>
      <c r="L48" s="17" cm="1">
        <f t="array" ref="L48">[1]!feed_q_gas_rc_m3day(p,t,G48)</f>
        <v>28.145588238851523</v>
      </c>
      <c r="M48" s="16" cm="1">
        <f t="array" ref="M48">[1]!feed_mu_liq_cP(p,t,G48)</f>
        <v>0.59336593270331894</v>
      </c>
      <c r="N48" s="16" cm="1">
        <f t="array" ref="N48">[1]!PVT_mu_gas_cP(p,t,G48)</f>
        <v>1.3310824327567267E-2</v>
      </c>
      <c r="R48" s="19" cm="1">
        <f t="array" ref="R48:AE49">[1]!unf_ksep_ESP_natural_mechanistic_pkv(dintake_m,dcas_m,K48,L48,J48,H48,I48,M48,N48,0,hint,calibr_li,calibr_st,pkv_ratio)</f>
        <v>0.71993667887994128</v>
      </c>
      <c r="S48" s="13">
        <v>0.93537000281844795</v>
      </c>
      <c r="T48" s="13">
        <v>3</v>
      </c>
      <c r="U48" s="13">
        <v>1.3057307079445564E-3</v>
      </c>
      <c r="V48" s="13">
        <v>0.18732110855884132</v>
      </c>
      <c r="W48" s="13">
        <v>3.2270929334077915E-2</v>
      </c>
      <c r="X48" s="13">
        <v>5.303244381912859E-2</v>
      </c>
      <c r="Y48" s="13">
        <v>0.1053748449171461</v>
      </c>
      <c r="Z48" s="19">
        <v>0.3</v>
      </c>
      <c r="AA48" s="24">
        <v>-7.5298835112848475E-2</v>
      </c>
      <c r="AB48" s="24">
        <v>0.12374236891130005</v>
      </c>
      <c r="AC48">
        <v>-4.5666267789825368E-2</v>
      </c>
      <c r="AD48">
        <v>7.5045678292127632E-2</v>
      </c>
      <c r="AE48">
        <v>0.14389718243707614</v>
      </c>
    </row>
    <row r="49" spans="5:34" x14ac:dyDescent="0.25">
      <c r="R49" s="13" t="str">
        <v>ksep</v>
      </c>
      <c r="S49" s="13" t="str">
        <v>ksep_average</v>
      </c>
      <c r="T49" s="13" t="str">
        <v>flow regime</v>
      </c>
      <c r="U49" s="13" t="str">
        <v>li</v>
      </c>
      <c r="V49" s="13" t="str">
        <v>v_ooz</v>
      </c>
      <c r="W49" s="13" t="str">
        <v>vsl</v>
      </c>
      <c r="X49" s="13" t="str">
        <v>vsg</v>
      </c>
      <c r="Y49" s="13" t="str">
        <v>vg_downflow</v>
      </c>
      <c r="Z49" s="13" t="str">
        <v>pkv_ratio</v>
      </c>
      <c r="AA49" s="13" t="str">
        <v>vsl_ann_intake_msec</v>
      </c>
      <c r="AB49" s="13" t="str">
        <v>vsg_ann_intake_msec</v>
      </c>
      <c r="AC49" t="str">
        <v>vsl_ann_tub_msec</v>
      </c>
      <c r="AD49" t="str">
        <v>vsg_ann_tub_msec</v>
      </c>
      <c r="AE49" t="str">
        <v>vg_downflow_tub_msec</v>
      </c>
    </row>
    <row r="53" spans="5:34" x14ac:dyDescent="0.25">
      <c r="E53" s="5" t="str" cm="1">
        <f t="array" ref="E53">[1]!unf_ksep_mechanistic_pkv_build_bubble_tracks(dintake_m,dcas_m,K48,L48,J48,H48,I48,M48,N48,hint,calibr_li,calibr_st,pkv_ratio)</f>
        <v>{"n 1":{"curve_x":"x","curve_y":"y","x":[-0.02,-0.015803,-0.011606,-0.007409,-0.003213,0.000984,0.003333,0.005181,0.009378,0.013575,0.017772,0.021969,0.026165,0.030362,0.034559],"y":[0.052833,0.052833,0.052833,0.052833,0.052833,0.052833,0.052833,0.052732,0.0525,0.052262,0.05202,0.051773,0.05152,0.051262,0.051]},"n 2":{"curve_x":"x","curve_y":"y","x":[-0.02,-0.013083,-0.006166,0.00075,0.006667,0.007667,0.014584,0.021501,0.028418,0.035334,0.042251,0.049168,0.056085,0.063002,0.069919],"y":[0.054667,0.054667,0.054667,0.054667,0.054667,0.054614,0.054241,0.053857,0.053459,0.05305,0.05264,0.05223,0.05182,0.05141,0.051]},"n 3":{"curve_x":"x","curve_y":"y","x":[-0.02,-0.008333,0.003333,0.01,0.015,0.026667,0.038333,0.05,0.061667,0.073333,0.085,0.096667,0.097254,0.108333,0.12],"y":[0.0565,0.0565,0.0565,0.0565,0.056241,0.055614,0.054958,0.0543,0.053643,0.052987,0.052333,0.05168,0.051647,0.051647,0.051647]},"n 4":{"curve_x":"x","curve_y":"y","x":[-0.02,-0.008333,0.003333,0.013333,0.015,0.026667,0.038333,0.05,0.061667,0.073333,0.085,0.085065,0.096667,0.108333,0.12],"y":[0.058333,0.058333,0.058333,0.058333,0.05825,0.05765,0.057023,0.056395,0.05577,0.055146,0.054524,0.05452,0.05452,0.05452,0.05452]},"n 5":{"curve_x":"x","curve_y":"y","x":[-0.02,-0.008333,0.003333,0.015,0.016667,0.026667,0.038333,0.05,0.061667,0.073333,0.07338,0.085,0.096667,0.108333,0.12],"y":[0.060167,0.060167,0.060167,0.060167,0.060167,0.059672,0.059071,0.058471,0.057873,0.057277,0.057275,0.057275,0.057275,0.057275,0.057275]},"n 6":{"curve_x":"x","curve_y":"y","x":[-0.02,-0.008333,0.003333,0.015,0.02,0.026667,0.038333,0.05,0.061667,0.062096,0.073333,0.085,0.096667,0.108333,0.12],"y":[0.062,0.062,0.062,0.062,0.062,0.061681,0.061105,0.060529,0.059956,0.059935,0.059935,0.059935,0.059935,0.059935,0.059935]},"n 7":{"curve_x":"x","curve_y":"y","x":[-0.02,-0.008333,0.003333,0.015,0.023333,0.026667,0.038333,0.05,0.051139,0.061667,0.073333,0.085,0.096667,0.108333,0.12],"y":[0.063833,0.063833,0.063833,0.063833,0.063833,0.063679,0.063125,0.062571,0.062517,0.062517,0.062517,0.062517,0.062517,0.062517,0.062517]},"n 8":{"curve_x":"x","curve_y":"y","x":[-0.02,-0.008333,0.003333,0.015,0.026667,0.026667,0.038333,0.040454,0.05,0.061667,0.073333,0.085,0.096667,0.108333,0.12],"y":[0.065667,0.065667,0.065667,0.065667,0.065667,0.065667,0.065133,0.065036,0.065036,0.065036,0.065036,0.065036,0.065036,0.065036,0.065036]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t="s">
        <v>57</v>
      </c>
    </row>
    <row r="55" spans="5:34" x14ac:dyDescent="0.25">
      <c r="E55" s="20" t="str" cm="1">
        <f t="array" ref="E55:F62">[1]!decode_json(E53)</f>
        <v>n 1</v>
      </c>
      <c r="F55" s="20" t="str">
        <v>{"curve_x":"x","curve_y":"y","x":[-0.02,-0.015803,-0.011606,-0.007409,-0.003213,0.000984,0.003333,0.005181,0.009378,0.013575,0.017772,0.021969,0.026165,0.030362,0.034559],"y":[0.052833,0.052833,0.052833,0.052833,0.052833,0.052833,0.052833,0.052732,0.0525,0.052262,0.05202,0.051773,0.05152,0.051262,0.051]}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  <c r="AF55" s="20"/>
      <c r="AG55" s="20"/>
    </row>
    <row r="56" spans="5:34" x14ac:dyDescent="0.25">
      <c r="E56" s="20" t="str">
        <v>n 2</v>
      </c>
      <c r="F56" s="20" t="str">
        <v>{"curve_x":"x","curve_y":"y","x":[-0.02,-0.013083,-0.006166,0.00075,0.006667,0.007667,0.014584,0.021501,0.028418,0.035334,0.042251,0.049168,0.056085,0.063002,0.069919],"y":[0.054667,0.054667,0.054667,0.054667,0.054667,0.054614,0.054241,0.053857,0.053459,0.05305,0.05264,0.05223,0.05182,0.05141,0.051]}</v>
      </c>
      <c r="I56" s="21">
        <v>-0.02</v>
      </c>
      <c r="J56" s="21">
        <v>5.2832999999999998E-2</v>
      </c>
      <c r="L56" s="20">
        <v>-0.02</v>
      </c>
      <c r="M56" s="20">
        <v>5.4667E-2</v>
      </c>
      <c r="O56" s="20">
        <v>-0.02</v>
      </c>
      <c r="P56" s="20">
        <v>5.6500000000000002E-2</v>
      </c>
      <c r="R56" s="20">
        <v>-0.02</v>
      </c>
      <c r="S56" s="20">
        <v>5.8333000000000003E-2</v>
      </c>
      <c r="U56" s="20">
        <v>-0.02</v>
      </c>
      <c r="V56" s="20">
        <v>6.0166999999999998E-2</v>
      </c>
      <c r="X56" s="20">
        <v>-0.02</v>
      </c>
      <c r="Y56" s="20">
        <v>6.2E-2</v>
      </c>
      <c r="AA56" s="20">
        <v>-0.02</v>
      </c>
      <c r="AB56" s="20">
        <v>6.3833000000000001E-2</v>
      </c>
      <c r="AD56" s="20">
        <v>-0.02</v>
      </c>
      <c r="AE56" s="20">
        <v>6.5667000000000003E-2</v>
      </c>
      <c r="AF56" s="20"/>
      <c r="AG56" s="20"/>
    </row>
    <row r="57" spans="5:34" x14ac:dyDescent="0.25">
      <c r="E57" s="20" t="str">
        <v>n 3</v>
      </c>
      <c r="F57" s="20" t="str">
        <v>{"curve_x":"x","curve_y":"y","x":[-0.02,-0.008333,0.003333,0.01,0.015,0.026667,0.038333,0.05,0.061667,0.073333,0.085,0.096667,0.097254,0.108333,0.12],"y":[0.0565,0.0565,0.0565,0.0565,0.056241,0.055614,0.054958,0.0543,0.053643,0.052987,0.052333,0.05168,0.051647,0.051647,0.051647]}</v>
      </c>
      <c r="I57" s="21">
        <v>-1.5803000000000001E-2</v>
      </c>
      <c r="J57" s="21">
        <v>5.2832999999999998E-2</v>
      </c>
      <c r="L57" s="20">
        <v>-1.3082999999999999E-2</v>
      </c>
      <c r="M57" s="20">
        <v>5.4667E-2</v>
      </c>
      <c r="O57" s="20">
        <v>-8.3330000000000001E-3</v>
      </c>
      <c r="P57" s="20">
        <v>5.6500000000000002E-2</v>
      </c>
      <c r="R57" s="20">
        <v>-8.3330000000000001E-3</v>
      </c>
      <c r="S57" s="20">
        <v>5.8333000000000003E-2</v>
      </c>
      <c r="U57" s="20">
        <v>-8.3330000000000001E-3</v>
      </c>
      <c r="V57" s="20">
        <v>6.0166999999999998E-2</v>
      </c>
      <c r="X57" s="20">
        <v>-8.3330000000000001E-3</v>
      </c>
      <c r="Y57" s="20">
        <v>6.2E-2</v>
      </c>
      <c r="AA57" s="20">
        <v>-8.3330000000000001E-3</v>
      </c>
      <c r="AB57" s="20">
        <v>6.3833000000000001E-2</v>
      </c>
      <c r="AD57" s="20">
        <v>-8.3330000000000001E-3</v>
      </c>
      <c r="AE57" s="20">
        <v>6.5667000000000003E-2</v>
      </c>
      <c r="AF57" s="20"/>
      <c r="AG57" s="20"/>
    </row>
    <row r="58" spans="5:34" x14ac:dyDescent="0.25">
      <c r="E58" s="20" t="str">
        <v>n 4</v>
      </c>
      <c r="F58" s="20" t="str">
        <v>{"curve_x":"x","curve_y":"y","x":[-0.02,-0.008333,0.003333,0.013333,0.015,0.026667,0.038333,0.05,0.061667,0.073333,0.085,0.085065,0.096667,0.108333,0.12],"y":[0.058333,0.058333,0.058333,0.058333,0.05825,0.05765,0.057023,0.056395,0.05577,0.055146,0.054524,0.05452,0.05452,0.05452,0.05452]}</v>
      </c>
      <c r="I58" s="21">
        <v>-1.1606E-2</v>
      </c>
      <c r="J58" s="21">
        <v>5.2832999999999998E-2</v>
      </c>
      <c r="L58" s="20">
        <v>-6.1659999999999996E-3</v>
      </c>
      <c r="M58" s="20">
        <v>5.4667E-2</v>
      </c>
      <c r="O58" s="20">
        <v>3.333E-3</v>
      </c>
      <c r="P58" s="20">
        <v>5.6500000000000002E-2</v>
      </c>
      <c r="R58" s="20">
        <v>3.333E-3</v>
      </c>
      <c r="S58" s="20">
        <v>5.8333000000000003E-2</v>
      </c>
      <c r="U58" s="20">
        <v>3.333E-3</v>
      </c>
      <c r="V58" s="20">
        <v>6.0166999999999998E-2</v>
      </c>
      <c r="X58" s="20">
        <v>3.333E-3</v>
      </c>
      <c r="Y58" s="20">
        <v>6.2E-2</v>
      </c>
      <c r="AA58" s="20">
        <v>3.333E-3</v>
      </c>
      <c r="AB58" s="20">
        <v>6.3833000000000001E-2</v>
      </c>
      <c r="AD58" s="20">
        <v>3.333E-3</v>
      </c>
      <c r="AE58" s="20">
        <v>6.5667000000000003E-2</v>
      </c>
      <c r="AF58" s="20"/>
      <c r="AG58" s="20"/>
    </row>
    <row r="59" spans="5:34" x14ac:dyDescent="0.25">
      <c r="E59" s="20" t="str">
        <v>n 5</v>
      </c>
      <c r="F59" s="20" t="str">
        <v>{"curve_x":"x","curve_y":"y","x":[-0.02,-0.008333,0.003333,0.015,0.016667,0.026667,0.038333,0.05,0.061667,0.073333,0.07338,0.085,0.096667,0.108333,0.12],"y":[0.060167,0.060167,0.060167,0.060167,0.060167,0.059672,0.059071,0.058471,0.057873,0.057277,0.057275,0.057275,0.057275,0.057275,0.057275]}</v>
      </c>
      <c r="I59" s="21">
        <v>-7.4089999999999998E-3</v>
      </c>
      <c r="J59" s="21">
        <v>5.2832999999999998E-2</v>
      </c>
      <c r="L59" s="20">
        <v>7.5000000000000002E-4</v>
      </c>
      <c r="M59" s="20">
        <v>5.4667E-2</v>
      </c>
      <c r="O59" s="20">
        <v>0.01</v>
      </c>
      <c r="P59" s="20">
        <v>5.6500000000000002E-2</v>
      </c>
      <c r="R59" s="20">
        <v>1.3332999999999999E-2</v>
      </c>
      <c r="S59" s="20">
        <v>5.8333000000000003E-2</v>
      </c>
      <c r="U59" s="20">
        <v>1.4999999999999999E-2</v>
      </c>
      <c r="V59" s="20">
        <v>6.0166999999999998E-2</v>
      </c>
      <c r="X59" s="20">
        <v>1.4999999999999999E-2</v>
      </c>
      <c r="Y59" s="20">
        <v>6.2E-2</v>
      </c>
      <c r="AA59" s="20">
        <v>1.4999999999999999E-2</v>
      </c>
      <c r="AB59" s="20">
        <v>6.3833000000000001E-2</v>
      </c>
      <c r="AD59" s="20">
        <v>1.4999999999999999E-2</v>
      </c>
      <c r="AE59" s="20">
        <v>6.5667000000000003E-2</v>
      </c>
      <c r="AF59" s="20"/>
      <c r="AG59" s="20"/>
    </row>
    <row r="60" spans="5:34" x14ac:dyDescent="0.25">
      <c r="E60" s="20" t="str">
        <v>n 6</v>
      </c>
      <c r="F60" s="20" t="str">
        <v>{"curve_x":"x","curve_y":"y","x":[-0.02,-0.008333,0.003333,0.015,0.02,0.026667,0.038333,0.05,0.061667,0.062096,0.073333,0.085,0.096667,0.108333,0.12],"y":[0.062,0.062,0.062,0.062,0.062,0.061681,0.061105,0.060529,0.059956,0.059935,0.059935,0.059935,0.059935,0.059935,0.059935]}</v>
      </c>
      <c r="I60" s="21">
        <v>-3.2130000000000001E-3</v>
      </c>
      <c r="J60" s="21">
        <v>5.2832999999999998E-2</v>
      </c>
      <c r="L60" s="20">
        <v>6.6670000000000002E-3</v>
      </c>
      <c r="M60" s="20">
        <v>5.4667E-2</v>
      </c>
      <c r="O60" s="20">
        <v>1.4999999999999999E-2</v>
      </c>
      <c r="P60" s="20">
        <v>5.6240999999999999E-2</v>
      </c>
      <c r="R60" s="20">
        <v>1.4999999999999999E-2</v>
      </c>
      <c r="S60" s="20">
        <v>5.8250000000000003E-2</v>
      </c>
      <c r="U60" s="20">
        <v>1.6667000000000001E-2</v>
      </c>
      <c r="V60" s="20">
        <v>6.0166999999999998E-2</v>
      </c>
      <c r="X60" s="20">
        <v>0.02</v>
      </c>
      <c r="Y60" s="20">
        <v>6.2E-2</v>
      </c>
      <c r="AA60" s="20">
        <v>2.3333E-2</v>
      </c>
      <c r="AB60" s="20">
        <v>6.3833000000000001E-2</v>
      </c>
      <c r="AD60" s="20">
        <v>2.6667E-2</v>
      </c>
      <c r="AE60" s="20">
        <v>6.5667000000000003E-2</v>
      </c>
      <c r="AF60" s="20"/>
      <c r="AG60" s="20"/>
    </row>
    <row r="61" spans="5:34" x14ac:dyDescent="0.25">
      <c r="E61" s="20" t="str">
        <v>n 7</v>
      </c>
      <c r="F61" s="20" t="str">
        <v>{"curve_x":"x","curve_y":"y","x":[-0.02,-0.008333,0.003333,0.015,0.023333,0.026667,0.038333,0.05,0.051139,0.061667,0.073333,0.085,0.096667,0.108333,0.12],"y":[0.063833,0.063833,0.063833,0.063833,0.063833,0.063679,0.063125,0.062571,0.062517,0.062517,0.062517,0.062517,0.062517,0.062517,0.062517]}</v>
      </c>
      <c r="I61" s="21">
        <v>9.8400000000000007E-4</v>
      </c>
      <c r="J61" s="21">
        <v>5.2832999999999998E-2</v>
      </c>
      <c r="L61" s="20">
        <v>7.6670000000000002E-3</v>
      </c>
      <c r="M61" s="20">
        <v>5.4614000000000003E-2</v>
      </c>
      <c r="O61" s="20">
        <v>2.6667E-2</v>
      </c>
      <c r="P61" s="20">
        <v>5.5613999999999997E-2</v>
      </c>
      <c r="R61" s="20">
        <v>2.6667E-2</v>
      </c>
      <c r="S61" s="20">
        <v>5.765E-2</v>
      </c>
      <c r="U61" s="20">
        <v>2.6667E-2</v>
      </c>
      <c r="V61" s="20">
        <v>5.9672000000000003E-2</v>
      </c>
      <c r="X61" s="20">
        <v>2.6667E-2</v>
      </c>
      <c r="Y61" s="20">
        <v>6.1681E-2</v>
      </c>
      <c r="AA61" s="20">
        <v>2.6667E-2</v>
      </c>
      <c r="AB61" s="20">
        <v>6.3678999999999999E-2</v>
      </c>
      <c r="AD61" s="20">
        <v>2.6667E-2</v>
      </c>
      <c r="AE61" s="20">
        <v>6.5667000000000003E-2</v>
      </c>
      <c r="AF61" s="20"/>
      <c r="AG61" s="20"/>
    </row>
    <row r="62" spans="5:34" x14ac:dyDescent="0.25">
      <c r="E62" s="20" t="str">
        <v>n 8</v>
      </c>
      <c r="F62" s="20" t="str">
        <v>{"curve_x":"x","curve_y":"y","x":[-0.02,-0.008333,0.003333,0.015,0.026667,0.026667,0.038333,0.040454,0.05,0.061667,0.073333,0.085,0.096667,0.108333,0.12],"y":[0.065667,0.065667,0.065667,0.065667,0.065667,0.065667,0.065133,0.065036,0.065036,0.065036,0.065036,0.065036,0.065036,0.065036,0.065036]}</v>
      </c>
      <c r="I62" s="21">
        <v>3.333E-3</v>
      </c>
      <c r="J62" s="21">
        <v>5.2832999999999998E-2</v>
      </c>
      <c r="L62" s="20">
        <v>1.4584E-2</v>
      </c>
      <c r="M62" s="20">
        <v>5.4240999999999998E-2</v>
      </c>
      <c r="O62" s="20">
        <v>3.8332999999999999E-2</v>
      </c>
      <c r="P62" s="20">
        <v>5.4958E-2</v>
      </c>
      <c r="R62" s="20">
        <v>3.8332999999999999E-2</v>
      </c>
      <c r="S62" s="20">
        <v>5.7022999999999997E-2</v>
      </c>
      <c r="U62" s="20">
        <v>3.8332999999999999E-2</v>
      </c>
      <c r="V62" s="20">
        <v>5.9070999999999999E-2</v>
      </c>
      <c r="X62" s="20">
        <v>3.8332999999999999E-2</v>
      </c>
      <c r="Y62" s="20">
        <v>6.1105E-2</v>
      </c>
      <c r="AA62" s="20">
        <v>3.8332999999999999E-2</v>
      </c>
      <c r="AB62" s="20">
        <v>6.3125000000000001E-2</v>
      </c>
      <c r="AD62" s="20">
        <v>3.8332999999999999E-2</v>
      </c>
      <c r="AE62" s="20">
        <v>6.5132999999999996E-2</v>
      </c>
      <c r="AF62" s="20"/>
      <c r="AG62" s="20"/>
    </row>
    <row r="63" spans="5:34" x14ac:dyDescent="0.25">
      <c r="I63" s="21">
        <v>5.1809999999999998E-3</v>
      </c>
      <c r="J63" s="21">
        <v>5.2732000000000001E-2</v>
      </c>
      <c r="L63" s="20">
        <v>2.1500999999999999E-2</v>
      </c>
      <c r="M63" s="20">
        <v>5.3857000000000002E-2</v>
      </c>
      <c r="O63" s="20">
        <v>0.05</v>
      </c>
      <c r="P63" s="20">
        <v>5.4300000000000001E-2</v>
      </c>
      <c r="R63" s="20">
        <v>0.05</v>
      </c>
      <c r="S63" s="20">
        <v>5.6395000000000001E-2</v>
      </c>
      <c r="U63" s="20">
        <v>0.05</v>
      </c>
      <c r="V63" s="20">
        <v>5.8471000000000002E-2</v>
      </c>
      <c r="X63" s="20">
        <v>0.05</v>
      </c>
      <c r="Y63" s="20">
        <v>6.0528999999999999E-2</v>
      </c>
      <c r="AA63" s="20">
        <v>0.05</v>
      </c>
      <c r="AB63" s="20">
        <v>6.2571000000000002E-2</v>
      </c>
      <c r="AD63" s="20">
        <v>4.0453999999999997E-2</v>
      </c>
      <c r="AE63" s="20">
        <v>6.5035999999999997E-2</v>
      </c>
    </row>
    <row r="64" spans="5:34" x14ac:dyDescent="0.25">
      <c r="I64" s="21">
        <v>9.3779999999999992E-3</v>
      </c>
      <c r="J64" s="21">
        <v>5.2499999999999998E-2</v>
      </c>
      <c r="L64" s="20">
        <v>2.8417999999999999E-2</v>
      </c>
      <c r="M64" s="20">
        <v>5.3459E-2</v>
      </c>
      <c r="O64" s="20">
        <v>6.1667E-2</v>
      </c>
      <c r="P64" s="20">
        <v>5.3643000000000003E-2</v>
      </c>
      <c r="R64" s="20">
        <v>6.1667E-2</v>
      </c>
      <c r="S64" s="20">
        <v>5.577E-2</v>
      </c>
      <c r="U64" s="20">
        <v>6.1667E-2</v>
      </c>
      <c r="V64" s="20">
        <v>5.7873000000000001E-2</v>
      </c>
      <c r="X64" s="20">
        <v>6.1667E-2</v>
      </c>
      <c r="Y64" s="20">
        <v>5.9956000000000002E-2</v>
      </c>
      <c r="AA64" s="20">
        <v>5.1138999999999997E-2</v>
      </c>
      <c r="AB64" s="20">
        <v>6.2517000000000003E-2</v>
      </c>
      <c r="AD64" s="20">
        <v>0.05</v>
      </c>
      <c r="AE64" s="20">
        <v>6.5035999999999997E-2</v>
      </c>
    </row>
    <row r="65" spans="5:31" x14ac:dyDescent="0.25">
      <c r="I65" s="21">
        <v>1.3575E-2</v>
      </c>
      <c r="J65" s="21">
        <v>5.2262000000000003E-2</v>
      </c>
      <c r="L65" s="20">
        <v>3.5333999999999997E-2</v>
      </c>
      <c r="M65" s="20">
        <v>5.305E-2</v>
      </c>
      <c r="O65" s="20">
        <v>7.3332999999999995E-2</v>
      </c>
      <c r="P65" s="20">
        <v>5.2986999999999999E-2</v>
      </c>
      <c r="R65" s="20">
        <v>7.3332999999999995E-2</v>
      </c>
      <c r="S65" s="20">
        <v>5.5146000000000001E-2</v>
      </c>
      <c r="U65" s="20">
        <v>7.3332999999999995E-2</v>
      </c>
      <c r="V65" s="20">
        <v>5.7277000000000002E-2</v>
      </c>
      <c r="X65" s="20">
        <v>6.2095999999999998E-2</v>
      </c>
      <c r="Y65" s="20">
        <v>5.9935000000000002E-2</v>
      </c>
      <c r="AA65" s="20">
        <v>6.1667E-2</v>
      </c>
      <c r="AB65" s="20">
        <v>6.2517000000000003E-2</v>
      </c>
      <c r="AD65" s="20">
        <v>6.1667E-2</v>
      </c>
      <c r="AE65" s="20">
        <v>6.5035999999999997E-2</v>
      </c>
    </row>
    <row r="66" spans="5:31" x14ac:dyDescent="0.25">
      <c r="I66" s="21">
        <v>1.7772E-2</v>
      </c>
      <c r="J66" s="21">
        <v>5.2019999999999997E-2</v>
      </c>
      <c r="L66" s="20">
        <v>4.2250999999999997E-2</v>
      </c>
      <c r="M66" s="20">
        <v>5.2639999999999999E-2</v>
      </c>
      <c r="O66" s="20">
        <v>8.5000000000000006E-2</v>
      </c>
      <c r="P66" s="20">
        <v>5.2332999999999998E-2</v>
      </c>
      <c r="R66" s="20">
        <v>8.5000000000000006E-2</v>
      </c>
      <c r="S66" s="20">
        <v>5.4524000000000003E-2</v>
      </c>
      <c r="U66" s="20">
        <v>7.3380000000000001E-2</v>
      </c>
      <c r="V66" s="20">
        <v>5.7275E-2</v>
      </c>
      <c r="X66" s="20">
        <v>7.3332999999999995E-2</v>
      </c>
      <c r="Y66" s="20">
        <v>5.9935000000000002E-2</v>
      </c>
      <c r="AA66" s="20">
        <v>7.3332999999999995E-2</v>
      </c>
      <c r="AB66" s="20">
        <v>6.2517000000000003E-2</v>
      </c>
      <c r="AD66" s="20">
        <v>7.3332999999999995E-2</v>
      </c>
      <c r="AE66" s="20">
        <v>6.5035999999999997E-2</v>
      </c>
    </row>
    <row r="67" spans="5:31" x14ac:dyDescent="0.25">
      <c r="I67" s="21">
        <v>2.1968999999999999E-2</v>
      </c>
      <c r="J67" s="21">
        <v>5.1773E-2</v>
      </c>
      <c r="L67" s="20">
        <v>4.9168000000000003E-2</v>
      </c>
      <c r="M67" s="20">
        <v>5.2229999999999999E-2</v>
      </c>
      <c r="O67" s="20">
        <v>9.6667000000000003E-2</v>
      </c>
      <c r="P67" s="20">
        <v>5.1679999999999997E-2</v>
      </c>
      <c r="R67" s="20">
        <v>8.5065000000000002E-2</v>
      </c>
      <c r="S67" s="20">
        <v>5.4519999999999999E-2</v>
      </c>
      <c r="U67" s="20">
        <v>8.5000000000000006E-2</v>
      </c>
      <c r="V67" s="20">
        <v>5.7275E-2</v>
      </c>
      <c r="X67" s="20">
        <v>8.5000000000000006E-2</v>
      </c>
      <c r="Y67" s="20">
        <v>5.9935000000000002E-2</v>
      </c>
      <c r="AA67" s="20">
        <v>8.5000000000000006E-2</v>
      </c>
      <c r="AB67" s="20">
        <v>6.2517000000000003E-2</v>
      </c>
      <c r="AD67" s="20">
        <v>8.5000000000000006E-2</v>
      </c>
      <c r="AE67" s="20">
        <v>6.5035999999999997E-2</v>
      </c>
    </row>
    <row r="68" spans="5:31" x14ac:dyDescent="0.25">
      <c r="I68" s="21">
        <v>2.6165000000000001E-2</v>
      </c>
      <c r="J68" s="21">
        <v>5.1520000000000003E-2</v>
      </c>
      <c r="L68" s="20">
        <v>5.6085000000000003E-2</v>
      </c>
      <c r="M68" s="20">
        <v>5.1819999999999998E-2</v>
      </c>
      <c r="O68" s="20">
        <v>9.7253999999999993E-2</v>
      </c>
      <c r="P68" s="20">
        <v>5.1646999999999998E-2</v>
      </c>
      <c r="R68" s="20">
        <v>9.6667000000000003E-2</v>
      </c>
      <c r="S68" s="20">
        <v>5.4519999999999999E-2</v>
      </c>
      <c r="U68" s="20">
        <v>9.6667000000000003E-2</v>
      </c>
      <c r="V68" s="20">
        <v>5.7275E-2</v>
      </c>
      <c r="X68" s="20">
        <v>9.6667000000000003E-2</v>
      </c>
      <c r="Y68" s="20">
        <v>5.9935000000000002E-2</v>
      </c>
      <c r="AA68" s="20">
        <v>9.6667000000000003E-2</v>
      </c>
      <c r="AB68" s="20">
        <v>6.2517000000000003E-2</v>
      </c>
      <c r="AD68" s="20">
        <v>9.6667000000000003E-2</v>
      </c>
      <c r="AE68" s="20">
        <v>6.5035999999999997E-2</v>
      </c>
    </row>
    <row r="69" spans="5:31" x14ac:dyDescent="0.25">
      <c r="I69" s="21">
        <v>3.0362E-2</v>
      </c>
      <c r="J69" s="21">
        <v>5.1262000000000002E-2</v>
      </c>
      <c r="L69" s="20">
        <v>6.3002000000000002E-2</v>
      </c>
      <c r="M69" s="20">
        <v>5.1409999999999997E-2</v>
      </c>
      <c r="O69" s="20">
        <v>0.108333</v>
      </c>
      <c r="P69" s="20">
        <v>5.1646999999999998E-2</v>
      </c>
      <c r="R69" s="20">
        <v>0.108333</v>
      </c>
      <c r="S69" s="20">
        <v>5.4519999999999999E-2</v>
      </c>
      <c r="U69" s="20">
        <v>0.108333</v>
      </c>
      <c r="V69" s="20">
        <v>5.7275E-2</v>
      </c>
      <c r="X69" s="20">
        <v>0.108333</v>
      </c>
      <c r="Y69" s="20">
        <v>5.9935000000000002E-2</v>
      </c>
      <c r="AA69" s="20">
        <v>0.108333</v>
      </c>
      <c r="AB69" s="20">
        <v>6.2517000000000003E-2</v>
      </c>
      <c r="AD69" s="20">
        <v>0.108333</v>
      </c>
      <c r="AE69" s="20">
        <v>6.5035999999999997E-2</v>
      </c>
    </row>
    <row r="70" spans="5:31" x14ac:dyDescent="0.25">
      <c r="I70" s="21">
        <v>3.4558999999999999E-2</v>
      </c>
      <c r="J70" s="21">
        <v>5.0999999999999997E-2</v>
      </c>
      <c r="L70" s="20">
        <v>6.9918999999999995E-2</v>
      </c>
      <c r="M70" s="20">
        <v>5.0999999999999997E-2</v>
      </c>
      <c r="O70" s="20">
        <v>0.12</v>
      </c>
      <c r="P70" s="20">
        <v>5.1646999999999998E-2</v>
      </c>
      <c r="R70" s="20">
        <v>0.12</v>
      </c>
      <c r="S70" s="20">
        <v>5.4519999999999999E-2</v>
      </c>
      <c r="U70" s="20">
        <v>0.12</v>
      </c>
      <c r="V70" s="20">
        <v>5.7275E-2</v>
      </c>
      <c r="X70" s="20">
        <v>0.12</v>
      </c>
      <c r="Y70" s="20">
        <v>5.9935000000000002E-2</v>
      </c>
      <c r="AA70" s="20">
        <v>0.12</v>
      </c>
      <c r="AB70" s="20">
        <v>6.2517000000000003E-2</v>
      </c>
      <c r="AD70" s="20">
        <v>0.12</v>
      </c>
      <c r="AE70" s="20">
        <v>6.5035999999999997E-2</v>
      </c>
    </row>
    <row r="73" spans="5:31" x14ac:dyDescent="0.25">
      <c r="E73" t="s">
        <v>44</v>
      </c>
      <c r="F73" t="s">
        <v>43</v>
      </c>
      <c r="H73" t="s">
        <v>44</v>
      </c>
      <c r="I73" t="s">
        <v>43</v>
      </c>
      <c r="K73" t="s">
        <v>44</v>
      </c>
      <c r="N73" t="s">
        <v>44</v>
      </c>
      <c r="O73" t="s">
        <v>43</v>
      </c>
      <c r="Q73" t="s">
        <v>44</v>
      </c>
      <c r="R73" t="s">
        <v>43</v>
      </c>
    </row>
    <row r="74" spans="5:31" x14ac:dyDescent="0.25">
      <c r="E74">
        <f>dintake_m/2</f>
        <v>5.0999999999999997E-2</v>
      </c>
      <c r="F74">
        <v>0</v>
      </c>
      <c r="H74">
        <f>dintake_m/2</f>
        <v>5.0999999999999997E-2</v>
      </c>
      <c r="I74">
        <f>L74</f>
        <v>-0.09</v>
      </c>
      <c r="K74">
        <f>dcas_m/2</f>
        <v>6.7500000000000004E-2</v>
      </c>
      <c r="L74">
        <f>O75-L75</f>
        <v>-0.09</v>
      </c>
      <c r="N74">
        <f>E74</f>
        <v>5.0999999999999997E-2</v>
      </c>
      <c r="O74">
        <v>0</v>
      </c>
      <c r="Q74">
        <f>H74</f>
        <v>5.0999999999999997E-2</v>
      </c>
      <c r="R74">
        <f>hint</f>
        <v>0.1</v>
      </c>
    </row>
    <row r="75" spans="5:31" x14ac:dyDescent="0.25">
      <c r="E75">
        <f>E74</f>
        <v>5.0999999999999997E-2</v>
      </c>
      <c r="F75">
        <f>hint</f>
        <v>0.1</v>
      </c>
      <c r="H75">
        <f>H74</f>
        <v>5.0999999999999997E-2</v>
      </c>
      <c r="I75">
        <f>hint*1.2</f>
        <v>0.12</v>
      </c>
      <c r="K75">
        <f>K74</f>
        <v>6.7500000000000004E-2</v>
      </c>
      <c r="L75">
        <f>hint*1.2</f>
        <v>0.12</v>
      </c>
      <c r="N75">
        <f>K75</f>
        <v>6.7500000000000004E-2</v>
      </c>
      <c r="O75">
        <f>hint*pkv_ratio</f>
        <v>0.03</v>
      </c>
      <c r="Q75">
        <f>N75</f>
        <v>6.7500000000000004E-2</v>
      </c>
      <c r="R75">
        <f>hint*pkv_ratio</f>
        <v>0.03</v>
      </c>
    </row>
  </sheetData>
  <conditionalFormatting sqref="Y29:Y40 AE29:AE4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{009C2DB8-D6EA-47D6-8701-8C8849F3AA0A}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9C2DB8-D6EA-47D6-8701-8C8849F3AA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Y29:Y40 AE29:AE40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O33"/>
  <sheetViews>
    <sheetView workbookViewId="0">
      <selection activeCell="K16" sqref="K16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G15" t="s">
        <v>37</v>
      </c>
      <c r="H15">
        <v>0.6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G16" t="s">
        <v>42</v>
      </c>
      <c r="H16">
        <v>1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10:14" x14ac:dyDescent="0.25">
      <c r="J17">
        <v>0.2</v>
      </c>
      <c r="K17">
        <f t="shared" si="0"/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10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10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10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10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10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10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10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10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10:14" x14ac:dyDescent="0.25"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10:14" x14ac:dyDescent="0.25"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10:14" x14ac:dyDescent="0.25"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10:14" x14ac:dyDescent="0.25"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10:14" x14ac:dyDescent="0.25"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10:14" x14ac:dyDescent="0.25"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10:14" x14ac:dyDescent="0.25"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10:14" x14ac:dyDescent="0.25"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63</vt:i4>
      </vt:variant>
    </vt:vector>
  </HeadingPairs>
  <TitlesOfParts>
    <vt:vector size="67" baseType="lpstr"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dtub</vt:lpstr>
      <vt:lpstr>'прием ПКВ'!feed_json</vt:lpstr>
      <vt:lpstr>'реверсивный поток'!feed_json</vt:lpstr>
      <vt:lpstr>feed_json</vt:lpstr>
      <vt:lpstr>'прием ПКВ'!hint</vt:lpstr>
      <vt:lpstr>'реверсивный поток'!hint</vt:lpstr>
      <vt:lpstr>hint</vt:lpstr>
      <vt:lpstr>hperf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2023-04-25T05:54:26Z</dcterms:modified>
</cp:coreProperties>
</file>