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nifloc\unifloc_vba\db\"/>
    </mc:Choice>
  </mc:AlternateContent>
  <xr:revisionPtr revIDLastSave="0" documentId="13_ncr:1_{6D6350EC-D020-429A-ADDC-FEB3DCFA276F}" xr6:coauthVersionLast="45" xr6:coauthVersionMax="45" xr10:uidLastSave="{00000000-0000-0000-0000-000000000000}"/>
  <bookViews>
    <workbookView xWindow="2550" yWindow="810" windowWidth="22725" windowHeight="15465" activeTab="2" xr2:uid="{2994D50D-FBF3-478C-BAF1-5A6945798C74}"/>
  </bookViews>
  <sheets>
    <sheet name="db_ESP_curves" sheetId="1" r:id="rId1"/>
    <sheet name="db_ESP_params" sheetId="3" r:id="rId2"/>
    <sheet name="process" sheetId="2" r:id="rId3"/>
  </sheets>
  <functionGroups builtInGroupCount="19"/>
  <definedNames>
    <definedName name="_xlnm._FilterDatabase" localSheetId="0" hidden="1">db_ESP_curves!$A$5:$E$516</definedName>
    <definedName name="curve_filter_criteria">process!$A$4:$E$5</definedName>
    <definedName name="db_ESP_curve_topleft">db_ESP_curves!$A$5</definedName>
    <definedName name="db_ESP_params_topleft">db_ESP_params!$A$5</definedName>
    <definedName name="ID_">process!$A$5</definedName>
    <definedName name="num_col_">db_ESP_params!$F$1</definedName>
    <definedName name="one_curve_topleft">process!$A$9</definedName>
    <definedName name="report">process!$I$4</definedName>
    <definedName name="_xlnm.Extract" localSheetId="2">process!$A$9:$E$9</definedName>
    <definedName name="_xlnm.Criteria" localSheetId="2">process!$A$4:$E$5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7" i="3" l="1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6" i="3"/>
  <c r="W6" i="3"/>
  <c r="F1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25" i="3"/>
  <c r="I7" i="3" l="1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6" i="3"/>
</calcChain>
</file>

<file path=xl/sharedStrings.xml><?xml version="1.0" encoding="utf-8"?>
<sst xmlns="http://schemas.openxmlformats.org/spreadsheetml/2006/main" count="269" uniqueCount="153">
  <si>
    <t>ID</t>
  </si>
  <si>
    <t>Производитель</t>
  </si>
  <si>
    <t>Модель</t>
  </si>
  <si>
    <t>Ступеней_макс</t>
  </si>
  <si>
    <t>Номинал</t>
  </si>
  <si>
    <t>Частота</t>
  </si>
  <si>
    <t>Дебит</t>
  </si>
  <si>
    <t>Напор</t>
  </si>
  <si>
    <t>Мощность</t>
  </si>
  <si>
    <t>КПД</t>
  </si>
  <si>
    <t>Generic</t>
  </si>
  <si>
    <t>ЭЦН4-30</t>
  </si>
  <si>
    <t>ЭЦН5-125</t>
  </si>
  <si>
    <t>ЭЦН5-15</t>
  </si>
  <si>
    <t>ЭЦН5-25</t>
  </si>
  <si>
    <t>ЭЦН5-30</t>
  </si>
  <si>
    <t>ЭЦН5-44</t>
  </si>
  <si>
    <t>ЭЦН5-500</t>
  </si>
  <si>
    <t>ЭЦН5-59</t>
  </si>
  <si>
    <t>ЭЦН5-79</t>
  </si>
  <si>
    <t>ЭЦН5А-100</t>
  </si>
  <si>
    <t>ЭЦН5А-124</t>
  </si>
  <si>
    <t>ЭЦН5А-159</t>
  </si>
  <si>
    <t>ЭЦН5А-199</t>
  </si>
  <si>
    <t>ЭЦН5А-240</t>
  </si>
  <si>
    <t>ЭЦН5А-280</t>
  </si>
  <si>
    <t>ЭЦН5А-35</t>
  </si>
  <si>
    <t>ЭЦН5А-50</t>
  </si>
  <si>
    <t>ЭЦН5А-500</t>
  </si>
  <si>
    <t>ЭЦН5А-700</t>
  </si>
  <si>
    <t>ЭЦН6-1000</t>
  </si>
  <si>
    <t>ЭЦН6А-130</t>
  </si>
  <si>
    <t>ЭЦН6А-250</t>
  </si>
  <si>
    <t>ЭЦН7-2000</t>
  </si>
  <si>
    <t>ЭЦН8-1000</t>
  </si>
  <si>
    <t>ЭЦН8-2000</t>
  </si>
  <si>
    <t>ЭЦН8-2500</t>
  </si>
  <si>
    <t>ЭЦН6-1250</t>
  </si>
  <si>
    <t>ЭЦН3-90</t>
  </si>
  <si>
    <t>ЭЦН8-500</t>
  </si>
  <si>
    <t>ЭЦН4-200</t>
  </si>
  <si>
    <t>ЭЦН8-3000</t>
  </si>
  <si>
    <t>ЭЦН4-20</t>
  </si>
  <si>
    <t>ЭЦН5-20</t>
  </si>
  <si>
    <t>ЭЦН5-35</t>
  </si>
  <si>
    <t>ЭЦН5-50</t>
  </si>
  <si>
    <t>ЭЦН5-80</t>
  </si>
  <si>
    <t>ЭЦН5-100</t>
  </si>
  <si>
    <t>ЭЦН5А-25</t>
  </si>
  <si>
    <t>ЭЦН5А-34</t>
  </si>
  <si>
    <t>ЭЦН2А-30Э</t>
  </si>
  <si>
    <t>ЭЦН2А-50Э</t>
  </si>
  <si>
    <t>ЭЦН5А-100Э</t>
  </si>
  <si>
    <t>Габарит</t>
  </si>
  <si>
    <t>5A</t>
  </si>
  <si>
    <t>База данных ЭЦН - расходные характеристики насосов.</t>
  </si>
  <si>
    <t>Область для фильтра характеристик по номеру</t>
  </si>
  <si>
    <t xml:space="preserve">done 43 pumps. </t>
  </si>
  <si>
    <t>Добавьте нужные данные тут по примеру уже имеющихся</t>
  </si>
  <si>
    <t>База данных ЭЦН - параметры насосов</t>
  </si>
  <si>
    <t>Левая граница</t>
  </si>
  <si>
    <t>Правая граница</t>
  </si>
  <si>
    <t>Обороты номинальные</t>
  </si>
  <si>
    <t>Макс КПД</t>
  </si>
  <si>
    <t>Высота ступени мм</t>
  </si>
  <si>
    <t>Диаметр корпуса внеш мм</t>
  </si>
  <si>
    <t>Мин Диаметр обадной колонны мм</t>
  </si>
  <si>
    <t>Диаметр вала мм</t>
  </si>
  <si>
    <t>Площадь вала мм2</t>
  </si>
  <si>
    <t>Стандартный кВт</t>
  </si>
  <si>
    <t>Повышенной прочности кВт</t>
  </si>
  <si>
    <t>Высокопрочный кВт</t>
  </si>
  <si>
    <t>Предельное давление на корпус</t>
  </si>
  <si>
    <t>manufacturer</t>
  </si>
  <si>
    <t>name</t>
  </si>
  <si>
    <t>stages_max</t>
  </si>
  <si>
    <t>rate_nom_sm3day</t>
  </si>
  <si>
    <t>rate_opt_min_sm3day</t>
  </si>
  <si>
    <t>rate_opt_max_sm3day</t>
  </si>
  <si>
    <t>slip_nom_rpm</t>
  </si>
  <si>
    <t>freq_Hz</t>
  </si>
  <si>
    <t>eff_max</t>
  </si>
  <si>
    <t>d_shaft_mm</t>
  </si>
  <si>
    <t>area_shaft_mm2</t>
  </si>
  <si>
    <t>power_limit_shaft_kW</t>
  </si>
  <si>
    <t>pressure_limit_housing_atma</t>
  </si>
  <si>
    <t>power_limit_shaft_high_kW</t>
  </si>
  <si>
    <t>power_limit_shaft_max_kW</t>
  </si>
  <si>
    <t>Источник данных</t>
  </si>
  <si>
    <t>source</t>
  </si>
  <si>
    <t>legacy</t>
  </si>
  <si>
    <t>Макс дебит</t>
  </si>
  <si>
    <t>rate_max_sm3day</t>
  </si>
  <si>
    <t>height_stage_m</t>
  </si>
  <si>
    <t>d_od_mm</t>
  </si>
  <si>
    <t>d_cas_min_mm</t>
  </si>
  <si>
    <t>Series</t>
  </si>
  <si>
    <t>6А</t>
  </si>
  <si>
    <t>2А</t>
  </si>
  <si>
    <t>6Б</t>
  </si>
  <si>
    <t>Справка по габаритам ЭЦН</t>
  </si>
  <si>
    <t>Габариты ПЭД</t>
  </si>
  <si>
    <t>не надо добавлять значения в строку 5</t>
  </si>
  <si>
    <t>d_motor_od_mm</t>
  </si>
  <si>
    <t>Pump</t>
  </si>
  <si>
    <t>Motor</t>
  </si>
  <si>
    <t>Casing ID min</t>
  </si>
  <si>
    <t>Диаметр двигателя</t>
  </si>
  <si>
    <t xml:space="preserve">found pump ID = 736. read curve done. 27 params. 14 points in curve. </t>
  </si>
  <si>
    <t xml:space="preserve">found pump ID = 737. read curve done. 27 params. 14 points in curve. </t>
  </si>
  <si>
    <t xml:space="preserve">found pump ID = 738. read curve done. 27 params. 7 points in curve. </t>
  </si>
  <si>
    <t xml:space="preserve">found pump ID = 739. read curve done. 27 params. 13 points in curve. </t>
  </si>
  <si>
    <t xml:space="preserve">found pump ID = 740. read curve done. 27 params. 7 points in curve. </t>
  </si>
  <si>
    <t xml:space="preserve">found pump ID = 741. read curve done. 27 params. 7 points in curve. </t>
  </si>
  <si>
    <t xml:space="preserve">found pump ID = 742. read curve done. 27 params. 10 points in curve. </t>
  </si>
  <si>
    <t xml:space="preserve">found pump ID = 743. read curve done. 27 params. 15 points in curve. </t>
  </si>
  <si>
    <t xml:space="preserve">found pump ID = 744. read curve done. 27 params. 21 points in curve. </t>
  </si>
  <si>
    <t xml:space="preserve">found pump ID = 745. read curve done. 27 params. 11 points in curve. </t>
  </si>
  <si>
    <t xml:space="preserve">found pump ID = 746. read curve done. 27 params. 15 points in curve. </t>
  </si>
  <si>
    <t xml:space="preserve">found pump ID = 747. read curve done. 27 params. 15 points in curve. </t>
  </si>
  <si>
    <t xml:space="preserve">found pump ID = 748. read curve done. 27 params. 14 points in curve. </t>
  </si>
  <si>
    <t xml:space="preserve">found pump ID = 749. read curve done. 27 params. 12 points in curve. </t>
  </si>
  <si>
    <t xml:space="preserve">found pump ID = 750. read curve done. 27 params. 16 points in curve. </t>
  </si>
  <si>
    <t xml:space="preserve">found pump ID = 751. read curve done. 27 params. 11 points in curve. </t>
  </si>
  <si>
    <t xml:space="preserve">found pump ID = 752. read curve done. 27 params. 12 points in curve. </t>
  </si>
  <si>
    <t xml:space="preserve">found pump ID = 753. read curve done. 27 params. 17 points in curve. </t>
  </si>
  <si>
    <t xml:space="preserve">found pump ID = 754. read curve done. 27 params. 14 points in curve. </t>
  </si>
  <si>
    <t xml:space="preserve">found pump ID = 755. read curve done. 27 params. 17 points in curve. </t>
  </si>
  <si>
    <t xml:space="preserve">found pump ID = 756. read curve done. 27 params. 16 points in curve. </t>
  </si>
  <si>
    <t xml:space="preserve">found pump ID = 757. read curve done. 27 params. 11 points in curve. </t>
  </si>
  <si>
    <t xml:space="preserve">found pump ID = 758. read curve done. 27 params. 10 points in curve. </t>
  </si>
  <si>
    <t xml:space="preserve">found pump ID = 759. read curve done. 27 params. 8 points in curve. </t>
  </si>
  <si>
    <t xml:space="preserve">found pump ID = 760. read curve done. 27 params. 17 points in curve. </t>
  </si>
  <si>
    <t xml:space="preserve">found pump ID = 761. read curve done. 27 params. 13 points in curve. </t>
  </si>
  <si>
    <t xml:space="preserve">found pump ID = 767. read curve done. 27 params. 20 points in curve. </t>
  </si>
  <si>
    <t xml:space="preserve">found pump ID = 799. read curve done. 27 params. 30 points in curve. </t>
  </si>
  <si>
    <t xml:space="preserve">found pump ID = 871. read curve done. 27 params. 9 points in curve. </t>
  </si>
  <si>
    <t xml:space="preserve">found pump ID = 877. read curve done. 27 params. 20 points in curve. </t>
  </si>
  <si>
    <t xml:space="preserve">found pump ID = 878. read curve done. 27 params. 8 points in curve. </t>
  </si>
  <si>
    <t xml:space="preserve">found pump ID = 879. read curve done. 27 params. 6 points in curve. </t>
  </si>
  <si>
    <t xml:space="preserve">found pump ID = 1002. read curve done. 27 params. 7 points in curve. </t>
  </si>
  <si>
    <t xml:space="preserve">found pump ID = 1003. read curve done. 27 params. 7 points in curve. </t>
  </si>
  <si>
    <t xml:space="preserve">found pump ID = 1004. read curve done. 27 params. 7 points in curve. </t>
  </si>
  <si>
    <t xml:space="preserve">found pump ID = 1005. read curve done. 27 params. 8 points in curve. </t>
  </si>
  <si>
    <t xml:space="preserve">found pump ID = 1006. read curve done. 27 params. 7 points in curve. </t>
  </si>
  <si>
    <t xml:space="preserve">found pump ID = 1007. read curve done. 27 params. 7 points in curve. </t>
  </si>
  <si>
    <t xml:space="preserve">found pump ID = 1008. read curve done. 27 params. 7 points in curve. </t>
  </si>
  <si>
    <t xml:space="preserve">found pump ID = 1009. read curve done. 27 params. 9 points in curve. </t>
  </si>
  <si>
    <t xml:space="preserve">found pump ID = 1012. read curve done. 27 params. 7 points in curve. </t>
  </si>
  <si>
    <t xml:space="preserve">found pump ID = 1016. read curve done. 27 params. 8 points in curve. </t>
  </si>
  <si>
    <t xml:space="preserve">found pump ID = 1025. read curve done. 27 params. 7 points in curve. </t>
  </si>
  <si>
    <t>save pump db to json start 02.06.2020 17:40:17</t>
  </si>
  <si>
    <t>file save done D:\unifloc\unifloc_vba\db\ESP_json_generated.db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</si>
</sst>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2" borderId="0" xfId="0" applyFill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0" fillId="2" borderId="7" xfId="0" applyFill="1" applyBorder="1"/>
    <xf numFmtId="0" fontId="0" fillId="2" borderId="0" xfId="0" applyFill="1" applyBorder="1"/>
    <xf numFmtId="0" fontId="0" fillId="2" borderId="8" xfId="0" applyFill="1" applyBorder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4" borderId="0" xfId="0" applyFill="1"/>
    <xf numFmtId="0" fontId="0" fillId="0" borderId="0" xfId="0" applyAlignment="1">
      <alignment wrapText="1"/>
    </xf>
    <xf numFmtId="0" fontId="0" fillId="0" borderId="9" xfId="0" applyBorder="1" applyAlignment="1">
      <alignment wrapText="1"/>
    </xf>
    <xf numFmtId="0" fontId="0" fillId="0" borderId="10" xfId="0" applyBorder="1" applyAlignment="1">
      <alignment wrapText="1"/>
    </xf>
    <xf numFmtId="0" fontId="0" fillId="0" borderId="11" xfId="0" applyBorder="1" applyAlignment="1">
      <alignment wrapText="1"/>
    </xf>
    <xf numFmtId="0" fontId="0" fillId="5" borderId="7" xfId="0" applyFill="1" applyBorder="1"/>
    <xf numFmtId="0" fontId="0" fillId="5" borderId="0" xfId="0" applyFill="1" applyBorder="1"/>
    <xf numFmtId="1" fontId="0" fillId="5" borderId="0" xfId="0" applyNumberFormat="1" applyFill="1" applyBorder="1"/>
    <xf numFmtId="0" fontId="0" fillId="5" borderId="0" xfId="0" applyFill="1" applyBorder="1" applyAlignment="1">
      <alignment horizontal="center"/>
    </xf>
    <xf numFmtId="0" fontId="0" fillId="5" borderId="8" xfId="0" applyFill="1" applyBorder="1"/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0" fillId="5" borderId="0" xfId="0" applyFill="1"/>
    <xf numFmtId="0" fontId="0" fillId="6" borderId="0" xfId="0" applyFill="1" applyBorder="1"/>
    <xf numFmtId="0" fontId="0" fillId="6" borderId="5" xfId="0" applyFill="1" applyBorder="1"/>
    <xf numFmtId="0" fontId="0" fillId="5" borderId="1" xfId="0" applyFill="1" applyBorder="1"/>
    <xf numFmtId="0" fontId="0" fillId="5" borderId="2" xfId="0" applyFill="1" applyBorder="1"/>
    <xf numFmtId="1" fontId="0" fillId="5" borderId="2" xfId="0" applyNumberFormat="1" applyFill="1" applyBorder="1"/>
    <xf numFmtId="0" fontId="0" fillId="5" borderId="2" xfId="0" applyFill="1" applyBorder="1" applyAlignment="1">
      <alignment horizontal="center"/>
    </xf>
    <xf numFmtId="0" fontId="0" fillId="5" borderId="3" xfId="0" applyFill="1" applyBorder="1"/>
    <xf numFmtId="1" fontId="0" fillId="5" borderId="5" xfId="0" applyNumberFormat="1" applyFill="1" applyBorder="1"/>
    <xf numFmtId="0" fontId="0" fillId="7" borderId="9" xfId="0" applyFill="1" applyBorder="1" applyAlignment="1">
      <alignment wrapText="1"/>
    </xf>
    <xf numFmtId="0" fontId="0" fillId="7" borderId="10" xfId="0" applyFill="1" applyBorder="1" applyAlignment="1">
      <alignment wrapText="1"/>
    </xf>
    <xf numFmtId="0" fontId="0" fillId="7" borderId="11" xfId="0" applyFill="1" applyBorder="1" applyAlignment="1">
      <alignment wrapText="1"/>
    </xf>
    <xf numFmtId="0" fontId="0" fillId="7" borderId="0" xfId="0" applyFill="1" applyAlignment="1">
      <alignment wrapText="1"/>
    </xf>
    <xf numFmtId="0" fontId="0" fillId="0" borderId="7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0" borderId="12" xfId="0" applyFill="1" applyBorder="1" applyAlignment="1">
      <alignment wrapText="1"/>
    </xf>
    <xf numFmtId="0" fontId="0" fillId="7" borderId="12" xfId="0" applyFill="1" applyBorder="1" applyAlignment="1">
      <alignment wrapText="1"/>
    </xf>
    <xf numFmtId="2" fontId="0" fillId="5" borderId="2" xfId="0" applyNumberFormat="1" applyFill="1" applyBorder="1"/>
    <xf numFmtId="2" fontId="0" fillId="5" borderId="0" xfId="0" applyNumberFormat="1" applyFill="1" applyBorder="1"/>
    <xf numFmtId="2" fontId="0" fillId="5" borderId="5" xfId="0" applyNumberFormat="1" applyFill="1" applyBorder="1"/>
    <xf numFmtId="0" fontId="0" fillId="0" borderId="1" xfId="0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2" xfId="0" applyBorder="1" applyAlignment="1">
      <alignment horizont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db_ESP_params!$L$5</c:f>
              <c:strCache>
                <c:ptCount val="1"/>
                <c:pt idx="0">
                  <c:v>eff_max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6"/>
            <c:spPr>
              <a:solidFill>
                <a:schemeClr val="accent1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db_ESP_params!$F$6:$F$48</c:f>
              <c:numCache>
                <c:formatCode>General</c:formatCode>
                <c:ptCount val="43"/>
                <c:pt idx="0">
                  <c:v>30</c:v>
                </c:pt>
                <c:pt idx="1">
                  <c:v>125</c:v>
                </c:pt>
                <c:pt idx="2">
                  <c:v>15</c:v>
                </c:pt>
                <c:pt idx="3">
                  <c:v>25</c:v>
                </c:pt>
                <c:pt idx="4">
                  <c:v>30</c:v>
                </c:pt>
                <c:pt idx="5">
                  <c:v>44</c:v>
                </c:pt>
                <c:pt idx="6">
                  <c:v>500</c:v>
                </c:pt>
                <c:pt idx="7">
                  <c:v>59</c:v>
                </c:pt>
                <c:pt idx="8">
                  <c:v>79</c:v>
                </c:pt>
                <c:pt idx="9">
                  <c:v>100</c:v>
                </c:pt>
                <c:pt idx="10">
                  <c:v>124</c:v>
                </c:pt>
                <c:pt idx="11">
                  <c:v>159</c:v>
                </c:pt>
                <c:pt idx="12">
                  <c:v>199</c:v>
                </c:pt>
                <c:pt idx="13">
                  <c:v>240</c:v>
                </c:pt>
                <c:pt idx="14">
                  <c:v>280</c:v>
                </c:pt>
                <c:pt idx="15">
                  <c:v>35</c:v>
                </c:pt>
                <c:pt idx="16">
                  <c:v>50</c:v>
                </c:pt>
                <c:pt idx="17">
                  <c:v>500</c:v>
                </c:pt>
                <c:pt idx="18">
                  <c:v>700</c:v>
                </c:pt>
                <c:pt idx="19">
                  <c:v>1000</c:v>
                </c:pt>
                <c:pt idx="20">
                  <c:v>130</c:v>
                </c:pt>
                <c:pt idx="21">
                  <c:v>250</c:v>
                </c:pt>
                <c:pt idx="22">
                  <c:v>2000</c:v>
                </c:pt>
                <c:pt idx="23">
                  <c:v>1000</c:v>
                </c:pt>
                <c:pt idx="24">
                  <c:v>2000</c:v>
                </c:pt>
                <c:pt idx="25">
                  <c:v>2500</c:v>
                </c:pt>
                <c:pt idx="26">
                  <c:v>1250</c:v>
                </c:pt>
                <c:pt idx="27">
                  <c:v>150</c:v>
                </c:pt>
                <c:pt idx="28">
                  <c:v>90</c:v>
                </c:pt>
                <c:pt idx="29">
                  <c:v>500</c:v>
                </c:pt>
                <c:pt idx="30">
                  <c:v>200</c:v>
                </c:pt>
                <c:pt idx="31">
                  <c:v>3000</c:v>
                </c:pt>
                <c:pt idx="32">
                  <c:v>20</c:v>
                </c:pt>
                <c:pt idx="33">
                  <c:v>20</c:v>
                </c:pt>
                <c:pt idx="34">
                  <c:v>35</c:v>
                </c:pt>
                <c:pt idx="35">
                  <c:v>50</c:v>
                </c:pt>
                <c:pt idx="36">
                  <c:v>80</c:v>
                </c:pt>
                <c:pt idx="37">
                  <c:v>100</c:v>
                </c:pt>
                <c:pt idx="38">
                  <c:v>25</c:v>
                </c:pt>
                <c:pt idx="39">
                  <c:v>34</c:v>
                </c:pt>
                <c:pt idx="40">
                  <c:v>30</c:v>
                </c:pt>
                <c:pt idx="41">
                  <c:v>50</c:v>
                </c:pt>
                <c:pt idx="42">
                  <c:v>100</c:v>
                </c:pt>
              </c:numCache>
            </c:numRef>
          </c:xVal>
          <c:yVal>
            <c:numRef>
              <c:f>db_ESP_params!$L$6:$L$48</c:f>
              <c:numCache>
                <c:formatCode>0.00</c:formatCode>
                <c:ptCount val="43"/>
                <c:pt idx="0">
                  <c:v>0.4</c:v>
                </c:pt>
                <c:pt idx="1">
                  <c:v>0.55000000000000004</c:v>
                </c:pt>
                <c:pt idx="2">
                  <c:v>0.3</c:v>
                </c:pt>
                <c:pt idx="3">
                  <c:v>0.35</c:v>
                </c:pt>
                <c:pt idx="4">
                  <c:v>0.41</c:v>
                </c:pt>
                <c:pt idx="5">
                  <c:v>0.47</c:v>
                </c:pt>
                <c:pt idx="6">
                  <c:v>0.63</c:v>
                </c:pt>
                <c:pt idx="7">
                  <c:v>0.52</c:v>
                </c:pt>
                <c:pt idx="8">
                  <c:v>0.56000000000000005</c:v>
                </c:pt>
                <c:pt idx="9">
                  <c:v>0.6</c:v>
                </c:pt>
                <c:pt idx="10">
                  <c:v>0.61</c:v>
                </c:pt>
                <c:pt idx="11">
                  <c:v>0.56179999999999997</c:v>
                </c:pt>
                <c:pt idx="12">
                  <c:v>0.53</c:v>
                </c:pt>
                <c:pt idx="13">
                  <c:v>0.48</c:v>
                </c:pt>
                <c:pt idx="14">
                  <c:v>0.44</c:v>
                </c:pt>
                <c:pt idx="15">
                  <c:v>0.39</c:v>
                </c:pt>
                <c:pt idx="16">
                  <c:v>0.5</c:v>
                </c:pt>
                <c:pt idx="17">
                  <c:v>0.56999999999999995</c:v>
                </c:pt>
                <c:pt idx="18">
                  <c:v>0.62</c:v>
                </c:pt>
                <c:pt idx="19">
                  <c:v>0.65</c:v>
                </c:pt>
                <c:pt idx="20">
                  <c:v>0.53</c:v>
                </c:pt>
                <c:pt idx="21">
                  <c:v>0.6</c:v>
                </c:pt>
                <c:pt idx="22">
                  <c:v>0.7</c:v>
                </c:pt>
                <c:pt idx="23">
                  <c:v>0.66</c:v>
                </c:pt>
                <c:pt idx="24">
                  <c:v>0.65</c:v>
                </c:pt>
                <c:pt idx="25">
                  <c:v>0.67</c:v>
                </c:pt>
                <c:pt idx="26">
                  <c:v>0.64</c:v>
                </c:pt>
                <c:pt idx="27">
                  <c:v>0.377</c:v>
                </c:pt>
                <c:pt idx="28">
                  <c:v>0.53</c:v>
                </c:pt>
                <c:pt idx="29">
                  <c:v>0.59</c:v>
                </c:pt>
                <c:pt idx="30">
                  <c:v>0.54</c:v>
                </c:pt>
                <c:pt idx="31">
                  <c:v>0.68</c:v>
                </c:pt>
                <c:pt idx="32">
                  <c:v>0.35</c:v>
                </c:pt>
                <c:pt idx="33">
                  <c:v>0.33</c:v>
                </c:pt>
                <c:pt idx="34">
                  <c:v>0.43</c:v>
                </c:pt>
                <c:pt idx="35">
                  <c:v>0.48</c:v>
                </c:pt>
                <c:pt idx="36">
                  <c:v>0.55000000000000004</c:v>
                </c:pt>
                <c:pt idx="37">
                  <c:v>0.57999999999999996</c:v>
                </c:pt>
                <c:pt idx="38">
                  <c:v>0.33</c:v>
                </c:pt>
                <c:pt idx="39">
                  <c:v>0.39</c:v>
                </c:pt>
                <c:pt idx="40">
                  <c:v>0.48</c:v>
                </c:pt>
                <c:pt idx="41">
                  <c:v>0.61</c:v>
                </c:pt>
                <c:pt idx="42">
                  <c:v>0.65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D0-4768-A6A2-9B84B0904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2551552"/>
        <c:axId val="1729228368"/>
      </c:scatterChart>
      <c:valAx>
        <c:axId val="2002551552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Qnom sm3/day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29228368"/>
        <c:crosses val="autoZero"/>
        <c:crossBetween val="midCat"/>
      </c:valAx>
      <c:valAx>
        <c:axId val="172922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eff max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02551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db_ESP_params!$E$5</c:f>
              <c:strCache>
                <c:ptCount val="1"/>
                <c:pt idx="0">
                  <c:v>stages_max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db_ESP_params!$F$6:$F$48</c:f>
              <c:numCache>
                <c:formatCode>General</c:formatCode>
                <c:ptCount val="43"/>
                <c:pt idx="0">
                  <c:v>30</c:v>
                </c:pt>
                <c:pt idx="1">
                  <c:v>125</c:v>
                </c:pt>
                <c:pt idx="2">
                  <c:v>15</c:v>
                </c:pt>
                <c:pt idx="3">
                  <c:v>25</c:v>
                </c:pt>
                <c:pt idx="4">
                  <c:v>30</c:v>
                </c:pt>
                <c:pt idx="5">
                  <c:v>44</c:v>
                </c:pt>
                <c:pt idx="6">
                  <c:v>500</c:v>
                </c:pt>
                <c:pt idx="7">
                  <c:v>59</c:v>
                </c:pt>
                <c:pt idx="8">
                  <c:v>79</c:v>
                </c:pt>
                <c:pt idx="9">
                  <c:v>100</c:v>
                </c:pt>
                <c:pt idx="10">
                  <c:v>124</c:v>
                </c:pt>
                <c:pt idx="11">
                  <c:v>159</c:v>
                </c:pt>
                <c:pt idx="12">
                  <c:v>199</c:v>
                </c:pt>
                <c:pt idx="13">
                  <c:v>240</c:v>
                </c:pt>
                <c:pt idx="14">
                  <c:v>280</c:v>
                </c:pt>
                <c:pt idx="15">
                  <c:v>35</c:v>
                </c:pt>
                <c:pt idx="16">
                  <c:v>50</c:v>
                </c:pt>
                <c:pt idx="17">
                  <c:v>500</c:v>
                </c:pt>
                <c:pt idx="18">
                  <c:v>700</c:v>
                </c:pt>
                <c:pt idx="19">
                  <c:v>1000</c:v>
                </c:pt>
                <c:pt idx="20">
                  <c:v>130</c:v>
                </c:pt>
                <c:pt idx="21">
                  <c:v>250</c:v>
                </c:pt>
                <c:pt idx="22">
                  <c:v>2000</c:v>
                </c:pt>
                <c:pt idx="23">
                  <c:v>1000</c:v>
                </c:pt>
                <c:pt idx="24">
                  <c:v>2000</c:v>
                </c:pt>
                <c:pt idx="25">
                  <c:v>2500</c:v>
                </c:pt>
                <c:pt idx="26">
                  <c:v>1250</c:v>
                </c:pt>
                <c:pt idx="27">
                  <c:v>150</c:v>
                </c:pt>
                <c:pt idx="28">
                  <c:v>90</c:v>
                </c:pt>
                <c:pt idx="29">
                  <c:v>500</c:v>
                </c:pt>
                <c:pt idx="30">
                  <c:v>200</c:v>
                </c:pt>
                <c:pt idx="31">
                  <c:v>3000</c:v>
                </c:pt>
                <c:pt idx="32">
                  <c:v>20</c:v>
                </c:pt>
                <c:pt idx="33">
                  <c:v>20</c:v>
                </c:pt>
                <c:pt idx="34">
                  <c:v>35</c:v>
                </c:pt>
                <c:pt idx="35">
                  <c:v>50</c:v>
                </c:pt>
                <c:pt idx="36">
                  <c:v>80</c:v>
                </c:pt>
                <c:pt idx="37">
                  <c:v>100</c:v>
                </c:pt>
                <c:pt idx="38">
                  <c:v>25</c:v>
                </c:pt>
                <c:pt idx="39">
                  <c:v>34</c:v>
                </c:pt>
                <c:pt idx="40">
                  <c:v>30</c:v>
                </c:pt>
                <c:pt idx="41">
                  <c:v>50</c:v>
                </c:pt>
                <c:pt idx="42">
                  <c:v>100</c:v>
                </c:pt>
              </c:numCache>
            </c:numRef>
          </c:xVal>
          <c:yVal>
            <c:numRef>
              <c:f>db_ESP_params!$E$6:$E$48</c:f>
              <c:numCache>
                <c:formatCode>General</c:formatCode>
                <c:ptCount val="43"/>
                <c:pt idx="0">
                  <c:v>582</c:v>
                </c:pt>
                <c:pt idx="1">
                  <c:v>517</c:v>
                </c:pt>
                <c:pt idx="2">
                  <c:v>555</c:v>
                </c:pt>
                <c:pt idx="3">
                  <c:v>651</c:v>
                </c:pt>
                <c:pt idx="4">
                  <c:v>591</c:v>
                </c:pt>
                <c:pt idx="5">
                  <c:v>541</c:v>
                </c:pt>
                <c:pt idx="6">
                  <c:v>539</c:v>
                </c:pt>
                <c:pt idx="7">
                  <c:v>522</c:v>
                </c:pt>
                <c:pt idx="8">
                  <c:v>459</c:v>
                </c:pt>
                <c:pt idx="9">
                  <c:v>380</c:v>
                </c:pt>
                <c:pt idx="10">
                  <c:v>354</c:v>
                </c:pt>
                <c:pt idx="11">
                  <c:v>372</c:v>
                </c:pt>
                <c:pt idx="12">
                  <c:v>388</c:v>
                </c:pt>
                <c:pt idx="13">
                  <c:v>374</c:v>
                </c:pt>
                <c:pt idx="14">
                  <c:v>368</c:v>
                </c:pt>
                <c:pt idx="15">
                  <c:v>404</c:v>
                </c:pt>
                <c:pt idx="16">
                  <c:v>450</c:v>
                </c:pt>
                <c:pt idx="17">
                  <c:v>510</c:v>
                </c:pt>
                <c:pt idx="18">
                  <c:v>552</c:v>
                </c:pt>
                <c:pt idx="19">
                  <c:v>300</c:v>
                </c:pt>
                <c:pt idx="20">
                  <c:v>264</c:v>
                </c:pt>
                <c:pt idx="21">
                  <c:v>297</c:v>
                </c:pt>
                <c:pt idx="22">
                  <c:v>208</c:v>
                </c:pt>
                <c:pt idx="23">
                  <c:v>135</c:v>
                </c:pt>
                <c:pt idx="24">
                  <c:v>90</c:v>
                </c:pt>
                <c:pt idx="25">
                  <c:v>93</c:v>
                </c:pt>
                <c:pt idx="26">
                  <c:v>420</c:v>
                </c:pt>
                <c:pt idx="27">
                  <c:v>358</c:v>
                </c:pt>
                <c:pt idx="28">
                  <c:v>250</c:v>
                </c:pt>
                <c:pt idx="29">
                  <c:v>152</c:v>
                </c:pt>
                <c:pt idx="30">
                  <c:v>726</c:v>
                </c:pt>
                <c:pt idx="31">
                  <c:v>31</c:v>
                </c:pt>
                <c:pt idx="32">
                  <c:v>663</c:v>
                </c:pt>
                <c:pt idx="33">
                  <c:v>600</c:v>
                </c:pt>
                <c:pt idx="34">
                  <c:v>591</c:v>
                </c:pt>
                <c:pt idx="35">
                  <c:v>582</c:v>
                </c:pt>
                <c:pt idx="36">
                  <c:v>489</c:v>
                </c:pt>
                <c:pt idx="37">
                  <c:v>514</c:v>
                </c:pt>
                <c:pt idx="38">
                  <c:v>364</c:v>
                </c:pt>
                <c:pt idx="39">
                  <c:v>426</c:v>
                </c:pt>
                <c:pt idx="40">
                  <c:v>150</c:v>
                </c:pt>
                <c:pt idx="41">
                  <c:v>115</c:v>
                </c:pt>
                <c:pt idx="42">
                  <c:v>660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AC-4908-B994-CACD5C73C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2551552"/>
        <c:axId val="1729228368"/>
      </c:scatterChart>
      <c:valAx>
        <c:axId val="2002551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Qnom sm3/day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29228368"/>
        <c:crosses val="autoZero"/>
        <c:crossBetween val="midCat"/>
      </c:valAx>
      <c:valAx>
        <c:axId val="172922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макс</a:t>
                </a:r>
                <a:r>
                  <a:rPr lang="ru-RU" baseline="0"/>
                  <a:t> ступени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02551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453838</xdr:colOff>
      <xdr:row>21</xdr:row>
      <xdr:rowOff>34738</xdr:rowOff>
    </xdr:from>
    <xdr:to>
      <xdr:col>35</xdr:col>
      <xdr:colOff>336178</xdr:colOff>
      <xdr:row>41</xdr:row>
      <xdr:rowOff>44823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414618</xdr:colOff>
      <xdr:row>41</xdr:row>
      <xdr:rowOff>123264</xdr:rowOff>
    </xdr:from>
    <xdr:to>
      <xdr:col>35</xdr:col>
      <xdr:colOff>296958</xdr:colOff>
      <xdr:row>59</xdr:row>
      <xdr:rowOff>11206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95250</xdr:colOff>
          <xdr:row>0</xdr:row>
          <xdr:rowOff>104775</xdr:rowOff>
        </xdr:from>
        <xdr:to>
          <xdr:col>14</xdr:col>
          <xdr:colOff>219075</xdr:colOff>
          <xdr:row>2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файл json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381000</xdr:colOff>
      <xdr:row>2</xdr:row>
      <xdr:rowOff>190500</xdr:rowOff>
    </xdr:from>
    <xdr:to>
      <xdr:col>22</xdr:col>
      <xdr:colOff>400050</xdr:colOff>
      <xdr:row>12</xdr:row>
      <xdr:rowOff>38100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525000" y="571500"/>
          <a:ext cx="4286250" cy="1790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После</a:t>
          </a:r>
          <a:r>
            <a:rPr lang="ru-RU" sz="1100" baseline="0"/>
            <a:t> нажатия на кнопку будут считаны данные с листов </a:t>
          </a:r>
          <a:r>
            <a:rPr lang="en-US" sz="1100" baseline="0"/>
            <a:t>db_ESP_curves </a:t>
          </a:r>
          <a:r>
            <a:rPr lang="ru-RU" sz="1100" baseline="0"/>
            <a:t>и </a:t>
          </a:r>
          <a:r>
            <a:rPr lang="en-US" sz="1100" baseline="0"/>
            <a:t>db_ESP_params </a:t>
          </a:r>
          <a:r>
            <a:rPr lang="ru-RU" sz="1100" baseline="0"/>
            <a:t>и записаны в файл </a:t>
          </a:r>
          <a:r>
            <a:rPr lang="en-US" sz="1100" baseline="0"/>
            <a:t>json</a:t>
          </a:r>
          <a:r>
            <a:rPr lang="ru-RU" sz="1100" baseline="0"/>
            <a:t>, который может быть прочитан надстройкой унифлок.</a:t>
          </a:r>
        </a:p>
        <a:p>
          <a:r>
            <a:rPr lang="ru-RU" sz="1100" baseline="0"/>
            <a:t>Названия файла, который будет сгенерирован в логе внизу.</a:t>
          </a:r>
          <a:endParaRPr lang="en-US" sz="1100" baseline="0"/>
        </a:p>
        <a:p>
          <a:endParaRPr lang="en-US" sz="1100" baseline="0"/>
        </a:p>
        <a:p>
          <a:r>
            <a:rPr lang="ru-RU" sz="1100" baseline="0">
              <a:solidFill>
                <a:srgbClr val="FF0000"/>
              </a:solidFill>
            </a:rPr>
            <a:t>Для использования нового файла базы необходимо вручную добавить данные из сгенерированного файла в файл базы или переименовать сгенерированный файл!</a:t>
          </a:r>
          <a:endParaRPr lang="ru-RU" sz="1100">
            <a:solidFill>
              <a:srgbClr val="FF0000"/>
            </a:solidFill>
          </a:endParaRPr>
        </a:p>
      </xdr:txBody>
    </xdr:sp>
    <xdr:clientData/>
  </xdr:twoCellAnchor>
  <xdr:twoCellAnchor>
    <xdr:from>
      <xdr:col>5</xdr:col>
      <xdr:colOff>276225</xdr:colOff>
      <xdr:row>0</xdr:row>
      <xdr:rowOff>0</xdr:rowOff>
    </xdr:from>
    <xdr:to>
      <xdr:col>7</xdr:col>
      <xdr:colOff>561975</xdr:colOff>
      <xdr:row>3</xdr:row>
      <xdr:rowOff>76200</xdr:rowOff>
    </xdr:to>
    <xdr:sp macro="" textlink="">
      <xdr:nvSpPr>
        <xdr:cNvPr id="3" name="Стрелка: вправо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324225" y="0"/>
          <a:ext cx="1504950" cy="657225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5</xdr:row>
          <xdr:rowOff>104775</xdr:rowOff>
        </xdr:from>
        <xdr:to>
          <xdr:col>3</xdr:col>
          <xdr:colOff>400050</xdr:colOff>
          <xdr:row>7</xdr:row>
          <xdr:rowOff>85725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Приметь фильтр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43B8D1-BEAB-4B1D-917B-8E67CA306795}">
  <sheetPr codeName="Лист1"/>
  <dimension ref="A1:P516"/>
  <sheetViews>
    <sheetView zoomScaleNormal="100" workbookViewId="0">
      <selection sqref="A1:XFD2"/>
    </sheetView>
  </sheetViews>
  <sheetFormatPr defaultRowHeight="15" x14ac:dyDescent="0.25"/>
  <cols>
    <col min="1" max="1" width="11" customWidth="1"/>
    <col min="4" max="4" width="10.85546875" customWidth="1"/>
  </cols>
  <sheetData>
    <row r="1" spans="1:16" x14ac:dyDescent="0.25">
      <c r="A1" s="23" t="s">
        <v>55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</row>
    <row r="2" spans="1:16" x14ac:dyDescent="0.25">
      <c r="A2" s="23" t="s">
        <v>58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</row>
    <row r="4" spans="1:16" ht="15.75" thickBot="1" x14ac:dyDescent="0.3"/>
    <row r="5" spans="1:16" ht="15.75" thickBot="1" x14ac:dyDescent="0.3">
      <c r="A5" s="11" t="s">
        <v>0</v>
      </c>
      <c r="B5" s="12" t="s">
        <v>6</v>
      </c>
      <c r="C5" s="12" t="s">
        <v>7</v>
      </c>
      <c r="D5" s="12" t="s">
        <v>8</v>
      </c>
      <c r="E5" s="13" t="s">
        <v>9</v>
      </c>
    </row>
    <row r="6" spans="1:16" x14ac:dyDescent="0.25">
      <c r="A6" s="14">
        <v>736</v>
      </c>
      <c r="B6" s="15">
        <v>0</v>
      </c>
      <c r="C6" s="15">
        <v>4.88</v>
      </c>
      <c r="D6" s="15">
        <v>0.02</v>
      </c>
      <c r="E6" s="16">
        <v>0</v>
      </c>
    </row>
    <row r="7" spans="1:16" x14ac:dyDescent="0.25">
      <c r="A7" s="14">
        <v>736</v>
      </c>
      <c r="B7" s="15">
        <v>5</v>
      </c>
      <c r="C7" s="15">
        <v>4.7300000000000004</v>
      </c>
      <c r="D7" s="15">
        <v>2.1999999999999999E-2</v>
      </c>
      <c r="E7" s="16">
        <v>0.12</v>
      </c>
    </row>
    <row r="8" spans="1:16" x14ac:dyDescent="0.25">
      <c r="A8" s="14">
        <v>736</v>
      </c>
      <c r="B8" s="15">
        <v>10</v>
      </c>
      <c r="C8" s="15">
        <v>4.66</v>
      </c>
      <c r="D8" s="15">
        <v>2.5000000000000001E-2</v>
      </c>
      <c r="E8" s="16">
        <v>0.21</v>
      </c>
    </row>
    <row r="9" spans="1:16" x14ac:dyDescent="0.25">
      <c r="A9" s="14">
        <v>736</v>
      </c>
      <c r="B9" s="15">
        <v>15</v>
      </c>
      <c r="C9" s="15">
        <v>4.6100000000000003</v>
      </c>
      <c r="D9" s="15">
        <v>2.7E-2</v>
      </c>
      <c r="E9" s="16">
        <v>0.28999999999999998</v>
      </c>
    </row>
    <row r="10" spans="1:16" x14ac:dyDescent="0.25">
      <c r="A10" s="14">
        <v>736</v>
      </c>
      <c r="B10" s="15">
        <v>20</v>
      </c>
      <c r="C10" s="15">
        <v>4.5199999999999996</v>
      </c>
      <c r="D10" s="15">
        <v>0.03</v>
      </c>
      <c r="E10" s="16">
        <v>0.35</v>
      </c>
    </row>
    <row r="11" spans="1:16" x14ac:dyDescent="0.25">
      <c r="A11" s="14">
        <v>736</v>
      </c>
      <c r="B11" s="15">
        <v>25</v>
      </c>
      <c r="C11" s="15">
        <v>4.3499999999999996</v>
      </c>
      <c r="D11" s="15">
        <v>3.2000000000000001E-2</v>
      </c>
      <c r="E11" s="16">
        <v>0.38</v>
      </c>
    </row>
    <row r="12" spans="1:16" x14ac:dyDescent="0.25">
      <c r="A12" s="14">
        <v>736</v>
      </c>
      <c r="B12" s="15">
        <v>30</v>
      </c>
      <c r="C12" s="15">
        <v>4.0999999999999996</v>
      </c>
      <c r="D12" s="15">
        <v>3.5000000000000003E-2</v>
      </c>
      <c r="E12" s="16">
        <v>0.4</v>
      </c>
    </row>
    <row r="13" spans="1:16" x14ac:dyDescent="0.25">
      <c r="A13" s="14">
        <v>736</v>
      </c>
      <c r="B13" s="15">
        <v>35</v>
      </c>
      <c r="C13" s="15">
        <v>3.74</v>
      </c>
      <c r="D13" s="15">
        <v>3.7999999999999999E-2</v>
      </c>
      <c r="E13" s="16">
        <v>0.39</v>
      </c>
    </row>
    <row r="14" spans="1:16" x14ac:dyDescent="0.25">
      <c r="A14" s="14">
        <v>736</v>
      </c>
      <c r="B14" s="15">
        <v>40</v>
      </c>
      <c r="C14" s="15">
        <v>3.28</v>
      </c>
      <c r="D14" s="15">
        <v>4.1000000000000002E-2</v>
      </c>
      <c r="E14" s="16">
        <v>0.37</v>
      </c>
    </row>
    <row r="15" spans="1:16" x14ac:dyDescent="0.25">
      <c r="A15" s="14">
        <v>736</v>
      </c>
      <c r="B15" s="15">
        <v>45</v>
      </c>
      <c r="C15" s="15">
        <v>2.73</v>
      </c>
      <c r="D15" s="15">
        <v>4.2999999999999997E-2</v>
      </c>
      <c r="E15" s="16">
        <v>0.32</v>
      </c>
    </row>
    <row r="16" spans="1:16" x14ac:dyDescent="0.25">
      <c r="A16" s="14">
        <v>736</v>
      </c>
      <c r="B16" s="15">
        <v>50</v>
      </c>
      <c r="C16" s="15">
        <v>2.11</v>
      </c>
      <c r="D16" s="15">
        <v>4.5999999999999999E-2</v>
      </c>
      <c r="E16" s="16">
        <v>0.26</v>
      </c>
    </row>
    <row r="17" spans="1:5" x14ac:dyDescent="0.25">
      <c r="A17" s="14">
        <v>736</v>
      </c>
      <c r="B17" s="15">
        <v>55</v>
      </c>
      <c r="C17" s="15">
        <v>1.45</v>
      </c>
      <c r="D17" s="15">
        <v>4.9000000000000002E-2</v>
      </c>
      <c r="E17" s="16">
        <v>0.19</v>
      </c>
    </row>
    <row r="18" spans="1:5" x14ac:dyDescent="0.25">
      <c r="A18" s="14">
        <v>736</v>
      </c>
      <c r="B18" s="15">
        <v>60</v>
      </c>
      <c r="C18" s="15">
        <v>0.77</v>
      </c>
      <c r="D18" s="15">
        <v>5.1999999999999998E-2</v>
      </c>
      <c r="E18" s="16">
        <v>0.1</v>
      </c>
    </row>
    <row r="19" spans="1:5" x14ac:dyDescent="0.25">
      <c r="A19" s="14">
        <v>736</v>
      </c>
      <c r="B19" s="15">
        <v>66</v>
      </c>
      <c r="C19" s="15">
        <v>0</v>
      </c>
      <c r="D19" s="15">
        <v>5.5E-2</v>
      </c>
      <c r="E19" s="16">
        <v>0</v>
      </c>
    </row>
    <row r="20" spans="1:5" s="1" customFormat="1" x14ac:dyDescent="0.25">
      <c r="A20" s="17">
        <v>737</v>
      </c>
      <c r="B20" s="18">
        <v>0</v>
      </c>
      <c r="C20" s="18">
        <v>6.7</v>
      </c>
      <c r="D20" s="18">
        <v>0.106</v>
      </c>
      <c r="E20" s="19">
        <v>0</v>
      </c>
    </row>
    <row r="21" spans="1:5" x14ac:dyDescent="0.25">
      <c r="A21" s="14">
        <v>737</v>
      </c>
      <c r="B21" s="15">
        <v>20</v>
      </c>
      <c r="C21" s="15">
        <v>6.72</v>
      </c>
      <c r="D21" s="15">
        <v>0.113</v>
      </c>
      <c r="E21" s="16">
        <v>0.14000000000000001</v>
      </c>
    </row>
    <row r="22" spans="1:5" x14ac:dyDescent="0.25">
      <c r="A22" s="14">
        <v>737</v>
      </c>
      <c r="B22" s="15">
        <v>40</v>
      </c>
      <c r="C22" s="15">
        <v>6.7</v>
      </c>
      <c r="D22" s="15">
        <v>0.12</v>
      </c>
      <c r="E22" s="16">
        <v>0.25</v>
      </c>
    </row>
    <row r="23" spans="1:5" x14ac:dyDescent="0.25">
      <c r="A23" s="14">
        <v>737</v>
      </c>
      <c r="B23" s="15">
        <v>60</v>
      </c>
      <c r="C23" s="15">
        <v>6.69</v>
      </c>
      <c r="D23" s="15">
        <v>0.126</v>
      </c>
      <c r="E23" s="16">
        <v>0.36</v>
      </c>
    </row>
    <row r="24" spans="1:5" x14ac:dyDescent="0.25">
      <c r="A24" s="14">
        <v>737</v>
      </c>
      <c r="B24" s="15">
        <v>80</v>
      </c>
      <c r="C24" s="15">
        <v>6.6</v>
      </c>
      <c r="D24" s="15">
        <v>0.13300000000000001</v>
      </c>
      <c r="E24" s="16">
        <v>0.46</v>
      </c>
    </row>
    <row r="25" spans="1:5" x14ac:dyDescent="0.25">
      <c r="A25" s="14">
        <v>737</v>
      </c>
      <c r="B25" s="15">
        <v>100</v>
      </c>
      <c r="C25" s="15">
        <v>6.43</v>
      </c>
      <c r="D25" s="15">
        <v>0.14000000000000001</v>
      </c>
      <c r="E25" s="16">
        <v>0.52</v>
      </c>
    </row>
    <row r="26" spans="1:5" x14ac:dyDescent="0.25">
      <c r="A26" s="14">
        <v>737</v>
      </c>
      <c r="B26" s="15">
        <v>120</v>
      </c>
      <c r="C26" s="15">
        <v>5.92</v>
      </c>
      <c r="D26" s="15">
        <v>0.14699999999999999</v>
      </c>
      <c r="E26" s="16">
        <v>0.55000000000000004</v>
      </c>
    </row>
    <row r="27" spans="1:5" x14ac:dyDescent="0.25">
      <c r="A27" s="14">
        <v>737</v>
      </c>
      <c r="B27" s="15">
        <v>125</v>
      </c>
      <c r="C27" s="15">
        <v>5.8</v>
      </c>
      <c r="D27" s="15">
        <v>0.14799999999999999</v>
      </c>
      <c r="E27" s="16">
        <v>0.55000000000000004</v>
      </c>
    </row>
    <row r="28" spans="1:5" x14ac:dyDescent="0.25">
      <c r="A28" s="14">
        <v>737</v>
      </c>
      <c r="B28" s="15">
        <v>140</v>
      </c>
      <c r="C28" s="15">
        <v>5.12</v>
      </c>
      <c r="D28" s="15">
        <v>0.154</v>
      </c>
      <c r="E28" s="16">
        <v>0.53</v>
      </c>
    </row>
    <row r="29" spans="1:5" x14ac:dyDescent="0.25">
      <c r="A29" s="14">
        <v>737</v>
      </c>
      <c r="B29" s="15">
        <v>160</v>
      </c>
      <c r="C29" s="15">
        <v>4.0999999999999996</v>
      </c>
      <c r="D29" s="15">
        <v>0.161</v>
      </c>
      <c r="E29" s="16">
        <v>0.46</v>
      </c>
    </row>
    <row r="30" spans="1:5" x14ac:dyDescent="0.25">
      <c r="A30" s="14">
        <v>737</v>
      </c>
      <c r="B30" s="15">
        <v>180</v>
      </c>
      <c r="C30" s="15">
        <v>2.99</v>
      </c>
      <c r="D30" s="15">
        <v>0.16900000000000001</v>
      </c>
      <c r="E30" s="16">
        <v>0.36</v>
      </c>
    </row>
    <row r="31" spans="1:5" x14ac:dyDescent="0.25">
      <c r="A31" s="14">
        <v>737</v>
      </c>
      <c r="B31" s="15">
        <v>200</v>
      </c>
      <c r="C31" s="15">
        <v>1.9</v>
      </c>
      <c r="D31" s="15">
        <v>0.17249999999999999</v>
      </c>
      <c r="E31" s="16">
        <v>0.24</v>
      </c>
    </row>
    <row r="32" spans="1:5" x14ac:dyDescent="0.25">
      <c r="A32" s="14">
        <v>737</v>
      </c>
      <c r="B32" s="15">
        <v>220</v>
      </c>
      <c r="C32" s="15">
        <v>0.73</v>
      </c>
      <c r="D32" s="15">
        <v>0.16919999999999999</v>
      </c>
      <c r="E32" s="16">
        <v>0.1</v>
      </c>
    </row>
    <row r="33" spans="1:5" x14ac:dyDescent="0.25">
      <c r="A33" s="14">
        <v>737</v>
      </c>
      <c r="B33" s="15">
        <v>230</v>
      </c>
      <c r="C33" s="15">
        <v>0</v>
      </c>
      <c r="D33" s="15">
        <v>0.16209999999999999</v>
      </c>
      <c r="E33" s="16">
        <v>0</v>
      </c>
    </row>
    <row r="34" spans="1:5" s="1" customFormat="1" x14ac:dyDescent="0.25">
      <c r="A34" s="17">
        <v>738</v>
      </c>
      <c r="B34" s="18">
        <v>0</v>
      </c>
      <c r="C34" s="18">
        <v>7.2</v>
      </c>
      <c r="D34" s="18">
        <v>3.4000000000000002E-2</v>
      </c>
      <c r="E34" s="19">
        <v>0</v>
      </c>
    </row>
    <row r="35" spans="1:5" x14ac:dyDescent="0.25">
      <c r="A35" s="14">
        <v>738</v>
      </c>
      <c r="B35" s="15">
        <v>5</v>
      </c>
      <c r="C35" s="15">
        <v>6.9</v>
      </c>
      <c r="D35" s="15">
        <v>3.2000000000000001E-2</v>
      </c>
      <c r="E35" s="16">
        <v>0.12</v>
      </c>
    </row>
    <row r="36" spans="1:5" x14ac:dyDescent="0.25">
      <c r="A36" s="14">
        <v>738</v>
      </c>
      <c r="B36" s="15">
        <v>10</v>
      </c>
      <c r="C36" s="15">
        <v>6.3</v>
      </c>
      <c r="D36" s="15">
        <v>3.1E-2</v>
      </c>
      <c r="E36" s="16">
        <v>0.24</v>
      </c>
    </row>
    <row r="37" spans="1:5" x14ac:dyDescent="0.25">
      <c r="A37" s="14">
        <v>738</v>
      </c>
      <c r="B37" s="15">
        <v>15</v>
      </c>
      <c r="C37" s="15">
        <v>5.5</v>
      </c>
      <c r="D37" s="15">
        <v>3.1E-2</v>
      </c>
      <c r="E37" s="16">
        <v>0.3</v>
      </c>
    </row>
    <row r="38" spans="1:5" x14ac:dyDescent="0.25">
      <c r="A38" s="14">
        <v>738</v>
      </c>
      <c r="B38" s="15">
        <v>20</v>
      </c>
      <c r="C38" s="15">
        <v>4.4000000000000004</v>
      </c>
      <c r="D38" s="15">
        <v>3.3000000000000002E-2</v>
      </c>
      <c r="E38" s="16">
        <v>0.3</v>
      </c>
    </row>
    <row r="39" spans="1:5" x14ac:dyDescent="0.25">
      <c r="A39" s="14">
        <v>738</v>
      </c>
      <c r="B39" s="15">
        <v>25</v>
      </c>
      <c r="C39" s="15">
        <v>3</v>
      </c>
      <c r="D39" s="15">
        <v>3.5000000000000003E-2</v>
      </c>
      <c r="E39" s="16">
        <v>0.24</v>
      </c>
    </row>
    <row r="40" spans="1:5" x14ac:dyDescent="0.25">
      <c r="A40" s="14">
        <v>738</v>
      </c>
      <c r="B40" s="15">
        <v>33</v>
      </c>
      <c r="C40" s="15">
        <v>0</v>
      </c>
      <c r="D40" s="15">
        <v>4.2000000000000003E-2</v>
      </c>
      <c r="E40" s="16">
        <v>0</v>
      </c>
    </row>
    <row r="41" spans="1:5" s="1" customFormat="1" x14ac:dyDescent="0.25">
      <c r="A41" s="17">
        <v>739</v>
      </c>
      <c r="B41" s="18">
        <v>0</v>
      </c>
      <c r="C41" s="18">
        <v>6.13</v>
      </c>
      <c r="D41" s="18">
        <v>3.2000000000000001E-2</v>
      </c>
      <c r="E41" s="19">
        <v>0</v>
      </c>
    </row>
    <row r="42" spans="1:5" x14ac:dyDescent="0.25">
      <c r="A42" s="14">
        <v>739</v>
      </c>
      <c r="B42" s="15">
        <v>5</v>
      </c>
      <c r="C42" s="15">
        <v>5.94</v>
      </c>
      <c r="D42" s="15">
        <v>2.9000000000000001E-2</v>
      </c>
      <c r="E42" s="16">
        <v>0.12</v>
      </c>
    </row>
    <row r="43" spans="1:5" x14ac:dyDescent="0.25">
      <c r="A43" s="14">
        <v>739</v>
      </c>
      <c r="B43" s="15">
        <v>10</v>
      </c>
      <c r="C43" s="15">
        <v>5.73</v>
      </c>
      <c r="D43" s="15">
        <v>3.1E-2</v>
      </c>
      <c r="E43" s="16">
        <v>0.21</v>
      </c>
    </row>
    <row r="44" spans="1:5" x14ac:dyDescent="0.25">
      <c r="A44" s="14">
        <v>739</v>
      </c>
      <c r="B44" s="15">
        <v>15</v>
      </c>
      <c r="C44" s="15">
        <v>5.4</v>
      </c>
      <c r="D44" s="15">
        <v>3.2000000000000001E-2</v>
      </c>
      <c r="E44" s="16">
        <v>0.28000000000000003</v>
      </c>
    </row>
    <row r="45" spans="1:5" x14ac:dyDescent="0.25">
      <c r="A45" s="14">
        <v>739</v>
      </c>
      <c r="B45" s="15">
        <v>18</v>
      </c>
      <c r="C45" s="15">
        <v>5.14</v>
      </c>
      <c r="D45" s="15">
        <v>3.4000000000000002E-2</v>
      </c>
      <c r="E45" s="16">
        <v>0.31</v>
      </c>
    </row>
    <row r="46" spans="1:5" x14ac:dyDescent="0.25">
      <c r="A46" s="14">
        <v>739</v>
      </c>
      <c r="B46" s="15">
        <v>20</v>
      </c>
      <c r="C46" s="15">
        <v>4.96</v>
      </c>
      <c r="D46" s="15">
        <v>3.5000000000000003E-2</v>
      </c>
      <c r="E46" s="16">
        <v>0.33</v>
      </c>
    </row>
    <row r="47" spans="1:5" x14ac:dyDescent="0.25">
      <c r="A47" s="14">
        <v>739</v>
      </c>
      <c r="B47" s="15">
        <v>25</v>
      </c>
      <c r="C47" s="15">
        <v>4.5199999999999996</v>
      </c>
      <c r="D47" s="15">
        <v>3.6999999999999998E-2</v>
      </c>
      <c r="E47" s="16">
        <v>0.35</v>
      </c>
    </row>
    <row r="48" spans="1:5" x14ac:dyDescent="0.25">
      <c r="A48" s="14">
        <v>739</v>
      </c>
      <c r="B48" s="15">
        <v>30</v>
      </c>
      <c r="C48" s="15">
        <v>4.03</v>
      </c>
      <c r="D48" s="15">
        <v>0.04</v>
      </c>
      <c r="E48" s="16">
        <v>0.35</v>
      </c>
    </row>
    <row r="49" spans="1:5" x14ac:dyDescent="0.25">
      <c r="A49" s="14">
        <v>739</v>
      </c>
      <c r="B49" s="15">
        <v>35</v>
      </c>
      <c r="C49" s="15">
        <v>3.55</v>
      </c>
      <c r="D49" s="15">
        <v>4.2000000000000003E-2</v>
      </c>
      <c r="E49" s="16">
        <v>0.34</v>
      </c>
    </row>
    <row r="50" spans="1:5" x14ac:dyDescent="0.25">
      <c r="A50" s="14">
        <v>739</v>
      </c>
      <c r="B50" s="15">
        <v>40</v>
      </c>
      <c r="C50" s="15">
        <v>2.98</v>
      </c>
      <c r="D50" s="15">
        <v>4.4999999999999998E-2</v>
      </c>
      <c r="E50" s="16">
        <v>0.3</v>
      </c>
    </row>
    <row r="51" spans="1:5" x14ac:dyDescent="0.25">
      <c r="A51" s="14">
        <v>739</v>
      </c>
      <c r="B51" s="15">
        <v>45</v>
      </c>
      <c r="C51" s="15">
        <v>2.29</v>
      </c>
      <c r="D51" s="15">
        <v>4.8000000000000001E-2</v>
      </c>
      <c r="E51" s="16">
        <v>0.24</v>
      </c>
    </row>
    <row r="52" spans="1:5" x14ac:dyDescent="0.25">
      <c r="A52" s="14">
        <v>739</v>
      </c>
      <c r="B52" s="15">
        <v>50</v>
      </c>
      <c r="C52" s="15">
        <v>1.38</v>
      </c>
      <c r="D52" s="15">
        <v>5.0999999999999997E-2</v>
      </c>
      <c r="E52" s="16">
        <v>0.15</v>
      </c>
    </row>
    <row r="53" spans="1:5" x14ac:dyDescent="0.25">
      <c r="A53" s="14">
        <v>739</v>
      </c>
      <c r="B53" s="15">
        <v>56.5</v>
      </c>
      <c r="C53" s="15">
        <v>0</v>
      </c>
      <c r="D53" s="15">
        <v>5.6000000000000001E-2</v>
      </c>
      <c r="E53" s="16">
        <v>0</v>
      </c>
    </row>
    <row r="54" spans="1:5" s="1" customFormat="1" x14ac:dyDescent="0.25">
      <c r="A54" s="17">
        <v>740</v>
      </c>
      <c r="B54" s="18">
        <v>0</v>
      </c>
      <c r="C54" s="18">
        <v>6.2</v>
      </c>
      <c r="D54" s="18">
        <v>3.2000000000000001E-2</v>
      </c>
      <c r="E54" s="19">
        <v>0</v>
      </c>
    </row>
    <row r="55" spans="1:5" x14ac:dyDescent="0.25">
      <c r="A55" s="14">
        <v>740</v>
      </c>
      <c r="B55" s="15">
        <v>10</v>
      </c>
      <c r="C55" s="15">
        <v>5.9</v>
      </c>
      <c r="D55" s="15">
        <v>0.03</v>
      </c>
      <c r="E55" s="16">
        <v>0.22</v>
      </c>
    </row>
    <row r="56" spans="1:5" x14ac:dyDescent="0.25">
      <c r="A56" s="14">
        <v>740</v>
      </c>
      <c r="B56" s="15">
        <v>20</v>
      </c>
      <c r="C56" s="15">
        <v>5.4</v>
      </c>
      <c r="D56" s="15">
        <v>3.2000000000000001E-2</v>
      </c>
      <c r="E56" s="16">
        <v>0.38</v>
      </c>
    </row>
    <row r="57" spans="1:5" x14ac:dyDescent="0.25">
      <c r="A57" s="14">
        <v>740</v>
      </c>
      <c r="B57" s="15">
        <v>30</v>
      </c>
      <c r="C57" s="15">
        <v>4.8</v>
      </c>
      <c r="D57" s="15">
        <v>3.6999999999999998E-2</v>
      </c>
      <c r="E57" s="16">
        <v>0.44</v>
      </c>
    </row>
    <row r="58" spans="1:5" x14ac:dyDescent="0.25">
      <c r="A58" s="14">
        <v>740</v>
      </c>
      <c r="B58" s="15">
        <v>45</v>
      </c>
      <c r="C58" s="15">
        <v>2.7</v>
      </c>
      <c r="D58" s="15">
        <v>4.2999999999999997E-2</v>
      </c>
      <c r="E58" s="16">
        <v>0.32</v>
      </c>
    </row>
    <row r="59" spans="1:5" x14ac:dyDescent="0.25">
      <c r="A59" s="14">
        <v>740</v>
      </c>
      <c r="B59" s="15">
        <v>50</v>
      </c>
      <c r="C59" s="15">
        <v>1.7</v>
      </c>
      <c r="D59" s="15">
        <v>4.4999999999999998E-2</v>
      </c>
      <c r="E59" s="16">
        <v>0.22</v>
      </c>
    </row>
    <row r="60" spans="1:5" x14ac:dyDescent="0.25">
      <c r="A60" s="14">
        <v>740</v>
      </c>
      <c r="B60" s="15">
        <v>58</v>
      </c>
      <c r="C60" s="15">
        <v>0</v>
      </c>
      <c r="D60" s="15">
        <v>5.0999999999999997E-2</v>
      </c>
      <c r="E60" s="16">
        <v>0</v>
      </c>
    </row>
    <row r="61" spans="1:5" s="1" customFormat="1" x14ac:dyDescent="0.25">
      <c r="A61" s="17">
        <v>741</v>
      </c>
      <c r="B61" s="18">
        <v>0</v>
      </c>
      <c r="C61" s="18">
        <v>6.5</v>
      </c>
      <c r="D61" s="18">
        <v>5.6000000000000001E-2</v>
      </c>
      <c r="E61" s="19">
        <v>0</v>
      </c>
    </row>
    <row r="62" spans="1:5" x14ac:dyDescent="0.25">
      <c r="A62" s="14">
        <v>741</v>
      </c>
      <c r="B62" s="15">
        <v>15</v>
      </c>
      <c r="C62" s="15">
        <v>6.2</v>
      </c>
      <c r="D62" s="15">
        <v>0.05</v>
      </c>
      <c r="E62" s="16">
        <v>0.21</v>
      </c>
    </row>
    <row r="63" spans="1:5" x14ac:dyDescent="0.25">
      <c r="A63" s="14">
        <v>741</v>
      </c>
      <c r="B63" s="15">
        <v>32</v>
      </c>
      <c r="C63" s="15">
        <v>5.9</v>
      </c>
      <c r="D63" s="15">
        <v>5.3999999999999999E-2</v>
      </c>
      <c r="E63" s="16">
        <v>0.4</v>
      </c>
    </row>
    <row r="64" spans="1:5" x14ac:dyDescent="0.25">
      <c r="A64" s="14">
        <v>741</v>
      </c>
      <c r="B64" s="15">
        <v>44</v>
      </c>
      <c r="C64" s="15">
        <v>5.5</v>
      </c>
      <c r="D64" s="15">
        <v>5.8000000000000003E-2</v>
      </c>
      <c r="E64" s="16">
        <v>0.47</v>
      </c>
    </row>
    <row r="65" spans="1:5" x14ac:dyDescent="0.25">
      <c r="A65" s="14">
        <v>741</v>
      </c>
      <c r="B65" s="15">
        <v>60</v>
      </c>
      <c r="C65" s="15">
        <v>4.4000000000000004</v>
      </c>
      <c r="D65" s="15">
        <v>6.4000000000000001E-2</v>
      </c>
      <c r="E65" s="16">
        <v>0.46</v>
      </c>
    </row>
    <row r="66" spans="1:5" x14ac:dyDescent="0.25">
      <c r="A66" s="14">
        <v>741</v>
      </c>
      <c r="B66" s="15">
        <v>75</v>
      </c>
      <c r="C66" s="15">
        <v>2.9</v>
      </c>
      <c r="D66" s="15">
        <v>7.0000000000000007E-2</v>
      </c>
      <c r="E66" s="16">
        <v>0.35</v>
      </c>
    </row>
    <row r="67" spans="1:5" x14ac:dyDescent="0.25">
      <c r="A67" s="14">
        <v>741</v>
      </c>
      <c r="B67" s="15">
        <v>95</v>
      </c>
      <c r="C67" s="15">
        <v>0.3</v>
      </c>
      <c r="D67" s="15">
        <v>7.5999999999999998E-2</v>
      </c>
      <c r="E67" s="16">
        <v>0</v>
      </c>
    </row>
    <row r="68" spans="1:5" s="1" customFormat="1" x14ac:dyDescent="0.25">
      <c r="A68" s="17">
        <v>742</v>
      </c>
      <c r="B68" s="18">
        <v>0</v>
      </c>
      <c r="C68" s="18">
        <v>3.9</v>
      </c>
      <c r="D68" s="18">
        <v>0.21</v>
      </c>
      <c r="E68" s="19">
        <v>0</v>
      </c>
    </row>
    <row r="69" spans="1:5" x14ac:dyDescent="0.25">
      <c r="A69" s="14">
        <v>742</v>
      </c>
      <c r="B69" s="15">
        <v>60</v>
      </c>
      <c r="C69" s="15">
        <v>3.85</v>
      </c>
      <c r="D69" s="15">
        <v>0.22</v>
      </c>
      <c r="E69" s="16">
        <v>0.09</v>
      </c>
    </row>
    <row r="70" spans="1:5" x14ac:dyDescent="0.25">
      <c r="A70" s="14">
        <v>742</v>
      </c>
      <c r="B70" s="15">
        <v>120</v>
      </c>
      <c r="C70" s="15">
        <v>3.87</v>
      </c>
      <c r="D70" s="15">
        <v>0.23</v>
      </c>
      <c r="E70" s="16">
        <v>0.2</v>
      </c>
    </row>
    <row r="71" spans="1:5" x14ac:dyDescent="0.25">
      <c r="A71" s="14">
        <v>742</v>
      </c>
      <c r="B71" s="15">
        <v>200</v>
      </c>
      <c r="C71" s="15">
        <v>3.9</v>
      </c>
      <c r="D71" s="15">
        <v>0.26</v>
      </c>
      <c r="E71" s="16">
        <v>0.34</v>
      </c>
    </row>
    <row r="72" spans="1:5" x14ac:dyDescent="0.25">
      <c r="A72" s="14">
        <v>742</v>
      </c>
      <c r="B72" s="15">
        <v>350</v>
      </c>
      <c r="C72" s="15">
        <v>3.8</v>
      </c>
      <c r="D72" s="15">
        <v>0.29399999999999998</v>
      </c>
      <c r="E72" s="16">
        <v>0.51</v>
      </c>
    </row>
    <row r="73" spans="1:5" x14ac:dyDescent="0.25">
      <c r="A73" s="14">
        <v>742</v>
      </c>
      <c r="B73" s="15">
        <v>500</v>
      </c>
      <c r="C73" s="15">
        <v>3.4</v>
      </c>
      <c r="D73" s="15">
        <v>0.3</v>
      </c>
      <c r="E73" s="16">
        <v>0.63</v>
      </c>
    </row>
    <row r="74" spans="1:5" x14ac:dyDescent="0.25">
      <c r="A74" s="14">
        <v>742</v>
      </c>
      <c r="B74" s="15">
        <v>600</v>
      </c>
      <c r="C74" s="15">
        <v>2.8</v>
      </c>
      <c r="D74" s="15">
        <v>0.28999999999999998</v>
      </c>
      <c r="E74" s="16">
        <v>0.66</v>
      </c>
    </row>
    <row r="75" spans="1:5" x14ac:dyDescent="0.25">
      <c r="A75" s="14">
        <v>742</v>
      </c>
      <c r="B75" s="15">
        <v>700</v>
      </c>
      <c r="C75" s="15">
        <v>1.9</v>
      </c>
      <c r="D75" s="15">
        <v>0.27200000000000002</v>
      </c>
      <c r="E75" s="16">
        <v>0.56999999999999995</v>
      </c>
    </row>
    <row r="76" spans="1:5" x14ac:dyDescent="0.25">
      <c r="A76" s="14">
        <v>742</v>
      </c>
      <c r="B76" s="15">
        <v>760</v>
      </c>
      <c r="C76" s="15">
        <v>1.2</v>
      </c>
      <c r="D76" s="15">
        <v>0.26</v>
      </c>
      <c r="E76" s="16">
        <v>0.39</v>
      </c>
    </row>
    <row r="77" spans="1:5" x14ac:dyDescent="0.25">
      <c r="A77" s="14">
        <v>742</v>
      </c>
      <c r="B77" s="15">
        <v>840</v>
      </c>
      <c r="C77" s="15">
        <v>0</v>
      </c>
      <c r="D77" s="15">
        <v>0.23</v>
      </c>
      <c r="E77" s="16">
        <v>0</v>
      </c>
    </row>
    <row r="78" spans="1:5" s="1" customFormat="1" x14ac:dyDescent="0.25">
      <c r="A78" s="17">
        <v>743</v>
      </c>
      <c r="B78" s="18">
        <v>0</v>
      </c>
      <c r="C78" s="18">
        <v>6.69</v>
      </c>
      <c r="D78" s="18">
        <v>6.3E-2</v>
      </c>
      <c r="E78" s="19">
        <v>0</v>
      </c>
    </row>
    <row r="79" spans="1:5" x14ac:dyDescent="0.25">
      <c r="A79" s="14">
        <v>743</v>
      </c>
      <c r="B79" s="15">
        <v>10</v>
      </c>
      <c r="C79" s="15">
        <v>6.37</v>
      </c>
      <c r="D79" s="15">
        <v>5.8000000000000003E-2</v>
      </c>
      <c r="E79" s="16">
        <v>0.13</v>
      </c>
    </row>
    <row r="80" spans="1:5" x14ac:dyDescent="0.25">
      <c r="A80" s="14">
        <v>743</v>
      </c>
      <c r="B80" s="15">
        <v>20</v>
      </c>
      <c r="C80" s="15">
        <v>6.27</v>
      </c>
      <c r="D80" s="15">
        <v>5.8000000000000003E-2</v>
      </c>
      <c r="E80" s="16">
        <v>0.24</v>
      </c>
    </row>
    <row r="81" spans="1:5" x14ac:dyDescent="0.25">
      <c r="A81" s="14">
        <v>743</v>
      </c>
      <c r="B81" s="15">
        <v>30</v>
      </c>
      <c r="C81" s="15">
        <v>6.18</v>
      </c>
      <c r="D81" s="15">
        <v>0.06</v>
      </c>
      <c r="E81" s="16">
        <v>0.35</v>
      </c>
    </row>
    <row r="82" spans="1:5" x14ac:dyDescent="0.25">
      <c r="A82" s="14">
        <v>743</v>
      </c>
      <c r="B82" s="15">
        <v>40</v>
      </c>
      <c r="C82" s="15">
        <v>6.04</v>
      </c>
      <c r="D82" s="15">
        <v>6.4000000000000001E-2</v>
      </c>
      <c r="E82" s="16">
        <v>0.43</v>
      </c>
    </row>
    <row r="83" spans="1:5" x14ac:dyDescent="0.25">
      <c r="A83" s="14">
        <v>743</v>
      </c>
      <c r="B83" s="15">
        <v>50</v>
      </c>
      <c r="C83" s="15">
        <v>5.83</v>
      </c>
      <c r="D83" s="15">
        <v>6.8000000000000005E-2</v>
      </c>
      <c r="E83" s="16">
        <v>0.49</v>
      </c>
    </row>
    <row r="84" spans="1:5" x14ac:dyDescent="0.25">
      <c r="A84" s="14">
        <v>743</v>
      </c>
      <c r="B84" s="15">
        <v>59</v>
      </c>
      <c r="C84" s="15">
        <v>5.55</v>
      </c>
      <c r="D84" s="15">
        <v>7.2999999999999995E-2</v>
      </c>
      <c r="E84" s="16">
        <v>0.52</v>
      </c>
    </row>
    <row r="85" spans="1:5" x14ac:dyDescent="0.25">
      <c r="A85" s="14">
        <v>743</v>
      </c>
      <c r="B85" s="15">
        <v>70</v>
      </c>
      <c r="C85" s="15">
        <v>5.0599999999999996</v>
      </c>
      <c r="D85" s="15">
        <v>7.8E-2</v>
      </c>
      <c r="E85" s="16">
        <v>0.52</v>
      </c>
    </row>
    <row r="86" spans="1:5" x14ac:dyDescent="0.25">
      <c r="A86" s="14">
        <v>743</v>
      </c>
      <c r="B86" s="15">
        <v>75</v>
      </c>
      <c r="C86" s="15">
        <v>4.76</v>
      </c>
      <c r="D86" s="15">
        <v>0.08</v>
      </c>
      <c r="E86" s="16">
        <v>0.51</v>
      </c>
    </row>
    <row r="87" spans="1:5" x14ac:dyDescent="0.25">
      <c r="A87" s="14">
        <v>743</v>
      </c>
      <c r="B87" s="15">
        <v>80</v>
      </c>
      <c r="C87" s="15">
        <v>4.42</v>
      </c>
      <c r="D87" s="15">
        <v>8.2000000000000003E-2</v>
      </c>
      <c r="E87" s="16">
        <v>0.49</v>
      </c>
    </row>
    <row r="88" spans="1:5" x14ac:dyDescent="0.25">
      <c r="A88" s="14">
        <v>743</v>
      </c>
      <c r="B88" s="15">
        <v>90</v>
      </c>
      <c r="C88" s="15">
        <v>3.6</v>
      </c>
      <c r="D88" s="15">
        <v>8.5999999999999993E-2</v>
      </c>
      <c r="E88" s="16">
        <v>0.42</v>
      </c>
    </row>
    <row r="89" spans="1:5" x14ac:dyDescent="0.25">
      <c r="A89" s="14">
        <v>743</v>
      </c>
      <c r="B89" s="15">
        <v>100</v>
      </c>
      <c r="C89" s="15">
        <v>2.62</v>
      </c>
      <c r="D89" s="15">
        <v>0.09</v>
      </c>
      <c r="E89" s="16">
        <v>0.33</v>
      </c>
    </row>
    <row r="90" spans="1:5" x14ac:dyDescent="0.25">
      <c r="A90" s="14">
        <v>743</v>
      </c>
      <c r="B90" s="15">
        <v>110</v>
      </c>
      <c r="C90" s="15">
        <v>1.55</v>
      </c>
      <c r="D90" s="15">
        <v>9.2999999999999999E-2</v>
      </c>
      <c r="E90" s="16">
        <v>0.21</v>
      </c>
    </row>
    <row r="91" spans="1:5" x14ac:dyDescent="0.25">
      <c r="A91" s="14">
        <v>743</v>
      </c>
      <c r="B91" s="15">
        <v>120</v>
      </c>
      <c r="C91" s="15">
        <v>0.47</v>
      </c>
      <c r="D91" s="15">
        <v>9.7000000000000003E-2</v>
      </c>
      <c r="E91" s="16">
        <v>7.0000000000000007E-2</v>
      </c>
    </row>
    <row r="92" spans="1:5" x14ac:dyDescent="0.25">
      <c r="A92" s="14">
        <v>743</v>
      </c>
      <c r="B92" s="15">
        <v>124</v>
      </c>
      <c r="C92" s="15">
        <v>0</v>
      </c>
      <c r="D92" s="15">
        <v>9.9000000000000005E-2</v>
      </c>
      <c r="E92" s="16">
        <v>0</v>
      </c>
    </row>
    <row r="93" spans="1:5" s="1" customFormat="1" x14ac:dyDescent="0.25">
      <c r="A93" s="17">
        <v>744</v>
      </c>
      <c r="B93" s="18">
        <v>0</v>
      </c>
      <c r="C93" s="18">
        <v>6.86</v>
      </c>
      <c r="D93" s="18">
        <v>8.8999999999999996E-2</v>
      </c>
      <c r="E93" s="19">
        <v>0</v>
      </c>
    </row>
    <row r="94" spans="1:5" x14ac:dyDescent="0.25">
      <c r="A94" s="14">
        <v>744</v>
      </c>
      <c r="B94" s="15">
        <v>10</v>
      </c>
      <c r="C94" s="15">
        <v>6.85</v>
      </c>
      <c r="D94" s="15">
        <v>9.0999999999999998E-2</v>
      </c>
      <c r="E94" s="16">
        <v>0.08</v>
      </c>
    </row>
    <row r="95" spans="1:5" x14ac:dyDescent="0.25">
      <c r="A95" s="14">
        <v>744</v>
      </c>
      <c r="B95" s="15">
        <v>20</v>
      </c>
      <c r="C95" s="15">
        <v>6.86</v>
      </c>
      <c r="D95" s="15">
        <v>9.2999999999999999E-2</v>
      </c>
      <c r="E95" s="16">
        <v>0.16</v>
      </c>
    </row>
    <row r="96" spans="1:5" x14ac:dyDescent="0.25">
      <c r="A96" s="14">
        <v>744</v>
      </c>
      <c r="B96" s="15">
        <v>30</v>
      </c>
      <c r="C96" s="15">
        <v>6.89</v>
      </c>
      <c r="D96" s="15">
        <v>9.5000000000000001E-2</v>
      </c>
      <c r="E96" s="16">
        <v>0.24</v>
      </c>
    </row>
    <row r="97" spans="1:5" x14ac:dyDescent="0.25">
      <c r="A97" s="14">
        <v>744</v>
      </c>
      <c r="B97" s="15">
        <v>40</v>
      </c>
      <c r="C97" s="15">
        <v>6.9</v>
      </c>
      <c r="D97" s="15">
        <v>9.7000000000000003E-2</v>
      </c>
      <c r="E97" s="16">
        <v>0.32</v>
      </c>
    </row>
    <row r="98" spans="1:5" x14ac:dyDescent="0.25">
      <c r="A98" s="14">
        <v>744</v>
      </c>
      <c r="B98" s="15">
        <v>50</v>
      </c>
      <c r="C98" s="15">
        <v>6.88</v>
      </c>
      <c r="D98" s="15">
        <v>9.9000000000000005E-2</v>
      </c>
      <c r="E98" s="16">
        <v>0.4</v>
      </c>
    </row>
    <row r="99" spans="1:5" x14ac:dyDescent="0.25">
      <c r="A99" s="14">
        <v>744</v>
      </c>
      <c r="B99" s="15">
        <v>60</v>
      </c>
      <c r="C99" s="15">
        <v>6.8</v>
      </c>
      <c r="D99" s="15">
        <v>0.10100000000000001</v>
      </c>
      <c r="E99" s="16">
        <v>0.47</v>
      </c>
    </row>
    <row r="100" spans="1:5" x14ac:dyDescent="0.25">
      <c r="A100" s="14">
        <v>744</v>
      </c>
      <c r="B100" s="15">
        <v>70</v>
      </c>
      <c r="C100" s="15">
        <v>6.66</v>
      </c>
      <c r="D100" s="15">
        <v>0.10299999999999999</v>
      </c>
      <c r="E100" s="16">
        <v>0.52</v>
      </c>
    </row>
    <row r="101" spans="1:5" x14ac:dyDescent="0.25">
      <c r="A101" s="14">
        <v>744</v>
      </c>
      <c r="B101" s="15">
        <v>79</v>
      </c>
      <c r="C101" s="15">
        <v>6.46</v>
      </c>
      <c r="D101" s="15">
        <v>0.105</v>
      </c>
      <c r="E101" s="16">
        <v>0.56000000000000005</v>
      </c>
    </row>
    <row r="102" spans="1:5" x14ac:dyDescent="0.25">
      <c r="A102" s="14">
        <v>744</v>
      </c>
      <c r="B102" s="15">
        <v>90</v>
      </c>
      <c r="C102" s="15">
        <v>6.14</v>
      </c>
      <c r="D102" s="15">
        <v>0.108</v>
      </c>
      <c r="E102" s="16">
        <v>0.57999999999999996</v>
      </c>
    </row>
    <row r="103" spans="1:5" x14ac:dyDescent="0.25">
      <c r="A103" s="14">
        <v>744</v>
      </c>
      <c r="B103" s="15">
        <v>100</v>
      </c>
      <c r="C103" s="15">
        <v>5.75</v>
      </c>
      <c r="D103" s="15">
        <v>0.111</v>
      </c>
      <c r="E103" s="16">
        <v>0.57999999999999996</v>
      </c>
    </row>
    <row r="104" spans="1:5" x14ac:dyDescent="0.25">
      <c r="A104" s="14">
        <v>744</v>
      </c>
      <c r="B104" s="15">
        <v>105</v>
      </c>
      <c r="C104" s="15">
        <v>5.52</v>
      </c>
      <c r="D104" s="15">
        <v>0.113</v>
      </c>
      <c r="E104" s="16">
        <v>0.57999999999999996</v>
      </c>
    </row>
    <row r="105" spans="1:5" x14ac:dyDescent="0.25">
      <c r="A105" s="14">
        <v>744</v>
      </c>
      <c r="B105" s="15">
        <v>110</v>
      </c>
      <c r="C105" s="15">
        <v>5.27</v>
      </c>
      <c r="D105" s="15">
        <v>0.114</v>
      </c>
      <c r="E105" s="16">
        <v>0.56999999999999995</v>
      </c>
    </row>
    <row r="106" spans="1:5" x14ac:dyDescent="0.25">
      <c r="A106" s="14">
        <v>744</v>
      </c>
      <c r="B106" s="15">
        <v>120</v>
      </c>
      <c r="C106" s="15">
        <v>4.7</v>
      </c>
      <c r="D106" s="15">
        <v>0.11799999999999999</v>
      </c>
      <c r="E106" s="16">
        <v>0.54</v>
      </c>
    </row>
    <row r="107" spans="1:5" x14ac:dyDescent="0.25">
      <c r="A107" s="14">
        <v>744</v>
      </c>
      <c r="B107" s="15">
        <v>130</v>
      </c>
      <c r="C107" s="15">
        <v>4.0599999999999996</v>
      </c>
      <c r="D107" s="15">
        <v>0.122</v>
      </c>
      <c r="E107" s="16">
        <v>0.48</v>
      </c>
    </row>
    <row r="108" spans="1:5" x14ac:dyDescent="0.25">
      <c r="A108" s="14">
        <v>744</v>
      </c>
      <c r="B108" s="15">
        <v>140</v>
      </c>
      <c r="C108" s="15">
        <v>3.36</v>
      </c>
      <c r="D108" s="15">
        <v>0.127</v>
      </c>
      <c r="E108" s="16">
        <v>0.42</v>
      </c>
    </row>
    <row r="109" spans="1:5" x14ac:dyDescent="0.25">
      <c r="A109" s="14">
        <v>744</v>
      </c>
      <c r="B109" s="15">
        <v>150</v>
      </c>
      <c r="C109" s="15">
        <v>2.61</v>
      </c>
      <c r="D109" s="15">
        <v>0.13200000000000001</v>
      </c>
      <c r="E109" s="16">
        <v>0.34</v>
      </c>
    </row>
    <row r="110" spans="1:5" x14ac:dyDescent="0.25">
      <c r="A110" s="14">
        <v>744</v>
      </c>
      <c r="B110" s="15">
        <v>160</v>
      </c>
      <c r="C110" s="15">
        <v>1.83</v>
      </c>
      <c r="D110" s="15">
        <v>0.13800000000000001</v>
      </c>
      <c r="E110" s="16">
        <v>0.24</v>
      </c>
    </row>
    <row r="111" spans="1:5" x14ac:dyDescent="0.25">
      <c r="A111" s="14">
        <v>744</v>
      </c>
      <c r="B111" s="15">
        <v>170</v>
      </c>
      <c r="C111" s="15">
        <v>1.05</v>
      </c>
      <c r="D111" s="15">
        <v>0.14499999999999999</v>
      </c>
      <c r="E111" s="16">
        <v>0.14000000000000001</v>
      </c>
    </row>
    <row r="112" spans="1:5" x14ac:dyDescent="0.25">
      <c r="A112" s="14">
        <v>744</v>
      </c>
      <c r="B112" s="15">
        <v>180</v>
      </c>
      <c r="C112" s="15">
        <v>0.3</v>
      </c>
      <c r="D112" s="15">
        <v>0.152</v>
      </c>
      <c r="E112" s="16">
        <v>0.04</v>
      </c>
    </row>
    <row r="113" spans="1:5" x14ac:dyDescent="0.25">
      <c r="A113" s="14">
        <v>744</v>
      </c>
      <c r="B113" s="15">
        <v>184</v>
      </c>
      <c r="C113" s="15">
        <v>0</v>
      </c>
      <c r="D113" s="15">
        <v>0.156</v>
      </c>
      <c r="E113" s="16">
        <v>0</v>
      </c>
    </row>
    <row r="114" spans="1:5" s="1" customFormat="1" x14ac:dyDescent="0.25">
      <c r="A114" s="17">
        <v>745</v>
      </c>
      <c r="B114" s="18">
        <v>0</v>
      </c>
      <c r="C114" s="18">
        <v>8.6</v>
      </c>
      <c r="D114" s="18">
        <v>0.113</v>
      </c>
      <c r="E114" s="19">
        <v>0</v>
      </c>
    </row>
    <row r="115" spans="1:5" x14ac:dyDescent="0.25">
      <c r="A115" s="14">
        <v>745</v>
      </c>
      <c r="B115" s="15">
        <v>20</v>
      </c>
      <c r="C115" s="15">
        <v>8.69</v>
      </c>
      <c r="D115" s="15">
        <v>0.1193</v>
      </c>
      <c r="E115" s="16">
        <v>0.16</v>
      </c>
    </row>
    <row r="116" spans="1:5" x14ac:dyDescent="0.25">
      <c r="A116" s="14">
        <v>745</v>
      </c>
      <c r="B116" s="15">
        <v>40</v>
      </c>
      <c r="C116" s="15">
        <v>8.7799999999999994</v>
      </c>
      <c r="D116" s="15">
        <v>0.126</v>
      </c>
      <c r="E116" s="16">
        <v>0.32</v>
      </c>
    </row>
    <row r="117" spans="1:5" x14ac:dyDescent="0.25">
      <c r="A117" s="14">
        <v>745</v>
      </c>
      <c r="B117" s="15">
        <v>60</v>
      </c>
      <c r="C117" s="15">
        <v>8.57</v>
      </c>
      <c r="D117" s="15">
        <v>0.13170000000000001</v>
      </c>
      <c r="E117" s="16">
        <v>0.44</v>
      </c>
    </row>
    <row r="118" spans="1:5" x14ac:dyDescent="0.25">
      <c r="A118" s="14">
        <v>745</v>
      </c>
      <c r="B118" s="15">
        <v>70</v>
      </c>
      <c r="C118" s="15">
        <v>8.4</v>
      </c>
      <c r="D118" s="15">
        <v>0.13539999999999999</v>
      </c>
      <c r="E118" s="16">
        <v>0.5</v>
      </c>
    </row>
    <row r="119" spans="1:5" x14ac:dyDescent="0.25">
      <c r="A119" s="14">
        <v>745</v>
      </c>
      <c r="B119" s="15">
        <v>81</v>
      </c>
      <c r="C119" s="15">
        <v>8.1</v>
      </c>
      <c r="D119" s="15">
        <v>0.1394</v>
      </c>
      <c r="E119" s="16">
        <v>0.56000000000000005</v>
      </c>
    </row>
    <row r="120" spans="1:5" x14ac:dyDescent="0.25">
      <c r="A120" s="14">
        <v>745</v>
      </c>
      <c r="B120" s="15">
        <v>100</v>
      </c>
      <c r="C120" s="15">
        <v>7.6</v>
      </c>
      <c r="D120" s="15">
        <v>0.1469</v>
      </c>
      <c r="E120" s="16">
        <v>0.6</v>
      </c>
    </row>
    <row r="121" spans="1:5" x14ac:dyDescent="0.25">
      <c r="A121" s="14">
        <v>745</v>
      </c>
      <c r="B121" s="15">
        <v>120</v>
      </c>
      <c r="C121" s="15">
        <v>6.57</v>
      </c>
      <c r="D121" s="15">
        <v>0.158</v>
      </c>
      <c r="E121" s="16">
        <v>0.56999999999999995</v>
      </c>
    </row>
    <row r="122" spans="1:5" x14ac:dyDescent="0.25">
      <c r="A122" s="14">
        <v>745</v>
      </c>
      <c r="B122" s="15">
        <v>140</v>
      </c>
      <c r="C122" s="15">
        <v>5.4</v>
      </c>
      <c r="D122" s="15">
        <v>0.16700000000000001</v>
      </c>
      <c r="E122" s="16">
        <v>0.52</v>
      </c>
    </row>
    <row r="123" spans="1:5" x14ac:dyDescent="0.25">
      <c r="A123" s="14">
        <v>745</v>
      </c>
      <c r="B123" s="15">
        <v>160</v>
      </c>
      <c r="C123" s="15">
        <v>3.5</v>
      </c>
      <c r="D123" s="15">
        <v>0.17699999999999999</v>
      </c>
      <c r="E123" s="16">
        <v>0.36</v>
      </c>
    </row>
    <row r="124" spans="1:5" x14ac:dyDescent="0.25">
      <c r="A124" s="14">
        <v>745</v>
      </c>
      <c r="B124" s="15">
        <v>185</v>
      </c>
      <c r="C124" s="15">
        <v>0</v>
      </c>
      <c r="D124" s="15">
        <v>0.17899999999999999</v>
      </c>
      <c r="E124" s="16">
        <v>0</v>
      </c>
    </row>
    <row r="125" spans="1:5" s="1" customFormat="1" x14ac:dyDescent="0.25">
      <c r="A125" s="17">
        <v>746</v>
      </c>
      <c r="B125" s="18">
        <v>0</v>
      </c>
      <c r="C125" s="18">
        <v>8.4700000000000006</v>
      </c>
      <c r="D125" s="18">
        <v>0.13700000000000001</v>
      </c>
      <c r="E125" s="19">
        <v>0</v>
      </c>
    </row>
    <row r="126" spans="1:5" x14ac:dyDescent="0.25">
      <c r="A126" s="14">
        <v>746</v>
      </c>
      <c r="B126" s="15">
        <v>20</v>
      </c>
      <c r="C126" s="15">
        <v>8.66</v>
      </c>
      <c r="D126" s="15">
        <v>0.14199999999999999</v>
      </c>
      <c r="E126" s="16">
        <v>0.13</v>
      </c>
    </row>
    <row r="127" spans="1:5" x14ac:dyDescent="0.25">
      <c r="A127" s="14">
        <v>746</v>
      </c>
      <c r="B127" s="15">
        <v>40</v>
      </c>
      <c r="C127" s="15">
        <v>8.67</v>
      </c>
      <c r="D127" s="15">
        <v>0.14699999999999999</v>
      </c>
      <c r="E127" s="16">
        <v>0.26</v>
      </c>
    </row>
    <row r="128" spans="1:5" x14ac:dyDescent="0.25">
      <c r="A128" s="14">
        <v>746</v>
      </c>
      <c r="B128" s="15">
        <v>60</v>
      </c>
      <c r="C128" s="15">
        <v>8.56</v>
      </c>
      <c r="D128" s="15">
        <v>0.153</v>
      </c>
      <c r="E128" s="16">
        <v>0.38</v>
      </c>
    </row>
    <row r="129" spans="1:5" x14ac:dyDescent="0.25">
      <c r="A129" s="14">
        <v>746</v>
      </c>
      <c r="B129" s="15">
        <v>80</v>
      </c>
      <c r="C129" s="15">
        <v>8.3699999999999992</v>
      </c>
      <c r="D129" s="15">
        <v>0.16</v>
      </c>
      <c r="E129" s="16">
        <v>0.48</v>
      </c>
    </row>
    <row r="130" spans="1:5" x14ac:dyDescent="0.25">
      <c r="A130" s="14">
        <v>746</v>
      </c>
      <c r="B130" s="15">
        <v>95</v>
      </c>
      <c r="C130" s="15">
        <v>8.1999999999999993</v>
      </c>
      <c r="D130" s="15">
        <v>0.16600000000000001</v>
      </c>
      <c r="E130" s="16">
        <v>0.54</v>
      </c>
    </row>
    <row r="131" spans="1:5" x14ac:dyDescent="0.25">
      <c r="A131" s="14">
        <v>746</v>
      </c>
      <c r="B131" s="15">
        <v>120</v>
      </c>
      <c r="C131" s="15">
        <v>7.72</v>
      </c>
      <c r="D131" s="15">
        <v>0.17699999999999999</v>
      </c>
      <c r="E131" s="16">
        <v>0.60499999999999998</v>
      </c>
    </row>
    <row r="132" spans="1:5" x14ac:dyDescent="0.25">
      <c r="A132" s="14">
        <v>746</v>
      </c>
      <c r="B132" s="15">
        <v>124</v>
      </c>
      <c r="C132" s="15">
        <v>7.6</v>
      </c>
      <c r="D132" s="15">
        <v>0.17899999999999999</v>
      </c>
      <c r="E132" s="16">
        <v>0.61</v>
      </c>
    </row>
    <row r="133" spans="1:5" x14ac:dyDescent="0.25">
      <c r="A133" s="14">
        <v>746</v>
      </c>
      <c r="B133" s="15">
        <v>140</v>
      </c>
      <c r="C133" s="15">
        <v>7.19</v>
      </c>
      <c r="D133" s="15">
        <v>0.187</v>
      </c>
      <c r="E133" s="16">
        <v>0.61</v>
      </c>
    </row>
    <row r="134" spans="1:5" x14ac:dyDescent="0.25">
      <c r="A134" s="14">
        <v>746</v>
      </c>
      <c r="B134" s="15">
        <v>160</v>
      </c>
      <c r="C134" s="15">
        <v>6.5</v>
      </c>
      <c r="D134" s="15">
        <v>0.19900000000000001</v>
      </c>
      <c r="E134" s="16">
        <v>0.59</v>
      </c>
    </row>
    <row r="135" spans="1:5" x14ac:dyDescent="0.25">
      <c r="A135" s="14">
        <v>746</v>
      </c>
      <c r="B135" s="15">
        <v>180</v>
      </c>
      <c r="C135" s="15">
        <v>5.55</v>
      </c>
      <c r="D135" s="15">
        <v>0.21199999999999999</v>
      </c>
      <c r="E135" s="16">
        <v>0.53</v>
      </c>
    </row>
    <row r="136" spans="1:5" x14ac:dyDescent="0.25">
      <c r="A136" s="14">
        <v>746</v>
      </c>
      <c r="B136" s="15">
        <v>200</v>
      </c>
      <c r="C136" s="15">
        <v>4.4000000000000004</v>
      </c>
      <c r="D136" s="15">
        <v>0.22700000000000001</v>
      </c>
      <c r="E136" s="16">
        <v>0.44</v>
      </c>
    </row>
    <row r="137" spans="1:5" x14ac:dyDescent="0.25">
      <c r="A137" s="14">
        <v>746</v>
      </c>
      <c r="B137" s="15">
        <v>220</v>
      </c>
      <c r="C137" s="15">
        <v>3.07</v>
      </c>
      <c r="D137" s="15">
        <v>0.24299999999999999</v>
      </c>
      <c r="E137" s="16">
        <v>0.31</v>
      </c>
    </row>
    <row r="138" spans="1:5" x14ac:dyDescent="0.25">
      <c r="A138" s="14">
        <v>746</v>
      </c>
      <c r="B138" s="15">
        <v>240</v>
      </c>
      <c r="C138" s="15">
        <v>1.6</v>
      </c>
      <c r="D138" s="15">
        <v>0.26100000000000001</v>
      </c>
      <c r="E138" s="16">
        <v>0.17</v>
      </c>
    </row>
    <row r="139" spans="1:5" x14ac:dyDescent="0.25">
      <c r="A139" s="14">
        <v>746</v>
      </c>
      <c r="B139" s="15">
        <v>261</v>
      </c>
      <c r="C139" s="15">
        <v>0</v>
      </c>
      <c r="D139" s="15">
        <v>0.28199999999999997</v>
      </c>
      <c r="E139" s="16">
        <v>0</v>
      </c>
    </row>
    <row r="140" spans="1:5" s="1" customFormat="1" x14ac:dyDescent="0.25">
      <c r="A140" s="17">
        <v>747</v>
      </c>
      <c r="B140" s="18">
        <v>0</v>
      </c>
      <c r="C140" s="18">
        <v>7.6</v>
      </c>
      <c r="D140" s="18">
        <v>0.13600000000000001</v>
      </c>
      <c r="E140" s="19">
        <v>0</v>
      </c>
    </row>
    <row r="141" spans="1:5" x14ac:dyDescent="0.25">
      <c r="A141" s="14">
        <v>747</v>
      </c>
      <c r="B141" s="15">
        <v>40</v>
      </c>
      <c r="C141" s="15">
        <v>7.55</v>
      </c>
      <c r="D141" s="15">
        <v>0.16</v>
      </c>
      <c r="E141" s="16">
        <v>0.19589999999999999</v>
      </c>
    </row>
    <row r="142" spans="1:5" x14ac:dyDescent="0.25">
      <c r="A142" s="14">
        <v>747</v>
      </c>
      <c r="B142" s="15">
        <v>80</v>
      </c>
      <c r="C142" s="15">
        <v>7.71</v>
      </c>
      <c r="D142" s="15">
        <v>0.185</v>
      </c>
      <c r="E142" s="16">
        <v>0.37</v>
      </c>
    </row>
    <row r="143" spans="1:5" x14ac:dyDescent="0.25">
      <c r="A143" s="14">
        <v>747</v>
      </c>
      <c r="B143" s="15">
        <v>110</v>
      </c>
      <c r="C143" s="15">
        <v>7.75</v>
      </c>
      <c r="D143" s="15">
        <v>0.20300000000000001</v>
      </c>
      <c r="E143" s="16">
        <v>0.47639999999999999</v>
      </c>
    </row>
    <row r="144" spans="1:5" x14ac:dyDescent="0.25">
      <c r="A144" s="14">
        <v>747</v>
      </c>
      <c r="B144" s="15">
        <v>130</v>
      </c>
      <c r="C144" s="15">
        <v>7.7</v>
      </c>
      <c r="D144" s="15">
        <v>0.216</v>
      </c>
      <c r="E144" s="16">
        <v>0.53249999999999997</v>
      </c>
    </row>
    <row r="145" spans="1:5" x14ac:dyDescent="0.25">
      <c r="A145" s="14">
        <v>747</v>
      </c>
      <c r="B145" s="15">
        <v>145</v>
      </c>
      <c r="C145" s="15">
        <v>7.5</v>
      </c>
      <c r="D145" s="15">
        <v>0.22500000000000001</v>
      </c>
      <c r="E145" s="16">
        <v>0.55359999999999998</v>
      </c>
    </row>
    <row r="146" spans="1:5" x14ac:dyDescent="0.25">
      <c r="A146" s="14">
        <v>747</v>
      </c>
      <c r="B146" s="15">
        <v>159</v>
      </c>
      <c r="C146" s="15">
        <v>7.3</v>
      </c>
      <c r="D146" s="15">
        <v>0.23400000000000001</v>
      </c>
      <c r="E146" s="16">
        <v>0.56179999999999997</v>
      </c>
    </row>
    <row r="147" spans="1:5" x14ac:dyDescent="0.25">
      <c r="A147" s="14">
        <v>747</v>
      </c>
      <c r="B147" s="15">
        <v>190</v>
      </c>
      <c r="C147" s="15">
        <v>6.5</v>
      </c>
      <c r="D147" s="15">
        <v>0.253</v>
      </c>
      <c r="E147" s="16">
        <v>0.55000000000000004</v>
      </c>
    </row>
    <row r="148" spans="1:5" x14ac:dyDescent="0.25">
      <c r="A148" s="14">
        <v>747</v>
      </c>
      <c r="B148" s="15">
        <v>205</v>
      </c>
      <c r="C148" s="15">
        <v>6.1</v>
      </c>
      <c r="D148" s="15">
        <v>0.26200000000000001</v>
      </c>
      <c r="E148" s="16">
        <v>0.54</v>
      </c>
    </row>
    <row r="149" spans="1:5" x14ac:dyDescent="0.25">
      <c r="A149" s="14">
        <v>747</v>
      </c>
      <c r="B149" s="15">
        <v>240</v>
      </c>
      <c r="C149" s="15">
        <v>5.01</v>
      </c>
      <c r="D149" s="15">
        <v>0.28399999999999997</v>
      </c>
      <c r="E149" s="16">
        <v>0.48</v>
      </c>
    </row>
    <row r="150" spans="1:5" x14ac:dyDescent="0.25">
      <c r="A150" s="14">
        <v>747</v>
      </c>
      <c r="B150" s="15">
        <v>260</v>
      </c>
      <c r="C150" s="15">
        <v>4.4000000000000004</v>
      </c>
      <c r="D150" s="15">
        <v>0.29599999999999999</v>
      </c>
      <c r="E150" s="16">
        <v>0.44</v>
      </c>
    </row>
    <row r="151" spans="1:5" x14ac:dyDescent="0.25">
      <c r="A151" s="14">
        <v>747</v>
      </c>
      <c r="B151" s="15">
        <v>280</v>
      </c>
      <c r="C151" s="15">
        <v>3.74</v>
      </c>
      <c r="D151" s="15">
        <v>0.308</v>
      </c>
      <c r="E151" s="16">
        <v>0.39</v>
      </c>
    </row>
    <row r="152" spans="1:5" x14ac:dyDescent="0.25">
      <c r="A152" s="14">
        <v>747</v>
      </c>
      <c r="B152" s="15">
        <v>300</v>
      </c>
      <c r="C152" s="15">
        <v>2.97</v>
      </c>
      <c r="D152" s="15">
        <v>0.32</v>
      </c>
      <c r="E152" s="16">
        <v>0.31</v>
      </c>
    </row>
    <row r="153" spans="1:5" x14ac:dyDescent="0.25">
      <c r="A153" s="14">
        <v>747</v>
      </c>
      <c r="B153" s="15">
        <v>320</v>
      </c>
      <c r="C153" s="15">
        <v>2.04</v>
      </c>
      <c r="D153" s="15">
        <v>0.33100000000000002</v>
      </c>
      <c r="E153" s="16">
        <v>0.22</v>
      </c>
    </row>
    <row r="154" spans="1:5" x14ac:dyDescent="0.25">
      <c r="A154" s="14">
        <v>747</v>
      </c>
      <c r="B154" s="15">
        <v>355</v>
      </c>
      <c r="C154" s="15">
        <v>0</v>
      </c>
      <c r="D154" s="15">
        <v>0.35099999999999998</v>
      </c>
      <c r="E154" s="16">
        <v>0</v>
      </c>
    </row>
    <row r="155" spans="1:5" s="1" customFormat="1" x14ac:dyDescent="0.25">
      <c r="A155" s="17">
        <v>748</v>
      </c>
      <c r="B155" s="18">
        <v>0</v>
      </c>
      <c r="C155" s="18">
        <v>7.64</v>
      </c>
      <c r="D155" s="18">
        <v>0.154</v>
      </c>
      <c r="E155" s="19">
        <v>0</v>
      </c>
    </row>
    <row r="156" spans="1:5" x14ac:dyDescent="0.25">
      <c r="A156" s="14">
        <v>748</v>
      </c>
      <c r="B156" s="15">
        <v>30</v>
      </c>
      <c r="C156" s="15">
        <v>7.53</v>
      </c>
      <c r="D156" s="15">
        <v>0.16800000000000001</v>
      </c>
      <c r="E156" s="16">
        <v>0.15</v>
      </c>
    </row>
    <row r="157" spans="1:5" x14ac:dyDescent="0.25">
      <c r="A157" s="14">
        <v>748</v>
      </c>
      <c r="B157" s="15">
        <v>60</v>
      </c>
      <c r="C157" s="15">
        <v>7.6</v>
      </c>
      <c r="D157" s="15">
        <v>0.187</v>
      </c>
      <c r="E157" s="16">
        <v>0.28000000000000003</v>
      </c>
    </row>
    <row r="158" spans="1:5" x14ac:dyDescent="0.25">
      <c r="A158" s="14">
        <v>748</v>
      </c>
      <c r="B158" s="15">
        <v>90</v>
      </c>
      <c r="C158" s="15">
        <v>7.8</v>
      </c>
      <c r="D158" s="15">
        <v>0.20799999999999999</v>
      </c>
      <c r="E158" s="16">
        <v>0.38</v>
      </c>
    </row>
    <row r="159" spans="1:5" x14ac:dyDescent="0.25">
      <c r="A159" s="14">
        <v>748</v>
      </c>
      <c r="B159" s="15">
        <v>120</v>
      </c>
      <c r="C159" s="15">
        <v>7.81</v>
      </c>
      <c r="D159" s="15">
        <v>0.23200000000000001</v>
      </c>
      <c r="E159" s="16">
        <v>0.46</v>
      </c>
    </row>
    <row r="160" spans="1:5" x14ac:dyDescent="0.25">
      <c r="A160" s="14">
        <v>748</v>
      </c>
      <c r="B160" s="15">
        <v>150</v>
      </c>
      <c r="C160" s="15">
        <v>7.7</v>
      </c>
      <c r="D160" s="15">
        <v>0.25600000000000001</v>
      </c>
      <c r="E160" s="16">
        <v>0.51</v>
      </c>
    </row>
    <row r="161" spans="1:5" x14ac:dyDescent="0.25">
      <c r="A161" s="14">
        <v>748</v>
      </c>
      <c r="B161" s="15">
        <v>180</v>
      </c>
      <c r="C161" s="15">
        <v>7.29</v>
      </c>
      <c r="D161" s="15">
        <v>0.28000000000000003</v>
      </c>
      <c r="E161" s="16">
        <v>0.53</v>
      </c>
    </row>
    <row r="162" spans="1:5" x14ac:dyDescent="0.25">
      <c r="A162" s="14">
        <v>748</v>
      </c>
      <c r="B162" s="15">
        <v>199</v>
      </c>
      <c r="C162" s="15">
        <v>7</v>
      </c>
      <c r="D162" s="15">
        <v>0.29499999999999998</v>
      </c>
      <c r="E162" s="16">
        <v>0.53</v>
      </c>
    </row>
    <row r="163" spans="1:5" x14ac:dyDescent="0.25">
      <c r="A163" s="14">
        <v>748</v>
      </c>
      <c r="B163" s="15">
        <v>230</v>
      </c>
      <c r="C163" s="15">
        <v>6.28</v>
      </c>
      <c r="D163" s="15">
        <v>0.31900000000000001</v>
      </c>
      <c r="E163" s="16">
        <v>0.51</v>
      </c>
    </row>
    <row r="164" spans="1:5" x14ac:dyDescent="0.25">
      <c r="A164" s="14">
        <v>748</v>
      </c>
      <c r="B164" s="15">
        <v>255</v>
      </c>
      <c r="C164" s="15">
        <v>5.61</v>
      </c>
      <c r="D164" s="15">
        <v>0.33700000000000002</v>
      </c>
      <c r="E164" s="16">
        <v>0.48</v>
      </c>
    </row>
    <row r="165" spans="1:5" x14ac:dyDescent="0.25">
      <c r="A165" s="14">
        <v>748</v>
      </c>
      <c r="B165" s="15">
        <v>300</v>
      </c>
      <c r="C165" s="15">
        <v>4.0999999999999996</v>
      </c>
      <c r="D165" s="15">
        <v>0.36799999999999999</v>
      </c>
      <c r="E165" s="16">
        <v>0.37</v>
      </c>
    </row>
    <row r="166" spans="1:5" x14ac:dyDescent="0.25">
      <c r="A166" s="14">
        <v>748</v>
      </c>
      <c r="B166" s="15">
        <v>320</v>
      </c>
      <c r="C166" s="15">
        <v>3.2</v>
      </c>
      <c r="D166" s="15">
        <v>0.38100000000000001</v>
      </c>
      <c r="E166" s="16">
        <v>0.31</v>
      </c>
    </row>
    <row r="167" spans="1:5" x14ac:dyDescent="0.25">
      <c r="A167" s="14">
        <v>748</v>
      </c>
      <c r="B167" s="15">
        <v>350</v>
      </c>
      <c r="C167" s="15">
        <v>1.72</v>
      </c>
      <c r="D167" s="15">
        <v>0.39900000000000002</v>
      </c>
      <c r="E167" s="16">
        <v>0.17</v>
      </c>
    </row>
    <row r="168" spans="1:5" x14ac:dyDescent="0.25">
      <c r="A168" s="14">
        <v>748</v>
      </c>
      <c r="B168" s="15">
        <v>380</v>
      </c>
      <c r="C168" s="15">
        <v>0</v>
      </c>
      <c r="D168" s="15">
        <v>0.41699999999999998</v>
      </c>
      <c r="E168" s="16">
        <v>0</v>
      </c>
    </row>
    <row r="169" spans="1:5" s="1" customFormat="1" x14ac:dyDescent="0.25">
      <c r="A169" s="17">
        <v>749</v>
      </c>
      <c r="B169" s="18">
        <v>0</v>
      </c>
      <c r="C169" s="18">
        <v>6.8</v>
      </c>
      <c r="D169" s="18">
        <v>0.13600000000000001</v>
      </c>
      <c r="E169" s="19">
        <v>0</v>
      </c>
    </row>
    <row r="170" spans="1:5" x14ac:dyDescent="0.25">
      <c r="A170" s="14">
        <v>749</v>
      </c>
      <c r="B170" s="15">
        <v>40</v>
      </c>
      <c r="C170" s="15">
        <v>6.6</v>
      </c>
      <c r="D170" s="15">
        <v>0.16</v>
      </c>
      <c r="E170" s="16">
        <v>0.17699999999999999</v>
      </c>
    </row>
    <row r="171" spans="1:5" x14ac:dyDescent="0.25">
      <c r="A171" s="14">
        <v>749</v>
      </c>
      <c r="B171" s="15">
        <v>80</v>
      </c>
      <c r="C171" s="15">
        <v>6.4</v>
      </c>
      <c r="D171" s="15">
        <v>0.2</v>
      </c>
      <c r="E171" s="16">
        <v>0.28999999999999998</v>
      </c>
    </row>
    <row r="172" spans="1:5" x14ac:dyDescent="0.25">
      <c r="A172" s="14">
        <v>749</v>
      </c>
      <c r="B172" s="15">
        <v>120</v>
      </c>
      <c r="C172" s="15">
        <v>6.5</v>
      </c>
      <c r="D172" s="15">
        <v>0.24</v>
      </c>
      <c r="E172" s="16">
        <v>0.372</v>
      </c>
    </row>
    <row r="173" spans="1:5" x14ac:dyDescent="0.25">
      <c r="A173" s="14">
        <v>749</v>
      </c>
      <c r="B173" s="15">
        <v>160</v>
      </c>
      <c r="C173" s="15">
        <v>6.7</v>
      </c>
      <c r="D173" s="15">
        <v>0.28000000000000003</v>
      </c>
      <c r="E173" s="16">
        <v>0.437</v>
      </c>
    </row>
    <row r="174" spans="1:5" x14ac:dyDescent="0.25">
      <c r="A174" s="14">
        <v>749</v>
      </c>
      <c r="B174" s="15">
        <v>190</v>
      </c>
      <c r="C174" s="15">
        <v>6.7</v>
      </c>
      <c r="D174" s="15">
        <v>0.311</v>
      </c>
      <c r="E174" s="16">
        <v>0.47</v>
      </c>
    </row>
    <row r="175" spans="1:5" x14ac:dyDescent="0.25">
      <c r="A175" s="14">
        <v>749</v>
      </c>
      <c r="B175" s="15">
        <v>240</v>
      </c>
      <c r="C175" s="15">
        <v>6.2</v>
      </c>
      <c r="D175" s="15">
        <v>0.35899999999999999</v>
      </c>
      <c r="E175" s="16">
        <v>0.48</v>
      </c>
    </row>
    <row r="176" spans="1:5" x14ac:dyDescent="0.25">
      <c r="A176" s="14">
        <v>749</v>
      </c>
      <c r="B176" s="15">
        <v>280</v>
      </c>
      <c r="C176" s="15">
        <v>5.3</v>
      </c>
      <c r="D176" s="15">
        <v>0.39200000000000002</v>
      </c>
      <c r="E176" s="16">
        <v>0.43</v>
      </c>
    </row>
    <row r="177" spans="1:5" x14ac:dyDescent="0.25">
      <c r="A177" s="14">
        <v>749</v>
      </c>
      <c r="B177" s="15">
        <v>320</v>
      </c>
      <c r="C177" s="15">
        <v>3.83</v>
      </c>
      <c r="D177" s="15">
        <v>0.42</v>
      </c>
      <c r="E177" s="16">
        <v>0.34</v>
      </c>
    </row>
    <row r="178" spans="1:5" x14ac:dyDescent="0.25">
      <c r="A178" s="14">
        <v>749</v>
      </c>
      <c r="B178" s="15">
        <v>360</v>
      </c>
      <c r="C178" s="15">
        <v>2.2000000000000002</v>
      </c>
      <c r="D178" s="15">
        <v>0.44</v>
      </c>
      <c r="E178" s="16">
        <v>0.2</v>
      </c>
    </row>
    <row r="179" spans="1:5" x14ac:dyDescent="0.25">
      <c r="A179" s="14">
        <v>749</v>
      </c>
      <c r="B179" s="15">
        <v>400</v>
      </c>
      <c r="C179" s="15">
        <v>0.5</v>
      </c>
      <c r="D179" s="15">
        <v>0.442</v>
      </c>
      <c r="E179" s="16">
        <v>0.03</v>
      </c>
    </row>
    <row r="180" spans="1:5" x14ac:dyDescent="0.25">
      <c r="A180" s="14">
        <v>749</v>
      </c>
      <c r="B180" s="15">
        <v>410</v>
      </c>
      <c r="C180" s="15">
        <v>0</v>
      </c>
      <c r="D180" s="15">
        <v>0.442</v>
      </c>
      <c r="E180" s="16">
        <v>0</v>
      </c>
    </row>
    <row r="181" spans="1:5" s="1" customFormat="1" x14ac:dyDescent="0.25">
      <c r="A181" s="17">
        <v>750</v>
      </c>
      <c r="B181" s="18">
        <v>0</v>
      </c>
      <c r="C181" s="18">
        <v>6.75</v>
      </c>
      <c r="D181" s="18">
        <v>0.19900000000000001</v>
      </c>
      <c r="E181" s="19">
        <v>0.01</v>
      </c>
    </row>
    <row r="182" spans="1:5" x14ac:dyDescent="0.25">
      <c r="A182" s="14">
        <v>750</v>
      </c>
      <c r="B182" s="15">
        <v>40</v>
      </c>
      <c r="C182" s="15">
        <v>6.4</v>
      </c>
      <c r="D182" s="15">
        <v>0.22900000000000001</v>
      </c>
      <c r="E182" s="16">
        <v>0.11</v>
      </c>
    </row>
    <row r="183" spans="1:5" x14ac:dyDescent="0.25">
      <c r="A183" s="14">
        <v>750</v>
      </c>
      <c r="B183" s="15">
        <v>80</v>
      </c>
      <c r="C183" s="15">
        <v>6.32</v>
      </c>
      <c r="D183" s="15">
        <v>0.26</v>
      </c>
      <c r="E183" s="16">
        <v>0.21</v>
      </c>
    </row>
    <row r="184" spans="1:5" x14ac:dyDescent="0.25">
      <c r="A184" s="14">
        <v>750</v>
      </c>
      <c r="B184" s="15">
        <v>120</v>
      </c>
      <c r="C184" s="15">
        <v>6.37</v>
      </c>
      <c r="D184" s="15">
        <v>0.28999999999999998</v>
      </c>
      <c r="E184" s="16">
        <v>0.3</v>
      </c>
    </row>
    <row r="185" spans="1:5" x14ac:dyDescent="0.25">
      <c r="A185" s="14">
        <v>750</v>
      </c>
      <c r="B185" s="15">
        <v>160</v>
      </c>
      <c r="C185" s="15">
        <v>6.42</v>
      </c>
      <c r="D185" s="15">
        <v>0.32100000000000001</v>
      </c>
      <c r="E185" s="16">
        <v>0.37</v>
      </c>
    </row>
    <row r="186" spans="1:5" x14ac:dyDescent="0.25">
      <c r="A186" s="14">
        <v>750</v>
      </c>
      <c r="B186" s="15">
        <v>200</v>
      </c>
      <c r="C186" s="15">
        <v>6.35</v>
      </c>
      <c r="D186" s="15">
        <v>0.35099999999999998</v>
      </c>
      <c r="E186" s="16">
        <v>0.41909999999999997</v>
      </c>
    </row>
    <row r="187" spans="1:5" x14ac:dyDescent="0.25">
      <c r="A187" s="14">
        <v>750</v>
      </c>
      <c r="B187" s="15">
        <v>220</v>
      </c>
      <c r="C187" s="15">
        <v>6.25</v>
      </c>
      <c r="D187" s="15">
        <v>0.36599999999999999</v>
      </c>
      <c r="E187" s="16">
        <v>0.435</v>
      </c>
    </row>
    <row r="188" spans="1:5" x14ac:dyDescent="0.25">
      <c r="A188" s="14">
        <v>750</v>
      </c>
      <c r="B188" s="15">
        <v>240</v>
      </c>
      <c r="C188" s="15">
        <v>6.1</v>
      </c>
      <c r="D188" s="15">
        <v>0.38</v>
      </c>
      <c r="E188" s="16">
        <v>0.4425</v>
      </c>
    </row>
    <row r="189" spans="1:5" x14ac:dyDescent="0.25">
      <c r="A189" s="14">
        <v>750</v>
      </c>
      <c r="B189" s="15">
        <v>280</v>
      </c>
      <c r="C189" s="15">
        <v>5.63</v>
      </c>
      <c r="D189" s="15">
        <v>0.40799999999999997</v>
      </c>
      <c r="E189" s="16">
        <v>0.44</v>
      </c>
    </row>
    <row r="190" spans="1:5" x14ac:dyDescent="0.25">
      <c r="A190" s="14">
        <v>750</v>
      </c>
      <c r="B190" s="15">
        <v>300</v>
      </c>
      <c r="C190" s="15">
        <v>5.31</v>
      </c>
      <c r="D190" s="15">
        <v>0.42</v>
      </c>
      <c r="E190" s="16">
        <v>0.43</v>
      </c>
    </row>
    <row r="191" spans="1:5" x14ac:dyDescent="0.25">
      <c r="A191" s="14">
        <v>750</v>
      </c>
      <c r="B191" s="15">
        <v>320</v>
      </c>
      <c r="C191" s="15">
        <v>4.93</v>
      </c>
      <c r="D191" s="15">
        <v>0.433</v>
      </c>
      <c r="E191" s="16">
        <v>0.41</v>
      </c>
    </row>
    <row r="192" spans="1:5" x14ac:dyDescent="0.25">
      <c r="A192" s="14">
        <v>750</v>
      </c>
      <c r="B192" s="15">
        <v>350</v>
      </c>
      <c r="C192" s="15">
        <v>4.26</v>
      </c>
      <c r="D192" s="15">
        <v>0.45</v>
      </c>
      <c r="E192" s="16">
        <v>0.37</v>
      </c>
    </row>
    <row r="193" spans="1:5" x14ac:dyDescent="0.25">
      <c r="A193" s="14">
        <v>750</v>
      </c>
      <c r="B193" s="15">
        <v>400</v>
      </c>
      <c r="C193" s="15">
        <v>2.92</v>
      </c>
      <c r="D193" s="15">
        <v>0.47599999999999998</v>
      </c>
      <c r="E193" s="16">
        <v>0.27</v>
      </c>
    </row>
    <row r="194" spans="1:5" x14ac:dyDescent="0.25">
      <c r="A194" s="14">
        <v>750</v>
      </c>
      <c r="B194" s="15">
        <v>440</v>
      </c>
      <c r="C194" s="15">
        <v>1.73</v>
      </c>
      <c r="D194" s="15">
        <v>0.49199999999999999</v>
      </c>
      <c r="E194" s="16">
        <v>0.18</v>
      </c>
    </row>
    <row r="195" spans="1:5" x14ac:dyDescent="0.25">
      <c r="A195" s="14">
        <v>750</v>
      </c>
      <c r="B195" s="15">
        <v>480</v>
      </c>
      <c r="C195" s="15">
        <v>0.55000000000000004</v>
      </c>
      <c r="D195" s="15">
        <v>0.505</v>
      </c>
      <c r="E195" s="16">
        <v>0.06</v>
      </c>
    </row>
    <row r="196" spans="1:5" x14ac:dyDescent="0.25">
      <c r="A196" s="14">
        <v>750</v>
      </c>
      <c r="B196" s="15">
        <v>500</v>
      </c>
      <c r="C196" s="15">
        <v>0</v>
      </c>
      <c r="D196" s="15">
        <v>0.50900000000000001</v>
      </c>
      <c r="E196" s="16">
        <v>0</v>
      </c>
    </row>
    <row r="197" spans="1:5" s="1" customFormat="1" x14ac:dyDescent="0.25">
      <c r="A197" s="17">
        <v>751</v>
      </c>
      <c r="B197" s="18">
        <v>0</v>
      </c>
      <c r="C197" s="18">
        <v>8.1999999999999993</v>
      </c>
      <c r="D197" s="18">
        <v>7.0000000000000007E-2</v>
      </c>
      <c r="E197" s="19">
        <v>0</v>
      </c>
    </row>
    <row r="198" spans="1:5" x14ac:dyDescent="0.25">
      <c r="A198" s="14">
        <v>751</v>
      </c>
      <c r="B198" s="15">
        <v>10</v>
      </c>
      <c r="C198" s="15">
        <v>8.1</v>
      </c>
      <c r="D198" s="15">
        <v>7.0999999999999994E-2</v>
      </c>
      <c r="E198" s="16">
        <v>0.13</v>
      </c>
    </row>
    <row r="199" spans="1:5" x14ac:dyDescent="0.25">
      <c r="A199" s="14">
        <v>751</v>
      </c>
      <c r="B199" s="15">
        <v>20</v>
      </c>
      <c r="C199" s="15">
        <v>7.8</v>
      </c>
      <c r="D199" s="15">
        <v>7.1999999999999995E-2</v>
      </c>
      <c r="E199" s="16">
        <v>0.24</v>
      </c>
    </row>
    <row r="200" spans="1:5" x14ac:dyDescent="0.25">
      <c r="A200" s="14">
        <v>751</v>
      </c>
      <c r="B200" s="15">
        <v>30</v>
      </c>
      <c r="C200" s="15">
        <v>7.39</v>
      </c>
      <c r="D200" s="15">
        <v>7.2999999999999995E-2</v>
      </c>
      <c r="E200" s="16">
        <v>0.34</v>
      </c>
    </row>
    <row r="201" spans="1:5" x14ac:dyDescent="0.25">
      <c r="A201" s="14">
        <v>751</v>
      </c>
      <c r="B201" s="15">
        <v>35</v>
      </c>
      <c r="C201" s="15">
        <v>7.2</v>
      </c>
      <c r="D201" s="15">
        <v>7.2999999999999995E-2</v>
      </c>
      <c r="E201" s="16">
        <v>0.39</v>
      </c>
    </row>
    <row r="202" spans="1:5" x14ac:dyDescent="0.25">
      <c r="A202" s="14">
        <v>751</v>
      </c>
      <c r="B202" s="15">
        <v>40</v>
      </c>
      <c r="C202" s="15">
        <v>6.94</v>
      </c>
      <c r="D202" s="15">
        <v>7.2999999999999995E-2</v>
      </c>
      <c r="E202" s="16">
        <v>0.43</v>
      </c>
    </row>
    <row r="203" spans="1:5" x14ac:dyDescent="0.25">
      <c r="A203" s="14">
        <v>751</v>
      </c>
      <c r="B203" s="15">
        <v>50</v>
      </c>
      <c r="C203" s="15">
        <v>6.04</v>
      </c>
      <c r="D203" s="15">
        <v>7.3999999999999996E-2</v>
      </c>
      <c r="E203" s="16">
        <v>0.46</v>
      </c>
    </row>
    <row r="204" spans="1:5" x14ac:dyDescent="0.25">
      <c r="A204" s="14">
        <v>751</v>
      </c>
      <c r="B204" s="15">
        <v>60</v>
      </c>
      <c r="C204" s="15">
        <v>4.5</v>
      </c>
      <c r="D204" s="15">
        <v>7.8E-2</v>
      </c>
      <c r="E204" s="16">
        <v>0.4</v>
      </c>
    </row>
    <row r="205" spans="1:5" x14ac:dyDescent="0.25">
      <c r="A205" s="14">
        <v>751</v>
      </c>
      <c r="B205" s="15">
        <v>70</v>
      </c>
      <c r="C205" s="15">
        <v>2.8</v>
      </c>
      <c r="D205" s="15">
        <v>8.4000000000000005E-2</v>
      </c>
      <c r="E205" s="16">
        <v>0.27</v>
      </c>
    </row>
    <row r="206" spans="1:5" x14ac:dyDescent="0.25">
      <c r="A206" s="14">
        <v>751</v>
      </c>
      <c r="B206" s="15">
        <v>80</v>
      </c>
      <c r="C206" s="15">
        <v>1.3</v>
      </c>
      <c r="D206" s="15">
        <v>9.2999999999999999E-2</v>
      </c>
      <c r="E206" s="16">
        <v>0.12</v>
      </c>
    </row>
    <row r="207" spans="1:5" x14ac:dyDescent="0.25">
      <c r="A207" s="14">
        <v>751</v>
      </c>
      <c r="B207" s="15">
        <v>85</v>
      </c>
      <c r="C207" s="15">
        <v>0</v>
      </c>
      <c r="D207" s="15">
        <v>9.7000000000000003E-2</v>
      </c>
      <c r="E207" s="16">
        <v>0</v>
      </c>
    </row>
    <row r="208" spans="1:5" s="1" customFormat="1" x14ac:dyDescent="0.25">
      <c r="A208" s="17">
        <v>752</v>
      </c>
      <c r="B208" s="18">
        <v>0</v>
      </c>
      <c r="C208" s="18">
        <v>7.2</v>
      </c>
      <c r="D208" s="18">
        <v>5.5E-2</v>
      </c>
      <c r="E208" s="19">
        <v>0</v>
      </c>
    </row>
    <row r="209" spans="1:5" x14ac:dyDescent="0.25">
      <c r="A209" s="14">
        <v>752</v>
      </c>
      <c r="B209" s="15">
        <v>10</v>
      </c>
      <c r="C209" s="15">
        <v>7.24</v>
      </c>
      <c r="D209" s="15">
        <v>5.8000000000000003E-2</v>
      </c>
      <c r="E209" s="16">
        <v>0.14000000000000001</v>
      </c>
    </row>
    <row r="210" spans="1:5" x14ac:dyDescent="0.25">
      <c r="A210" s="14">
        <v>752</v>
      </c>
      <c r="B210" s="15">
        <v>20</v>
      </c>
      <c r="C210" s="15">
        <v>7.2</v>
      </c>
      <c r="D210" s="15">
        <v>6.0999999999999999E-2</v>
      </c>
      <c r="E210" s="16">
        <v>0.26</v>
      </c>
    </row>
    <row r="211" spans="1:5" x14ac:dyDescent="0.25">
      <c r="A211" s="14">
        <v>752</v>
      </c>
      <c r="B211" s="15">
        <v>30</v>
      </c>
      <c r="C211" s="15">
        <v>7.05</v>
      </c>
      <c r="D211" s="15">
        <v>6.5000000000000002E-2</v>
      </c>
      <c r="E211" s="16">
        <v>0.37</v>
      </c>
    </row>
    <row r="212" spans="1:5" x14ac:dyDescent="0.25">
      <c r="A212" s="14">
        <v>752</v>
      </c>
      <c r="B212" s="15">
        <v>35</v>
      </c>
      <c r="C212" s="15">
        <v>6.9</v>
      </c>
      <c r="D212" s="15">
        <v>6.7000000000000004E-2</v>
      </c>
      <c r="E212" s="16">
        <v>0.41</v>
      </c>
    </row>
    <row r="213" spans="1:5" x14ac:dyDescent="0.25">
      <c r="A213" s="14">
        <v>752</v>
      </c>
      <c r="B213" s="15">
        <v>40</v>
      </c>
      <c r="C213" s="15">
        <v>6.75</v>
      </c>
      <c r="D213" s="15">
        <v>6.8000000000000005E-2</v>
      </c>
      <c r="E213" s="16">
        <v>0.45</v>
      </c>
    </row>
    <row r="214" spans="1:5" x14ac:dyDescent="0.25">
      <c r="A214" s="14">
        <v>752</v>
      </c>
      <c r="B214" s="15">
        <v>50</v>
      </c>
      <c r="C214" s="15">
        <v>6.24</v>
      </c>
      <c r="D214" s="15">
        <v>7.0999999999999994E-2</v>
      </c>
      <c r="E214" s="16">
        <v>0.5</v>
      </c>
    </row>
    <row r="215" spans="1:5" x14ac:dyDescent="0.25">
      <c r="A215" s="14">
        <v>752</v>
      </c>
      <c r="B215" s="15">
        <v>60</v>
      </c>
      <c r="C215" s="15">
        <v>5.46</v>
      </c>
      <c r="D215" s="15">
        <v>7.1999999999999995E-2</v>
      </c>
      <c r="E215" s="16">
        <v>0.51</v>
      </c>
    </row>
    <row r="216" spans="1:5" x14ac:dyDescent="0.25">
      <c r="A216" s="14">
        <v>752</v>
      </c>
      <c r="B216" s="15">
        <v>70</v>
      </c>
      <c r="C216" s="15">
        <v>4.4000000000000004</v>
      </c>
      <c r="D216" s="15">
        <v>7.3999999999999996E-2</v>
      </c>
      <c r="E216" s="16">
        <v>0.47</v>
      </c>
    </row>
    <row r="217" spans="1:5" x14ac:dyDescent="0.25">
      <c r="A217" s="14">
        <v>752</v>
      </c>
      <c r="B217" s="15">
        <v>80</v>
      </c>
      <c r="C217" s="15">
        <v>3.04</v>
      </c>
      <c r="D217" s="15">
        <v>7.5999999999999998E-2</v>
      </c>
      <c r="E217" s="16">
        <v>0.36</v>
      </c>
    </row>
    <row r="218" spans="1:5" x14ac:dyDescent="0.25">
      <c r="A218" s="14">
        <v>752</v>
      </c>
      <c r="B218" s="15">
        <v>90</v>
      </c>
      <c r="C218" s="15">
        <v>1.53</v>
      </c>
      <c r="D218" s="15">
        <v>7.9000000000000001E-2</v>
      </c>
      <c r="E218" s="16">
        <v>0.21</v>
      </c>
    </row>
    <row r="219" spans="1:5" x14ac:dyDescent="0.25">
      <c r="A219" s="14">
        <v>752</v>
      </c>
      <c r="B219" s="15">
        <v>100</v>
      </c>
      <c r="C219" s="15">
        <v>0</v>
      </c>
      <c r="D219" s="15">
        <v>8.5000000000000006E-2</v>
      </c>
      <c r="E219" s="16">
        <v>0</v>
      </c>
    </row>
    <row r="220" spans="1:5" s="1" customFormat="1" x14ac:dyDescent="0.25">
      <c r="A220" s="17">
        <v>753</v>
      </c>
      <c r="B220" s="18">
        <v>0</v>
      </c>
      <c r="C220" s="18">
        <v>7.29</v>
      </c>
      <c r="D220" s="18">
        <v>0.40600000000000003</v>
      </c>
      <c r="E220" s="19">
        <v>0</v>
      </c>
    </row>
    <row r="221" spans="1:5" x14ac:dyDescent="0.25">
      <c r="A221" s="14">
        <v>753</v>
      </c>
      <c r="B221" s="15">
        <v>50</v>
      </c>
      <c r="C221" s="15">
        <v>7.21</v>
      </c>
      <c r="D221" s="15">
        <v>0.42099999999999999</v>
      </c>
      <c r="E221" s="16">
        <v>0.1</v>
      </c>
    </row>
    <row r="222" spans="1:5" x14ac:dyDescent="0.25">
      <c r="A222" s="14">
        <v>753</v>
      </c>
      <c r="B222" s="15">
        <v>100</v>
      </c>
      <c r="C222" s="15">
        <v>7.11</v>
      </c>
      <c r="D222" s="15">
        <v>0.439</v>
      </c>
      <c r="E222" s="16">
        <v>0.18</v>
      </c>
    </row>
    <row r="223" spans="1:5" x14ac:dyDescent="0.25">
      <c r="A223" s="14">
        <v>753</v>
      </c>
      <c r="B223" s="15">
        <v>150</v>
      </c>
      <c r="C223" s="15">
        <v>6.92</v>
      </c>
      <c r="D223" s="15">
        <v>0.46800000000000003</v>
      </c>
      <c r="E223" s="16">
        <v>0.26</v>
      </c>
    </row>
    <row r="224" spans="1:5" x14ac:dyDescent="0.25">
      <c r="A224" s="14">
        <v>753</v>
      </c>
      <c r="B224" s="15">
        <v>200</v>
      </c>
      <c r="C224" s="15">
        <v>6.77</v>
      </c>
      <c r="D224" s="15">
        <v>0.48799999999999999</v>
      </c>
      <c r="E224" s="16">
        <v>0.32</v>
      </c>
    </row>
    <row r="225" spans="1:5" x14ac:dyDescent="0.25">
      <c r="A225" s="14">
        <v>753</v>
      </c>
      <c r="B225" s="15">
        <v>250</v>
      </c>
      <c r="C225" s="15">
        <v>6.51</v>
      </c>
      <c r="D225" s="15">
        <v>0.48899999999999999</v>
      </c>
      <c r="E225" s="16">
        <v>0.38</v>
      </c>
    </row>
    <row r="226" spans="1:5" x14ac:dyDescent="0.25">
      <c r="A226" s="14">
        <v>753</v>
      </c>
      <c r="B226" s="15">
        <v>300</v>
      </c>
      <c r="C226" s="15">
        <v>6.03</v>
      </c>
      <c r="D226" s="15">
        <v>0.47399999999999998</v>
      </c>
      <c r="E226" s="16">
        <v>0.43</v>
      </c>
    </row>
    <row r="227" spans="1:5" x14ac:dyDescent="0.25">
      <c r="A227" s="14">
        <v>753</v>
      </c>
      <c r="B227" s="15">
        <v>350</v>
      </c>
      <c r="C227" s="15">
        <v>5.47</v>
      </c>
      <c r="D227" s="15">
        <v>0.45800000000000002</v>
      </c>
      <c r="E227" s="16">
        <v>0.47</v>
      </c>
    </row>
    <row r="228" spans="1:5" x14ac:dyDescent="0.25">
      <c r="A228" s="14">
        <v>753</v>
      </c>
      <c r="B228" s="15">
        <v>400</v>
      </c>
      <c r="C228" s="15">
        <v>5.0599999999999996</v>
      </c>
      <c r="D228" s="15">
        <v>0.45300000000000001</v>
      </c>
      <c r="E228" s="16">
        <v>0.51</v>
      </c>
    </row>
    <row r="229" spans="1:5" x14ac:dyDescent="0.25">
      <c r="A229" s="14">
        <v>753</v>
      </c>
      <c r="B229" s="15">
        <v>450</v>
      </c>
      <c r="C229" s="15">
        <v>4.8899999999999997</v>
      </c>
      <c r="D229" s="15">
        <v>0.46200000000000002</v>
      </c>
      <c r="E229" s="16">
        <v>0.54700000000000004</v>
      </c>
    </row>
    <row r="230" spans="1:5" x14ac:dyDescent="0.25">
      <c r="A230" s="14">
        <v>753</v>
      </c>
      <c r="B230" s="15">
        <v>500</v>
      </c>
      <c r="C230" s="15">
        <v>4.79</v>
      </c>
      <c r="D230" s="15">
        <v>0.47899999999999998</v>
      </c>
      <c r="E230" s="16">
        <v>0.56999999999999995</v>
      </c>
    </row>
    <row r="231" spans="1:5" x14ac:dyDescent="0.25">
      <c r="A231" s="14">
        <v>753</v>
      </c>
      <c r="B231" s="15">
        <v>550</v>
      </c>
      <c r="C231" s="15">
        <v>4.51</v>
      </c>
      <c r="D231" s="15">
        <v>0.48799999999999999</v>
      </c>
      <c r="E231" s="16">
        <v>0.57999999999999996</v>
      </c>
    </row>
    <row r="232" spans="1:5" x14ac:dyDescent="0.25">
      <c r="A232" s="14">
        <v>753</v>
      </c>
      <c r="B232" s="15">
        <v>600</v>
      </c>
      <c r="C232" s="15">
        <v>3.93</v>
      </c>
      <c r="D232" s="15">
        <v>0.48299999999999998</v>
      </c>
      <c r="E232" s="16">
        <v>0.56000000000000005</v>
      </c>
    </row>
    <row r="233" spans="1:5" x14ac:dyDescent="0.25">
      <c r="A233" s="14">
        <v>753</v>
      </c>
      <c r="B233" s="15">
        <v>650</v>
      </c>
      <c r="C233" s="15">
        <v>3.14</v>
      </c>
      <c r="D233" s="15">
        <v>0.46700000000000003</v>
      </c>
      <c r="E233" s="16">
        <v>0.47599999999999998</v>
      </c>
    </row>
    <row r="234" spans="1:5" x14ac:dyDescent="0.25">
      <c r="A234" s="14">
        <v>753</v>
      </c>
      <c r="B234" s="15">
        <v>700</v>
      </c>
      <c r="C234" s="15">
        <v>2.12</v>
      </c>
      <c r="D234" s="15">
        <v>0.45</v>
      </c>
      <c r="E234" s="16">
        <v>0.36</v>
      </c>
    </row>
    <row r="235" spans="1:5" x14ac:dyDescent="0.25">
      <c r="A235" s="14">
        <v>753</v>
      </c>
      <c r="B235" s="15">
        <v>750</v>
      </c>
      <c r="C235" s="15">
        <v>0.94</v>
      </c>
      <c r="D235" s="15">
        <v>0.41699999999999998</v>
      </c>
      <c r="E235" s="16">
        <v>0.18</v>
      </c>
    </row>
    <row r="236" spans="1:5" x14ac:dyDescent="0.25">
      <c r="A236" s="14">
        <v>753</v>
      </c>
      <c r="B236" s="15">
        <v>780</v>
      </c>
      <c r="C236" s="15">
        <v>0</v>
      </c>
      <c r="D236" s="15">
        <v>0.40600000000000003</v>
      </c>
      <c r="E236" s="16">
        <v>0</v>
      </c>
    </row>
    <row r="237" spans="1:5" s="1" customFormat="1" x14ac:dyDescent="0.25">
      <c r="A237" s="17">
        <v>754</v>
      </c>
      <c r="B237" s="18">
        <v>0</v>
      </c>
      <c r="C237" s="18">
        <v>5.0999999999999996</v>
      </c>
      <c r="D237" s="18">
        <v>0.35399999999999998</v>
      </c>
      <c r="E237" s="19">
        <v>0</v>
      </c>
    </row>
    <row r="238" spans="1:5" x14ac:dyDescent="0.25">
      <c r="A238" s="14">
        <v>754</v>
      </c>
      <c r="B238" s="15">
        <v>100</v>
      </c>
      <c r="C238" s="15">
        <v>5.16</v>
      </c>
      <c r="D238" s="15">
        <v>0.38300000000000001</v>
      </c>
      <c r="E238" s="16">
        <v>0.16</v>
      </c>
    </row>
    <row r="239" spans="1:5" x14ac:dyDescent="0.25">
      <c r="A239" s="14">
        <v>754</v>
      </c>
      <c r="B239" s="15">
        <v>200</v>
      </c>
      <c r="C239" s="15">
        <v>5.31</v>
      </c>
      <c r="D239" s="15">
        <v>0.443</v>
      </c>
      <c r="E239" s="16">
        <v>0.27</v>
      </c>
    </row>
    <row r="240" spans="1:5" x14ac:dyDescent="0.25">
      <c r="A240" s="14">
        <v>754</v>
      </c>
      <c r="B240" s="15">
        <v>300</v>
      </c>
      <c r="C240" s="15">
        <v>5.38</v>
      </c>
      <c r="D240" s="15">
        <v>0.48699999999999999</v>
      </c>
      <c r="E240" s="16">
        <v>0.37</v>
      </c>
    </row>
    <row r="241" spans="1:5" x14ac:dyDescent="0.25">
      <c r="A241" s="14">
        <v>754</v>
      </c>
      <c r="B241" s="15">
        <v>400</v>
      </c>
      <c r="C241" s="15">
        <v>5.14</v>
      </c>
      <c r="D241" s="15">
        <v>0.51100000000000001</v>
      </c>
      <c r="E241" s="16">
        <v>0.46</v>
      </c>
    </row>
    <row r="242" spans="1:5" x14ac:dyDescent="0.25">
      <c r="A242" s="14">
        <v>754</v>
      </c>
      <c r="B242" s="15">
        <v>500</v>
      </c>
      <c r="C242" s="15">
        <v>4.8600000000000003</v>
      </c>
      <c r="D242" s="15">
        <v>0.52400000000000002</v>
      </c>
      <c r="E242" s="16">
        <v>0.53</v>
      </c>
    </row>
    <row r="243" spans="1:5" x14ac:dyDescent="0.25">
      <c r="A243" s="14">
        <v>754</v>
      </c>
      <c r="B243" s="15">
        <v>550</v>
      </c>
      <c r="C243" s="15">
        <v>4.76</v>
      </c>
      <c r="D243" s="15">
        <v>0.53100000000000003</v>
      </c>
      <c r="E243" s="16">
        <v>0.56000000000000005</v>
      </c>
    </row>
    <row r="244" spans="1:5" x14ac:dyDescent="0.25">
      <c r="A244" s="14">
        <v>754</v>
      </c>
      <c r="B244" s="15">
        <v>600</v>
      </c>
      <c r="C244" s="15">
        <v>4.6500000000000004</v>
      </c>
      <c r="D244" s="15">
        <v>0.53700000000000003</v>
      </c>
      <c r="E244" s="16">
        <v>0.59</v>
      </c>
    </row>
    <row r="245" spans="1:5" x14ac:dyDescent="0.25">
      <c r="A245" s="14">
        <v>754</v>
      </c>
      <c r="B245" s="15">
        <v>700</v>
      </c>
      <c r="C245" s="15">
        <v>4.29</v>
      </c>
      <c r="D245" s="15">
        <v>0.55000000000000004</v>
      </c>
      <c r="E245" s="16">
        <v>0.62</v>
      </c>
    </row>
    <row r="246" spans="1:5" x14ac:dyDescent="0.25">
      <c r="A246" s="14">
        <v>754</v>
      </c>
      <c r="B246" s="15">
        <v>800</v>
      </c>
      <c r="C246" s="15">
        <v>3.63</v>
      </c>
      <c r="D246" s="15">
        <v>0.55100000000000005</v>
      </c>
      <c r="E246" s="16">
        <v>0.61</v>
      </c>
    </row>
    <row r="247" spans="1:5" x14ac:dyDescent="0.25">
      <c r="A247" s="14">
        <v>754</v>
      </c>
      <c r="B247" s="15">
        <v>840</v>
      </c>
      <c r="C247" s="15">
        <v>3.28</v>
      </c>
      <c r="D247" s="15">
        <v>0.54400000000000004</v>
      </c>
      <c r="E247" s="16">
        <v>0.59</v>
      </c>
    </row>
    <row r="248" spans="1:5" x14ac:dyDescent="0.25">
      <c r="A248" s="14">
        <v>754</v>
      </c>
      <c r="B248" s="15">
        <v>900</v>
      </c>
      <c r="C248" s="15">
        <v>2.66</v>
      </c>
      <c r="D248" s="15">
        <v>0.52300000000000002</v>
      </c>
      <c r="E248" s="16">
        <v>0.52</v>
      </c>
    </row>
    <row r="249" spans="1:5" x14ac:dyDescent="0.25">
      <c r="A249" s="14">
        <v>754</v>
      </c>
      <c r="B249" s="15">
        <v>1000</v>
      </c>
      <c r="C249" s="15">
        <v>1.1200000000000001</v>
      </c>
      <c r="D249" s="15">
        <v>0.45800000000000002</v>
      </c>
      <c r="E249" s="16">
        <v>0.25</v>
      </c>
    </row>
    <row r="250" spans="1:5" x14ac:dyDescent="0.25">
      <c r="A250" s="14">
        <v>754</v>
      </c>
      <c r="B250" s="15">
        <v>1050</v>
      </c>
      <c r="C250" s="15">
        <v>0</v>
      </c>
      <c r="D250" s="15">
        <v>0.41699999999999998</v>
      </c>
      <c r="E250" s="16">
        <v>0</v>
      </c>
    </row>
    <row r="251" spans="1:5" s="1" customFormat="1" x14ac:dyDescent="0.25">
      <c r="A251" s="17">
        <v>755</v>
      </c>
      <c r="B251" s="18">
        <v>0</v>
      </c>
      <c r="C251" s="18">
        <v>6.44</v>
      </c>
      <c r="D251" s="18">
        <v>0.57399999999999995</v>
      </c>
      <c r="E251" s="19">
        <v>0</v>
      </c>
    </row>
    <row r="252" spans="1:5" x14ac:dyDescent="0.25">
      <c r="A252" s="14">
        <v>755</v>
      </c>
      <c r="B252" s="15">
        <v>100</v>
      </c>
      <c r="C252" s="15">
        <v>6.44</v>
      </c>
      <c r="D252" s="15">
        <v>0.64</v>
      </c>
      <c r="E252" s="16">
        <v>0.11</v>
      </c>
    </row>
    <row r="253" spans="1:5" x14ac:dyDescent="0.25">
      <c r="A253" s="14">
        <v>755</v>
      </c>
      <c r="B253" s="15">
        <v>200</v>
      </c>
      <c r="C253" s="15">
        <v>6.61</v>
      </c>
      <c r="D253" s="15">
        <v>0.71499999999999997</v>
      </c>
      <c r="E253" s="16">
        <v>0.21</v>
      </c>
    </row>
    <row r="254" spans="1:5" x14ac:dyDescent="0.25">
      <c r="A254" s="14">
        <v>755</v>
      </c>
      <c r="B254" s="15">
        <v>300</v>
      </c>
      <c r="C254" s="15">
        <v>6.71</v>
      </c>
      <c r="D254" s="15">
        <v>0.77800000000000002</v>
      </c>
      <c r="E254" s="16">
        <v>0.28999999999999998</v>
      </c>
    </row>
    <row r="255" spans="1:5" x14ac:dyDescent="0.25">
      <c r="A255" s="14">
        <v>755</v>
      </c>
      <c r="B255" s="15">
        <v>400</v>
      </c>
      <c r="C255" s="15">
        <v>6.67</v>
      </c>
      <c r="D255" s="15">
        <v>0.82199999999999995</v>
      </c>
      <c r="E255" s="16">
        <v>0.36</v>
      </c>
    </row>
    <row r="256" spans="1:5" x14ac:dyDescent="0.25">
      <c r="A256" s="14">
        <v>755</v>
      </c>
      <c r="B256" s="15">
        <v>500</v>
      </c>
      <c r="C256" s="15">
        <v>6.52</v>
      </c>
      <c r="D256" s="15">
        <v>0.86099999999999999</v>
      </c>
      <c r="E256" s="16">
        <v>0.42</v>
      </c>
    </row>
    <row r="257" spans="1:5" x14ac:dyDescent="0.25">
      <c r="A257" s="14">
        <v>755</v>
      </c>
      <c r="B257" s="15">
        <v>600</v>
      </c>
      <c r="C257" s="15">
        <v>6.32</v>
      </c>
      <c r="D257" s="15">
        <v>0.89800000000000002</v>
      </c>
      <c r="E257" s="16">
        <v>0.48</v>
      </c>
    </row>
    <row r="258" spans="1:5" x14ac:dyDescent="0.25">
      <c r="A258" s="14">
        <v>755</v>
      </c>
      <c r="B258" s="15">
        <v>700</v>
      </c>
      <c r="C258" s="15">
        <v>6.14</v>
      </c>
      <c r="D258" s="15">
        <v>0.93300000000000005</v>
      </c>
      <c r="E258" s="16">
        <v>0.53</v>
      </c>
    </row>
    <row r="259" spans="1:5" x14ac:dyDescent="0.25">
      <c r="A259" s="14">
        <v>755</v>
      </c>
      <c r="B259" s="15">
        <v>800</v>
      </c>
      <c r="C259" s="15">
        <v>6.02</v>
      </c>
      <c r="D259" s="15">
        <v>0.96699999999999997</v>
      </c>
      <c r="E259" s="16">
        <v>0.56999999999999995</v>
      </c>
    </row>
    <row r="260" spans="1:5" x14ac:dyDescent="0.25">
      <c r="A260" s="14">
        <v>755</v>
      </c>
      <c r="B260" s="15">
        <v>900</v>
      </c>
      <c r="C260" s="15">
        <v>5.93</v>
      </c>
      <c r="D260" s="15">
        <v>0.999</v>
      </c>
      <c r="E260" s="16">
        <v>0.61</v>
      </c>
    </row>
    <row r="261" spans="1:5" x14ac:dyDescent="0.25">
      <c r="A261" s="14">
        <v>755</v>
      </c>
      <c r="B261" s="15">
        <v>1000</v>
      </c>
      <c r="C261" s="15">
        <v>5.81</v>
      </c>
      <c r="D261" s="15">
        <v>1.026</v>
      </c>
      <c r="E261" s="16">
        <v>0.64</v>
      </c>
    </row>
    <row r="262" spans="1:5" x14ac:dyDescent="0.25">
      <c r="A262" s="14">
        <v>755</v>
      </c>
      <c r="B262" s="15">
        <v>1100</v>
      </c>
      <c r="C262" s="15">
        <v>5.54</v>
      </c>
      <c r="D262" s="15">
        <v>1.0469999999999999</v>
      </c>
      <c r="E262" s="16">
        <v>0.65</v>
      </c>
    </row>
    <row r="263" spans="1:5" x14ac:dyDescent="0.25">
      <c r="A263" s="14">
        <v>755</v>
      </c>
      <c r="B263" s="15">
        <v>1200</v>
      </c>
      <c r="C263" s="15">
        <v>5.0599999999999996</v>
      </c>
      <c r="D263" s="15">
        <v>1.0569999999999999</v>
      </c>
      <c r="E263" s="16">
        <v>0.64700000000000002</v>
      </c>
    </row>
    <row r="264" spans="1:5" x14ac:dyDescent="0.25">
      <c r="A264" s="14">
        <v>755</v>
      </c>
      <c r="B264" s="15">
        <v>1300</v>
      </c>
      <c r="C264" s="15">
        <v>4.3</v>
      </c>
      <c r="D264" s="15">
        <v>1.0509999999999999</v>
      </c>
      <c r="E264" s="16">
        <v>0.61</v>
      </c>
    </row>
    <row r="265" spans="1:5" x14ac:dyDescent="0.25">
      <c r="A265" s="14">
        <v>755</v>
      </c>
      <c r="B265" s="15">
        <v>1400</v>
      </c>
      <c r="C265" s="15">
        <v>3.3</v>
      </c>
      <c r="D265" s="15">
        <v>1.022</v>
      </c>
      <c r="E265" s="16">
        <v>0.53</v>
      </c>
    </row>
    <row r="266" spans="1:5" x14ac:dyDescent="0.25">
      <c r="A266" s="14">
        <v>755</v>
      </c>
      <c r="B266" s="15">
        <v>1500</v>
      </c>
      <c r="C266" s="15">
        <v>2.0099999999999998</v>
      </c>
      <c r="D266" s="15">
        <v>0.95399999999999996</v>
      </c>
      <c r="E266" s="16">
        <v>0.35199999999999998</v>
      </c>
    </row>
    <row r="267" spans="1:5" x14ac:dyDescent="0.25">
      <c r="A267" s="14">
        <v>755</v>
      </c>
      <c r="B267" s="15">
        <v>1600</v>
      </c>
      <c r="C267" s="15">
        <v>0</v>
      </c>
      <c r="D267" s="15">
        <v>0.80100000000000005</v>
      </c>
      <c r="E267" s="16">
        <v>0</v>
      </c>
    </row>
    <row r="268" spans="1:5" s="1" customFormat="1" x14ac:dyDescent="0.25">
      <c r="A268" s="17">
        <v>756</v>
      </c>
      <c r="B268" s="18">
        <v>0</v>
      </c>
      <c r="C268" s="18">
        <v>12.12</v>
      </c>
      <c r="D268" s="18">
        <v>0.27400000000000002</v>
      </c>
      <c r="E268" s="19">
        <v>0</v>
      </c>
    </row>
    <row r="269" spans="1:5" x14ac:dyDescent="0.25">
      <c r="A269" s="14">
        <v>756</v>
      </c>
      <c r="B269" s="15">
        <v>20</v>
      </c>
      <c r="C269" s="15">
        <v>11.94</v>
      </c>
      <c r="D269" s="15">
        <v>0.27610000000000001</v>
      </c>
      <c r="E269" s="16">
        <v>8.8700000000000001E-2</v>
      </c>
    </row>
    <row r="270" spans="1:5" x14ac:dyDescent="0.25">
      <c r="A270" s="14">
        <v>756</v>
      </c>
      <c r="B270" s="15">
        <v>40</v>
      </c>
      <c r="C270" s="15">
        <v>11.81</v>
      </c>
      <c r="D270" s="15">
        <v>0.27750000000000002</v>
      </c>
      <c r="E270" s="16">
        <v>0.18</v>
      </c>
    </row>
    <row r="271" spans="1:5" x14ac:dyDescent="0.25">
      <c r="A271" s="14">
        <v>756</v>
      </c>
      <c r="B271" s="15">
        <v>60</v>
      </c>
      <c r="C271" s="15">
        <v>11.68</v>
      </c>
      <c r="D271" s="15">
        <v>0.27800000000000002</v>
      </c>
      <c r="E271" s="16">
        <v>0.28360000000000002</v>
      </c>
    </row>
    <row r="272" spans="1:5" x14ac:dyDescent="0.25">
      <c r="A272" s="14">
        <v>756</v>
      </c>
      <c r="B272" s="15">
        <v>80</v>
      </c>
      <c r="C272" s="15">
        <v>11.49</v>
      </c>
      <c r="D272" s="15">
        <v>0.27700000000000002</v>
      </c>
      <c r="E272" s="16">
        <v>0.38</v>
      </c>
    </row>
    <row r="273" spans="1:5" x14ac:dyDescent="0.25">
      <c r="A273" s="14">
        <v>756</v>
      </c>
      <c r="B273" s="15">
        <v>100</v>
      </c>
      <c r="C273" s="15">
        <v>11.2</v>
      </c>
      <c r="D273" s="15">
        <v>0.27900000000000003</v>
      </c>
      <c r="E273" s="16">
        <v>0.46</v>
      </c>
    </row>
    <row r="274" spans="1:5" x14ac:dyDescent="0.25">
      <c r="A274" s="14">
        <v>756</v>
      </c>
      <c r="B274" s="15">
        <v>120</v>
      </c>
      <c r="C274" s="15">
        <v>10.76</v>
      </c>
      <c r="D274" s="15">
        <v>0.28260000000000002</v>
      </c>
      <c r="E274" s="16">
        <v>0.51559999999999995</v>
      </c>
    </row>
    <row r="275" spans="1:5" x14ac:dyDescent="0.25">
      <c r="A275" s="14">
        <v>756</v>
      </c>
      <c r="B275" s="15">
        <v>130</v>
      </c>
      <c r="C275" s="15">
        <v>10.49</v>
      </c>
      <c r="D275" s="15">
        <v>0.28799999999999998</v>
      </c>
      <c r="E275" s="16">
        <v>0.53</v>
      </c>
    </row>
    <row r="276" spans="1:5" x14ac:dyDescent="0.25">
      <c r="A276" s="14">
        <v>756</v>
      </c>
      <c r="B276" s="15">
        <v>160</v>
      </c>
      <c r="C276" s="15">
        <v>9.39</v>
      </c>
      <c r="D276" s="15">
        <v>0.30599999999999999</v>
      </c>
      <c r="E276" s="16">
        <v>0.55000000000000004</v>
      </c>
    </row>
    <row r="277" spans="1:5" x14ac:dyDescent="0.25">
      <c r="A277" s="14">
        <v>756</v>
      </c>
      <c r="B277" s="15">
        <v>180</v>
      </c>
      <c r="C277" s="15">
        <v>8.42</v>
      </c>
      <c r="D277" s="15">
        <v>0.32300000000000001</v>
      </c>
      <c r="E277" s="16">
        <v>0.53</v>
      </c>
    </row>
    <row r="278" spans="1:5" x14ac:dyDescent="0.25">
      <c r="A278" s="14">
        <v>756</v>
      </c>
      <c r="B278" s="15">
        <v>200</v>
      </c>
      <c r="C278" s="15">
        <v>7.28</v>
      </c>
      <c r="D278" s="15">
        <v>0.34300000000000003</v>
      </c>
      <c r="E278" s="16">
        <v>0.48</v>
      </c>
    </row>
    <row r="279" spans="1:5" x14ac:dyDescent="0.25">
      <c r="A279" s="14">
        <v>756</v>
      </c>
      <c r="B279" s="15">
        <v>220</v>
      </c>
      <c r="C279" s="15">
        <v>5.97</v>
      </c>
      <c r="D279" s="15">
        <v>0.36499999999999999</v>
      </c>
      <c r="E279" s="16">
        <v>0.41</v>
      </c>
    </row>
    <row r="280" spans="1:5" x14ac:dyDescent="0.25">
      <c r="A280" s="14">
        <v>756</v>
      </c>
      <c r="B280" s="15">
        <v>240</v>
      </c>
      <c r="C280" s="15">
        <v>4.53</v>
      </c>
      <c r="D280" s="15">
        <v>0.38600000000000001</v>
      </c>
      <c r="E280" s="16">
        <v>0.32</v>
      </c>
    </row>
    <row r="281" spans="1:5" x14ac:dyDescent="0.25">
      <c r="A281" s="14">
        <v>756</v>
      </c>
      <c r="B281" s="15">
        <v>260</v>
      </c>
      <c r="C281" s="15">
        <v>2.98</v>
      </c>
      <c r="D281" s="15">
        <v>0.40400000000000003</v>
      </c>
      <c r="E281" s="16">
        <v>0.21</v>
      </c>
    </row>
    <row r="282" spans="1:5" x14ac:dyDescent="0.25">
      <c r="A282" s="14">
        <v>756</v>
      </c>
      <c r="B282" s="15">
        <v>280</v>
      </c>
      <c r="C282" s="15">
        <v>1.23</v>
      </c>
      <c r="D282" s="15">
        <v>0.41599999999999998</v>
      </c>
      <c r="E282" s="16">
        <v>0.08</v>
      </c>
    </row>
    <row r="283" spans="1:5" x14ac:dyDescent="0.25">
      <c r="A283" s="14">
        <v>756</v>
      </c>
      <c r="B283" s="15">
        <v>292</v>
      </c>
      <c r="C283" s="15">
        <v>0</v>
      </c>
      <c r="D283" s="15">
        <v>0.41899999999999998</v>
      </c>
      <c r="E283" s="16">
        <v>0</v>
      </c>
    </row>
    <row r="284" spans="1:5" s="1" customFormat="1" x14ac:dyDescent="0.25">
      <c r="A284" s="17">
        <v>757</v>
      </c>
      <c r="B284" s="18">
        <v>0</v>
      </c>
      <c r="C284" s="18">
        <v>12.07</v>
      </c>
      <c r="D284" s="18">
        <v>0.33300000000000002</v>
      </c>
      <c r="E284" s="19">
        <v>0</v>
      </c>
    </row>
    <row r="285" spans="1:5" x14ac:dyDescent="0.25">
      <c r="A285" s="14">
        <v>757</v>
      </c>
      <c r="B285" s="15">
        <v>50</v>
      </c>
      <c r="C285" s="15">
        <v>11.85</v>
      </c>
      <c r="D285" s="15">
        <v>0.38400000000000001</v>
      </c>
      <c r="E285" s="16">
        <v>0.17</v>
      </c>
    </row>
    <row r="286" spans="1:5" x14ac:dyDescent="0.25">
      <c r="A286" s="14">
        <v>757</v>
      </c>
      <c r="B286" s="15">
        <v>100</v>
      </c>
      <c r="C286" s="15">
        <v>11.7</v>
      </c>
      <c r="D286" s="15">
        <v>0.41299999999999998</v>
      </c>
      <c r="E286" s="16">
        <v>0.33</v>
      </c>
    </row>
    <row r="287" spans="1:5" x14ac:dyDescent="0.25">
      <c r="A287" s="14">
        <v>757</v>
      </c>
      <c r="B287" s="15">
        <v>150</v>
      </c>
      <c r="C287" s="15">
        <v>11.5</v>
      </c>
      <c r="D287" s="15">
        <v>0.42899999999999999</v>
      </c>
      <c r="E287" s="16">
        <v>0.47</v>
      </c>
    </row>
    <row r="288" spans="1:5" x14ac:dyDescent="0.25">
      <c r="A288" s="14">
        <v>757</v>
      </c>
      <c r="B288" s="15">
        <v>180</v>
      </c>
      <c r="C288" s="15">
        <v>11.19</v>
      </c>
      <c r="D288" s="15">
        <v>0.436</v>
      </c>
      <c r="E288" s="16">
        <v>0.53</v>
      </c>
    </row>
    <row r="289" spans="1:5" x14ac:dyDescent="0.25">
      <c r="A289" s="14">
        <v>757</v>
      </c>
      <c r="B289" s="15">
        <v>200</v>
      </c>
      <c r="C289" s="15">
        <v>10.87</v>
      </c>
      <c r="D289" s="15">
        <v>0.441</v>
      </c>
      <c r="E289" s="16">
        <v>0.56000000000000005</v>
      </c>
    </row>
    <row r="290" spans="1:5" x14ac:dyDescent="0.25">
      <c r="A290" s="14">
        <v>757</v>
      </c>
      <c r="B290" s="15">
        <v>250</v>
      </c>
      <c r="C290" s="15">
        <v>9.6300000000000008</v>
      </c>
      <c r="D290" s="15">
        <v>0.45400000000000001</v>
      </c>
      <c r="E290" s="16">
        <v>0.6</v>
      </c>
    </row>
    <row r="291" spans="1:5" x14ac:dyDescent="0.25">
      <c r="A291" s="14">
        <v>757</v>
      </c>
      <c r="B291" s="15">
        <v>310</v>
      </c>
      <c r="C291" s="15">
        <v>7.51</v>
      </c>
      <c r="D291" s="15">
        <v>0.47699999999999998</v>
      </c>
      <c r="E291" s="16">
        <v>0.56000000000000005</v>
      </c>
    </row>
    <row r="292" spans="1:5" x14ac:dyDescent="0.25">
      <c r="A292" s="14">
        <v>757</v>
      </c>
      <c r="B292" s="15">
        <v>350</v>
      </c>
      <c r="C292" s="15">
        <v>5.9</v>
      </c>
      <c r="D292" s="15">
        <v>0.498</v>
      </c>
      <c r="E292" s="16">
        <v>0.47</v>
      </c>
    </row>
    <row r="293" spans="1:5" x14ac:dyDescent="0.25">
      <c r="A293" s="14">
        <v>757</v>
      </c>
      <c r="B293" s="15">
        <v>400</v>
      </c>
      <c r="C293" s="15">
        <v>3.62</v>
      </c>
      <c r="D293" s="15">
        <v>0.53100000000000003</v>
      </c>
      <c r="E293" s="16">
        <v>0.28000000000000003</v>
      </c>
    </row>
    <row r="294" spans="1:5" x14ac:dyDescent="0.25">
      <c r="A294" s="14">
        <v>757</v>
      </c>
      <c r="B294" s="15">
        <v>450</v>
      </c>
      <c r="C294" s="15">
        <v>0</v>
      </c>
      <c r="D294" s="15">
        <v>0.57099999999999995</v>
      </c>
      <c r="E294" s="16">
        <v>0</v>
      </c>
    </row>
    <row r="295" spans="1:5" s="1" customFormat="1" x14ac:dyDescent="0.25">
      <c r="A295" s="17">
        <v>758</v>
      </c>
      <c r="B295" s="18">
        <v>0</v>
      </c>
      <c r="C295" s="18">
        <v>9.08</v>
      </c>
      <c r="D295" s="18">
        <v>1.538</v>
      </c>
      <c r="E295" s="19">
        <v>0</v>
      </c>
    </row>
    <row r="296" spans="1:5" x14ac:dyDescent="0.25">
      <c r="A296" s="14">
        <v>758</v>
      </c>
      <c r="B296" s="15">
        <v>500</v>
      </c>
      <c r="C296" s="15">
        <v>8.8800000000000008</v>
      </c>
      <c r="D296" s="15">
        <v>1.6779999999999999</v>
      </c>
      <c r="E296" s="16">
        <v>0.31</v>
      </c>
    </row>
    <row r="297" spans="1:5" x14ac:dyDescent="0.25">
      <c r="A297" s="14">
        <v>758</v>
      </c>
      <c r="B297" s="15">
        <v>1000</v>
      </c>
      <c r="C297" s="15">
        <v>8.16</v>
      </c>
      <c r="D297" s="15">
        <v>1.913</v>
      </c>
      <c r="E297" s="16">
        <v>0.46</v>
      </c>
    </row>
    <row r="298" spans="1:5" x14ac:dyDescent="0.25">
      <c r="A298" s="14">
        <v>758</v>
      </c>
      <c r="B298" s="15">
        <v>1400</v>
      </c>
      <c r="C298" s="15">
        <v>7.61</v>
      </c>
      <c r="D298" s="15">
        <v>2.101</v>
      </c>
      <c r="E298" s="16">
        <v>0.56000000000000005</v>
      </c>
    </row>
    <row r="299" spans="1:5" x14ac:dyDescent="0.25">
      <c r="A299" s="14">
        <v>758</v>
      </c>
      <c r="B299" s="15">
        <v>2000</v>
      </c>
      <c r="C299" s="15">
        <v>6.71</v>
      </c>
      <c r="D299" s="15">
        <v>2.2290000000000001</v>
      </c>
      <c r="E299" s="16">
        <v>0.7</v>
      </c>
    </row>
    <row r="300" spans="1:5" x14ac:dyDescent="0.25">
      <c r="A300" s="14">
        <v>758</v>
      </c>
      <c r="B300" s="15">
        <v>2200</v>
      </c>
      <c r="C300" s="15">
        <v>6.23</v>
      </c>
      <c r="D300" s="15">
        <v>2.2000000000000002</v>
      </c>
      <c r="E300" s="16">
        <v>0.71</v>
      </c>
    </row>
    <row r="301" spans="1:5" x14ac:dyDescent="0.25">
      <c r="A301" s="14">
        <v>758</v>
      </c>
      <c r="B301" s="15">
        <v>2400</v>
      </c>
      <c r="C301" s="15">
        <v>5.5</v>
      </c>
      <c r="D301" s="15">
        <v>2.15</v>
      </c>
      <c r="E301" s="16">
        <v>0.69299999999999995</v>
      </c>
    </row>
    <row r="302" spans="1:5" x14ac:dyDescent="0.25">
      <c r="A302" s="14">
        <v>758</v>
      </c>
      <c r="B302" s="15">
        <v>2600</v>
      </c>
      <c r="C302" s="15">
        <v>4.49</v>
      </c>
      <c r="D302" s="15">
        <v>2.0870000000000002</v>
      </c>
      <c r="E302" s="16">
        <v>0.59</v>
      </c>
    </row>
    <row r="303" spans="1:5" x14ac:dyDescent="0.25">
      <c r="A303" s="14">
        <v>758</v>
      </c>
      <c r="B303" s="15">
        <v>2800</v>
      </c>
      <c r="C303" s="15">
        <v>3.02</v>
      </c>
      <c r="D303" s="15">
        <v>1.956</v>
      </c>
      <c r="E303" s="16">
        <v>0.43</v>
      </c>
    </row>
    <row r="304" spans="1:5" x14ac:dyDescent="0.25">
      <c r="A304" s="14">
        <v>758</v>
      </c>
      <c r="B304" s="15">
        <v>3000</v>
      </c>
      <c r="C304" s="15">
        <v>0.98</v>
      </c>
      <c r="D304" s="15">
        <v>1.7450000000000001</v>
      </c>
      <c r="E304" s="16">
        <v>0.15</v>
      </c>
    </row>
    <row r="305" spans="1:5" s="1" customFormat="1" x14ac:dyDescent="0.25">
      <c r="A305" s="17">
        <v>759</v>
      </c>
      <c r="B305" s="18">
        <v>0</v>
      </c>
      <c r="C305" s="18">
        <v>21</v>
      </c>
      <c r="D305" s="18">
        <v>2.036</v>
      </c>
      <c r="E305" s="19">
        <v>0</v>
      </c>
    </row>
    <row r="306" spans="1:5" x14ac:dyDescent="0.25">
      <c r="A306" s="14">
        <v>759</v>
      </c>
      <c r="B306" s="15">
        <v>350</v>
      </c>
      <c r="C306" s="15">
        <v>21.8</v>
      </c>
      <c r="D306" s="15">
        <v>2.633</v>
      </c>
      <c r="E306" s="16">
        <v>0.33</v>
      </c>
    </row>
    <row r="307" spans="1:5" x14ac:dyDescent="0.25">
      <c r="A307" s="14">
        <v>759</v>
      </c>
      <c r="B307" s="15">
        <v>700</v>
      </c>
      <c r="C307" s="15">
        <v>22</v>
      </c>
      <c r="D307" s="15">
        <v>3.1589999999999998</v>
      </c>
      <c r="E307" s="16">
        <v>0.56000000000000005</v>
      </c>
    </row>
    <row r="308" spans="1:5" x14ac:dyDescent="0.25">
      <c r="A308" s="14">
        <v>759</v>
      </c>
      <c r="B308" s="15">
        <v>1000</v>
      </c>
      <c r="C308" s="15">
        <v>20.5</v>
      </c>
      <c r="D308" s="15">
        <v>3.5409999999999999</v>
      </c>
      <c r="E308" s="16">
        <v>0.66</v>
      </c>
    </row>
    <row r="309" spans="1:5" x14ac:dyDescent="0.25">
      <c r="A309" s="14">
        <v>759</v>
      </c>
      <c r="B309" s="15">
        <v>1300</v>
      </c>
      <c r="C309" s="15">
        <v>16.899999999999999</v>
      </c>
      <c r="D309" s="15">
        <v>3.8479999999999999</v>
      </c>
      <c r="E309" s="16">
        <v>0.64</v>
      </c>
    </row>
    <row r="310" spans="1:5" x14ac:dyDescent="0.25">
      <c r="A310" s="14">
        <v>759</v>
      </c>
      <c r="B310" s="15">
        <v>1400</v>
      </c>
      <c r="C310" s="15">
        <v>15.2</v>
      </c>
      <c r="D310" s="15">
        <v>3.9329999999999998</v>
      </c>
      <c r="E310" s="16">
        <v>0.61</v>
      </c>
    </row>
    <row r="311" spans="1:5" x14ac:dyDescent="0.25">
      <c r="A311" s="14">
        <v>759</v>
      </c>
      <c r="B311" s="15">
        <v>1700</v>
      </c>
      <c r="C311" s="15">
        <v>8</v>
      </c>
      <c r="D311" s="15">
        <v>4.1399999999999997</v>
      </c>
      <c r="E311" s="16">
        <v>0.37</v>
      </c>
    </row>
    <row r="312" spans="1:5" x14ac:dyDescent="0.25">
      <c r="A312" s="14">
        <v>759</v>
      </c>
      <c r="B312" s="15">
        <v>1900</v>
      </c>
      <c r="C312" s="15">
        <v>0</v>
      </c>
      <c r="D312" s="15">
        <v>4.3</v>
      </c>
      <c r="E312" s="16">
        <v>0</v>
      </c>
    </row>
    <row r="313" spans="1:5" s="1" customFormat="1" x14ac:dyDescent="0.25">
      <c r="A313" s="17">
        <v>760</v>
      </c>
      <c r="B313" s="18">
        <v>0</v>
      </c>
      <c r="C313" s="18">
        <v>22.06</v>
      </c>
      <c r="D313" s="18">
        <v>3.4079999999999999</v>
      </c>
      <c r="E313" s="19">
        <v>0</v>
      </c>
    </row>
    <row r="314" spans="1:5" x14ac:dyDescent="0.25">
      <c r="A314" s="14">
        <v>760</v>
      </c>
      <c r="B314" s="15">
        <v>200</v>
      </c>
      <c r="C314" s="15">
        <v>22.54</v>
      </c>
      <c r="D314" s="15">
        <v>3.86</v>
      </c>
      <c r="E314" s="16">
        <v>0.14000000000000001</v>
      </c>
    </row>
    <row r="315" spans="1:5" x14ac:dyDescent="0.25">
      <c r="A315" s="14">
        <v>760</v>
      </c>
      <c r="B315" s="15">
        <v>400</v>
      </c>
      <c r="C315" s="15">
        <v>22.78</v>
      </c>
      <c r="D315" s="15">
        <v>4.32</v>
      </c>
      <c r="E315" s="16">
        <v>0.24</v>
      </c>
    </row>
    <row r="316" spans="1:5" x14ac:dyDescent="0.25">
      <c r="A316" s="14">
        <v>760</v>
      </c>
      <c r="B316" s="15">
        <v>600</v>
      </c>
      <c r="C316" s="15">
        <v>22.91</v>
      </c>
      <c r="D316" s="15">
        <v>4.7300000000000004</v>
      </c>
      <c r="E316" s="16">
        <v>0.33</v>
      </c>
    </row>
    <row r="317" spans="1:5" x14ac:dyDescent="0.25">
      <c r="A317" s="14">
        <v>760</v>
      </c>
      <c r="B317" s="15">
        <v>800</v>
      </c>
      <c r="C317" s="15">
        <v>22.91</v>
      </c>
      <c r="D317" s="15">
        <v>5.0999999999999996</v>
      </c>
      <c r="E317" s="16">
        <v>0.41</v>
      </c>
    </row>
    <row r="318" spans="1:5" x14ac:dyDescent="0.25">
      <c r="A318" s="14">
        <v>760</v>
      </c>
      <c r="B318" s="15">
        <v>1000</v>
      </c>
      <c r="C318" s="15">
        <v>22.7</v>
      </c>
      <c r="D318" s="15">
        <v>5.41</v>
      </c>
      <c r="E318" s="16">
        <v>0.48</v>
      </c>
    </row>
    <row r="319" spans="1:5" x14ac:dyDescent="0.25">
      <c r="A319" s="14">
        <v>760</v>
      </c>
      <c r="B319" s="15">
        <v>1200</v>
      </c>
      <c r="C319" s="15">
        <v>22.21</v>
      </c>
      <c r="D319" s="15">
        <v>5.62</v>
      </c>
      <c r="E319" s="16">
        <v>0.54</v>
      </c>
    </row>
    <row r="320" spans="1:5" x14ac:dyDescent="0.25">
      <c r="A320" s="14">
        <v>760</v>
      </c>
      <c r="B320" s="15">
        <v>1400</v>
      </c>
      <c r="C320" s="15">
        <v>21.4</v>
      </c>
      <c r="D320" s="15">
        <v>5.742</v>
      </c>
      <c r="E320" s="16">
        <v>0.59</v>
      </c>
    </row>
    <row r="321" spans="1:5" x14ac:dyDescent="0.25">
      <c r="A321" s="14">
        <v>760</v>
      </c>
      <c r="B321" s="15">
        <v>1600</v>
      </c>
      <c r="C321" s="15">
        <v>20.27</v>
      </c>
      <c r="D321" s="15">
        <v>5.88</v>
      </c>
      <c r="E321" s="16">
        <v>0.63</v>
      </c>
    </row>
    <row r="322" spans="1:5" x14ac:dyDescent="0.25">
      <c r="A322" s="14">
        <v>760</v>
      </c>
      <c r="B322" s="15">
        <v>1800</v>
      </c>
      <c r="C322" s="15">
        <v>18.88</v>
      </c>
      <c r="D322" s="15">
        <v>5.99</v>
      </c>
      <c r="E322" s="16">
        <v>0.65</v>
      </c>
    </row>
    <row r="323" spans="1:5" x14ac:dyDescent="0.25">
      <c r="A323" s="14">
        <v>760</v>
      </c>
      <c r="B323" s="15">
        <v>2000</v>
      </c>
      <c r="C323" s="15">
        <v>17.329999999999998</v>
      </c>
      <c r="D323" s="15">
        <v>6.11</v>
      </c>
      <c r="E323" s="16">
        <v>0.65</v>
      </c>
    </row>
    <row r="324" spans="1:5" x14ac:dyDescent="0.25">
      <c r="A324" s="14">
        <v>760</v>
      </c>
      <c r="B324" s="15">
        <v>2200</v>
      </c>
      <c r="C324" s="15">
        <v>15.51</v>
      </c>
      <c r="D324" s="15">
        <v>6.21</v>
      </c>
      <c r="E324" s="16">
        <v>0.64500000000000002</v>
      </c>
    </row>
    <row r="325" spans="1:5" x14ac:dyDescent="0.25">
      <c r="A325" s="14">
        <v>760</v>
      </c>
      <c r="B325" s="15">
        <v>2400</v>
      </c>
      <c r="C325" s="15">
        <v>13.94</v>
      </c>
      <c r="D325" s="15">
        <v>6.33</v>
      </c>
      <c r="E325" s="16">
        <v>0.61</v>
      </c>
    </row>
    <row r="326" spans="1:5" x14ac:dyDescent="0.25">
      <c r="A326" s="14">
        <v>760</v>
      </c>
      <c r="B326" s="15">
        <v>2600</v>
      </c>
      <c r="C326" s="15">
        <v>12.23</v>
      </c>
      <c r="D326" s="15">
        <v>6.44</v>
      </c>
      <c r="E326" s="16">
        <v>0.56799999999999995</v>
      </c>
    </row>
    <row r="327" spans="1:5" x14ac:dyDescent="0.25">
      <c r="A327" s="14">
        <v>760</v>
      </c>
      <c r="B327" s="15">
        <v>2745</v>
      </c>
      <c r="C327" s="15">
        <v>10.58</v>
      </c>
      <c r="D327" s="15">
        <v>6.49</v>
      </c>
      <c r="E327" s="16">
        <v>0.50900000000000001</v>
      </c>
    </row>
    <row r="328" spans="1:5" x14ac:dyDescent="0.25">
      <c r="A328" s="14">
        <v>760</v>
      </c>
      <c r="B328" s="15">
        <v>3000</v>
      </c>
      <c r="C328" s="15">
        <v>6.15</v>
      </c>
      <c r="D328" s="15">
        <v>6.62</v>
      </c>
      <c r="E328" s="16">
        <v>0.28999999999999998</v>
      </c>
    </row>
    <row r="329" spans="1:5" x14ac:dyDescent="0.25">
      <c r="A329" s="14">
        <v>760</v>
      </c>
      <c r="B329" s="15">
        <v>3200</v>
      </c>
      <c r="C329" s="15">
        <v>0</v>
      </c>
      <c r="D329" s="15">
        <v>6.9</v>
      </c>
      <c r="E329" s="16">
        <v>0</v>
      </c>
    </row>
    <row r="330" spans="1:5" s="1" customFormat="1" x14ac:dyDescent="0.25">
      <c r="A330" s="17">
        <v>761</v>
      </c>
      <c r="B330" s="18">
        <v>0</v>
      </c>
      <c r="C330" s="18">
        <v>20</v>
      </c>
      <c r="D330" s="18">
        <v>3.911</v>
      </c>
      <c r="E330" s="19">
        <v>0</v>
      </c>
    </row>
    <row r="331" spans="1:5" x14ac:dyDescent="0.25">
      <c r="A331" s="14">
        <v>761</v>
      </c>
      <c r="B331" s="15">
        <v>500</v>
      </c>
      <c r="C331" s="15">
        <v>20.18</v>
      </c>
      <c r="D331" s="15">
        <v>4.875</v>
      </c>
      <c r="E331" s="16">
        <v>0.24</v>
      </c>
    </row>
    <row r="332" spans="1:5" x14ac:dyDescent="0.25">
      <c r="A332" s="14">
        <v>761</v>
      </c>
      <c r="B332" s="15">
        <v>1000</v>
      </c>
      <c r="C332" s="15">
        <v>19.670000000000002</v>
      </c>
      <c r="D332" s="15">
        <v>5.41</v>
      </c>
      <c r="E332" s="16">
        <v>0.41</v>
      </c>
    </row>
    <row r="333" spans="1:5" x14ac:dyDescent="0.25">
      <c r="A333" s="14">
        <v>761</v>
      </c>
      <c r="B333" s="15">
        <v>1500</v>
      </c>
      <c r="C333" s="15">
        <v>18.25</v>
      </c>
      <c r="D333" s="15">
        <v>5.78</v>
      </c>
      <c r="E333" s="16">
        <v>0.53700000000000003</v>
      </c>
    </row>
    <row r="334" spans="1:5" x14ac:dyDescent="0.25">
      <c r="A334" s="14">
        <v>761</v>
      </c>
      <c r="B334" s="15">
        <v>1700</v>
      </c>
      <c r="C334" s="15">
        <v>17.600000000000001</v>
      </c>
      <c r="D334" s="15">
        <v>5.8920000000000003</v>
      </c>
      <c r="E334" s="16">
        <v>0.57999999999999996</v>
      </c>
    </row>
    <row r="335" spans="1:5" x14ac:dyDescent="0.25">
      <c r="A335" s="14">
        <v>761</v>
      </c>
      <c r="B335" s="15">
        <v>2000</v>
      </c>
      <c r="C335" s="15">
        <v>16.510000000000002</v>
      </c>
      <c r="D335" s="15">
        <v>6.06</v>
      </c>
      <c r="E335" s="16">
        <v>0.63</v>
      </c>
    </row>
    <row r="336" spans="1:5" x14ac:dyDescent="0.25">
      <c r="A336" s="14">
        <v>761</v>
      </c>
      <c r="B336" s="15">
        <v>2200</v>
      </c>
      <c r="C336" s="15">
        <v>15.7</v>
      </c>
      <c r="D336" s="15">
        <v>6.16</v>
      </c>
      <c r="E336" s="16">
        <v>0.65</v>
      </c>
    </row>
    <row r="337" spans="1:5" x14ac:dyDescent="0.25">
      <c r="A337" s="14">
        <v>761</v>
      </c>
      <c r="B337" s="15">
        <v>2500</v>
      </c>
      <c r="C337" s="15">
        <v>14.7</v>
      </c>
      <c r="D337" s="15">
        <v>6.2880000000000003</v>
      </c>
      <c r="E337" s="16">
        <v>0.67</v>
      </c>
    </row>
    <row r="338" spans="1:5" x14ac:dyDescent="0.25">
      <c r="A338" s="14">
        <v>761</v>
      </c>
      <c r="B338" s="15">
        <v>2700</v>
      </c>
      <c r="C338" s="15">
        <v>13.34</v>
      </c>
      <c r="D338" s="15">
        <v>6.36</v>
      </c>
      <c r="E338" s="16">
        <v>0.65639999999999998</v>
      </c>
    </row>
    <row r="339" spans="1:5" x14ac:dyDescent="0.25">
      <c r="A339" s="14">
        <v>761</v>
      </c>
      <c r="B339" s="15">
        <v>3000</v>
      </c>
      <c r="C339" s="15">
        <v>11.56</v>
      </c>
      <c r="D339" s="15">
        <v>6.44</v>
      </c>
      <c r="E339" s="16">
        <v>0.61929999999999996</v>
      </c>
    </row>
    <row r="340" spans="1:5" x14ac:dyDescent="0.25">
      <c r="A340" s="14">
        <v>761</v>
      </c>
      <c r="B340" s="15">
        <v>3600</v>
      </c>
      <c r="C340" s="15">
        <v>7</v>
      </c>
      <c r="D340" s="15">
        <v>6.5679999999999996</v>
      </c>
      <c r="E340" s="16">
        <v>0.44</v>
      </c>
    </row>
    <row r="341" spans="1:5" x14ac:dyDescent="0.25">
      <c r="A341" s="14">
        <v>761</v>
      </c>
      <c r="B341" s="15">
        <v>3900</v>
      </c>
      <c r="C341" s="15">
        <v>3.55</v>
      </c>
      <c r="D341" s="15">
        <v>6.5</v>
      </c>
      <c r="E341" s="16">
        <v>0.26</v>
      </c>
    </row>
    <row r="342" spans="1:5" x14ac:dyDescent="0.25">
      <c r="A342" s="14">
        <v>761</v>
      </c>
      <c r="B342" s="15">
        <v>4200</v>
      </c>
      <c r="C342" s="15">
        <v>0</v>
      </c>
      <c r="D342" s="15">
        <v>6.4</v>
      </c>
      <c r="E342" s="16">
        <v>0</v>
      </c>
    </row>
    <row r="343" spans="1:5" s="1" customFormat="1" x14ac:dyDescent="0.25">
      <c r="A343" s="17">
        <v>767</v>
      </c>
      <c r="B343" s="18">
        <v>0</v>
      </c>
      <c r="C343" s="18">
        <v>6.63</v>
      </c>
      <c r="D343" s="18">
        <v>0.70199999999999996</v>
      </c>
      <c r="E343" s="19">
        <v>0</v>
      </c>
    </row>
    <row r="344" spans="1:5" x14ac:dyDescent="0.25">
      <c r="A344" s="14">
        <v>767</v>
      </c>
      <c r="B344" s="15">
        <v>100</v>
      </c>
      <c r="C344" s="15">
        <v>6.68</v>
      </c>
      <c r="D344" s="15">
        <v>0.74399999999999999</v>
      </c>
      <c r="E344" s="16">
        <v>0.1</v>
      </c>
    </row>
    <row r="345" spans="1:5" x14ac:dyDescent="0.25">
      <c r="A345" s="14">
        <v>767</v>
      </c>
      <c r="B345" s="15">
        <v>200</v>
      </c>
      <c r="C345" s="15">
        <v>6.57</v>
      </c>
      <c r="D345" s="15">
        <v>0.78400000000000003</v>
      </c>
      <c r="E345" s="16">
        <v>0.19</v>
      </c>
    </row>
    <row r="346" spans="1:5" x14ac:dyDescent="0.25">
      <c r="A346" s="14">
        <v>767</v>
      </c>
      <c r="B346" s="15">
        <v>300</v>
      </c>
      <c r="C346" s="15">
        <v>6.46</v>
      </c>
      <c r="D346" s="15">
        <v>0.82299999999999995</v>
      </c>
      <c r="E346" s="16">
        <v>0.26</v>
      </c>
    </row>
    <row r="347" spans="1:5" x14ac:dyDescent="0.25">
      <c r="A347" s="14">
        <v>767</v>
      </c>
      <c r="B347" s="15">
        <v>400</v>
      </c>
      <c r="C347" s="15">
        <v>6.3</v>
      </c>
      <c r="D347" s="15">
        <v>0.85799999999999998</v>
      </c>
      <c r="E347" s="16">
        <v>0.33</v>
      </c>
    </row>
    <row r="348" spans="1:5" x14ac:dyDescent="0.25">
      <c r="A348" s="14">
        <v>767</v>
      </c>
      <c r="B348" s="15">
        <v>500</v>
      </c>
      <c r="C348" s="15">
        <v>6.08</v>
      </c>
      <c r="D348" s="15">
        <v>0.89100000000000001</v>
      </c>
      <c r="E348" s="16">
        <v>0.38</v>
      </c>
    </row>
    <row r="349" spans="1:5" x14ac:dyDescent="0.25">
      <c r="A349" s="14">
        <v>767</v>
      </c>
      <c r="B349" s="15">
        <v>600</v>
      </c>
      <c r="C349" s="15">
        <v>5.83</v>
      </c>
      <c r="D349" s="15">
        <v>0.92</v>
      </c>
      <c r="E349" s="16">
        <v>0.43</v>
      </c>
    </row>
    <row r="350" spans="1:5" x14ac:dyDescent="0.25">
      <c r="A350" s="14">
        <v>767</v>
      </c>
      <c r="B350" s="15">
        <v>700</v>
      </c>
      <c r="C350" s="15">
        <v>5.61</v>
      </c>
      <c r="D350" s="15">
        <v>0.95</v>
      </c>
      <c r="E350" s="16">
        <v>0.48</v>
      </c>
    </row>
    <row r="351" spans="1:5" x14ac:dyDescent="0.25">
      <c r="A351" s="14">
        <v>767</v>
      </c>
      <c r="B351" s="15">
        <v>800</v>
      </c>
      <c r="C351" s="15">
        <v>5.46</v>
      </c>
      <c r="D351" s="15">
        <v>0.97099999999999997</v>
      </c>
      <c r="E351" s="16">
        <v>0.52</v>
      </c>
    </row>
    <row r="352" spans="1:5" x14ac:dyDescent="0.25">
      <c r="A352" s="14">
        <v>767</v>
      </c>
      <c r="B352" s="15">
        <v>900</v>
      </c>
      <c r="C352" s="15">
        <v>5.38</v>
      </c>
      <c r="D352" s="15">
        <v>0.996</v>
      </c>
      <c r="E352" s="16">
        <v>0.56000000000000005</v>
      </c>
    </row>
    <row r="353" spans="1:5" x14ac:dyDescent="0.25">
      <c r="A353" s="14">
        <v>767</v>
      </c>
      <c r="B353" s="15">
        <v>1000</v>
      </c>
      <c r="C353" s="15">
        <v>5.33</v>
      </c>
      <c r="D353" s="15">
        <v>1.018</v>
      </c>
      <c r="E353" s="16">
        <v>0.59</v>
      </c>
    </row>
    <row r="354" spans="1:5" x14ac:dyDescent="0.25">
      <c r="A354" s="14">
        <v>767</v>
      </c>
      <c r="B354" s="15">
        <v>1100</v>
      </c>
      <c r="C354" s="15">
        <v>5.25</v>
      </c>
      <c r="D354" s="15">
        <v>1.0489999999999999</v>
      </c>
      <c r="E354" s="16">
        <v>0.62</v>
      </c>
    </row>
    <row r="355" spans="1:5" x14ac:dyDescent="0.25">
      <c r="A355" s="14">
        <v>767</v>
      </c>
      <c r="B355" s="15">
        <v>1250</v>
      </c>
      <c r="C355" s="15">
        <v>4.92</v>
      </c>
      <c r="D355" s="15">
        <v>1.0880000000000001</v>
      </c>
      <c r="E355" s="16">
        <v>0.64</v>
      </c>
    </row>
    <row r="356" spans="1:5" x14ac:dyDescent="0.25">
      <c r="A356" s="14">
        <v>767</v>
      </c>
      <c r="B356" s="15">
        <v>1400</v>
      </c>
      <c r="C356" s="15">
        <v>4.28</v>
      </c>
      <c r="D356" s="15">
        <v>1.1020000000000001</v>
      </c>
      <c r="E356" s="16">
        <v>0.62</v>
      </c>
    </row>
    <row r="357" spans="1:5" x14ac:dyDescent="0.25">
      <c r="A357" s="14">
        <v>767</v>
      </c>
      <c r="B357" s="15">
        <v>1500</v>
      </c>
      <c r="C357" s="15">
        <v>3.71</v>
      </c>
      <c r="D357" s="15">
        <v>1.0900000000000001</v>
      </c>
      <c r="E357" s="16">
        <v>0.59</v>
      </c>
    </row>
    <row r="358" spans="1:5" x14ac:dyDescent="0.25">
      <c r="A358" s="14">
        <v>767</v>
      </c>
      <c r="B358" s="15">
        <v>1600</v>
      </c>
      <c r="C358" s="15">
        <v>3.08</v>
      </c>
      <c r="D358" s="15">
        <v>1.0589999999999999</v>
      </c>
      <c r="E358" s="16">
        <v>0.53</v>
      </c>
    </row>
    <row r="359" spans="1:5" x14ac:dyDescent="0.25">
      <c r="A359" s="14">
        <v>767</v>
      </c>
      <c r="B359" s="15">
        <v>1700</v>
      </c>
      <c r="C359" s="15">
        <v>2.4</v>
      </c>
      <c r="D359" s="15">
        <v>1.0109999999999999</v>
      </c>
      <c r="E359" s="16">
        <v>0.44</v>
      </c>
    </row>
    <row r="360" spans="1:5" x14ac:dyDescent="0.25">
      <c r="A360" s="14">
        <v>767</v>
      </c>
      <c r="B360" s="15">
        <v>1800</v>
      </c>
      <c r="C360" s="15">
        <v>1.58</v>
      </c>
      <c r="D360" s="15">
        <v>0.95399999999999996</v>
      </c>
      <c r="E360" s="16">
        <v>0.33</v>
      </c>
    </row>
    <row r="361" spans="1:5" x14ac:dyDescent="0.25">
      <c r="A361" s="14">
        <v>767</v>
      </c>
      <c r="B361" s="15">
        <v>1900</v>
      </c>
      <c r="C361" s="15">
        <v>0.73</v>
      </c>
      <c r="D361" s="15">
        <v>0.90800000000000003</v>
      </c>
      <c r="E361" s="16">
        <v>0.18</v>
      </c>
    </row>
    <row r="362" spans="1:5" x14ac:dyDescent="0.25">
      <c r="A362" s="14">
        <v>767</v>
      </c>
      <c r="B362" s="15">
        <v>2000</v>
      </c>
      <c r="C362" s="15">
        <v>0</v>
      </c>
      <c r="D362" s="15">
        <v>0.89600000000000002</v>
      </c>
      <c r="E362" s="16">
        <v>0</v>
      </c>
    </row>
    <row r="363" spans="1:5" s="1" customFormat="1" x14ac:dyDescent="0.25">
      <c r="A363" s="17">
        <v>799</v>
      </c>
      <c r="B363" s="18">
        <v>0</v>
      </c>
      <c r="C363" s="18">
        <v>9.7055056079999993</v>
      </c>
      <c r="D363" s="18">
        <v>0.18305738699999999</v>
      </c>
      <c r="E363" s="19">
        <v>0</v>
      </c>
    </row>
    <row r="364" spans="1:5" x14ac:dyDescent="0.25">
      <c r="A364" s="14">
        <v>799</v>
      </c>
      <c r="B364" s="15">
        <v>9.1999994600000008</v>
      </c>
      <c r="C364" s="15">
        <v>9.7732201720000003</v>
      </c>
      <c r="D364" s="15">
        <v>0.188028522</v>
      </c>
      <c r="E364" s="16">
        <v>5.4294647000000001E-2</v>
      </c>
    </row>
    <row r="365" spans="1:5" x14ac:dyDescent="0.25">
      <c r="A365" s="14">
        <v>799</v>
      </c>
      <c r="B365" s="15">
        <v>18.399998920000002</v>
      </c>
      <c r="C365" s="15">
        <v>9.7692807819999992</v>
      </c>
      <c r="D365" s="15">
        <v>0.192680937</v>
      </c>
      <c r="E365" s="16">
        <v>0.105924617</v>
      </c>
    </row>
    <row r="366" spans="1:5" x14ac:dyDescent="0.25">
      <c r="A366" s="14">
        <v>799</v>
      </c>
      <c r="B366" s="15">
        <v>27.599998379999999</v>
      </c>
      <c r="C366" s="15">
        <v>9.7343998289999991</v>
      </c>
      <c r="D366" s="15">
        <v>0.19714000600000001</v>
      </c>
      <c r="E366" s="16">
        <v>0.15473862599999999</v>
      </c>
    </row>
    <row r="367" spans="1:5" x14ac:dyDescent="0.25">
      <c r="A367" s="14">
        <v>799</v>
      </c>
      <c r="B367" s="15">
        <v>36.799997840000003</v>
      </c>
      <c r="C367" s="15">
        <v>9.6945595820000001</v>
      </c>
      <c r="D367" s="15">
        <v>0.20149760799999999</v>
      </c>
      <c r="E367" s="16">
        <v>0.20103017300000001</v>
      </c>
    </row>
    <row r="368" spans="1:5" x14ac:dyDescent="0.25">
      <c r="A368" s="14">
        <v>799</v>
      </c>
      <c r="B368" s="15">
        <v>45.999997299999997</v>
      </c>
      <c r="C368" s="15">
        <v>9.6637679189999997</v>
      </c>
      <c r="D368" s="15">
        <v>0.205817888</v>
      </c>
      <c r="E368" s="16">
        <v>0.24523160799999999</v>
      </c>
    </row>
    <row r="369" spans="1:5" x14ac:dyDescent="0.25">
      <c r="A369" s="14">
        <v>799</v>
      </c>
      <c r="B369" s="15">
        <v>55.199996759999998</v>
      </c>
      <c r="C369" s="15">
        <v>9.64658689</v>
      </c>
      <c r="D369" s="15">
        <v>0.21014255000000001</v>
      </c>
      <c r="E369" s="16">
        <v>0.28770936600000002</v>
      </c>
    </row>
    <row r="370" spans="1:5" x14ac:dyDescent="0.25">
      <c r="A370" s="14">
        <v>799</v>
      </c>
      <c r="B370" s="15">
        <v>64.399996220000006</v>
      </c>
      <c r="C370" s="15">
        <v>9.6404340939999997</v>
      </c>
      <c r="D370" s="15">
        <v>0.21449569499999999</v>
      </c>
      <c r="E370" s="16">
        <v>0.32863901200000001</v>
      </c>
    </row>
    <row r="371" spans="1:5" x14ac:dyDescent="0.25">
      <c r="A371" s="14">
        <v>799</v>
      </c>
      <c r="B371" s="15">
        <v>73.599995680000006</v>
      </c>
      <c r="C371" s="15">
        <v>9.6376568880000004</v>
      </c>
      <c r="D371" s="15">
        <v>0.21888819300000001</v>
      </c>
      <c r="E371" s="16">
        <v>0.36794438400000001</v>
      </c>
    </row>
    <row r="372" spans="1:5" x14ac:dyDescent="0.25">
      <c r="A372" s="14">
        <v>799</v>
      </c>
      <c r="B372" s="15">
        <v>82.799995139999993</v>
      </c>
      <c r="C372" s="15">
        <v>9.6273794129999999</v>
      </c>
      <c r="D372" s="15">
        <v>0.22332159900000001</v>
      </c>
      <c r="E372" s="16">
        <v>0.40528724300000002</v>
      </c>
    </row>
    <row r="373" spans="1:5" x14ac:dyDescent="0.25">
      <c r="A373" s="14">
        <v>799</v>
      </c>
      <c r="B373" s="15">
        <v>91.999994599999994</v>
      </c>
      <c r="C373" s="15">
        <v>9.5971224480000004</v>
      </c>
      <c r="D373" s="15">
        <v>0.22779160700000001</v>
      </c>
      <c r="E373" s="16">
        <v>0.44009494999999998</v>
      </c>
    </row>
    <row r="374" spans="1:5" x14ac:dyDescent="0.25">
      <c r="A374" s="14">
        <v>799</v>
      </c>
      <c r="B374" s="15">
        <v>101.1999941</v>
      </c>
      <c r="C374" s="15">
        <v>9.5341960869999998</v>
      </c>
      <c r="D374" s="15">
        <v>0.23229103800000001</v>
      </c>
      <c r="E374" s="16">
        <v>0.471614747</v>
      </c>
    </row>
    <row r="375" spans="1:5" x14ac:dyDescent="0.25">
      <c r="A375" s="14">
        <v>799</v>
      </c>
      <c r="B375" s="15">
        <v>110.39999349999999</v>
      </c>
      <c r="C375" s="15">
        <v>9.4268652349999993</v>
      </c>
      <c r="D375" s="15">
        <v>0.23681237799999999</v>
      </c>
      <c r="E375" s="16">
        <v>0.49898468099999999</v>
      </c>
    </row>
    <row r="376" spans="1:5" x14ac:dyDescent="0.25">
      <c r="A376" s="14">
        <v>799</v>
      </c>
      <c r="B376" s="15">
        <v>119.599993</v>
      </c>
      <c r="C376" s="15">
        <v>9.2652879329999998</v>
      </c>
      <c r="D376" s="15">
        <v>0.24134984300000001</v>
      </c>
      <c r="E376" s="16">
        <v>0.52131271700000004</v>
      </c>
    </row>
    <row r="377" spans="1:5" x14ac:dyDescent="0.25">
      <c r="A377" s="14">
        <v>799</v>
      </c>
      <c r="B377" s="15">
        <v>128.79999240000001</v>
      </c>
      <c r="C377" s="15">
        <v>9.0422265040000003</v>
      </c>
      <c r="D377" s="15">
        <v>0.24590099400000001</v>
      </c>
      <c r="E377" s="16">
        <v>0.53775715800000001</v>
      </c>
    </row>
    <row r="378" spans="1:5" x14ac:dyDescent="0.25">
      <c r="A378" s="14">
        <v>799</v>
      </c>
      <c r="B378" s="15">
        <v>137.9999919</v>
      </c>
      <c r="C378" s="15">
        <v>8.7535315239999996</v>
      </c>
      <c r="D378" s="15">
        <v>0.25046788399999997</v>
      </c>
      <c r="E378" s="16">
        <v>0.54760269900000003</v>
      </c>
    </row>
    <row r="379" spans="1:5" x14ac:dyDescent="0.25">
      <c r="A379" s="14">
        <v>799</v>
      </c>
      <c r="B379" s="15">
        <v>147.19999139999999</v>
      </c>
      <c r="C379" s="15">
        <v>8.3983986169999998</v>
      </c>
      <c r="D379" s="15">
        <v>0.255057745</v>
      </c>
      <c r="E379" s="16">
        <v>0.55032724899999996</v>
      </c>
    </row>
    <row r="380" spans="1:5" x14ac:dyDescent="0.25">
      <c r="A380" s="14">
        <v>799</v>
      </c>
      <c r="B380" s="15">
        <v>156.39999080000001</v>
      </c>
      <c r="C380" s="15">
        <v>7.9793980680000001</v>
      </c>
      <c r="D380" s="15">
        <v>0.25968322199999999</v>
      </c>
      <c r="E380" s="16">
        <v>0.54565511300000002</v>
      </c>
    </row>
    <row r="381" spans="1:5" x14ac:dyDescent="0.25">
      <c r="A381" s="14">
        <v>799</v>
      </c>
      <c r="B381" s="15">
        <v>165.5999903</v>
      </c>
      <c r="C381" s="15">
        <v>7.5022772660000001</v>
      </c>
      <c r="D381" s="15">
        <v>0.26436213200000003</v>
      </c>
      <c r="E381" s="16">
        <v>0.53359215699999996</v>
      </c>
    </row>
    <row r="382" spans="1:5" x14ac:dyDescent="0.25">
      <c r="A382" s="14">
        <v>799</v>
      </c>
      <c r="B382" s="15">
        <v>174.7999897</v>
      </c>
      <c r="C382" s="15">
        <v>6.9755359700000001</v>
      </c>
      <c r="D382" s="15">
        <v>0.26911677699999997</v>
      </c>
      <c r="E382" s="16">
        <v>0.51443851699999998</v>
      </c>
    </row>
    <row r="383" spans="1:5" x14ac:dyDescent="0.25">
      <c r="A383" s="14">
        <v>799</v>
      </c>
      <c r="B383" s="15">
        <v>183.99998919999999</v>
      </c>
      <c r="C383" s="15">
        <v>6.4097743960000004</v>
      </c>
      <c r="D383" s="15">
        <v>0.27397278600000002</v>
      </c>
      <c r="E383" s="16">
        <v>0.48877431900000001</v>
      </c>
    </row>
    <row r="384" spans="1:5" x14ac:dyDescent="0.25">
      <c r="A384" s="14">
        <v>799</v>
      </c>
      <c r="B384" s="15">
        <v>193.19998870000001</v>
      </c>
      <c r="C384" s="15">
        <v>5.8168141259999997</v>
      </c>
      <c r="D384" s="15">
        <v>0.27895750400000002</v>
      </c>
      <c r="E384" s="16">
        <v>0.45741405000000002</v>
      </c>
    </row>
    <row r="385" spans="1:5" x14ac:dyDescent="0.25">
      <c r="A385" s="14">
        <v>799</v>
      </c>
      <c r="B385" s="15">
        <v>202.3999881</v>
      </c>
      <c r="C385" s="15">
        <v>5.2085918449999999</v>
      </c>
      <c r="D385" s="15">
        <v>0.28089999999999998</v>
      </c>
      <c r="E385" s="16">
        <v>0.42132578399999998</v>
      </c>
    </row>
    <row r="386" spans="1:5" x14ac:dyDescent="0.25">
      <c r="A386" s="14">
        <v>799</v>
      </c>
      <c r="B386" s="15">
        <v>211.59998759999999</v>
      </c>
      <c r="C386" s="15">
        <v>4.5958259010000004</v>
      </c>
      <c r="D386" s="15">
        <v>0.27739999999999998</v>
      </c>
      <c r="E386" s="16">
        <v>0.38151253299999999</v>
      </c>
    </row>
    <row r="387" spans="1:5" x14ac:dyDescent="0.25">
      <c r="A387" s="14">
        <v>799</v>
      </c>
      <c r="B387" s="15">
        <v>220.79998699999999</v>
      </c>
      <c r="C387" s="15">
        <v>3.9864556860000002</v>
      </c>
      <c r="D387" s="15">
        <v>0.26800000000000002</v>
      </c>
      <c r="E387" s="16">
        <v>0.33885442100000002</v>
      </c>
    </row>
    <row r="388" spans="1:5" x14ac:dyDescent="0.25">
      <c r="A388" s="14">
        <v>799</v>
      </c>
      <c r="B388" s="15">
        <v>229.99998650000001</v>
      </c>
      <c r="C388" s="15">
        <v>3.3838538379999998</v>
      </c>
      <c r="D388" s="15">
        <v>0.26300000000000001</v>
      </c>
      <c r="E388" s="16">
        <v>0.293912057</v>
      </c>
    </row>
    <row r="389" spans="1:5" x14ac:dyDescent="0.25">
      <c r="A389" s="14">
        <v>799</v>
      </c>
      <c r="B389" s="15">
        <v>239.199986</v>
      </c>
      <c r="C389" s="15">
        <v>2.7848112770000002</v>
      </c>
      <c r="D389" s="15">
        <v>0.25800000000000001</v>
      </c>
      <c r="E389" s="16">
        <v>0.24669282100000001</v>
      </c>
    </row>
    <row r="390" spans="1:5" x14ac:dyDescent="0.25">
      <c r="A390" s="14">
        <v>799</v>
      </c>
      <c r="B390" s="15">
        <v>248.39998539999999</v>
      </c>
      <c r="C390" s="15">
        <v>2.1772950529999999</v>
      </c>
      <c r="D390" s="15">
        <v>0.25</v>
      </c>
      <c r="E390" s="16">
        <v>0.19638214000000001</v>
      </c>
    </row>
    <row r="391" spans="1:5" x14ac:dyDescent="0.25">
      <c r="A391" s="14">
        <v>799</v>
      </c>
      <c r="B391" s="15">
        <v>257.59998489999998</v>
      </c>
      <c r="C391" s="15">
        <v>1.5379790250000001</v>
      </c>
      <c r="D391" s="15">
        <v>0.24429999999999999</v>
      </c>
      <c r="E391" s="16">
        <v>0.14104051400000001</v>
      </c>
    </row>
    <row r="392" spans="1:5" x14ac:dyDescent="0.25">
      <c r="A392" s="14">
        <v>799</v>
      </c>
      <c r="B392" s="15">
        <v>266.79998430000001</v>
      </c>
      <c r="C392" s="15">
        <v>0.82954735599999996</v>
      </c>
      <c r="D392" s="15">
        <v>0.23130000000000001</v>
      </c>
      <c r="E392" s="16">
        <v>7.7262912000000003E-2</v>
      </c>
    </row>
    <row r="393" spans="1:5" s="1" customFormat="1" x14ac:dyDescent="0.25">
      <c r="A393" s="17">
        <v>871</v>
      </c>
      <c r="B393" s="18">
        <v>0</v>
      </c>
      <c r="C393" s="18">
        <v>23.86</v>
      </c>
      <c r="D393" s="18">
        <v>0.32400000000000001</v>
      </c>
      <c r="E393" s="19">
        <v>0</v>
      </c>
    </row>
    <row r="394" spans="1:5" x14ac:dyDescent="0.25">
      <c r="A394" s="14">
        <v>871</v>
      </c>
      <c r="B394" s="15">
        <v>20</v>
      </c>
      <c r="C394" s="15">
        <v>22.99</v>
      </c>
      <c r="D394" s="15">
        <v>0.32400000000000001</v>
      </c>
      <c r="E394" s="16">
        <v>0.15</v>
      </c>
    </row>
    <row r="395" spans="1:5" x14ac:dyDescent="0.25">
      <c r="A395" s="14">
        <v>871</v>
      </c>
      <c r="B395" s="15">
        <v>40</v>
      </c>
      <c r="C395" s="15">
        <v>22.48</v>
      </c>
      <c r="D395" s="15">
        <v>0.33</v>
      </c>
      <c r="E395" s="16">
        <v>0.32</v>
      </c>
    </row>
    <row r="396" spans="1:5" x14ac:dyDescent="0.25">
      <c r="A396" s="14">
        <v>871</v>
      </c>
      <c r="B396" s="15">
        <v>67</v>
      </c>
      <c r="C396" s="15">
        <v>21.96</v>
      </c>
      <c r="D396" s="15">
        <v>0.34799999999999998</v>
      </c>
      <c r="E396" s="16">
        <v>0.48</v>
      </c>
    </row>
    <row r="397" spans="1:5" x14ac:dyDescent="0.25">
      <c r="A397" s="14">
        <v>871</v>
      </c>
      <c r="B397" s="15">
        <v>90</v>
      </c>
      <c r="C397" s="15">
        <v>19.670000000000002</v>
      </c>
      <c r="D397" s="15">
        <v>0.371</v>
      </c>
      <c r="E397" s="16">
        <v>0.53</v>
      </c>
    </row>
    <row r="398" spans="1:5" x14ac:dyDescent="0.25">
      <c r="A398" s="14">
        <v>871</v>
      </c>
      <c r="B398" s="15">
        <v>121</v>
      </c>
      <c r="C398" s="15">
        <v>13.3</v>
      </c>
      <c r="D398" s="15">
        <v>0.41499999999999998</v>
      </c>
      <c r="E398" s="16">
        <v>0.44</v>
      </c>
    </row>
    <row r="399" spans="1:5" x14ac:dyDescent="0.25">
      <c r="A399" s="14">
        <v>871</v>
      </c>
      <c r="B399" s="15">
        <v>140</v>
      </c>
      <c r="C399" s="15">
        <v>8.85</v>
      </c>
      <c r="D399" s="15">
        <v>0.44900000000000001</v>
      </c>
      <c r="E399" s="16">
        <v>0.31</v>
      </c>
    </row>
    <row r="400" spans="1:5" x14ac:dyDescent="0.25">
      <c r="A400" s="14">
        <v>871</v>
      </c>
      <c r="B400" s="15">
        <v>160</v>
      </c>
      <c r="C400" s="15">
        <v>3.98</v>
      </c>
      <c r="D400" s="15">
        <v>0.49099999999999999</v>
      </c>
      <c r="E400" s="16">
        <v>0.14000000000000001</v>
      </c>
    </row>
    <row r="401" spans="1:5" x14ac:dyDescent="0.25">
      <c r="A401" s="14">
        <v>871</v>
      </c>
      <c r="B401" s="15">
        <v>171</v>
      </c>
      <c r="C401" s="15">
        <v>0</v>
      </c>
      <c r="D401" s="15">
        <v>0.51600000000000001</v>
      </c>
      <c r="E401" s="16">
        <v>0</v>
      </c>
    </row>
    <row r="402" spans="1:5" s="1" customFormat="1" x14ac:dyDescent="0.25">
      <c r="A402" s="17">
        <v>877</v>
      </c>
      <c r="B402" s="18">
        <v>0</v>
      </c>
      <c r="C402" s="18">
        <v>21.54</v>
      </c>
      <c r="D402" s="18">
        <v>1.0469999999999999</v>
      </c>
      <c r="E402" s="19">
        <v>0</v>
      </c>
    </row>
    <row r="403" spans="1:5" x14ac:dyDescent="0.25">
      <c r="A403" s="14">
        <v>877</v>
      </c>
      <c r="B403" s="15">
        <v>50</v>
      </c>
      <c r="C403" s="15">
        <v>21.51</v>
      </c>
      <c r="D403" s="15">
        <v>1.159</v>
      </c>
      <c r="E403" s="16">
        <v>0.09</v>
      </c>
    </row>
    <row r="404" spans="1:5" x14ac:dyDescent="0.25">
      <c r="A404" s="14">
        <v>877</v>
      </c>
      <c r="B404" s="15">
        <v>100</v>
      </c>
      <c r="C404" s="15">
        <v>21.77</v>
      </c>
      <c r="D404" s="15">
        <v>1.2370000000000001</v>
      </c>
      <c r="E404" s="16">
        <v>0.18</v>
      </c>
    </row>
    <row r="405" spans="1:5" x14ac:dyDescent="0.25">
      <c r="A405" s="14">
        <v>877</v>
      </c>
      <c r="B405" s="15">
        <v>150</v>
      </c>
      <c r="C405" s="15">
        <v>22.06</v>
      </c>
      <c r="D405" s="15">
        <v>1.2989999999999999</v>
      </c>
      <c r="E405" s="16">
        <v>0.26</v>
      </c>
    </row>
    <row r="406" spans="1:5" x14ac:dyDescent="0.25">
      <c r="A406" s="14">
        <v>877</v>
      </c>
      <c r="B406" s="15">
        <v>200</v>
      </c>
      <c r="C406" s="15">
        <v>22.23</v>
      </c>
      <c r="D406" s="15">
        <v>1.357</v>
      </c>
      <c r="E406" s="16">
        <v>0.34</v>
      </c>
    </row>
    <row r="407" spans="1:5" x14ac:dyDescent="0.25">
      <c r="A407" s="14">
        <v>877</v>
      </c>
      <c r="B407" s="15">
        <v>250</v>
      </c>
      <c r="C407" s="15">
        <v>22.21</v>
      </c>
      <c r="D407" s="15">
        <v>1.419</v>
      </c>
      <c r="E407" s="16">
        <v>0.41</v>
      </c>
    </row>
    <row r="408" spans="1:5" x14ac:dyDescent="0.25">
      <c r="A408" s="14">
        <v>877</v>
      </c>
      <c r="B408" s="15">
        <v>300</v>
      </c>
      <c r="C408" s="15">
        <v>21.98</v>
      </c>
      <c r="D408" s="15">
        <v>1.4850000000000001</v>
      </c>
      <c r="E408" s="16">
        <v>0.46</v>
      </c>
    </row>
    <row r="409" spans="1:5" x14ac:dyDescent="0.25">
      <c r="A409" s="14">
        <v>877</v>
      </c>
      <c r="B409" s="15">
        <v>350</v>
      </c>
      <c r="C409" s="15">
        <v>21.56</v>
      </c>
      <c r="D409" s="15">
        <v>1.5549999999999999</v>
      </c>
      <c r="E409" s="16">
        <v>0.51</v>
      </c>
    </row>
    <row r="410" spans="1:5" x14ac:dyDescent="0.25">
      <c r="A410" s="14">
        <v>877</v>
      </c>
      <c r="B410" s="15">
        <v>400</v>
      </c>
      <c r="C410" s="15">
        <v>20.94</v>
      </c>
      <c r="D410" s="15">
        <v>1.625</v>
      </c>
      <c r="E410" s="16">
        <v>0.55000000000000004</v>
      </c>
    </row>
    <row r="411" spans="1:5" x14ac:dyDescent="0.25">
      <c r="A411" s="14">
        <v>877</v>
      </c>
      <c r="B411" s="15">
        <v>450</v>
      </c>
      <c r="C411" s="15">
        <v>20.14</v>
      </c>
      <c r="D411" s="15">
        <v>1.69</v>
      </c>
      <c r="E411" s="16">
        <v>0.56999999999999995</v>
      </c>
    </row>
    <row r="412" spans="1:5" x14ac:dyDescent="0.25">
      <c r="A412" s="14">
        <v>877</v>
      </c>
      <c r="B412" s="15">
        <v>500</v>
      </c>
      <c r="C412" s="15">
        <v>19.170000000000002</v>
      </c>
      <c r="D412" s="15">
        <v>1.7470000000000001</v>
      </c>
      <c r="E412" s="16">
        <v>0.59</v>
      </c>
    </row>
    <row r="413" spans="1:5" x14ac:dyDescent="0.25">
      <c r="A413" s="14">
        <v>877</v>
      </c>
      <c r="B413" s="15">
        <v>550</v>
      </c>
      <c r="C413" s="15">
        <v>18.010000000000002</v>
      </c>
      <c r="D413" s="15">
        <v>1.7889999999999999</v>
      </c>
      <c r="E413" s="16">
        <v>0.6</v>
      </c>
    </row>
    <row r="414" spans="1:5" x14ac:dyDescent="0.25">
      <c r="A414" s="14">
        <v>877</v>
      </c>
      <c r="B414" s="15">
        <v>600</v>
      </c>
      <c r="C414" s="15">
        <v>16.63</v>
      </c>
      <c r="D414" s="15">
        <v>1.8169999999999999</v>
      </c>
      <c r="E414" s="16">
        <v>0.59</v>
      </c>
    </row>
    <row r="415" spans="1:5" x14ac:dyDescent="0.25">
      <c r="A415" s="14">
        <v>877</v>
      </c>
      <c r="B415" s="15">
        <v>650</v>
      </c>
      <c r="C415" s="15">
        <v>15</v>
      </c>
      <c r="D415" s="15">
        <v>1.829</v>
      </c>
      <c r="E415" s="16">
        <v>0.56999999999999995</v>
      </c>
    </row>
    <row r="416" spans="1:5" x14ac:dyDescent="0.25">
      <c r="A416" s="14">
        <v>877</v>
      </c>
      <c r="B416" s="15">
        <v>700</v>
      </c>
      <c r="C416" s="15">
        <v>13.08</v>
      </c>
      <c r="D416" s="15">
        <v>1.8320000000000001</v>
      </c>
      <c r="E416" s="16">
        <v>0.53</v>
      </c>
    </row>
    <row r="417" spans="1:5" x14ac:dyDescent="0.25">
      <c r="A417" s="14">
        <v>877</v>
      </c>
      <c r="B417" s="15">
        <v>750</v>
      </c>
      <c r="C417" s="15">
        <v>10.85</v>
      </c>
      <c r="D417" s="15">
        <v>1.835</v>
      </c>
      <c r="E417" s="16">
        <v>0.47</v>
      </c>
    </row>
    <row r="418" spans="1:5" x14ac:dyDescent="0.25">
      <c r="A418" s="14">
        <v>877</v>
      </c>
      <c r="B418" s="15">
        <v>800</v>
      </c>
      <c r="C418" s="15">
        <v>8.33</v>
      </c>
      <c r="D418" s="15">
        <v>1.8540000000000001</v>
      </c>
      <c r="E418" s="16">
        <v>0.39</v>
      </c>
    </row>
    <row r="419" spans="1:5" x14ac:dyDescent="0.25">
      <c r="A419" s="14">
        <v>877</v>
      </c>
      <c r="B419" s="15">
        <v>850</v>
      </c>
      <c r="C419" s="15">
        <v>5.59</v>
      </c>
      <c r="D419" s="15">
        <v>1.913</v>
      </c>
      <c r="E419" s="16">
        <v>0.28000000000000003</v>
      </c>
    </row>
    <row r="420" spans="1:5" x14ac:dyDescent="0.25">
      <c r="A420" s="14">
        <v>877</v>
      </c>
      <c r="B420" s="15">
        <v>900</v>
      </c>
      <c r="C420" s="15">
        <v>2.79</v>
      </c>
      <c r="D420" s="15">
        <v>2.0430000000000001</v>
      </c>
      <c r="E420" s="16">
        <v>0.15</v>
      </c>
    </row>
    <row r="421" spans="1:5" x14ac:dyDescent="0.25">
      <c r="A421" s="14">
        <v>877</v>
      </c>
      <c r="B421" s="15">
        <v>950</v>
      </c>
      <c r="C421" s="15">
        <v>0</v>
      </c>
      <c r="D421" s="15">
        <v>2.2839999999999998</v>
      </c>
      <c r="E421" s="16">
        <v>0</v>
      </c>
    </row>
    <row r="422" spans="1:5" s="1" customFormat="1" x14ac:dyDescent="0.25">
      <c r="A422" s="17">
        <v>878</v>
      </c>
      <c r="B422" s="18">
        <v>0</v>
      </c>
      <c r="C422" s="18">
        <v>4.32</v>
      </c>
      <c r="D422" s="18">
        <v>9.8000000000000004E-2</v>
      </c>
      <c r="E422" s="19">
        <v>0</v>
      </c>
    </row>
    <row r="423" spans="1:5" x14ac:dyDescent="0.25">
      <c r="A423" s="14">
        <v>878</v>
      </c>
      <c r="B423" s="15">
        <v>50</v>
      </c>
      <c r="C423" s="15">
        <v>4.45</v>
      </c>
      <c r="D423" s="15">
        <v>0.126</v>
      </c>
      <c r="E423" s="16">
        <v>0.21</v>
      </c>
    </row>
    <row r="424" spans="1:5" x14ac:dyDescent="0.25">
      <c r="A424" s="14">
        <v>878</v>
      </c>
      <c r="B424" s="15">
        <v>100</v>
      </c>
      <c r="C424" s="15">
        <v>4.5</v>
      </c>
      <c r="D424" s="15">
        <v>0.14299999999999999</v>
      </c>
      <c r="E424" s="16">
        <v>0.35</v>
      </c>
    </row>
    <row r="425" spans="1:5" x14ac:dyDescent="0.25">
      <c r="A425" s="14">
        <v>878</v>
      </c>
      <c r="B425" s="15">
        <v>150</v>
      </c>
      <c r="C425" s="15">
        <v>4.2</v>
      </c>
      <c r="D425" s="15">
        <v>0.151</v>
      </c>
      <c r="E425" s="16">
        <v>0.46</v>
      </c>
    </row>
    <row r="426" spans="1:5" x14ac:dyDescent="0.25">
      <c r="A426" s="14">
        <v>878</v>
      </c>
      <c r="B426" s="15">
        <v>200</v>
      </c>
      <c r="C426" s="15">
        <v>3.6</v>
      </c>
      <c r="D426" s="15">
        <v>0.154</v>
      </c>
      <c r="E426" s="16">
        <v>0.54</v>
      </c>
    </row>
    <row r="427" spans="1:5" x14ac:dyDescent="0.25">
      <c r="A427" s="14">
        <v>878</v>
      </c>
      <c r="B427" s="15">
        <v>250</v>
      </c>
      <c r="C427" s="15">
        <v>2.83</v>
      </c>
      <c r="D427" s="15">
        <v>0.152</v>
      </c>
      <c r="E427" s="16">
        <v>0.54</v>
      </c>
    </row>
    <row r="428" spans="1:5" x14ac:dyDescent="0.25">
      <c r="A428" s="14">
        <v>878</v>
      </c>
      <c r="B428" s="15">
        <v>300</v>
      </c>
      <c r="C428" s="15">
        <v>1.81</v>
      </c>
      <c r="D428" s="15">
        <v>0.14899999999999999</v>
      </c>
      <c r="E428" s="16">
        <v>0.39</v>
      </c>
    </row>
    <row r="429" spans="1:5" x14ac:dyDescent="0.25">
      <c r="A429" s="14">
        <v>878</v>
      </c>
      <c r="B429" s="15">
        <v>350</v>
      </c>
      <c r="C429" s="15">
        <v>0</v>
      </c>
      <c r="D429" s="15">
        <v>0.14699999999999999</v>
      </c>
      <c r="E429" s="16">
        <v>0</v>
      </c>
    </row>
    <row r="430" spans="1:5" s="1" customFormat="1" x14ac:dyDescent="0.25">
      <c r="A430" s="17">
        <v>879</v>
      </c>
      <c r="B430" s="18">
        <v>0</v>
      </c>
      <c r="C430" s="18">
        <v>17.600000000000001</v>
      </c>
      <c r="D430" s="18">
        <v>3.5169999999999999</v>
      </c>
      <c r="E430" s="19">
        <v>0</v>
      </c>
    </row>
    <row r="431" spans="1:5" x14ac:dyDescent="0.25">
      <c r="A431" s="14">
        <v>879</v>
      </c>
      <c r="B431" s="15">
        <v>1000</v>
      </c>
      <c r="C431" s="15">
        <v>16.5</v>
      </c>
      <c r="D431" s="15">
        <v>4.6310000000000002</v>
      </c>
      <c r="E431" s="16">
        <v>0.39</v>
      </c>
    </row>
    <row r="432" spans="1:5" x14ac:dyDescent="0.25">
      <c r="A432" s="14">
        <v>879</v>
      </c>
      <c r="B432" s="15">
        <v>2400</v>
      </c>
      <c r="C432" s="15">
        <v>14.2</v>
      </c>
      <c r="D432" s="15">
        <v>5.9340000000000002</v>
      </c>
      <c r="E432" s="16">
        <v>0.65</v>
      </c>
    </row>
    <row r="433" spans="1:5" x14ac:dyDescent="0.25">
      <c r="A433" s="14">
        <v>879</v>
      </c>
      <c r="B433" s="15">
        <v>3000</v>
      </c>
      <c r="C433" s="15">
        <v>12.8</v>
      </c>
      <c r="D433" s="15">
        <v>6.226</v>
      </c>
      <c r="E433" s="16">
        <v>0.68</v>
      </c>
    </row>
    <row r="434" spans="1:5" x14ac:dyDescent="0.25">
      <c r="A434" s="14">
        <v>879</v>
      </c>
      <c r="B434" s="15">
        <v>3600</v>
      </c>
      <c r="C434" s="15">
        <v>9.9</v>
      </c>
      <c r="D434" s="15">
        <v>6.3929999999999998</v>
      </c>
      <c r="E434" s="16">
        <v>0.62</v>
      </c>
    </row>
    <row r="435" spans="1:5" x14ac:dyDescent="0.25">
      <c r="A435" s="14">
        <v>879</v>
      </c>
      <c r="B435" s="15">
        <v>4000</v>
      </c>
      <c r="C435" s="15">
        <v>6.6</v>
      </c>
      <c r="D435" s="15">
        <v>6.4859999999999998</v>
      </c>
      <c r="E435" s="16">
        <v>0.48</v>
      </c>
    </row>
    <row r="436" spans="1:5" s="1" customFormat="1" x14ac:dyDescent="0.25">
      <c r="A436" s="17">
        <v>1002</v>
      </c>
      <c r="B436" s="18">
        <v>0</v>
      </c>
      <c r="C436" s="18">
        <v>4.9000000000000004</v>
      </c>
      <c r="D436" s="18">
        <v>0.02</v>
      </c>
      <c r="E436" s="19">
        <v>0</v>
      </c>
    </row>
    <row r="437" spans="1:5" x14ac:dyDescent="0.25">
      <c r="A437" s="14">
        <v>1002</v>
      </c>
      <c r="B437" s="15">
        <v>10</v>
      </c>
      <c r="C437" s="15">
        <v>4.7</v>
      </c>
      <c r="D437" s="15">
        <v>2.5000000000000001E-2</v>
      </c>
      <c r="E437" s="16">
        <v>0.21</v>
      </c>
    </row>
    <row r="438" spans="1:5" x14ac:dyDescent="0.25">
      <c r="A438" s="14">
        <v>1002</v>
      </c>
      <c r="B438" s="15">
        <v>15</v>
      </c>
      <c r="C438" s="15">
        <v>4.5999999999999996</v>
      </c>
      <c r="D438" s="15">
        <v>2.7E-2</v>
      </c>
      <c r="E438" s="16">
        <v>0.28999999999999998</v>
      </c>
    </row>
    <row r="439" spans="1:5" x14ac:dyDescent="0.25">
      <c r="A439" s="14">
        <v>1002</v>
      </c>
      <c r="B439" s="15">
        <v>20</v>
      </c>
      <c r="C439" s="15">
        <v>4.5</v>
      </c>
      <c r="D439" s="15">
        <v>0.03</v>
      </c>
      <c r="E439" s="16">
        <v>0.35</v>
      </c>
    </row>
    <row r="440" spans="1:5" x14ac:dyDescent="0.25">
      <c r="A440" s="14">
        <v>1002</v>
      </c>
      <c r="B440" s="15">
        <v>30</v>
      </c>
      <c r="C440" s="15">
        <v>4.0999999999999996</v>
      </c>
      <c r="D440" s="15">
        <v>3.5000000000000003E-2</v>
      </c>
      <c r="E440" s="16">
        <v>0.4</v>
      </c>
    </row>
    <row r="441" spans="1:5" x14ac:dyDescent="0.25">
      <c r="A441" s="14">
        <v>1002</v>
      </c>
      <c r="B441" s="15">
        <v>40</v>
      </c>
      <c r="C441" s="15">
        <v>3.3</v>
      </c>
      <c r="D441" s="15">
        <v>4.1000000000000002E-2</v>
      </c>
      <c r="E441" s="16">
        <v>0.37</v>
      </c>
    </row>
    <row r="442" spans="1:5" x14ac:dyDescent="0.25">
      <c r="A442" s="14">
        <v>1002</v>
      </c>
      <c r="B442" s="15">
        <v>65</v>
      </c>
      <c r="C442" s="15">
        <v>0</v>
      </c>
      <c r="D442" s="15">
        <v>0.02</v>
      </c>
      <c r="E442" s="16">
        <v>0</v>
      </c>
    </row>
    <row r="443" spans="1:5" s="1" customFormat="1" x14ac:dyDescent="0.25">
      <c r="A443" s="17">
        <v>1003</v>
      </c>
      <c r="B443" s="18">
        <v>0</v>
      </c>
      <c r="C443" s="18">
        <v>7.1</v>
      </c>
      <c r="D443" s="18">
        <v>0.03</v>
      </c>
      <c r="E443" s="19">
        <v>0</v>
      </c>
    </row>
    <row r="444" spans="1:5" x14ac:dyDescent="0.25">
      <c r="A444" s="14">
        <v>1003</v>
      </c>
      <c r="B444" s="15">
        <v>10</v>
      </c>
      <c r="C444" s="15">
        <v>6.2</v>
      </c>
      <c r="D444" s="15">
        <v>2.9000000000000001E-2</v>
      </c>
      <c r="E444" s="16">
        <v>0.24</v>
      </c>
    </row>
    <row r="445" spans="1:5" x14ac:dyDescent="0.25">
      <c r="A445" s="14">
        <v>1003</v>
      </c>
      <c r="B445" s="15">
        <v>15</v>
      </c>
      <c r="C445" s="15">
        <v>5.6</v>
      </c>
      <c r="D445" s="15">
        <v>0.03</v>
      </c>
      <c r="E445" s="16">
        <v>0.31</v>
      </c>
    </row>
    <row r="446" spans="1:5" x14ac:dyDescent="0.25">
      <c r="A446" s="14">
        <v>1003</v>
      </c>
      <c r="B446" s="15">
        <v>20</v>
      </c>
      <c r="C446" s="15">
        <v>4.7</v>
      </c>
      <c r="D446" s="15">
        <v>3.2000000000000001E-2</v>
      </c>
      <c r="E446" s="16">
        <v>0.33</v>
      </c>
    </row>
    <row r="447" spans="1:5" x14ac:dyDescent="0.25">
      <c r="A447" s="14">
        <v>1003</v>
      </c>
      <c r="B447" s="15">
        <v>25</v>
      </c>
      <c r="C447" s="15">
        <v>3.6</v>
      </c>
      <c r="D447" s="15">
        <v>3.5000000000000003E-2</v>
      </c>
      <c r="E447" s="16">
        <v>0.28999999999999998</v>
      </c>
    </row>
    <row r="448" spans="1:5" x14ac:dyDescent="0.25">
      <c r="A448" s="14">
        <v>1003</v>
      </c>
      <c r="B448" s="15">
        <v>30</v>
      </c>
      <c r="C448" s="15">
        <v>2.5</v>
      </c>
      <c r="D448" s="15">
        <v>3.7999999999999999E-2</v>
      </c>
      <c r="E448" s="16">
        <v>0.22</v>
      </c>
    </row>
    <row r="449" spans="1:5" x14ac:dyDescent="0.25">
      <c r="A449" s="14">
        <v>1003</v>
      </c>
      <c r="B449" s="15">
        <v>38</v>
      </c>
      <c r="C449" s="15">
        <v>0</v>
      </c>
      <c r="D449" s="15">
        <v>4.2999999999999997E-2</v>
      </c>
      <c r="E449" s="16">
        <v>0</v>
      </c>
    </row>
    <row r="450" spans="1:5" s="1" customFormat="1" x14ac:dyDescent="0.25">
      <c r="A450" s="17">
        <v>1004</v>
      </c>
      <c r="B450" s="18">
        <v>0</v>
      </c>
      <c r="C450" s="18">
        <v>6.1</v>
      </c>
      <c r="D450" s="18">
        <v>3.7999999999999999E-2</v>
      </c>
      <c r="E450" s="19">
        <v>0</v>
      </c>
    </row>
    <row r="451" spans="1:5" x14ac:dyDescent="0.25">
      <c r="A451" s="14">
        <v>1004</v>
      </c>
      <c r="B451" s="15">
        <v>10</v>
      </c>
      <c r="C451" s="15">
        <v>6</v>
      </c>
      <c r="D451" s="15">
        <v>3.7999999999999999E-2</v>
      </c>
      <c r="E451" s="16">
        <v>0.17</v>
      </c>
    </row>
    <row r="452" spans="1:5" x14ac:dyDescent="0.25">
      <c r="A452" s="14">
        <v>1004</v>
      </c>
      <c r="B452" s="15">
        <v>22</v>
      </c>
      <c r="C452" s="15">
        <v>5.4</v>
      </c>
      <c r="D452" s="15">
        <v>3.9E-2</v>
      </c>
      <c r="E452" s="16">
        <v>0.35</v>
      </c>
    </row>
    <row r="453" spans="1:5" x14ac:dyDescent="0.25">
      <c r="A453" s="14">
        <v>1004</v>
      </c>
      <c r="B453" s="15">
        <v>35</v>
      </c>
      <c r="C453" s="15">
        <v>4.5999999999999996</v>
      </c>
      <c r="D453" s="15">
        <v>4.2000000000000003E-2</v>
      </c>
      <c r="E453" s="16">
        <v>0.43</v>
      </c>
    </row>
    <row r="454" spans="1:5" x14ac:dyDescent="0.25">
      <c r="A454" s="14">
        <v>1004</v>
      </c>
      <c r="B454" s="15">
        <v>50</v>
      </c>
      <c r="C454" s="15">
        <v>3</v>
      </c>
      <c r="D454" s="15">
        <v>4.8000000000000001E-2</v>
      </c>
      <c r="E454" s="16">
        <v>0.35</v>
      </c>
    </row>
    <row r="455" spans="1:5" x14ac:dyDescent="0.25">
      <c r="A455" s="14">
        <v>1004</v>
      </c>
      <c r="B455" s="15">
        <v>60</v>
      </c>
      <c r="C455" s="15">
        <v>1.2</v>
      </c>
      <c r="D455" s="15">
        <v>5.2999999999999999E-2</v>
      </c>
      <c r="E455" s="16">
        <v>0.17</v>
      </c>
    </row>
    <row r="456" spans="1:5" x14ac:dyDescent="0.25">
      <c r="A456" s="14">
        <v>1004</v>
      </c>
      <c r="B456" s="15">
        <v>66</v>
      </c>
      <c r="C456" s="15">
        <v>0</v>
      </c>
      <c r="D456" s="15">
        <v>5.7000000000000002E-2</v>
      </c>
      <c r="E456" s="16">
        <v>0</v>
      </c>
    </row>
    <row r="457" spans="1:5" s="1" customFormat="1" x14ac:dyDescent="0.25">
      <c r="A457" s="17">
        <v>1005</v>
      </c>
      <c r="B457" s="18">
        <v>0</v>
      </c>
      <c r="C457" s="18">
        <v>6.5</v>
      </c>
      <c r="D457" s="18">
        <v>5.6000000000000001E-2</v>
      </c>
      <c r="E457" s="19">
        <v>0</v>
      </c>
    </row>
    <row r="458" spans="1:5" x14ac:dyDescent="0.25">
      <c r="A458" s="14">
        <v>1005</v>
      </c>
      <c r="B458" s="15">
        <v>20</v>
      </c>
      <c r="C458" s="15">
        <v>6.2</v>
      </c>
      <c r="D458" s="15">
        <v>5.0999999999999997E-2</v>
      </c>
      <c r="E458" s="16">
        <v>0.27</v>
      </c>
    </row>
    <row r="459" spans="1:5" x14ac:dyDescent="0.25">
      <c r="A459" s="14">
        <v>1005</v>
      </c>
      <c r="B459" s="15">
        <v>35</v>
      </c>
      <c r="C459" s="15">
        <v>5.8</v>
      </c>
      <c r="D459" s="15">
        <v>5.5E-2</v>
      </c>
      <c r="E459" s="16">
        <v>0.42</v>
      </c>
    </row>
    <row r="460" spans="1:5" x14ac:dyDescent="0.25">
      <c r="A460" s="14">
        <v>1005</v>
      </c>
      <c r="B460" s="15">
        <v>50</v>
      </c>
      <c r="C460" s="15">
        <v>5.0999999999999996</v>
      </c>
      <c r="D460" s="15">
        <v>0.06</v>
      </c>
      <c r="E460" s="16">
        <v>0.48</v>
      </c>
    </row>
    <row r="461" spans="1:5" x14ac:dyDescent="0.25">
      <c r="A461" s="14">
        <v>1005</v>
      </c>
      <c r="B461" s="15">
        <v>65</v>
      </c>
      <c r="C461" s="15">
        <v>3.9</v>
      </c>
      <c r="D461" s="15">
        <v>6.6000000000000003E-2</v>
      </c>
      <c r="E461" s="16">
        <v>0.44</v>
      </c>
    </row>
    <row r="462" spans="1:5" x14ac:dyDescent="0.25">
      <c r="A462" s="14">
        <v>1005</v>
      </c>
      <c r="B462" s="15">
        <v>75</v>
      </c>
      <c r="C462" s="15">
        <v>2.9</v>
      </c>
      <c r="D462" s="15">
        <v>7.0000000000000007E-2</v>
      </c>
      <c r="E462" s="16">
        <v>0.35</v>
      </c>
    </row>
    <row r="463" spans="1:5" x14ac:dyDescent="0.25">
      <c r="A463" s="14">
        <v>1005</v>
      </c>
      <c r="B463" s="15">
        <v>85</v>
      </c>
      <c r="C463" s="15">
        <v>1.7</v>
      </c>
      <c r="D463" s="15">
        <v>7.1999999999999995E-2</v>
      </c>
      <c r="E463" s="16">
        <v>0.19</v>
      </c>
    </row>
    <row r="464" spans="1:5" x14ac:dyDescent="0.25">
      <c r="A464" s="14">
        <v>1005</v>
      </c>
      <c r="B464" s="15">
        <v>95</v>
      </c>
      <c r="C464" s="15">
        <v>0</v>
      </c>
      <c r="D464" s="15">
        <v>7.5999999999999998E-2</v>
      </c>
      <c r="E464" s="16">
        <v>0</v>
      </c>
    </row>
    <row r="465" spans="1:5" s="1" customFormat="1" x14ac:dyDescent="0.25">
      <c r="A465" s="17">
        <v>1006</v>
      </c>
      <c r="B465" s="18">
        <v>0</v>
      </c>
      <c r="C465" s="18">
        <v>6.6</v>
      </c>
      <c r="D465" s="18">
        <v>8.6999999999999994E-2</v>
      </c>
      <c r="E465" s="19">
        <v>0</v>
      </c>
    </row>
    <row r="466" spans="1:5" x14ac:dyDescent="0.25">
      <c r="A466" s="14">
        <v>1006</v>
      </c>
      <c r="B466" s="15">
        <v>30</v>
      </c>
      <c r="C466" s="15">
        <v>6.7</v>
      </c>
      <c r="D466" s="15">
        <v>9.2999999999999999E-2</v>
      </c>
      <c r="E466" s="16">
        <v>0.24</v>
      </c>
    </row>
    <row r="467" spans="1:5" x14ac:dyDescent="0.25">
      <c r="A467" s="14">
        <v>1006</v>
      </c>
      <c r="B467" s="15">
        <v>60</v>
      </c>
      <c r="C467" s="15">
        <v>6.5</v>
      </c>
      <c r="D467" s="15">
        <v>9.6000000000000002E-2</v>
      </c>
      <c r="E467" s="16">
        <v>0.47</v>
      </c>
    </row>
    <row r="468" spans="1:5" x14ac:dyDescent="0.25">
      <c r="A468" s="14">
        <v>1006</v>
      </c>
      <c r="B468" s="15">
        <v>80</v>
      </c>
      <c r="C468" s="15">
        <v>6</v>
      </c>
      <c r="D468" s="15">
        <v>9.9000000000000005E-2</v>
      </c>
      <c r="E468" s="16">
        <v>0.55000000000000004</v>
      </c>
    </row>
    <row r="469" spans="1:5" x14ac:dyDescent="0.25">
      <c r="A469" s="14">
        <v>1006</v>
      </c>
      <c r="B469" s="15">
        <v>105</v>
      </c>
      <c r="C469" s="15">
        <v>4.8</v>
      </c>
      <c r="D469" s="15">
        <v>0.107</v>
      </c>
      <c r="E469" s="16">
        <v>0.53</v>
      </c>
    </row>
    <row r="470" spans="1:5" x14ac:dyDescent="0.25">
      <c r="A470" s="14">
        <v>1006</v>
      </c>
      <c r="B470" s="15">
        <v>130</v>
      </c>
      <c r="C470" s="15">
        <v>3.3</v>
      </c>
      <c r="D470" s="15">
        <v>0.11700000000000001</v>
      </c>
      <c r="E470" s="16">
        <v>0.41</v>
      </c>
    </row>
    <row r="471" spans="1:5" x14ac:dyDescent="0.25">
      <c r="A471" s="14">
        <v>1006</v>
      </c>
      <c r="B471" s="15">
        <v>175</v>
      </c>
      <c r="C471" s="15">
        <v>0</v>
      </c>
      <c r="D471" s="15">
        <v>0.14000000000000001</v>
      </c>
      <c r="E471" s="16">
        <v>0</v>
      </c>
    </row>
    <row r="472" spans="1:5" s="1" customFormat="1" x14ac:dyDescent="0.25">
      <c r="A472" s="17">
        <v>1007</v>
      </c>
      <c r="B472" s="18">
        <v>0</v>
      </c>
      <c r="C472" s="18">
        <v>6.9</v>
      </c>
      <c r="D472" s="18">
        <v>0.08</v>
      </c>
      <c r="E472" s="19">
        <v>0</v>
      </c>
    </row>
    <row r="473" spans="1:5" x14ac:dyDescent="0.25">
      <c r="A473" s="14">
        <v>1007</v>
      </c>
      <c r="B473" s="15">
        <v>40</v>
      </c>
      <c r="C473" s="15">
        <v>6.9</v>
      </c>
      <c r="D473" s="15">
        <v>0.09</v>
      </c>
      <c r="E473" s="16">
        <v>0.32</v>
      </c>
    </row>
    <row r="474" spans="1:5" x14ac:dyDescent="0.25">
      <c r="A474" s="14">
        <v>1007</v>
      </c>
      <c r="B474" s="15">
        <v>80</v>
      </c>
      <c r="C474" s="15">
        <v>6.4</v>
      </c>
      <c r="D474" s="15">
        <v>0.1</v>
      </c>
      <c r="E474" s="16">
        <v>0.56000000000000005</v>
      </c>
    </row>
    <row r="475" spans="1:5" x14ac:dyDescent="0.25">
      <c r="A475" s="14">
        <v>1007</v>
      </c>
      <c r="B475" s="15">
        <v>100</v>
      </c>
      <c r="C475" s="15">
        <v>5.8</v>
      </c>
      <c r="D475" s="15">
        <v>0.11</v>
      </c>
      <c r="E475" s="16">
        <v>0.57999999999999996</v>
      </c>
    </row>
    <row r="476" spans="1:5" x14ac:dyDescent="0.25">
      <c r="A476" s="14">
        <v>1007</v>
      </c>
      <c r="B476" s="15">
        <v>120</v>
      </c>
      <c r="C476" s="15">
        <v>4.7</v>
      </c>
      <c r="D476" s="15">
        <v>0.11799999999999999</v>
      </c>
      <c r="E476" s="16">
        <v>0.54</v>
      </c>
    </row>
    <row r="477" spans="1:5" x14ac:dyDescent="0.25">
      <c r="A477" s="14">
        <v>1007</v>
      </c>
      <c r="B477" s="15">
        <v>140</v>
      </c>
      <c r="C477" s="15">
        <v>3.4</v>
      </c>
      <c r="D477" s="15">
        <v>0.12</v>
      </c>
      <c r="E477" s="16">
        <v>0.42</v>
      </c>
    </row>
    <row r="478" spans="1:5" x14ac:dyDescent="0.25">
      <c r="A478" s="14">
        <v>1007</v>
      </c>
      <c r="B478" s="15">
        <v>183</v>
      </c>
      <c r="C478" s="15">
        <v>0</v>
      </c>
      <c r="D478" s="15">
        <v>0.151</v>
      </c>
      <c r="E478" s="16">
        <v>0</v>
      </c>
    </row>
    <row r="479" spans="1:5" s="1" customFormat="1" x14ac:dyDescent="0.25">
      <c r="A479" s="17">
        <v>1008</v>
      </c>
      <c r="B479" s="18">
        <v>0</v>
      </c>
      <c r="C479" s="18">
        <v>8.8000000000000007</v>
      </c>
      <c r="D479" s="18">
        <v>5.7000000000000002E-2</v>
      </c>
      <c r="E479" s="19">
        <v>0</v>
      </c>
    </row>
    <row r="480" spans="1:5" x14ac:dyDescent="0.25">
      <c r="A480" s="14">
        <v>1008</v>
      </c>
      <c r="B480" s="15">
        <v>10</v>
      </c>
      <c r="C480" s="15">
        <v>8.6999999999999993</v>
      </c>
      <c r="D480" s="15">
        <v>5.8999999999999997E-2</v>
      </c>
      <c r="E480" s="16">
        <v>0.17</v>
      </c>
    </row>
    <row r="481" spans="1:5" x14ac:dyDescent="0.25">
      <c r="A481" s="14">
        <v>1008</v>
      </c>
      <c r="B481" s="15">
        <v>18</v>
      </c>
      <c r="C481" s="15">
        <v>8.1999999999999993</v>
      </c>
      <c r="D481" s="15">
        <v>6.2E-2</v>
      </c>
      <c r="E481" s="16">
        <v>0.27</v>
      </c>
    </row>
    <row r="482" spans="1:5" x14ac:dyDescent="0.25">
      <c r="A482" s="14">
        <v>1008</v>
      </c>
      <c r="B482" s="15">
        <v>25</v>
      </c>
      <c r="C482" s="15">
        <v>7.5</v>
      </c>
      <c r="D482" s="15">
        <v>6.4000000000000001E-2</v>
      </c>
      <c r="E482" s="16">
        <v>0.33</v>
      </c>
    </row>
    <row r="483" spans="1:5" x14ac:dyDescent="0.25">
      <c r="A483" s="14">
        <v>1008</v>
      </c>
      <c r="B483" s="15">
        <v>35</v>
      </c>
      <c r="C483" s="15">
        <v>6.1</v>
      </c>
      <c r="D483" s="15">
        <v>6.8000000000000005E-2</v>
      </c>
      <c r="E483" s="16">
        <v>0.35</v>
      </c>
    </row>
    <row r="484" spans="1:5" x14ac:dyDescent="0.25">
      <c r="A484" s="14">
        <v>1008</v>
      </c>
      <c r="B484" s="15">
        <v>45</v>
      </c>
      <c r="C484" s="15">
        <v>4.0999999999999996</v>
      </c>
      <c r="D484" s="15">
        <v>7.2999999999999995E-2</v>
      </c>
      <c r="E484" s="16">
        <v>0.28000000000000003</v>
      </c>
    </row>
    <row r="485" spans="1:5" x14ac:dyDescent="0.25">
      <c r="A485" s="14">
        <v>1008</v>
      </c>
      <c r="B485" s="15">
        <v>58</v>
      </c>
      <c r="C485" s="15">
        <v>0</v>
      </c>
      <c r="D485" s="15">
        <v>0.08</v>
      </c>
      <c r="E485" s="16">
        <v>0</v>
      </c>
    </row>
    <row r="486" spans="1:5" s="1" customFormat="1" x14ac:dyDescent="0.25">
      <c r="A486" s="17">
        <v>1009</v>
      </c>
      <c r="B486" s="18">
        <v>0</v>
      </c>
      <c r="C486" s="18">
        <v>9.1999999999999993</v>
      </c>
      <c r="D486" s="18">
        <v>6.5000000000000002E-2</v>
      </c>
      <c r="E486" s="19">
        <v>0</v>
      </c>
    </row>
    <row r="487" spans="1:5" x14ac:dyDescent="0.25">
      <c r="A487" s="14">
        <v>1009</v>
      </c>
      <c r="B487" s="15">
        <v>10</v>
      </c>
      <c r="C487" s="15">
        <v>9.1999999999999993</v>
      </c>
      <c r="D487" s="15">
        <v>6.5000000000000002E-2</v>
      </c>
      <c r="E487" s="16">
        <v>0.16</v>
      </c>
    </row>
    <row r="488" spans="1:5" x14ac:dyDescent="0.25">
      <c r="A488" s="14">
        <v>1009</v>
      </c>
      <c r="B488" s="15">
        <v>20</v>
      </c>
      <c r="C488" s="15">
        <v>8.5</v>
      </c>
      <c r="D488" s="15">
        <v>6.5000000000000002E-2</v>
      </c>
      <c r="E488" s="16">
        <v>0.28999999999999998</v>
      </c>
    </row>
    <row r="489" spans="1:5" x14ac:dyDescent="0.25">
      <c r="A489" s="14">
        <v>1009</v>
      </c>
      <c r="B489" s="15">
        <v>30</v>
      </c>
      <c r="C489" s="15">
        <v>7.3</v>
      </c>
      <c r="D489" s="15">
        <v>6.5000000000000002E-2</v>
      </c>
      <c r="E489" s="16">
        <v>0.37</v>
      </c>
    </row>
    <row r="490" spans="1:5" x14ac:dyDescent="0.25">
      <c r="A490" s="14">
        <v>1009</v>
      </c>
      <c r="B490" s="15">
        <v>34</v>
      </c>
      <c r="C490" s="15">
        <v>6.7</v>
      </c>
      <c r="D490" s="15">
        <v>6.7000000000000004E-2</v>
      </c>
      <c r="E490" s="16">
        <v>0.39</v>
      </c>
    </row>
    <row r="491" spans="1:5" x14ac:dyDescent="0.25">
      <c r="A491" s="14">
        <v>1009</v>
      </c>
      <c r="B491" s="15">
        <v>40</v>
      </c>
      <c r="C491" s="15">
        <v>5.6</v>
      </c>
      <c r="D491" s="15">
        <v>6.9000000000000006E-2</v>
      </c>
      <c r="E491" s="16">
        <v>0.37</v>
      </c>
    </row>
    <row r="492" spans="1:5" x14ac:dyDescent="0.25">
      <c r="A492" s="14">
        <v>1009</v>
      </c>
      <c r="B492" s="15">
        <v>45</v>
      </c>
      <c r="C492" s="15">
        <v>4.5999999999999996</v>
      </c>
      <c r="D492" s="15">
        <v>7.1999999999999995E-2</v>
      </c>
      <c r="E492" s="16">
        <v>0.33</v>
      </c>
    </row>
    <row r="493" spans="1:5" x14ac:dyDescent="0.25">
      <c r="A493" s="14">
        <v>1009</v>
      </c>
      <c r="B493" s="15">
        <v>55</v>
      </c>
      <c r="C493" s="15">
        <v>2</v>
      </c>
      <c r="D493" s="15">
        <v>7.8E-2</v>
      </c>
      <c r="E493" s="16">
        <v>0.16</v>
      </c>
    </row>
    <row r="494" spans="1:5" x14ac:dyDescent="0.25">
      <c r="A494" s="14">
        <v>1009</v>
      </c>
      <c r="B494" s="15">
        <v>60</v>
      </c>
      <c r="C494" s="15">
        <v>0</v>
      </c>
      <c r="D494" s="15">
        <v>8.1000000000000003E-2</v>
      </c>
      <c r="E494" s="16">
        <v>0</v>
      </c>
    </row>
    <row r="495" spans="1:5" s="1" customFormat="1" x14ac:dyDescent="0.25">
      <c r="A495" s="17">
        <v>1012</v>
      </c>
      <c r="B495" s="18">
        <v>0</v>
      </c>
      <c r="C495" s="18">
        <v>3.3</v>
      </c>
      <c r="D495" s="18">
        <v>1.7999999999999999E-2</v>
      </c>
      <c r="E495" s="19">
        <v>0</v>
      </c>
    </row>
    <row r="496" spans="1:5" x14ac:dyDescent="0.25">
      <c r="A496" s="14">
        <v>1012</v>
      </c>
      <c r="B496" s="15">
        <v>15</v>
      </c>
      <c r="C496" s="15">
        <v>3.2</v>
      </c>
      <c r="D496" s="15">
        <v>1.7999999999999999E-2</v>
      </c>
      <c r="E496" s="16">
        <v>0.28999999999999998</v>
      </c>
    </row>
    <row r="497" spans="1:5" x14ac:dyDescent="0.25">
      <c r="A497" s="14">
        <v>1012</v>
      </c>
      <c r="B497" s="15">
        <v>20</v>
      </c>
      <c r="C497" s="15">
        <v>3.1</v>
      </c>
      <c r="D497" s="15">
        <v>1.9E-2</v>
      </c>
      <c r="E497" s="16">
        <v>0.36</v>
      </c>
    </row>
    <row r="498" spans="1:5" x14ac:dyDescent="0.25">
      <c r="A498" s="14">
        <v>1012</v>
      </c>
      <c r="B498" s="15">
        <v>30</v>
      </c>
      <c r="C498" s="15">
        <v>2.7</v>
      </c>
      <c r="D498" s="15">
        <v>1.9E-2</v>
      </c>
      <c r="E498" s="16">
        <v>0.48</v>
      </c>
    </row>
    <row r="499" spans="1:5" x14ac:dyDescent="0.25">
      <c r="A499" s="14">
        <v>1012</v>
      </c>
      <c r="B499" s="15">
        <v>40</v>
      </c>
      <c r="C499" s="15">
        <v>2</v>
      </c>
      <c r="D499" s="15">
        <v>1.9E-2</v>
      </c>
      <c r="E499" s="16">
        <v>0.47</v>
      </c>
    </row>
    <row r="500" spans="1:5" x14ac:dyDescent="0.25">
      <c r="A500" s="14">
        <v>1012</v>
      </c>
      <c r="B500" s="15">
        <v>50</v>
      </c>
      <c r="C500" s="15">
        <v>0.8</v>
      </c>
      <c r="D500" s="15">
        <v>0.02</v>
      </c>
      <c r="E500" s="16">
        <v>0.23</v>
      </c>
    </row>
    <row r="501" spans="1:5" ht="15.75" thickBot="1" x14ac:dyDescent="0.3">
      <c r="A501" s="14">
        <v>1012</v>
      </c>
      <c r="B501" s="15">
        <v>55</v>
      </c>
      <c r="C501" s="15">
        <v>0</v>
      </c>
      <c r="D501" s="15">
        <v>2.1999999999999999E-2</v>
      </c>
      <c r="E501" s="16">
        <v>0</v>
      </c>
    </row>
    <row r="502" spans="1:5" s="1" customFormat="1" x14ac:dyDescent="0.25">
      <c r="A502" s="20">
        <v>1016</v>
      </c>
      <c r="B502" s="21">
        <v>0</v>
      </c>
      <c r="C502" s="21">
        <v>2.8</v>
      </c>
      <c r="D502" s="21">
        <v>1.4999999999999999E-2</v>
      </c>
      <c r="E502" s="22">
        <v>0</v>
      </c>
    </row>
    <row r="503" spans="1:5" x14ac:dyDescent="0.25">
      <c r="A503" s="14">
        <v>1016</v>
      </c>
      <c r="B503" s="15">
        <v>7</v>
      </c>
      <c r="C503" s="15">
        <v>2.6</v>
      </c>
      <c r="D503" s="15">
        <v>1.6E-2</v>
      </c>
      <c r="E503" s="16">
        <v>0.13</v>
      </c>
    </row>
    <row r="504" spans="1:5" x14ac:dyDescent="0.25">
      <c r="A504" s="14">
        <v>1016</v>
      </c>
      <c r="B504" s="15">
        <v>15</v>
      </c>
      <c r="C504" s="15">
        <v>2.8</v>
      </c>
      <c r="D504" s="15">
        <v>1.7999999999999999E-2</v>
      </c>
      <c r="E504" s="16">
        <v>0.26</v>
      </c>
    </row>
    <row r="505" spans="1:5" x14ac:dyDescent="0.25">
      <c r="A505" s="14">
        <v>1016</v>
      </c>
      <c r="B505" s="15">
        <v>35</v>
      </c>
      <c r="C505" s="15">
        <v>3</v>
      </c>
      <c r="D505" s="15">
        <v>2.3E-2</v>
      </c>
      <c r="E505" s="16">
        <v>0.53</v>
      </c>
    </row>
    <row r="506" spans="1:5" x14ac:dyDescent="0.25">
      <c r="A506" s="14">
        <v>1016</v>
      </c>
      <c r="B506" s="15">
        <v>50</v>
      </c>
      <c r="C506" s="15">
        <v>2.8</v>
      </c>
      <c r="D506" s="15">
        <v>2.5000000000000001E-2</v>
      </c>
      <c r="E506" s="16">
        <v>0.61</v>
      </c>
    </row>
    <row r="507" spans="1:5" x14ac:dyDescent="0.25">
      <c r="A507" s="14">
        <v>1016</v>
      </c>
      <c r="B507" s="15">
        <v>65</v>
      </c>
      <c r="C507" s="15">
        <v>1.7</v>
      </c>
      <c r="D507" s="15">
        <v>2.5999999999999999E-2</v>
      </c>
      <c r="E507" s="16">
        <v>0.48</v>
      </c>
    </row>
    <row r="508" spans="1:5" x14ac:dyDescent="0.25">
      <c r="A508" s="14">
        <v>1016</v>
      </c>
      <c r="B508" s="15">
        <v>70</v>
      </c>
      <c r="C508" s="15">
        <v>1.2</v>
      </c>
      <c r="D508" s="15">
        <v>2.7E-2</v>
      </c>
      <c r="E508" s="16">
        <v>0.38</v>
      </c>
    </row>
    <row r="509" spans="1:5" ht="15.75" thickBot="1" x14ac:dyDescent="0.3">
      <c r="A509" s="2">
        <v>1016</v>
      </c>
      <c r="B509" s="3">
        <v>85</v>
      </c>
      <c r="C509" s="3">
        <v>0</v>
      </c>
      <c r="D509" s="3">
        <v>0.03</v>
      </c>
      <c r="E509" s="4">
        <v>0</v>
      </c>
    </row>
    <row r="510" spans="1:5" s="1" customFormat="1" x14ac:dyDescent="0.25">
      <c r="A510" s="20">
        <v>1025</v>
      </c>
      <c r="B510" s="21">
        <v>0</v>
      </c>
      <c r="C510" s="21">
        <v>5</v>
      </c>
      <c r="D510" s="21">
        <v>5.6000000000000001E-2</v>
      </c>
      <c r="E510" s="22">
        <v>0</v>
      </c>
    </row>
    <row r="511" spans="1:5" x14ac:dyDescent="0.25">
      <c r="A511" s="14">
        <v>1025</v>
      </c>
      <c r="B511" s="15">
        <v>30</v>
      </c>
      <c r="C511" s="15">
        <v>4.9000000000000004</v>
      </c>
      <c r="D511" s="15">
        <v>5.8999999999999997E-2</v>
      </c>
      <c r="E511" s="16">
        <v>0.28999999999999998</v>
      </c>
    </row>
    <row r="512" spans="1:5" x14ac:dyDescent="0.25">
      <c r="A512" s="14">
        <v>1025</v>
      </c>
      <c r="B512" s="15">
        <v>70</v>
      </c>
      <c r="C512" s="15">
        <v>4.7</v>
      </c>
      <c r="D512" s="15">
        <v>7.0999999999999994E-2</v>
      </c>
      <c r="E512" s="16">
        <v>0.55000000000000004</v>
      </c>
    </row>
    <row r="513" spans="1:5" x14ac:dyDescent="0.25">
      <c r="A513" s="14">
        <v>1025</v>
      </c>
      <c r="B513" s="15">
        <v>100</v>
      </c>
      <c r="C513" s="15">
        <v>4.2</v>
      </c>
      <c r="D513" s="15">
        <v>7.6999999999999999E-2</v>
      </c>
      <c r="E513" s="16">
        <v>0.65</v>
      </c>
    </row>
    <row r="514" spans="1:5" x14ac:dyDescent="0.25">
      <c r="A514" s="14">
        <v>1025</v>
      </c>
      <c r="B514" s="15">
        <v>140</v>
      </c>
      <c r="C514" s="15">
        <v>2.9</v>
      </c>
      <c r="D514" s="15">
        <v>0.08</v>
      </c>
      <c r="E514" s="16">
        <v>0.61</v>
      </c>
    </row>
    <row r="515" spans="1:5" x14ac:dyDescent="0.25">
      <c r="A515" s="14">
        <v>1025</v>
      </c>
      <c r="B515" s="15">
        <v>180</v>
      </c>
      <c r="C515" s="15">
        <v>1.3</v>
      </c>
      <c r="D515" s="15">
        <v>7.3999999999999996E-2</v>
      </c>
      <c r="E515" s="16">
        <v>0.39</v>
      </c>
    </row>
    <row r="516" spans="1:5" ht="15.75" thickBot="1" x14ac:dyDescent="0.3">
      <c r="A516" s="2">
        <v>1025</v>
      </c>
      <c r="B516" s="3">
        <v>200</v>
      </c>
      <c r="C516" s="3">
        <v>0</v>
      </c>
      <c r="D516" s="3">
        <v>0.08</v>
      </c>
      <c r="E516" s="4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649FB-4E23-42D6-B4DA-61513B46AB30}">
  <sheetPr codeName="Лист3"/>
  <dimension ref="A1:AN50"/>
  <sheetViews>
    <sheetView zoomScale="70" zoomScaleNormal="70" workbookViewId="0">
      <selection activeCell="A5" sqref="A5"/>
    </sheetView>
  </sheetViews>
  <sheetFormatPr defaultRowHeight="15" x14ac:dyDescent="0.25"/>
  <cols>
    <col min="1" max="2" width="12.28515625" customWidth="1"/>
    <col min="3" max="3" width="16.28515625" customWidth="1"/>
    <col min="4" max="4" width="12.28515625" customWidth="1"/>
    <col min="5" max="5" width="16" customWidth="1"/>
    <col min="6" max="6" width="12.28515625" customWidth="1"/>
    <col min="7" max="7" width="12" customWidth="1"/>
    <col min="8" max="9" width="12.28515625" customWidth="1"/>
    <col min="10" max="10" width="13.85546875" customWidth="1"/>
    <col min="11" max="14" width="12.28515625" customWidth="1"/>
    <col min="15" max="15" width="13.140625" customWidth="1"/>
    <col min="16" max="16" width="14.7109375" customWidth="1"/>
    <col min="17" max="22" width="12.28515625" customWidth="1"/>
    <col min="23" max="23" width="14" customWidth="1"/>
  </cols>
  <sheetData>
    <row r="1" spans="1:40" x14ac:dyDescent="0.25">
      <c r="A1" s="23" t="s">
        <v>59</v>
      </c>
      <c r="B1" s="23"/>
      <c r="C1" s="23"/>
      <c r="D1" s="23"/>
      <c r="E1" s="23"/>
      <c r="F1" s="23">
        <f>COUNTA(5:5)</f>
        <v>23</v>
      </c>
      <c r="G1" s="23"/>
      <c r="H1" s="23" t="s">
        <v>102</v>
      </c>
      <c r="I1" s="23"/>
      <c r="J1" s="23"/>
      <c r="K1" s="23"/>
      <c r="L1" s="23"/>
      <c r="M1" s="23"/>
      <c r="N1" s="23"/>
      <c r="O1" s="23"/>
      <c r="P1" s="23"/>
      <c r="Q1" s="23"/>
      <c r="R1" s="23"/>
    </row>
    <row r="2" spans="1:40" ht="15.75" thickBot="1" x14ac:dyDescent="0.3">
      <c r="A2" s="23" t="s">
        <v>58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</row>
    <row r="3" spans="1:40" ht="45.75" thickBot="1" x14ac:dyDescent="0.3">
      <c r="A3" s="25" t="s">
        <v>0</v>
      </c>
      <c r="B3" s="26" t="s">
        <v>88</v>
      </c>
      <c r="C3" s="26" t="s">
        <v>1</v>
      </c>
      <c r="D3" s="26" t="s">
        <v>2</v>
      </c>
      <c r="E3" s="26" t="s">
        <v>3</v>
      </c>
      <c r="F3" s="26" t="s">
        <v>4</v>
      </c>
      <c r="G3" s="26" t="s">
        <v>60</v>
      </c>
      <c r="H3" s="26" t="s">
        <v>61</v>
      </c>
      <c r="I3" s="26" t="s">
        <v>91</v>
      </c>
      <c r="J3" s="26" t="s">
        <v>62</v>
      </c>
      <c r="K3" s="26" t="s">
        <v>5</v>
      </c>
      <c r="L3" s="26" t="s">
        <v>63</v>
      </c>
      <c r="M3" s="26" t="s">
        <v>64</v>
      </c>
      <c r="N3" s="26" t="s">
        <v>53</v>
      </c>
      <c r="O3" s="26" t="s">
        <v>65</v>
      </c>
      <c r="P3" s="26" t="s">
        <v>66</v>
      </c>
      <c r="Q3" s="26" t="s">
        <v>67</v>
      </c>
      <c r="R3" s="26" t="s">
        <v>68</v>
      </c>
      <c r="S3" s="26" t="s">
        <v>69</v>
      </c>
      <c r="T3" s="26" t="s">
        <v>70</v>
      </c>
      <c r="U3" s="26" t="s">
        <v>71</v>
      </c>
      <c r="V3" s="27" t="s">
        <v>72</v>
      </c>
      <c r="W3" s="52" t="s">
        <v>107</v>
      </c>
    </row>
    <row r="4" spans="1:40" ht="15.75" thickBot="1" x14ac:dyDescent="0.3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6"/>
    </row>
    <row r="5" spans="1:40" s="48" customFormat="1" ht="51" customHeight="1" thickBot="1" x14ac:dyDescent="0.3">
      <c r="A5" s="45" t="s">
        <v>0</v>
      </c>
      <c r="B5" s="46" t="s">
        <v>89</v>
      </c>
      <c r="C5" s="46" t="s">
        <v>73</v>
      </c>
      <c r="D5" s="46" t="s">
        <v>74</v>
      </c>
      <c r="E5" s="46" t="s">
        <v>75</v>
      </c>
      <c r="F5" s="46" t="s">
        <v>76</v>
      </c>
      <c r="G5" s="46" t="s">
        <v>77</v>
      </c>
      <c r="H5" s="46" t="s">
        <v>78</v>
      </c>
      <c r="I5" s="46" t="s">
        <v>92</v>
      </c>
      <c r="J5" s="46" t="s">
        <v>79</v>
      </c>
      <c r="K5" s="46" t="s">
        <v>80</v>
      </c>
      <c r="L5" s="46" t="s">
        <v>81</v>
      </c>
      <c r="M5" s="46" t="s">
        <v>93</v>
      </c>
      <c r="N5" s="46" t="s">
        <v>96</v>
      </c>
      <c r="O5" s="46" t="s">
        <v>94</v>
      </c>
      <c r="P5" s="46" t="s">
        <v>95</v>
      </c>
      <c r="Q5" s="46" t="s">
        <v>82</v>
      </c>
      <c r="R5" s="46" t="s">
        <v>83</v>
      </c>
      <c r="S5" s="46" t="s">
        <v>84</v>
      </c>
      <c r="T5" s="46" t="s">
        <v>86</v>
      </c>
      <c r="U5" s="46" t="s">
        <v>87</v>
      </c>
      <c r="V5" s="47" t="s">
        <v>85</v>
      </c>
      <c r="W5" s="53" t="s">
        <v>103</v>
      </c>
    </row>
    <row r="6" spans="1:40" x14ac:dyDescent="0.25">
      <c r="A6" s="39">
        <v>736</v>
      </c>
      <c r="B6" s="40" t="s">
        <v>90</v>
      </c>
      <c r="C6" s="40" t="s">
        <v>10</v>
      </c>
      <c r="D6" s="40" t="s">
        <v>11</v>
      </c>
      <c r="E6" s="40">
        <v>582</v>
      </c>
      <c r="F6" s="40">
        <v>30</v>
      </c>
      <c r="G6" s="40">
        <v>20</v>
      </c>
      <c r="H6" s="40">
        <v>40</v>
      </c>
      <c r="I6" s="41">
        <f>_xlfn.MAXIFS(db_ESP_curves!$B$6:$B$516,db_ESP_curves!$A$6:$A$516,A6)</f>
        <v>66</v>
      </c>
      <c r="J6" s="40">
        <v>2820</v>
      </c>
      <c r="K6" s="40">
        <v>50</v>
      </c>
      <c r="L6" s="54">
        <v>0.4</v>
      </c>
      <c r="M6" s="40">
        <v>3.5000000000000003E-2</v>
      </c>
      <c r="N6" s="42">
        <v>4</v>
      </c>
      <c r="O6" s="40">
        <v>86</v>
      </c>
      <c r="P6" s="40">
        <f>VLOOKUP(N6,$AH$12:$AK$21,4,0)</f>
        <v>112</v>
      </c>
      <c r="Q6" s="40">
        <v>17</v>
      </c>
      <c r="R6" s="40">
        <v>227</v>
      </c>
      <c r="S6" s="40">
        <v>72</v>
      </c>
      <c r="T6" s="40">
        <v>120</v>
      </c>
      <c r="U6" s="40">
        <v>150</v>
      </c>
      <c r="V6" s="43">
        <v>390</v>
      </c>
      <c r="W6" s="16">
        <f>VLOOKUP(N6,$AH$12:$AK$21,3,0)</f>
        <v>95</v>
      </c>
    </row>
    <row r="7" spans="1:40" x14ac:dyDescent="0.25">
      <c r="A7" s="28">
        <v>737</v>
      </c>
      <c r="B7" s="29" t="s">
        <v>90</v>
      </c>
      <c r="C7" s="29" t="s">
        <v>10</v>
      </c>
      <c r="D7" s="29" t="s">
        <v>12</v>
      </c>
      <c r="E7" s="29">
        <v>517</v>
      </c>
      <c r="F7" s="29">
        <v>125</v>
      </c>
      <c r="G7" s="29">
        <v>80</v>
      </c>
      <c r="H7" s="29">
        <v>160</v>
      </c>
      <c r="I7" s="30">
        <f>_xlfn.MAXIFS(db_ESP_curves!$B$6:$B$516,db_ESP_curves!$A$6:$A$516,A7)</f>
        <v>230</v>
      </c>
      <c r="J7" s="29">
        <v>2910</v>
      </c>
      <c r="K7" s="29">
        <v>50</v>
      </c>
      <c r="L7" s="55">
        <v>0.55000000000000004</v>
      </c>
      <c r="M7" s="29">
        <v>3.9E-2</v>
      </c>
      <c r="N7" s="31">
        <v>5</v>
      </c>
      <c r="O7" s="29">
        <v>92</v>
      </c>
      <c r="P7" s="29">
        <f t="shared" ref="P7:P48" si="0">VLOOKUP(N7,$AH$12:$AK$21,4,0)</f>
        <v>121.7</v>
      </c>
      <c r="Q7" s="29">
        <v>17</v>
      </c>
      <c r="R7" s="29">
        <v>227</v>
      </c>
      <c r="S7" s="29">
        <v>72</v>
      </c>
      <c r="T7" s="29">
        <v>120</v>
      </c>
      <c r="U7" s="29">
        <v>150</v>
      </c>
      <c r="V7" s="32">
        <v>390</v>
      </c>
      <c r="W7" s="16">
        <f t="shared" ref="W7:W48" si="1">VLOOKUP(N7,$AH$12:$AK$21,3,0)</f>
        <v>103</v>
      </c>
    </row>
    <row r="8" spans="1:40" ht="15.75" thickBot="1" x14ac:dyDescent="0.3">
      <c r="A8" s="28">
        <v>738</v>
      </c>
      <c r="B8" s="29" t="s">
        <v>90</v>
      </c>
      <c r="C8" s="29" t="s">
        <v>10</v>
      </c>
      <c r="D8" s="29" t="s">
        <v>13</v>
      </c>
      <c r="E8" s="29">
        <v>555</v>
      </c>
      <c r="F8" s="29">
        <v>15</v>
      </c>
      <c r="G8" s="29">
        <v>10</v>
      </c>
      <c r="H8" s="29">
        <v>20</v>
      </c>
      <c r="I8" s="30">
        <f>_xlfn.MAXIFS(db_ESP_curves!$B$6:$B$516,db_ESP_curves!$A$6:$A$516,A8)</f>
        <v>33</v>
      </c>
      <c r="J8" s="29">
        <v>2910</v>
      </c>
      <c r="K8" s="29">
        <v>50</v>
      </c>
      <c r="L8" s="55">
        <v>0.3</v>
      </c>
      <c r="M8" s="37"/>
      <c r="N8" s="31">
        <v>5</v>
      </c>
      <c r="O8" s="29">
        <v>92</v>
      </c>
      <c r="P8" s="29">
        <f t="shared" si="0"/>
        <v>121.7</v>
      </c>
      <c r="Q8" s="29">
        <v>17</v>
      </c>
      <c r="R8" s="29">
        <v>227</v>
      </c>
      <c r="S8" s="29">
        <v>72</v>
      </c>
      <c r="T8" s="29">
        <v>120</v>
      </c>
      <c r="U8" s="29">
        <v>150</v>
      </c>
      <c r="V8" s="32">
        <v>390</v>
      </c>
      <c r="W8" s="16">
        <f t="shared" si="1"/>
        <v>103</v>
      </c>
    </row>
    <row r="9" spans="1:40" ht="15" customHeight="1" x14ac:dyDescent="0.25">
      <c r="A9" s="28">
        <v>739</v>
      </c>
      <c r="B9" s="29" t="s">
        <v>90</v>
      </c>
      <c r="C9" s="29" t="s">
        <v>10</v>
      </c>
      <c r="D9" s="29" t="s">
        <v>14</v>
      </c>
      <c r="E9" s="29">
        <v>651</v>
      </c>
      <c r="F9" s="29">
        <v>25</v>
      </c>
      <c r="G9" s="29">
        <v>18</v>
      </c>
      <c r="H9" s="29">
        <v>35</v>
      </c>
      <c r="I9" s="30">
        <f>_xlfn.MAXIFS(db_ESP_curves!$B$6:$B$516,db_ESP_curves!$A$6:$A$516,A9)</f>
        <v>56.5</v>
      </c>
      <c r="J9" s="29">
        <v>2910</v>
      </c>
      <c r="K9" s="29">
        <v>50</v>
      </c>
      <c r="L9" s="55">
        <v>0.35</v>
      </c>
      <c r="M9" s="37"/>
      <c r="N9" s="31">
        <v>5</v>
      </c>
      <c r="O9" s="29">
        <v>92</v>
      </c>
      <c r="P9" s="29">
        <f t="shared" si="0"/>
        <v>121.7</v>
      </c>
      <c r="Q9" s="29">
        <v>17</v>
      </c>
      <c r="R9" s="29">
        <v>227</v>
      </c>
      <c r="S9" s="29">
        <v>72</v>
      </c>
      <c r="T9" s="29">
        <v>120</v>
      </c>
      <c r="U9" s="29">
        <v>150</v>
      </c>
      <c r="V9" s="32">
        <v>390</v>
      </c>
      <c r="W9" s="16">
        <f t="shared" si="1"/>
        <v>103</v>
      </c>
      <c r="AH9" s="57" t="s">
        <v>100</v>
      </c>
      <c r="AI9" s="59"/>
      <c r="AJ9" s="59"/>
      <c r="AK9" s="58"/>
      <c r="AL9" s="24"/>
      <c r="AM9" s="57" t="s">
        <v>101</v>
      </c>
      <c r="AN9" s="58"/>
    </row>
    <row r="10" spans="1:40" x14ac:dyDescent="0.25">
      <c r="A10" s="28">
        <v>740</v>
      </c>
      <c r="B10" s="29" t="s">
        <v>90</v>
      </c>
      <c r="C10" s="29" t="s">
        <v>10</v>
      </c>
      <c r="D10" s="29" t="s">
        <v>15</v>
      </c>
      <c r="E10" s="29">
        <v>591</v>
      </c>
      <c r="F10" s="29">
        <v>30</v>
      </c>
      <c r="G10" s="29">
        <v>20</v>
      </c>
      <c r="H10" s="29">
        <v>45</v>
      </c>
      <c r="I10" s="30">
        <f>_xlfn.MAXIFS(db_ESP_curves!$B$6:$B$516,db_ESP_curves!$A$6:$A$516,A10)</f>
        <v>58</v>
      </c>
      <c r="J10" s="29">
        <v>2910</v>
      </c>
      <c r="K10" s="29">
        <v>50</v>
      </c>
      <c r="L10" s="55">
        <v>0.41</v>
      </c>
      <c r="M10" s="37"/>
      <c r="N10" s="31">
        <v>5</v>
      </c>
      <c r="O10" s="29">
        <v>92</v>
      </c>
      <c r="P10" s="29">
        <f t="shared" si="0"/>
        <v>121.7</v>
      </c>
      <c r="Q10" s="29">
        <v>17</v>
      </c>
      <c r="R10" s="29">
        <v>227</v>
      </c>
      <c r="S10" s="29">
        <v>72</v>
      </c>
      <c r="T10" s="29">
        <v>120</v>
      </c>
      <c r="U10" s="29">
        <v>150</v>
      </c>
      <c r="V10" s="32">
        <v>390</v>
      </c>
      <c r="W10" s="16">
        <f t="shared" si="1"/>
        <v>103</v>
      </c>
      <c r="AH10" s="14" t="s">
        <v>96</v>
      </c>
      <c r="AI10" s="15" t="s">
        <v>104</v>
      </c>
      <c r="AJ10" s="15" t="s">
        <v>105</v>
      </c>
      <c r="AK10" s="16" t="s">
        <v>106</v>
      </c>
      <c r="AM10" s="14"/>
      <c r="AN10" s="16"/>
    </row>
    <row r="11" spans="1:40" x14ac:dyDescent="0.25">
      <c r="A11" s="28">
        <v>741</v>
      </c>
      <c r="B11" s="29" t="s">
        <v>90</v>
      </c>
      <c r="C11" s="29" t="s">
        <v>10</v>
      </c>
      <c r="D11" s="29" t="s">
        <v>16</v>
      </c>
      <c r="E11" s="29">
        <v>541</v>
      </c>
      <c r="F11" s="29">
        <v>44</v>
      </c>
      <c r="G11" s="29">
        <v>32</v>
      </c>
      <c r="H11" s="29">
        <v>60</v>
      </c>
      <c r="I11" s="30">
        <f>_xlfn.MAXIFS(db_ESP_curves!$B$6:$B$516,db_ESP_curves!$A$6:$A$516,A11)</f>
        <v>95</v>
      </c>
      <c r="J11" s="29">
        <v>2910</v>
      </c>
      <c r="K11" s="29">
        <v>50</v>
      </c>
      <c r="L11" s="55">
        <v>0.47</v>
      </c>
      <c r="M11" s="37"/>
      <c r="N11" s="31">
        <v>5</v>
      </c>
      <c r="O11" s="29">
        <v>92</v>
      </c>
      <c r="P11" s="29">
        <f t="shared" si="0"/>
        <v>121.7</v>
      </c>
      <c r="Q11" s="29">
        <v>17</v>
      </c>
      <c r="R11" s="29">
        <v>227</v>
      </c>
      <c r="S11" s="29">
        <v>72</v>
      </c>
      <c r="T11" s="29">
        <v>120</v>
      </c>
      <c r="U11" s="29">
        <v>150</v>
      </c>
      <c r="V11" s="32">
        <v>390</v>
      </c>
      <c r="W11" s="16">
        <f t="shared" si="1"/>
        <v>103</v>
      </c>
      <c r="AH11" s="49"/>
      <c r="AI11" s="15"/>
      <c r="AJ11" s="15"/>
      <c r="AK11" s="16"/>
      <c r="AM11" s="14"/>
      <c r="AN11" s="16"/>
    </row>
    <row r="12" spans="1:40" x14ac:dyDescent="0.25">
      <c r="A12" s="28">
        <v>742</v>
      </c>
      <c r="B12" s="29" t="s">
        <v>90</v>
      </c>
      <c r="C12" s="29" t="s">
        <v>10</v>
      </c>
      <c r="D12" s="29" t="s">
        <v>17</v>
      </c>
      <c r="E12" s="29">
        <v>539</v>
      </c>
      <c r="F12" s="29">
        <v>500</v>
      </c>
      <c r="G12" s="29">
        <v>350</v>
      </c>
      <c r="H12" s="29">
        <v>600</v>
      </c>
      <c r="I12" s="30">
        <f>_xlfn.MAXIFS(db_ESP_curves!$B$6:$B$516,db_ESP_curves!$A$6:$A$516,A12)</f>
        <v>840</v>
      </c>
      <c r="J12" s="29">
        <v>2910</v>
      </c>
      <c r="K12" s="29">
        <v>50</v>
      </c>
      <c r="L12" s="55">
        <v>0.63</v>
      </c>
      <c r="M12" s="37"/>
      <c r="N12" s="31">
        <v>5</v>
      </c>
      <c r="O12" s="29">
        <v>92</v>
      </c>
      <c r="P12" s="29">
        <f t="shared" si="0"/>
        <v>121.7</v>
      </c>
      <c r="Q12" s="29">
        <v>17</v>
      </c>
      <c r="R12" s="29">
        <v>227</v>
      </c>
      <c r="S12" s="29">
        <v>72</v>
      </c>
      <c r="T12" s="29">
        <v>120</v>
      </c>
      <c r="U12" s="29">
        <v>150</v>
      </c>
      <c r="V12" s="32">
        <v>390</v>
      </c>
      <c r="W12" s="16">
        <f t="shared" si="1"/>
        <v>103</v>
      </c>
      <c r="AH12" s="49" t="s">
        <v>98</v>
      </c>
      <c r="AI12" s="15">
        <v>69</v>
      </c>
      <c r="AJ12" s="15">
        <v>81</v>
      </c>
      <c r="AK12" s="16">
        <v>88</v>
      </c>
      <c r="AM12" s="14">
        <v>81</v>
      </c>
      <c r="AN12" s="16"/>
    </row>
    <row r="13" spans="1:40" x14ac:dyDescent="0.25">
      <c r="A13" s="28">
        <v>743</v>
      </c>
      <c r="B13" s="29" t="s">
        <v>90</v>
      </c>
      <c r="C13" s="29" t="s">
        <v>10</v>
      </c>
      <c r="D13" s="29" t="s">
        <v>18</v>
      </c>
      <c r="E13" s="29">
        <v>522</v>
      </c>
      <c r="F13" s="29">
        <v>59</v>
      </c>
      <c r="G13" s="29">
        <v>40</v>
      </c>
      <c r="H13" s="29">
        <v>72</v>
      </c>
      <c r="I13" s="30">
        <f>_xlfn.MAXIFS(db_ESP_curves!$B$6:$B$516,db_ESP_curves!$A$6:$A$516,A13)</f>
        <v>124</v>
      </c>
      <c r="J13" s="29">
        <v>2910</v>
      </c>
      <c r="K13" s="29">
        <v>50</v>
      </c>
      <c r="L13" s="55">
        <v>0.52</v>
      </c>
      <c r="M13" s="37"/>
      <c r="N13" s="31">
        <v>5</v>
      </c>
      <c r="O13" s="29">
        <v>92</v>
      </c>
      <c r="P13" s="29">
        <f t="shared" si="0"/>
        <v>121.7</v>
      </c>
      <c r="Q13" s="29">
        <v>17</v>
      </c>
      <c r="R13" s="29">
        <v>227</v>
      </c>
      <c r="S13" s="29">
        <v>72</v>
      </c>
      <c r="T13" s="29">
        <v>120</v>
      </c>
      <c r="U13" s="29">
        <v>150</v>
      </c>
      <c r="V13" s="32">
        <v>390</v>
      </c>
      <c r="W13" s="16">
        <f t="shared" si="1"/>
        <v>103</v>
      </c>
      <c r="AH13" s="49">
        <v>3</v>
      </c>
      <c r="AI13" s="15">
        <v>81</v>
      </c>
      <c r="AJ13" s="15">
        <v>95</v>
      </c>
      <c r="AK13" s="16">
        <v>112</v>
      </c>
      <c r="AM13" s="14">
        <v>95</v>
      </c>
      <c r="AN13" s="16"/>
    </row>
    <row r="14" spans="1:40" x14ac:dyDescent="0.25">
      <c r="A14" s="28">
        <v>744</v>
      </c>
      <c r="B14" s="29" t="s">
        <v>90</v>
      </c>
      <c r="C14" s="29" t="s">
        <v>10</v>
      </c>
      <c r="D14" s="29" t="s">
        <v>19</v>
      </c>
      <c r="E14" s="29">
        <v>459</v>
      </c>
      <c r="F14" s="29">
        <v>79</v>
      </c>
      <c r="G14" s="29">
        <v>60</v>
      </c>
      <c r="H14" s="29">
        <v>105</v>
      </c>
      <c r="I14" s="30">
        <f>_xlfn.MAXIFS(db_ESP_curves!$B$6:$B$516,db_ESP_curves!$A$6:$A$516,A14)</f>
        <v>184</v>
      </c>
      <c r="J14" s="29">
        <v>2910</v>
      </c>
      <c r="K14" s="29">
        <v>50</v>
      </c>
      <c r="L14" s="55">
        <v>0.56000000000000005</v>
      </c>
      <c r="M14" s="37"/>
      <c r="N14" s="31">
        <v>5</v>
      </c>
      <c r="O14" s="29">
        <v>92</v>
      </c>
      <c r="P14" s="29">
        <f t="shared" si="0"/>
        <v>121.7</v>
      </c>
      <c r="Q14" s="29">
        <v>17</v>
      </c>
      <c r="R14" s="29">
        <v>227</v>
      </c>
      <c r="S14" s="29">
        <v>72</v>
      </c>
      <c r="T14" s="29">
        <v>120</v>
      </c>
      <c r="U14" s="29">
        <v>150</v>
      </c>
      <c r="V14" s="32">
        <v>390</v>
      </c>
      <c r="W14" s="16">
        <f t="shared" si="1"/>
        <v>103</v>
      </c>
      <c r="AH14" s="49">
        <v>4</v>
      </c>
      <c r="AI14" s="15">
        <v>86</v>
      </c>
      <c r="AJ14" s="15">
        <v>95</v>
      </c>
      <c r="AK14" s="16">
        <v>112</v>
      </c>
      <c r="AM14" s="14"/>
      <c r="AN14" s="16"/>
    </row>
    <row r="15" spans="1:40" x14ac:dyDescent="0.25">
      <c r="A15" s="28">
        <v>745</v>
      </c>
      <c r="B15" s="29" t="s">
        <v>90</v>
      </c>
      <c r="C15" s="29" t="s">
        <v>10</v>
      </c>
      <c r="D15" s="29" t="s">
        <v>20</v>
      </c>
      <c r="E15" s="29">
        <v>380</v>
      </c>
      <c r="F15" s="29">
        <v>100</v>
      </c>
      <c r="G15" s="29">
        <v>70</v>
      </c>
      <c r="H15" s="29">
        <v>140</v>
      </c>
      <c r="I15" s="30">
        <f>_xlfn.MAXIFS(db_ESP_curves!$B$6:$B$516,db_ESP_curves!$A$6:$A$516,A15)</f>
        <v>185</v>
      </c>
      <c r="J15" s="29">
        <v>2910</v>
      </c>
      <c r="K15" s="29">
        <v>50</v>
      </c>
      <c r="L15" s="55">
        <v>0.6</v>
      </c>
      <c r="M15" s="37"/>
      <c r="N15" s="31" t="s">
        <v>54</v>
      </c>
      <c r="O15" s="29">
        <v>103</v>
      </c>
      <c r="P15" s="29">
        <f t="shared" si="0"/>
        <v>123.7</v>
      </c>
      <c r="Q15" s="29">
        <v>17</v>
      </c>
      <c r="R15" s="29">
        <v>227</v>
      </c>
      <c r="S15" s="29">
        <v>72</v>
      </c>
      <c r="T15" s="29">
        <v>120</v>
      </c>
      <c r="U15" s="29">
        <v>150</v>
      </c>
      <c r="V15" s="32">
        <v>390</v>
      </c>
      <c r="W15" s="16">
        <f t="shared" si="1"/>
        <v>117</v>
      </c>
      <c r="AH15" s="49">
        <v>5</v>
      </c>
      <c r="AI15" s="15">
        <v>92</v>
      </c>
      <c r="AJ15" s="15">
        <v>103</v>
      </c>
      <c r="AK15" s="16">
        <v>121.7</v>
      </c>
      <c r="AM15" s="14">
        <v>103</v>
      </c>
      <c r="AN15" s="16"/>
    </row>
    <row r="16" spans="1:40" x14ac:dyDescent="0.25">
      <c r="A16" s="28">
        <v>746</v>
      </c>
      <c r="B16" s="29" t="s">
        <v>90</v>
      </c>
      <c r="C16" s="29" t="s">
        <v>10</v>
      </c>
      <c r="D16" s="29" t="s">
        <v>21</v>
      </c>
      <c r="E16" s="29">
        <v>354</v>
      </c>
      <c r="F16" s="29">
        <v>124</v>
      </c>
      <c r="G16" s="29">
        <v>95</v>
      </c>
      <c r="H16" s="29">
        <v>160</v>
      </c>
      <c r="I16" s="30">
        <f>_xlfn.MAXIFS(db_ESP_curves!$B$6:$B$516,db_ESP_curves!$A$6:$A$516,A16)</f>
        <v>261</v>
      </c>
      <c r="J16" s="29">
        <v>2910</v>
      </c>
      <c r="K16" s="29">
        <v>50</v>
      </c>
      <c r="L16" s="55">
        <v>0.61</v>
      </c>
      <c r="M16" s="37"/>
      <c r="N16" s="31" t="s">
        <v>54</v>
      </c>
      <c r="O16" s="29">
        <v>103</v>
      </c>
      <c r="P16" s="29">
        <f t="shared" si="0"/>
        <v>123.7</v>
      </c>
      <c r="Q16" s="29">
        <v>17</v>
      </c>
      <c r="R16" s="29">
        <v>227</v>
      </c>
      <c r="S16" s="29">
        <v>72</v>
      </c>
      <c r="T16" s="29">
        <v>120</v>
      </c>
      <c r="U16" s="29">
        <v>150</v>
      </c>
      <c r="V16" s="32">
        <v>390</v>
      </c>
      <c r="W16" s="16">
        <f t="shared" si="1"/>
        <v>117</v>
      </c>
      <c r="AH16" s="49" t="s">
        <v>54</v>
      </c>
      <c r="AI16" s="15">
        <v>103</v>
      </c>
      <c r="AJ16" s="15">
        <v>117</v>
      </c>
      <c r="AK16" s="16">
        <v>123.7</v>
      </c>
      <c r="AM16" s="14">
        <v>117</v>
      </c>
      <c r="AN16" s="16"/>
    </row>
    <row r="17" spans="1:40" x14ac:dyDescent="0.25">
      <c r="A17" s="28">
        <v>747</v>
      </c>
      <c r="B17" s="29" t="s">
        <v>90</v>
      </c>
      <c r="C17" s="29" t="s">
        <v>10</v>
      </c>
      <c r="D17" s="29" t="s">
        <v>22</v>
      </c>
      <c r="E17" s="29">
        <v>372</v>
      </c>
      <c r="F17" s="29">
        <v>159</v>
      </c>
      <c r="G17" s="29">
        <v>130</v>
      </c>
      <c r="H17" s="29">
        <v>205</v>
      </c>
      <c r="I17" s="30">
        <f>_xlfn.MAXIFS(db_ESP_curves!$B$6:$B$516,db_ESP_curves!$A$6:$A$516,A17)</f>
        <v>355</v>
      </c>
      <c r="J17" s="29">
        <v>2910</v>
      </c>
      <c r="K17" s="29">
        <v>50</v>
      </c>
      <c r="L17" s="55">
        <v>0.56179999999999997</v>
      </c>
      <c r="M17" s="37"/>
      <c r="N17" s="31" t="s">
        <v>54</v>
      </c>
      <c r="O17" s="29">
        <v>103</v>
      </c>
      <c r="P17" s="29">
        <f t="shared" si="0"/>
        <v>123.7</v>
      </c>
      <c r="Q17" s="29">
        <v>17</v>
      </c>
      <c r="R17" s="29">
        <v>227</v>
      </c>
      <c r="S17" s="29">
        <v>72</v>
      </c>
      <c r="T17" s="29">
        <v>120</v>
      </c>
      <c r="U17" s="29">
        <v>150</v>
      </c>
      <c r="V17" s="32">
        <v>390</v>
      </c>
      <c r="W17" s="16">
        <f t="shared" si="1"/>
        <v>117</v>
      </c>
      <c r="AH17" s="49">
        <v>6</v>
      </c>
      <c r="AI17" s="15">
        <v>114</v>
      </c>
      <c r="AJ17" s="15">
        <v>130</v>
      </c>
      <c r="AK17" s="16">
        <v>148</v>
      </c>
      <c r="AM17" s="14">
        <v>130</v>
      </c>
      <c r="AN17" s="16"/>
    </row>
    <row r="18" spans="1:40" x14ac:dyDescent="0.25">
      <c r="A18" s="28">
        <v>748</v>
      </c>
      <c r="B18" s="29" t="s">
        <v>90</v>
      </c>
      <c r="C18" s="29" t="s">
        <v>10</v>
      </c>
      <c r="D18" s="29" t="s">
        <v>23</v>
      </c>
      <c r="E18" s="29">
        <v>388</v>
      </c>
      <c r="F18" s="29">
        <v>199</v>
      </c>
      <c r="G18" s="29">
        <v>150</v>
      </c>
      <c r="H18" s="29">
        <v>255</v>
      </c>
      <c r="I18" s="30">
        <f>_xlfn.MAXIFS(db_ESP_curves!$B$6:$B$516,db_ESP_curves!$A$6:$A$516,A18)</f>
        <v>380</v>
      </c>
      <c r="J18" s="29">
        <v>2910</v>
      </c>
      <c r="K18" s="29">
        <v>50</v>
      </c>
      <c r="L18" s="55">
        <v>0.53</v>
      </c>
      <c r="M18" s="37"/>
      <c r="N18" s="31" t="s">
        <v>54</v>
      </c>
      <c r="O18" s="29">
        <v>103</v>
      </c>
      <c r="P18" s="29">
        <f t="shared" si="0"/>
        <v>123.7</v>
      </c>
      <c r="Q18" s="29">
        <v>17</v>
      </c>
      <c r="R18" s="29">
        <v>227</v>
      </c>
      <c r="S18" s="29">
        <v>72</v>
      </c>
      <c r="T18" s="29">
        <v>120</v>
      </c>
      <c r="U18" s="29">
        <v>150</v>
      </c>
      <c r="V18" s="32">
        <v>390</v>
      </c>
      <c r="W18" s="16">
        <f t="shared" si="1"/>
        <v>117</v>
      </c>
      <c r="AH18" s="49" t="s">
        <v>97</v>
      </c>
      <c r="AI18" s="15">
        <v>123</v>
      </c>
      <c r="AJ18" s="15">
        <v>185</v>
      </c>
      <c r="AK18" s="16">
        <v>220</v>
      </c>
      <c r="AM18" s="14">
        <v>185</v>
      </c>
      <c r="AN18" s="16"/>
    </row>
    <row r="19" spans="1:40" x14ac:dyDescent="0.25">
      <c r="A19" s="28">
        <v>749</v>
      </c>
      <c r="B19" s="29" t="s">
        <v>90</v>
      </c>
      <c r="C19" s="29" t="s">
        <v>10</v>
      </c>
      <c r="D19" s="29" t="s">
        <v>24</v>
      </c>
      <c r="E19" s="29">
        <v>374</v>
      </c>
      <c r="F19" s="29">
        <v>240</v>
      </c>
      <c r="G19" s="29">
        <v>190</v>
      </c>
      <c r="H19" s="29">
        <v>280</v>
      </c>
      <c r="I19" s="30">
        <f>_xlfn.MAXIFS(db_ESP_curves!$B$6:$B$516,db_ESP_curves!$A$6:$A$516,A19)</f>
        <v>410</v>
      </c>
      <c r="J19" s="29">
        <v>2910</v>
      </c>
      <c r="K19" s="29">
        <v>50</v>
      </c>
      <c r="L19" s="55">
        <v>0.48</v>
      </c>
      <c r="M19" s="37"/>
      <c r="N19" s="31" t="s">
        <v>54</v>
      </c>
      <c r="O19" s="29">
        <v>103</v>
      </c>
      <c r="P19" s="29">
        <f t="shared" si="0"/>
        <v>123.7</v>
      </c>
      <c r="Q19" s="29">
        <v>17</v>
      </c>
      <c r="R19" s="29">
        <v>227</v>
      </c>
      <c r="S19" s="29">
        <v>72</v>
      </c>
      <c r="T19" s="29">
        <v>120</v>
      </c>
      <c r="U19" s="29">
        <v>150</v>
      </c>
      <c r="V19" s="32">
        <v>390</v>
      </c>
      <c r="W19" s="16">
        <f t="shared" si="1"/>
        <v>117</v>
      </c>
      <c r="AH19" s="49" t="s">
        <v>99</v>
      </c>
      <c r="AI19" s="15">
        <v>130</v>
      </c>
      <c r="AJ19" s="15">
        <v>185</v>
      </c>
      <c r="AK19" s="16">
        <v>220</v>
      </c>
      <c r="AM19" s="14"/>
      <c r="AN19" s="16"/>
    </row>
    <row r="20" spans="1:40" x14ac:dyDescent="0.25">
      <c r="A20" s="28">
        <v>750</v>
      </c>
      <c r="B20" s="29" t="s">
        <v>90</v>
      </c>
      <c r="C20" s="29" t="s">
        <v>10</v>
      </c>
      <c r="D20" s="29" t="s">
        <v>25</v>
      </c>
      <c r="E20" s="29">
        <v>368</v>
      </c>
      <c r="F20" s="29">
        <v>280</v>
      </c>
      <c r="G20" s="29">
        <v>220</v>
      </c>
      <c r="H20" s="29">
        <v>350</v>
      </c>
      <c r="I20" s="30">
        <f>_xlfn.MAXIFS(db_ESP_curves!$B$6:$B$516,db_ESP_curves!$A$6:$A$516,A20)</f>
        <v>500</v>
      </c>
      <c r="J20" s="29">
        <v>2910</v>
      </c>
      <c r="K20" s="29">
        <v>50</v>
      </c>
      <c r="L20" s="55">
        <v>0.44</v>
      </c>
      <c r="M20" s="37"/>
      <c r="N20" s="31" t="s">
        <v>54</v>
      </c>
      <c r="O20" s="29">
        <v>103</v>
      </c>
      <c r="P20" s="29">
        <f t="shared" si="0"/>
        <v>123.7</v>
      </c>
      <c r="Q20" s="29">
        <v>17</v>
      </c>
      <c r="R20" s="29">
        <v>227</v>
      </c>
      <c r="S20" s="29">
        <v>72</v>
      </c>
      <c r="T20" s="29">
        <v>120</v>
      </c>
      <c r="U20" s="29">
        <v>150</v>
      </c>
      <c r="V20" s="32">
        <v>390</v>
      </c>
      <c r="W20" s="16">
        <f t="shared" si="1"/>
        <v>117</v>
      </c>
      <c r="AH20" s="49">
        <v>7</v>
      </c>
      <c r="AI20" s="15">
        <v>136</v>
      </c>
      <c r="AJ20" s="15">
        <v>185</v>
      </c>
      <c r="AK20" s="16">
        <v>220</v>
      </c>
      <c r="AM20" s="14"/>
      <c r="AN20" s="16"/>
    </row>
    <row r="21" spans="1:40" ht="15.75" thickBot="1" x14ac:dyDescent="0.3">
      <c r="A21" s="28">
        <v>751</v>
      </c>
      <c r="B21" s="29" t="s">
        <v>90</v>
      </c>
      <c r="C21" s="29" t="s">
        <v>10</v>
      </c>
      <c r="D21" s="29" t="s">
        <v>26</v>
      </c>
      <c r="E21" s="29">
        <v>404</v>
      </c>
      <c r="F21" s="29">
        <v>35</v>
      </c>
      <c r="G21" s="29">
        <v>20</v>
      </c>
      <c r="H21" s="29">
        <v>60</v>
      </c>
      <c r="I21" s="30">
        <f>_xlfn.MAXIFS(db_ESP_curves!$B$6:$B$516,db_ESP_curves!$A$6:$A$516,A21)</f>
        <v>85</v>
      </c>
      <c r="J21" s="29">
        <v>2910</v>
      </c>
      <c r="K21" s="29">
        <v>50</v>
      </c>
      <c r="L21" s="55">
        <v>0.39</v>
      </c>
      <c r="M21" s="37"/>
      <c r="N21" s="31" t="s">
        <v>54</v>
      </c>
      <c r="O21" s="29">
        <v>103</v>
      </c>
      <c r="P21" s="29">
        <f t="shared" si="0"/>
        <v>123.7</v>
      </c>
      <c r="Q21" s="29">
        <v>17</v>
      </c>
      <c r="R21" s="29">
        <v>227</v>
      </c>
      <c r="S21" s="29">
        <v>72</v>
      </c>
      <c r="T21" s="29">
        <v>120</v>
      </c>
      <c r="U21" s="29">
        <v>150</v>
      </c>
      <c r="V21" s="32">
        <v>390</v>
      </c>
      <c r="W21" s="16">
        <f t="shared" si="1"/>
        <v>117</v>
      </c>
      <c r="AH21" s="50">
        <v>8</v>
      </c>
      <c r="AI21" s="3">
        <v>172</v>
      </c>
      <c r="AJ21" s="3">
        <v>185</v>
      </c>
      <c r="AK21" s="4">
        <v>220</v>
      </c>
      <c r="AM21" s="2"/>
      <c r="AN21" s="4"/>
    </row>
    <row r="22" spans="1:40" x14ac:dyDescent="0.25">
      <c r="A22" s="28">
        <v>752</v>
      </c>
      <c r="B22" s="29" t="s">
        <v>90</v>
      </c>
      <c r="C22" s="29" t="s">
        <v>10</v>
      </c>
      <c r="D22" s="29" t="s">
        <v>27</v>
      </c>
      <c r="E22" s="29">
        <v>450</v>
      </c>
      <c r="F22" s="29">
        <v>50</v>
      </c>
      <c r="G22" s="29">
        <v>35</v>
      </c>
      <c r="H22" s="29">
        <v>70</v>
      </c>
      <c r="I22" s="30">
        <f>_xlfn.MAXIFS(db_ESP_curves!$B$6:$B$516,db_ESP_curves!$A$6:$A$516,A22)</f>
        <v>100</v>
      </c>
      <c r="J22" s="29">
        <v>2910</v>
      </c>
      <c r="K22" s="29">
        <v>50</v>
      </c>
      <c r="L22" s="55">
        <v>0.5</v>
      </c>
      <c r="M22" s="37"/>
      <c r="N22" s="31" t="s">
        <v>54</v>
      </c>
      <c r="O22" s="29">
        <v>103</v>
      </c>
      <c r="P22" s="29">
        <f t="shared" si="0"/>
        <v>123.7</v>
      </c>
      <c r="Q22" s="29">
        <v>17</v>
      </c>
      <c r="R22" s="29">
        <v>227</v>
      </c>
      <c r="S22" s="29">
        <v>72</v>
      </c>
      <c r="T22" s="29">
        <v>120</v>
      </c>
      <c r="U22" s="29">
        <v>150</v>
      </c>
      <c r="V22" s="32">
        <v>390</v>
      </c>
      <c r="W22" s="16">
        <f t="shared" si="1"/>
        <v>117</v>
      </c>
    </row>
    <row r="23" spans="1:40" x14ac:dyDescent="0.25">
      <c r="A23" s="28">
        <v>753</v>
      </c>
      <c r="B23" s="29" t="s">
        <v>90</v>
      </c>
      <c r="C23" s="29" t="s">
        <v>10</v>
      </c>
      <c r="D23" s="29" t="s">
        <v>28</v>
      </c>
      <c r="E23" s="29">
        <v>510</v>
      </c>
      <c r="F23" s="29">
        <v>500</v>
      </c>
      <c r="G23" s="29">
        <v>350</v>
      </c>
      <c r="H23" s="29">
        <v>600</v>
      </c>
      <c r="I23" s="30">
        <f>_xlfn.MAXIFS(db_ESP_curves!$B$6:$B$516,db_ESP_curves!$A$6:$A$516,A23)</f>
        <v>780</v>
      </c>
      <c r="J23" s="29">
        <v>2910</v>
      </c>
      <c r="K23" s="29">
        <v>50</v>
      </c>
      <c r="L23" s="55">
        <v>0.56999999999999995</v>
      </c>
      <c r="M23" s="37"/>
      <c r="N23" s="31" t="s">
        <v>54</v>
      </c>
      <c r="O23" s="29">
        <v>103</v>
      </c>
      <c r="P23" s="29">
        <f t="shared" si="0"/>
        <v>123.7</v>
      </c>
      <c r="Q23" s="29">
        <v>17</v>
      </c>
      <c r="R23" s="29">
        <v>227</v>
      </c>
      <c r="S23" s="29">
        <v>72</v>
      </c>
      <c r="T23" s="29">
        <v>120</v>
      </c>
      <c r="U23" s="29">
        <v>150</v>
      </c>
      <c r="V23" s="32">
        <v>390</v>
      </c>
      <c r="W23" s="16">
        <f t="shared" si="1"/>
        <v>117</v>
      </c>
    </row>
    <row r="24" spans="1:40" x14ac:dyDescent="0.25">
      <c r="A24" s="28">
        <v>754</v>
      </c>
      <c r="B24" s="29" t="s">
        <v>90</v>
      </c>
      <c r="C24" s="29" t="s">
        <v>10</v>
      </c>
      <c r="D24" s="29" t="s">
        <v>29</v>
      </c>
      <c r="E24" s="29">
        <v>552</v>
      </c>
      <c r="F24" s="29">
        <v>700</v>
      </c>
      <c r="G24" s="29">
        <v>550</v>
      </c>
      <c r="H24" s="29">
        <v>840</v>
      </c>
      <c r="I24" s="30">
        <f>_xlfn.MAXIFS(db_ESP_curves!$B$6:$B$516,db_ESP_curves!$A$6:$A$516,A24)</f>
        <v>1050</v>
      </c>
      <c r="J24" s="29">
        <v>2910</v>
      </c>
      <c r="K24" s="29">
        <v>50</v>
      </c>
      <c r="L24" s="55">
        <v>0.62</v>
      </c>
      <c r="M24" s="37"/>
      <c r="N24" s="31" t="s">
        <v>54</v>
      </c>
      <c r="O24" s="29">
        <v>103</v>
      </c>
      <c r="P24" s="29">
        <f t="shared" si="0"/>
        <v>123.7</v>
      </c>
      <c r="Q24" s="29">
        <v>17</v>
      </c>
      <c r="R24" s="29">
        <v>227</v>
      </c>
      <c r="S24" s="29">
        <v>72</v>
      </c>
      <c r="T24" s="29">
        <v>120</v>
      </c>
      <c r="U24" s="29">
        <v>150</v>
      </c>
      <c r="V24" s="32">
        <v>390</v>
      </c>
      <c r="W24" s="16">
        <f t="shared" si="1"/>
        <v>117</v>
      </c>
    </row>
    <row r="25" spans="1:40" x14ac:dyDescent="0.25">
      <c r="A25" s="28">
        <v>755</v>
      </c>
      <c r="B25" s="29" t="s">
        <v>90</v>
      </c>
      <c r="C25" s="29" t="s">
        <v>10</v>
      </c>
      <c r="D25" s="29" t="s">
        <v>30</v>
      </c>
      <c r="E25" s="29">
        <v>300</v>
      </c>
      <c r="F25" s="29">
        <v>1000</v>
      </c>
      <c r="G25" s="29">
        <v>700</v>
      </c>
      <c r="H25" s="29">
        <v>1300</v>
      </c>
      <c r="I25" s="30">
        <f>_xlfn.MAXIFS(db_ESP_curves!$B$6:$B$516,db_ESP_curves!$A$6:$A$516,A25)</f>
        <v>1600</v>
      </c>
      <c r="J25" s="29">
        <v>2910</v>
      </c>
      <c r="K25" s="29">
        <v>50</v>
      </c>
      <c r="L25" s="55">
        <v>0.65</v>
      </c>
      <c r="M25" s="37"/>
      <c r="N25" s="31">
        <v>6</v>
      </c>
      <c r="O25" s="29">
        <f t="shared" ref="O25:O48" si="2">VLOOKUP(N25,$AH$12:$AI$21,2,0)</f>
        <v>114</v>
      </c>
      <c r="P25" s="29">
        <f t="shared" si="0"/>
        <v>148</v>
      </c>
      <c r="Q25" s="37">
        <v>17</v>
      </c>
      <c r="R25" s="29">
        <v>227</v>
      </c>
      <c r="S25" s="29">
        <v>72</v>
      </c>
      <c r="T25" s="29">
        <v>120</v>
      </c>
      <c r="U25" s="29">
        <v>150</v>
      </c>
      <c r="V25" s="32">
        <v>390</v>
      </c>
      <c r="W25" s="16">
        <f t="shared" si="1"/>
        <v>130</v>
      </c>
    </row>
    <row r="26" spans="1:40" x14ac:dyDescent="0.25">
      <c r="A26" s="28">
        <v>756</v>
      </c>
      <c r="B26" s="29" t="s">
        <v>90</v>
      </c>
      <c r="C26" s="29" t="s">
        <v>10</v>
      </c>
      <c r="D26" s="29" t="s">
        <v>31</v>
      </c>
      <c r="E26" s="29">
        <v>264</v>
      </c>
      <c r="F26" s="29">
        <v>130</v>
      </c>
      <c r="G26" s="29">
        <v>100</v>
      </c>
      <c r="H26" s="29">
        <v>180</v>
      </c>
      <c r="I26" s="30">
        <f>_xlfn.MAXIFS(db_ESP_curves!$B$6:$B$516,db_ESP_curves!$A$6:$A$516,A26)</f>
        <v>292</v>
      </c>
      <c r="J26" s="29">
        <v>2960</v>
      </c>
      <c r="K26" s="29">
        <v>50</v>
      </c>
      <c r="L26" s="55">
        <v>0.53</v>
      </c>
      <c r="M26" s="37"/>
      <c r="N26" s="31" t="s">
        <v>97</v>
      </c>
      <c r="O26" s="29">
        <f t="shared" si="2"/>
        <v>123</v>
      </c>
      <c r="P26" s="29">
        <f t="shared" si="0"/>
        <v>220</v>
      </c>
      <c r="Q26" s="37">
        <v>17</v>
      </c>
      <c r="R26" s="29">
        <v>227</v>
      </c>
      <c r="S26" s="29">
        <v>72</v>
      </c>
      <c r="T26" s="29">
        <v>120</v>
      </c>
      <c r="U26" s="29">
        <v>150</v>
      </c>
      <c r="V26" s="32">
        <v>390</v>
      </c>
      <c r="W26" s="16">
        <f t="shared" si="1"/>
        <v>185</v>
      </c>
    </row>
    <row r="27" spans="1:40" x14ac:dyDescent="0.25">
      <c r="A27" s="28">
        <v>757</v>
      </c>
      <c r="B27" s="29" t="s">
        <v>90</v>
      </c>
      <c r="C27" s="29" t="s">
        <v>10</v>
      </c>
      <c r="D27" s="29" t="s">
        <v>32</v>
      </c>
      <c r="E27" s="29">
        <v>297</v>
      </c>
      <c r="F27" s="29">
        <v>250</v>
      </c>
      <c r="G27" s="29">
        <v>180</v>
      </c>
      <c r="H27" s="29">
        <v>310</v>
      </c>
      <c r="I27" s="30">
        <f>_xlfn.MAXIFS(db_ESP_curves!$B$6:$B$516,db_ESP_curves!$A$6:$A$516,A27)</f>
        <v>450</v>
      </c>
      <c r="J27" s="29">
        <v>2960</v>
      </c>
      <c r="K27" s="29">
        <v>50</v>
      </c>
      <c r="L27" s="55">
        <v>0.6</v>
      </c>
      <c r="M27" s="37"/>
      <c r="N27" s="31" t="s">
        <v>97</v>
      </c>
      <c r="O27" s="29">
        <f t="shared" si="2"/>
        <v>123</v>
      </c>
      <c r="P27" s="29">
        <f t="shared" si="0"/>
        <v>220</v>
      </c>
      <c r="Q27" s="37">
        <v>17</v>
      </c>
      <c r="R27" s="29">
        <v>227</v>
      </c>
      <c r="S27" s="29">
        <v>72</v>
      </c>
      <c r="T27" s="29">
        <v>120</v>
      </c>
      <c r="U27" s="29">
        <v>150</v>
      </c>
      <c r="V27" s="32">
        <v>390</v>
      </c>
      <c r="W27" s="16">
        <f t="shared" si="1"/>
        <v>185</v>
      </c>
    </row>
    <row r="28" spans="1:40" x14ac:dyDescent="0.25">
      <c r="A28" s="28">
        <v>758</v>
      </c>
      <c r="B28" s="29" t="s">
        <v>90</v>
      </c>
      <c r="C28" s="29" t="s">
        <v>10</v>
      </c>
      <c r="D28" s="29" t="s">
        <v>33</v>
      </c>
      <c r="E28" s="29">
        <v>208</v>
      </c>
      <c r="F28" s="29">
        <v>2000</v>
      </c>
      <c r="G28" s="29">
        <v>1400</v>
      </c>
      <c r="H28" s="29">
        <v>2600</v>
      </c>
      <c r="I28" s="30">
        <f>_xlfn.MAXIFS(db_ESP_curves!$B$6:$B$516,db_ESP_curves!$A$6:$A$516,A28)</f>
        <v>3000</v>
      </c>
      <c r="J28" s="29">
        <v>2960</v>
      </c>
      <c r="K28" s="29">
        <v>50</v>
      </c>
      <c r="L28" s="55">
        <v>0.7</v>
      </c>
      <c r="M28" s="37"/>
      <c r="N28" s="31">
        <v>7</v>
      </c>
      <c r="O28" s="29">
        <f t="shared" si="2"/>
        <v>136</v>
      </c>
      <c r="P28" s="29">
        <f t="shared" si="0"/>
        <v>220</v>
      </c>
      <c r="Q28" s="37">
        <v>17</v>
      </c>
      <c r="R28" s="29">
        <v>227</v>
      </c>
      <c r="S28" s="29">
        <v>72</v>
      </c>
      <c r="T28" s="29">
        <v>120</v>
      </c>
      <c r="U28" s="29">
        <v>150</v>
      </c>
      <c r="V28" s="32">
        <v>390</v>
      </c>
      <c r="W28" s="16">
        <f t="shared" si="1"/>
        <v>185</v>
      </c>
    </row>
    <row r="29" spans="1:40" x14ac:dyDescent="0.25">
      <c r="A29" s="28">
        <v>759</v>
      </c>
      <c r="B29" s="29" t="s">
        <v>90</v>
      </c>
      <c r="C29" s="29" t="s">
        <v>10</v>
      </c>
      <c r="D29" s="29" t="s">
        <v>34</v>
      </c>
      <c r="E29" s="29">
        <v>135</v>
      </c>
      <c r="F29" s="29">
        <v>1000</v>
      </c>
      <c r="G29" s="29">
        <v>700</v>
      </c>
      <c r="H29" s="29">
        <v>1300</v>
      </c>
      <c r="I29" s="30">
        <f>_xlfn.MAXIFS(db_ESP_curves!$B$6:$B$516,db_ESP_curves!$A$6:$A$516,A29)</f>
        <v>1900</v>
      </c>
      <c r="J29" s="29">
        <v>2910</v>
      </c>
      <c r="K29" s="29">
        <v>50</v>
      </c>
      <c r="L29" s="55">
        <v>0.66</v>
      </c>
      <c r="M29" s="37"/>
      <c r="N29" s="31">
        <v>8</v>
      </c>
      <c r="O29" s="29">
        <f t="shared" si="2"/>
        <v>172</v>
      </c>
      <c r="P29" s="29">
        <f t="shared" si="0"/>
        <v>220</v>
      </c>
      <c r="Q29" s="37">
        <v>17</v>
      </c>
      <c r="R29" s="29">
        <v>227</v>
      </c>
      <c r="S29" s="29">
        <v>72</v>
      </c>
      <c r="T29" s="29">
        <v>120</v>
      </c>
      <c r="U29" s="29">
        <v>150</v>
      </c>
      <c r="V29" s="32">
        <v>390</v>
      </c>
      <c r="W29" s="16">
        <f t="shared" si="1"/>
        <v>185</v>
      </c>
    </row>
    <row r="30" spans="1:40" x14ac:dyDescent="0.25">
      <c r="A30" s="28">
        <v>760</v>
      </c>
      <c r="B30" s="29" t="s">
        <v>90</v>
      </c>
      <c r="C30" s="29" t="s">
        <v>10</v>
      </c>
      <c r="D30" s="29" t="s">
        <v>35</v>
      </c>
      <c r="E30" s="29">
        <v>90</v>
      </c>
      <c r="F30" s="29">
        <v>2000</v>
      </c>
      <c r="G30" s="29">
        <v>1400</v>
      </c>
      <c r="H30" s="29">
        <v>2600</v>
      </c>
      <c r="I30" s="30">
        <f>_xlfn.MAXIFS(db_ESP_curves!$B$6:$B$516,db_ESP_curves!$A$6:$A$516,A30)</f>
        <v>3200</v>
      </c>
      <c r="J30" s="29">
        <v>2910</v>
      </c>
      <c r="K30" s="29">
        <v>50</v>
      </c>
      <c r="L30" s="55">
        <v>0.65</v>
      </c>
      <c r="M30" s="37"/>
      <c r="N30" s="31">
        <v>8</v>
      </c>
      <c r="O30" s="29">
        <f t="shared" si="2"/>
        <v>172</v>
      </c>
      <c r="P30" s="29">
        <f t="shared" si="0"/>
        <v>220</v>
      </c>
      <c r="Q30" s="37">
        <v>17</v>
      </c>
      <c r="R30" s="29">
        <v>227</v>
      </c>
      <c r="S30" s="29">
        <v>72</v>
      </c>
      <c r="T30" s="29">
        <v>120</v>
      </c>
      <c r="U30" s="29">
        <v>150</v>
      </c>
      <c r="V30" s="32">
        <v>390</v>
      </c>
      <c r="W30" s="16">
        <f t="shared" si="1"/>
        <v>185</v>
      </c>
    </row>
    <row r="31" spans="1:40" x14ac:dyDescent="0.25">
      <c r="A31" s="28">
        <v>761</v>
      </c>
      <c r="B31" s="29" t="s">
        <v>90</v>
      </c>
      <c r="C31" s="29" t="s">
        <v>10</v>
      </c>
      <c r="D31" s="29" t="s">
        <v>36</v>
      </c>
      <c r="E31" s="29">
        <v>93</v>
      </c>
      <c r="F31" s="29">
        <v>2500</v>
      </c>
      <c r="G31" s="29">
        <v>1700</v>
      </c>
      <c r="H31" s="29">
        <v>3600</v>
      </c>
      <c r="I31" s="30">
        <f>_xlfn.MAXIFS(db_ESP_curves!$B$6:$B$516,db_ESP_curves!$A$6:$A$516,A31)</f>
        <v>4200</v>
      </c>
      <c r="J31" s="29">
        <v>2910</v>
      </c>
      <c r="K31" s="29">
        <v>50</v>
      </c>
      <c r="L31" s="55">
        <v>0.67</v>
      </c>
      <c r="M31" s="37"/>
      <c r="N31" s="31">
        <v>8</v>
      </c>
      <c r="O31" s="29">
        <f t="shared" si="2"/>
        <v>172</v>
      </c>
      <c r="P31" s="29">
        <f t="shared" si="0"/>
        <v>220</v>
      </c>
      <c r="Q31" s="37">
        <v>17</v>
      </c>
      <c r="R31" s="29">
        <v>227</v>
      </c>
      <c r="S31" s="29">
        <v>72</v>
      </c>
      <c r="T31" s="29">
        <v>120</v>
      </c>
      <c r="U31" s="29">
        <v>150</v>
      </c>
      <c r="V31" s="32">
        <v>390</v>
      </c>
      <c r="W31" s="16">
        <f t="shared" si="1"/>
        <v>185</v>
      </c>
    </row>
    <row r="32" spans="1:40" x14ac:dyDescent="0.25">
      <c r="A32" s="28">
        <v>767</v>
      </c>
      <c r="B32" s="29" t="s">
        <v>90</v>
      </c>
      <c r="C32" s="29" t="s">
        <v>10</v>
      </c>
      <c r="D32" s="29" t="s">
        <v>37</v>
      </c>
      <c r="E32" s="29">
        <v>420</v>
      </c>
      <c r="F32" s="29">
        <v>1250</v>
      </c>
      <c r="G32" s="29">
        <v>1000</v>
      </c>
      <c r="H32" s="29">
        <v>1500</v>
      </c>
      <c r="I32" s="30">
        <f>_xlfn.MAXIFS(db_ESP_curves!$B$6:$B$516,db_ESP_curves!$A$6:$A$516,A32)</f>
        <v>2000</v>
      </c>
      <c r="J32" s="29">
        <v>2910</v>
      </c>
      <c r="K32" s="29">
        <v>50</v>
      </c>
      <c r="L32" s="55">
        <v>0.64</v>
      </c>
      <c r="M32" s="37"/>
      <c r="N32" s="31">
        <v>6</v>
      </c>
      <c r="O32" s="29">
        <f t="shared" si="2"/>
        <v>114</v>
      </c>
      <c r="P32" s="29">
        <f t="shared" si="0"/>
        <v>148</v>
      </c>
      <c r="Q32" s="37">
        <v>17</v>
      </c>
      <c r="R32" s="29">
        <v>227</v>
      </c>
      <c r="S32" s="29">
        <v>72</v>
      </c>
      <c r="T32" s="29">
        <v>120</v>
      </c>
      <c r="U32" s="29">
        <v>150</v>
      </c>
      <c r="V32" s="32">
        <v>390</v>
      </c>
      <c r="W32" s="16">
        <f t="shared" si="1"/>
        <v>130</v>
      </c>
    </row>
    <row r="33" spans="1:23" x14ac:dyDescent="0.25">
      <c r="A33" s="28">
        <v>799</v>
      </c>
      <c r="B33" s="29" t="s">
        <v>90</v>
      </c>
      <c r="C33" s="29" t="s">
        <v>10</v>
      </c>
      <c r="D33" s="29" t="s">
        <v>12</v>
      </c>
      <c r="E33" s="29">
        <v>358</v>
      </c>
      <c r="F33" s="29">
        <v>150</v>
      </c>
      <c r="G33" s="29">
        <v>96</v>
      </c>
      <c r="H33" s="29">
        <v>192</v>
      </c>
      <c r="I33" s="30">
        <f>_xlfn.MAXIFS(db_ESP_curves!$B$6:$B$516,db_ESP_curves!$A$6:$A$516,A33)</f>
        <v>266.79998430000001</v>
      </c>
      <c r="J33" s="29">
        <v>3500</v>
      </c>
      <c r="K33" s="29">
        <v>60</v>
      </c>
      <c r="L33" s="55">
        <v>0.377</v>
      </c>
      <c r="M33" s="37"/>
      <c r="N33" s="31">
        <v>5</v>
      </c>
      <c r="O33" s="29">
        <f t="shared" si="2"/>
        <v>92</v>
      </c>
      <c r="P33" s="29">
        <f t="shared" si="0"/>
        <v>121.7</v>
      </c>
      <c r="Q33" s="37">
        <v>17</v>
      </c>
      <c r="R33" s="29">
        <v>227</v>
      </c>
      <c r="S33" s="29">
        <v>72</v>
      </c>
      <c r="T33" s="29">
        <v>120</v>
      </c>
      <c r="U33" s="29">
        <v>150</v>
      </c>
      <c r="V33" s="32">
        <v>390</v>
      </c>
      <c r="W33" s="16">
        <f t="shared" si="1"/>
        <v>103</v>
      </c>
    </row>
    <row r="34" spans="1:23" x14ac:dyDescent="0.25">
      <c r="A34" s="28">
        <v>871</v>
      </c>
      <c r="B34" s="29" t="s">
        <v>90</v>
      </c>
      <c r="C34" s="29" t="s">
        <v>10</v>
      </c>
      <c r="D34" s="29" t="s">
        <v>38</v>
      </c>
      <c r="E34" s="29">
        <v>250</v>
      </c>
      <c r="F34" s="29">
        <v>90</v>
      </c>
      <c r="G34" s="29">
        <v>67</v>
      </c>
      <c r="H34" s="29">
        <v>121</v>
      </c>
      <c r="I34" s="30">
        <f>_xlfn.MAXIFS(db_ESP_curves!$B$6:$B$516,db_ESP_curves!$A$6:$A$516,A34)</f>
        <v>171</v>
      </c>
      <c r="J34" s="29">
        <v>6450</v>
      </c>
      <c r="K34" s="29">
        <v>108</v>
      </c>
      <c r="L34" s="55">
        <v>0.53</v>
      </c>
      <c r="M34" s="37"/>
      <c r="N34" s="31">
        <v>3</v>
      </c>
      <c r="O34" s="29">
        <f t="shared" si="2"/>
        <v>81</v>
      </c>
      <c r="P34" s="29">
        <f t="shared" si="0"/>
        <v>112</v>
      </c>
      <c r="Q34" s="37">
        <v>17</v>
      </c>
      <c r="R34" s="29">
        <v>227</v>
      </c>
      <c r="S34" s="29">
        <v>72</v>
      </c>
      <c r="T34" s="29">
        <v>120</v>
      </c>
      <c r="U34" s="29">
        <v>150</v>
      </c>
      <c r="V34" s="32">
        <v>390</v>
      </c>
      <c r="W34" s="16">
        <f t="shared" si="1"/>
        <v>95</v>
      </c>
    </row>
    <row r="35" spans="1:23" x14ac:dyDescent="0.25">
      <c r="A35" s="28">
        <v>877</v>
      </c>
      <c r="B35" s="29" t="s">
        <v>90</v>
      </c>
      <c r="C35" s="29" t="s">
        <v>10</v>
      </c>
      <c r="D35" s="29" t="s">
        <v>39</v>
      </c>
      <c r="E35" s="29">
        <v>152</v>
      </c>
      <c r="F35" s="29">
        <v>500</v>
      </c>
      <c r="G35" s="29">
        <v>400</v>
      </c>
      <c r="H35" s="29">
        <v>650</v>
      </c>
      <c r="I35" s="30">
        <f>_xlfn.MAXIFS(db_ESP_curves!$B$6:$B$516,db_ESP_curves!$A$6:$A$516,A35)</f>
        <v>950</v>
      </c>
      <c r="J35" s="29">
        <v>2910</v>
      </c>
      <c r="K35" s="29">
        <v>50</v>
      </c>
      <c r="L35" s="55">
        <v>0.59</v>
      </c>
      <c r="M35" s="37"/>
      <c r="N35" s="31">
        <v>8</v>
      </c>
      <c r="O35" s="29">
        <f t="shared" si="2"/>
        <v>172</v>
      </c>
      <c r="P35" s="29">
        <f t="shared" si="0"/>
        <v>220</v>
      </c>
      <c r="Q35" s="37">
        <v>17</v>
      </c>
      <c r="R35" s="29">
        <v>227</v>
      </c>
      <c r="S35" s="29">
        <v>72</v>
      </c>
      <c r="T35" s="29">
        <v>120</v>
      </c>
      <c r="U35" s="29">
        <v>150</v>
      </c>
      <c r="V35" s="32">
        <v>390</v>
      </c>
      <c r="W35" s="16">
        <f t="shared" si="1"/>
        <v>185</v>
      </c>
    </row>
    <row r="36" spans="1:23" x14ac:dyDescent="0.25">
      <c r="A36" s="28">
        <v>878</v>
      </c>
      <c r="B36" s="29" t="s">
        <v>90</v>
      </c>
      <c r="C36" s="29" t="s">
        <v>10</v>
      </c>
      <c r="D36" s="29" t="s">
        <v>40</v>
      </c>
      <c r="E36" s="29">
        <v>726</v>
      </c>
      <c r="F36" s="29">
        <v>200</v>
      </c>
      <c r="G36" s="29">
        <v>150</v>
      </c>
      <c r="H36" s="29">
        <v>250</v>
      </c>
      <c r="I36" s="30">
        <f>_xlfn.MAXIFS(db_ESP_curves!$B$6:$B$516,db_ESP_curves!$A$6:$A$516,A36)</f>
        <v>350</v>
      </c>
      <c r="J36" s="29">
        <v>2820</v>
      </c>
      <c r="K36" s="29">
        <v>50</v>
      </c>
      <c r="L36" s="55">
        <v>0.54</v>
      </c>
      <c r="M36" s="37"/>
      <c r="N36" s="31">
        <v>4</v>
      </c>
      <c r="O36" s="29">
        <f t="shared" si="2"/>
        <v>86</v>
      </c>
      <c r="P36" s="29">
        <f t="shared" si="0"/>
        <v>112</v>
      </c>
      <c r="Q36" s="37">
        <v>17</v>
      </c>
      <c r="R36" s="29">
        <v>227</v>
      </c>
      <c r="S36" s="29">
        <v>72</v>
      </c>
      <c r="T36" s="29">
        <v>120</v>
      </c>
      <c r="U36" s="29">
        <v>150</v>
      </c>
      <c r="V36" s="32">
        <v>390</v>
      </c>
      <c r="W36" s="16">
        <f t="shared" si="1"/>
        <v>95</v>
      </c>
    </row>
    <row r="37" spans="1:23" x14ac:dyDescent="0.25">
      <c r="A37" s="28">
        <v>879</v>
      </c>
      <c r="B37" s="29" t="s">
        <v>90</v>
      </c>
      <c r="C37" s="29" t="s">
        <v>10</v>
      </c>
      <c r="D37" s="29" t="s">
        <v>41</v>
      </c>
      <c r="E37" s="29">
        <v>31</v>
      </c>
      <c r="F37" s="29">
        <v>3000</v>
      </c>
      <c r="G37" s="29">
        <v>2400</v>
      </c>
      <c r="H37" s="29">
        <v>3600</v>
      </c>
      <c r="I37" s="30">
        <f>_xlfn.MAXIFS(db_ESP_curves!$B$6:$B$516,db_ESP_curves!$A$6:$A$516,A37)</f>
        <v>4000</v>
      </c>
      <c r="J37" s="29">
        <v>2910</v>
      </c>
      <c r="K37" s="29">
        <v>50</v>
      </c>
      <c r="L37" s="55">
        <v>0.68</v>
      </c>
      <c r="M37" s="37"/>
      <c r="N37" s="31">
        <v>8</v>
      </c>
      <c r="O37" s="29">
        <f t="shared" si="2"/>
        <v>172</v>
      </c>
      <c r="P37" s="29">
        <f t="shared" si="0"/>
        <v>220</v>
      </c>
      <c r="Q37" s="37">
        <v>17</v>
      </c>
      <c r="R37" s="29">
        <v>227</v>
      </c>
      <c r="S37" s="29">
        <v>72</v>
      </c>
      <c r="T37" s="29">
        <v>120</v>
      </c>
      <c r="U37" s="29">
        <v>150</v>
      </c>
      <c r="V37" s="32">
        <v>390</v>
      </c>
      <c r="W37" s="16">
        <f t="shared" si="1"/>
        <v>185</v>
      </c>
    </row>
    <row r="38" spans="1:23" x14ac:dyDescent="0.25">
      <c r="A38" s="28">
        <v>1002</v>
      </c>
      <c r="B38" s="29" t="s">
        <v>90</v>
      </c>
      <c r="C38" s="29" t="s">
        <v>10</v>
      </c>
      <c r="D38" s="29" t="s">
        <v>42</v>
      </c>
      <c r="E38" s="29">
        <v>663</v>
      </c>
      <c r="F38" s="29">
        <v>20</v>
      </c>
      <c r="G38" s="29">
        <v>15</v>
      </c>
      <c r="H38" s="29">
        <v>30</v>
      </c>
      <c r="I38" s="30">
        <f>_xlfn.MAXIFS(db_ESP_curves!$B$6:$B$516,db_ESP_curves!$A$6:$A$516,A38)</f>
        <v>65</v>
      </c>
      <c r="J38" s="29">
        <v>2820</v>
      </c>
      <c r="K38" s="29">
        <v>50</v>
      </c>
      <c r="L38" s="55">
        <v>0.35</v>
      </c>
      <c r="M38" s="37"/>
      <c r="N38" s="31">
        <v>4</v>
      </c>
      <c r="O38" s="29">
        <f t="shared" si="2"/>
        <v>86</v>
      </c>
      <c r="P38" s="29">
        <f t="shared" si="0"/>
        <v>112</v>
      </c>
      <c r="Q38" s="37">
        <v>17</v>
      </c>
      <c r="R38" s="29">
        <v>227</v>
      </c>
      <c r="S38" s="29">
        <v>72</v>
      </c>
      <c r="T38" s="29">
        <v>120</v>
      </c>
      <c r="U38" s="29">
        <v>150</v>
      </c>
      <c r="V38" s="32">
        <v>390</v>
      </c>
      <c r="W38" s="16">
        <f t="shared" si="1"/>
        <v>95</v>
      </c>
    </row>
    <row r="39" spans="1:23" x14ac:dyDescent="0.25">
      <c r="A39" s="28">
        <v>1003</v>
      </c>
      <c r="B39" s="29" t="s">
        <v>90</v>
      </c>
      <c r="C39" s="29" t="s">
        <v>10</v>
      </c>
      <c r="D39" s="29" t="s">
        <v>43</v>
      </c>
      <c r="E39" s="29">
        <v>600</v>
      </c>
      <c r="F39" s="29">
        <v>20</v>
      </c>
      <c r="G39" s="29">
        <v>15</v>
      </c>
      <c r="H39" s="29">
        <v>25</v>
      </c>
      <c r="I39" s="30">
        <f>_xlfn.MAXIFS(db_ESP_curves!$B$6:$B$516,db_ESP_curves!$A$6:$A$516,A39)</f>
        <v>38</v>
      </c>
      <c r="J39" s="29">
        <v>2910</v>
      </c>
      <c r="K39" s="29">
        <v>50</v>
      </c>
      <c r="L39" s="55">
        <v>0.33</v>
      </c>
      <c r="M39" s="37"/>
      <c r="N39" s="31">
        <v>5</v>
      </c>
      <c r="O39" s="29">
        <f t="shared" si="2"/>
        <v>92</v>
      </c>
      <c r="P39" s="29">
        <f t="shared" si="0"/>
        <v>121.7</v>
      </c>
      <c r="Q39" s="37">
        <v>17</v>
      </c>
      <c r="R39" s="29">
        <v>227</v>
      </c>
      <c r="S39" s="29">
        <v>72</v>
      </c>
      <c r="T39" s="29">
        <v>120</v>
      </c>
      <c r="U39" s="29">
        <v>150</v>
      </c>
      <c r="V39" s="32">
        <v>390</v>
      </c>
      <c r="W39" s="16">
        <f t="shared" si="1"/>
        <v>103</v>
      </c>
    </row>
    <row r="40" spans="1:23" x14ac:dyDescent="0.25">
      <c r="A40" s="28">
        <v>1004</v>
      </c>
      <c r="B40" s="29" t="s">
        <v>90</v>
      </c>
      <c r="C40" s="29" t="s">
        <v>10</v>
      </c>
      <c r="D40" s="29" t="s">
        <v>44</v>
      </c>
      <c r="E40" s="29">
        <v>591</v>
      </c>
      <c r="F40" s="29">
        <v>35</v>
      </c>
      <c r="G40" s="29">
        <v>22</v>
      </c>
      <c r="H40" s="29">
        <v>50</v>
      </c>
      <c r="I40" s="30">
        <f>_xlfn.MAXIFS(db_ESP_curves!$B$6:$B$516,db_ESP_curves!$A$6:$A$516,A40)</f>
        <v>66</v>
      </c>
      <c r="J40" s="29">
        <v>2910</v>
      </c>
      <c r="K40" s="29">
        <v>50</v>
      </c>
      <c r="L40" s="55">
        <v>0.43</v>
      </c>
      <c r="M40" s="37"/>
      <c r="N40" s="31">
        <v>5</v>
      </c>
      <c r="O40" s="29">
        <f t="shared" si="2"/>
        <v>92</v>
      </c>
      <c r="P40" s="29">
        <f t="shared" si="0"/>
        <v>121.7</v>
      </c>
      <c r="Q40" s="37">
        <v>17</v>
      </c>
      <c r="R40" s="29">
        <v>227</v>
      </c>
      <c r="S40" s="29">
        <v>72</v>
      </c>
      <c r="T40" s="29">
        <v>120</v>
      </c>
      <c r="U40" s="29">
        <v>150</v>
      </c>
      <c r="V40" s="32">
        <v>390</v>
      </c>
      <c r="W40" s="16">
        <f t="shared" si="1"/>
        <v>103</v>
      </c>
    </row>
    <row r="41" spans="1:23" x14ac:dyDescent="0.25">
      <c r="A41" s="28">
        <v>1005</v>
      </c>
      <c r="B41" s="29" t="s">
        <v>90</v>
      </c>
      <c r="C41" s="29" t="s">
        <v>10</v>
      </c>
      <c r="D41" s="29" t="s">
        <v>45</v>
      </c>
      <c r="E41" s="29">
        <v>582</v>
      </c>
      <c r="F41" s="29">
        <v>50</v>
      </c>
      <c r="G41" s="29">
        <v>35</v>
      </c>
      <c r="H41" s="29">
        <v>65</v>
      </c>
      <c r="I41" s="30">
        <f>_xlfn.MAXIFS(db_ESP_curves!$B$6:$B$516,db_ESP_curves!$A$6:$A$516,A41)</f>
        <v>95</v>
      </c>
      <c r="J41" s="29">
        <v>2910</v>
      </c>
      <c r="K41" s="29">
        <v>50</v>
      </c>
      <c r="L41" s="55">
        <v>0.48</v>
      </c>
      <c r="M41" s="37"/>
      <c r="N41" s="31">
        <v>5</v>
      </c>
      <c r="O41" s="29">
        <f t="shared" si="2"/>
        <v>92</v>
      </c>
      <c r="P41" s="29">
        <f t="shared" si="0"/>
        <v>121.7</v>
      </c>
      <c r="Q41" s="37">
        <v>17</v>
      </c>
      <c r="R41" s="29">
        <v>227</v>
      </c>
      <c r="S41" s="29">
        <v>72</v>
      </c>
      <c r="T41" s="29">
        <v>120</v>
      </c>
      <c r="U41" s="29">
        <v>150</v>
      </c>
      <c r="V41" s="32">
        <v>390</v>
      </c>
      <c r="W41" s="16">
        <f t="shared" si="1"/>
        <v>103</v>
      </c>
    </row>
    <row r="42" spans="1:23" x14ac:dyDescent="0.25">
      <c r="A42" s="28">
        <v>1006</v>
      </c>
      <c r="B42" s="29" t="s">
        <v>90</v>
      </c>
      <c r="C42" s="29" t="s">
        <v>10</v>
      </c>
      <c r="D42" s="29" t="s">
        <v>46</v>
      </c>
      <c r="E42" s="29">
        <v>489</v>
      </c>
      <c r="F42" s="29">
        <v>80</v>
      </c>
      <c r="G42" s="29">
        <v>60</v>
      </c>
      <c r="H42" s="29">
        <v>105</v>
      </c>
      <c r="I42" s="30">
        <f>_xlfn.MAXIFS(db_ESP_curves!$B$6:$B$516,db_ESP_curves!$A$6:$A$516,A42)</f>
        <v>175</v>
      </c>
      <c r="J42" s="29">
        <v>2910</v>
      </c>
      <c r="K42" s="29">
        <v>50</v>
      </c>
      <c r="L42" s="55">
        <v>0.55000000000000004</v>
      </c>
      <c r="M42" s="37"/>
      <c r="N42" s="31">
        <v>5</v>
      </c>
      <c r="O42" s="29">
        <f t="shared" si="2"/>
        <v>92</v>
      </c>
      <c r="P42" s="29">
        <f t="shared" si="0"/>
        <v>121.7</v>
      </c>
      <c r="Q42" s="37">
        <v>17</v>
      </c>
      <c r="R42" s="29">
        <v>227</v>
      </c>
      <c r="S42" s="29">
        <v>72</v>
      </c>
      <c r="T42" s="29">
        <v>120</v>
      </c>
      <c r="U42" s="29">
        <v>150</v>
      </c>
      <c r="V42" s="32">
        <v>390</v>
      </c>
      <c r="W42" s="16">
        <f t="shared" si="1"/>
        <v>103</v>
      </c>
    </row>
    <row r="43" spans="1:23" x14ac:dyDescent="0.25">
      <c r="A43" s="28">
        <v>1007</v>
      </c>
      <c r="B43" s="29" t="s">
        <v>90</v>
      </c>
      <c r="C43" s="29" t="s">
        <v>10</v>
      </c>
      <c r="D43" s="29" t="s">
        <v>47</v>
      </c>
      <c r="E43" s="29">
        <v>514</v>
      </c>
      <c r="F43" s="29">
        <v>100</v>
      </c>
      <c r="G43" s="29">
        <v>80</v>
      </c>
      <c r="H43" s="29">
        <v>120</v>
      </c>
      <c r="I43" s="30">
        <f>_xlfn.MAXIFS(db_ESP_curves!$B$6:$B$516,db_ESP_curves!$A$6:$A$516,A43)</f>
        <v>183</v>
      </c>
      <c r="J43" s="29">
        <v>2910</v>
      </c>
      <c r="K43" s="29">
        <v>50</v>
      </c>
      <c r="L43" s="55">
        <v>0.57999999999999996</v>
      </c>
      <c r="M43" s="37"/>
      <c r="N43" s="31">
        <v>5</v>
      </c>
      <c r="O43" s="29">
        <f t="shared" si="2"/>
        <v>92</v>
      </c>
      <c r="P43" s="29">
        <f t="shared" si="0"/>
        <v>121.7</v>
      </c>
      <c r="Q43" s="37">
        <v>17</v>
      </c>
      <c r="R43" s="29">
        <v>227</v>
      </c>
      <c r="S43" s="29">
        <v>72</v>
      </c>
      <c r="T43" s="29">
        <v>120</v>
      </c>
      <c r="U43" s="29">
        <v>150</v>
      </c>
      <c r="V43" s="32">
        <v>390</v>
      </c>
      <c r="W43" s="16">
        <f t="shared" si="1"/>
        <v>103</v>
      </c>
    </row>
    <row r="44" spans="1:23" x14ac:dyDescent="0.25">
      <c r="A44" s="28">
        <v>1008</v>
      </c>
      <c r="B44" s="29" t="s">
        <v>90</v>
      </c>
      <c r="C44" s="29" t="s">
        <v>10</v>
      </c>
      <c r="D44" s="29" t="s">
        <v>48</v>
      </c>
      <c r="E44" s="29">
        <v>364</v>
      </c>
      <c r="F44" s="29">
        <v>25</v>
      </c>
      <c r="G44" s="29">
        <v>18</v>
      </c>
      <c r="H44" s="29">
        <v>35</v>
      </c>
      <c r="I44" s="30">
        <f>_xlfn.MAXIFS(db_ESP_curves!$B$6:$B$516,db_ESP_curves!$A$6:$A$516,A44)</f>
        <v>58</v>
      </c>
      <c r="J44" s="29">
        <v>2910</v>
      </c>
      <c r="K44" s="29">
        <v>50</v>
      </c>
      <c r="L44" s="55">
        <v>0.33</v>
      </c>
      <c r="M44" s="37"/>
      <c r="N44" s="31" t="s">
        <v>54</v>
      </c>
      <c r="O44" s="29">
        <f t="shared" si="2"/>
        <v>103</v>
      </c>
      <c r="P44" s="29">
        <f t="shared" si="0"/>
        <v>123.7</v>
      </c>
      <c r="Q44" s="37">
        <v>17</v>
      </c>
      <c r="R44" s="29">
        <v>227</v>
      </c>
      <c r="S44" s="29">
        <v>72</v>
      </c>
      <c r="T44" s="29">
        <v>120</v>
      </c>
      <c r="U44" s="29">
        <v>150</v>
      </c>
      <c r="V44" s="32">
        <v>390</v>
      </c>
      <c r="W44" s="16">
        <f t="shared" si="1"/>
        <v>117</v>
      </c>
    </row>
    <row r="45" spans="1:23" x14ac:dyDescent="0.25">
      <c r="A45" s="28">
        <v>1009</v>
      </c>
      <c r="B45" s="29" t="s">
        <v>90</v>
      </c>
      <c r="C45" s="29" t="s">
        <v>10</v>
      </c>
      <c r="D45" s="29" t="s">
        <v>49</v>
      </c>
      <c r="E45" s="29">
        <v>426</v>
      </c>
      <c r="F45" s="29">
        <v>34</v>
      </c>
      <c r="G45" s="29">
        <v>20</v>
      </c>
      <c r="H45" s="29">
        <v>45</v>
      </c>
      <c r="I45" s="30">
        <f>_xlfn.MAXIFS(db_ESP_curves!$B$6:$B$516,db_ESP_curves!$A$6:$A$516,A45)</f>
        <v>60</v>
      </c>
      <c r="J45" s="29">
        <v>2910</v>
      </c>
      <c r="K45" s="29">
        <v>50</v>
      </c>
      <c r="L45" s="55">
        <v>0.39</v>
      </c>
      <c r="M45" s="37"/>
      <c r="N45" s="31" t="s">
        <v>54</v>
      </c>
      <c r="O45" s="29">
        <f t="shared" si="2"/>
        <v>103</v>
      </c>
      <c r="P45" s="29">
        <f t="shared" si="0"/>
        <v>123.7</v>
      </c>
      <c r="Q45" s="37">
        <v>17</v>
      </c>
      <c r="R45" s="29">
        <v>227</v>
      </c>
      <c r="S45" s="29">
        <v>72</v>
      </c>
      <c r="T45" s="29">
        <v>120</v>
      </c>
      <c r="U45" s="29">
        <v>150</v>
      </c>
      <c r="V45" s="32">
        <v>390</v>
      </c>
      <c r="W45" s="16">
        <f t="shared" si="1"/>
        <v>117</v>
      </c>
    </row>
    <row r="46" spans="1:23" x14ac:dyDescent="0.25">
      <c r="A46" s="28">
        <v>1012</v>
      </c>
      <c r="B46" s="29" t="s">
        <v>90</v>
      </c>
      <c r="C46" s="29" t="s">
        <v>10</v>
      </c>
      <c r="D46" s="29" t="s">
        <v>50</v>
      </c>
      <c r="E46" s="29">
        <v>150</v>
      </c>
      <c r="F46" s="29">
        <v>30</v>
      </c>
      <c r="G46" s="29">
        <v>20</v>
      </c>
      <c r="H46" s="29">
        <v>40</v>
      </c>
      <c r="I46" s="30">
        <f>_xlfn.MAXIFS(db_ESP_curves!$B$6:$B$516,db_ESP_curves!$A$6:$A$516,A46)</f>
        <v>55</v>
      </c>
      <c r="J46" s="29">
        <v>2910</v>
      </c>
      <c r="K46" s="29">
        <v>50</v>
      </c>
      <c r="L46" s="55">
        <v>0.48</v>
      </c>
      <c r="M46" s="37"/>
      <c r="N46" s="31" t="s">
        <v>98</v>
      </c>
      <c r="O46" s="29">
        <f t="shared" si="2"/>
        <v>69</v>
      </c>
      <c r="P46" s="29">
        <f t="shared" si="0"/>
        <v>88</v>
      </c>
      <c r="Q46" s="37">
        <v>17</v>
      </c>
      <c r="R46" s="29">
        <v>227</v>
      </c>
      <c r="S46" s="29">
        <v>72</v>
      </c>
      <c r="T46" s="29">
        <v>120</v>
      </c>
      <c r="U46" s="29">
        <v>150</v>
      </c>
      <c r="V46" s="32">
        <v>390</v>
      </c>
      <c r="W46" s="16">
        <f t="shared" si="1"/>
        <v>81</v>
      </c>
    </row>
    <row r="47" spans="1:23" x14ac:dyDescent="0.25">
      <c r="A47" s="28">
        <v>1016</v>
      </c>
      <c r="B47" s="29" t="s">
        <v>90</v>
      </c>
      <c r="C47" s="29" t="s">
        <v>10</v>
      </c>
      <c r="D47" s="29" t="s">
        <v>51</v>
      </c>
      <c r="E47" s="29">
        <v>115</v>
      </c>
      <c r="F47" s="29">
        <v>50</v>
      </c>
      <c r="G47" s="29">
        <v>35</v>
      </c>
      <c r="H47" s="29">
        <v>65</v>
      </c>
      <c r="I47" s="30">
        <f>_xlfn.MAXIFS(db_ESP_curves!$B$6:$B$516,db_ESP_curves!$A$6:$A$516,A47)</f>
        <v>85</v>
      </c>
      <c r="J47" s="29">
        <v>2910</v>
      </c>
      <c r="K47" s="29">
        <v>50</v>
      </c>
      <c r="L47" s="55">
        <v>0.61</v>
      </c>
      <c r="M47" s="37"/>
      <c r="N47" s="31" t="s">
        <v>98</v>
      </c>
      <c r="O47" s="29">
        <f t="shared" si="2"/>
        <v>69</v>
      </c>
      <c r="P47" s="29">
        <f t="shared" si="0"/>
        <v>88</v>
      </c>
      <c r="Q47" s="37">
        <v>17</v>
      </c>
      <c r="R47" s="29">
        <v>227</v>
      </c>
      <c r="S47" s="29">
        <v>72</v>
      </c>
      <c r="T47" s="29">
        <v>120</v>
      </c>
      <c r="U47" s="29">
        <v>150</v>
      </c>
      <c r="V47" s="32">
        <v>390</v>
      </c>
      <c r="W47" s="16">
        <f t="shared" si="1"/>
        <v>81</v>
      </c>
    </row>
    <row r="48" spans="1:23" ht="15.75" thickBot="1" x14ac:dyDescent="0.3">
      <c r="A48" s="33">
        <v>1025</v>
      </c>
      <c r="B48" s="34" t="s">
        <v>90</v>
      </c>
      <c r="C48" s="34" t="s">
        <v>10</v>
      </c>
      <c r="D48" s="34" t="s">
        <v>52</v>
      </c>
      <c r="E48" s="34">
        <v>660</v>
      </c>
      <c r="F48" s="34">
        <v>100</v>
      </c>
      <c r="G48" s="34">
        <v>70</v>
      </c>
      <c r="H48" s="34">
        <v>140</v>
      </c>
      <c r="I48" s="44">
        <f>_xlfn.MAXIFS(db_ESP_curves!$B$6:$B$516,db_ESP_curves!$A$6:$A$516,A48)</f>
        <v>200</v>
      </c>
      <c r="J48" s="34">
        <v>2910</v>
      </c>
      <c r="K48" s="34">
        <v>50</v>
      </c>
      <c r="L48" s="56">
        <v>0.65</v>
      </c>
      <c r="M48" s="38"/>
      <c r="N48" s="51" t="s">
        <v>54</v>
      </c>
      <c r="O48" s="34">
        <f t="shared" si="2"/>
        <v>103</v>
      </c>
      <c r="P48" s="34">
        <f t="shared" si="0"/>
        <v>123.7</v>
      </c>
      <c r="Q48" s="38">
        <v>17</v>
      </c>
      <c r="R48" s="34">
        <v>227</v>
      </c>
      <c r="S48" s="34">
        <v>72</v>
      </c>
      <c r="T48" s="34">
        <v>120</v>
      </c>
      <c r="U48" s="34">
        <v>150</v>
      </c>
      <c r="V48" s="35">
        <v>390</v>
      </c>
      <c r="W48" s="4">
        <f t="shared" si="1"/>
        <v>117</v>
      </c>
    </row>
    <row r="49" spans="1:22" x14ac:dyDescent="0.25">
      <c r="A49" s="36"/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</row>
    <row r="50" spans="1:22" x14ac:dyDescent="0.25">
      <c r="A50" s="29"/>
      <c r="B50" s="29"/>
      <c r="C50" s="36"/>
      <c r="D50" s="29"/>
      <c r="E50" s="36"/>
      <c r="F50" s="29"/>
      <c r="G50" s="36"/>
      <c r="H50" s="29"/>
      <c r="I50" s="29"/>
      <c r="J50" s="36"/>
      <c r="K50" s="29"/>
      <c r="L50" s="36"/>
      <c r="M50" s="29"/>
      <c r="N50" s="36"/>
      <c r="O50" s="29"/>
      <c r="P50" s="36"/>
      <c r="Q50" s="29"/>
      <c r="R50" s="36"/>
      <c r="S50" s="29"/>
      <c r="T50" s="36"/>
      <c r="U50" s="29"/>
      <c r="V50" s="36"/>
    </row>
  </sheetData>
  <mergeCells count="2">
    <mergeCell ref="AM9:AN9"/>
    <mergeCell ref="AH9:AK9"/>
  </mergeCells>
  <conditionalFormatting sqref="K6:K48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{D9958A25-838C-4FF9-B156-DC6FB7413D4A}</x14:id>
        </ext>
      </extLst>
    </cfRule>
  </conditionalFormatting>
  <conditionalFormatting sqref="L6:L48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6:I48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{4B3DAAD7-2525-4E7E-8A84-7645E1C09649}</x14:id>
        </ext>
      </extLst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9958A25-838C-4FF9-B156-DC6FB7413D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K6:K48</xm:sqref>
        </x14:conditionalFormatting>
        <x14:conditionalFormatting xmlns:xm="http://schemas.microsoft.com/office/excel/2006/main">
          <x14:cfRule type="dataBar" id="{4B3DAAD7-2525-4E7E-8A84-7645E1C0964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F6:I48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7B472-F5AB-41A1-8358-38D63C892ABE}">
  <sheetPr codeName="Лист2"/>
  <dimension ref="A2:I49"/>
  <sheetViews>
    <sheetView tabSelected="1" workbookViewId="0">
      <selection activeCell="Q21" sqref="Q21"/>
    </sheetView>
  </sheetViews>
  <sheetFormatPr defaultRowHeight="15" x14ac:dyDescent="0.25"/>
  <sheetData>
    <row r="2" spans="1:9" x14ac:dyDescent="0.25">
      <c r="A2" t="s">
        <v>56</v>
      </c>
    </row>
    <row r="3" spans="1:9" ht="15.75" thickBot="1" x14ac:dyDescent="0.3"/>
    <row r="4" spans="1:9" x14ac:dyDescent="0.25">
      <c r="A4" s="5" t="s">
        <v>0</v>
      </c>
      <c r="B4" s="6" t="s">
        <v>6</v>
      </c>
      <c r="C4" s="6" t="s">
        <v>7</v>
      </c>
      <c r="D4" s="6" t="s">
        <v>8</v>
      </c>
      <c r="E4" s="7" t="s">
        <v>9</v>
      </c>
      <c r="I4" t="s">
        <v>151</v>
      </c>
    </row>
    <row r="5" spans="1:9" ht="15.75" thickBot="1" x14ac:dyDescent="0.3">
      <c r="A5" s="8">
        <v>1025</v>
      </c>
      <c r="B5" s="9"/>
      <c r="C5" s="9"/>
      <c r="D5" s="9"/>
      <c r="E5" s="10"/>
      <c r="I5" t="s">
        <v>108</v>
      </c>
    </row>
    <row r="6" spans="1:9" x14ac:dyDescent="0.25">
      <c r="I6" t="s">
        <v>109</v>
      </c>
    </row>
    <row r="7" spans="1:9" x14ac:dyDescent="0.25">
      <c r="I7" t="s">
        <v>110</v>
      </c>
    </row>
    <row r="8" spans="1:9" ht="15.75" thickBot="1" x14ac:dyDescent="0.3">
      <c r="I8" t="s">
        <v>111</v>
      </c>
    </row>
    <row r="9" spans="1:9" ht="15.75" thickBot="1" x14ac:dyDescent="0.3">
      <c r="A9" s="5" t="s">
        <v>0</v>
      </c>
      <c r="B9" s="6" t="s">
        <v>6</v>
      </c>
      <c r="C9" s="6" t="s">
        <v>7</v>
      </c>
      <c r="D9" s="6" t="s">
        <v>8</v>
      </c>
      <c r="E9" s="7" t="s">
        <v>9</v>
      </c>
      <c r="I9" t="s">
        <v>112</v>
      </c>
    </row>
    <row r="10" spans="1:9" x14ac:dyDescent="0.25">
      <c r="A10" s="20">
        <v>1025</v>
      </c>
      <c r="B10" s="21">
        <v>0</v>
      </c>
      <c r="C10" s="21">
        <v>5</v>
      </c>
      <c r="D10" s="21">
        <v>5.6000000000000001E-2</v>
      </c>
      <c r="E10" s="22">
        <v>0</v>
      </c>
      <c r="I10" t="s">
        <v>113</v>
      </c>
    </row>
    <row r="11" spans="1:9" x14ac:dyDescent="0.25">
      <c r="A11" s="14">
        <v>1025</v>
      </c>
      <c r="B11" s="15">
        <v>30</v>
      </c>
      <c r="C11" s="15">
        <v>4.9000000000000004</v>
      </c>
      <c r="D11" s="15">
        <v>5.8999999999999997E-2</v>
      </c>
      <c r="E11" s="16">
        <v>0.28999999999999998</v>
      </c>
      <c r="I11" t="s">
        <v>114</v>
      </c>
    </row>
    <row r="12" spans="1:9" x14ac:dyDescent="0.25">
      <c r="A12" s="14">
        <v>1025</v>
      </c>
      <c r="B12" s="15">
        <v>70</v>
      </c>
      <c r="C12" s="15">
        <v>4.7</v>
      </c>
      <c r="D12" s="15">
        <v>7.0999999999999994E-2</v>
      </c>
      <c r="E12" s="16">
        <v>0.55000000000000004</v>
      </c>
      <c r="I12" t="s">
        <v>115</v>
      </c>
    </row>
    <row r="13" spans="1:9" x14ac:dyDescent="0.25">
      <c r="A13" s="14">
        <v>1025</v>
      </c>
      <c r="B13" s="15">
        <v>100</v>
      </c>
      <c r="C13" s="15">
        <v>4.2</v>
      </c>
      <c r="D13" s="15">
        <v>7.6999999999999999E-2</v>
      </c>
      <c r="E13" s="16">
        <v>0.65</v>
      </c>
      <c r="I13" t="s">
        <v>116</v>
      </c>
    </row>
    <row r="14" spans="1:9" x14ac:dyDescent="0.25">
      <c r="A14" s="14">
        <v>1025</v>
      </c>
      <c r="B14" s="15">
        <v>140</v>
      </c>
      <c r="C14" s="15">
        <v>2.9</v>
      </c>
      <c r="D14" s="15">
        <v>0.08</v>
      </c>
      <c r="E14" s="16">
        <v>0.61</v>
      </c>
      <c r="I14" t="s">
        <v>117</v>
      </c>
    </row>
    <row r="15" spans="1:9" x14ac:dyDescent="0.25">
      <c r="A15" s="14">
        <v>1025</v>
      </c>
      <c r="B15" s="15">
        <v>180</v>
      </c>
      <c r="C15" s="15">
        <v>1.3</v>
      </c>
      <c r="D15" s="15">
        <v>7.3999999999999996E-2</v>
      </c>
      <c r="E15" s="16">
        <v>0.39</v>
      </c>
      <c r="I15" t="s">
        <v>118</v>
      </c>
    </row>
    <row r="16" spans="1:9" ht="15.75" thickBot="1" x14ac:dyDescent="0.3">
      <c r="A16" s="2">
        <v>1025</v>
      </c>
      <c r="B16" s="3">
        <v>200</v>
      </c>
      <c r="C16" s="3">
        <v>0</v>
      </c>
      <c r="D16" s="3">
        <v>0.08</v>
      </c>
      <c r="E16" s="4">
        <v>0</v>
      </c>
      <c r="I16" t="s">
        <v>119</v>
      </c>
    </row>
    <row r="17" spans="1:9" ht="15.75" thickBot="1" x14ac:dyDescent="0.3">
      <c r="A17" s="2"/>
      <c r="B17" s="3"/>
      <c r="C17" s="3"/>
      <c r="D17" s="3"/>
      <c r="E17" s="4"/>
      <c r="I17" t="s">
        <v>120</v>
      </c>
    </row>
    <row r="18" spans="1:9" x14ac:dyDescent="0.25">
      <c r="A18" s="14"/>
      <c r="B18" s="15"/>
      <c r="C18" s="15"/>
      <c r="D18" s="15"/>
      <c r="E18" s="16"/>
      <c r="I18" t="s">
        <v>121</v>
      </c>
    </row>
    <row r="19" spans="1:9" x14ac:dyDescent="0.25">
      <c r="A19" s="14"/>
      <c r="B19" s="15"/>
      <c r="C19" s="15"/>
      <c r="D19" s="15"/>
      <c r="E19" s="16"/>
      <c r="I19" t="s">
        <v>122</v>
      </c>
    </row>
    <row r="20" spans="1:9" x14ac:dyDescent="0.25">
      <c r="A20" s="14"/>
      <c r="B20" s="15"/>
      <c r="C20" s="15"/>
      <c r="D20" s="15"/>
      <c r="E20" s="16"/>
      <c r="I20" t="s">
        <v>123</v>
      </c>
    </row>
    <row r="21" spans="1:9" x14ac:dyDescent="0.25">
      <c r="A21" s="14"/>
      <c r="B21" s="15"/>
      <c r="C21" s="15"/>
      <c r="D21" s="15"/>
      <c r="E21" s="16"/>
      <c r="I21" t="s">
        <v>124</v>
      </c>
    </row>
    <row r="22" spans="1:9" x14ac:dyDescent="0.25">
      <c r="A22" s="14"/>
      <c r="B22" s="15"/>
      <c r="C22" s="15"/>
      <c r="D22" s="15"/>
      <c r="E22" s="16"/>
      <c r="I22" t="s">
        <v>125</v>
      </c>
    </row>
    <row r="23" spans="1:9" x14ac:dyDescent="0.25">
      <c r="A23" s="14"/>
      <c r="B23" s="15"/>
      <c r="C23" s="15"/>
      <c r="D23" s="15"/>
      <c r="E23" s="16"/>
      <c r="I23" t="s">
        <v>126</v>
      </c>
    </row>
    <row r="24" spans="1:9" x14ac:dyDescent="0.25">
      <c r="A24" s="14"/>
      <c r="B24" s="15"/>
      <c r="C24" s="15"/>
      <c r="D24" s="15"/>
      <c r="E24" s="16"/>
      <c r="I24" t="s">
        <v>127</v>
      </c>
    </row>
    <row r="25" spans="1:9" x14ac:dyDescent="0.25">
      <c r="A25" s="14"/>
      <c r="B25" s="15"/>
      <c r="C25" s="15"/>
      <c r="D25" s="15"/>
      <c r="E25" s="16"/>
      <c r="I25" t="s">
        <v>128</v>
      </c>
    </row>
    <row r="26" spans="1:9" x14ac:dyDescent="0.25">
      <c r="A26" s="14"/>
      <c r="B26" s="15"/>
      <c r="C26" s="15"/>
      <c r="D26" s="15"/>
      <c r="E26" s="16"/>
      <c r="I26" t="s">
        <v>129</v>
      </c>
    </row>
    <row r="27" spans="1:9" x14ac:dyDescent="0.25">
      <c r="A27" s="14"/>
      <c r="B27" s="15"/>
      <c r="C27" s="15"/>
      <c r="D27" s="15"/>
      <c r="E27" s="16"/>
      <c r="I27" t="s">
        <v>130</v>
      </c>
    </row>
    <row r="28" spans="1:9" x14ac:dyDescent="0.25">
      <c r="A28" s="14"/>
      <c r="B28" s="15"/>
      <c r="C28" s="15"/>
      <c r="D28" s="15"/>
      <c r="E28" s="16"/>
      <c r="I28" t="s">
        <v>131</v>
      </c>
    </row>
    <row r="29" spans="1:9" x14ac:dyDescent="0.25">
      <c r="A29" s="14"/>
      <c r="B29" s="15"/>
      <c r="C29" s="15"/>
      <c r="D29" s="15"/>
      <c r="E29" s="16"/>
      <c r="I29" t="s">
        <v>132</v>
      </c>
    </row>
    <row r="30" spans="1:9" x14ac:dyDescent="0.25">
      <c r="A30" s="14"/>
      <c r="B30" s="15"/>
      <c r="C30" s="15"/>
      <c r="D30" s="15"/>
      <c r="E30" s="16"/>
      <c r="I30" t="s">
        <v>133</v>
      </c>
    </row>
    <row r="31" spans="1:9" x14ac:dyDescent="0.25">
      <c r="A31" s="14"/>
      <c r="B31" s="15"/>
      <c r="C31" s="15"/>
      <c r="D31" s="15"/>
      <c r="E31" s="16"/>
      <c r="I31" t="s">
        <v>134</v>
      </c>
    </row>
    <row r="32" spans="1:9" x14ac:dyDescent="0.25">
      <c r="A32" s="14"/>
      <c r="B32" s="15"/>
      <c r="C32" s="15"/>
      <c r="D32" s="15"/>
      <c r="E32" s="16"/>
      <c r="I32" t="s">
        <v>135</v>
      </c>
    </row>
    <row r="33" spans="1:9" x14ac:dyDescent="0.25">
      <c r="A33" s="14"/>
      <c r="B33" s="15"/>
      <c r="C33" s="15"/>
      <c r="D33" s="15"/>
      <c r="E33" s="16"/>
      <c r="I33" t="s">
        <v>136</v>
      </c>
    </row>
    <row r="34" spans="1:9" x14ac:dyDescent="0.25">
      <c r="A34" s="14"/>
      <c r="B34" s="15"/>
      <c r="C34" s="15"/>
      <c r="D34" s="15"/>
      <c r="E34" s="16"/>
      <c r="I34" t="s">
        <v>137</v>
      </c>
    </row>
    <row r="35" spans="1:9" x14ac:dyDescent="0.25">
      <c r="A35" s="14"/>
      <c r="B35" s="15"/>
      <c r="C35" s="15"/>
      <c r="D35" s="15"/>
      <c r="E35" s="16"/>
      <c r="I35" t="s">
        <v>138</v>
      </c>
    </row>
    <row r="36" spans="1:9" x14ac:dyDescent="0.25">
      <c r="A36" s="14"/>
      <c r="B36" s="15"/>
      <c r="C36" s="15"/>
      <c r="D36" s="15"/>
      <c r="E36" s="16"/>
      <c r="I36" t="s">
        <v>139</v>
      </c>
    </row>
    <row r="37" spans="1:9" x14ac:dyDescent="0.25">
      <c r="A37" s="14"/>
      <c r="B37" s="15"/>
      <c r="C37" s="15"/>
      <c r="D37" s="15"/>
      <c r="E37" s="16"/>
      <c r="I37" t="s">
        <v>140</v>
      </c>
    </row>
    <row r="38" spans="1:9" x14ac:dyDescent="0.25">
      <c r="A38" s="14"/>
      <c r="B38" s="15"/>
      <c r="C38" s="15"/>
      <c r="D38" s="15"/>
      <c r="E38" s="16"/>
      <c r="I38" t="s">
        <v>141</v>
      </c>
    </row>
    <row r="39" spans="1:9" x14ac:dyDescent="0.25">
      <c r="A39" s="14"/>
      <c r="B39" s="15"/>
      <c r="C39" s="15"/>
      <c r="D39" s="15"/>
      <c r="E39" s="16"/>
      <c r="I39" t="s">
        <v>142</v>
      </c>
    </row>
    <row r="40" spans="1:9" x14ac:dyDescent="0.25">
      <c r="I40" t="s">
        <v>143</v>
      </c>
    </row>
    <row r="41" spans="1:9" x14ac:dyDescent="0.25">
      <c r="I41" t="s">
        <v>144</v>
      </c>
    </row>
    <row r="42" spans="1:9" x14ac:dyDescent="0.25">
      <c r="I42" t="s">
        <v>145</v>
      </c>
    </row>
    <row r="43" spans="1:9" x14ac:dyDescent="0.25">
      <c r="I43" t="s">
        <v>146</v>
      </c>
    </row>
    <row r="44" spans="1:9" x14ac:dyDescent="0.25">
      <c r="I44" t="s">
        <v>147</v>
      </c>
    </row>
    <row r="45" spans="1:9" x14ac:dyDescent="0.25">
      <c r="I45" t="s">
        <v>148</v>
      </c>
    </row>
    <row r="46" spans="1:9" x14ac:dyDescent="0.25">
      <c r="I46" t="s">
        <v>149</v>
      </c>
    </row>
    <row r="47" spans="1:9" x14ac:dyDescent="0.25">
      <c r="I47" t="s">
        <v>150</v>
      </c>
    </row>
    <row r="48" spans="1:9" x14ac:dyDescent="0.25">
      <c r="I48" t="s">
        <v>57</v>
      </c>
    </row>
    <row r="49" spans="9:9" x14ac:dyDescent="0.25">
      <c r="I49" t="s">
        <v>152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to_json">
                <anchor moveWithCells="1" sizeWithCells="1">
                  <from>
                    <xdr:col>8</xdr:col>
                    <xdr:colOff>95250</xdr:colOff>
                    <xdr:row>0</xdr:row>
                    <xdr:rowOff>104775</xdr:rowOff>
                  </from>
                  <to>
                    <xdr:col>14</xdr:col>
                    <xdr:colOff>219075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filter_crv">
                <anchor moveWithCells="1" sizeWithCells="1">
                  <from>
                    <xdr:col>1</xdr:col>
                    <xdr:colOff>95250</xdr:colOff>
                    <xdr:row>5</xdr:row>
                    <xdr:rowOff>104775</xdr:rowOff>
                  </from>
                  <to>
                    <xdr:col>3</xdr:col>
                    <xdr:colOff>400050</xdr:colOff>
                    <xdr:row>7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9</vt:i4>
      </vt:variant>
    </vt:vector>
  </HeadingPairs>
  <TitlesOfParts>
    <vt:vector size="12" baseType="lpstr">
      <vt:lpstr>db_ESP_curves</vt:lpstr>
      <vt:lpstr>db_ESP_params</vt:lpstr>
      <vt:lpstr>process</vt:lpstr>
      <vt:lpstr>curve_filter_criteria</vt:lpstr>
      <vt:lpstr>db_ESP_curve_topleft</vt:lpstr>
      <vt:lpstr>db_ESP_params_topleft</vt:lpstr>
      <vt:lpstr>ID_</vt:lpstr>
      <vt:lpstr>num_col_</vt:lpstr>
      <vt:lpstr>one_curve_topleft</vt:lpstr>
      <vt:lpstr>report</vt:lpstr>
      <vt:lpstr>process!Извлечь</vt:lpstr>
      <vt:lpstr>process!Критерии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2020-05-20T19:18:17Z</dcterms:created>
  <dcterms:modified xsi:type="dcterms:W3CDTF">2020-06-02T14:43:47Z</dcterms:modified>
</cp:coreProperties>
</file>