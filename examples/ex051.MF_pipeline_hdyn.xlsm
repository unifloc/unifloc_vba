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95D9330-8F1D-4A0C-9272-DDED670B5E5D}" xr6:coauthVersionLast="45" xr6:coauthVersionMax="45" xr10:uidLastSave="{00000000-0000-0000-0000-000000000000}"/>
  <bookViews>
    <workbookView xWindow="-36855" yWindow="1350" windowWidth="34860" windowHeight="18705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exercise_pipeline!$H$40</definedName>
    <definedName name="calc_along_coord1" localSheetId="0">exercise_pipeline!$I$40</definedName>
    <definedName name="calc_flow_direction_" localSheetId="0">exercise_pipeline!$H$42</definedName>
    <definedName name="calc_flow_direction1_" localSheetId="0">exercise_pipeline!$I$42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exercise_pipeline!$H$41</definedName>
    <definedName name="flow_along_coord1" localSheetId="0">exercise_pipeline!$I$41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dyn" localSheetId="0">exercise_pipeline!$Q$21</definedName>
    <definedName name="hdyn_list_" localSheetId="0">exercise_pipeline!$V$18:$V$30</definedName>
    <definedName name="Hydr_corr_" localSheetId="0">exercise_pipeline!$H$27</definedName>
    <definedName name="inclinometry" localSheetId="0">exercise_pipeline!$B$48:$C$70</definedName>
    <definedName name="input_0" localSheetId="0">exercise_pipeline!$C$11:$C$32</definedName>
    <definedName name="input_1" localSheetId="0">exercise_pipeline!$C$38:$C$42</definedName>
    <definedName name="input_2" localSheetId="0">exercise_pipeline!$H$26:$H$32</definedName>
    <definedName name="input_3" localSheetId="0">exercise_pipeline!$H$39:$H$41</definedName>
    <definedName name="input_5" localSheetId="0">exercise_pipeline!$B$48:$C$70</definedName>
    <definedName name="input_6" localSheetId="0">exercise_pipeline!$E$48:$F$67</definedName>
    <definedName name="input_7" localSheetId="0">exercise_pipeline!$H$48:$I$67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gfree_list_" localSheetId="0">exercise_pipeline!$U$18:$U$30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exercise_pipeline!$H$39</definedName>
    <definedName name="tempm" localSheetId="0">exercise_pipeline!$H$39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I49" i="3"/>
  <c r="I48" i="3"/>
  <c r="I42" i="3"/>
  <c r="H42" i="3"/>
  <c r="Q22" i="3"/>
  <c r="E17" i="3"/>
  <c r="E16" i="3"/>
  <c r="E15" i="3"/>
  <c r="E14" i="3"/>
  <c r="E13" i="3"/>
  <c r="E12" i="3"/>
  <c r="E11" i="3"/>
  <c r="C35" i="3"/>
  <c r="W38" i="3" a="1"/>
  <c r="C34" i="3"/>
  <c r="G1" i="3"/>
  <c r="W38" i="3" l="1"/>
  <c r="K38" i="3" a="1"/>
  <c r="T56" i="3" l="1"/>
  <c r="U43" i="3"/>
  <c r="V43" i="3" s="1"/>
  <c r="U47" i="3"/>
  <c r="V47" i="3" s="1"/>
  <c r="T47" i="3"/>
  <c r="T59" i="3"/>
  <c r="T60" i="3"/>
  <c r="U41" i="3"/>
  <c r="V41" i="3" s="1"/>
  <c r="K38" i="3"/>
  <c r="T48" i="3"/>
  <c r="T49" i="3"/>
  <c r="U52" i="3"/>
  <c r="V52" i="3" s="1"/>
  <c r="U46" i="3"/>
  <c r="V46" i="3" s="1"/>
  <c r="T54" i="3"/>
  <c r="T52" i="3"/>
  <c r="U55" i="3"/>
  <c r="V55" i="3" s="1"/>
  <c r="U53" i="3"/>
  <c r="V53" i="3" s="1"/>
  <c r="U42" i="3"/>
  <c r="V42" i="3" s="1"/>
  <c r="U50" i="3"/>
  <c r="V50" i="3" s="1"/>
  <c r="U49" i="3"/>
  <c r="V49" i="3" s="1"/>
  <c r="U59" i="3"/>
  <c r="V59" i="3" s="1"/>
  <c r="U57" i="3"/>
  <c r="V57" i="3" s="1"/>
  <c r="T45" i="3"/>
  <c r="U51" i="3"/>
  <c r="V51" i="3" s="1"/>
  <c r="T43" i="3"/>
  <c r="T50" i="3"/>
  <c r="T55" i="3"/>
  <c r="T51" i="3"/>
  <c r="T53" i="3"/>
  <c r="U58" i="3"/>
  <c r="V58" i="3" s="1"/>
  <c r="U60" i="3"/>
  <c r="V60" i="3" s="1"/>
  <c r="T58" i="3"/>
  <c r="T42" i="3"/>
  <c r="T46" i="3"/>
  <c r="U45" i="3"/>
  <c r="V45" i="3" s="1"/>
  <c r="T41" i="3"/>
  <c r="U54" i="3"/>
  <c r="V54" i="3" s="1"/>
  <c r="U48" i="3"/>
  <c r="V48" i="3" s="1"/>
  <c r="T44" i="3"/>
  <c r="T57" i="3"/>
  <c r="U44" i="3"/>
  <c r="V44" i="3" s="1"/>
  <c r="U56" i="3"/>
  <c r="V56" i="3" s="1"/>
  <c r="Q21" i="3" a="1"/>
  <c r="Q2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8" authorId="0" shapeId="0" xr:uid="{F19132F2-40E7-4D10-8EE6-E9213C7F587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9" authorId="0" shapeId="0" xr:uid="{986C8585-E925-4D77-875B-24CE0E08C2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<sst xmlns="http://schemas.openxmlformats.org/spreadsheetml/2006/main" count="117" uniqueCount="92">
  <si>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</si>
  <si>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</si>
  <si>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</si>
  <si>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</si>
  <si>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</si>
  <si>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</si>
  <si>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</si>
  <si>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</si>
  <si>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</si>
  <si>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</si>
  <si>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</si>
  <si>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</si>
  <si>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</si>
  <si>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</si>
  <si>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</si>
  <si>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</si>
  <si>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</si>
  <si>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</si>
  <si>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</si>
  <si>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</si>
  <si>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</si>
  <si>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</si>
  <si>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</si>
  <si>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</si>
  <si>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</si>
  <si>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</si>
  <si>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</si>
  <si>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</si>
  <si>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</si>
  <si>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</si>
  <si>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</si>
  <si>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</si>
  <si>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</si>
  <si>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</si>
  <si>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</si>
  <si>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</si>
  <si>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</si>
  <si>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</si>
  <si>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</si>
  <si>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</si>
  <si>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</si>
  <si>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</si>
  <si>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</si>
  <si>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</si>
  <si>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</si>
  <si>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</si>
  <si>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</si>
  <si>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</si>
  <si>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</si>
  <si>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</si>
  <si>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</si>
  <si>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</si>
  <si>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</si>
  <si>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</si>
  <si>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</si>
  <si>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</si>
  <si>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</si>
  <si>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</si>
  <si>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</si>
  <si>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</si>
  <si>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</si>
  <si>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</si>
  <si>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</si>
  <si>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</si>
  <si>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</si>
  <si>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</si>
  <si>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</si>
  <si>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</si>
  <si>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</si>
  <si>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</si>
  <si>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</si>
  <si>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</si>
  <si>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</si>
  <si>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</si>
  <si>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</si>
  <si>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</si>
  <si>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</si>
  <si>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</si>
  <si>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</si>
  <si>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</si>
  <si>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</si>
  <si>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</si>
  <si>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</si>
  <si>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</si>
  <si>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</si>
  <si>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PVT строка газ</t>
  </si>
  <si>
    <t>Расчет газа сверху вниз</t>
  </si>
  <si>
    <t>Hdyn</t>
  </si>
  <si>
    <t>Pann</t>
  </si>
  <si>
    <t>m</t>
  </si>
  <si>
    <t>Qgfree</t>
  </si>
  <si>
    <t>Hdyn compare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</si>
</sst>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 applyBorder="1"/>
    <xf numFmtId="0" fontId="0" fillId="0" borderId="1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7" xfId="0" applyNumberFormat="1" applyBorder="1"/>
    <xf numFmtId="1" fontId="0" fillId="0" borderId="9" xfId="0" applyNumberFormat="1" applyBorder="1" applyAlignment="1">
      <alignment horizontal="center"/>
    </xf>
    <xf numFmtId="1" fontId="0" fillId="0" borderId="10" xfId="0" applyNumberFormat="1" applyBorder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66FF"/>
      <color rgb="FF33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exercise_pipeline!$T$41:$T$60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exercise_pipeline!$M$41:$M$60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4-4759-926E-97DEB8FC2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exercise_pipeline!$V$41:$V$60</c:f>
              <c:numCache>
                <c:formatCode>General</c:formatCode>
                <c:ptCount val="20"/>
                <c:pt idx="0">
                  <c:v>3.7499999999999999E-2</c:v>
                </c:pt>
                <c:pt idx="1">
                  <c:v>3.7499999999999999E-2</c:v>
                </c:pt>
                <c:pt idx="2">
                  <c:v>3.7499999999999999E-2</c:v>
                </c:pt>
                <c:pt idx="3">
                  <c:v>3.7499999999999999E-2</c:v>
                </c:pt>
                <c:pt idx="4">
                  <c:v>3.7499999999999999E-2</c:v>
                </c:pt>
                <c:pt idx="5">
                  <c:v>3.7499999999999999E-2</c:v>
                </c:pt>
                <c:pt idx="6">
                  <c:v>3.7499999999999999E-2</c:v>
                </c:pt>
                <c:pt idx="7">
                  <c:v>3.7499999999999999E-2</c:v>
                </c:pt>
                <c:pt idx="8">
                  <c:v>3.7499999999999999E-2</c:v>
                </c:pt>
                <c:pt idx="9">
                  <c:v>3.7499999999999999E-2</c:v>
                </c:pt>
                <c:pt idx="10">
                  <c:v>3.7499999999999999E-2</c:v>
                </c:pt>
                <c:pt idx="11">
                  <c:v>3.7499999999999999E-2</c:v>
                </c:pt>
                <c:pt idx="12">
                  <c:v>3.7499999999999999E-2</c:v>
                </c:pt>
                <c:pt idx="13">
                  <c:v>3.7499999999999999E-2</c:v>
                </c:pt>
                <c:pt idx="14">
                  <c:v>3.7499999999999999E-2</c:v>
                </c:pt>
                <c:pt idx="15">
                  <c:v>3.7499999999999999E-2</c:v>
                </c:pt>
                <c:pt idx="16">
                  <c:v>3.7499999999999999E-2</c:v>
                </c:pt>
                <c:pt idx="17">
                  <c:v>3.7499999999999999E-2</c:v>
                </c:pt>
                <c:pt idx="18">
                  <c:v>3.7499999999999999E-2</c:v>
                </c:pt>
                <c:pt idx="19">
                  <c:v>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A-4975-814A-8B59D87A5392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exercise_pipeline!$U$41:$U$60</c:f>
              <c:numCache>
                <c:formatCode>General</c:formatCode>
                <c:ptCount val="20"/>
                <c:pt idx="0">
                  <c:v>-3.7499999999999999E-2</c:v>
                </c:pt>
                <c:pt idx="1">
                  <c:v>-3.7499999999999999E-2</c:v>
                </c:pt>
                <c:pt idx="2">
                  <c:v>-3.7499999999999999E-2</c:v>
                </c:pt>
                <c:pt idx="3">
                  <c:v>-3.7499999999999999E-2</c:v>
                </c:pt>
                <c:pt idx="4">
                  <c:v>-3.7499999999999999E-2</c:v>
                </c:pt>
                <c:pt idx="5">
                  <c:v>-3.7499999999999999E-2</c:v>
                </c:pt>
                <c:pt idx="6">
                  <c:v>-3.7499999999999999E-2</c:v>
                </c:pt>
                <c:pt idx="7">
                  <c:v>-3.7499999999999999E-2</c:v>
                </c:pt>
                <c:pt idx="8">
                  <c:v>-3.7499999999999999E-2</c:v>
                </c:pt>
                <c:pt idx="9">
                  <c:v>-3.7499999999999999E-2</c:v>
                </c:pt>
                <c:pt idx="10">
                  <c:v>-3.7499999999999999E-2</c:v>
                </c:pt>
                <c:pt idx="11">
                  <c:v>-3.7499999999999999E-2</c:v>
                </c:pt>
                <c:pt idx="12">
                  <c:v>-3.7499999999999999E-2</c:v>
                </c:pt>
                <c:pt idx="13">
                  <c:v>-3.7499999999999999E-2</c:v>
                </c:pt>
                <c:pt idx="14">
                  <c:v>-3.7499999999999999E-2</c:v>
                </c:pt>
                <c:pt idx="15">
                  <c:v>-3.7499999999999999E-2</c:v>
                </c:pt>
                <c:pt idx="16">
                  <c:v>-3.7499999999999999E-2</c:v>
                </c:pt>
                <c:pt idx="17">
                  <c:v>-3.7499999999999999E-2</c:v>
                </c:pt>
                <c:pt idx="18">
                  <c:v>-3.7499999999999999E-2</c:v>
                </c:pt>
                <c:pt idx="19">
                  <c:v>-7.0000000000000007E-2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A-4975-814A-8B59D87A5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exercise_pipeline!$N$41:$N$60</c:f>
              <c:numCache>
                <c:formatCode>0</c:formatCode>
                <c:ptCount val="20"/>
                <c:pt idx="0">
                  <c:v>16.051663251134549</c:v>
                </c:pt>
                <c:pt idx="1">
                  <c:v>17.335595924405247</c:v>
                </c:pt>
                <c:pt idx="2">
                  <c:v>18.691388814319851</c:v>
                </c:pt>
                <c:pt idx="3">
                  <c:v>20.122729047721425</c:v>
                </c:pt>
                <c:pt idx="4">
                  <c:v>21.646775826479974</c:v>
                </c:pt>
                <c:pt idx="5">
                  <c:v>23.257745105387905</c:v>
                </c:pt>
                <c:pt idx="6">
                  <c:v>24.956948555837485</c:v>
                </c:pt>
                <c:pt idx="7">
                  <c:v>26.756762689215087</c:v>
                </c:pt>
                <c:pt idx="8">
                  <c:v>28.61336002549141</c:v>
                </c:pt>
                <c:pt idx="9">
                  <c:v>30.508968822845176</c:v>
                </c:pt>
                <c:pt idx="10">
                  <c:v>32.453790513129363</c:v>
                </c:pt>
                <c:pt idx="11">
                  <c:v>34.439448112589417</c:v>
                </c:pt>
                <c:pt idx="12">
                  <c:v>36.454262208344403</c:v>
                </c:pt>
                <c:pt idx="13">
                  <c:v>38.46794022454533</c:v>
                </c:pt>
                <c:pt idx="14">
                  <c:v>40.460578263068847</c:v>
                </c:pt>
                <c:pt idx="15">
                  <c:v>42.429200512029183</c:v>
                </c:pt>
                <c:pt idx="16">
                  <c:v>44.368599136378734</c:v>
                </c:pt>
                <c:pt idx="17">
                  <c:v>46.269973879280457</c:v>
                </c:pt>
                <c:pt idx="18">
                  <c:v>48.134498383606619</c:v>
                </c:pt>
                <c:pt idx="19">
                  <c:v>50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E0-4ABC-9E72-176E0579318D}"/>
            </c:ext>
          </c:extLst>
        </c:ser>
        <c:ser>
          <c:idx val="1"/>
          <c:order val="1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exercise_pipeline!$Z$41:$Z$60</c:f>
              <c:numCache>
                <c:formatCode>0</c:formatCode>
                <c:ptCount val="20"/>
                <c:pt idx="0">
                  <c:v>8.1480921006786389</c:v>
                </c:pt>
                <c:pt idx="1">
                  <c:v>8.2526606168468142</c:v>
                </c:pt>
                <c:pt idx="2">
                  <c:v>8.358036675615006</c:v>
                </c:pt>
                <c:pt idx="3">
                  <c:v>8.4642229376196276</c:v>
                </c:pt>
                <c:pt idx="4">
                  <c:v>8.5713536081634185</c:v>
                </c:pt>
                <c:pt idx="5">
                  <c:v>8.6793268953278027</c:v>
                </c:pt>
                <c:pt idx="6">
                  <c:v>8.7881192148911698</c:v>
                </c:pt>
                <c:pt idx="7">
                  <c:v>8.8976026801674148</c:v>
                </c:pt>
                <c:pt idx="8">
                  <c:v>9.0053074397733681</c:v>
                </c:pt>
                <c:pt idx="9">
                  <c:v>9.1106196012592768</c:v>
                </c:pt>
                <c:pt idx="10">
                  <c:v>9.2138792650836425</c:v>
                </c:pt>
                <c:pt idx="11">
                  <c:v>9.3148153740505162</c:v>
                </c:pt>
                <c:pt idx="12">
                  <c:v>9.4134381602900028</c:v>
                </c:pt>
                <c:pt idx="13">
                  <c:v>9.5085038851172037</c:v>
                </c:pt>
                <c:pt idx="14">
                  <c:v>9.5993577466497069</c:v>
                </c:pt>
                <c:pt idx="15">
                  <c:v>9.6865876042835719</c:v>
                </c:pt>
                <c:pt idx="16">
                  <c:v>9.7701837026779863</c:v>
                </c:pt>
                <c:pt idx="17">
                  <c:v>9.8498137845136675</c:v>
                </c:pt>
                <c:pt idx="18">
                  <c:v>9.9261245665179114</c:v>
                </c:pt>
                <c:pt idx="19">
                  <c:v>10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0-4ABC-9E72-176E05793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exercise_pipeline!$O$41:$O$60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61-4A2A-8900-3BC55BE924E7}"/>
            </c:ext>
          </c:extLst>
        </c:ser>
        <c:ser>
          <c:idx val="1"/>
          <c:order val="1"/>
          <c:tx>
            <c:strRef>
              <c:f>exercise_pipeline!$R$40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exercise_pipeline!$R$41:$R$60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61-4A2A-8900-3BC55BE924E7}"/>
            </c:ext>
          </c:extLst>
        </c:ser>
        <c:ser>
          <c:idx val="2"/>
          <c:order val="2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exercise_pipeline!$AA$41:$AA$60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61-4A2A-8900-3BC55BE92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exercise_pipeline!$V$17</c:f>
              <c:strCache>
                <c:ptCount val="1"/>
                <c:pt idx="0">
                  <c:v>Hdyn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exercise_pipeline!$V$18:$V$30</c:f>
              <c:numCache>
                <c:formatCode>0</c:formatCode>
                <c:ptCount val="13"/>
                <c:pt idx="0">
                  <c:v>1840.1339616783209</c:v>
                </c:pt>
                <c:pt idx="1">
                  <c:v>1577.8150609527081</c:v>
                </c:pt>
                <c:pt idx="2">
                  <c:v>1267.9150334697576</c:v>
                </c:pt>
                <c:pt idx="3">
                  <c:v>954.1923789259198</c:v>
                </c:pt>
                <c:pt idx="4">
                  <c:v>649.63139332835135</c:v>
                </c:pt>
                <c:pt idx="5">
                  <c:v>340.80285469969641</c:v>
                </c:pt>
                <c:pt idx="6">
                  <c:v>56.879260698967116</c:v>
                </c:pt>
                <c:pt idx="7">
                  <c:v>-157.45017451612412</c:v>
                </c:pt>
                <c:pt idx="8">
                  <c:v>-336.85812260923058</c:v>
                </c:pt>
                <c:pt idx="9">
                  <c:v>-493.65720615697558</c:v>
                </c:pt>
                <c:pt idx="10">
                  <c:v>-634.3960768374003</c:v>
                </c:pt>
                <c:pt idx="11">
                  <c:v>-762.94508228607583</c:v>
                </c:pt>
                <c:pt idx="12">
                  <c:v>-881.78326106107556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0B-4377-A4B1-F3339B7FBBE2}"/>
            </c:ext>
          </c:extLst>
        </c:ser>
        <c:ser>
          <c:idx val="1"/>
          <c:order val="1"/>
          <c:tx>
            <c:strRef>
              <c:f>exercise_pipeline!$W$17</c:f>
              <c:strCache>
                <c:ptCount val="1"/>
                <c:pt idx="0">
                  <c:v>Hdyn compare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exercise_pipeline!$W$18:$W$30</c:f>
              <c:numCache>
                <c:formatCode>0</c:formatCode>
                <c:ptCount val="13"/>
                <c:pt idx="0">
                  <c:v>1976.7217794248572</c:v>
                </c:pt>
                <c:pt idx="1">
                  <c:v>1811.5710349489218</c:v>
                </c:pt>
                <c:pt idx="2">
                  <c:v>1663.1966050934211</c:v>
                </c:pt>
                <c:pt idx="3">
                  <c:v>1465.9073194156322</c:v>
                </c:pt>
                <c:pt idx="4">
                  <c:v>1244.4920159946951</c:v>
                </c:pt>
                <c:pt idx="5">
                  <c:v>1019.4121482122216</c:v>
                </c:pt>
                <c:pt idx="6">
                  <c:v>822.22491810099154</c:v>
                </c:pt>
                <c:pt idx="7">
                  <c:v>670.64478540716675</c:v>
                </c:pt>
                <c:pt idx="8">
                  <c:v>523.48759766180171</c:v>
                </c:pt>
                <c:pt idx="9">
                  <c:v>379.68159873296662</c:v>
                </c:pt>
                <c:pt idx="10">
                  <c:v>239.05017055782304</c:v>
                </c:pt>
                <c:pt idx="11">
                  <c:v>102.96216419773359</c:v>
                </c:pt>
                <c:pt idx="12">
                  <c:v>-27.06368918504786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0B-4377-A4B1-F3339B7F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423151"/>
        <c:axId val="1702919055"/>
      </c:scatterChart>
      <c:valAx>
        <c:axId val="1687423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Qg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19055"/>
        <c:crosses val="autoZero"/>
        <c:crossBetween val="midCat"/>
      </c:valAx>
      <c:valAx>
        <c:axId val="170291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exercise_pipeline!$Q$21</c:f>
              <c:strCache>
                <c:ptCount val="1"/>
                <c:pt idx="0">
                  <c:v>-882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7423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60</xdr:row>
      <xdr:rowOff>73678</xdr:rowOff>
    </xdr:from>
    <xdr:to>
      <xdr:col>15</xdr:col>
      <xdr:colOff>259416</xdr:colOff>
      <xdr:row>84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60</xdr:row>
      <xdr:rowOff>62471</xdr:rowOff>
    </xdr:from>
    <xdr:to>
      <xdr:col>19</xdr:col>
      <xdr:colOff>526676</xdr:colOff>
      <xdr:row>84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605447</xdr:colOff>
      <xdr:row>60</xdr:row>
      <xdr:rowOff>56591</xdr:rowOff>
    </xdr:from>
    <xdr:to>
      <xdr:col>25</xdr:col>
      <xdr:colOff>273981</xdr:colOff>
      <xdr:row>84</xdr:row>
      <xdr:rowOff>32779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326090</xdr:colOff>
      <xdr:row>60</xdr:row>
      <xdr:rowOff>80682</xdr:rowOff>
    </xdr:from>
    <xdr:to>
      <xdr:col>31</xdr:col>
      <xdr:colOff>2800</xdr:colOff>
      <xdr:row>84</xdr:row>
      <xdr:rowOff>56870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462641</xdr:colOff>
      <xdr:row>8</xdr:row>
      <xdr:rowOff>36735</xdr:rowOff>
    </xdr:from>
    <xdr:to>
      <xdr:col>31</xdr:col>
      <xdr:colOff>65066</xdr:colOff>
      <xdr:row>28</xdr:row>
      <xdr:rowOff>20451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5612994" y="1560735"/>
          <a:ext cx="3838248" cy="4320392"/>
          <a:chOff x="15593785" y="1914521"/>
          <a:chExt cx="3888675" cy="4432722"/>
        </a:xfrm>
      </xdr:grpSpPr>
      <xdr:sp macro="" textlink="">
        <xdr:nvSpPr>
          <xdr:cNvPr id="7" name="Цилиндр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19540499">
            <a:off x="16450015" y="3211546"/>
            <a:ext cx="748422" cy="3135697"/>
          </a:xfrm>
          <a:prstGeom prst="can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Цилиндр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5607392" y="1914521"/>
            <a:ext cx="1217573" cy="1974784"/>
          </a:xfrm>
          <a:prstGeom prst="can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 rot="16200000">
            <a:off x="18376663" y="5022667"/>
            <a:ext cx="258844" cy="1952751"/>
            <a:chOff x="5095875" y="1104900"/>
            <a:chExt cx="276225" cy="2038350"/>
          </a:xfrm>
        </xdr:grpSpPr>
        <xdr:sp macro="" textlink="">
          <xdr:nvSpPr>
            <xdr:cNvPr id="17" name="Цилиндр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" name="Стрелка: вверх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0" name="Группа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 rot="19540499">
            <a:off x="16794646" y="3609757"/>
            <a:ext cx="291995" cy="2675605"/>
            <a:chOff x="5095875" y="1104900"/>
            <a:chExt cx="276225" cy="2038350"/>
          </a:xfrm>
        </xdr:grpSpPr>
        <xdr:sp macro="" textlink="">
          <xdr:nvSpPr>
            <xdr:cNvPr id="15" name="Цилиндр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" name="Стрелка: вверх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1" name="Группа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16007225" y="1982557"/>
            <a:ext cx="463955" cy="1974784"/>
            <a:chOff x="5095875" y="1104900"/>
            <a:chExt cx="276225" cy="2038350"/>
          </a:xfrm>
        </xdr:grpSpPr>
        <xdr:sp macro="" textlink="">
          <xdr:nvSpPr>
            <xdr:cNvPr id="13" name="Цилиндр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" name="Стрелка: вверх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" name="Цилиндр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593785" y="2735036"/>
            <a:ext cx="1217573" cy="1167876"/>
          </a:xfrm>
          <a:prstGeom prst="can">
            <a:avLst/>
          </a:prstGeom>
          <a:solidFill>
            <a:srgbClr val="0066FF">
              <a:alpha val="20392"/>
            </a:srgb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16</xdr:row>
      <xdr:rowOff>54429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402231" y="56030"/>
          <a:ext cx="4923195" cy="33226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Моделирутся поток в межтрубном пространстве. 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при нулевом дебите жидкости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распределения давления в трубе сверху вниз для столба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величину динамического уровня - уровня на котором пересекаются кривые распределения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динамического уровня от расхода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938986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Будут сформулированы дополнительно?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1" name="Стрелка: влево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676275</xdr:colOff>
          <xdr:row>16</xdr:row>
          <xdr:rowOff>104775</xdr:rowOff>
        </xdr:from>
        <xdr:to>
          <xdr:col>17</xdr:col>
          <xdr:colOff>466725</xdr:colOff>
          <xdr:row>19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кривую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381001</xdr:colOff>
      <xdr:row>16</xdr:row>
      <xdr:rowOff>17930</xdr:rowOff>
    </xdr:from>
    <xdr:to>
      <xdr:col>39</xdr:col>
      <xdr:colOff>330573</xdr:colOff>
      <xdr:row>30</xdr:row>
      <xdr:rowOff>134471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C8D96-B33A-4553-87BE-CE108D131129}">
  <sheetPr codeName="Worksheet____3"/>
  <dimension ref="A1:AE70"/>
  <sheetViews>
    <sheetView tabSelected="1" topLeftCell="A7" zoomScale="85" zoomScaleNormal="85" workbookViewId="0">
      <selection activeCell="Q28" sqref="Q28"/>
    </sheetView>
  </sheetViews>
  <sheetFormatPr defaultRowHeight="15" x14ac:dyDescent="0.25"/>
  <cols>
    <col min="7" max="7" width="11" customWidth="1"/>
    <col min="9" max="9" width="10.42578125" customWidth="1"/>
    <col min="11" max="11" width="12.140625" bestFit="1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58</v>
      </c>
      <c r="I1" s="33">
        <v>43984</v>
      </c>
      <c r="J1" s="34"/>
      <c r="K1" s="34"/>
      <c r="L1" s="34"/>
    </row>
    <row r="2" spans="1:12" x14ac:dyDescent="0.25">
      <c r="A2" t="s">
        <v>72</v>
      </c>
      <c r="H2" t="s">
        <v>59</v>
      </c>
      <c r="I2" s="35">
        <v>7.25</v>
      </c>
      <c r="J2" s="34"/>
      <c r="K2" s="34"/>
      <c r="L2" s="34"/>
    </row>
    <row r="3" spans="1:12" x14ac:dyDescent="0.25">
      <c r="A3" s="36" t="s">
        <v>60</v>
      </c>
      <c r="B3" s="66" t="s">
        <v>61</v>
      </c>
      <c r="C3" s="67"/>
      <c r="D3" s="67"/>
      <c r="E3" s="68"/>
      <c r="H3" t="s">
        <v>62</v>
      </c>
      <c r="I3" s="34" t="s">
        <v>61</v>
      </c>
      <c r="J3" s="34"/>
      <c r="K3" s="34"/>
      <c r="L3" s="34"/>
    </row>
    <row r="4" spans="1:12" x14ac:dyDescent="0.25">
      <c r="A4" s="36" t="s">
        <v>63</v>
      </c>
      <c r="B4" s="66" t="s">
        <v>64</v>
      </c>
      <c r="C4" s="67"/>
      <c r="D4" s="67"/>
      <c r="E4" s="68"/>
      <c r="H4" t="s">
        <v>65</v>
      </c>
      <c r="I4" s="34" t="s">
        <v>64</v>
      </c>
      <c r="J4" s="34"/>
      <c r="K4" s="34"/>
      <c r="L4" s="34"/>
    </row>
    <row r="5" spans="1:12" x14ac:dyDescent="0.25">
      <c r="A5" s="36" t="s">
        <v>66</v>
      </c>
      <c r="B5" s="66" t="s">
        <v>67</v>
      </c>
      <c r="C5" s="67"/>
      <c r="D5" s="67"/>
      <c r="E5" s="68"/>
      <c r="H5" t="s">
        <v>68</v>
      </c>
      <c r="I5" s="34" t="s">
        <v>67</v>
      </c>
      <c r="J5" s="34"/>
      <c r="K5" s="34"/>
      <c r="L5" s="34"/>
    </row>
    <row r="6" spans="1:12" x14ac:dyDescent="0.25">
      <c r="A6" s="37" t="s">
        <v>69</v>
      </c>
      <c r="B6" s="69" t="s">
        <v>70</v>
      </c>
      <c r="C6" s="70"/>
      <c r="D6" s="70"/>
      <c r="E6" s="71"/>
      <c r="H6" s="38" t="s">
        <v>71</v>
      </c>
      <c r="I6" s="39" t="s">
        <v>70</v>
      </c>
      <c r="J6" s="39"/>
      <c r="K6" s="39"/>
      <c r="L6" s="39"/>
    </row>
    <row r="7" spans="1:12" x14ac:dyDescent="0.25">
      <c r="A7" s="40"/>
      <c r="B7" s="72"/>
      <c r="C7" s="73"/>
      <c r="D7" s="73"/>
      <c r="E7" s="74"/>
      <c r="H7" s="38"/>
      <c r="I7" s="39"/>
      <c r="J7" s="39"/>
      <c r="K7" s="39"/>
      <c r="L7" s="39"/>
    </row>
    <row r="8" spans="1:12" x14ac:dyDescent="0.25">
      <c r="A8" s="41"/>
      <c r="B8" s="75"/>
      <c r="C8" s="76"/>
      <c r="D8" s="76"/>
      <c r="E8" s="77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150</v>
      </c>
      <c r="D14" s="6" t="s">
        <v>8</v>
      </c>
      <c r="E14" s="8">
        <f>Rsb_/gamma_oil_</f>
        <v>172.41379310344828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172.41379310344828</v>
      </c>
      <c r="F15" s="6" t="s">
        <v>9</v>
      </c>
    </row>
    <row r="16" spans="1:12" ht="18" x14ac:dyDescent="0.35">
      <c r="B16" s="6" t="s">
        <v>11</v>
      </c>
      <c r="C16" s="3">
        <v>100</v>
      </c>
      <c r="D16" s="4" t="s">
        <v>12</v>
      </c>
      <c r="E16" s="8">
        <f>Pb_*1.01325</f>
        <v>101.325</v>
      </c>
      <c r="F16" s="4" t="s">
        <v>13</v>
      </c>
    </row>
    <row r="17" spans="1:23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  <c r="U17" s="54" t="s">
        <v>90</v>
      </c>
      <c r="V17" s="55" t="s">
        <v>87</v>
      </c>
      <c r="W17" s="56" t="s">
        <v>91</v>
      </c>
    </row>
    <row r="18" spans="1:23" ht="18.75" x14ac:dyDescent="0.35">
      <c r="B18" s="7" t="s">
        <v>17</v>
      </c>
      <c r="C18" s="3">
        <v>1.2</v>
      </c>
      <c r="D18" s="6" t="s">
        <v>8</v>
      </c>
      <c r="U18" s="57">
        <v>0</v>
      </c>
      <c r="V18" s="59">
        <v>1840.1339616783209</v>
      </c>
      <c r="W18" s="60">
        <v>1976.7217794248572</v>
      </c>
    </row>
    <row r="19" spans="1:23" ht="18" x14ac:dyDescent="0.35">
      <c r="B19" s="9" t="s">
        <v>18</v>
      </c>
      <c r="C19" s="3">
        <v>1</v>
      </c>
      <c r="D19" s="4" t="s">
        <v>19</v>
      </c>
      <c r="U19" s="57">
        <v>1000</v>
      </c>
      <c r="V19" s="59">
        <v>1577.8150609527081</v>
      </c>
      <c r="W19" s="60">
        <v>1811.5710349489218</v>
      </c>
    </row>
    <row r="20" spans="1:23" x14ac:dyDescent="0.25">
      <c r="A20" s="1" t="s">
        <v>73</v>
      </c>
      <c r="U20" s="57">
        <v>2000</v>
      </c>
      <c r="V20" s="59">
        <v>1267.9150334697576</v>
      </c>
      <c r="W20" s="60">
        <v>1663.1966050934211</v>
      </c>
    </row>
    <row r="21" spans="1:23" ht="18" x14ac:dyDescent="0.35">
      <c r="B21" s="9" t="s">
        <v>74</v>
      </c>
      <c r="C21" s="3">
        <v>0</v>
      </c>
      <c r="D21" s="6"/>
      <c r="P21" t="s">
        <v>87</v>
      </c>
      <c r="Q21" s="20" cm="1">
        <f t="array" ref="Q21">[1]!crv_intersection(L41:L60,N41:N60,X41:X60,Z41:Z60)</f>
        <v>-881.78326106107556</v>
      </c>
      <c r="R21" t="s">
        <v>89</v>
      </c>
      <c r="U21" s="57">
        <v>3000</v>
      </c>
      <c r="V21" s="59">
        <v>954.1923789259198</v>
      </c>
      <c r="W21" s="60">
        <v>1465.9073194156322</v>
      </c>
    </row>
    <row r="22" spans="1:23" ht="18" x14ac:dyDescent="0.35">
      <c r="B22" s="9" t="s">
        <v>75</v>
      </c>
      <c r="C22" s="3">
        <v>50</v>
      </c>
      <c r="D22" s="4" t="s">
        <v>12</v>
      </c>
      <c r="P22" t="s">
        <v>88</v>
      </c>
      <c r="Q22">
        <f>P0</f>
        <v>10</v>
      </c>
      <c r="U22" s="57">
        <v>4000</v>
      </c>
      <c r="V22" s="59">
        <v>649.63139332835135</v>
      </c>
      <c r="W22" s="60">
        <v>1244.4920159946951</v>
      </c>
    </row>
    <row r="23" spans="1:23" ht="18" x14ac:dyDescent="0.35">
      <c r="B23" s="9" t="s">
        <v>76</v>
      </c>
      <c r="C23" s="3">
        <v>30</v>
      </c>
      <c r="D23" s="4" t="s">
        <v>15</v>
      </c>
      <c r="U23" s="57">
        <v>5000</v>
      </c>
      <c r="V23" s="59">
        <v>340.80285469969641</v>
      </c>
      <c r="W23" s="60">
        <v>1019.4121482122216</v>
      </c>
    </row>
    <row r="24" spans="1:23" x14ac:dyDescent="0.25">
      <c r="A24" s="1" t="s">
        <v>20</v>
      </c>
      <c r="U24" s="57">
        <v>6000</v>
      </c>
      <c r="V24" s="59">
        <v>56.879260698967116</v>
      </c>
      <c r="W24" s="60">
        <v>822.22491810099154</v>
      </c>
    </row>
    <row r="25" spans="1:23" ht="15.75" x14ac:dyDescent="0.3">
      <c r="B25" s="9" t="s">
        <v>21</v>
      </c>
      <c r="C25" s="3">
        <v>0</v>
      </c>
      <c r="D25" s="6" t="s">
        <v>22</v>
      </c>
      <c r="U25" s="57">
        <v>7000</v>
      </c>
      <c r="V25" s="59">
        <v>-157.45017451612412</v>
      </c>
      <c r="W25" s="60">
        <v>670.64478540716675</v>
      </c>
    </row>
    <row r="26" spans="1:23" ht="18" x14ac:dyDescent="0.35">
      <c r="B26" s="9" t="s">
        <v>49</v>
      </c>
      <c r="C26" s="3">
        <v>12000</v>
      </c>
      <c r="D26" s="6" t="s">
        <v>50</v>
      </c>
      <c r="F26" s="63" t="s">
        <v>77</v>
      </c>
      <c r="G26" s="64"/>
      <c r="H26" s="3">
        <v>0</v>
      </c>
      <c r="U26" s="57">
        <v>8000</v>
      </c>
      <c r="V26" s="59">
        <v>-336.85812260923058</v>
      </c>
      <c r="W26" s="60">
        <v>523.48759766180171</v>
      </c>
    </row>
    <row r="27" spans="1:23" ht="15.75" customHeight="1" x14ac:dyDescent="0.3">
      <c r="B27" s="9" t="s">
        <v>23</v>
      </c>
      <c r="C27" s="3">
        <v>50</v>
      </c>
      <c r="D27" s="4" t="s">
        <v>24</v>
      </c>
      <c r="F27" s="63" t="s">
        <v>78</v>
      </c>
      <c r="G27" s="64"/>
      <c r="H27" s="3">
        <v>0</v>
      </c>
      <c r="U27" s="57">
        <v>9000</v>
      </c>
      <c r="V27" s="59">
        <v>-493.65720615697558</v>
      </c>
      <c r="W27" s="60">
        <v>379.68159873296662</v>
      </c>
    </row>
    <row r="28" spans="1:23" ht="15" customHeight="1" x14ac:dyDescent="0.25">
      <c r="A28" s="48" t="s">
        <v>25</v>
      </c>
      <c r="B28" s="10"/>
      <c r="F28" s="63" t="s">
        <v>79</v>
      </c>
      <c r="G28" s="64"/>
      <c r="H28" s="3">
        <v>0</v>
      </c>
      <c r="U28" s="57">
        <v>10000</v>
      </c>
      <c r="V28" s="59">
        <v>-634.3960768374003</v>
      </c>
      <c r="W28" s="60">
        <v>239.05017055782304</v>
      </c>
    </row>
    <row r="29" spans="1:23" ht="15" customHeight="1" x14ac:dyDescent="0.25">
      <c r="B29" s="9" t="s">
        <v>28</v>
      </c>
      <c r="C29" s="3">
        <v>10</v>
      </c>
      <c r="D29" s="6" t="s">
        <v>12</v>
      </c>
      <c r="F29" s="63" t="s">
        <v>80</v>
      </c>
      <c r="G29" s="64"/>
      <c r="H29" s="3">
        <v>0</v>
      </c>
      <c r="U29" s="57">
        <v>11000</v>
      </c>
      <c r="V29" s="59">
        <v>-762.94508228607583</v>
      </c>
      <c r="W29" s="60">
        <v>102.96216419773359</v>
      </c>
    </row>
    <row r="30" spans="1:23" x14ac:dyDescent="0.25">
      <c r="B30" s="9" t="s">
        <v>29</v>
      </c>
      <c r="C30" s="42">
        <v>50</v>
      </c>
      <c r="D30" s="6" t="s">
        <v>12</v>
      </c>
      <c r="F30" s="65" t="s">
        <v>81</v>
      </c>
      <c r="G30" s="65"/>
      <c r="U30" s="58">
        <v>12000</v>
      </c>
      <c r="V30" s="61">
        <v>-881.78326106107556</v>
      </c>
      <c r="W30" s="62">
        <v>-27.06368918504786</v>
      </c>
    </row>
    <row r="31" spans="1:23" ht="15" customHeight="1" x14ac:dyDescent="0.25">
      <c r="B31" s="9" t="s">
        <v>30</v>
      </c>
      <c r="C31" s="3">
        <v>50</v>
      </c>
      <c r="D31" s="6" t="s">
        <v>31</v>
      </c>
      <c r="F31" s="63" t="s">
        <v>82</v>
      </c>
      <c r="G31" s="64"/>
      <c r="H31" s="3">
        <v>1</v>
      </c>
    </row>
    <row r="32" spans="1:23" ht="15" customHeight="1" x14ac:dyDescent="0.25">
      <c r="B32" s="9" t="s">
        <v>32</v>
      </c>
      <c r="C32" s="3">
        <v>50</v>
      </c>
      <c r="D32" s="6" t="s">
        <v>31</v>
      </c>
      <c r="F32" s="63" t="s">
        <v>83</v>
      </c>
      <c r="G32" s="64"/>
      <c r="H32" s="3">
        <v>1</v>
      </c>
    </row>
    <row r="34" spans="1:31" ht="26.25" customHeight="1" x14ac:dyDescent="0.25">
      <c r="B34" s="11" t="s">
        <v>85</v>
      </c>
      <c r="C34" s="12" t="str">
        <f>[1]!PVT_encode_string(gamma_gas_,gamma_oil_,gamma_wat_,Rsb_,Rp_,Pb_,Tres_,Bob_,muob_,PVT_corr_,Ksep,Psep,Tsep,gas_only_)</f>
        <v>{"gamma_gas":0.8,"gamma_oil":0.87,"gamma_wat":1,"rsb_m3m3":150,"rp_m3m3":150,"pb_atma":100,"t_res_C":100,"bob_m3m3":1.2,"muob_cP":1,"PVTcorr":0,"ksep_fr":0,"p_ksep_atma":50,"t_ksep_C":30}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5" spans="1:31" ht="25.5" customHeight="1" x14ac:dyDescent="0.25">
      <c r="B35" s="11" t="s">
        <v>33</v>
      </c>
      <c r="C35" s="53" t="str">
        <f>[1]!PVT_encode_string(gamma_gas_,gamma_oil_,gamma_wat_,Rsb_,Rp_,Pb_,Tres_,Bob_,muob_,PVT_corr_,Ksep,Psep,Tsep,1)</f>
        <v>{"gamma_gas":0.8,"gamma_oil":0.87,"gamma_wat":1,"rsb_m3m3":150,"rp_m3m3":150,"pb_atma":100,"t_res_C":100,"bob_m3m3":1.2,"muob_cP":1,"PVTcorr":0,"ksep_fr":0,"p_ksep_atma":50,"t_ksep_C":30,"gas_only":true}</v>
      </c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</row>
    <row r="37" spans="1:31" x14ac:dyDescent="0.25">
      <c r="A37" s="49" t="s">
        <v>34</v>
      </c>
      <c r="B37" s="50"/>
      <c r="C37" s="50"/>
      <c r="D37" s="50"/>
      <c r="F37" s="13" t="s">
        <v>53</v>
      </c>
      <c r="G37" s="14"/>
      <c r="H37" s="14"/>
      <c r="K37" t="s">
        <v>55</v>
      </c>
      <c r="W37" t="s">
        <v>86</v>
      </c>
    </row>
    <row r="38" spans="1:31" ht="18" x14ac:dyDescent="0.35">
      <c r="B38" s="6" t="s">
        <v>35</v>
      </c>
      <c r="C38" s="51">
        <v>3500</v>
      </c>
      <c r="D38" s="52" t="s">
        <v>26</v>
      </c>
      <c r="K38" s="32" cm="1">
        <f t="array" ref="K38:S60">[1]!MF_p_pipeline_atma(P1_,T1_,E48:F55,B48:C64,H48:I54,qliq_,fw_,Qgas_free,PVTstr_,calc_flow_direction_,Hydr_corr_,temp_model)</f>
        <v>16.051663251134549</v>
      </c>
      <c r="L38" s="23">
        <v>20</v>
      </c>
      <c r="M38" s="23">
        <v>16.051663251134549</v>
      </c>
      <c r="N38" s="23">
        <v>20</v>
      </c>
      <c r="O38" s="23">
        <v>50</v>
      </c>
      <c r="P38" s="23">
        <v>75.92</v>
      </c>
      <c r="Q38" s="23">
        <v>1</v>
      </c>
      <c r="R38" s="23">
        <v>1</v>
      </c>
      <c r="S38" s="24">
        <v>12015</v>
      </c>
      <c r="T38" s="14"/>
      <c r="U38" s="14"/>
      <c r="V38" s="14"/>
      <c r="W38" s="32" cm="1">
        <f t="array" ref="W38:AE60">[1]!MF_p_pipeline_atma(P0,T0,E48:F55,B48:C64,H48:I54,qliq_,fw_,Qgas_free,C35,calc_flow_direction1_,Hydr_corr_,temp_model)</f>
        <v>8.1480921006786389</v>
      </c>
      <c r="X38" s="23">
        <v>20</v>
      </c>
      <c r="Y38" s="23">
        <v>8.1480921006786389</v>
      </c>
      <c r="Z38" s="23">
        <v>20</v>
      </c>
      <c r="AA38" s="23">
        <v>10</v>
      </c>
      <c r="AB38" s="23">
        <v>75.92</v>
      </c>
      <c r="AC38" s="23">
        <v>1</v>
      </c>
      <c r="AD38" s="23">
        <v>1</v>
      </c>
      <c r="AE38" s="24">
        <v>12015</v>
      </c>
    </row>
    <row r="39" spans="1:31" ht="18" customHeight="1" x14ac:dyDescent="0.35">
      <c r="B39" s="6" t="s">
        <v>36</v>
      </c>
      <c r="C39" s="51">
        <v>2500</v>
      </c>
      <c r="D39" s="52" t="s">
        <v>37</v>
      </c>
      <c r="F39" s="45"/>
      <c r="G39" s="46" t="s">
        <v>48</v>
      </c>
      <c r="H39" s="3">
        <v>1</v>
      </c>
      <c r="K39" s="25" t="str">
        <v>p_result_atma</v>
      </c>
      <c r="L39" s="26" t="str">
        <v>t_result_C</v>
      </c>
      <c r="M39" s="26" t="str">
        <v>p_1, atma</v>
      </c>
      <c r="N39" s="26" t="str">
        <v>t_1, C</v>
      </c>
      <c r="O39" s="26" t="str">
        <v>p_2, atma</v>
      </c>
      <c r="P39" s="26" t="str">
        <v>t_2, C</v>
      </c>
      <c r="Q39" s="26" t="str">
        <v>c_calibr_grav</v>
      </c>
      <c r="R39" s="26" t="str">
        <v>c_calibr_fric</v>
      </c>
      <c r="S39" s="27" t="str">
        <v>q_gas_sm3day</v>
      </c>
      <c r="T39" s="14"/>
      <c r="U39" s="14"/>
      <c r="V39" s="14"/>
      <c r="W39" s="25" t="str">
        <v>p_result_atma</v>
      </c>
      <c r="X39" s="26" t="str">
        <v>t_result_C</v>
      </c>
      <c r="Y39" s="26" t="str">
        <v>p_1, atma</v>
      </c>
      <c r="Z39" s="26" t="str">
        <v>t_1, C</v>
      </c>
      <c r="AA39" s="26" t="str">
        <v>p_2, atma</v>
      </c>
      <c r="AB39" s="26" t="str">
        <v>t_2, C</v>
      </c>
      <c r="AC39" s="26" t="str">
        <v>c_calibr_grav</v>
      </c>
      <c r="AD39" s="26" t="str">
        <v>c_calibr_fric</v>
      </c>
      <c r="AE39" s="27" t="str">
        <v>q_gas_sm3day</v>
      </c>
    </row>
    <row r="40" spans="1:31" ht="18" customHeight="1" x14ac:dyDescent="0.35">
      <c r="B40" s="6" t="s">
        <v>38</v>
      </c>
      <c r="C40" s="51">
        <v>140</v>
      </c>
      <c r="D40" s="52" t="s">
        <v>27</v>
      </c>
      <c r="F40" s="45"/>
      <c r="G40" s="46" t="s">
        <v>46</v>
      </c>
      <c r="H40" s="3">
        <v>0</v>
      </c>
      <c r="I40" s="3">
        <v>1</v>
      </c>
      <c r="K40" s="25" t="str">
        <v>num</v>
      </c>
      <c r="L40" s="26" t="str">
        <v>h,m</v>
      </c>
      <c r="M40" s="26" t="str">
        <v>hvert,m</v>
      </c>
      <c r="N40" s="26" t="str">
        <v>p,atma</v>
      </c>
      <c r="O40" s="26" t="str">
        <v>t,C</v>
      </c>
      <c r="P40" s="26" t="str">
        <v>Hl</v>
      </c>
      <c r="Q40" s="26" t="str">
        <v>fpat</v>
      </c>
      <c r="R40" s="26" t="str">
        <v>t_amb, C</v>
      </c>
      <c r="S40" s="27" t="str">
        <v>diam, m</v>
      </c>
      <c r="T40" s="43" t="s">
        <v>52</v>
      </c>
      <c r="U40" s="43" t="s">
        <v>56</v>
      </c>
      <c r="V40" s="43" t="s">
        <v>57</v>
      </c>
      <c r="W40" s="25" t="str">
        <v>num</v>
      </c>
      <c r="X40" s="26" t="str">
        <v>h,m</v>
      </c>
      <c r="Y40" s="26" t="str">
        <v>hvert,m</v>
      </c>
      <c r="Z40" s="26" t="str">
        <v>p,atma</v>
      </c>
      <c r="AA40" s="26" t="str">
        <v>t,C</v>
      </c>
      <c r="AB40" s="26" t="str">
        <v>Hl</v>
      </c>
      <c r="AC40" s="26" t="str">
        <v>fpat</v>
      </c>
      <c r="AD40" s="26" t="str">
        <v>t_amb, C</v>
      </c>
      <c r="AE40" s="27" t="str">
        <v>diam, m</v>
      </c>
    </row>
    <row r="41" spans="1:31" ht="18" customHeight="1" x14ac:dyDescent="0.35">
      <c r="B41" s="6" t="s">
        <v>39</v>
      </c>
      <c r="C41" s="51">
        <v>65</v>
      </c>
      <c r="D41" s="52" t="s">
        <v>27</v>
      </c>
      <c r="F41" s="45"/>
      <c r="G41" s="46" t="s">
        <v>47</v>
      </c>
      <c r="H41" s="3">
        <v>0</v>
      </c>
      <c r="I41" s="3">
        <v>1</v>
      </c>
      <c r="K41" s="25">
        <v>1</v>
      </c>
      <c r="L41" s="28">
        <v>0</v>
      </c>
      <c r="M41" s="28">
        <v>0</v>
      </c>
      <c r="N41" s="28">
        <v>16.051663251134549</v>
      </c>
      <c r="O41" s="28">
        <v>20</v>
      </c>
      <c r="P41" s="28">
        <v>0.17302822760123859</v>
      </c>
      <c r="Q41" s="28">
        <v>103</v>
      </c>
      <c r="R41" s="28">
        <v>20</v>
      </c>
      <c r="S41" s="27">
        <v>7.4999999999999997E-2</v>
      </c>
      <c r="T41" s="44">
        <f t="shared" ref="T41:T60" si="0">L41-M41</f>
        <v>0</v>
      </c>
      <c r="U41" s="43">
        <f t="shared" ref="U41:U60" si="1">-S41/2</f>
        <v>-3.7499999999999999E-2</v>
      </c>
      <c r="V41" s="43">
        <f>-U41</f>
        <v>3.7499999999999999E-2</v>
      </c>
      <c r="W41" s="25">
        <v>1</v>
      </c>
      <c r="X41" s="28">
        <v>0</v>
      </c>
      <c r="Y41" s="28">
        <v>0</v>
      </c>
      <c r="Z41" s="28">
        <v>8.1480921006786389</v>
      </c>
      <c r="AA41" s="28">
        <v>20</v>
      </c>
      <c r="AB41" s="28">
        <v>0</v>
      </c>
      <c r="AC41" s="28">
        <v>101</v>
      </c>
      <c r="AD41" s="28">
        <v>20</v>
      </c>
      <c r="AE41" s="27">
        <v>7.4999999999999997E-2</v>
      </c>
    </row>
    <row r="42" spans="1:31" ht="18" customHeight="1" x14ac:dyDescent="0.35">
      <c r="B42" s="6" t="s">
        <v>40</v>
      </c>
      <c r="C42" s="51">
        <v>12</v>
      </c>
      <c r="D42" s="52" t="s">
        <v>27</v>
      </c>
      <c r="F42" s="45"/>
      <c r="G42" s="47" t="s">
        <v>84</v>
      </c>
      <c r="H42" s="5">
        <f>calc_along_coord*10+flow_along_coord</f>
        <v>0</v>
      </c>
      <c r="I42" s="5">
        <f>calc_along_coord*10+flow_along_coord</f>
        <v>0</v>
      </c>
      <c r="K42" s="25">
        <v>2</v>
      </c>
      <c r="L42" s="28">
        <v>131.57894736842104</v>
      </c>
      <c r="M42" s="28">
        <v>131.57894736842104</v>
      </c>
      <c r="N42" s="28">
        <v>17.335595924405247</v>
      </c>
      <c r="O42" s="28">
        <v>21.315789473684209</v>
      </c>
      <c r="P42" s="28">
        <v>0.17806022436229346</v>
      </c>
      <c r="Q42" s="28">
        <v>103</v>
      </c>
      <c r="R42" s="28">
        <v>21.315789473684209</v>
      </c>
      <c r="S42" s="27">
        <v>7.4999999999999997E-2</v>
      </c>
      <c r="T42" s="44">
        <f t="shared" si="0"/>
        <v>0</v>
      </c>
      <c r="U42" s="43">
        <f t="shared" si="1"/>
        <v>-3.7499999999999999E-2</v>
      </c>
      <c r="V42" s="43">
        <f t="shared" ref="V42:V60" si="2">-U42</f>
        <v>3.7499999999999999E-2</v>
      </c>
      <c r="W42" s="25">
        <v>2</v>
      </c>
      <c r="X42" s="28">
        <v>131.57894736842104</v>
      </c>
      <c r="Y42" s="28">
        <v>131.57894736842104</v>
      </c>
      <c r="Z42" s="28">
        <v>8.2526606168468142</v>
      </c>
      <c r="AA42" s="28">
        <v>21.315789473684209</v>
      </c>
      <c r="AB42" s="28">
        <v>0</v>
      </c>
      <c r="AC42" s="28">
        <v>101</v>
      </c>
      <c r="AD42" s="28">
        <v>21.315789473684209</v>
      </c>
      <c r="AE42" s="27">
        <v>7.4999999999999997E-2</v>
      </c>
    </row>
    <row r="43" spans="1:31" x14ac:dyDescent="0.25">
      <c r="G43" s="10"/>
      <c r="K43" s="25">
        <v>3</v>
      </c>
      <c r="L43" s="28">
        <v>263.15789473684208</v>
      </c>
      <c r="M43" s="28">
        <v>263.15789473684208</v>
      </c>
      <c r="N43" s="28">
        <v>18.691388814319851</v>
      </c>
      <c r="O43" s="28">
        <v>22.631578947368421</v>
      </c>
      <c r="P43" s="28">
        <v>0.18332449206249157</v>
      </c>
      <c r="Q43" s="28">
        <v>103</v>
      </c>
      <c r="R43" s="28">
        <v>22.631578947368421</v>
      </c>
      <c r="S43" s="27">
        <v>7.4999999999999997E-2</v>
      </c>
      <c r="T43" s="44">
        <f t="shared" si="0"/>
        <v>0</v>
      </c>
      <c r="U43" s="43">
        <f t="shared" si="1"/>
        <v>-3.7499999999999999E-2</v>
      </c>
      <c r="V43" s="43">
        <f t="shared" si="2"/>
        <v>3.7499999999999999E-2</v>
      </c>
      <c r="W43" s="25">
        <v>3</v>
      </c>
      <c r="X43" s="28">
        <v>263.15789473684208</v>
      </c>
      <c r="Y43" s="28">
        <v>263.15789473684208</v>
      </c>
      <c r="Z43" s="28">
        <v>8.358036675615006</v>
      </c>
      <c r="AA43" s="28">
        <v>22.631578947368421</v>
      </c>
      <c r="AB43" s="28">
        <v>0</v>
      </c>
      <c r="AC43" s="28">
        <v>101</v>
      </c>
      <c r="AD43" s="28">
        <v>22.631578947368421</v>
      </c>
      <c r="AE43" s="27">
        <v>7.4999999999999997E-2</v>
      </c>
    </row>
    <row r="44" spans="1:31" x14ac:dyDescent="0.25">
      <c r="G44" s="10"/>
      <c r="K44" s="25">
        <v>4</v>
      </c>
      <c r="L44" s="28">
        <v>394.73684210526312</v>
      </c>
      <c r="M44" s="28">
        <v>394.73684210526312</v>
      </c>
      <c r="N44" s="28">
        <v>20.122729047721425</v>
      </c>
      <c r="O44" s="28">
        <v>23.94736842105263</v>
      </c>
      <c r="P44" s="28">
        <v>0.18883022690004853</v>
      </c>
      <c r="Q44" s="28">
        <v>103</v>
      </c>
      <c r="R44" s="28">
        <v>23.94736842105263</v>
      </c>
      <c r="S44" s="27">
        <v>7.4999999999999997E-2</v>
      </c>
      <c r="T44" s="44">
        <f t="shared" si="0"/>
        <v>0</v>
      </c>
      <c r="U44" s="43">
        <f t="shared" si="1"/>
        <v>-3.7499999999999999E-2</v>
      </c>
      <c r="V44" s="43">
        <f t="shared" si="2"/>
        <v>3.7499999999999999E-2</v>
      </c>
      <c r="W44" s="25">
        <v>4</v>
      </c>
      <c r="X44" s="28">
        <v>394.73684210526312</v>
      </c>
      <c r="Y44" s="28">
        <v>394.73684210526312</v>
      </c>
      <c r="Z44" s="28">
        <v>8.4642229376196276</v>
      </c>
      <c r="AA44" s="28">
        <v>23.94736842105263</v>
      </c>
      <c r="AB44" s="28">
        <v>0</v>
      </c>
      <c r="AC44" s="28">
        <v>101</v>
      </c>
      <c r="AD44" s="28">
        <v>23.94736842105263</v>
      </c>
      <c r="AE44" s="27">
        <v>7.4999999999999997E-2</v>
      </c>
    </row>
    <row r="45" spans="1:31" x14ac:dyDescent="0.25">
      <c r="B45" s="50" t="s">
        <v>41</v>
      </c>
      <c r="C45" s="50"/>
      <c r="E45" t="s">
        <v>54</v>
      </c>
      <c r="G45" s="10"/>
      <c r="H45" t="s">
        <v>51</v>
      </c>
      <c r="I45" s="10"/>
      <c r="K45" s="25">
        <v>5</v>
      </c>
      <c r="L45" s="28">
        <v>526.31578947368416</v>
      </c>
      <c r="M45" s="28">
        <v>526.31578947368416</v>
      </c>
      <c r="N45" s="28">
        <v>21.646775826479974</v>
      </c>
      <c r="O45" s="28">
        <v>25.263157894736842</v>
      </c>
      <c r="P45" s="28">
        <v>0.19462820473969822</v>
      </c>
      <c r="Q45" s="28">
        <v>103</v>
      </c>
      <c r="R45" s="28">
        <v>25.263157894736842</v>
      </c>
      <c r="S45" s="27">
        <v>7.4999999999999997E-2</v>
      </c>
      <c r="T45" s="44">
        <f t="shared" si="0"/>
        <v>0</v>
      </c>
      <c r="U45" s="43">
        <f t="shared" si="1"/>
        <v>-3.7499999999999999E-2</v>
      </c>
      <c r="V45" s="43">
        <f t="shared" si="2"/>
        <v>3.7499999999999999E-2</v>
      </c>
      <c r="W45" s="25">
        <v>5</v>
      </c>
      <c r="X45" s="28">
        <v>526.31578947368416</v>
      </c>
      <c r="Y45" s="28">
        <v>526.31578947368416</v>
      </c>
      <c r="Z45" s="28">
        <v>8.5713536081634185</v>
      </c>
      <c r="AA45" s="28">
        <v>25.263157894736842</v>
      </c>
      <c r="AB45" s="28">
        <v>0</v>
      </c>
      <c r="AC45" s="28">
        <v>101</v>
      </c>
      <c r="AD45" s="28">
        <v>25.263157894736842</v>
      </c>
      <c r="AE45" s="27">
        <v>7.4999999999999997E-2</v>
      </c>
    </row>
    <row r="46" spans="1:31" ht="18" x14ac:dyDescent="0.35">
      <c r="B46" s="17" t="s">
        <v>42</v>
      </c>
      <c r="C46" s="17" t="s">
        <v>43</v>
      </c>
      <c r="E46" s="17" t="s">
        <v>43</v>
      </c>
      <c r="F46" s="17" t="s">
        <v>44</v>
      </c>
      <c r="G46" s="10"/>
      <c r="H46" s="17" t="s">
        <v>42</v>
      </c>
      <c r="I46" s="15" t="s">
        <v>45</v>
      </c>
      <c r="K46" s="25">
        <v>6</v>
      </c>
      <c r="L46" s="28">
        <v>657.8947368421052</v>
      </c>
      <c r="M46" s="28">
        <v>657.8947368421052</v>
      </c>
      <c r="N46" s="28">
        <v>23.257745105387905</v>
      </c>
      <c r="O46" s="28">
        <v>26.578947368421051</v>
      </c>
      <c r="P46" s="28">
        <v>0.20069614659509605</v>
      </c>
      <c r="Q46" s="28">
        <v>103</v>
      </c>
      <c r="R46" s="28">
        <v>26.578947368421051</v>
      </c>
      <c r="S46" s="27">
        <v>7.4999999999999997E-2</v>
      </c>
      <c r="T46" s="44">
        <f t="shared" si="0"/>
        <v>0</v>
      </c>
      <c r="U46" s="43">
        <f t="shared" si="1"/>
        <v>-3.7499999999999999E-2</v>
      </c>
      <c r="V46" s="43">
        <f t="shared" si="2"/>
        <v>3.7499999999999999E-2</v>
      </c>
      <c r="W46" s="25">
        <v>6</v>
      </c>
      <c r="X46" s="28">
        <v>657.8947368421052</v>
      </c>
      <c r="Y46" s="28">
        <v>657.8947368421052</v>
      </c>
      <c r="Z46" s="28">
        <v>8.6793268953278027</v>
      </c>
      <c r="AA46" s="28">
        <v>26.578947368421051</v>
      </c>
      <c r="AB46" s="28">
        <v>0</v>
      </c>
      <c r="AC46" s="28">
        <v>101</v>
      </c>
      <c r="AD46" s="28">
        <v>26.578947368421051</v>
      </c>
      <c r="AE46" s="27">
        <v>7.4999999999999997E-2</v>
      </c>
    </row>
    <row r="47" spans="1:31" x14ac:dyDescent="0.25">
      <c r="B47" s="17" t="s">
        <v>26</v>
      </c>
      <c r="C47" s="17" t="s">
        <v>26</v>
      </c>
      <c r="E47" s="17" t="s">
        <v>26</v>
      </c>
      <c r="F47" s="17" t="s">
        <v>37</v>
      </c>
      <c r="G47" s="10"/>
      <c r="H47" s="17" t="s">
        <v>26</v>
      </c>
      <c r="I47" s="17" t="s">
        <v>27</v>
      </c>
      <c r="K47" s="25">
        <v>7</v>
      </c>
      <c r="L47" s="28">
        <v>789.47368421052624</v>
      </c>
      <c r="M47" s="28">
        <v>789.47368421052624</v>
      </c>
      <c r="N47" s="28">
        <v>24.956948555837485</v>
      </c>
      <c r="O47" s="28">
        <v>27.894736842105264</v>
      </c>
      <c r="P47" s="28">
        <v>0.20703417852735306</v>
      </c>
      <c r="Q47" s="28">
        <v>103</v>
      </c>
      <c r="R47" s="28">
        <v>27.894736842105264</v>
      </c>
      <c r="S47" s="27">
        <v>7.4999999999999997E-2</v>
      </c>
      <c r="T47" s="44">
        <f t="shared" si="0"/>
        <v>0</v>
      </c>
      <c r="U47" s="43">
        <f t="shared" si="1"/>
        <v>-3.7499999999999999E-2</v>
      </c>
      <c r="V47" s="43">
        <f t="shared" si="2"/>
        <v>3.7499999999999999E-2</v>
      </c>
      <c r="W47" s="25">
        <v>7</v>
      </c>
      <c r="X47" s="28">
        <v>789.47368421052624</v>
      </c>
      <c r="Y47" s="28">
        <v>789.47368421052624</v>
      </c>
      <c r="Z47" s="28">
        <v>8.7881192148911698</v>
      </c>
      <c r="AA47" s="28">
        <v>27.894736842105264</v>
      </c>
      <c r="AB47" s="28">
        <v>0</v>
      </c>
      <c r="AC47" s="28">
        <v>101</v>
      </c>
      <c r="AD47" s="28">
        <v>27.894736842105264</v>
      </c>
      <c r="AE47" s="27">
        <v>7.4999999999999997E-2</v>
      </c>
    </row>
    <row r="48" spans="1:31" x14ac:dyDescent="0.25">
      <c r="B48" s="16">
        <v>0</v>
      </c>
      <c r="C48" s="16">
        <v>0</v>
      </c>
      <c r="E48" s="18">
        <v>0</v>
      </c>
      <c r="F48" s="18">
        <v>20</v>
      </c>
      <c r="G48" s="10"/>
      <c r="H48" s="18">
        <v>0</v>
      </c>
      <c r="I48" s="19">
        <f>C40-C41</f>
        <v>75</v>
      </c>
      <c r="K48" s="25">
        <v>8</v>
      </c>
      <c r="L48" s="28">
        <v>921.05263157894728</v>
      </c>
      <c r="M48" s="28">
        <v>921.05263157894728</v>
      </c>
      <c r="N48" s="28">
        <v>26.756762689215087</v>
      </c>
      <c r="O48" s="28">
        <v>29.210526315789473</v>
      </c>
      <c r="P48" s="28">
        <v>0.21367111996868388</v>
      </c>
      <c r="Q48" s="28">
        <v>103</v>
      </c>
      <c r="R48" s="28">
        <v>29.210526315789473</v>
      </c>
      <c r="S48" s="27">
        <v>7.4999999999999997E-2</v>
      </c>
      <c r="T48" s="44">
        <f t="shared" si="0"/>
        <v>0</v>
      </c>
      <c r="U48" s="43">
        <f t="shared" si="1"/>
        <v>-3.7499999999999999E-2</v>
      </c>
      <c r="V48" s="43">
        <f t="shared" si="2"/>
        <v>3.7499999999999999E-2</v>
      </c>
      <c r="W48" s="25">
        <v>8</v>
      </c>
      <c r="X48" s="28">
        <v>921.05263157894728</v>
      </c>
      <c r="Y48" s="28">
        <v>921.05263157894728</v>
      </c>
      <c r="Z48" s="28">
        <v>8.8976026801674148</v>
      </c>
      <c r="AA48" s="28">
        <v>29.210526315789473</v>
      </c>
      <c r="AB48" s="28">
        <v>0</v>
      </c>
      <c r="AC48" s="28">
        <v>101</v>
      </c>
      <c r="AD48" s="28">
        <v>29.210526315789473</v>
      </c>
      <c r="AE48" s="27">
        <v>7.4999999999999997E-2</v>
      </c>
    </row>
    <row r="49" spans="2:31" x14ac:dyDescent="0.25">
      <c r="B49" s="16">
        <v>1000</v>
      </c>
      <c r="C49" s="16">
        <v>1000</v>
      </c>
      <c r="E49" s="18">
        <v>1500</v>
      </c>
      <c r="F49" s="18">
        <v>35</v>
      </c>
      <c r="G49" s="10"/>
      <c r="H49" s="18">
        <v>2500</v>
      </c>
      <c r="I49" s="19">
        <f>C40</f>
        <v>140</v>
      </c>
      <c r="K49" s="25">
        <v>9</v>
      </c>
      <c r="L49" s="28">
        <v>1052.6315789473683</v>
      </c>
      <c r="M49" s="28">
        <v>1050.5263157894735</v>
      </c>
      <c r="N49" s="28">
        <v>28.61336002549141</v>
      </c>
      <c r="O49" s="28">
        <v>30.505263157894735</v>
      </c>
      <c r="P49" s="28">
        <v>0.22043992278144903</v>
      </c>
      <c r="Q49" s="28">
        <v>103</v>
      </c>
      <c r="R49" s="28">
        <v>30.505263157894735</v>
      </c>
      <c r="S49" s="27">
        <v>7.4999999999999997E-2</v>
      </c>
      <c r="T49" s="44">
        <f t="shared" si="0"/>
        <v>2.1052631578947967</v>
      </c>
      <c r="U49" s="43">
        <f t="shared" si="1"/>
        <v>-3.7499999999999999E-2</v>
      </c>
      <c r="V49" s="43">
        <f t="shared" si="2"/>
        <v>3.7499999999999999E-2</v>
      </c>
      <c r="W49" s="25">
        <v>9</v>
      </c>
      <c r="X49" s="28">
        <v>1052.6315789473683</v>
      </c>
      <c r="Y49" s="28">
        <v>1050.5263157894735</v>
      </c>
      <c r="Z49" s="28">
        <v>9.0053074397733681</v>
      </c>
      <c r="AA49" s="28">
        <v>30.505263157894735</v>
      </c>
      <c r="AB49" s="28">
        <v>0</v>
      </c>
      <c r="AC49" s="28">
        <v>101</v>
      </c>
      <c r="AD49" s="28">
        <v>30.505263157894735</v>
      </c>
      <c r="AE49" s="27">
        <v>7.4999999999999997E-2</v>
      </c>
    </row>
    <row r="50" spans="2:31" x14ac:dyDescent="0.25">
      <c r="B50" s="16">
        <v>1100</v>
      </c>
      <c r="C50" s="16">
        <v>1096</v>
      </c>
      <c r="E50" s="18">
        <v>2500</v>
      </c>
      <c r="F50" s="18">
        <v>90</v>
      </c>
      <c r="G50" s="10"/>
      <c r="H50" s="18">
        <v>4000</v>
      </c>
      <c r="I50" s="19">
        <f>I49</f>
        <v>140</v>
      </c>
      <c r="K50" s="25">
        <v>10</v>
      </c>
      <c r="L50" s="28">
        <v>1184.2105263157894</v>
      </c>
      <c r="M50" s="28">
        <v>1176</v>
      </c>
      <c r="N50" s="28">
        <v>30.508968822845176</v>
      </c>
      <c r="O50" s="28">
        <v>31.759999999999998</v>
      </c>
      <c r="P50" s="28">
        <v>0.22728223636276529</v>
      </c>
      <c r="Q50" s="28">
        <v>103</v>
      </c>
      <c r="R50" s="28">
        <v>31.759999999999998</v>
      </c>
      <c r="S50" s="27">
        <v>7.4999999999999997E-2</v>
      </c>
      <c r="T50" s="44">
        <f t="shared" si="0"/>
        <v>8.210526315789366</v>
      </c>
      <c r="U50" s="43">
        <f t="shared" si="1"/>
        <v>-3.7499999999999999E-2</v>
      </c>
      <c r="V50" s="43">
        <f t="shared" si="2"/>
        <v>3.7499999999999999E-2</v>
      </c>
      <c r="W50" s="25">
        <v>10</v>
      </c>
      <c r="X50" s="28">
        <v>1184.2105263157894</v>
      </c>
      <c r="Y50" s="28">
        <v>1176</v>
      </c>
      <c r="Z50" s="28">
        <v>9.1106196012592768</v>
      </c>
      <c r="AA50" s="28">
        <v>31.759999999999998</v>
      </c>
      <c r="AB50" s="28">
        <v>0</v>
      </c>
      <c r="AC50" s="28">
        <v>101</v>
      </c>
      <c r="AD50" s="28">
        <v>31.759999999999998</v>
      </c>
      <c r="AE50" s="27">
        <v>7.4999999999999997E-2</v>
      </c>
    </row>
    <row r="51" spans="2:31" x14ac:dyDescent="0.25">
      <c r="B51" s="16">
        <v>1200</v>
      </c>
      <c r="C51" s="16">
        <v>1191</v>
      </c>
      <c r="E51" s="18"/>
      <c r="F51" s="18"/>
      <c r="G51" s="10"/>
      <c r="H51" s="18"/>
      <c r="I51" s="18"/>
      <c r="K51" s="25">
        <v>11</v>
      </c>
      <c r="L51" s="28">
        <v>1315.7894736842104</v>
      </c>
      <c r="M51" s="28">
        <v>1298.3684210526314</v>
      </c>
      <c r="N51" s="28">
        <v>32.453790513129363</v>
      </c>
      <c r="O51" s="28">
        <v>32.98368421052632</v>
      </c>
      <c r="P51" s="28">
        <v>0.23422297984836143</v>
      </c>
      <c r="Q51" s="28">
        <v>103</v>
      </c>
      <c r="R51" s="28">
        <v>32.98368421052632</v>
      </c>
      <c r="S51" s="27">
        <v>7.4999999999999997E-2</v>
      </c>
      <c r="T51" s="44">
        <f t="shared" si="0"/>
        <v>17.421052631578959</v>
      </c>
      <c r="U51" s="43">
        <f t="shared" si="1"/>
        <v>-3.7499999999999999E-2</v>
      </c>
      <c r="V51" s="43">
        <f t="shared" si="2"/>
        <v>3.7499999999999999E-2</v>
      </c>
      <c r="W51" s="25">
        <v>11</v>
      </c>
      <c r="X51" s="28">
        <v>1315.7894736842104</v>
      </c>
      <c r="Y51" s="28">
        <v>1298.3684210526314</v>
      </c>
      <c r="Z51" s="28">
        <v>9.2138792650836425</v>
      </c>
      <c r="AA51" s="28">
        <v>32.98368421052632</v>
      </c>
      <c r="AB51" s="28">
        <v>0</v>
      </c>
      <c r="AC51" s="28">
        <v>101</v>
      </c>
      <c r="AD51" s="28">
        <v>32.98368421052632</v>
      </c>
      <c r="AE51" s="27">
        <v>7.4999999999999997E-2</v>
      </c>
    </row>
    <row r="52" spans="2:31" x14ac:dyDescent="0.25">
      <c r="B52" s="16">
        <v>1300</v>
      </c>
      <c r="C52" s="16">
        <v>1284</v>
      </c>
      <c r="E52" s="18"/>
      <c r="F52" s="18"/>
      <c r="G52" s="10"/>
      <c r="H52" s="18"/>
      <c r="I52" s="18"/>
      <c r="K52" s="25">
        <v>12</v>
      </c>
      <c r="L52" s="28">
        <v>1447.3684210526314</v>
      </c>
      <c r="M52" s="28">
        <v>1417.1578947368421</v>
      </c>
      <c r="N52" s="28">
        <v>34.439448112589417</v>
      </c>
      <c r="O52" s="28">
        <v>34.171578947368417</v>
      </c>
      <c r="P52" s="28">
        <v>0.24122964131586358</v>
      </c>
      <c r="Q52" s="28">
        <v>103</v>
      </c>
      <c r="R52" s="28">
        <v>34.171578947368417</v>
      </c>
      <c r="S52" s="27">
        <v>7.4999999999999997E-2</v>
      </c>
      <c r="T52" s="44">
        <f t="shared" si="0"/>
        <v>30.210526315789366</v>
      </c>
      <c r="U52" s="43">
        <f t="shared" si="1"/>
        <v>-3.7499999999999999E-2</v>
      </c>
      <c r="V52" s="43">
        <f t="shared" si="2"/>
        <v>3.7499999999999999E-2</v>
      </c>
      <c r="W52" s="25">
        <v>12</v>
      </c>
      <c r="X52" s="28">
        <v>1447.3684210526314</v>
      </c>
      <c r="Y52" s="28">
        <v>1417.1578947368421</v>
      </c>
      <c r="Z52" s="28">
        <v>9.3148153740505162</v>
      </c>
      <c r="AA52" s="28">
        <v>34.171578947368417</v>
      </c>
      <c r="AB52" s="28">
        <v>0</v>
      </c>
      <c r="AC52" s="28">
        <v>101</v>
      </c>
      <c r="AD52" s="28">
        <v>34.171578947368417</v>
      </c>
      <c r="AE52" s="27">
        <v>7.4999999999999997E-2</v>
      </c>
    </row>
    <row r="53" spans="2:31" x14ac:dyDescent="0.25">
      <c r="B53" s="16">
        <v>1400</v>
      </c>
      <c r="C53" s="16">
        <v>1375</v>
      </c>
      <c r="E53" s="18"/>
      <c r="F53" s="18"/>
      <c r="G53" s="10"/>
      <c r="H53" s="18"/>
      <c r="I53" s="18"/>
      <c r="K53" s="25">
        <v>13</v>
      </c>
      <c r="L53" s="28">
        <v>1578.9473684210525</v>
      </c>
      <c r="M53" s="28">
        <v>1532.6842105263156</v>
      </c>
      <c r="N53" s="28">
        <v>36.454262208344403</v>
      </c>
      <c r="O53" s="28">
        <v>37.138684210526314</v>
      </c>
      <c r="P53" s="28">
        <v>0.24718000195164516</v>
      </c>
      <c r="Q53" s="28">
        <v>103</v>
      </c>
      <c r="R53" s="28">
        <v>37.138684210526314</v>
      </c>
      <c r="S53" s="27">
        <v>7.4999999999999997E-2</v>
      </c>
      <c r="T53" s="44">
        <f t="shared" si="0"/>
        <v>46.263157894736878</v>
      </c>
      <c r="U53" s="43">
        <f t="shared" si="1"/>
        <v>-3.7499999999999999E-2</v>
      </c>
      <c r="V53" s="43">
        <f t="shared" si="2"/>
        <v>3.7499999999999999E-2</v>
      </c>
      <c r="W53" s="25">
        <v>13</v>
      </c>
      <c r="X53" s="28">
        <v>1578.9473684210525</v>
      </c>
      <c r="Y53" s="28">
        <v>1532.6842105263156</v>
      </c>
      <c r="Z53" s="28">
        <v>9.4134381602900028</v>
      </c>
      <c r="AA53" s="28">
        <v>37.138684210526314</v>
      </c>
      <c r="AB53" s="28">
        <v>0</v>
      </c>
      <c r="AC53" s="28">
        <v>101</v>
      </c>
      <c r="AD53" s="28">
        <v>37.138684210526314</v>
      </c>
      <c r="AE53" s="27">
        <v>7.4999999999999997E-2</v>
      </c>
    </row>
    <row r="54" spans="2:31" x14ac:dyDescent="0.25">
      <c r="B54" s="16">
        <v>1500</v>
      </c>
      <c r="C54" s="16">
        <v>1464</v>
      </c>
      <c r="E54" s="18"/>
      <c r="F54" s="18"/>
      <c r="G54" s="10"/>
      <c r="H54" s="18"/>
      <c r="I54" s="18"/>
      <c r="K54" s="25">
        <v>14</v>
      </c>
      <c r="L54" s="28">
        <v>1710.5263157894735</v>
      </c>
      <c r="M54" s="28">
        <v>1644.7368421052631</v>
      </c>
      <c r="N54" s="28">
        <v>38.46794022454533</v>
      </c>
      <c r="O54" s="28">
        <v>42.960526315789473</v>
      </c>
      <c r="P54" s="28">
        <v>0.25122313912033778</v>
      </c>
      <c r="Q54" s="28">
        <v>103</v>
      </c>
      <c r="R54" s="28">
        <v>42.960526315789473</v>
      </c>
      <c r="S54" s="27">
        <v>7.4999999999999997E-2</v>
      </c>
      <c r="T54" s="44">
        <f t="shared" si="0"/>
        <v>65.789473684210407</v>
      </c>
      <c r="U54" s="43">
        <f t="shared" si="1"/>
        <v>-3.7499999999999999E-2</v>
      </c>
      <c r="V54" s="43">
        <f t="shared" si="2"/>
        <v>3.7499999999999999E-2</v>
      </c>
      <c r="W54" s="25">
        <v>14</v>
      </c>
      <c r="X54" s="28">
        <v>1710.5263157894735</v>
      </c>
      <c r="Y54" s="28">
        <v>1644.7368421052631</v>
      </c>
      <c r="Z54" s="28">
        <v>9.5085038851172037</v>
      </c>
      <c r="AA54" s="28">
        <v>42.960526315789473</v>
      </c>
      <c r="AB54" s="28">
        <v>0</v>
      </c>
      <c r="AC54" s="28">
        <v>101</v>
      </c>
      <c r="AD54" s="28">
        <v>42.960526315789473</v>
      </c>
      <c r="AE54" s="27">
        <v>7.4999999999999997E-2</v>
      </c>
    </row>
    <row r="55" spans="2:31" x14ac:dyDescent="0.25">
      <c r="B55" s="16">
        <v>1600</v>
      </c>
      <c r="C55" s="16">
        <v>1551</v>
      </c>
      <c r="E55" s="18"/>
      <c r="F55" s="18"/>
      <c r="G55" s="10"/>
      <c r="H55" s="18"/>
      <c r="I55" s="18"/>
      <c r="K55" s="25">
        <v>15</v>
      </c>
      <c r="L55" s="28">
        <v>1842.1052631578946</v>
      </c>
      <c r="M55" s="28">
        <v>1753.1052631578946</v>
      </c>
      <c r="N55" s="28">
        <v>40.460578263068847</v>
      </c>
      <c r="O55" s="28">
        <v>48.920789473684202</v>
      </c>
      <c r="P55" s="28">
        <v>0.25485138771569293</v>
      </c>
      <c r="Q55" s="28">
        <v>103</v>
      </c>
      <c r="R55" s="28">
        <v>48.920789473684202</v>
      </c>
      <c r="S55" s="27">
        <v>7.4999999999999997E-2</v>
      </c>
      <c r="T55" s="44">
        <f t="shared" si="0"/>
        <v>89</v>
      </c>
      <c r="U55" s="43">
        <f t="shared" si="1"/>
        <v>-3.7499999999999999E-2</v>
      </c>
      <c r="V55" s="43">
        <f t="shared" si="2"/>
        <v>3.7499999999999999E-2</v>
      </c>
      <c r="W55" s="25">
        <v>15</v>
      </c>
      <c r="X55" s="28">
        <v>1842.1052631578946</v>
      </c>
      <c r="Y55" s="28">
        <v>1753.1052631578946</v>
      </c>
      <c r="Z55" s="28">
        <v>9.5993577466497069</v>
      </c>
      <c r="AA55" s="28">
        <v>48.920789473684202</v>
      </c>
      <c r="AB55" s="28">
        <v>0</v>
      </c>
      <c r="AC55" s="28">
        <v>101</v>
      </c>
      <c r="AD55" s="28">
        <v>48.920789473684202</v>
      </c>
      <c r="AE55" s="27">
        <v>7.4999999999999997E-2</v>
      </c>
    </row>
    <row r="56" spans="2:31" x14ac:dyDescent="0.25">
      <c r="B56" s="16">
        <v>1700</v>
      </c>
      <c r="C56" s="16">
        <v>1636</v>
      </c>
      <c r="E56" s="18"/>
      <c r="F56" s="18"/>
      <c r="G56" s="10"/>
      <c r="H56" s="18"/>
      <c r="I56" s="18"/>
      <c r="K56" s="25">
        <v>16</v>
      </c>
      <c r="L56" s="28">
        <v>1973.6842105263156</v>
      </c>
      <c r="M56" s="28">
        <v>1858.2105263157894</v>
      </c>
      <c r="N56" s="28">
        <v>42.429200512029183</v>
      </c>
      <c r="O56" s="28">
        <v>54.701578947368411</v>
      </c>
      <c r="P56" s="28">
        <v>0.2582942393866508</v>
      </c>
      <c r="Q56" s="28">
        <v>103</v>
      </c>
      <c r="R56" s="28">
        <v>54.701578947368411</v>
      </c>
      <c r="S56" s="27">
        <v>7.4999999999999997E-2</v>
      </c>
      <c r="T56" s="44">
        <f t="shared" si="0"/>
        <v>115.47368421052624</v>
      </c>
      <c r="U56" s="43">
        <f t="shared" si="1"/>
        <v>-3.7499999999999999E-2</v>
      </c>
      <c r="V56" s="43">
        <f t="shared" si="2"/>
        <v>3.7499999999999999E-2</v>
      </c>
      <c r="W56" s="25">
        <v>16</v>
      </c>
      <c r="X56" s="28">
        <v>1973.6842105263156</v>
      </c>
      <c r="Y56" s="28">
        <v>1858.2105263157894</v>
      </c>
      <c r="Z56" s="28">
        <v>9.6865876042835719</v>
      </c>
      <c r="AA56" s="28">
        <v>54.701578947368411</v>
      </c>
      <c r="AB56" s="28">
        <v>0</v>
      </c>
      <c r="AC56" s="28">
        <v>101</v>
      </c>
      <c r="AD56" s="28">
        <v>54.701578947368411</v>
      </c>
      <c r="AE56" s="27">
        <v>7.4999999999999997E-2</v>
      </c>
    </row>
    <row r="57" spans="2:31" x14ac:dyDescent="0.25">
      <c r="B57" s="16">
        <v>1800</v>
      </c>
      <c r="C57" s="16">
        <v>1719</v>
      </c>
      <c r="E57" s="18"/>
      <c r="F57" s="18"/>
      <c r="G57" s="10"/>
      <c r="H57" s="18"/>
      <c r="I57" s="18"/>
      <c r="K57" s="25">
        <v>17</v>
      </c>
      <c r="L57" s="28">
        <v>2105.2631578947367</v>
      </c>
      <c r="M57" s="28">
        <v>1959.9473684210525</v>
      </c>
      <c r="N57" s="28">
        <v>44.368599136378734</v>
      </c>
      <c r="O57" s="28">
        <v>60.297105263157889</v>
      </c>
      <c r="P57" s="28">
        <v>0.26155214506049868</v>
      </c>
      <c r="Q57" s="28">
        <v>103</v>
      </c>
      <c r="R57" s="28">
        <v>60.297105263157889</v>
      </c>
      <c r="S57" s="27">
        <v>7.4999999999999997E-2</v>
      </c>
      <c r="T57" s="44">
        <f t="shared" si="0"/>
        <v>145.31578947368416</v>
      </c>
      <c r="U57" s="43">
        <f t="shared" si="1"/>
        <v>-3.7499999999999999E-2</v>
      </c>
      <c r="V57" s="43">
        <f t="shared" si="2"/>
        <v>3.7499999999999999E-2</v>
      </c>
      <c r="W57" s="25">
        <v>17</v>
      </c>
      <c r="X57" s="28">
        <v>2105.2631578947367</v>
      </c>
      <c r="Y57" s="28">
        <v>1959.9473684210525</v>
      </c>
      <c r="Z57" s="28">
        <v>9.7701837026779863</v>
      </c>
      <c r="AA57" s="28">
        <v>60.297105263157889</v>
      </c>
      <c r="AB57" s="28">
        <v>0</v>
      </c>
      <c r="AC57" s="28">
        <v>101</v>
      </c>
      <c r="AD57" s="28">
        <v>60.297105263157889</v>
      </c>
      <c r="AE57" s="27">
        <v>7.4999999999999997E-2</v>
      </c>
    </row>
    <row r="58" spans="2:31" x14ac:dyDescent="0.25">
      <c r="B58" s="16">
        <v>1900</v>
      </c>
      <c r="C58" s="16">
        <v>1800</v>
      </c>
      <c r="E58" s="18"/>
      <c r="F58" s="18"/>
      <c r="G58" s="10"/>
      <c r="H58" s="18"/>
      <c r="I58" s="18"/>
      <c r="K58" s="25">
        <v>18</v>
      </c>
      <c r="L58" s="28">
        <v>2236.8421052631575</v>
      </c>
      <c r="M58" s="28">
        <v>2057.894736842105</v>
      </c>
      <c r="N58" s="28">
        <v>46.269973879280457</v>
      </c>
      <c r="O58" s="28">
        <v>65.684210526315766</v>
      </c>
      <c r="P58" s="28">
        <v>0.26461010973699001</v>
      </c>
      <c r="Q58" s="28">
        <v>103</v>
      </c>
      <c r="R58" s="28">
        <v>65.684210526315766</v>
      </c>
      <c r="S58" s="27">
        <v>7.4999999999999997E-2</v>
      </c>
      <c r="T58" s="44">
        <f t="shared" si="0"/>
        <v>178.94736842105249</v>
      </c>
      <c r="U58" s="43">
        <f t="shared" si="1"/>
        <v>-3.7499999999999999E-2</v>
      </c>
      <c r="V58" s="43">
        <f t="shared" si="2"/>
        <v>3.7499999999999999E-2</v>
      </c>
      <c r="W58" s="25">
        <v>18</v>
      </c>
      <c r="X58" s="28">
        <v>2236.8421052631575</v>
      </c>
      <c r="Y58" s="28">
        <v>2057.894736842105</v>
      </c>
      <c r="Z58" s="28">
        <v>9.8498137845136675</v>
      </c>
      <c r="AA58" s="28">
        <v>65.684210526315766</v>
      </c>
      <c r="AB58" s="28">
        <v>0</v>
      </c>
      <c r="AC58" s="28">
        <v>101</v>
      </c>
      <c r="AD58" s="28">
        <v>65.684210526315766</v>
      </c>
      <c r="AE58" s="27">
        <v>7.4999999999999997E-2</v>
      </c>
    </row>
    <row r="59" spans="2:31" x14ac:dyDescent="0.25">
      <c r="B59" s="16">
        <v>2000</v>
      </c>
      <c r="C59" s="16">
        <v>1879</v>
      </c>
      <c r="E59" s="18"/>
      <c r="F59" s="18"/>
      <c r="G59" s="10"/>
      <c r="H59" s="18"/>
      <c r="I59" s="18"/>
      <c r="K59" s="25">
        <v>19</v>
      </c>
      <c r="L59" s="28">
        <v>2368.4210526315787</v>
      </c>
      <c r="M59" s="28">
        <v>2152.5789473684208</v>
      </c>
      <c r="N59" s="28">
        <v>48.134498383606619</v>
      </c>
      <c r="O59" s="28">
        <v>70.891842105263152</v>
      </c>
      <c r="P59" s="28">
        <v>0.26750289321391763</v>
      </c>
      <c r="Q59" s="28">
        <v>103</v>
      </c>
      <c r="R59" s="28">
        <v>70.891842105263152</v>
      </c>
      <c r="S59" s="27">
        <v>7.4999999999999997E-2</v>
      </c>
      <c r="T59" s="44">
        <f t="shared" si="0"/>
        <v>215.84210526315792</v>
      </c>
      <c r="U59" s="43">
        <f t="shared" si="1"/>
        <v>-3.7499999999999999E-2</v>
      </c>
      <c r="V59" s="43">
        <f t="shared" si="2"/>
        <v>3.7499999999999999E-2</v>
      </c>
      <c r="W59" s="25">
        <v>19</v>
      </c>
      <c r="X59" s="28">
        <v>2368.4210526315787</v>
      </c>
      <c r="Y59" s="28">
        <v>2152.5789473684208</v>
      </c>
      <c r="Z59" s="28">
        <v>9.9261245665179114</v>
      </c>
      <c r="AA59" s="28">
        <v>70.891842105263152</v>
      </c>
      <c r="AB59" s="28">
        <v>0</v>
      </c>
      <c r="AC59" s="28">
        <v>101</v>
      </c>
      <c r="AD59" s="28">
        <v>70.891842105263152</v>
      </c>
      <c r="AE59" s="27">
        <v>7.4999999999999997E-2</v>
      </c>
    </row>
    <row r="60" spans="2:31" x14ac:dyDescent="0.25">
      <c r="B60" s="16">
        <v>2100</v>
      </c>
      <c r="C60" s="16">
        <v>1956</v>
      </c>
      <c r="E60" s="18"/>
      <c r="F60" s="18"/>
      <c r="G60" s="10"/>
      <c r="H60" s="18"/>
      <c r="I60" s="18"/>
      <c r="K60" s="29">
        <v>20</v>
      </c>
      <c r="L60" s="30">
        <v>2500</v>
      </c>
      <c r="M60" s="30">
        <v>2244</v>
      </c>
      <c r="N60" s="30">
        <v>50</v>
      </c>
      <c r="O60" s="30">
        <v>75.92</v>
      </c>
      <c r="P60" s="30">
        <v>0.62542339589772844</v>
      </c>
      <c r="Q60" s="30">
        <v>103</v>
      </c>
      <c r="R60" s="30">
        <v>75.92</v>
      </c>
      <c r="S60" s="31">
        <v>0.14000000000000001</v>
      </c>
      <c r="T60" s="44">
        <f t="shared" si="0"/>
        <v>256</v>
      </c>
      <c r="U60" s="43">
        <f t="shared" si="1"/>
        <v>-7.0000000000000007E-2</v>
      </c>
      <c r="V60" s="43">
        <f t="shared" si="2"/>
        <v>7.0000000000000007E-2</v>
      </c>
      <c r="W60" s="29">
        <v>20</v>
      </c>
      <c r="X60" s="30">
        <v>2500</v>
      </c>
      <c r="Y60" s="30">
        <v>2244</v>
      </c>
      <c r="Z60" s="30">
        <v>10</v>
      </c>
      <c r="AA60" s="30">
        <v>75.92</v>
      </c>
      <c r="AB60" s="30">
        <v>0</v>
      </c>
      <c r="AC60" s="30">
        <v>101</v>
      </c>
      <c r="AD60" s="30">
        <v>75.92</v>
      </c>
      <c r="AE60" s="31">
        <v>0.14000000000000001</v>
      </c>
    </row>
    <row r="61" spans="2:31" x14ac:dyDescent="0.25">
      <c r="B61" s="16">
        <v>2200</v>
      </c>
      <c r="C61" s="16">
        <v>2031</v>
      </c>
      <c r="E61" s="18"/>
      <c r="F61" s="18"/>
      <c r="G61" s="10"/>
      <c r="H61" s="18"/>
      <c r="I61" s="18"/>
    </row>
    <row r="62" spans="2:31" x14ac:dyDescent="0.25">
      <c r="B62" s="16">
        <v>2300</v>
      </c>
      <c r="C62" s="16">
        <v>2104</v>
      </c>
      <c r="E62" s="18"/>
      <c r="F62" s="18"/>
      <c r="G62" s="10"/>
      <c r="H62" s="18"/>
      <c r="I62" s="18"/>
    </row>
    <row r="63" spans="2:31" x14ac:dyDescent="0.25">
      <c r="B63" s="16">
        <v>2400</v>
      </c>
      <c r="C63" s="16">
        <v>2175</v>
      </c>
      <c r="E63" s="18"/>
      <c r="F63" s="18"/>
      <c r="G63" s="10"/>
      <c r="H63" s="18"/>
      <c r="I63" s="18"/>
    </row>
    <row r="64" spans="2:31" x14ac:dyDescent="0.25">
      <c r="B64" s="16">
        <v>2500</v>
      </c>
      <c r="C64" s="16">
        <v>2244</v>
      </c>
      <c r="E64" s="18"/>
      <c r="F64" s="18"/>
      <c r="G64" s="10"/>
      <c r="H64" s="18"/>
      <c r="I64" s="18"/>
    </row>
    <row r="65" spans="2:16" x14ac:dyDescent="0.25">
      <c r="B65" s="16">
        <v>2600</v>
      </c>
      <c r="C65" s="16">
        <v>2311</v>
      </c>
      <c r="E65" s="18"/>
      <c r="F65" s="18"/>
      <c r="G65" s="10"/>
      <c r="H65" s="18"/>
      <c r="I65" s="18"/>
    </row>
    <row r="66" spans="2:16" x14ac:dyDescent="0.25">
      <c r="B66" s="16">
        <v>2700</v>
      </c>
      <c r="C66" s="16">
        <v>2376</v>
      </c>
      <c r="E66" s="18"/>
      <c r="F66" s="18"/>
      <c r="G66" s="10"/>
      <c r="H66" s="18"/>
      <c r="I66" s="18"/>
    </row>
    <row r="67" spans="2:16" x14ac:dyDescent="0.25">
      <c r="B67" s="16">
        <v>2800</v>
      </c>
      <c r="C67" s="16">
        <v>2439</v>
      </c>
      <c r="E67" s="18"/>
      <c r="F67" s="18"/>
      <c r="G67" s="10"/>
      <c r="H67" s="18"/>
      <c r="I67" s="18"/>
    </row>
    <row r="68" spans="2:16" x14ac:dyDescent="0.25">
      <c r="B68" s="16">
        <v>3500</v>
      </c>
      <c r="C68" s="16">
        <v>2500</v>
      </c>
      <c r="G68" s="10"/>
    </row>
    <row r="69" spans="2:16" x14ac:dyDescent="0.25">
      <c r="B69" s="16"/>
      <c r="C69" s="16"/>
      <c r="G69" s="10"/>
      <c r="P69" s="20"/>
    </row>
    <row r="70" spans="2:16" x14ac:dyDescent="0.25">
      <c r="B70" s="16"/>
      <c r="C70" s="16"/>
      <c r="G70" s="10"/>
    </row>
  </sheetData>
  <mergeCells count="11"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_curve_hdyn_vs_ggas">
                <anchor moveWithCells="1" sizeWithCells="1">
                  <from>
                    <xdr:col>14</xdr:col>
                    <xdr:colOff>676275</xdr:colOff>
                    <xdr:row>16</xdr:row>
                    <xdr:rowOff>104775</xdr:rowOff>
                  </from>
                  <to>
                    <xdr:col>17</xdr:col>
                    <xdr:colOff>466725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51</vt:i4>
      </vt:variant>
    </vt:vector>
  </HeadingPairs>
  <TitlesOfParts>
    <vt:vector size="52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exercise_pipeline!Hdyn</vt:lpstr>
      <vt:lpstr>exercise_pipeline!hdyn_list_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exercise_pipeline!qgfree_list_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2020-06-02T10:16:16Z</dcterms:modified>
</cp:coreProperties>
</file>