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DF3AC2E-932C-43AD-8A3D-0D3FCF09C3FF}" xr6:coauthVersionLast="45" xr6:coauthVersionMax="45" xr10:uidLastSave="{00000000-0000-0000-0000-000000000000}"/>
  <bookViews>
    <workbookView xWindow="-38520" yWindow="-120" windowWidth="38640" windowHeight="21840" xr2:uid="{CBB18379-7E76-40C7-BC74-A5CF898F6A9B}"/>
  </bookViews>
  <sheets>
    <sheet name="exercise_pipeline" sheetId="2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exercise_pipeline!$H$42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exercise_pipeline!$H$43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cor" localSheetId="0">exercise_pipeline!$H$40</definedName>
    <definedName name="Hydr_corr_" localSheetId="0">exercise_pipeline!$H$27</definedName>
    <definedName name="inclinometry" localSheetId="0">exercise_pipeline!$B$50:$C$72</definedName>
    <definedName name="input_0" localSheetId="0">exercise_pipeline!$C$11:$C$32</definedName>
    <definedName name="input_1" localSheetId="0">exercise_pipeline!$C$40:$C$44</definedName>
    <definedName name="input_2" localSheetId="0">exercise_pipeline!$H$26:$H$32</definedName>
    <definedName name="input_3" localSheetId="0">exercise_pipeline!$H$41:$H$43</definedName>
    <definedName name="input_5" localSheetId="0">exercise_pipeline!$B$50:$C$72</definedName>
    <definedName name="input_6" localSheetId="0">exercise_pipeline!$E$50:$F$69</definedName>
    <definedName name="input_7" localSheetId="0">exercise_pipeline!$H$50:$I$69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ann" localSheetId="0">exercise_pipeline!$C$29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_gas" localSheetId="0">exercise_pipeline!$C$35</definedName>
    <definedName name="PVTstr_" localSheetId="0">exercise_pipeline!$C$34</definedName>
    <definedName name="Pwf" localSheetId="0">exercise_pipeline!$C$30</definedName>
    <definedName name="Qgas_free" localSheetId="0">exercise_pipeline!$C$26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exercise_pipeline!$H$41</definedName>
    <definedName name="tempm" localSheetId="0">exercise_pipeline!$H$41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2" l="1"/>
  <c r="E16" i="2"/>
  <c r="E15" i="2"/>
  <c r="E14" i="2"/>
  <c r="E13" i="2"/>
  <c r="E12" i="2"/>
  <c r="E11" i="2"/>
  <c r="C35" i="2"/>
  <c r="K40" i="2" s="1" a="1"/>
  <c r="G1" i="2"/>
  <c r="C34" i="2"/>
  <c r="W40" i="2" s="1" a="1"/>
  <c r="AH42" i="2" s="1" a="1"/>
  <c r="K40" i="2" l="1"/>
  <c r="AH42" i="2"/>
  <c r="W40" i="2"/>
  <c r="T61" i="2"/>
  <c r="T57" i="2"/>
  <c r="U60" i="2"/>
  <c r="V60" i="2" s="1"/>
  <c r="U56" i="2"/>
  <c r="V56" i="2" s="1"/>
  <c r="U52" i="2"/>
  <c r="V52" i="2" s="1"/>
  <c r="U48" i="2"/>
  <c r="V48" i="2" s="1"/>
  <c r="U44" i="2"/>
  <c r="V44" i="2" s="1"/>
  <c r="T60" i="2"/>
  <c r="T56" i="2"/>
  <c r="T52" i="2"/>
  <c r="T48" i="2"/>
  <c r="T44" i="2"/>
  <c r="U55" i="2"/>
  <c r="V55" i="2" s="1"/>
  <c r="U43" i="2"/>
  <c r="V43" i="2" s="1"/>
  <c r="T55" i="2"/>
  <c r="T51" i="2"/>
  <c r="U51" i="2"/>
  <c r="V51" i="2" s="1"/>
  <c r="T58" i="2"/>
  <c r="T46" i="2"/>
  <c r="T53" i="2"/>
  <c r="U59" i="2"/>
  <c r="V59" i="2" s="1"/>
  <c r="U47" i="2"/>
  <c r="V47" i="2" s="1"/>
  <c r="T59" i="2"/>
  <c r="T47" i="2"/>
  <c r="T54" i="2"/>
  <c r="T43" i="2"/>
  <c r="T62" i="2"/>
  <c r="T50" i="2"/>
  <c r="T49" i="2"/>
  <c r="U62" i="2"/>
  <c r="V62" i="2" s="1"/>
  <c r="U58" i="2"/>
  <c r="V58" i="2" s="1"/>
  <c r="U54" i="2"/>
  <c r="V54" i="2" s="1"/>
  <c r="U50" i="2"/>
  <c r="V50" i="2" s="1"/>
  <c r="U46" i="2"/>
  <c r="V46" i="2" s="1"/>
  <c r="T45" i="2"/>
  <c r="U61" i="2"/>
  <c r="V61" i="2" s="1"/>
  <c r="U57" i="2"/>
  <c r="V57" i="2" s="1"/>
  <c r="U53" i="2"/>
  <c r="V53" i="2" s="1"/>
  <c r="U49" i="2"/>
  <c r="V49" i="2" s="1"/>
  <c r="U45" i="2"/>
  <c r="V4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0" authorId="0" shapeId="0" xr:uid="{3E030CE6-1819-4433-ABC2-FBA9E7FCFE0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1" authorId="0" shapeId="0" xr:uid="{CC4C93AA-486C-4625-85CF-7E342A94273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<sst xmlns="http://schemas.openxmlformats.org/spreadsheetml/2006/main" count="111" uniqueCount="86">
  <si>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</si>
  <si>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</si>
  <si>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</si>
  <si>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</si>
  <si>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</si>
  <si>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</si>
  <si>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</si>
  <si>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</si>
  <si>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</si>
  <si>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</si>
  <si>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</si>
  <si>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</si>
  <si>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</si>
  <si>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</si>
  <si>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</si>
  <si>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</si>
  <si>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</si>
  <si>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</si>
  <si>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</si>
  <si>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</si>
  <si>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</si>
  <si>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</si>
  <si>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</si>
  <si>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</si>
  <si>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</si>
  <si>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</si>
  <si>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</si>
  <si>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</si>
  <si>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</si>
  <si>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</si>
  <si>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</si>
  <si>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</si>
  <si>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</si>
  <si>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</si>
  <si>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</si>
  <si>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</si>
  <si>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</si>
  <si>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</si>
  <si>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</si>
  <si>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</si>
  <si>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</si>
  <si>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</si>
  <si>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</si>
  <si>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</si>
  <si>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</si>
  <si>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</si>
  <si>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</si>
  <si>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</si>
  <si>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</si>
  <si>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</si>
  <si>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</si>
  <si>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</si>
  <si>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</si>
  <si>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сверху вниз</t>
  </si>
  <si>
    <t>Расчет снизу вверх</t>
  </si>
  <si>
    <t xml:space="preserve"> -r</t>
  </si>
  <si>
    <t xml:space="preserve"> +r </t>
  </si>
  <si>
    <t>Pann</t>
  </si>
  <si>
    <t>Pwf</t>
  </si>
  <si>
    <t>Hd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</si>
  <si>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</si>
  <si>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</si>
  <si>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</si>
  <si>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</si>
  <si>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</si>
  <si>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</si>
  <si>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</si>
  <si>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</si>
  <si>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</si>
  <si>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</si>
  <si>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</si>
  <si>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</si>
  <si>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</si>
  <si>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</si>
  <si>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</si>
  <si>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</si>
  <si>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</si>
  <si>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</si>
  <si>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</si>
  <si>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</si>
  <si>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</si>
  <si>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</si>
  <si>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</si>
  <si>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</si>
  <si>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</si>
  <si>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Движение газа в неподвижной жидкости (барботаж)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</si>
</sst>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3" borderId="0" xfId="0" applyFill="1" applyBorder="1" applyAlignment="1">
      <alignment horizontal="center"/>
    </xf>
    <xf numFmtId="0" fontId="2" fillId="2" borderId="0" xfId="0" applyFont="1" applyFill="1" applyBorder="1" applyAlignment="1">
      <alignment horizontal="right"/>
    </xf>
    <xf numFmtId="0" fontId="0" fillId="2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" fontId="0" fillId="2" borderId="0" xfId="0" applyNumberFormat="1" applyFill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2" borderId="15" xfId="0" applyFill="1" applyBorder="1" applyAlignment="1">
      <alignment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2" fillId="2" borderId="0" xfId="0" applyFont="1" applyFill="1" applyAlignment="1">
      <alignment horizontal="center" wrapText="1"/>
    </xf>
    <xf numFmtId="0" fontId="2" fillId="2" borderId="7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exercise_pipeline!$T$42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exercise_pipeline!$T$43:$T$62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4.4821052631580187</c:v>
                </c:pt>
                <c:pt idx="7">
                  <c:v>15.616842105263231</c:v>
                </c:pt>
                <c:pt idx="8">
                  <c:v>33.269473684210425</c:v>
                </c:pt>
                <c:pt idx="9">
                  <c:v>57.701052631578932</c:v>
                </c:pt>
                <c:pt idx="10">
                  <c:v>89.143157894736987</c:v>
                </c:pt>
                <c:pt idx="11">
                  <c:v>127.32210526315794</c:v>
                </c:pt>
                <c:pt idx="12">
                  <c:v>172.23789473684201</c:v>
                </c:pt>
                <c:pt idx="13">
                  <c:v>223.89052631578943</c:v>
                </c:pt>
                <c:pt idx="14">
                  <c:v>282.2800000000002</c:v>
                </c:pt>
                <c:pt idx="15">
                  <c:v>348.39699248120269</c:v>
                </c:pt>
                <c:pt idx="16">
                  <c:v>495.52631578947376</c:v>
                </c:pt>
                <c:pt idx="17">
                  <c:v>663.68421052631584</c:v>
                </c:pt>
                <c:pt idx="18">
                  <c:v>831.84210526315792</c:v>
                </c:pt>
                <c:pt idx="19">
                  <c:v>1000</c:v>
                </c:pt>
              </c:numCache>
            </c:numRef>
          </c:xVal>
          <c:yVal>
            <c:numRef>
              <c:f>exercise_pipeline!$M$43:$M$62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1100.7810526315789</c:v>
                </c:pt>
                <c:pt idx="7">
                  <c:v>1273.856842105263</c:v>
                </c:pt>
                <c:pt idx="8">
                  <c:v>1440.4147368421054</c:v>
                </c:pt>
                <c:pt idx="9">
                  <c:v>1600.1936842105265</c:v>
                </c:pt>
                <c:pt idx="10">
                  <c:v>1752.9621052631578</c:v>
                </c:pt>
                <c:pt idx="11">
                  <c:v>1898.9936842105262</c:v>
                </c:pt>
                <c:pt idx="12">
                  <c:v>2038.2884210526317</c:v>
                </c:pt>
                <c:pt idx="13">
                  <c:v>2170.8463157894739</c:v>
                </c:pt>
                <c:pt idx="14">
                  <c:v>2296.6673684210523</c:v>
                </c:pt>
                <c:pt idx="15">
                  <c:v>2414.7609022556394</c:v>
                </c:pt>
                <c:pt idx="16">
                  <c:v>2451.8421052631579</c:v>
                </c:pt>
                <c:pt idx="17">
                  <c:v>2467.8947368421054</c:v>
                </c:pt>
                <c:pt idx="18">
                  <c:v>2483.9473684210529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6E-4426-9748-EA6E661D6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exercise_pipeline!$T$42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exercise_pipeline!$V$43:$V$62</c:f>
              <c:numCache>
                <c:formatCode>General</c:formatCode>
                <c:ptCount val="20"/>
                <c:pt idx="0">
                  <c:v>7.4999999999999997E-2</c:v>
                </c:pt>
                <c:pt idx="1">
                  <c:v>7.4999999999999997E-2</c:v>
                </c:pt>
                <c:pt idx="2">
                  <c:v>7.4999999999999997E-2</c:v>
                </c:pt>
                <c:pt idx="3">
                  <c:v>7.4999999999999997E-2</c:v>
                </c:pt>
                <c:pt idx="4">
                  <c:v>6.25E-2</c:v>
                </c:pt>
                <c:pt idx="5">
                  <c:v>6.25E-2</c:v>
                </c:pt>
                <c:pt idx="6">
                  <c:v>6.25E-2</c:v>
                </c:pt>
                <c:pt idx="7">
                  <c:v>6.25E-2</c:v>
                </c:pt>
                <c:pt idx="8">
                  <c:v>6.25E-2</c:v>
                </c:pt>
                <c:pt idx="9">
                  <c:v>6.25E-2</c:v>
                </c:pt>
                <c:pt idx="10">
                  <c:v>6.25E-2</c:v>
                </c:pt>
                <c:pt idx="11">
                  <c:v>6.25E-2</c:v>
                </c:pt>
                <c:pt idx="12">
                  <c:v>6.25E-2</c:v>
                </c:pt>
                <c:pt idx="13">
                  <c:v>6.25E-2</c:v>
                </c:pt>
                <c:pt idx="14">
                  <c:v>6.25E-2</c:v>
                </c:pt>
                <c:pt idx="15">
                  <c:v>6.25E-2</c:v>
                </c:pt>
                <c:pt idx="16">
                  <c:v>6.25E-2</c:v>
                </c:pt>
                <c:pt idx="17">
                  <c:v>6.25E-2</c:v>
                </c:pt>
                <c:pt idx="18">
                  <c:v>6.25E-2</c:v>
                </c:pt>
                <c:pt idx="19">
                  <c:v>6.25E-2</c:v>
                </c:pt>
              </c:numCache>
            </c:numRef>
          </c:xVal>
          <c:yVal>
            <c:numRef>
              <c:f>exercise_pipeline!$L$43:$L$62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9CD-9CF1-403A275C30B4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exercise_pipeline!$U$43:$U$62</c:f>
              <c:numCache>
                <c:formatCode>General</c:formatCode>
                <c:ptCount val="20"/>
                <c:pt idx="0">
                  <c:v>-7.4999999999999997E-2</c:v>
                </c:pt>
                <c:pt idx="1">
                  <c:v>-7.4999999999999997E-2</c:v>
                </c:pt>
                <c:pt idx="2">
                  <c:v>-7.4999999999999997E-2</c:v>
                </c:pt>
                <c:pt idx="3">
                  <c:v>-7.4999999999999997E-2</c:v>
                </c:pt>
                <c:pt idx="4">
                  <c:v>-6.25E-2</c:v>
                </c:pt>
                <c:pt idx="5">
                  <c:v>-6.25E-2</c:v>
                </c:pt>
                <c:pt idx="6">
                  <c:v>-6.25E-2</c:v>
                </c:pt>
                <c:pt idx="7">
                  <c:v>-6.25E-2</c:v>
                </c:pt>
                <c:pt idx="8">
                  <c:v>-6.25E-2</c:v>
                </c:pt>
                <c:pt idx="9">
                  <c:v>-6.25E-2</c:v>
                </c:pt>
                <c:pt idx="10">
                  <c:v>-6.25E-2</c:v>
                </c:pt>
                <c:pt idx="11">
                  <c:v>-6.25E-2</c:v>
                </c:pt>
                <c:pt idx="12">
                  <c:v>-6.25E-2</c:v>
                </c:pt>
                <c:pt idx="13">
                  <c:v>-6.25E-2</c:v>
                </c:pt>
                <c:pt idx="14">
                  <c:v>-6.25E-2</c:v>
                </c:pt>
                <c:pt idx="15">
                  <c:v>-6.25E-2</c:v>
                </c:pt>
                <c:pt idx="16">
                  <c:v>-6.25E-2</c:v>
                </c:pt>
                <c:pt idx="17">
                  <c:v>-6.25E-2</c:v>
                </c:pt>
                <c:pt idx="18">
                  <c:v>-6.25E-2</c:v>
                </c:pt>
                <c:pt idx="19">
                  <c:v>-6.25E-2</c:v>
                </c:pt>
              </c:numCache>
            </c:numRef>
          </c:xVal>
          <c:yVal>
            <c:numRef>
              <c:f>exercise_pipeline!$L$43:$L$62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D9-49CD-9CF1-403A275C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exercise_pipeline!$K$39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exercise_pipeline!$N$43:$N$62</c:f>
              <c:numCache>
                <c:formatCode>0</c:formatCode>
                <c:ptCount val="20"/>
                <c:pt idx="0">
                  <c:v>25</c:v>
                </c:pt>
                <c:pt idx="1">
                  <c:v>25.48405669482004</c:v>
                </c:pt>
                <c:pt idx="2">
                  <c:v>25.974240810364659</c:v>
                </c:pt>
                <c:pt idx="3">
                  <c:v>26.470589009981239</c:v>
                </c:pt>
                <c:pt idx="4">
                  <c:v>26.973137826272819</c:v>
                </c:pt>
                <c:pt idx="5">
                  <c:v>27.481872374464743</c:v>
                </c:pt>
                <c:pt idx="6">
                  <c:v>27.987770885796248</c:v>
                </c:pt>
                <c:pt idx="7">
                  <c:v>28.478602768945521</c:v>
                </c:pt>
                <c:pt idx="8">
                  <c:v>28.955929592187996</c:v>
                </c:pt>
                <c:pt idx="9">
                  <c:v>29.415432148054048</c:v>
                </c:pt>
                <c:pt idx="10">
                  <c:v>29.847997503772842</c:v>
                </c:pt>
                <c:pt idx="11">
                  <c:v>30.253871670139414</c:v>
                </c:pt>
                <c:pt idx="12">
                  <c:v>30.634558008213975</c:v>
                </c:pt>
                <c:pt idx="13">
                  <c:v>30.990979383761346</c:v>
                </c:pt>
                <c:pt idx="14">
                  <c:v>31.323941325283361</c:v>
                </c:pt>
                <c:pt idx="15">
                  <c:v>31.62904209277977</c:v>
                </c:pt>
                <c:pt idx="16">
                  <c:v>31.746130160788294</c:v>
                </c:pt>
                <c:pt idx="17">
                  <c:v>31.787595735449326</c:v>
                </c:pt>
                <c:pt idx="18">
                  <c:v>31.828995068669133</c:v>
                </c:pt>
                <c:pt idx="19">
                  <c:v>31.870328548727464</c:v>
                </c:pt>
              </c:numCache>
            </c:numRef>
          </c:xVal>
          <c:yVal>
            <c:numRef>
              <c:f>exercise_pipeline!$L$43:$L$62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34-46BF-82DD-7AF936F9CB6C}"/>
            </c:ext>
          </c:extLst>
        </c:ser>
        <c:ser>
          <c:idx val="1"/>
          <c:order val="1"/>
          <c:tx>
            <c:strRef>
              <c:f>exercise_pipeline!$W$39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exercise_pipeline!$Z$43:$Z$62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4.6942472374132223</c:v>
                </c:pt>
                <c:pt idx="4">
                  <c:v>15.920150688684849</c:v>
                </c:pt>
                <c:pt idx="5">
                  <c:v>28.925773167933905</c:v>
                </c:pt>
                <c:pt idx="6">
                  <c:v>42.446693203208845</c:v>
                </c:pt>
                <c:pt idx="7">
                  <c:v>55.727172343117068</c:v>
                </c:pt>
                <c:pt idx="8">
                  <c:v>68.615100704168825</c:v>
                </c:pt>
                <c:pt idx="9">
                  <c:v>80.993847416593226</c:v>
                </c:pt>
                <c:pt idx="10">
                  <c:v>92.776613639924989</c:v>
                </c:pt>
                <c:pt idx="11">
                  <c:v>103.95508711672979</c:v>
                </c:pt>
                <c:pt idx="12">
                  <c:v>114.5742835198208</c:v>
                </c:pt>
                <c:pt idx="13">
                  <c:v>124.64915999064706</c:v>
                </c:pt>
                <c:pt idx="14">
                  <c:v>134.17122738733875</c:v>
                </c:pt>
                <c:pt idx="15">
                  <c:v>142.98307157666474</c:v>
                </c:pt>
                <c:pt idx="16">
                  <c:v>146.38108209220732</c:v>
                </c:pt>
                <c:pt idx="17">
                  <c:v>147.58788230541666</c:v>
                </c:pt>
                <c:pt idx="18">
                  <c:v>148.79418933454036</c:v>
                </c:pt>
                <c:pt idx="19">
                  <c:v>150</c:v>
                </c:pt>
              </c:numCache>
            </c:numRef>
          </c:xVal>
          <c:yVal>
            <c:numRef>
              <c:f>exercise_pipeline!$X$43:$X$62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34-46BF-82DD-7AF936F9C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exercise_pipeline!$K$39</c:f>
              <c:strCache>
                <c:ptCount val="1"/>
                <c:pt idx="0">
                  <c:v>Расчет сверху вниз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exercise_pipeline!$O$43:$O$62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29.208505263157896</c:v>
                </c:pt>
                <c:pt idx="6">
                  <c:v>31.007473684210527</c:v>
                </c:pt>
                <c:pt idx="7">
                  <c:v>32.737305263157893</c:v>
                </c:pt>
                <c:pt idx="8">
                  <c:v>34.400989473684206</c:v>
                </c:pt>
                <c:pt idx="9">
                  <c:v>40.485178947368425</c:v>
                </c:pt>
                <c:pt idx="10">
                  <c:v>48.894389473684214</c:v>
                </c:pt>
                <c:pt idx="11">
                  <c:v>56.933073684210527</c:v>
                </c:pt>
                <c:pt idx="12">
                  <c:v>64.601231578947377</c:v>
                </c:pt>
                <c:pt idx="13">
                  <c:v>71.893073684210535</c:v>
                </c:pt>
                <c:pt idx="14">
                  <c:v>78.802810526315781</c:v>
                </c:pt>
                <c:pt idx="15">
                  <c:v>84.906123308270679</c:v>
                </c:pt>
                <c:pt idx="16">
                  <c:v>87.351315789473688</c:v>
                </c:pt>
                <c:pt idx="17">
                  <c:v>88.234210526315806</c:v>
                </c:pt>
                <c:pt idx="18">
                  <c:v>89.11710526315791</c:v>
                </c:pt>
                <c:pt idx="19">
                  <c:v>90</c:v>
                </c:pt>
              </c:numCache>
            </c:numRef>
          </c:xVal>
          <c:yVal>
            <c:numRef>
              <c:f>exercise_pipeline!$L$43:$L$62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2C-4FB7-A0A3-C85CB1AEDD7C}"/>
            </c:ext>
          </c:extLst>
        </c:ser>
        <c:ser>
          <c:idx val="1"/>
          <c:order val="1"/>
          <c:tx>
            <c:strRef>
              <c:f>exercise_pipeline!$R$42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exercise_pipeline!$R$43:$R$62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29.208505263157896</c:v>
                </c:pt>
                <c:pt idx="6">
                  <c:v>31.007473684210527</c:v>
                </c:pt>
                <c:pt idx="7">
                  <c:v>32.737305263157893</c:v>
                </c:pt>
                <c:pt idx="8">
                  <c:v>34.400989473684206</c:v>
                </c:pt>
                <c:pt idx="9">
                  <c:v>40.485178947368425</c:v>
                </c:pt>
                <c:pt idx="10">
                  <c:v>48.894389473684214</c:v>
                </c:pt>
                <c:pt idx="11">
                  <c:v>56.933073684210527</c:v>
                </c:pt>
                <c:pt idx="12">
                  <c:v>64.601231578947377</c:v>
                </c:pt>
                <c:pt idx="13">
                  <c:v>71.893073684210535</c:v>
                </c:pt>
                <c:pt idx="14">
                  <c:v>78.802810526315781</c:v>
                </c:pt>
                <c:pt idx="15">
                  <c:v>84.906123308270679</c:v>
                </c:pt>
                <c:pt idx="16">
                  <c:v>87.351315789473688</c:v>
                </c:pt>
                <c:pt idx="17">
                  <c:v>88.234210526315806</c:v>
                </c:pt>
                <c:pt idx="18">
                  <c:v>89.11710526315791</c:v>
                </c:pt>
                <c:pt idx="19">
                  <c:v>90</c:v>
                </c:pt>
              </c:numCache>
            </c:numRef>
          </c:xVal>
          <c:yVal>
            <c:numRef>
              <c:f>exercise_pipeline!$L$43:$L$62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2C-4FB7-A0A3-C85CB1AEDD7C}"/>
            </c:ext>
          </c:extLst>
        </c:ser>
        <c:ser>
          <c:idx val="2"/>
          <c:order val="2"/>
          <c:tx>
            <c:strRef>
              <c:f>exercise_pipeline!$W$39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exercise_pipeline!$AA$43:$AA$62</c:f>
              <c:numCache>
                <c:formatCode>0</c:formatCode>
                <c:ptCount val="20"/>
                <c:pt idx="0">
                  <c:v>20</c:v>
                </c:pt>
                <c:pt idx="1">
                  <c:v>21.842105263157894</c:v>
                </c:pt>
                <c:pt idx="2">
                  <c:v>23.684210526315791</c:v>
                </c:pt>
                <c:pt idx="3">
                  <c:v>25.526315789473685</c:v>
                </c:pt>
                <c:pt idx="4">
                  <c:v>27.368421052631579</c:v>
                </c:pt>
                <c:pt idx="5">
                  <c:v>29.208505263157896</c:v>
                </c:pt>
                <c:pt idx="6">
                  <c:v>31.007473684210527</c:v>
                </c:pt>
                <c:pt idx="7">
                  <c:v>32.737305263157893</c:v>
                </c:pt>
                <c:pt idx="8">
                  <c:v>34.400989473684206</c:v>
                </c:pt>
                <c:pt idx="9">
                  <c:v>40.485178947368425</c:v>
                </c:pt>
                <c:pt idx="10">
                  <c:v>48.894389473684214</c:v>
                </c:pt>
                <c:pt idx="11">
                  <c:v>56.933073684210527</c:v>
                </c:pt>
                <c:pt idx="12">
                  <c:v>64.601231578947377</c:v>
                </c:pt>
                <c:pt idx="13">
                  <c:v>71.893073684210535</c:v>
                </c:pt>
                <c:pt idx="14">
                  <c:v>78.802810526315781</c:v>
                </c:pt>
                <c:pt idx="15">
                  <c:v>84.906123308270679</c:v>
                </c:pt>
                <c:pt idx="16">
                  <c:v>87.351315789473688</c:v>
                </c:pt>
                <c:pt idx="17">
                  <c:v>88.234210526315806</c:v>
                </c:pt>
                <c:pt idx="18">
                  <c:v>89.11710526315791</c:v>
                </c:pt>
                <c:pt idx="19">
                  <c:v>90</c:v>
                </c:pt>
              </c:numCache>
            </c:numRef>
          </c:xVal>
          <c:yVal>
            <c:numRef>
              <c:f>exercise_pipeline!$X$43:$X$62</c:f>
              <c:numCache>
                <c:formatCode>0</c:formatCode>
                <c:ptCount val="20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2578.9473684210525</c:v>
                </c:pt>
                <c:pt idx="15">
                  <c:v>2763.1578947368421</c:v>
                </c:pt>
                <c:pt idx="16">
                  <c:v>2947.3684210526317</c:v>
                </c:pt>
                <c:pt idx="17">
                  <c:v>3131.5789473684213</c:v>
                </c:pt>
                <c:pt idx="18">
                  <c:v>3315.7894736842109</c:v>
                </c:pt>
                <c:pt idx="19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2C-4FB7-A0A3-C85CB1AE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exercise_pipeline!$T$42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exercise_pipeline!#REF!</c:f>
            </c:numRef>
          </c:xVal>
          <c:yVal>
            <c:numRef>
              <c:f>exercise_pipeline!#REF!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CD-4D7B-84F0-3F2D39E875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exercise_pipeline!#REF!</c:f>
            </c:numRef>
          </c:xVal>
          <c:yVal>
            <c:numRef>
              <c:f>exercise_pipeline!#REF!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CD-4D7B-84F0-3F2D39E8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22412</xdr:colOff>
      <xdr:row>62</xdr:row>
      <xdr:rowOff>40061</xdr:rowOff>
    </xdr:from>
    <xdr:to>
      <xdr:col>15</xdr:col>
      <xdr:colOff>192180</xdr:colOff>
      <xdr:row>86</xdr:row>
      <xdr:rowOff>16249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788FAE2D-1F67-45B8-A75B-2531D1E79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62</xdr:row>
      <xdr:rowOff>62471</xdr:rowOff>
    </xdr:from>
    <xdr:to>
      <xdr:col>19</xdr:col>
      <xdr:colOff>526676</xdr:colOff>
      <xdr:row>86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8CCC66FF-8C6A-44B8-B972-3E81184E6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11536</xdr:colOff>
      <xdr:row>62</xdr:row>
      <xdr:rowOff>101413</xdr:rowOff>
    </xdr:from>
    <xdr:to>
      <xdr:col>25</xdr:col>
      <xdr:colOff>296394</xdr:colOff>
      <xdr:row>86</xdr:row>
      <xdr:rowOff>77601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8153BF3-7009-4BAC-A91C-A263C3CD7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382121</xdr:colOff>
      <xdr:row>62</xdr:row>
      <xdr:rowOff>103094</xdr:rowOff>
    </xdr:from>
    <xdr:to>
      <xdr:col>31</xdr:col>
      <xdr:colOff>58831</xdr:colOff>
      <xdr:row>86</xdr:row>
      <xdr:rowOff>79282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E5B3859-E1E7-437C-97BC-206C132AD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591133</xdr:colOff>
      <xdr:row>7</xdr:row>
      <xdr:rowOff>32734</xdr:rowOff>
    </xdr:from>
    <xdr:to>
      <xdr:col>30</xdr:col>
      <xdr:colOff>399644</xdr:colOff>
      <xdr:row>26</xdr:row>
      <xdr:rowOff>87708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592A81A6-5162-4D40-ABA0-1466F805C88F}"/>
            </a:ext>
          </a:extLst>
        </xdr:cNvPr>
        <xdr:cNvGrpSpPr/>
      </xdr:nvGrpSpPr>
      <xdr:grpSpPr>
        <a:xfrm>
          <a:off x="15557807" y="1366234"/>
          <a:ext cx="3485989" cy="4270822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B91C093E-E671-4795-A4B1-6169FB5857AA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CA841AD6-69FD-41B9-B6F0-D482AE0A69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39C0205-E1A0-4C30-95B8-1E7FB469428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6CA60608-2017-4F47-BBBA-E7EB5A4FABF5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CE287573-869E-47F2-90B3-4A5776BCEB79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8A52159B-D453-40DA-B6BF-8D5FA8E76D14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DB226C21-0DA9-467F-8923-11F971341D2D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45E96452-E461-4EA1-A7AA-B8F959E4FA94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2D3F5BFE-B9E3-4B17-8C2D-88F554C822BC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E77D4E5-2352-48FE-95C4-2CD4B31B89BF}"/>
            </a:ext>
          </a:extLst>
        </xdr:cNvPr>
        <xdr:cNvSpPr txBox="1"/>
      </xdr:nvSpPr>
      <xdr:spPr>
        <a:xfrm>
          <a:off x="4278406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трубе/затрубе с неподвижной жидкостью и двигающимся газом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зависимость динамического уровня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график зависомости динамического уровня от расхода газа 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219CC5C-B40F-4EF8-86EB-9C38CAC415A8}"/>
            </a:ext>
          </a:extLst>
        </xdr:cNvPr>
        <xdr:cNvSpPr txBox="1"/>
      </xdr:nvSpPr>
      <xdr:spPr>
        <a:xfrm>
          <a:off x="906601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 чем отличие различных температурных моделей расчета?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Постройте распределение давления в скважине с фонтанным режимом работы. Учтите длину НКТ, наличие штуцера и приток из пласта.</a:t>
          </a:r>
        </a:p>
        <a:p>
          <a:r>
            <a:rPr lang="ru-RU" sz="1100" baseline="0"/>
            <a:t>2. *Постройте график распределения давления в затрубном пространстве при известном давлении на приеме насоса и затрубном давлении. Найдите значение динамического уровня.</a:t>
          </a:r>
        </a:p>
        <a:p>
          <a:endParaRPr lang="ru-RU" sz="1100" baseline="0"/>
        </a:p>
      </xdr:txBody>
    </xdr:sp>
    <xdr:clientData/>
  </xdr:twoCellAnchor>
  <xdr:twoCellAnchor>
    <xdr:from>
      <xdr:col>24</xdr:col>
      <xdr:colOff>100853</xdr:colOff>
      <xdr:row>91</xdr:row>
      <xdr:rowOff>0</xdr:rowOff>
    </xdr:from>
    <xdr:to>
      <xdr:col>31</xdr:col>
      <xdr:colOff>302559</xdr:colOff>
      <xdr:row>91</xdr:row>
      <xdr:rowOff>32218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22F75B1D-F414-4FB2-A7E9-E3C36F808C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9" name="Стрелка: влево 18">
          <a:extLst>
            <a:ext uri="{FF2B5EF4-FFF2-40B4-BE49-F238E27FC236}">
              <a16:creationId xmlns:a16="http://schemas.microsoft.com/office/drawing/2014/main" id="{4A22E0E7-5248-4C86-A620-91D26CAD4BE5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getUFVersion"/>
      <definedName name="MF_p_pipeline_atma"/>
      <definedName name="PVT_encode_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94C65-9A19-4509-9DD0-9ECB930EBDEF}">
  <sheetPr codeName="Worksheet____2"/>
  <dimension ref="A1:AH72"/>
  <sheetViews>
    <sheetView tabSelected="1" zoomScale="115" zoomScaleNormal="115" workbookViewId="0">
      <selection activeCell="L17" sqref="L17"/>
    </sheetView>
  </sheetViews>
  <sheetFormatPr defaultRowHeight="15" x14ac:dyDescent="0.25"/>
  <cols>
    <col min="9" max="9" width="10.42578125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[1]!getUFVersion()</f>
        <v>7.20</v>
      </c>
      <c r="H1" t="s">
        <v>60</v>
      </c>
      <c r="I1" s="37">
        <v>43941</v>
      </c>
      <c r="J1" s="38"/>
      <c r="K1" s="38"/>
      <c r="L1" s="38"/>
    </row>
    <row r="2" spans="1:12" x14ac:dyDescent="0.25">
      <c r="A2" t="s">
        <v>85</v>
      </c>
      <c r="H2" t="s">
        <v>61</v>
      </c>
      <c r="I2" s="39">
        <v>7.2</v>
      </c>
      <c r="J2" s="38"/>
      <c r="K2" s="38"/>
      <c r="L2" s="38"/>
    </row>
    <row r="3" spans="1:12" x14ac:dyDescent="0.25">
      <c r="A3" s="40" t="s">
        <v>62</v>
      </c>
      <c r="B3" s="41" t="s">
        <v>63</v>
      </c>
      <c r="C3" s="42"/>
      <c r="D3" s="42"/>
      <c r="E3" s="43"/>
      <c r="H3" t="s">
        <v>64</v>
      </c>
      <c r="I3" s="38" t="s">
        <v>63</v>
      </c>
      <c r="J3" s="38"/>
      <c r="K3" s="38"/>
      <c r="L3" s="38"/>
    </row>
    <row r="4" spans="1:12" x14ac:dyDescent="0.25">
      <c r="A4" s="40" t="s">
        <v>65</v>
      </c>
      <c r="B4" s="41" t="s">
        <v>66</v>
      </c>
      <c r="C4" s="42"/>
      <c r="D4" s="42"/>
      <c r="E4" s="43"/>
      <c r="H4" t="s">
        <v>67</v>
      </c>
      <c r="I4" s="38" t="s">
        <v>66</v>
      </c>
      <c r="J4" s="38"/>
      <c r="K4" s="38"/>
      <c r="L4" s="38"/>
    </row>
    <row r="5" spans="1:12" x14ac:dyDescent="0.25">
      <c r="A5" s="40" t="s">
        <v>68</v>
      </c>
      <c r="B5" s="41" t="s">
        <v>69</v>
      </c>
      <c r="C5" s="42"/>
      <c r="D5" s="42"/>
      <c r="E5" s="43"/>
      <c r="H5" t="s">
        <v>70</v>
      </c>
      <c r="I5" s="38" t="s">
        <v>69</v>
      </c>
      <c r="J5" s="38"/>
      <c r="K5" s="38"/>
      <c r="L5" s="38"/>
    </row>
    <row r="6" spans="1:12" x14ac:dyDescent="0.25">
      <c r="A6" s="44" t="s">
        <v>71</v>
      </c>
      <c r="B6" s="45" t="s">
        <v>72</v>
      </c>
      <c r="C6" s="46"/>
      <c r="D6" s="46"/>
      <c r="E6" s="47"/>
      <c r="H6" s="48" t="s">
        <v>73</v>
      </c>
      <c r="I6" s="49" t="s">
        <v>72</v>
      </c>
      <c r="J6" s="49"/>
      <c r="K6" s="49"/>
      <c r="L6" s="49"/>
    </row>
    <row r="7" spans="1:12" x14ac:dyDescent="0.25">
      <c r="A7" s="50"/>
      <c r="B7" s="51"/>
      <c r="C7" s="52"/>
      <c r="D7" s="52"/>
      <c r="E7" s="53"/>
      <c r="H7" s="48"/>
      <c r="I7" s="49"/>
      <c r="J7" s="49"/>
      <c r="K7" s="49"/>
      <c r="L7" s="49"/>
    </row>
    <row r="8" spans="1:12" x14ac:dyDescent="0.25">
      <c r="A8" s="54"/>
      <c r="B8" s="55"/>
      <c r="C8" s="56"/>
      <c r="D8" s="56"/>
      <c r="E8" s="57"/>
      <c r="H8" s="48"/>
      <c r="I8" s="49"/>
      <c r="J8" s="49"/>
      <c r="K8" s="49"/>
      <c r="L8" s="4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.75" x14ac:dyDescent="0.35">
      <c r="B15" s="7" t="s">
        <v>10</v>
      </c>
      <c r="C15" s="3">
        <v>300</v>
      </c>
      <c r="D15" s="6" t="s">
        <v>8</v>
      </c>
      <c r="E15" s="8">
        <f>Rsb_/gamma_oil_</f>
        <v>91.954022988505741</v>
      </c>
      <c r="F15" s="6" t="s">
        <v>9</v>
      </c>
    </row>
    <row r="16" spans="1:12" ht="18" x14ac:dyDescent="0.35">
      <c r="B16" s="6" t="s">
        <v>11</v>
      </c>
      <c r="C16" s="3">
        <v>120</v>
      </c>
      <c r="D16" s="4" t="s">
        <v>12</v>
      </c>
      <c r="E16" s="8">
        <f>Pb_*1.01325</f>
        <v>121.59</v>
      </c>
      <c r="F16" s="4" t="s">
        <v>13</v>
      </c>
    </row>
    <row r="17" spans="1:8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</row>
    <row r="18" spans="1:8" ht="18.75" x14ac:dyDescent="0.35">
      <c r="B18" s="7" t="s">
        <v>17</v>
      </c>
      <c r="C18" s="3">
        <v>1.2</v>
      </c>
      <c r="D18" s="6" t="s">
        <v>8</v>
      </c>
    </row>
    <row r="19" spans="1:8" ht="18" x14ac:dyDescent="0.35">
      <c r="B19" s="9" t="s">
        <v>18</v>
      </c>
      <c r="C19" s="3">
        <v>1</v>
      </c>
      <c r="D19" s="4" t="s">
        <v>19</v>
      </c>
    </row>
    <row r="20" spans="1:8" x14ac:dyDescent="0.25">
      <c r="A20" s="1" t="s">
        <v>74</v>
      </c>
    </row>
    <row r="21" spans="1:8" ht="18" x14ac:dyDescent="0.35">
      <c r="B21" s="9" t="s">
        <v>75</v>
      </c>
      <c r="C21" s="3">
        <v>0</v>
      </c>
      <c r="D21" s="6"/>
    </row>
    <row r="22" spans="1:8" ht="18" x14ac:dyDescent="0.35">
      <c r="B22" s="9" t="s">
        <v>76</v>
      </c>
      <c r="C22" s="3">
        <v>50</v>
      </c>
      <c r="D22" s="4" t="s">
        <v>12</v>
      </c>
    </row>
    <row r="23" spans="1:8" ht="18" x14ac:dyDescent="0.35">
      <c r="B23" s="9" t="s">
        <v>77</v>
      </c>
      <c r="C23" s="3">
        <v>30</v>
      </c>
      <c r="D23" s="4" t="s">
        <v>15</v>
      </c>
    </row>
    <row r="24" spans="1:8" x14ac:dyDescent="0.25">
      <c r="A24" s="1" t="s">
        <v>20</v>
      </c>
    </row>
    <row r="25" spans="1:8" ht="15.75" x14ac:dyDescent="0.3">
      <c r="B25" s="9" t="s">
        <v>21</v>
      </c>
      <c r="C25" s="3">
        <v>0</v>
      </c>
      <c r="D25" s="6" t="s">
        <v>22</v>
      </c>
    </row>
    <row r="26" spans="1:8" ht="18" x14ac:dyDescent="0.35">
      <c r="B26" s="9" t="s">
        <v>47</v>
      </c>
      <c r="C26" s="3">
        <v>1000</v>
      </c>
      <c r="D26" s="6" t="s">
        <v>48</v>
      </c>
      <c r="F26" s="58" t="s">
        <v>78</v>
      </c>
      <c r="G26" s="59"/>
      <c r="H26" s="3">
        <v>0</v>
      </c>
    </row>
    <row r="27" spans="1:8" ht="15.75" x14ac:dyDescent="0.3">
      <c r="B27" s="9" t="s">
        <v>23</v>
      </c>
      <c r="C27" s="3">
        <v>0</v>
      </c>
      <c r="D27" s="4" t="s">
        <v>24</v>
      </c>
      <c r="F27" s="58" t="s">
        <v>79</v>
      </c>
      <c r="G27" s="59"/>
      <c r="H27" s="3">
        <v>0</v>
      </c>
    </row>
    <row r="28" spans="1:8" x14ac:dyDescent="0.25">
      <c r="A28" t="s">
        <v>25</v>
      </c>
      <c r="B28" s="10"/>
      <c r="F28" s="58" t="s">
        <v>80</v>
      </c>
      <c r="G28" s="59"/>
      <c r="H28" s="3">
        <v>0</v>
      </c>
    </row>
    <row r="29" spans="1:8" x14ac:dyDescent="0.25">
      <c r="B29" s="9" t="s">
        <v>57</v>
      </c>
      <c r="C29" s="3">
        <v>25</v>
      </c>
      <c r="D29" s="6" t="s">
        <v>12</v>
      </c>
      <c r="F29" s="58" t="s">
        <v>81</v>
      </c>
      <c r="G29" s="59"/>
      <c r="H29" s="3">
        <v>0</v>
      </c>
    </row>
    <row r="30" spans="1:8" x14ac:dyDescent="0.25">
      <c r="B30" s="9" t="s">
        <v>58</v>
      </c>
      <c r="C30" s="3">
        <v>150</v>
      </c>
      <c r="D30" s="6" t="s">
        <v>12</v>
      </c>
      <c r="F30" s="60" t="s">
        <v>82</v>
      </c>
      <c r="G30" s="60"/>
    </row>
    <row r="31" spans="1:8" x14ac:dyDescent="0.25">
      <c r="B31" s="9" t="s">
        <v>28</v>
      </c>
      <c r="C31" s="3">
        <v>120</v>
      </c>
      <c r="D31" s="6" t="s">
        <v>29</v>
      </c>
      <c r="F31" s="58" t="s">
        <v>83</v>
      </c>
      <c r="G31" s="59"/>
      <c r="H31" s="3">
        <v>1</v>
      </c>
    </row>
    <row r="32" spans="1:8" x14ac:dyDescent="0.25">
      <c r="B32" s="9" t="s">
        <v>30</v>
      </c>
      <c r="C32" s="3">
        <v>30</v>
      </c>
      <c r="D32" s="6" t="s">
        <v>29</v>
      </c>
      <c r="F32" s="58" t="s">
        <v>84</v>
      </c>
      <c r="G32" s="59"/>
      <c r="H32" s="3">
        <v>1</v>
      </c>
    </row>
    <row r="34" spans="2:34" ht="30" x14ac:dyDescent="0.25">
      <c r="B34" s="11" t="s">
        <v>31</v>
      </c>
      <c r="C34" s="12" t="str">
        <f>[1]!PVT_encode_string(gamma_gas_,gamma_oil_,gamma_wat_,Rsb_,Rp_,Pb_,Tres_,Bob_,muob_)</f>
        <v>gamma_gas:0.800;gamma_oil:0.870;gamma_wat:1.000;rsb_m3m3:80.000;rp_m3m3:300.000;pb_atma:120.000;tres_C:100.000;bob_m3m3:1.200;muob_cP:1.000;PVTcorr:0;ksep_fr:0.000;p_ksep_atma:-1.000;t_ksep_C:-1.000;gas_only:False;</v>
      </c>
      <c r="D34" s="12"/>
      <c r="E34" s="12"/>
      <c r="F34" s="12"/>
      <c r="G34" s="12"/>
      <c r="H34" s="12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5"/>
    </row>
    <row r="35" spans="2:34" ht="30" x14ac:dyDescent="0.25">
      <c r="B35" s="11" t="s">
        <v>31</v>
      </c>
      <c r="C35" s="12" t="str">
        <f>[1]!PVT_encode_string(gamma_gas_,gamma_oil_,gamma_wat_,Rsb_,Rp_,Pb_,Tres_,Bob_,muob_,,,,,1)</f>
        <v>gamma_gas:0.800;gamma_oil:0.870;gamma_wat:1.000;rsb_m3m3:80.000;rp_m3m3:300.000;pb_atma:120.000;tres_C:100.000;bob_m3m3:1.200;muob_cP:1.000;PVTcorr:0;ksep_fr:0.000;p_ksep_atma:-1.000;t_ksep_C:-1.000;gas_only:True;</v>
      </c>
      <c r="D35" s="12"/>
      <c r="E35" s="12"/>
      <c r="F35" s="12"/>
      <c r="G35" s="12"/>
      <c r="H35" s="12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5"/>
    </row>
    <row r="39" spans="2:34" x14ac:dyDescent="0.25">
      <c r="B39" s="13" t="s">
        <v>32</v>
      </c>
      <c r="C39" s="14"/>
      <c r="D39" s="14"/>
      <c r="F39" s="13" t="s">
        <v>51</v>
      </c>
      <c r="G39" s="14"/>
      <c r="H39" s="14"/>
      <c r="K39" t="s">
        <v>53</v>
      </c>
      <c r="W39" t="s">
        <v>54</v>
      </c>
    </row>
    <row r="40" spans="2:34" ht="18" x14ac:dyDescent="0.35">
      <c r="B40" s="15" t="s">
        <v>33</v>
      </c>
      <c r="C40" s="16">
        <v>3500</v>
      </c>
      <c r="D40" s="17" t="s">
        <v>26</v>
      </c>
      <c r="K40" s="35" cm="1">
        <f t="array" ref="K40:S62">[1]!MF_p_pipeline_atma(qliq_,fw_,inclinometry,Pann,T0,1,0,PVT_gas,H50:I69,Hydr_corr_,E50:F52,tempm,,,,Qgas_free)</f>
        <v>31.870328548727464</v>
      </c>
      <c r="L40" s="26">
        <v>90</v>
      </c>
      <c r="M40" s="26">
        <v>25</v>
      </c>
      <c r="N40" s="26">
        <v>20</v>
      </c>
      <c r="O40" s="26">
        <v>31.870328548727464</v>
      </c>
      <c r="P40" s="26">
        <v>90</v>
      </c>
      <c r="Q40" s="26">
        <v>1</v>
      </c>
      <c r="R40" s="26">
        <v>1</v>
      </c>
      <c r="S40" s="27">
        <v>1000</v>
      </c>
      <c r="T40" s="14"/>
      <c r="U40" s="14"/>
      <c r="V40" s="14"/>
      <c r="W40" s="35" cm="1">
        <f t="array" ref="W40:AE62">[1]!MF_p_pipeline_atma(0,fw_,inclinometry,Pwf,T1_,0,0,PVTstr_,H50:I69,Hydr_corr_,E50:F52,tempm,,,,Qgas_free)</f>
        <v>0</v>
      </c>
      <c r="X40" s="26">
        <v>20</v>
      </c>
      <c r="Y40" s="26">
        <v>0</v>
      </c>
      <c r="Z40" s="26">
        <v>20</v>
      </c>
      <c r="AA40" s="26">
        <v>150</v>
      </c>
      <c r="AB40" s="26">
        <v>90</v>
      </c>
      <c r="AC40" s="26">
        <v>1</v>
      </c>
      <c r="AD40" s="26">
        <v>1</v>
      </c>
      <c r="AE40" s="27">
        <v>1030</v>
      </c>
    </row>
    <row r="41" spans="2:34" ht="18" x14ac:dyDescent="0.35">
      <c r="B41" s="15" t="s">
        <v>34</v>
      </c>
      <c r="C41" s="16">
        <v>2500</v>
      </c>
      <c r="D41" s="17" t="s">
        <v>35</v>
      </c>
      <c r="F41" s="23"/>
      <c r="G41" s="22" t="s">
        <v>46</v>
      </c>
      <c r="H41" s="21">
        <v>1</v>
      </c>
      <c r="K41" s="28" t="str">
        <v>p_result_atma</v>
      </c>
      <c r="L41" s="29" t="str">
        <v>t_result_C</v>
      </c>
      <c r="M41" s="29" t="str">
        <v>p_1, atma</v>
      </c>
      <c r="N41" s="29" t="str">
        <v>t_1, C</v>
      </c>
      <c r="O41" s="29" t="str">
        <v>p_2, atma</v>
      </c>
      <c r="P41" s="29" t="str">
        <v>t_2, C</v>
      </c>
      <c r="Q41" s="29" t="str">
        <v>c_calibr_grav</v>
      </c>
      <c r="R41" s="29" t="str">
        <v>c_calibr_fric</v>
      </c>
      <c r="S41" s="30" t="str">
        <v>q_gas_sm3day</v>
      </c>
      <c r="T41" s="14"/>
      <c r="U41" s="14"/>
      <c r="V41" s="14"/>
      <c r="W41" s="28" t="str">
        <v>p_result_atma</v>
      </c>
      <c r="X41" s="29" t="str">
        <v>t_result_C</v>
      </c>
      <c r="Y41" s="29" t="str">
        <v>p_1, atma</v>
      </c>
      <c r="Z41" s="29" t="str">
        <v>t_1, C</v>
      </c>
      <c r="AA41" s="29" t="str">
        <v>p_2, atma</v>
      </c>
      <c r="AB41" s="29" t="str">
        <v>t_2, C</v>
      </c>
      <c r="AC41" s="29" t="str">
        <v>c_calibr_grav</v>
      </c>
      <c r="AD41" s="29" t="str">
        <v>c_calibr_fric</v>
      </c>
      <c r="AE41" s="30" t="str">
        <v>q_gas_sm3day</v>
      </c>
    </row>
    <row r="42" spans="2:34" ht="18" x14ac:dyDescent="0.35">
      <c r="B42" s="15" t="s">
        <v>36</v>
      </c>
      <c r="C42" s="16">
        <v>140</v>
      </c>
      <c r="D42" s="17" t="s">
        <v>27</v>
      </c>
      <c r="F42" s="23"/>
      <c r="G42" s="22" t="s">
        <v>44</v>
      </c>
      <c r="H42" s="21">
        <v>0</v>
      </c>
      <c r="K42" s="28" t="str">
        <v>num</v>
      </c>
      <c r="L42" s="29" t="str">
        <v>h,m</v>
      </c>
      <c r="M42" s="29" t="str">
        <v>hvert,m</v>
      </c>
      <c r="N42" s="29" t="str">
        <v>p,atma</v>
      </c>
      <c r="O42" s="29" t="str">
        <v>t,C</v>
      </c>
      <c r="P42" s="29" t="str">
        <v>Hl</v>
      </c>
      <c r="Q42" s="29" t="str">
        <v>fpat</v>
      </c>
      <c r="R42" s="29" t="str">
        <v>t_amb, C</v>
      </c>
      <c r="S42" s="30" t="str">
        <v>diam, mm</v>
      </c>
      <c r="T42" s="14" t="s">
        <v>50</v>
      </c>
      <c r="U42" s="14" t="s">
        <v>55</v>
      </c>
      <c r="V42" s="14" t="s">
        <v>56</v>
      </c>
      <c r="W42" s="28" t="str">
        <v>num</v>
      </c>
      <c r="X42" s="29" t="str">
        <v>h,m</v>
      </c>
      <c r="Y42" s="29" t="str">
        <v>hvert,m</v>
      </c>
      <c r="Z42" s="29" t="str">
        <v>p,atma</v>
      </c>
      <c r="AA42" s="29" t="str">
        <v>t,C</v>
      </c>
      <c r="AB42" s="29" t="str">
        <v>Hl</v>
      </c>
      <c r="AC42" s="29" t="str">
        <v>fpat</v>
      </c>
      <c r="AD42" s="29" t="str">
        <v>t_amb, C</v>
      </c>
      <c r="AE42" s="30" t="str">
        <v>diam, mm</v>
      </c>
      <c r="AG42" t="s">
        <v>59</v>
      </c>
      <c r="AH42" cm="1">
        <f t="array" ref="AH42">[1]!crv_intersection(L43:L62,N43:N62,X43:X62,Z43:Z62)</f>
        <v>899.76879462849149</v>
      </c>
    </row>
    <row r="43" spans="2:34" ht="18" x14ac:dyDescent="0.35">
      <c r="B43" s="15" t="s">
        <v>37</v>
      </c>
      <c r="C43" s="16">
        <v>65</v>
      </c>
      <c r="D43" s="17" t="s">
        <v>27</v>
      </c>
      <c r="F43" s="23"/>
      <c r="G43" s="22" t="s">
        <v>45</v>
      </c>
      <c r="H43" s="21">
        <v>0</v>
      </c>
      <c r="K43" s="28">
        <v>1</v>
      </c>
      <c r="L43" s="31">
        <v>0</v>
      </c>
      <c r="M43" s="31">
        <v>0</v>
      </c>
      <c r="N43" s="31">
        <v>25</v>
      </c>
      <c r="O43" s="31">
        <v>20</v>
      </c>
      <c r="P43" s="31">
        <v>0</v>
      </c>
      <c r="Q43" s="31">
        <v>101</v>
      </c>
      <c r="R43" s="31">
        <v>20</v>
      </c>
      <c r="S43" s="30">
        <v>0.15</v>
      </c>
      <c r="T43" s="36">
        <f t="shared" ref="T43:T62" si="0">L43-M43</f>
        <v>0</v>
      </c>
      <c r="U43" s="14">
        <f t="shared" ref="U43:U62" si="1">-S43/2</f>
        <v>-7.4999999999999997E-2</v>
      </c>
      <c r="V43" s="14">
        <f>-U43</f>
        <v>7.4999999999999997E-2</v>
      </c>
      <c r="W43" s="28">
        <v>1</v>
      </c>
      <c r="X43" s="31">
        <v>0</v>
      </c>
      <c r="Y43" s="31">
        <v>0</v>
      </c>
      <c r="Z43" s="31">
        <v>0</v>
      </c>
      <c r="AA43" s="31">
        <v>20</v>
      </c>
      <c r="AB43" s="31">
        <v>0</v>
      </c>
      <c r="AC43" s="31">
        <v>0</v>
      </c>
      <c r="AD43" s="31">
        <v>20</v>
      </c>
      <c r="AE43" s="30">
        <v>0.15</v>
      </c>
    </row>
    <row r="44" spans="2:34" ht="18" x14ac:dyDescent="0.35">
      <c r="B44" s="15" t="s">
        <v>38</v>
      </c>
      <c r="C44" s="16">
        <v>12</v>
      </c>
      <c r="D44" s="17" t="s">
        <v>27</v>
      </c>
      <c r="G44" s="10"/>
      <c r="K44" s="28">
        <v>2</v>
      </c>
      <c r="L44" s="31">
        <v>184.21052631578948</v>
      </c>
      <c r="M44" s="31">
        <v>184.21052631578948</v>
      </c>
      <c r="N44" s="31">
        <v>25.48405669482004</v>
      </c>
      <c r="O44" s="31">
        <v>21.842105263157894</v>
      </c>
      <c r="P44" s="31">
        <v>0</v>
      </c>
      <c r="Q44" s="31">
        <v>101</v>
      </c>
      <c r="R44" s="31">
        <v>21.842105263157894</v>
      </c>
      <c r="S44" s="30">
        <v>0.15</v>
      </c>
      <c r="T44" s="36">
        <f t="shared" si="0"/>
        <v>0</v>
      </c>
      <c r="U44" s="14">
        <f t="shared" si="1"/>
        <v>-7.4999999999999997E-2</v>
      </c>
      <c r="V44" s="14">
        <f t="shared" ref="V44:V62" si="2">-U44</f>
        <v>7.4999999999999997E-2</v>
      </c>
      <c r="W44" s="28">
        <v>2</v>
      </c>
      <c r="X44" s="31">
        <v>184.21052631578948</v>
      </c>
      <c r="Y44" s="31">
        <v>184.21052631578948</v>
      </c>
      <c r="Z44" s="31">
        <v>0</v>
      </c>
      <c r="AA44" s="31">
        <v>21.842105263157894</v>
      </c>
      <c r="AB44" s="31">
        <v>0.16087289402476926</v>
      </c>
      <c r="AC44" s="31">
        <v>0</v>
      </c>
      <c r="AD44" s="31">
        <v>21.842105263157894</v>
      </c>
      <c r="AE44" s="30">
        <v>0.15</v>
      </c>
    </row>
    <row r="45" spans="2:34" x14ac:dyDescent="0.25">
      <c r="G45" s="10"/>
      <c r="K45" s="28">
        <v>3</v>
      </c>
      <c r="L45" s="31">
        <v>368.42105263157896</v>
      </c>
      <c r="M45" s="31">
        <v>368.42105263157896</v>
      </c>
      <c r="N45" s="31">
        <v>25.974240810364659</v>
      </c>
      <c r="O45" s="31">
        <v>23.684210526315791</v>
      </c>
      <c r="P45" s="31">
        <v>0</v>
      </c>
      <c r="Q45" s="31">
        <v>101</v>
      </c>
      <c r="R45" s="31">
        <v>23.684210526315791</v>
      </c>
      <c r="S45" s="30">
        <v>0.15</v>
      </c>
      <c r="T45" s="36">
        <f t="shared" si="0"/>
        <v>0</v>
      </c>
      <c r="U45" s="14">
        <f t="shared" si="1"/>
        <v>-7.4999999999999997E-2</v>
      </c>
      <c r="V45" s="14">
        <f t="shared" si="2"/>
        <v>7.4999999999999997E-2</v>
      </c>
      <c r="W45" s="28">
        <v>3</v>
      </c>
      <c r="X45" s="31">
        <v>368.42105263157896</v>
      </c>
      <c r="Y45" s="31">
        <v>368.42105263157896</v>
      </c>
      <c r="Z45" s="31">
        <v>0</v>
      </c>
      <c r="AA45" s="31">
        <v>23.684210526315791</v>
      </c>
      <c r="AB45" s="31">
        <v>0.32174578804953852</v>
      </c>
      <c r="AC45" s="31">
        <v>0</v>
      </c>
      <c r="AD45" s="31">
        <v>23.684210526315791</v>
      </c>
      <c r="AE45" s="30">
        <v>0.15</v>
      </c>
    </row>
    <row r="46" spans="2:34" x14ac:dyDescent="0.25">
      <c r="G46" s="10"/>
      <c r="K46" s="28">
        <v>4</v>
      </c>
      <c r="L46" s="31">
        <v>552.63157894736844</v>
      </c>
      <c r="M46" s="31">
        <v>552.63157894736844</v>
      </c>
      <c r="N46" s="31">
        <v>26.470589009981239</v>
      </c>
      <c r="O46" s="31">
        <v>25.526315789473685</v>
      </c>
      <c r="P46" s="31">
        <v>0</v>
      </c>
      <c r="Q46" s="31">
        <v>101</v>
      </c>
      <c r="R46" s="31">
        <v>25.526315789473685</v>
      </c>
      <c r="S46" s="30">
        <v>0.15</v>
      </c>
      <c r="T46" s="36">
        <f t="shared" si="0"/>
        <v>0</v>
      </c>
      <c r="U46" s="14">
        <f t="shared" si="1"/>
        <v>-7.4999999999999997E-2</v>
      </c>
      <c r="V46" s="14">
        <f t="shared" si="2"/>
        <v>7.4999999999999997E-2</v>
      </c>
      <c r="W46" s="28">
        <v>4</v>
      </c>
      <c r="X46" s="31">
        <v>552.63157894736844</v>
      </c>
      <c r="Y46" s="31">
        <v>552.63157894736844</v>
      </c>
      <c r="Z46" s="31">
        <v>4.6942472374132223</v>
      </c>
      <c r="AA46" s="31">
        <v>25.526315789473685</v>
      </c>
      <c r="AB46" s="31">
        <v>0.57541783139163627</v>
      </c>
      <c r="AC46" s="31">
        <v>103</v>
      </c>
      <c r="AD46" s="31">
        <v>25.526315789473685</v>
      </c>
      <c r="AE46" s="30">
        <v>0.15</v>
      </c>
    </row>
    <row r="47" spans="2:34" x14ac:dyDescent="0.25">
      <c r="B47" s="14" t="s">
        <v>39</v>
      </c>
      <c r="C47" s="14"/>
      <c r="E47" t="s">
        <v>52</v>
      </c>
      <c r="G47" s="10"/>
      <c r="H47" t="s">
        <v>49</v>
      </c>
      <c r="I47" s="10"/>
      <c r="K47" s="28">
        <v>5</v>
      </c>
      <c r="L47" s="31">
        <v>736.84210526315792</v>
      </c>
      <c r="M47" s="31">
        <v>736.84210526315792</v>
      </c>
      <c r="N47" s="31">
        <v>26.973137826272819</v>
      </c>
      <c r="O47" s="31">
        <v>27.368421052631579</v>
      </c>
      <c r="P47" s="31">
        <v>0</v>
      </c>
      <c r="Q47" s="31">
        <v>101</v>
      </c>
      <c r="R47" s="31">
        <v>27.368421052631579</v>
      </c>
      <c r="S47" s="30">
        <v>0.125</v>
      </c>
      <c r="T47" s="36">
        <f t="shared" si="0"/>
        <v>0</v>
      </c>
      <c r="U47" s="14">
        <f t="shared" si="1"/>
        <v>-6.25E-2</v>
      </c>
      <c r="V47" s="14">
        <f t="shared" si="2"/>
        <v>6.25E-2</v>
      </c>
      <c r="W47" s="28">
        <v>5</v>
      </c>
      <c r="X47" s="31">
        <v>736.84210526315792</v>
      </c>
      <c r="Y47" s="31">
        <v>736.84210526315792</v>
      </c>
      <c r="Z47" s="31">
        <v>15.920150688684849</v>
      </c>
      <c r="AA47" s="31">
        <v>27.368421052631579</v>
      </c>
      <c r="AB47" s="31">
        <v>0.81673811504408234</v>
      </c>
      <c r="AC47" s="31">
        <v>103</v>
      </c>
      <c r="AD47" s="31">
        <v>27.368421052631579</v>
      </c>
      <c r="AE47" s="30">
        <v>0.125</v>
      </c>
    </row>
    <row r="48" spans="2:34" ht="18" x14ac:dyDescent="0.35">
      <c r="B48" s="17" t="s">
        <v>40</v>
      </c>
      <c r="C48" s="17" t="s">
        <v>41</v>
      </c>
      <c r="E48" s="17" t="s">
        <v>41</v>
      </c>
      <c r="F48" s="17" t="s">
        <v>42</v>
      </c>
      <c r="G48" s="10"/>
      <c r="H48" s="17" t="s">
        <v>40</v>
      </c>
      <c r="I48" s="15" t="s">
        <v>43</v>
      </c>
      <c r="K48" s="28">
        <v>6</v>
      </c>
      <c r="L48" s="31">
        <v>921.0526315789474</v>
      </c>
      <c r="M48" s="31">
        <v>921.0526315789474</v>
      </c>
      <c r="N48" s="31">
        <v>27.481872374464743</v>
      </c>
      <c r="O48" s="31">
        <v>29.208505263157896</v>
      </c>
      <c r="P48" s="31">
        <v>0</v>
      </c>
      <c r="Q48" s="31">
        <v>101</v>
      </c>
      <c r="R48" s="31">
        <v>29.208505263157896</v>
      </c>
      <c r="S48" s="30">
        <v>0.125</v>
      </c>
      <c r="T48" s="36">
        <f t="shared" si="0"/>
        <v>0</v>
      </c>
      <c r="U48" s="14">
        <f t="shared" si="1"/>
        <v>-6.25E-2</v>
      </c>
      <c r="V48" s="14">
        <f t="shared" si="2"/>
        <v>6.25E-2</v>
      </c>
      <c r="W48" s="28">
        <v>6</v>
      </c>
      <c r="X48" s="31">
        <v>921.0526315789474</v>
      </c>
      <c r="Y48" s="31">
        <v>921.0526315789474</v>
      </c>
      <c r="Z48" s="31">
        <v>28.925773167933905</v>
      </c>
      <c r="AA48" s="31">
        <v>29.208505263157896</v>
      </c>
      <c r="AB48" s="31">
        <v>0.87594469126216712</v>
      </c>
      <c r="AC48" s="31">
        <v>102</v>
      </c>
      <c r="AD48" s="31">
        <v>29.208505263157896</v>
      </c>
      <c r="AE48" s="30">
        <v>0.125</v>
      </c>
    </row>
    <row r="49" spans="2:31" x14ac:dyDescent="0.25">
      <c r="B49" s="17" t="s">
        <v>26</v>
      </c>
      <c r="C49" s="17" t="s">
        <v>26</v>
      </c>
      <c r="E49" s="17" t="s">
        <v>26</v>
      </c>
      <c r="F49" s="17" t="s">
        <v>35</v>
      </c>
      <c r="G49" s="10"/>
      <c r="H49" s="17" t="s">
        <v>26</v>
      </c>
      <c r="I49" s="17" t="s">
        <v>27</v>
      </c>
      <c r="K49" s="28">
        <v>7</v>
      </c>
      <c r="L49" s="31">
        <v>1105.2631578947369</v>
      </c>
      <c r="M49" s="31">
        <v>1100.7810526315789</v>
      </c>
      <c r="N49" s="31">
        <v>27.987770885796248</v>
      </c>
      <c r="O49" s="31">
        <v>31.007473684210527</v>
      </c>
      <c r="P49" s="31">
        <v>0</v>
      </c>
      <c r="Q49" s="31">
        <v>101</v>
      </c>
      <c r="R49" s="31">
        <v>31.007473684210527</v>
      </c>
      <c r="S49" s="30">
        <v>0.125</v>
      </c>
      <c r="T49" s="36">
        <f t="shared" si="0"/>
        <v>4.4821052631580187</v>
      </c>
      <c r="U49" s="14">
        <f t="shared" si="1"/>
        <v>-6.25E-2</v>
      </c>
      <c r="V49" s="14">
        <f t="shared" si="2"/>
        <v>6.25E-2</v>
      </c>
      <c r="W49" s="28">
        <v>7</v>
      </c>
      <c r="X49" s="31">
        <v>1105.2631578947369</v>
      </c>
      <c r="Y49" s="31">
        <v>1100.7810526315789</v>
      </c>
      <c r="Z49" s="31">
        <v>42.446693203208845</v>
      </c>
      <c r="AA49" s="31">
        <v>31.007473684210527</v>
      </c>
      <c r="AB49" s="31">
        <v>0.91429998274293933</v>
      </c>
      <c r="AC49" s="31">
        <v>102</v>
      </c>
      <c r="AD49" s="31">
        <v>31.007473684210527</v>
      </c>
      <c r="AE49" s="30">
        <v>0.125</v>
      </c>
    </row>
    <row r="50" spans="2:31" x14ac:dyDescent="0.25">
      <c r="B50" s="16">
        <v>0</v>
      </c>
      <c r="C50" s="16">
        <v>0</v>
      </c>
      <c r="E50" s="18">
        <v>0</v>
      </c>
      <c r="F50" s="18">
        <v>20</v>
      </c>
      <c r="G50" s="10"/>
      <c r="H50" s="18">
        <v>0</v>
      </c>
      <c r="I50" s="19">
        <v>150</v>
      </c>
      <c r="K50" s="28">
        <v>8</v>
      </c>
      <c r="L50" s="31">
        <v>1289.4736842105262</v>
      </c>
      <c r="M50" s="31">
        <v>1273.856842105263</v>
      </c>
      <c r="N50" s="31">
        <v>28.478602768945521</v>
      </c>
      <c r="O50" s="31">
        <v>32.737305263157893</v>
      </c>
      <c r="P50" s="31">
        <v>0</v>
      </c>
      <c r="Q50" s="31">
        <v>101</v>
      </c>
      <c r="R50" s="31">
        <v>32.737305263157893</v>
      </c>
      <c r="S50" s="30">
        <v>0.125</v>
      </c>
      <c r="T50" s="36">
        <f t="shared" si="0"/>
        <v>15.616842105263231</v>
      </c>
      <c r="U50" s="14">
        <f t="shared" si="1"/>
        <v>-6.25E-2</v>
      </c>
      <c r="V50" s="14">
        <f t="shared" si="2"/>
        <v>6.25E-2</v>
      </c>
      <c r="W50" s="28">
        <v>8</v>
      </c>
      <c r="X50" s="31">
        <v>1289.4736842105262</v>
      </c>
      <c r="Y50" s="31">
        <v>1273.856842105263</v>
      </c>
      <c r="Z50" s="31">
        <v>55.727172343117068</v>
      </c>
      <c r="AA50" s="31">
        <v>32.737305263157893</v>
      </c>
      <c r="AB50" s="31">
        <v>0.93445051420590564</v>
      </c>
      <c r="AC50" s="31">
        <v>102</v>
      </c>
      <c r="AD50" s="31">
        <v>32.737305263157893</v>
      </c>
      <c r="AE50" s="30">
        <v>0.125</v>
      </c>
    </row>
    <row r="51" spans="2:31" x14ac:dyDescent="0.25">
      <c r="B51" s="16">
        <v>1000</v>
      </c>
      <c r="C51" s="16">
        <v>1000</v>
      </c>
      <c r="E51" s="18">
        <v>1500</v>
      </c>
      <c r="F51" s="18">
        <v>35</v>
      </c>
      <c r="G51" s="10"/>
      <c r="H51" s="18">
        <v>560</v>
      </c>
      <c r="I51" s="19">
        <v>125</v>
      </c>
      <c r="K51" s="28">
        <v>9</v>
      </c>
      <c r="L51" s="31">
        <v>1473.6842105263158</v>
      </c>
      <c r="M51" s="31">
        <v>1440.4147368421054</v>
      </c>
      <c r="N51" s="31">
        <v>28.955929592187996</v>
      </c>
      <c r="O51" s="31">
        <v>34.400989473684206</v>
      </c>
      <c r="P51" s="31">
        <v>0</v>
      </c>
      <c r="Q51" s="31">
        <v>101</v>
      </c>
      <c r="R51" s="31">
        <v>34.400989473684206</v>
      </c>
      <c r="S51" s="30">
        <v>0.125</v>
      </c>
      <c r="T51" s="36">
        <f t="shared" si="0"/>
        <v>33.269473684210425</v>
      </c>
      <c r="U51" s="14">
        <f t="shared" si="1"/>
        <v>-6.25E-2</v>
      </c>
      <c r="V51" s="14">
        <f t="shared" si="2"/>
        <v>6.25E-2</v>
      </c>
      <c r="W51" s="28">
        <v>9</v>
      </c>
      <c r="X51" s="31">
        <v>1473.6842105263158</v>
      </c>
      <c r="Y51" s="31">
        <v>1440.4147368421054</v>
      </c>
      <c r="Z51" s="31">
        <v>68.615100704168825</v>
      </c>
      <c r="AA51" s="31">
        <v>34.400989473684206</v>
      </c>
      <c r="AB51" s="31">
        <v>0.94661604234856156</v>
      </c>
      <c r="AC51" s="31">
        <v>102</v>
      </c>
      <c r="AD51" s="31">
        <v>34.400989473684206</v>
      </c>
      <c r="AE51" s="30">
        <v>0.125</v>
      </c>
    </row>
    <row r="52" spans="2:31" x14ac:dyDescent="0.25">
      <c r="B52" s="16">
        <v>1100</v>
      </c>
      <c r="C52" s="16">
        <v>1096</v>
      </c>
      <c r="E52" s="18">
        <v>2500</v>
      </c>
      <c r="F52" s="18">
        <v>90</v>
      </c>
      <c r="G52" s="10"/>
      <c r="H52" s="18">
        <v>3500</v>
      </c>
      <c r="I52" s="19">
        <v>125</v>
      </c>
      <c r="K52" s="28">
        <v>10</v>
      </c>
      <c r="L52" s="31">
        <v>1657.8947368421054</v>
      </c>
      <c r="M52" s="31">
        <v>1600.1936842105265</v>
      </c>
      <c r="N52" s="31">
        <v>29.415432148054048</v>
      </c>
      <c r="O52" s="31">
        <v>40.485178947368425</v>
      </c>
      <c r="P52" s="31">
        <v>0</v>
      </c>
      <c r="Q52" s="31">
        <v>101</v>
      </c>
      <c r="R52" s="31">
        <v>40.485178947368425</v>
      </c>
      <c r="S52" s="30">
        <v>0.125</v>
      </c>
      <c r="T52" s="36">
        <f t="shared" si="0"/>
        <v>57.701052631578932</v>
      </c>
      <c r="U52" s="14">
        <f t="shared" si="1"/>
        <v>-6.25E-2</v>
      </c>
      <c r="V52" s="14">
        <f t="shared" si="2"/>
        <v>6.25E-2</v>
      </c>
      <c r="W52" s="28">
        <v>10</v>
      </c>
      <c r="X52" s="31">
        <v>1657.8947368421054</v>
      </c>
      <c r="Y52" s="31">
        <v>1600.1936842105265</v>
      </c>
      <c r="Z52" s="31">
        <v>80.993847416593226</v>
      </c>
      <c r="AA52" s="31">
        <v>40.485178947368425</v>
      </c>
      <c r="AB52" s="31">
        <v>0.95285713314944898</v>
      </c>
      <c r="AC52" s="31">
        <v>102</v>
      </c>
      <c r="AD52" s="31">
        <v>40.485178947368425</v>
      </c>
      <c r="AE52" s="30">
        <v>0.125</v>
      </c>
    </row>
    <row r="53" spans="2:31" x14ac:dyDescent="0.25">
      <c r="B53" s="16">
        <v>1200</v>
      </c>
      <c r="C53" s="16">
        <v>1191</v>
      </c>
      <c r="E53" s="18"/>
      <c r="F53" s="18"/>
      <c r="G53" s="10"/>
      <c r="H53" s="18"/>
      <c r="I53" s="18"/>
      <c r="K53" s="28">
        <v>11</v>
      </c>
      <c r="L53" s="31">
        <v>1842.1052631578948</v>
      </c>
      <c r="M53" s="31">
        <v>1752.9621052631578</v>
      </c>
      <c r="N53" s="31">
        <v>29.847997503772842</v>
      </c>
      <c r="O53" s="31">
        <v>48.894389473684214</v>
      </c>
      <c r="P53" s="31">
        <v>0</v>
      </c>
      <c r="Q53" s="31">
        <v>101</v>
      </c>
      <c r="R53" s="31">
        <v>48.894389473684214</v>
      </c>
      <c r="S53" s="30">
        <v>0.125</v>
      </c>
      <c r="T53" s="36">
        <f t="shared" si="0"/>
        <v>89.143157894736987</v>
      </c>
      <c r="U53" s="14">
        <f t="shared" si="1"/>
        <v>-6.25E-2</v>
      </c>
      <c r="V53" s="14">
        <f t="shared" si="2"/>
        <v>6.25E-2</v>
      </c>
      <c r="W53" s="28">
        <v>11</v>
      </c>
      <c r="X53" s="31">
        <v>1842.1052631578948</v>
      </c>
      <c r="Y53" s="31">
        <v>1752.9621052631578</v>
      </c>
      <c r="Z53" s="31">
        <v>92.776613639924989</v>
      </c>
      <c r="AA53" s="31">
        <v>48.894389473684214</v>
      </c>
      <c r="AB53" s="31">
        <v>0.95596085031757094</v>
      </c>
      <c r="AC53" s="31">
        <v>102</v>
      </c>
      <c r="AD53" s="31">
        <v>48.894389473684214</v>
      </c>
      <c r="AE53" s="30">
        <v>0.125</v>
      </c>
    </row>
    <row r="54" spans="2:31" x14ac:dyDescent="0.25">
      <c r="B54" s="16">
        <v>1300</v>
      </c>
      <c r="C54" s="16">
        <v>1284</v>
      </c>
      <c r="E54" s="18"/>
      <c r="F54" s="18"/>
      <c r="G54" s="10"/>
      <c r="H54" s="18"/>
      <c r="I54" s="18"/>
      <c r="K54" s="28">
        <v>12</v>
      </c>
      <c r="L54" s="31">
        <v>2026.3157894736842</v>
      </c>
      <c r="M54" s="31">
        <v>1898.9936842105262</v>
      </c>
      <c r="N54" s="31">
        <v>30.253871670139414</v>
      </c>
      <c r="O54" s="31">
        <v>56.933073684210527</v>
      </c>
      <c r="P54" s="31">
        <v>0</v>
      </c>
      <c r="Q54" s="31">
        <v>101</v>
      </c>
      <c r="R54" s="31">
        <v>56.933073684210527</v>
      </c>
      <c r="S54" s="30">
        <v>0.125</v>
      </c>
      <c r="T54" s="36">
        <f t="shared" si="0"/>
        <v>127.32210526315794</v>
      </c>
      <c r="U54" s="14">
        <f t="shared" si="1"/>
        <v>-6.25E-2</v>
      </c>
      <c r="V54" s="14">
        <f t="shared" si="2"/>
        <v>6.25E-2</v>
      </c>
      <c r="W54" s="28">
        <v>12</v>
      </c>
      <c r="X54" s="31">
        <v>2026.3157894736842</v>
      </c>
      <c r="Y54" s="31">
        <v>1898.9936842105262</v>
      </c>
      <c r="Z54" s="31">
        <v>103.95508711672979</v>
      </c>
      <c r="AA54" s="31">
        <v>56.933073684210527</v>
      </c>
      <c r="AB54" s="31">
        <v>0.95779273481911442</v>
      </c>
      <c r="AC54" s="31">
        <v>102</v>
      </c>
      <c r="AD54" s="31">
        <v>56.933073684210527</v>
      </c>
      <c r="AE54" s="30">
        <v>0.125</v>
      </c>
    </row>
    <row r="55" spans="2:31" x14ac:dyDescent="0.25">
      <c r="B55" s="16">
        <v>1400</v>
      </c>
      <c r="C55" s="16">
        <v>1375</v>
      </c>
      <c r="E55" s="18"/>
      <c r="F55" s="18"/>
      <c r="G55" s="10"/>
      <c r="H55" s="18"/>
      <c r="I55" s="18"/>
      <c r="K55" s="28">
        <v>13</v>
      </c>
      <c r="L55" s="31">
        <v>2210.5263157894738</v>
      </c>
      <c r="M55" s="31">
        <v>2038.2884210526317</v>
      </c>
      <c r="N55" s="31">
        <v>30.634558008213975</v>
      </c>
      <c r="O55" s="31">
        <v>64.601231578947377</v>
      </c>
      <c r="P55" s="31">
        <v>0</v>
      </c>
      <c r="Q55" s="31">
        <v>101</v>
      </c>
      <c r="R55" s="31">
        <v>64.601231578947377</v>
      </c>
      <c r="S55" s="30">
        <v>0.125</v>
      </c>
      <c r="T55" s="36">
        <f t="shared" si="0"/>
        <v>172.23789473684201</v>
      </c>
      <c r="U55" s="14">
        <f t="shared" si="1"/>
        <v>-6.25E-2</v>
      </c>
      <c r="V55" s="14">
        <f t="shared" si="2"/>
        <v>6.25E-2</v>
      </c>
      <c r="W55" s="28">
        <v>13</v>
      </c>
      <c r="X55" s="31">
        <v>2210.5263157894738</v>
      </c>
      <c r="Y55" s="31">
        <v>2038.2884210526317</v>
      </c>
      <c r="Z55" s="31">
        <v>114.5742835198208</v>
      </c>
      <c r="AA55" s="31">
        <v>64.601231578947377</v>
      </c>
      <c r="AB55" s="31">
        <v>0.95879637775039317</v>
      </c>
      <c r="AC55" s="31">
        <v>102</v>
      </c>
      <c r="AD55" s="31">
        <v>64.601231578947377</v>
      </c>
      <c r="AE55" s="30">
        <v>0.125</v>
      </c>
    </row>
    <row r="56" spans="2:31" x14ac:dyDescent="0.25">
      <c r="B56" s="16">
        <v>1500</v>
      </c>
      <c r="C56" s="16">
        <v>1464</v>
      </c>
      <c r="E56" s="18"/>
      <c r="F56" s="18"/>
      <c r="G56" s="10"/>
      <c r="H56" s="18"/>
      <c r="I56" s="18"/>
      <c r="K56" s="28">
        <v>14</v>
      </c>
      <c r="L56" s="31">
        <v>2394.7368421052633</v>
      </c>
      <c r="M56" s="31">
        <v>2170.8463157894739</v>
      </c>
      <c r="N56" s="31">
        <v>30.990979383761346</v>
      </c>
      <c r="O56" s="31">
        <v>71.893073684210535</v>
      </c>
      <c r="P56" s="31">
        <v>0</v>
      </c>
      <c r="Q56" s="31">
        <v>101</v>
      </c>
      <c r="R56" s="31">
        <v>71.893073684210535</v>
      </c>
      <c r="S56" s="30">
        <v>0.125</v>
      </c>
      <c r="T56" s="36">
        <f t="shared" si="0"/>
        <v>223.89052631578943</v>
      </c>
      <c r="U56" s="14">
        <f t="shared" si="1"/>
        <v>-6.25E-2</v>
      </c>
      <c r="V56" s="14">
        <f t="shared" si="2"/>
        <v>6.25E-2</v>
      </c>
      <c r="W56" s="28">
        <v>14</v>
      </c>
      <c r="X56" s="31">
        <v>2394.7368421052633</v>
      </c>
      <c r="Y56" s="31">
        <v>2170.8463157894739</v>
      </c>
      <c r="Z56" s="31">
        <v>124.64915999064706</v>
      </c>
      <c r="AA56" s="31">
        <v>71.893073684210535</v>
      </c>
      <c r="AB56" s="31">
        <v>0.95931865812407469</v>
      </c>
      <c r="AC56" s="31">
        <v>102</v>
      </c>
      <c r="AD56" s="31">
        <v>71.893073684210535</v>
      </c>
      <c r="AE56" s="30">
        <v>0.125</v>
      </c>
    </row>
    <row r="57" spans="2:31" x14ac:dyDescent="0.25">
      <c r="B57" s="16">
        <v>1600</v>
      </c>
      <c r="C57" s="16">
        <v>1551</v>
      </c>
      <c r="E57" s="18"/>
      <c r="F57" s="18"/>
      <c r="G57" s="10"/>
      <c r="H57" s="18"/>
      <c r="I57" s="18"/>
      <c r="K57" s="28">
        <v>15</v>
      </c>
      <c r="L57" s="31">
        <v>2578.9473684210525</v>
      </c>
      <c r="M57" s="31">
        <v>2296.6673684210523</v>
      </c>
      <c r="N57" s="31">
        <v>31.323941325283361</v>
      </c>
      <c r="O57" s="31">
        <v>78.802810526315781</v>
      </c>
      <c r="P57" s="31">
        <v>0</v>
      </c>
      <c r="Q57" s="31">
        <v>101</v>
      </c>
      <c r="R57" s="31">
        <v>78.802810526315781</v>
      </c>
      <c r="S57" s="30">
        <v>0.125</v>
      </c>
      <c r="T57" s="36">
        <f t="shared" si="0"/>
        <v>282.2800000000002</v>
      </c>
      <c r="U57" s="14">
        <f t="shared" si="1"/>
        <v>-6.25E-2</v>
      </c>
      <c r="V57" s="14">
        <f t="shared" si="2"/>
        <v>6.25E-2</v>
      </c>
      <c r="W57" s="28">
        <v>15</v>
      </c>
      <c r="X57" s="31">
        <v>2578.9473684210525</v>
      </c>
      <c r="Y57" s="31">
        <v>2296.6673684210523</v>
      </c>
      <c r="Z57" s="31">
        <v>134.17122738733875</v>
      </c>
      <c r="AA57" s="31">
        <v>78.802810526315781</v>
      </c>
      <c r="AB57" s="31">
        <v>0.95952365115724414</v>
      </c>
      <c r="AC57" s="31">
        <v>102</v>
      </c>
      <c r="AD57" s="31">
        <v>78.802810526315781</v>
      </c>
      <c r="AE57" s="30">
        <v>0.125</v>
      </c>
    </row>
    <row r="58" spans="2:31" x14ac:dyDescent="0.25">
      <c r="B58" s="16">
        <v>1700</v>
      </c>
      <c r="C58" s="16">
        <v>1636</v>
      </c>
      <c r="E58" s="18"/>
      <c r="F58" s="18"/>
      <c r="G58" s="10"/>
      <c r="H58" s="18"/>
      <c r="I58" s="18"/>
      <c r="K58" s="28">
        <v>16</v>
      </c>
      <c r="L58" s="31">
        <v>2763.1578947368421</v>
      </c>
      <c r="M58" s="31">
        <v>2414.7609022556394</v>
      </c>
      <c r="N58" s="31">
        <v>31.62904209277977</v>
      </c>
      <c r="O58" s="31">
        <v>84.906123308270679</v>
      </c>
      <c r="P58" s="31">
        <v>0</v>
      </c>
      <c r="Q58" s="31">
        <v>101</v>
      </c>
      <c r="R58" s="31">
        <v>84.906123308270679</v>
      </c>
      <c r="S58" s="30">
        <v>0.125</v>
      </c>
      <c r="T58" s="36">
        <f t="shared" si="0"/>
        <v>348.39699248120269</v>
      </c>
      <c r="U58" s="14">
        <f t="shared" si="1"/>
        <v>-6.25E-2</v>
      </c>
      <c r="V58" s="14">
        <f t="shared" si="2"/>
        <v>6.25E-2</v>
      </c>
      <c r="W58" s="28">
        <v>16</v>
      </c>
      <c r="X58" s="31">
        <v>2763.1578947368421</v>
      </c>
      <c r="Y58" s="31">
        <v>2414.7609022556394</v>
      </c>
      <c r="Z58" s="31">
        <v>142.98307157666474</v>
      </c>
      <c r="AA58" s="31">
        <v>84.906123308270679</v>
      </c>
      <c r="AB58" s="31">
        <v>0.95958785002896141</v>
      </c>
      <c r="AC58" s="31">
        <v>102</v>
      </c>
      <c r="AD58" s="31">
        <v>84.906123308270679</v>
      </c>
      <c r="AE58" s="30">
        <v>0.125</v>
      </c>
    </row>
    <row r="59" spans="2:31" x14ac:dyDescent="0.25">
      <c r="B59" s="16">
        <v>1800</v>
      </c>
      <c r="C59" s="16">
        <v>1719</v>
      </c>
      <c r="E59" s="18"/>
      <c r="F59" s="18"/>
      <c r="G59" s="10"/>
      <c r="H59" s="18"/>
      <c r="I59" s="18"/>
      <c r="K59" s="28">
        <v>17</v>
      </c>
      <c r="L59" s="31">
        <v>2947.3684210526317</v>
      </c>
      <c r="M59" s="31">
        <v>2451.8421052631579</v>
      </c>
      <c r="N59" s="31">
        <v>31.746130160788294</v>
      </c>
      <c r="O59" s="31">
        <v>87.351315789473688</v>
      </c>
      <c r="P59" s="31">
        <v>0</v>
      </c>
      <c r="Q59" s="31">
        <v>101</v>
      </c>
      <c r="R59" s="31">
        <v>87.351315789473688</v>
      </c>
      <c r="S59" s="30">
        <v>0.125</v>
      </c>
      <c r="T59" s="36">
        <f t="shared" si="0"/>
        <v>495.52631578947376</v>
      </c>
      <c r="U59" s="14">
        <f t="shared" si="1"/>
        <v>-6.25E-2</v>
      </c>
      <c r="V59" s="14">
        <f t="shared" si="2"/>
        <v>6.25E-2</v>
      </c>
      <c r="W59" s="28">
        <v>17</v>
      </c>
      <c r="X59" s="31">
        <v>2947.3684210526317</v>
      </c>
      <c r="Y59" s="31">
        <v>2451.8421052631579</v>
      </c>
      <c r="Z59" s="31">
        <v>146.38108209220732</v>
      </c>
      <c r="AA59" s="31">
        <v>87.351315789473688</v>
      </c>
      <c r="AB59" s="31">
        <v>0.95955730498213132</v>
      </c>
      <c r="AC59" s="31">
        <v>102</v>
      </c>
      <c r="AD59" s="31">
        <v>87.351315789473688</v>
      </c>
      <c r="AE59" s="30">
        <v>0.125</v>
      </c>
    </row>
    <row r="60" spans="2:31" x14ac:dyDescent="0.25">
      <c r="B60" s="16">
        <v>1900</v>
      </c>
      <c r="C60" s="16">
        <v>1800</v>
      </c>
      <c r="E60" s="18"/>
      <c r="F60" s="18"/>
      <c r="G60" s="10"/>
      <c r="H60" s="18"/>
      <c r="I60" s="18"/>
      <c r="K60" s="28">
        <v>18</v>
      </c>
      <c r="L60" s="31">
        <v>3131.5789473684213</v>
      </c>
      <c r="M60" s="31">
        <v>2467.8947368421054</v>
      </c>
      <c r="N60" s="31">
        <v>31.787595735449326</v>
      </c>
      <c r="O60" s="31">
        <v>88.234210526315806</v>
      </c>
      <c r="P60" s="31">
        <v>0</v>
      </c>
      <c r="Q60" s="31">
        <v>101</v>
      </c>
      <c r="R60" s="31">
        <v>88.234210526315806</v>
      </c>
      <c r="S60" s="30">
        <v>0.125</v>
      </c>
      <c r="T60" s="36">
        <f t="shared" si="0"/>
        <v>663.68421052631584</v>
      </c>
      <c r="U60" s="14">
        <f t="shared" si="1"/>
        <v>-6.25E-2</v>
      </c>
      <c r="V60" s="14">
        <f t="shared" si="2"/>
        <v>6.25E-2</v>
      </c>
      <c r="W60" s="28">
        <v>18</v>
      </c>
      <c r="X60" s="31">
        <v>3131.5789473684213</v>
      </c>
      <c r="Y60" s="31">
        <v>2467.8947368421054</v>
      </c>
      <c r="Z60" s="31">
        <v>147.58788230541666</v>
      </c>
      <c r="AA60" s="31">
        <v>88.234210526315806</v>
      </c>
      <c r="AB60" s="31">
        <v>0.95953699924792724</v>
      </c>
      <c r="AC60" s="31">
        <v>102</v>
      </c>
      <c r="AD60" s="31">
        <v>88.234210526315806</v>
      </c>
      <c r="AE60" s="30">
        <v>0.125</v>
      </c>
    </row>
    <row r="61" spans="2:31" x14ac:dyDescent="0.25">
      <c r="B61" s="16">
        <v>2000</v>
      </c>
      <c r="C61" s="16">
        <v>1879</v>
      </c>
      <c r="E61" s="18"/>
      <c r="F61" s="18"/>
      <c r="G61" s="10"/>
      <c r="H61" s="18"/>
      <c r="I61" s="18"/>
      <c r="K61" s="28">
        <v>19</v>
      </c>
      <c r="L61" s="31">
        <v>3315.7894736842109</v>
      </c>
      <c r="M61" s="31">
        <v>2483.9473684210529</v>
      </c>
      <c r="N61" s="31">
        <v>31.828995068669133</v>
      </c>
      <c r="O61" s="31">
        <v>89.11710526315791</v>
      </c>
      <c r="P61" s="31">
        <v>0</v>
      </c>
      <c r="Q61" s="31">
        <v>101</v>
      </c>
      <c r="R61" s="31">
        <v>89.11710526315791</v>
      </c>
      <c r="S61" s="30">
        <v>0.125</v>
      </c>
      <c r="T61" s="36">
        <f t="shared" si="0"/>
        <v>831.84210526315792</v>
      </c>
      <c r="U61" s="14">
        <f t="shared" si="1"/>
        <v>-6.25E-2</v>
      </c>
      <c r="V61" s="14">
        <f t="shared" si="2"/>
        <v>6.25E-2</v>
      </c>
      <c r="W61" s="28">
        <v>19</v>
      </c>
      <c r="X61" s="31">
        <v>3315.7894736842109</v>
      </c>
      <c r="Y61" s="31">
        <v>2483.9473684210529</v>
      </c>
      <c r="Z61" s="31">
        <v>148.79418933454036</v>
      </c>
      <c r="AA61" s="31">
        <v>89.11710526315791</v>
      </c>
      <c r="AB61" s="31">
        <v>0.95951424745216096</v>
      </c>
      <c r="AC61" s="31">
        <v>102</v>
      </c>
      <c r="AD61" s="31">
        <v>89.11710526315791</v>
      </c>
      <c r="AE61" s="30">
        <v>0.125</v>
      </c>
    </row>
    <row r="62" spans="2:31" x14ac:dyDescent="0.25">
      <c r="B62" s="16">
        <v>2100</v>
      </c>
      <c r="C62" s="16">
        <v>1956</v>
      </c>
      <c r="E62" s="18"/>
      <c r="F62" s="18"/>
      <c r="G62" s="10"/>
      <c r="H62" s="18"/>
      <c r="I62" s="18"/>
      <c r="K62" s="32">
        <v>20</v>
      </c>
      <c r="L62" s="33">
        <v>3500</v>
      </c>
      <c r="M62" s="33">
        <v>2500</v>
      </c>
      <c r="N62" s="33">
        <v>31.870328548727464</v>
      </c>
      <c r="O62" s="33">
        <v>90</v>
      </c>
      <c r="P62" s="33">
        <v>0</v>
      </c>
      <c r="Q62" s="33">
        <v>101</v>
      </c>
      <c r="R62" s="33">
        <v>90</v>
      </c>
      <c r="S62" s="34">
        <v>0.125</v>
      </c>
      <c r="T62" s="36">
        <f t="shared" si="0"/>
        <v>1000</v>
      </c>
      <c r="U62" s="14">
        <f t="shared" si="1"/>
        <v>-6.25E-2</v>
      </c>
      <c r="V62" s="14">
        <f t="shared" si="2"/>
        <v>6.25E-2</v>
      </c>
      <c r="W62" s="32">
        <v>20</v>
      </c>
      <c r="X62" s="33">
        <v>3500</v>
      </c>
      <c r="Y62" s="33">
        <v>2500</v>
      </c>
      <c r="Z62" s="33">
        <v>150</v>
      </c>
      <c r="AA62" s="33">
        <v>90</v>
      </c>
      <c r="AB62" s="33">
        <v>0.95948911500492651</v>
      </c>
      <c r="AC62" s="33">
        <v>102</v>
      </c>
      <c r="AD62" s="33">
        <v>90</v>
      </c>
      <c r="AE62" s="34">
        <v>0.125</v>
      </c>
    </row>
    <row r="63" spans="2:31" x14ac:dyDescent="0.25">
      <c r="B63" s="16">
        <v>2200</v>
      </c>
      <c r="C63" s="16">
        <v>2031</v>
      </c>
      <c r="E63" s="18"/>
      <c r="F63" s="18"/>
      <c r="G63" s="10"/>
      <c r="H63" s="18"/>
      <c r="I63" s="18"/>
    </row>
    <row r="64" spans="2:31" x14ac:dyDescent="0.25">
      <c r="B64" s="16">
        <v>2300</v>
      </c>
      <c r="C64" s="16">
        <v>2104</v>
      </c>
      <c r="E64" s="18"/>
      <c r="F64" s="18"/>
      <c r="G64" s="10"/>
      <c r="H64" s="18"/>
      <c r="I64" s="18"/>
    </row>
    <row r="65" spans="2:16" x14ac:dyDescent="0.25">
      <c r="B65" s="16">
        <v>2400</v>
      </c>
      <c r="C65" s="16">
        <v>2175</v>
      </c>
      <c r="E65" s="18"/>
      <c r="F65" s="18"/>
      <c r="G65" s="10"/>
      <c r="H65" s="18"/>
      <c r="I65" s="18"/>
    </row>
    <row r="66" spans="2:16" x14ac:dyDescent="0.25">
      <c r="B66" s="16">
        <v>2500</v>
      </c>
      <c r="C66" s="16">
        <v>2244</v>
      </c>
      <c r="E66" s="18"/>
      <c r="F66" s="18"/>
      <c r="G66" s="10"/>
      <c r="H66" s="18"/>
      <c r="I66" s="18"/>
    </row>
    <row r="67" spans="2:16" x14ac:dyDescent="0.25">
      <c r="B67" s="16">
        <v>2600</v>
      </c>
      <c r="C67" s="16">
        <v>2311</v>
      </c>
      <c r="E67" s="18"/>
      <c r="F67" s="18"/>
      <c r="G67" s="10"/>
      <c r="H67" s="18"/>
      <c r="I67" s="18"/>
    </row>
    <row r="68" spans="2:16" x14ac:dyDescent="0.25">
      <c r="B68" s="16">
        <v>2700</v>
      </c>
      <c r="C68" s="16">
        <v>2376</v>
      </c>
      <c r="E68" s="18"/>
      <c r="F68" s="18"/>
      <c r="G68" s="10"/>
      <c r="H68" s="18"/>
      <c r="I68" s="18"/>
    </row>
    <row r="69" spans="2:16" x14ac:dyDescent="0.25">
      <c r="B69" s="16">
        <v>2800</v>
      </c>
      <c r="C69" s="16">
        <v>2439</v>
      </c>
      <c r="E69" s="18"/>
      <c r="F69" s="18"/>
      <c r="G69" s="10"/>
      <c r="H69" s="18"/>
      <c r="I69" s="18"/>
    </row>
    <row r="70" spans="2:16" x14ac:dyDescent="0.25">
      <c r="B70" s="16">
        <v>3500</v>
      </c>
      <c r="C70" s="16">
        <v>2500</v>
      </c>
      <c r="G70" s="10"/>
    </row>
    <row r="71" spans="2:16" x14ac:dyDescent="0.25">
      <c r="B71" s="16"/>
      <c r="C71" s="16"/>
      <c r="G71" s="10"/>
      <c r="P71" s="20"/>
    </row>
    <row r="72" spans="2:16" x14ac:dyDescent="0.25">
      <c r="B72" s="16"/>
      <c r="C72" s="16"/>
      <c r="G72" s="10"/>
    </row>
  </sheetData>
  <mergeCells count="11">
    <mergeCell ref="F28:G28"/>
    <mergeCell ref="F29:G29"/>
    <mergeCell ref="F30:G30"/>
    <mergeCell ref="F31:G31"/>
    <mergeCell ref="F32:G32"/>
    <mergeCell ref="B3:E3"/>
    <mergeCell ref="B4:E4"/>
    <mergeCell ref="B5:E5"/>
    <mergeCell ref="B6:E8"/>
    <mergeCell ref="F26:G26"/>
    <mergeCell ref="F27:G27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46</vt:i4>
      </vt:variant>
    </vt:vector>
  </HeadingPairs>
  <TitlesOfParts>
    <vt:vector size="47" baseType="lpstr">
      <vt:lpstr>exercise_pipeline</vt:lpstr>
      <vt:lpstr>exercise_pipeline!Bob_</vt:lpstr>
      <vt:lpstr>exercise_pipeline!calc_along_coord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exercise_pipeline!Pann</vt:lpstr>
      <vt:lpstr>exercise_pipeline!Pb_</vt:lpstr>
      <vt:lpstr>exercise_pipeline!Psep</vt:lpstr>
      <vt:lpstr>exercise_pipeline!PVT_corr_</vt:lpstr>
      <vt:lpstr>exercise_pipeline!PVT_gas</vt:lpstr>
      <vt:lpstr>exercise_pipeline!PVTstr_</vt:lpstr>
      <vt:lpstr>exercise_pipeline!Pwf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2020-04-20T20:48:13Z</dcterms:modified>
</cp:coreProperties>
</file>