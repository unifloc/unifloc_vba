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Git\unifloc_vba\examples\"/>
    </mc:Choice>
  </mc:AlternateContent>
  <xr:revisionPtr revIDLastSave="0" documentId="13_ncr:1_{B0654069-9180-4275-A107-C205E4E4F270}" xr6:coauthVersionLast="45" xr6:coauthVersionMax="45" xr10:uidLastSave="{00000000-0000-0000-0000-000000000000}"/>
  <bookViews>
    <workbookView xWindow="-120" yWindow="-120" windowWidth="29040" windowHeight="15840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req_" localSheetId="0">exercise_IPR!$C$26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Head_ESP_" localSheetId="0">exercise_IPR!$C$25</definedName>
    <definedName name="input_0" localSheetId="0">exercise_IPR!$C$11:$C$20</definedName>
    <definedName name="input_1" localSheetId="0">exercise_IPR!$C$33:$C$34</definedName>
    <definedName name="input_2" localSheetId="0">exercise_IPR!$C$37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exercise_IPR!$C$26</definedName>
    <definedName name="output_0" localSheetId="0">exercise_IPR!$D$43:$E$62</definedName>
    <definedName name="output_1" localSheetId="0">exercise_IPR!$L$40:$M$62</definedName>
    <definedName name="Pb_" localSheetId="0">exercise_IPR!$C$21</definedName>
    <definedName name="Pb_cal_" localSheetId="0">exercise_IPR!$C$16</definedName>
    <definedName name="PI_" localSheetId="0">exercise_IPR!$C$38</definedName>
    <definedName name="PI_2">exercise_IPR!$C$38</definedName>
    <definedName name="pline_calc">exercise_IPR!$R$42</definedName>
    <definedName name="Pres_" localSheetId="0">exercise_IPR!$C$37</definedName>
    <definedName name="PumpID_" localSheetId="0">exercise_IPR!$C$27</definedName>
    <definedName name="PVT_str_" localSheetId="0">exercise_IPR!$C$23</definedName>
    <definedName name="Pwftest_" localSheetId="0">exercise_IPR!$C$34</definedName>
    <definedName name="Q_ESP_" localSheetId="0">exercise_IPR!$C$24</definedName>
    <definedName name="qltest_" localSheetId="0">exercise_IPR!$C$33</definedName>
    <definedName name="qmax_" localSheetId="0">exercise_IPR!$C$39</definedName>
    <definedName name="Rp_" localSheetId="0">exercise_IPR!$C$15</definedName>
    <definedName name="Rsb_" localSheetId="0">exercise_IPR!$C$14</definedName>
    <definedName name="solver_adj" localSheetId="0" hidden="1">exercise_IPR!$R$42</definedName>
    <definedName name="solver_cvg" localSheetId="0" hidden="1">0.1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exercise_IPR!$R$44</definedName>
    <definedName name="solver_pre" localSheetId="0" hidden="1">0.1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0.001</definedName>
    <definedName name="solver_typ" localSheetId="0" hidden="1">2</definedName>
    <definedName name="solver_val" localSheetId="0" hidden="1">0</definedName>
    <definedName name="solver_ver" localSheetId="0" hidden="1">3</definedName>
    <definedName name="Tres_" localSheetId="0">exercise_IPR!$C$17</definedName>
    <definedName name="tsurface_c">exercise_IPR!$C$22</definedName>
  </definedNames>
  <calcPr calcId="181029" iterate="1" iterateDelta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4" i="111" l="1"/>
  <c r="C99" i="111"/>
  <c r="C98" i="111"/>
  <c r="K100" i="111"/>
  <c r="G96" i="111"/>
  <c r="G97" i="111"/>
  <c r="G98" i="111"/>
  <c r="K93" i="111"/>
  <c r="C105" i="111" l="1"/>
  <c r="C106" i="111" s="1"/>
  <c r="C107" i="111" s="1"/>
  <c r="C108" i="111" s="1"/>
  <c r="C109" i="111" s="1"/>
  <c r="C110" i="111" s="1"/>
  <c r="C111" i="111" s="1"/>
  <c r="C112" i="111" s="1"/>
  <c r="C113" i="111" s="1"/>
  <c r="C114" i="111" s="1"/>
  <c r="C97" i="111" l="1"/>
  <c r="X45" i="111" l="1"/>
  <c r="X46" i="111"/>
  <c r="X47" i="111"/>
  <c r="X48" i="111"/>
  <c r="X49" i="111"/>
  <c r="X50" i="111"/>
  <c r="X51" i="111"/>
  <c r="X52" i="111"/>
  <c r="X53" i="111"/>
  <c r="X54" i="111"/>
  <c r="X44" i="111"/>
  <c r="G28" i="111"/>
  <c r="C71" i="111"/>
  <c r="C21" i="111"/>
  <c r="E20" i="111" l="1"/>
  <c r="E17" i="111"/>
  <c r="E16" i="111"/>
  <c r="E15" i="111"/>
  <c r="E14" i="111"/>
  <c r="E13" i="111"/>
  <c r="E12" i="111"/>
  <c r="E11" i="111"/>
  <c r="D104" i="111"/>
  <c r="E104" i="111" s="1" a="1"/>
  <c r="C23" i="111" a="1"/>
  <c r="G1" i="111"/>
  <c r="C72" i="111" a="1"/>
  <c r="C38" i="111" a="1"/>
  <c r="E104" i="111" l="1"/>
  <c r="F104" i="111"/>
  <c r="C72" i="111"/>
  <c r="C38" i="111"/>
  <c r="C23" i="111"/>
  <c r="E21" i="111"/>
  <c r="G104" i="111" a="1"/>
  <c r="D78" i="111"/>
  <c r="C73" i="111" a="1"/>
  <c r="D44" i="111"/>
  <c r="C39" i="111" a="1"/>
  <c r="G104" i="111" l="1"/>
  <c r="H104" i="111"/>
  <c r="C73" i="111"/>
  <c r="C39" i="111"/>
  <c r="C45" i="111" s="1"/>
  <c r="I104" i="111"/>
  <c r="E44" i="111"/>
  <c r="E78" i="111"/>
  <c r="D45" i="111"/>
  <c r="C79" i="111" l="1"/>
  <c r="C46" i="111"/>
  <c r="C80" i="111"/>
  <c r="D79" i="111"/>
  <c r="D105" i="111"/>
  <c r="E105" i="111" s="1" a="1"/>
  <c r="E45" i="111"/>
  <c r="E79" i="111"/>
  <c r="D80" i="111"/>
  <c r="D46" i="111"/>
  <c r="F105" i="111" l="1"/>
  <c r="E105" i="111"/>
  <c r="C47" i="111"/>
  <c r="C81" i="111"/>
  <c r="G105" i="111" a="1"/>
  <c r="D106" i="111"/>
  <c r="E106" i="111" s="1" a="1"/>
  <c r="E46" i="111"/>
  <c r="E80" i="111"/>
  <c r="D81" i="111"/>
  <c r="D47" i="111"/>
  <c r="E106" i="111" l="1"/>
  <c r="F106" i="111"/>
  <c r="H105" i="111"/>
  <c r="G105" i="111"/>
  <c r="C48" i="111"/>
  <c r="C82" i="111"/>
  <c r="I105" i="111"/>
  <c r="G106" i="111" a="1"/>
  <c r="D107" i="111"/>
  <c r="E107" i="111" s="1" a="1"/>
  <c r="E47" i="111"/>
  <c r="E81" i="111"/>
  <c r="D82" i="111"/>
  <c r="D48" i="111"/>
  <c r="E107" i="111" l="1"/>
  <c r="F107" i="111"/>
  <c r="G106" i="111"/>
  <c r="H106" i="111"/>
  <c r="C49" i="111"/>
  <c r="C83" i="111"/>
  <c r="I106" i="111"/>
  <c r="G107" i="111" a="1"/>
  <c r="D108" i="111"/>
  <c r="E108" i="111" s="1" a="1"/>
  <c r="E48" i="111"/>
  <c r="E82" i="111"/>
  <c r="D49" i="111"/>
  <c r="D83" i="111"/>
  <c r="E108" i="111" l="1"/>
  <c r="F108" i="111"/>
  <c r="G107" i="111"/>
  <c r="H107" i="111"/>
  <c r="C50" i="111"/>
  <c r="C84" i="111"/>
  <c r="I107" i="111"/>
  <c r="G108" i="111" a="1"/>
  <c r="D109" i="111"/>
  <c r="E109" i="111" s="1" a="1"/>
  <c r="E83" i="111"/>
  <c r="E49" i="111"/>
  <c r="D84" i="111"/>
  <c r="D50" i="111"/>
  <c r="E109" i="111" l="1"/>
  <c r="F109" i="111"/>
  <c r="G108" i="111"/>
  <c r="H108" i="111"/>
  <c r="C51" i="111"/>
  <c r="C85" i="111"/>
  <c r="I108" i="111"/>
  <c r="G109" i="111" a="1"/>
  <c r="D110" i="111"/>
  <c r="E110" i="111" s="1" a="1"/>
  <c r="E50" i="111"/>
  <c r="E84" i="111"/>
  <c r="D85" i="111"/>
  <c r="D51" i="111"/>
  <c r="E51" i="111"/>
  <c r="E110" i="111" l="1"/>
  <c r="F110" i="111"/>
  <c r="G109" i="111"/>
  <c r="H109" i="111"/>
  <c r="C52" i="111"/>
  <c r="C86" i="111"/>
  <c r="I109" i="111"/>
  <c r="G110" i="111" a="1"/>
  <c r="D111" i="111"/>
  <c r="E111" i="111" s="1" a="1"/>
  <c r="D86" i="111"/>
  <c r="D52" i="111"/>
  <c r="E85" i="111"/>
  <c r="E111" i="111" l="1"/>
  <c r="F111" i="111"/>
  <c r="G110" i="111"/>
  <c r="H110" i="111"/>
  <c r="C53" i="111"/>
  <c r="C54" i="111" s="1"/>
  <c r="C87" i="111"/>
  <c r="I110" i="111"/>
  <c r="G111" i="111" a="1"/>
  <c r="D112" i="111"/>
  <c r="E112" i="111" s="1" a="1"/>
  <c r="D87" i="111"/>
  <c r="D53" i="111"/>
  <c r="E52" i="111"/>
  <c r="E86" i="111"/>
  <c r="D54" i="111"/>
  <c r="E54" i="111" s="1"/>
  <c r="E112" i="111" l="1"/>
  <c r="F112" i="111"/>
  <c r="G111" i="111"/>
  <c r="H111" i="111"/>
  <c r="C88" i="111"/>
  <c r="I111" i="111"/>
  <c r="G112" i="111" a="1"/>
  <c r="D113" i="111"/>
  <c r="E113" i="111" s="1" a="1"/>
  <c r="D88" i="111"/>
  <c r="E53" i="111"/>
  <c r="E87" i="111"/>
  <c r="E88" i="111"/>
  <c r="E113" i="111" l="1"/>
  <c r="F113" i="111"/>
  <c r="G112" i="111"/>
  <c r="H112" i="111"/>
  <c r="I112" i="111"/>
  <c r="G113" i="111" a="1"/>
  <c r="D114" i="111"/>
  <c r="E114" i="111" a="1"/>
  <c r="E114" i="111" l="1"/>
  <c r="F114" i="111"/>
  <c r="G113" i="111"/>
  <c r="H113" i="111"/>
  <c r="I113" i="111"/>
  <c r="G114" i="111" a="1"/>
  <c r="G114" i="111" l="1"/>
  <c r="H114" i="111"/>
  <c r="F44" i="111"/>
  <c r="F45" i="111"/>
  <c r="F46" i="111"/>
  <c r="F47" i="111"/>
  <c r="F48" i="111"/>
  <c r="F49" i="111"/>
  <c r="F50" i="111"/>
  <c r="F51" i="111"/>
  <c r="F52" i="111"/>
  <c r="F53" i="111"/>
  <c r="F54" i="111"/>
  <c r="F78" i="111"/>
  <c r="F79" i="111"/>
  <c r="F80" i="111"/>
  <c r="F81" i="111"/>
  <c r="F82" i="111"/>
  <c r="F83" i="111"/>
  <c r="F84" i="111"/>
  <c r="F85" i="111"/>
  <c r="F86" i="111"/>
  <c r="F87" i="111"/>
  <c r="F88" i="111"/>
  <c r="J104" i="111"/>
  <c r="J105" i="111"/>
  <c r="J106" i="111"/>
  <c r="J107" i="111"/>
  <c r="J108" i="111"/>
  <c r="J109" i="111"/>
  <c r="J110" i="111"/>
  <c r="J111" i="111"/>
  <c r="J112" i="111"/>
  <c r="J113" i="111"/>
  <c r="G41" i="111"/>
  <c r="G39" i="111"/>
  <c r="G40" i="111" s="1"/>
  <c r="R38" i="111"/>
  <c r="G75" i="111"/>
  <c r="G73" i="111"/>
  <c r="G74" i="111"/>
  <c r="R39" i="111"/>
  <c r="G101" i="111"/>
  <c r="G100" i="111"/>
  <c r="G99" i="111"/>
  <c r="T94" i="111"/>
  <c r="T93" i="111"/>
  <c r="R40" i="111"/>
  <c r="R41" i="111"/>
  <c r="T41" i="111" s="1"/>
  <c r="R43" i="111"/>
  <c r="V45" i="111" l="1"/>
  <c r="R44" i="111"/>
  <c r="T42" i="111"/>
  <c r="W45" i="111"/>
  <c r="V46" i="111" l="1"/>
  <c r="W46" i="111"/>
  <c r="V47" i="111" l="1"/>
  <c r="W47" i="111"/>
  <c r="V48" i="111" l="1"/>
  <c r="W48" i="111"/>
  <c r="V49" i="111" l="1"/>
  <c r="W49" i="111"/>
  <c r="V50" i="111" l="1"/>
  <c r="W50" i="111"/>
  <c r="V51" i="111" l="1"/>
  <c r="W51" i="111"/>
  <c r="V52" i="111" l="1"/>
  <c r="W52" i="111"/>
  <c r="V53" i="111" l="1"/>
  <c r="W53" i="111"/>
  <c r="V54" i="111" l="1"/>
  <c r="W54" i="111"/>
</calcChain>
</file>

<file path=xl/sharedStrings.xml><?xml version="1.0" encoding="utf-8"?>
<sst xmlns="http://schemas.openxmlformats.org/spreadsheetml/2006/main" count="192" uniqueCount="119">
  <si>
    <t>Параметры пласта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</si>
  <si>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</si>
  <si>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</si>
  <si>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</si>
  <si>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</si>
  <si>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</si>
  <si>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</si>
  <si>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</si>
  <si>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</si>
  <si>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</si>
  <si>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</si>
  <si>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</si>
  <si>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</si>
  <si>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</si>
  <si>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</si>
  <si>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</si>
  <si>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</si>
  <si>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</si>
  <si>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</si>
  <si>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</si>
  <si>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</si>
  <si>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</si>
  <si>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</si>
  <si>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</si>
  <si>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</si>
  <si>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</si>
  <si>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</si>
  <si>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</si>
  <si>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</si>
  <si>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</si>
  <si>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</si>
  <si>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</si>
  <si>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</si>
  <si>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</si>
  <si>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</si>
  <si>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</si>
  <si>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</si>
  <si>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</si>
  <si>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</si>
  <si>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</si>
  <si>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</si>
  <si>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</si>
  <si>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</si>
  <si>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</si>
  <si>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</si>
  <si>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</si>
  <si>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</si>
  <si>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</si>
  <si>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</si>
  <si>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</si>
  <si>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</si>
  <si>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</si>
  <si>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Скважина 1</t>
  </si>
  <si>
    <t>Q</t>
  </si>
  <si>
    <t>Pwf</t>
  </si>
  <si>
    <t>Скважина 2</t>
  </si>
  <si>
    <t xml:space="preserve">Температура </t>
  </si>
  <si>
    <t>Диаметры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</si>
  <si>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</si>
  <si>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</si>
  <si>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</si>
  <si>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</si>
  <si>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м</t>
  </si>
  <si>
    <t>мм</t>
  </si>
  <si>
    <t>Pbuf</t>
  </si>
  <si>
    <t>Глубина</t>
  </si>
  <si>
    <t>hydr_cor</t>
  </si>
  <si>
    <t>temp_method</t>
  </si>
  <si>
    <t>Трубопровод</t>
  </si>
  <si>
    <t>P line</t>
  </si>
  <si>
    <t>P УПН</t>
  </si>
  <si>
    <t>tsurface</t>
  </si>
  <si>
    <t>Dtube</t>
  </si>
  <si>
    <t>dchoke</t>
  </si>
  <si>
    <t>dtube</t>
  </si>
  <si>
    <t>Pbuf choke</t>
  </si>
  <si>
    <t>Pbuf well</t>
  </si>
  <si>
    <t>Qliq2</t>
  </si>
  <si>
    <t>Pwf2</t>
  </si>
  <si>
    <t>Pbuf2</t>
  </si>
  <si>
    <t>Pplant</t>
  </si>
  <si>
    <t>qliq_total</t>
  </si>
  <si>
    <t>pline</t>
  </si>
  <si>
    <t>Скважина 3</t>
  </si>
  <si>
    <t>Инклинометрия</t>
  </si>
  <si>
    <t>Hmes</t>
  </si>
  <si>
    <t>Pintake</t>
  </si>
  <si>
    <r>
      <t>ЭЦН Q</t>
    </r>
    <r>
      <rPr>
        <vertAlign val="subscript"/>
        <sz val="10"/>
        <rFont val="Arial Cyr"/>
        <charset val="204"/>
      </rPr>
      <t>nom</t>
    </r>
  </si>
  <si>
    <t>м3/сут</t>
  </si>
  <si>
    <r>
      <t>ЭЦН H</t>
    </r>
    <r>
      <rPr>
        <vertAlign val="subscript"/>
        <sz val="10"/>
        <rFont val="Arial Cyr"/>
        <charset val="204"/>
      </rPr>
      <t>nom</t>
    </r>
  </si>
  <si>
    <t xml:space="preserve">м </t>
  </si>
  <si>
    <t>F</t>
  </si>
  <si>
    <t>Гц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</si>
  <si>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</si>
  <si>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</si>
  <si>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</si>
  <si>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t>Ступени</t>
  </si>
  <si>
    <t>шт</t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</si>
  <si>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</si>
  <si>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</si>
  <si>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t>атм</t>
  </si>
  <si>
    <r>
      <t>T</t>
    </r>
    <r>
      <rPr>
        <vertAlign val="subscript"/>
        <sz val="10"/>
        <rFont val="Arial Cyr"/>
        <charset val="204"/>
      </rPr>
      <t>sep</t>
    </r>
  </si>
  <si>
    <t>С</t>
  </si>
  <si>
    <t>Вязкость</t>
  </si>
  <si>
    <t>gas_degr_type</t>
  </si>
  <si>
    <t>PVT ЭЦН и НКТ</t>
  </si>
  <si>
    <t>Pdis</t>
  </si>
  <si>
    <t>Tintake</t>
  </si>
  <si>
    <t>Tdis</t>
  </si>
  <si>
    <t>Pwh</t>
  </si>
  <si>
    <t>Pline</t>
  </si>
  <si>
    <t>Pwf3</t>
  </si>
  <si>
    <t>Pbuf3</t>
  </si>
  <si>
    <t>Qliq3</t>
  </si>
  <si>
    <t>q1</t>
  </si>
  <si>
    <t>q2</t>
  </si>
  <si>
    <t>q3</t>
  </si>
  <si>
    <t>Pline_calc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</si>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</sst>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57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0" borderId="0" xfId="0" applyAlignment="1">
      <alignment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9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 wrapText="1"/>
    </xf>
    <xf numFmtId="0" fontId="0" fillId="9" borderId="10" xfId="0" applyFill="1" applyBorder="1" applyAlignment="1">
      <alignment horizontal="center"/>
    </xf>
    <xf numFmtId="2" fontId="0" fillId="0" borderId="0" xfId="0" applyNumberFormat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exercise_IPR!$A$31</c:f>
              <c:strCache>
                <c:ptCount val="1"/>
                <c:pt idx="0">
                  <c:v>Скважина 1</c:v>
                </c:pt>
              </c:strCache>
            </c:strRef>
          </c:tx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exercise_IPR!$D$44:$D$64</c:f>
              <c:numCache>
                <c:formatCode>General</c:formatCode>
                <c:ptCount val="21"/>
                <c:pt idx="0">
                  <c:v>250</c:v>
                </c:pt>
                <c:pt idx="1">
                  <c:v>229.79432795923213</c:v>
                </c:pt>
                <c:pt idx="2">
                  <c:v>209.58865591846427</c:v>
                </c:pt>
                <c:pt idx="3">
                  <c:v>189.3829838776964</c:v>
                </c:pt>
                <c:pt idx="4">
                  <c:v>169.17731183692854</c:v>
                </c:pt>
                <c:pt idx="5">
                  <c:v>148.9716397961607</c:v>
                </c:pt>
                <c:pt idx="6">
                  <c:v>128.76596775539284</c:v>
                </c:pt>
                <c:pt idx="7">
                  <c:v>108.29494250654452</c:v>
                </c:pt>
                <c:pt idx="8">
                  <c:v>85.872708958868301</c:v>
                </c:pt>
                <c:pt idx="9">
                  <c:v>59.075310194042174</c:v>
                </c:pt>
                <c:pt idx="10">
                  <c:v>1.0000000000001039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B73-46ED-B31A-FA11ADB2B201}"/>
            </c:ext>
          </c:extLst>
        </c:ser>
        <c:ser>
          <c:idx val="5"/>
          <c:order val="1"/>
          <c:tx>
            <c:strRef>
              <c:f>exercise_IPR!$A$65</c:f>
              <c:strCache>
                <c:ptCount val="1"/>
                <c:pt idx="0">
                  <c:v>Скважина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</c:marker>
          <c:xVal>
            <c:numRef>
              <c:f>exercise_IPR!$C$78:$C$88</c:f>
              <c:numCache>
                <c:formatCode>General</c:formatCode>
                <c:ptCount val="1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exercise_IPR!$D$78:$D$88</c:f>
              <c:numCache>
                <c:formatCode>General</c:formatCode>
                <c:ptCount val="11"/>
                <c:pt idx="0">
                  <c:v>250</c:v>
                </c:pt>
                <c:pt idx="1">
                  <c:v>229.79432795923213</c:v>
                </c:pt>
                <c:pt idx="2">
                  <c:v>209.58865591846427</c:v>
                </c:pt>
                <c:pt idx="3">
                  <c:v>189.3829838776964</c:v>
                </c:pt>
                <c:pt idx="4">
                  <c:v>169.17731183692854</c:v>
                </c:pt>
                <c:pt idx="5">
                  <c:v>148.9716397961607</c:v>
                </c:pt>
                <c:pt idx="6">
                  <c:v>128.76596775539284</c:v>
                </c:pt>
                <c:pt idx="7">
                  <c:v>108.29494250654452</c:v>
                </c:pt>
                <c:pt idx="8">
                  <c:v>85.872708958868301</c:v>
                </c:pt>
                <c:pt idx="9">
                  <c:v>59.075310194042174</c:v>
                </c:pt>
                <c:pt idx="10">
                  <c:v>1.0000000000001039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B73-46ED-B31A-FA11ADB2B201}"/>
            </c:ext>
          </c:extLst>
        </c:ser>
        <c:ser>
          <c:idx val="0"/>
          <c:order val="2"/>
          <c:tx>
            <c:strRef>
              <c:f>exercise_IPR!$A$91</c:f>
              <c:strCache>
                <c:ptCount val="1"/>
                <c:pt idx="0">
                  <c:v>Скважина 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exercise_IPR!$C$104:$C$114</c:f>
              <c:numCache>
                <c:formatCode>General</c:formatCode>
                <c:ptCount val="11"/>
                <c:pt idx="0">
                  <c:v>0</c:v>
                </c:pt>
                <c:pt idx="1">
                  <c:v>28.865245772525515</c:v>
                </c:pt>
                <c:pt idx="2">
                  <c:v>57.730491545051031</c:v>
                </c:pt>
                <c:pt idx="3">
                  <c:v>86.59573731757655</c:v>
                </c:pt>
                <c:pt idx="4">
                  <c:v>115.46098309010206</c:v>
                </c:pt>
                <c:pt idx="5">
                  <c:v>144.32622886262757</c:v>
                </c:pt>
                <c:pt idx="6">
                  <c:v>173.1914746351531</c:v>
                </c:pt>
                <c:pt idx="7">
                  <c:v>202.05672040767863</c:v>
                </c:pt>
                <c:pt idx="8">
                  <c:v>230.92196618020415</c:v>
                </c:pt>
                <c:pt idx="9">
                  <c:v>259.78721195272965</c:v>
                </c:pt>
                <c:pt idx="10">
                  <c:v>288.65245772525515</c:v>
                </c:pt>
              </c:numCache>
            </c:numRef>
          </c:xVal>
          <c:yVal>
            <c:numRef>
              <c:f>exercise_IPR!$D$104:$D$114</c:f>
              <c:numCache>
                <c:formatCode>General</c:formatCode>
                <c:ptCount val="11"/>
                <c:pt idx="0">
                  <c:v>250</c:v>
                </c:pt>
                <c:pt idx="1">
                  <c:v>229.79432795923213</c:v>
                </c:pt>
                <c:pt idx="2">
                  <c:v>209.58865591846427</c:v>
                </c:pt>
                <c:pt idx="3">
                  <c:v>189.3829838776964</c:v>
                </c:pt>
                <c:pt idx="4">
                  <c:v>169.17731183692857</c:v>
                </c:pt>
                <c:pt idx="5">
                  <c:v>148.9716397961607</c:v>
                </c:pt>
                <c:pt idx="6">
                  <c:v>128.76596775539284</c:v>
                </c:pt>
                <c:pt idx="7">
                  <c:v>108.29494250654452</c:v>
                </c:pt>
                <c:pt idx="8">
                  <c:v>85.872708958868259</c:v>
                </c:pt>
                <c:pt idx="9">
                  <c:v>59.075310194042146</c:v>
                </c:pt>
                <c:pt idx="10">
                  <c:v>1.0000000000000357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B73-46ED-B31A-FA11ADB2B201}"/>
            </c:ext>
          </c:extLst>
        </c:ser>
        <c:ser>
          <c:idx val="1"/>
          <c:order val="3"/>
          <c:tx>
            <c:v>Скважина 1. Рабочая точка</c:v>
          </c:tx>
          <c:dPt>
            <c:idx val="0"/>
            <c:marker>
              <c:symbol val="circle"/>
              <c:size val="9"/>
            </c:marker>
            <c:bubble3D val="0"/>
            <c:extLst>
              <c:ext xmlns:c16="http://schemas.microsoft.com/office/drawing/2014/chart" uri="{C3380CC4-5D6E-409C-BE32-E72D297353CC}">
                <c16:uniqueId val="{00000027-7B73-46ED-B31A-FA11ADB2B201}"/>
              </c:ext>
            </c:extLst>
          </c:dPt>
          <c:xVal>
            <c:numRef>
              <c:f>exercise_IPR!$G$41</c:f>
              <c:numCache>
                <c:formatCode>0.00</c:formatCode>
                <c:ptCount val="1"/>
                <c:pt idx="0">
                  <c:v>21.766456056638692</c:v>
                </c:pt>
              </c:numCache>
            </c:numRef>
          </c:xVal>
          <c:yVal>
            <c:numRef>
              <c:f>exercise_IPR!$G$39</c:f>
              <c:numCache>
                <c:formatCode>0</c:formatCode>
                <c:ptCount val="1"/>
                <c:pt idx="0">
                  <c:v>230.41018954902518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7B73-46ED-B31A-FA11ADB2B201}"/>
            </c:ext>
          </c:extLst>
        </c:ser>
        <c:ser>
          <c:idx val="2"/>
          <c:order val="4"/>
          <c:tx>
            <c:v>Скважина 2. Рабочая точка</c:v>
          </c:tx>
          <c:marker>
            <c:symbol val="circle"/>
            <c:size val="9"/>
          </c:marker>
          <c:xVal>
            <c:numRef>
              <c:f>exercise_IPR!$G$75</c:f>
              <c:numCache>
                <c:formatCode>0.00</c:formatCode>
                <c:ptCount val="1"/>
                <c:pt idx="0">
                  <c:v>93.942734273730935</c:v>
                </c:pt>
              </c:numCache>
            </c:numRef>
          </c:xVal>
          <c:yVal>
            <c:numRef>
              <c:f>exercise_IPR!$G$73</c:f>
              <c:numCache>
                <c:formatCode>0</c:formatCode>
                <c:ptCount val="1"/>
                <c:pt idx="0">
                  <c:v>207.72576957682108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7B73-46ED-B31A-FA11ADB2B201}"/>
            </c:ext>
          </c:extLst>
        </c:ser>
        <c:ser>
          <c:idx val="3"/>
          <c:order val="5"/>
          <c:tx>
            <c:v>Скважина 3. Рабочая точка</c:v>
          </c:tx>
          <c:marker>
            <c:symbol val="circle"/>
            <c:size val="10"/>
          </c:marker>
          <c:xVal>
            <c:numRef>
              <c:f>exercise_IPR!$G$101</c:f>
              <c:numCache>
                <c:formatCode>0.00</c:formatCode>
                <c:ptCount val="1"/>
                <c:pt idx="0">
                  <c:v>195.2951485475491</c:v>
                </c:pt>
              </c:numCache>
            </c:numRef>
          </c:xVal>
          <c:yVal>
            <c:numRef>
              <c:f>exercise_IPR!$G$99</c:f>
              <c:numCache>
                <c:formatCode>0</c:formatCode>
                <c:ptCount val="1"/>
                <c:pt idx="0">
                  <c:v>113.20568825272792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7B73-46ED-B31A-FA11ADB2B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Скважина</a:t>
            </a:r>
            <a:r>
              <a:rPr lang="ru-RU" baseline="0"/>
              <a:t> №1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exercise_IPR!$E$43</c:f>
              <c:strCache>
                <c:ptCount val="1"/>
                <c:pt idx="0">
                  <c:v>Pbuf well</c:v>
                </c:pt>
              </c:strCache>
            </c:strRef>
          </c:tx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exercise_IPR!$E$44:$E$64</c:f>
              <c:numCache>
                <c:formatCode>General</c:formatCode>
                <c:ptCount val="21"/>
                <c:pt idx="0">
                  <c:v>54.191395741483326</c:v>
                </c:pt>
                <c:pt idx="1">
                  <c:v>19.385161916749396</c:v>
                </c:pt>
                <c:pt idx="2">
                  <c:v>16.871933440220317</c:v>
                </c:pt>
                <c:pt idx="3">
                  <c:v>11.533214357696346</c:v>
                </c:pt>
                <c:pt idx="4">
                  <c:v>4.7460475997644807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9-4729-BC83-E76E3F531599}"/>
            </c:ext>
          </c:extLst>
        </c:ser>
        <c:ser>
          <c:idx val="0"/>
          <c:order val="1"/>
          <c:tx>
            <c:strRef>
              <c:f>exercise_IPR!$F$43</c:f>
              <c:strCache>
                <c:ptCount val="1"/>
                <c:pt idx="0">
                  <c:v>Pbuf choke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exercise_IPR!$C$44:$C$64</c:f>
              <c:numCache>
                <c:formatCode>General</c:formatCode>
                <c:ptCount val="21"/>
                <c:pt idx="0">
                  <c:v>0</c:v>
                </c:pt>
                <c:pt idx="1">
                  <c:v>22.450746711964293</c:v>
                </c:pt>
                <c:pt idx="2">
                  <c:v>44.901493423928585</c:v>
                </c:pt>
                <c:pt idx="3">
                  <c:v>67.352240135892885</c:v>
                </c:pt>
                <c:pt idx="4">
                  <c:v>89.80298684785717</c:v>
                </c:pt>
                <c:pt idx="5">
                  <c:v>112.25373355982146</c:v>
                </c:pt>
                <c:pt idx="6">
                  <c:v>134.70448027178574</c:v>
                </c:pt>
                <c:pt idx="7">
                  <c:v>157.15522698375003</c:v>
                </c:pt>
                <c:pt idx="8">
                  <c:v>179.60597369571431</c:v>
                </c:pt>
                <c:pt idx="9">
                  <c:v>202.0567204076786</c:v>
                </c:pt>
                <c:pt idx="10">
                  <c:v>224.50746711964288</c:v>
                </c:pt>
              </c:numCache>
            </c:numRef>
          </c:xVal>
          <c:yVal>
            <c:numRef>
              <c:f>exercise_IPR!$F$44:$F$64</c:f>
              <c:numCache>
                <c:formatCode>General</c:formatCode>
                <c:ptCount val="21"/>
                <c:pt idx="0">
                  <c:v>20.446043359086932</c:v>
                </c:pt>
                <c:pt idx="1">
                  <c:v>20.446043359086932</c:v>
                </c:pt>
                <c:pt idx="2">
                  <c:v>20.446043359086932</c:v>
                </c:pt>
                <c:pt idx="3">
                  <c:v>20.446043359086932</c:v>
                </c:pt>
                <c:pt idx="4">
                  <c:v>20.446043359086932</c:v>
                </c:pt>
                <c:pt idx="5">
                  <c:v>20.446043359086932</c:v>
                </c:pt>
                <c:pt idx="6">
                  <c:v>20.446043359086932</c:v>
                </c:pt>
                <c:pt idx="7">
                  <c:v>20.446043359086932</c:v>
                </c:pt>
                <c:pt idx="8">
                  <c:v>20.446043359086932</c:v>
                </c:pt>
                <c:pt idx="9">
                  <c:v>20.446043359086932</c:v>
                </c:pt>
                <c:pt idx="10">
                  <c:v>20.446043359086932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9-4729-BC83-E76E3F531599}"/>
            </c:ext>
          </c:extLst>
        </c:ser>
        <c:ser>
          <c:idx val="2"/>
          <c:order val="2"/>
          <c:tx>
            <c:v>Рабочий режим</c:v>
          </c:tx>
          <c:marker>
            <c:symbol val="circle"/>
            <c:size val="12"/>
            <c:spPr>
              <a:solidFill>
                <a:srgbClr val="FF0000"/>
              </a:solidFill>
            </c:spPr>
          </c:marker>
          <c:xVal>
            <c:numRef>
              <c:f>exercise_IPR!$G$41</c:f>
              <c:numCache>
                <c:formatCode>0.00</c:formatCode>
                <c:ptCount val="1"/>
                <c:pt idx="0">
                  <c:v>21.766456056638692</c:v>
                </c:pt>
              </c:numCache>
            </c:numRef>
          </c:xVal>
          <c:yVal>
            <c:numRef>
              <c:f>exercise_IPR!$G$40</c:f>
              <c:numCache>
                <c:formatCode>General</c:formatCode>
                <c:ptCount val="1"/>
                <c:pt idx="0">
                  <c:v>19.644790476799862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B9-4729-BC83-E76E3F531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Скважина</a:t>
            </a:r>
            <a:r>
              <a:rPr lang="ru-RU" baseline="0"/>
              <a:t> №2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exercise_IPR!$E$43</c:f>
              <c:strCache>
                <c:ptCount val="1"/>
                <c:pt idx="0">
                  <c:v>Pbuf well</c:v>
                </c:pt>
              </c:strCache>
            </c:strRef>
          </c:tx>
          <c:xVal>
            <c:numRef>
              <c:f>exercise_IPR!$C$78:$C$98</c:f>
              <c:numCache>
                <c:formatCode>General</c:formatCode>
                <c:ptCount val="2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  <c:pt idx="15">
                  <c:v>100</c:v>
                </c:pt>
                <c:pt idx="16">
                  <c:v>180</c:v>
                </c:pt>
                <c:pt idx="19">
                  <c:v>250</c:v>
                </c:pt>
                <c:pt idx="20" formatCode="0.00">
                  <c:v>1.4285714285714286</c:v>
                </c:pt>
              </c:numCache>
            </c:numRef>
          </c:xVal>
          <c:yVal>
            <c:numRef>
              <c:f>exercise_IPR!$E$78:$E$98</c:f>
              <c:numCache>
                <c:formatCode>General</c:formatCode>
                <c:ptCount val="21"/>
                <c:pt idx="0">
                  <c:v>54.192741334022294</c:v>
                </c:pt>
                <c:pt idx="1">
                  <c:v>22.118802328702067</c:v>
                </c:pt>
                <c:pt idx="2">
                  <c:v>21.291852533590454</c:v>
                </c:pt>
                <c:pt idx="3">
                  <c:v>12.117839923665976</c:v>
                </c:pt>
                <c:pt idx="4">
                  <c:v>4.7782109662718746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9B-4EAB-B241-44C284CBBE15}"/>
            </c:ext>
          </c:extLst>
        </c:ser>
        <c:ser>
          <c:idx val="0"/>
          <c:order val="1"/>
          <c:tx>
            <c:strRef>
              <c:f>exercise_IPR!$F$43</c:f>
              <c:strCache>
                <c:ptCount val="1"/>
                <c:pt idx="0">
                  <c:v>Pbuf choke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exercise_IPR!$C$78:$C$88</c:f>
              <c:numCache>
                <c:formatCode>General</c:formatCode>
                <c:ptCount val="11"/>
                <c:pt idx="0">
                  <c:v>0</c:v>
                </c:pt>
                <c:pt idx="1">
                  <c:v>44.901493423928585</c:v>
                </c:pt>
                <c:pt idx="2">
                  <c:v>89.80298684785717</c:v>
                </c:pt>
                <c:pt idx="3">
                  <c:v>134.70448027178577</c:v>
                </c:pt>
                <c:pt idx="4">
                  <c:v>179.60597369571434</c:v>
                </c:pt>
                <c:pt idx="5">
                  <c:v>224.50746711964291</c:v>
                </c:pt>
                <c:pt idx="6">
                  <c:v>269.40896054357148</c:v>
                </c:pt>
                <c:pt idx="7">
                  <c:v>314.31045396750005</c:v>
                </c:pt>
                <c:pt idx="8">
                  <c:v>359.21194739142862</c:v>
                </c:pt>
                <c:pt idx="9">
                  <c:v>404.11344081535719</c:v>
                </c:pt>
                <c:pt idx="10">
                  <c:v>449.01493423928576</c:v>
                </c:pt>
              </c:numCache>
            </c:numRef>
          </c:xVal>
          <c:yVal>
            <c:numRef>
              <c:f>exercise_IPR!$F$78:$F$88</c:f>
              <c:numCache>
                <c:formatCode>General</c:formatCode>
                <c:ptCount val="11"/>
                <c:pt idx="0">
                  <c:v>20.446043359086932</c:v>
                </c:pt>
                <c:pt idx="1">
                  <c:v>20.446043359086932</c:v>
                </c:pt>
                <c:pt idx="2">
                  <c:v>20.446043359086932</c:v>
                </c:pt>
                <c:pt idx="3">
                  <c:v>20.446043359086932</c:v>
                </c:pt>
                <c:pt idx="4">
                  <c:v>20.446043359086932</c:v>
                </c:pt>
                <c:pt idx="5">
                  <c:v>20.446043359086932</c:v>
                </c:pt>
                <c:pt idx="6">
                  <c:v>20.446043359086932</c:v>
                </c:pt>
                <c:pt idx="7">
                  <c:v>20.446043359086932</c:v>
                </c:pt>
                <c:pt idx="8">
                  <c:v>20.446043359086932</c:v>
                </c:pt>
                <c:pt idx="9">
                  <c:v>20.446043359086932</c:v>
                </c:pt>
                <c:pt idx="10">
                  <c:v>20.446043359086932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9B-4EAB-B241-44C284CBBE15}"/>
            </c:ext>
          </c:extLst>
        </c:ser>
        <c:ser>
          <c:idx val="2"/>
          <c:order val="2"/>
          <c:tx>
            <c:v>Рабочий режим</c:v>
          </c:tx>
          <c:marker>
            <c:symbol val="circle"/>
            <c:size val="1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Pt>
            <c:idx val="0"/>
            <c:marker>
              <c:spPr>
                <a:solidFill>
                  <a:srgbClr val="00B05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49B-4EAB-B241-44C284CBBE15}"/>
              </c:ext>
            </c:extLst>
          </c:dPt>
          <c:xVal>
            <c:numRef>
              <c:f>exercise_IPR!$G$75</c:f>
              <c:numCache>
                <c:formatCode>0.00</c:formatCode>
                <c:ptCount val="1"/>
                <c:pt idx="0">
                  <c:v>93.942734273730935</c:v>
                </c:pt>
              </c:numCache>
            </c:numRef>
          </c:xVal>
          <c:yVal>
            <c:numRef>
              <c:f>exercise_IPR!$G$74</c:f>
              <c:numCache>
                <c:formatCode>General</c:formatCode>
                <c:ptCount val="1"/>
                <c:pt idx="0">
                  <c:v>20.368099299796267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9B-4EAB-B241-44C284CB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Система</a:t>
            </a:r>
            <a:r>
              <a:rPr lang="ru-RU" baseline="0"/>
              <a:t> сбора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exercise_IPR!$W$43</c:f>
              <c:strCache>
                <c:ptCount val="1"/>
                <c:pt idx="0">
                  <c:v>P line</c:v>
                </c:pt>
              </c:strCache>
            </c:strRef>
          </c:tx>
          <c:xVal>
            <c:numRef>
              <c:f>exercise_IPR!$V$44:$V$54</c:f>
              <c:numCache>
                <c:formatCode>General</c:formatCode>
                <c:ptCount val="11"/>
                <c:pt idx="0">
                  <c:v>0</c:v>
                </c:pt>
                <c:pt idx="1">
                  <c:v>36.100433887791873</c:v>
                </c:pt>
                <c:pt idx="2">
                  <c:v>72.200867775583745</c:v>
                </c:pt>
                <c:pt idx="3">
                  <c:v>108.30130166337563</c:v>
                </c:pt>
                <c:pt idx="4">
                  <c:v>144.40173555116749</c:v>
                </c:pt>
                <c:pt idx="5">
                  <c:v>180.50216943895936</c:v>
                </c:pt>
                <c:pt idx="6">
                  <c:v>216.60260332675122</c:v>
                </c:pt>
                <c:pt idx="7">
                  <c:v>252.70303721454309</c:v>
                </c:pt>
                <c:pt idx="8">
                  <c:v>288.80347110233498</c:v>
                </c:pt>
                <c:pt idx="9">
                  <c:v>324.90390499012688</c:v>
                </c:pt>
                <c:pt idx="10">
                  <c:v>361.00433887791877</c:v>
                </c:pt>
              </c:numCache>
            </c:numRef>
          </c:xVal>
          <c:yVal>
            <c:numRef>
              <c:f>exercise_IPR!$W$44:$W$54</c:f>
              <c:numCache>
                <c:formatCode>General</c:formatCode>
                <c:ptCount val="11"/>
                <c:pt idx="0">
                  <c:v>20.000034501484201</c:v>
                </c:pt>
                <c:pt idx="1">
                  <c:v>20.007269121169294</c:v>
                </c:pt>
                <c:pt idx="2">
                  <c:v>20.034984586231932</c:v>
                </c:pt>
                <c:pt idx="3">
                  <c:v>20.070370410085648</c:v>
                </c:pt>
                <c:pt idx="4">
                  <c:v>20.115999775527847</c:v>
                </c:pt>
                <c:pt idx="5">
                  <c:v>20.171294834262934</c:v>
                </c:pt>
                <c:pt idx="6">
                  <c:v>20.235835905982963</c:v>
                </c:pt>
                <c:pt idx="7">
                  <c:v>20.309290511976858</c:v>
                </c:pt>
                <c:pt idx="8">
                  <c:v>20.39137959607568</c:v>
                </c:pt>
                <c:pt idx="9">
                  <c:v>20.481859118567222</c:v>
                </c:pt>
                <c:pt idx="10">
                  <c:v>20.580509111571615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58-40C1-976A-DB314D27ADF2}"/>
            </c:ext>
          </c:extLst>
        </c:ser>
        <c:ser>
          <c:idx val="0"/>
          <c:order val="1"/>
          <c:tx>
            <c:strRef>
              <c:f>exercise_IPR!$X$43</c:f>
              <c:strCache>
                <c:ptCount val="1"/>
                <c:pt idx="0">
                  <c:v>Pplant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exercise_IPR!$V$44:$V$54</c:f>
              <c:numCache>
                <c:formatCode>General</c:formatCode>
                <c:ptCount val="11"/>
                <c:pt idx="0">
                  <c:v>0</c:v>
                </c:pt>
                <c:pt idx="1">
                  <c:v>36.100433887791873</c:v>
                </c:pt>
                <c:pt idx="2">
                  <c:v>72.200867775583745</c:v>
                </c:pt>
                <c:pt idx="3">
                  <c:v>108.30130166337563</c:v>
                </c:pt>
                <c:pt idx="4">
                  <c:v>144.40173555116749</c:v>
                </c:pt>
                <c:pt idx="5">
                  <c:v>180.50216943895936</c:v>
                </c:pt>
                <c:pt idx="6">
                  <c:v>216.60260332675122</c:v>
                </c:pt>
                <c:pt idx="7">
                  <c:v>252.70303721454309</c:v>
                </c:pt>
                <c:pt idx="8">
                  <c:v>288.80347110233498</c:v>
                </c:pt>
                <c:pt idx="9">
                  <c:v>324.90390499012688</c:v>
                </c:pt>
                <c:pt idx="10">
                  <c:v>361.00433887791877</c:v>
                </c:pt>
              </c:numCache>
            </c:numRef>
          </c:xVal>
          <c:yVal>
            <c:numRef>
              <c:f>exercise_IPR!$X$44:$X$54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58-40C1-976A-DB314D27ADF2}"/>
            </c:ext>
          </c:extLst>
        </c:ser>
        <c:ser>
          <c:idx val="2"/>
          <c:order val="2"/>
          <c:tx>
            <c:v>Рабочая точка</c:v>
          </c:tx>
          <c:marker>
            <c:symbol val="circle"/>
            <c:size val="14"/>
            <c:spPr>
              <a:solidFill>
                <a:srgbClr val="002060"/>
              </a:solidFill>
            </c:spPr>
          </c:marker>
          <c:xVal>
            <c:numRef>
              <c:f>exercise_IPR!$R$41</c:f>
              <c:numCache>
                <c:formatCode>0.00</c:formatCode>
                <c:ptCount val="1"/>
                <c:pt idx="0">
                  <c:v>311.00433887791871</c:v>
                </c:pt>
              </c:numCache>
            </c:numRef>
          </c:xVal>
          <c:yVal>
            <c:numRef>
              <c:f>exercise_IPR!$R$42</c:f>
              <c:numCache>
                <c:formatCode>0.00</c:formatCode>
                <c:ptCount val="1"/>
                <c:pt idx="0">
                  <c:v>20.446043359086932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58-40C1-976A-DB314D27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Скважина</a:t>
            </a:r>
            <a:r>
              <a:rPr lang="ru-RU" baseline="0"/>
              <a:t> №</a:t>
            </a:r>
            <a:r>
              <a:rPr lang="en-US" baseline="0"/>
              <a:t>3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exercise_IPR!$E$43</c:f>
              <c:strCache>
                <c:ptCount val="1"/>
                <c:pt idx="0">
                  <c:v>Pbuf well</c:v>
                </c:pt>
              </c:strCache>
            </c:strRef>
          </c:tx>
          <c:xVal>
            <c:numRef>
              <c:f>exercise_IPR!$C$104:$C$114</c:f>
              <c:numCache>
                <c:formatCode>General</c:formatCode>
                <c:ptCount val="11"/>
                <c:pt idx="0">
                  <c:v>0</c:v>
                </c:pt>
                <c:pt idx="1">
                  <c:v>28.865245772525515</c:v>
                </c:pt>
                <c:pt idx="2">
                  <c:v>57.730491545051031</c:v>
                </c:pt>
                <c:pt idx="3">
                  <c:v>86.59573731757655</c:v>
                </c:pt>
                <c:pt idx="4">
                  <c:v>115.46098309010206</c:v>
                </c:pt>
                <c:pt idx="5">
                  <c:v>144.32622886262757</c:v>
                </c:pt>
                <c:pt idx="6">
                  <c:v>173.1914746351531</c:v>
                </c:pt>
                <c:pt idx="7">
                  <c:v>202.05672040767863</c:v>
                </c:pt>
                <c:pt idx="8">
                  <c:v>230.92196618020415</c:v>
                </c:pt>
                <c:pt idx="9">
                  <c:v>259.78721195272965</c:v>
                </c:pt>
                <c:pt idx="10">
                  <c:v>288.65245772525515</c:v>
                </c:pt>
              </c:numCache>
            </c:numRef>
          </c:xVal>
          <c:yVal>
            <c:numRef>
              <c:f>exercise_IPR!$I$104:$I$114</c:f>
              <c:numCache>
                <c:formatCode>General</c:formatCode>
                <c:ptCount val="11"/>
                <c:pt idx="0">
                  <c:v>337.29456241040992</c:v>
                </c:pt>
                <c:pt idx="1">
                  <c:v>300.0090820512047</c:v>
                </c:pt>
                <c:pt idx="2">
                  <c:v>278.76120331620655</c:v>
                </c:pt>
                <c:pt idx="3">
                  <c:v>255.35181823574393</c:v>
                </c:pt>
                <c:pt idx="4">
                  <c:v>225.33775980866687</c:v>
                </c:pt>
                <c:pt idx="5">
                  <c:v>173.94875320984954</c:v>
                </c:pt>
                <c:pt idx="6">
                  <c:v>87.284447883462065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E-440D-8DFE-2F2EF327775D}"/>
            </c:ext>
          </c:extLst>
        </c:ser>
        <c:ser>
          <c:idx val="0"/>
          <c:order val="1"/>
          <c:tx>
            <c:strRef>
              <c:f>exercise_IPR!$F$43</c:f>
              <c:strCache>
                <c:ptCount val="1"/>
                <c:pt idx="0">
                  <c:v>Pbuf choke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exercise_IPR!$C$104:$C$114</c:f>
              <c:numCache>
                <c:formatCode>General</c:formatCode>
                <c:ptCount val="11"/>
                <c:pt idx="0">
                  <c:v>0</c:v>
                </c:pt>
                <c:pt idx="1">
                  <c:v>28.865245772525515</c:v>
                </c:pt>
                <c:pt idx="2">
                  <c:v>57.730491545051031</c:v>
                </c:pt>
                <c:pt idx="3">
                  <c:v>86.59573731757655</c:v>
                </c:pt>
                <c:pt idx="4">
                  <c:v>115.46098309010206</c:v>
                </c:pt>
                <c:pt idx="5">
                  <c:v>144.32622886262757</c:v>
                </c:pt>
                <c:pt idx="6">
                  <c:v>173.1914746351531</c:v>
                </c:pt>
                <c:pt idx="7">
                  <c:v>202.05672040767863</c:v>
                </c:pt>
                <c:pt idx="8">
                  <c:v>230.92196618020415</c:v>
                </c:pt>
                <c:pt idx="9">
                  <c:v>259.78721195272965</c:v>
                </c:pt>
                <c:pt idx="10">
                  <c:v>288.65245772525515</c:v>
                </c:pt>
              </c:numCache>
            </c:numRef>
          </c:xVal>
          <c:yVal>
            <c:numRef>
              <c:f>exercise_IPR!$J$104:$J$114</c:f>
              <c:numCache>
                <c:formatCode>General</c:formatCode>
                <c:ptCount val="11"/>
                <c:pt idx="0">
                  <c:v>20.446043359086932</c:v>
                </c:pt>
                <c:pt idx="1">
                  <c:v>20.446043359086932</c:v>
                </c:pt>
                <c:pt idx="2">
                  <c:v>20.446043359086932</c:v>
                </c:pt>
                <c:pt idx="3">
                  <c:v>20.446043359086932</c:v>
                </c:pt>
                <c:pt idx="4">
                  <c:v>20.446043359086932</c:v>
                </c:pt>
                <c:pt idx="5">
                  <c:v>20.446043359086932</c:v>
                </c:pt>
                <c:pt idx="6">
                  <c:v>20.446043359086932</c:v>
                </c:pt>
                <c:pt idx="7">
                  <c:v>20.446043359086932</c:v>
                </c:pt>
                <c:pt idx="8">
                  <c:v>20.446043359086932</c:v>
                </c:pt>
                <c:pt idx="9">
                  <c:v>20.446043359086932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E-440D-8DFE-2F2EF327775D}"/>
            </c:ext>
          </c:extLst>
        </c:ser>
        <c:ser>
          <c:idx val="2"/>
          <c:order val="2"/>
          <c:tx>
            <c:v>Рабочая точка</c:v>
          </c:tx>
          <c:marker>
            <c:symbol val="circle"/>
            <c:size val="1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Pt>
            <c:idx val="0"/>
            <c:marker>
              <c:spPr>
                <a:solidFill>
                  <a:srgbClr val="00B05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60E-440D-8DFE-2F2EF327775D}"/>
              </c:ext>
            </c:extLst>
          </c:dPt>
          <c:xVal>
            <c:numRef>
              <c:f>exercise_IPR!$G$101</c:f>
              <c:numCache>
                <c:formatCode>0.00</c:formatCode>
                <c:ptCount val="1"/>
                <c:pt idx="0">
                  <c:v>195.2951485475491</c:v>
                </c:pt>
              </c:numCache>
            </c:numRef>
          </c:xVal>
          <c:yVal>
            <c:numRef>
              <c:f>exercise_IPR!$G$100</c:f>
              <c:numCache>
                <c:formatCode>General</c:formatCode>
                <c:ptCount val="1"/>
                <c:pt idx="0">
                  <c:v>20.446043359086971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E-440D-8DFE-2F2EF32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797904"/>
        <c:axId val="1583111648"/>
      </c:scatterChart>
      <c:valAx>
        <c:axId val="16907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Дебит, м3/сут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111648"/>
        <c:crosses val="autoZero"/>
        <c:crossBetween val="midCat"/>
      </c:valAx>
      <c:valAx>
        <c:axId val="1583111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атм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0797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данные нужны для оценки продуктивность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Зависит ли вид индикаторной кривой от газового фактора?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Почему расход ГЖС на забое скважины больше чем расход жидкости? От каких параметров зависит разница?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индикаторная кривая зависит от обводненности? Почему?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*Постройте график зависимости забойного давления на скважине от дебит жидкости из пласта в пластовых условиях. Будет ли от отличаться от построенного ранее? От чего будет зависеть разница?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14</xdr:col>
      <xdr:colOff>95249</xdr:colOff>
      <xdr:row>62</xdr:row>
      <xdr:rowOff>141193</xdr:rowOff>
    </xdr:from>
    <xdr:to>
      <xdr:col>21</xdr:col>
      <xdr:colOff>593911</xdr:colOff>
      <xdr:row>80</xdr:row>
      <xdr:rowOff>145676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D99B56E-1545-4111-B380-5780F10DA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44824</xdr:colOff>
      <xdr:row>42</xdr:row>
      <xdr:rowOff>123263</xdr:rowOff>
    </xdr:from>
    <xdr:to>
      <xdr:col>14</xdr:col>
      <xdr:colOff>100854</xdr:colOff>
      <xdr:row>62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7D0ACA2D-006D-4DC0-B372-81D48F99FF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56033</xdr:colOff>
      <xdr:row>63</xdr:row>
      <xdr:rowOff>11206</xdr:rowOff>
    </xdr:from>
    <xdr:to>
      <xdr:col>13</xdr:col>
      <xdr:colOff>515472</xdr:colOff>
      <xdr:row>80</xdr:row>
      <xdr:rowOff>145677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638847AC-64AB-4420-8C6A-BB8D5D4D3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112061</xdr:colOff>
      <xdr:row>44</xdr:row>
      <xdr:rowOff>72466</xdr:rowOff>
    </xdr:from>
    <xdr:to>
      <xdr:col>21</xdr:col>
      <xdr:colOff>593914</xdr:colOff>
      <xdr:row>64</xdr:row>
      <xdr:rowOff>94879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9664DBB8-7CF9-49E0-B0B4-07BC313A2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294691</xdr:colOff>
      <xdr:row>45</xdr:row>
      <xdr:rowOff>89348</xdr:rowOff>
    </xdr:from>
    <xdr:to>
      <xdr:col>30</xdr:col>
      <xdr:colOff>200822</xdr:colOff>
      <xdr:row>65</xdr:row>
      <xdr:rowOff>40906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4FA3E1FD-B050-48C5-AD58-D45E08FA0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33</xdr:row>
          <xdr:rowOff>9525</xdr:rowOff>
        </xdr:from>
        <xdr:to>
          <xdr:col>13</xdr:col>
          <xdr:colOff>457200</xdr:colOff>
          <xdr:row>38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polation"/>
      <definedName name="crv_intersection"/>
      <definedName name="ESP_head_m"/>
      <definedName name="ESP_id_by_rate"/>
      <definedName name="ESP_name"/>
      <definedName name="ESP_p_atma"/>
      <definedName name="ESP_rate_max_sm3day"/>
      <definedName name="IPR_pi_sm3dayatm"/>
      <definedName name="IPR_pwf_atma"/>
      <definedName name="IPR_qliq_sm3day"/>
      <definedName name="MF_p_choke_atma"/>
      <definedName name="MF_p_pipeline_atma"/>
      <definedName name="PVT_encode_string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X114"/>
  <sheetViews>
    <sheetView tabSelected="1" topLeftCell="A25" zoomScale="75" zoomScaleNormal="85" workbookViewId="0">
      <selection activeCell="G96" sqref="G96"/>
    </sheetView>
  </sheetViews>
  <sheetFormatPr defaultRowHeight="12.75" x14ac:dyDescent="0.2"/>
  <cols>
    <col min="2" max="2" width="14.85546875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4.85546875" bestFit="1" customWidth="1"/>
    <col min="11" max="11" width="10.140625" customWidth="1"/>
    <col min="17" max="17" width="14.7109375" customWidth="1"/>
    <col min="22" max="32" width="9.140625" customWidth="1"/>
  </cols>
  <sheetData>
    <row r="1" spans="1:12" x14ac:dyDescent="0.2">
      <c r="A1" s="1" t="s">
        <v>4</v>
      </c>
      <c r="F1" t="s">
        <v>32</v>
      </c>
      <c r="G1" t="str">
        <f>[1]!unf_Version()</f>
        <v>7.24</v>
      </c>
      <c r="H1" t="s">
        <v>37</v>
      </c>
      <c r="I1" s="20">
        <v>44026</v>
      </c>
      <c r="J1" s="21"/>
      <c r="K1" s="21"/>
      <c r="L1" s="21"/>
    </row>
    <row r="2" spans="1:12" x14ac:dyDescent="0.2">
      <c r="A2" t="s">
        <v>51</v>
      </c>
      <c r="H2" t="s">
        <v>38</v>
      </c>
      <c r="I2" s="22">
        <v>7.24</v>
      </c>
      <c r="J2" s="21"/>
      <c r="K2" s="21"/>
      <c r="L2" s="21"/>
    </row>
    <row r="3" spans="1:12" ht="15" x14ac:dyDescent="0.25">
      <c r="A3" s="23" t="s">
        <v>39</v>
      </c>
      <c r="B3" s="37" t="s">
        <v>40</v>
      </c>
      <c r="C3" s="38"/>
      <c r="D3" s="38"/>
      <c r="E3" s="39"/>
      <c r="H3" t="s">
        <v>41</v>
      </c>
      <c r="I3" s="21" t="s">
        <v>40</v>
      </c>
      <c r="J3" s="21"/>
      <c r="K3" s="21"/>
      <c r="L3" s="21"/>
    </row>
    <row r="4" spans="1:12" ht="15" x14ac:dyDescent="0.25">
      <c r="A4" s="23" t="s">
        <v>42</v>
      </c>
      <c r="B4" s="37" t="s">
        <v>43</v>
      </c>
      <c r="C4" s="38"/>
      <c r="D4" s="38"/>
      <c r="E4" s="39"/>
      <c r="H4" t="s">
        <v>44</v>
      </c>
      <c r="I4" s="21" t="s">
        <v>43</v>
      </c>
      <c r="J4" s="21"/>
      <c r="K4" s="21"/>
      <c r="L4" s="21"/>
    </row>
    <row r="5" spans="1:12" ht="15" x14ac:dyDescent="0.25">
      <c r="A5" s="23" t="s">
        <v>45</v>
      </c>
      <c r="B5" s="37" t="s">
        <v>46</v>
      </c>
      <c r="C5" s="38"/>
      <c r="D5" s="38"/>
      <c r="E5" s="39"/>
      <c r="H5" t="s">
        <v>47</v>
      </c>
      <c r="I5" s="21" t="s">
        <v>46</v>
      </c>
      <c r="J5" s="21"/>
      <c r="K5" s="21"/>
      <c r="L5" s="21"/>
    </row>
    <row r="6" spans="1:12" x14ac:dyDescent="0.2">
      <c r="A6" s="24" t="s">
        <v>48</v>
      </c>
      <c r="B6" s="40" t="s">
        <v>49</v>
      </c>
      <c r="C6" s="41"/>
      <c r="D6" s="41"/>
      <c r="E6" s="42"/>
      <c r="H6" s="25" t="s">
        <v>50</v>
      </c>
      <c r="I6" s="26" t="s">
        <v>49</v>
      </c>
      <c r="J6" s="26"/>
      <c r="K6" s="26"/>
      <c r="L6" s="26"/>
    </row>
    <row r="7" spans="1:12" x14ac:dyDescent="0.2">
      <c r="A7" s="27"/>
      <c r="B7" s="43"/>
      <c r="C7" s="44"/>
      <c r="D7" s="44"/>
      <c r="E7" s="45"/>
      <c r="H7" s="25"/>
      <c r="I7" s="26"/>
      <c r="J7" s="26"/>
      <c r="K7" s="26"/>
      <c r="L7" s="26"/>
    </row>
    <row r="8" spans="1:12" x14ac:dyDescent="0.2">
      <c r="A8" s="28"/>
      <c r="B8" s="46"/>
      <c r="C8" s="47"/>
      <c r="D8" s="47"/>
      <c r="E8" s="48"/>
      <c r="H8" s="25"/>
      <c r="I8" s="26"/>
      <c r="J8" s="26"/>
      <c r="K8" s="26"/>
      <c r="L8" s="26"/>
    </row>
    <row r="10" spans="1:12" x14ac:dyDescent="0.2">
      <c r="A10" s="1" t="s">
        <v>5</v>
      </c>
    </row>
    <row r="11" spans="1:12" ht="18.75" x14ac:dyDescent="0.35">
      <c r="B11" s="3" t="s">
        <v>6</v>
      </c>
      <c r="C11" s="2">
        <v>0.88</v>
      </c>
      <c r="D11" s="4"/>
      <c r="E11" s="19">
        <f>gamma_oil_*1000</f>
        <v>880</v>
      </c>
      <c r="F11" s="10" t="s">
        <v>33</v>
      </c>
    </row>
    <row r="12" spans="1:12" ht="18.75" x14ac:dyDescent="0.35">
      <c r="B12" s="5" t="s">
        <v>7</v>
      </c>
      <c r="C12" s="2">
        <v>1</v>
      </c>
      <c r="D12" s="4"/>
      <c r="E12" s="19">
        <f>gamma_wat_*1000</f>
        <v>1000</v>
      </c>
      <c r="F12" s="10" t="s">
        <v>33</v>
      </c>
    </row>
    <row r="13" spans="1:12" ht="18.75" x14ac:dyDescent="0.35">
      <c r="B13" s="5" t="s">
        <v>8</v>
      </c>
      <c r="C13" s="2">
        <v>0.8</v>
      </c>
      <c r="D13" s="4"/>
      <c r="E13" s="19">
        <f>gamma_gas_*1.22</f>
        <v>0.97599999999999998</v>
      </c>
      <c r="F13" s="10" t="s">
        <v>33</v>
      </c>
    </row>
    <row r="14" spans="1:12" ht="18.75" x14ac:dyDescent="0.35">
      <c r="B14" s="6" t="s">
        <v>9</v>
      </c>
      <c r="C14" s="2">
        <v>80</v>
      </c>
      <c r="D14" s="5" t="s">
        <v>10</v>
      </c>
      <c r="E14" s="19">
        <f>Rsb_/gamma_oil_</f>
        <v>90.909090909090907</v>
      </c>
      <c r="F14" s="10" t="s">
        <v>34</v>
      </c>
    </row>
    <row r="15" spans="1:12" ht="18.75" x14ac:dyDescent="0.35">
      <c r="B15" s="6" t="s">
        <v>11</v>
      </c>
      <c r="C15" s="2">
        <v>80</v>
      </c>
      <c r="D15" s="5" t="s">
        <v>10</v>
      </c>
      <c r="E15" s="19">
        <f>Rsb_/gamma_oil_</f>
        <v>90.909090909090907</v>
      </c>
      <c r="F15" s="10" t="s">
        <v>34</v>
      </c>
    </row>
    <row r="16" spans="1:12" ht="18" x14ac:dyDescent="0.35">
      <c r="B16" s="5" t="s">
        <v>12</v>
      </c>
      <c r="C16" s="2">
        <v>120</v>
      </c>
      <c r="D16" s="5" t="s">
        <v>13</v>
      </c>
      <c r="E16" s="19">
        <f>Pb_cal_*1.01325/10</f>
        <v>12.159000000000001</v>
      </c>
      <c r="F16" s="10" t="s">
        <v>14</v>
      </c>
    </row>
    <row r="17" spans="1:24" ht="18" x14ac:dyDescent="0.35">
      <c r="B17" s="5" t="s">
        <v>15</v>
      </c>
      <c r="C17" s="2">
        <v>100</v>
      </c>
      <c r="D17" s="8" t="s">
        <v>26</v>
      </c>
      <c r="E17" s="19">
        <f>Tres_*9/5+32</f>
        <v>212</v>
      </c>
      <c r="F17" s="10" t="s">
        <v>16</v>
      </c>
    </row>
    <row r="18" spans="1:24" ht="18.75" x14ac:dyDescent="0.35">
      <c r="B18" s="6" t="s">
        <v>17</v>
      </c>
      <c r="C18" s="2">
        <v>1.2</v>
      </c>
      <c r="D18" s="5" t="s">
        <v>10</v>
      </c>
      <c r="E18" s="5"/>
      <c r="F18" s="4"/>
    </row>
    <row r="19" spans="1:24" ht="18" x14ac:dyDescent="0.35">
      <c r="B19" s="7" t="s">
        <v>18</v>
      </c>
      <c r="C19" s="2">
        <v>1</v>
      </c>
      <c r="D19" s="5" t="s">
        <v>19</v>
      </c>
      <c r="E19" s="5"/>
      <c r="F19" s="4"/>
    </row>
    <row r="20" spans="1:24" ht="15.75" x14ac:dyDescent="0.3">
      <c r="B20" s="7" t="s">
        <v>21</v>
      </c>
      <c r="C20" s="2">
        <v>50</v>
      </c>
      <c r="D20" s="5" t="s">
        <v>1</v>
      </c>
      <c r="E20" s="18">
        <f>fw_/100</f>
        <v>0.5</v>
      </c>
      <c r="F20" s="10" t="s">
        <v>35</v>
      </c>
    </row>
    <row r="21" spans="1:24" ht="18" x14ac:dyDescent="0.35">
      <c r="B21" s="5" t="s">
        <v>20</v>
      </c>
      <c r="C21" s="9">
        <f>[1]!PVT_pb_atma(Tres_,gamma_gas_,gamma_oil_,gamma_wat_,Rsb_,Rp_,Pb_cal_,Tres_,Bob_,muob_)</f>
        <v>119.99999999999999</v>
      </c>
      <c r="D21" s="5" t="s">
        <v>13</v>
      </c>
      <c r="E21" s="19">
        <f>Pb_*1.01325/10</f>
        <v>12.158999999999999</v>
      </c>
      <c r="F21" s="10" t="s">
        <v>14</v>
      </c>
    </row>
    <row r="22" spans="1:24" ht="15" x14ac:dyDescent="0.2">
      <c r="B22" s="35" t="s">
        <v>71</v>
      </c>
      <c r="C22" s="36">
        <v>20</v>
      </c>
      <c r="D22" s="8" t="s">
        <v>26</v>
      </c>
    </row>
    <row r="23" spans="1:24" ht="15" x14ac:dyDescent="0.25">
      <c r="B23" s="7" t="s">
        <v>36</v>
      </c>
      <c r="C23" s="12" t="str">
        <f t="array" ref="C23">[1]!PVT_encode_string(gamma_gas_,gamma_oil_,gamma_wat_,Rsb_,Rp_,Pb_cal_,Tres_,Bob_,muob_)</f>
        <v>gamma_gas:0,800;gamma_oil:0,880;gamma_wat:1,000;rsb_m3m3:80,000;rp_m3m3:80,000;pb_atma:120,000;tres_C:100,000;bob_m3m3:1,200;muob_cP:1,000;PVTcorr:0;ksep_fr:0,000;p_ksep_atma:-1,000;t_ksep_C:-1,000;gas_only:False;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4"/>
      <c r="U23" s="15"/>
      <c r="V23" s="15"/>
      <c r="W23" s="15"/>
    </row>
    <row r="24" spans="1:24" ht="18" customHeight="1" x14ac:dyDescent="0.2"/>
    <row r="25" spans="1:24" ht="18" customHeight="1" x14ac:dyDescent="0.2">
      <c r="A25" s="11" t="s">
        <v>31</v>
      </c>
      <c r="F25" t="s">
        <v>56</v>
      </c>
      <c r="H25" s="29"/>
      <c r="I25" t="s">
        <v>57</v>
      </c>
      <c r="J25" s="29"/>
    </row>
    <row r="26" spans="1:24" ht="18" x14ac:dyDescent="0.35">
      <c r="B26" s="7" t="s">
        <v>2</v>
      </c>
      <c r="C26" s="2">
        <v>10</v>
      </c>
      <c r="D26" s="4"/>
      <c r="F26" s="30" t="s">
        <v>59</v>
      </c>
      <c r="G26" s="30" t="s">
        <v>60</v>
      </c>
      <c r="H26" s="29"/>
      <c r="I26" s="30" t="s">
        <v>58</v>
      </c>
      <c r="J26" s="31" t="s">
        <v>61</v>
      </c>
      <c r="W26" s="30" t="s">
        <v>58</v>
      </c>
      <c r="X26" s="30" t="s">
        <v>59</v>
      </c>
    </row>
    <row r="27" spans="1:24" ht="15" x14ac:dyDescent="0.25">
      <c r="B27" s="7" t="s">
        <v>66</v>
      </c>
      <c r="C27" s="2">
        <v>0</v>
      </c>
      <c r="D27" s="4"/>
      <c r="F27" s="30" t="s">
        <v>62</v>
      </c>
      <c r="G27" s="30" t="s">
        <v>26</v>
      </c>
      <c r="H27" s="29"/>
      <c r="I27" s="30" t="s">
        <v>62</v>
      </c>
      <c r="J27" s="30" t="s">
        <v>63</v>
      </c>
      <c r="W27" s="30" t="s">
        <v>62</v>
      </c>
      <c r="X27" s="30" t="s">
        <v>62</v>
      </c>
    </row>
    <row r="28" spans="1:24" ht="15" x14ac:dyDescent="0.25">
      <c r="B28" s="7" t="s">
        <v>67</v>
      </c>
      <c r="C28" s="2">
        <v>0</v>
      </c>
      <c r="D28" s="4"/>
      <c r="F28" s="33">
        <v>0</v>
      </c>
      <c r="G28" s="33">
        <f>tsurface_c</f>
        <v>20</v>
      </c>
      <c r="H28" s="29"/>
      <c r="I28" s="33">
        <v>0</v>
      </c>
      <c r="J28" s="34">
        <v>62</v>
      </c>
      <c r="W28" s="32">
        <v>0</v>
      </c>
      <c r="X28" s="32">
        <v>10</v>
      </c>
    </row>
    <row r="29" spans="1:24" ht="19.5" customHeight="1" x14ac:dyDescent="0.2">
      <c r="F29" s="33">
        <v>1500</v>
      </c>
      <c r="G29" s="33">
        <v>55</v>
      </c>
      <c r="H29" s="29"/>
      <c r="I29" s="33">
        <v>2500</v>
      </c>
      <c r="J29" s="34">
        <v>125</v>
      </c>
      <c r="W29" s="32">
        <v>20000</v>
      </c>
      <c r="X29" s="32">
        <v>10</v>
      </c>
    </row>
    <row r="30" spans="1:24" ht="19.5" customHeight="1" x14ac:dyDescent="0.2">
      <c r="F30" s="33">
        <v>2500</v>
      </c>
      <c r="G30" s="33">
        <v>90</v>
      </c>
      <c r="H30" s="29"/>
      <c r="I30" s="33"/>
      <c r="J30" s="34"/>
    </row>
    <row r="31" spans="1:24" x14ac:dyDescent="0.2">
      <c r="A31" s="1" t="s">
        <v>52</v>
      </c>
      <c r="W31" s="1" t="s">
        <v>68</v>
      </c>
    </row>
    <row r="32" spans="1:24" x14ac:dyDescent="0.2">
      <c r="A32" s="1" t="s">
        <v>3</v>
      </c>
      <c r="B32" s="1"/>
      <c r="C32" s="1"/>
      <c r="D32" s="1"/>
    </row>
    <row r="33" spans="1:24" ht="15.75" x14ac:dyDescent="0.3">
      <c r="B33" s="7" t="s">
        <v>22</v>
      </c>
      <c r="C33" s="2">
        <v>100</v>
      </c>
      <c r="D33" s="5" t="s">
        <v>28</v>
      </c>
      <c r="F33" t="s">
        <v>65</v>
      </c>
      <c r="G33" s="33">
        <v>2500</v>
      </c>
      <c r="H33" t="s">
        <v>62</v>
      </c>
      <c r="W33" s="7" t="s">
        <v>70</v>
      </c>
      <c r="X33" s="2">
        <v>20</v>
      </c>
    </row>
    <row r="34" spans="1:24" ht="15.75" x14ac:dyDescent="0.3">
      <c r="B34" s="7" t="s">
        <v>23</v>
      </c>
      <c r="C34" s="2">
        <v>160</v>
      </c>
      <c r="D34" s="5" t="s">
        <v>27</v>
      </c>
      <c r="W34" s="7" t="s">
        <v>72</v>
      </c>
      <c r="X34" s="16">
        <v>200</v>
      </c>
    </row>
    <row r="36" spans="1:24" x14ac:dyDescent="0.2">
      <c r="A36" s="1" t="s">
        <v>0</v>
      </c>
    </row>
    <row r="37" spans="1:24" ht="15.75" x14ac:dyDescent="0.3">
      <c r="B37" s="7" t="s">
        <v>25</v>
      </c>
      <c r="C37" s="2">
        <v>250</v>
      </c>
      <c r="D37" s="5" t="s">
        <v>27</v>
      </c>
      <c r="F37" s="7" t="s">
        <v>73</v>
      </c>
      <c r="G37" s="2">
        <v>32</v>
      </c>
    </row>
    <row r="38" spans="1:24" ht="15" x14ac:dyDescent="0.25">
      <c r="B38" s="7" t="s">
        <v>24</v>
      </c>
      <c r="C38" s="16">
        <f t="array" ref="C38">[1]!IPR_pi_sm3dayatm(qltest_,Pwftest_,Pres_,fw_,Pb_)</f>
        <v>1.1111111111111112</v>
      </c>
      <c r="D38" s="5" t="s">
        <v>29</v>
      </c>
      <c r="F38" s="7" t="s">
        <v>74</v>
      </c>
      <c r="G38" s="16">
        <v>32</v>
      </c>
      <c r="Q38" t="s">
        <v>114</v>
      </c>
      <c r="R38" s="56">
        <f>G41</f>
        <v>21.766456056638692</v>
      </c>
    </row>
    <row r="39" spans="1:24" ht="15.75" x14ac:dyDescent="0.3">
      <c r="B39" s="5" t="s">
        <v>30</v>
      </c>
      <c r="C39" s="17">
        <f t="array" ref="C39">[1]!IPR_qliq_sm3day(PI_,Pres_,1,fw_,Pb_)</f>
        <v>224.50746711964291</v>
      </c>
      <c r="D39" s="5" t="s">
        <v>28</v>
      </c>
      <c r="F39" s="5" t="s">
        <v>78</v>
      </c>
      <c r="G39" s="17">
        <f>[1]!IPR_pwf_atma($C$38,input_2,G41,fw_,Pb_)</f>
        <v>230.41018954902518</v>
      </c>
      <c r="Q39" t="s">
        <v>115</v>
      </c>
      <c r="R39" s="56">
        <f>G75</f>
        <v>93.942734273730935</v>
      </c>
    </row>
    <row r="40" spans="1:24" ht="15" x14ac:dyDescent="0.25">
      <c r="F40" s="7" t="s">
        <v>79</v>
      </c>
      <c r="G40" s="2">
        <f>[1]!MF_p_pipeline_atma(G39,Tres_,$F$28:$G$30,$G$33,$I$28:$J$30,G41,fw_,,PVT_str_,0,$C$27,$C$28)</f>
        <v>19.644790476799862</v>
      </c>
      <c r="Q40" t="s">
        <v>116</v>
      </c>
      <c r="R40" s="56">
        <f>G101</f>
        <v>195.2951485475491</v>
      </c>
    </row>
    <row r="41" spans="1:24" ht="15" x14ac:dyDescent="0.25">
      <c r="F41" s="7" t="s">
        <v>77</v>
      </c>
      <c r="G41" s="16">
        <f>[1]!crv_intersection(C44:C54,E44:E54,C44:C54,F44:F54)</f>
        <v>21.766456056638692</v>
      </c>
      <c r="Q41" s="7" t="s">
        <v>81</v>
      </c>
      <c r="R41" s="53">
        <f>G41+G75+G101</f>
        <v>311.00433887791871</v>
      </c>
      <c r="T41">
        <f>R41</f>
        <v>311.00433887791871</v>
      </c>
    </row>
    <row r="42" spans="1:24" ht="15" x14ac:dyDescent="0.25">
      <c r="Q42" s="7" t="s">
        <v>82</v>
      </c>
      <c r="R42" s="16">
        <v>20.446043359086932</v>
      </c>
      <c r="T42">
        <f>R41</f>
        <v>311.00433887791871</v>
      </c>
    </row>
    <row r="43" spans="1:24" x14ac:dyDescent="0.2">
      <c r="C43" t="s">
        <v>53</v>
      </c>
      <c r="D43" t="s">
        <v>54</v>
      </c>
      <c r="E43" t="s">
        <v>76</v>
      </c>
      <c r="F43" t="s">
        <v>75</v>
      </c>
      <c r="Q43" t="s">
        <v>117</v>
      </c>
      <c r="R43">
        <f>[1]!MF_p_pipeline_atma($X$33,tsurface_c,tsurface_c,$W$28:$X$29,$X$34,R41,fw_,,PVT_str_,1)</f>
        <v>20.446043359086914</v>
      </c>
      <c r="V43" t="s">
        <v>53</v>
      </c>
      <c r="W43" t="s">
        <v>69</v>
      </c>
      <c r="X43" t="s">
        <v>80</v>
      </c>
    </row>
    <row r="44" spans="1:24" x14ac:dyDescent="0.2">
      <c r="B44">
        <v>1</v>
      </c>
      <c r="C44">
        <v>0</v>
      </c>
      <c r="D44">
        <f>[1]!IPR_pwf_atma(PI_,input_2,C44,fw_,Pb_)</f>
        <v>250</v>
      </c>
      <c r="E44">
        <f>[1]!MF_p_pipeline_atma(D44,Tres_,$F$28:$G$30,$G$33,$I$28:$J$30,C44,fw_,,PVT_str_,0,$C$27,$C$28)</f>
        <v>54.191395741483326</v>
      </c>
      <c r="F44">
        <f>[1]!MF_p_choke_atma(C44,fw_,$G$37,pline_calc,0,$G$38,tsurface_c,,PVT_str_)</f>
        <v>20.446043359086932</v>
      </c>
      <c r="Q44" t="s">
        <v>118</v>
      </c>
      <c r="R44">
        <f>(R43-pline_calc)^2</f>
        <v>3.1554436208840472E-28</v>
      </c>
      <c r="V44">
        <v>0</v>
      </c>
      <c r="W44">
        <f>[1]!MF_p_pipeline_atma($X$33,tsurface_c,tsurface_c,$W$28:$X$29,$X$34,V44,fw_,,PVT_str_,1)</f>
        <v>20.000034501484201</v>
      </c>
      <c r="X44">
        <f>$X$33</f>
        <v>20</v>
      </c>
    </row>
    <row r="45" spans="1:24" x14ac:dyDescent="0.2">
      <c r="B45">
        <v>2</v>
      </c>
      <c r="C45">
        <f t="shared" ref="C45:C54" si="0">C44+qmax_/N_</f>
        <v>22.450746711964293</v>
      </c>
      <c r="D45">
        <f>[1]!IPR_pwf_atma(PI_,input_2,C45,fw_,Pb_)</f>
        <v>229.79432795923213</v>
      </c>
      <c r="E45">
        <f>[1]!MF_p_pipeline_atma(D45,Tres_,$F$28:$G$30,$G$33,$I$28:$J$30,C45,fw_,,PVT_str_,0,$C$27,$C$28)</f>
        <v>19.385161916749396</v>
      </c>
      <c r="F45">
        <f>[1]!MF_p_choke_atma(C45,fw_,$G$37,pline_calc,0,$G$38,tsurface_c,,PVT_str_)</f>
        <v>20.446043359086932</v>
      </c>
      <c r="V45">
        <f>V44+($R$41+50)/N_</f>
        <v>36.100433887791873</v>
      </c>
      <c r="W45">
        <f>[1]!MF_p_pipeline_atma($X$33,tsurface_c,tsurface_c,$W$28:$X$29,$X$34,V45,fw_,,PVT_str_,1)</f>
        <v>20.007269121169294</v>
      </c>
      <c r="X45">
        <f t="shared" ref="X45:X54" si="1">$X$33</f>
        <v>20</v>
      </c>
    </row>
    <row r="46" spans="1:24" x14ac:dyDescent="0.2">
      <c r="B46">
        <v>3</v>
      </c>
      <c r="C46">
        <f t="shared" si="0"/>
        <v>44.901493423928585</v>
      </c>
      <c r="D46">
        <f>[1]!IPR_pwf_atma(PI_,input_2,C46,fw_,Pb_)</f>
        <v>209.58865591846427</v>
      </c>
      <c r="E46">
        <f>[1]!MF_p_pipeline_atma(D46,Tres_,$F$28:$G$30,$G$33,$I$28:$J$30,C46,fw_,,PVT_str_,0,$C$27,$C$28)</f>
        <v>16.871933440220317</v>
      </c>
      <c r="F46">
        <f>[1]!MF_p_choke_atma(C46,fw_,$G$37,pline_calc,0,$G$38,tsurface_c,,PVT_str_)</f>
        <v>20.446043359086932</v>
      </c>
      <c r="V46">
        <f>V45+($R$41+50)/N_</f>
        <v>72.200867775583745</v>
      </c>
      <c r="W46">
        <f>[1]!MF_p_pipeline_atma($X$33,tsurface_c,tsurface_c,$W$28:$X$29,$X$34,V46,fw_,,PVT_str_,1)</f>
        <v>20.034984586231932</v>
      </c>
      <c r="X46">
        <f t="shared" si="1"/>
        <v>20</v>
      </c>
    </row>
    <row r="47" spans="1:24" x14ac:dyDescent="0.2">
      <c r="B47">
        <v>4</v>
      </c>
      <c r="C47">
        <f t="shared" si="0"/>
        <v>67.352240135892885</v>
      </c>
      <c r="D47">
        <f>[1]!IPR_pwf_atma(PI_,input_2,C47,fw_,Pb_)</f>
        <v>189.3829838776964</v>
      </c>
      <c r="E47">
        <f>[1]!MF_p_pipeline_atma(D47,Tres_,$F$28:$G$30,$G$33,$I$28:$J$30,C47,fw_,,PVT_str_,0,$C$27,$C$28)</f>
        <v>11.533214357696346</v>
      </c>
      <c r="F47">
        <f>[1]!MF_p_choke_atma(C47,fw_,$G$37,pline_calc,0,$G$38,tsurface_c,,PVT_str_)</f>
        <v>20.446043359086932</v>
      </c>
      <c r="V47">
        <f>V46+($R$41+50)/N_</f>
        <v>108.30130166337563</v>
      </c>
      <c r="W47">
        <f>[1]!MF_p_pipeline_atma($X$33,tsurface_c,tsurface_c,$W$28:$X$29,$X$34,V47,fw_,,PVT_str_,1)</f>
        <v>20.070370410085648</v>
      </c>
      <c r="X47">
        <f t="shared" si="1"/>
        <v>20</v>
      </c>
    </row>
    <row r="48" spans="1:24" x14ac:dyDescent="0.2">
      <c r="B48">
        <v>5</v>
      </c>
      <c r="C48">
        <f t="shared" si="0"/>
        <v>89.80298684785717</v>
      </c>
      <c r="D48">
        <f>[1]!IPR_pwf_atma(PI_,input_2,C48,fw_,Pb_)</f>
        <v>169.17731183692854</v>
      </c>
      <c r="E48">
        <f>[1]!MF_p_pipeline_atma(D48,Tres_,$F$28:$G$30,$G$33,$I$28:$J$30,C48,fw_,,PVT_str_,0,$C$27,$C$28)</f>
        <v>4.7460475997644807</v>
      </c>
      <c r="F48">
        <f>[1]!MF_p_choke_atma(C48,fw_,$G$37,pline_calc,0,$G$38,tsurface_c,,PVT_str_)</f>
        <v>20.446043359086932</v>
      </c>
      <c r="V48">
        <f>V47+($R$41+50)/N_</f>
        <v>144.40173555116749</v>
      </c>
      <c r="W48">
        <f>[1]!MF_p_pipeline_atma($X$33,tsurface_c,tsurface_c,$W$28:$X$29,$X$34,V48,fw_,,PVT_str_,1)</f>
        <v>20.115999775527847</v>
      </c>
      <c r="X48">
        <f t="shared" si="1"/>
        <v>20</v>
      </c>
    </row>
    <row r="49" spans="2:24" x14ac:dyDescent="0.2">
      <c r="B49">
        <v>6</v>
      </c>
      <c r="C49">
        <f t="shared" si="0"/>
        <v>112.25373355982146</v>
      </c>
      <c r="D49">
        <f>[1]!IPR_pwf_atma(PI_,input_2,C49,fw_,Pb_)</f>
        <v>148.9716397961607</v>
      </c>
      <c r="E49">
        <f>[1]!MF_p_pipeline_atma(D49,Tres_,$F$28:$G$30,$G$33,$I$28:$J$30,C49,fw_,,PVT_str_,0,$C$27,$C$28)</f>
        <v>0</v>
      </c>
      <c r="F49">
        <f>[1]!MF_p_choke_atma(C49,fw_,$G$37,pline_calc,0,$G$38,tsurface_c,,PVT_str_)</f>
        <v>20.446043359086932</v>
      </c>
      <c r="V49">
        <f>V48+($R$41+50)/N_</f>
        <v>180.50216943895936</v>
      </c>
      <c r="W49">
        <f>[1]!MF_p_pipeline_atma($X$33,tsurface_c,tsurface_c,$W$28:$X$29,$X$34,V49,fw_,,PVT_str_,1)</f>
        <v>20.171294834262934</v>
      </c>
      <c r="X49">
        <f t="shared" si="1"/>
        <v>20</v>
      </c>
    </row>
    <row r="50" spans="2:24" x14ac:dyDescent="0.2">
      <c r="B50">
        <v>7</v>
      </c>
      <c r="C50">
        <f t="shared" si="0"/>
        <v>134.70448027178574</v>
      </c>
      <c r="D50">
        <f>[1]!IPR_pwf_atma(PI_,input_2,C50,fw_,Pb_)</f>
        <v>128.76596775539284</v>
      </c>
      <c r="E50">
        <f>[1]!MF_p_pipeline_atma(D50,Tres_,$F$28:$G$30,$G$33,$I$28:$J$30,C50,fw_,,PVT_str_,0,$C$27,$C$28)</f>
        <v>0</v>
      </c>
      <c r="F50">
        <f>[1]!MF_p_choke_atma(C50,fw_,$G$37,pline_calc,0,$G$38,tsurface_c,,PVT_str_)</f>
        <v>20.446043359086932</v>
      </c>
      <c r="V50">
        <f>V49+($R$41+50)/N_</f>
        <v>216.60260332675122</v>
      </c>
      <c r="W50">
        <f>[1]!MF_p_pipeline_atma($X$33,tsurface_c,tsurface_c,$W$28:$X$29,$X$34,V50,fw_,,PVT_str_,1)</f>
        <v>20.235835905982963</v>
      </c>
      <c r="X50">
        <f t="shared" si="1"/>
        <v>20</v>
      </c>
    </row>
    <row r="51" spans="2:24" x14ac:dyDescent="0.2">
      <c r="B51">
        <v>8</v>
      </c>
      <c r="C51">
        <f t="shared" si="0"/>
        <v>157.15522698375003</v>
      </c>
      <c r="D51">
        <f>[1]!IPR_pwf_atma(PI_,input_2,C51,fw_,Pb_)</f>
        <v>108.29494250654452</v>
      </c>
      <c r="E51">
        <f>[1]!MF_p_pipeline_atma(D51,Tres_,$F$28:$G$30,$G$33,$I$28:$J$30,C51,fw_,,PVT_str_,0,$C$27,$C$28)</f>
        <v>0</v>
      </c>
      <c r="F51">
        <f>[1]!MF_p_choke_atma(C51,fw_,$G$37,pline_calc,0,$G$38,tsurface_c,,PVT_str_)</f>
        <v>20.446043359086932</v>
      </c>
      <c r="V51">
        <f>V50+($R$41+50)/N_</f>
        <v>252.70303721454309</v>
      </c>
      <c r="W51">
        <f>[1]!MF_p_pipeline_atma($X$33,tsurface_c,tsurface_c,$W$28:$X$29,$X$34,V51,fw_,,PVT_str_,1)</f>
        <v>20.309290511976858</v>
      </c>
      <c r="X51">
        <f t="shared" si="1"/>
        <v>20</v>
      </c>
    </row>
    <row r="52" spans="2:24" x14ac:dyDescent="0.2">
      <c r="B52">
        <v>9</v>
      </c>
      <c r="C52">
        <f t="shared" si="0"/>
        <v>179.60597369571431</v>
      </c>
      <c r="D52">
        <f>[1]!IPR_pwf_atma(PI_,input_2,C52,fw_,Pb_)</f>
        <v>85.872708958868301</v>
      </c>
      <c r="E52">
        <f>[1]!MF_p_pipeline_atma(D52,Tres_,$F$28:$G$30,$G$33,$I$28:$J$30,C52,fw_,,PVT_str_,0,$C$27,$C$28)</f>
        <v>0</v>
      </c>
      <c r="F52">
        <f>[1]!MF_p_choke_atma(C52,fw_,$G$37,pline_calc,0,$G$38,tsurface_c,,PVT_str_)</f>
        <v>20.446043359086932</v>
      </c>
      <c r="V52">
        <f>V51+($R$41+50)/N_</f>
        <v>288.80347110233498</v>
      </c>
      <c r="W52">
        <f>[1]!MF_p_pipeline_atma($X$33,tsurface_c,tsurface_c,$W$28:$X$29,$X$34,V52,fw_,,PVT_str_,1)</f>
        <v>20.39137959607568</v>
      </c>
      <c r="X52">
        <f t="shared" si="1"/>
        <v>20</v>
      </c>
    </row>
    <row r="53" spans="2:24" x14ac:dyDescent="0.2">
      <c r="B53">
        <v>10</v>
      </c>
      <c r="C53">
        <f t="shared" si="0"/>
        <v>202.0567204076786</v>
      </c>
      <c r="D53">
        <f>[1]!IPR_pwf_atma(PI_,input_2,C53,fw_,Pb_)</f>
        <v>59.075310194042174</v>
      </c>
      <c r="E53">
        <f>[1]!MF_p_pipeline_atma(D53,Tres_,$F$28:$G$30,$G$33,$I$28:$J$30,C53,fw_,,PVT_str_,0,$C$27,$C$28)</f>
        <v>0</v>
      </c>
      <c r="F53">
        <f>[1]!MF_p_choke_atma(C53,fw_,$G$37,pline_calc,0,$G$38,tsurface_c,,PVT_str_)</f>
        <v>20.446043359086932</v>
      </c>
      <c r="V53">
        <f>V52+($R$41+50)/N_</f>
        <v>324.90390499012688</v>
      </c>
      <c r="W53">
        <f>[1]!MF_p_pipeline_atma($X$33,tsurface_c,tsurface_c,$W$28:$X$29,$X$34,V53,fw_,,PVT_str_,1)</f>
        <v>20.481859118567222</v>
      </c>
      <c r="X53">
        <f t="shared" si="1"/>
        <v>20</v>
      </c>
    </row>
    <row r="54" spans="2:24" x14ac:dyDescent="0.2">
      <c r="B54">
        <v>11</v>
      </c>
      <c r="C54">
        <f t="shared" si="0"/>
        <v>224.50746711964288</v>
      </c>
      <c r="D54">
        <f>[1]!IPR_pwf_atma(PI_,input_2,C54,fw_,Pb_)</f>
        <v>1.0000000000001039</v>
      </c>
      <c r="E54">
        <f>[1]!MF_p_pipeline_atma(D54,Tres_,$F$28:$G$30,$G$33,$I$28:$J$30,C54,fw_,,PVT_str_,0,$C$27,$C$28)</f>
        <v>0</v>
      </c>
      <c r="F54">
        <f>[1]!MF_p_choke_atma(C54,fw_,$G$37,pline_calc,0,$G$38,tsurface_c,,PVT_str_)</f>
        <v>20.446043359086932</v>
      </c>
      <c r="V54">
        <f>V53+($R$41+50)/N_</f>
        <v>361.00433887791877</v>
      </c>
      <c r="W54">
        <f>[1]!MF_p_pipeline_atma($X$33,tsurface_c,tsurface_c,$W$28:$X$29,$X$34,V54,fw_,,PVT_str_,1)</f>
        <v>20.580509111571615</v>
      </c>
      <c r="X54">
        <f t="shared" si="1"/>
        <v>20</v>
      </c>
    </row>
    <row r="65" spans="1:10" x14ac:dyDescent="0.2">
      <c r="A65" s="1" t="s">
        <v>55</v>
      </c>
    </row>
    <row r="66" spans="1:10" x14ac:dyDescent="0.2">
      <c r="A66" s="1" t="s">
        <v>3</v>
      </c>
      <c r="B66" s="1"/>
      <c r="C66" s="1"/>
      <c r="D66" s="1"/>
      <c r="I66" t="s">
        <v>57</v>
      </c>
      <c r="J66" s="29"/>
    </row>
    <row r="67" spans="1:10" ht="18" x14ac:dyDescent="0.35">
      <c r="B67" s="7" t="s">
        <v>22</v>
      </c>
      <c r="C67" s="2">
        <v>200</v>
      </c>
      <c r="D67" s="5" t="s">
        <v>28</v>
      </c>
      <c r="F67" s="7" t="s">
        <v>65</v>
      </c>
      <c r="G67" s="2">
        <v>2500</v>
      </c>
      <c r="H67" t="s">
        <v>62</v>
      </c>
      <c r="I67" s="30" t="s">
        <v>58</v>
      </c>
      <c r="J67" s="31" t="s">
        <v>61</v>
      </c>
    </row>
    <row r="68" spans="1:10" ht="15.75" x14ac:dyDescent="0.3">
      <c r="B68" s="7" t="s">
        <v>23</v>
      </c>
      <c r="C68" s="2">
        <v>160</v>
      </c>
      <c r="D68" s="5" t="s">
        <v>27</v>
      </c>
      <c r="I68" s="30" t="s">
        <v>62</v>
      </c>
      <c r="J68" s="30" t="s">
        <v>63</v>
      </c>
    </row>
    <row r="69" spans="1:10" x14ac:dyDescent="0.2">
      <c r="I69" s="33">
        <v>0</v>
      </c>
      <c r="J69" s="34">
        <v>72</v>
      </c>
    </row>
    <row r="70" spans="1:10" x14ac:dyDescent="0.2">
      <c r="A70" s="1" t="s">
        <v>0</v>
      </c>
      <c r="I70" s="33">
        <v>2500</v>
      </c>
      <c r="J70" s="34">
        <v>72</v>
      </c>
    </row>
    <row r="71" spans="1:10" ht="15.75" x14ac:dyDescent="0.3">
      <c r="B71" s="7" t="s">
        <v>25</v>
      </c>
      <c r="C71" s="2">
        <f>input_2</f>
        <v>250</v>
      </c>
      <c r="D71" s="5" t="s">
        <v>27</v>
      </c>
      <c r="F71" s="7" t="s">
        <v>73</v>
      </c>
      <c r="G71" s="2">
        <v>32</v>
      </c>
      <c r="I71" s="33"/>
      <c r="J71" s="34"/>
    </row>
    <row r="72" spans="1:10" ht="15" x14ac:dyDescent="0.25">
      <c r="B72" s="7" t="s">
        <v>24</v>
      </c>
      <c r="C72" s="16">
        <f t="array" ref="C72">[1]!IPR_pi_sm3dayatm($C$67,$C$68,Pres_,fw_,Pb_)</f>
        <v>2.2222222222222223</v>
      </c>
      <c r="D72" s="5" t="s">
        <v>29</v>
      </c>
      <c r="F72" s="7" t="s">
        <v>74</v>
      </c>
      <c r="G72" s="16">
        <v>32</v>
      </c>
    </row>
    <row r="73" spans="1:10" ht="15.75" x14ac:dyDescent="0.3">
      <c r="B73" s="5" t="s">
        <v>30</v>
      </c>
      <c r="C73" s="17">
        <f t="array" ref="C73">[1]!IPR_qliq_sm3day($C$72,Pres_,1,fw_,Pb_)</f>
        <v>449.01493423928582</v>
      </c>
      <c r="D73" s="5" t="s">
        <v>28</v>
      </c>
      <c r="F73" s="5" t="s">
        <v>78</v>
      </c>
      <c r="G73" s="17">
        <f>[1]!IPR_pwf_atma($C$72,input_2,G75,fw_,Pb_)</f>
        <v>207.72576957682108</v>
      </c>
    </row>
    <row r="74" spans="1:10" ht="15" x14ac:dyDescent="0.25">
      <c r="F74" s="7" t="s">
        <v>79</v>
      </c>
      <c r="G74" s="2">
        <f>[1]!MF_p_pipeline_atma(G73,Tres_,$F$28:$G$30,$G$67,$I$69:$J$71,G75,fw_,,PVT_str_,0,$C$27,$C$28)</f>
        <v>20.368099299796267</v>
      </c>
    </row>
    <row r="75" spans="1:10" ht="15" x14ac:dyDescent="0.25">
      <c r="F75" s="7" t="s">
        <v>77</v>
      </c>
      <c r="G75" s="16">
        <f>[1]!crv_intersection(C78:C88,E78:E88,C78:C88,F78:F88)</f>
        <v>93.942734273730935</v>
      </c>
    </row>
    <row r="77" spans="1:10" x14ac:dyDescent="0.2">
      <c r="C77" t="s">
        <v>53</v>
      </c>
      <c r="D77" t="s">
        <v>54</v>
      </c>
      <c r="E77" t="s">
        <v>64</v>
      </c>
      <c r="F77" s="33" t="s">
        <v>75</v>
      </c>
    </row>
    <row r="78" spans="1:10" x14ac:dyDescent="0.2">
      <c r="B78">
        <v>1</v>
      </c>
      <c r="C78">
        <v>0</v>
      </c>
      <c r="D78">
        <f>[1]!IPR_pwf_atma($C$72,input_2,C78,fw_,Pb_)</f>
        <v>250</v>
      </c>
      <c r="E78">
        <f>[1]!MF_p_pipeline_atma(D78,Tres_,$F$28:$G$30,$G$67,$I$69:$J$71,C78,fw_,,PVT_str_,0,$C$27,$C$28)</f>
        <v>54.192741334022294</v>
      </c>
      <c r="F78">
        <f>[1]!MF_p_choke_atma(C78,fw_,$G$71,pline_calc,0,$G$72,tsurface_c,,PVT_str_)</f>
        <v>20.446043359086932</v>
      </c>
    </row>
    <row r="79" spans="1:10" x14ac:dyDescent="0.2">
      <c r="B79">
        <v>2</v>
      </c>
      <c r="C79">
        <f t="shared" ref="C79:C88" si="2">C78+$C$73/N_</f>
        <v>44.901493423928585</v>
      </c>
      <c r="D79">
        <f>[1]!IPR_pwf_atma($C$72,input_2,C79,fw_,Pb_)</f>
        <v>229.79432795923213</v>
      </c>
      <c r="E79">
        <f>[1]!MF_p_pipeline_atma(D79,Tres_,$F$28:$G$30,$G$67,$I$69:$J$71,C79,fw_,,PVT_str_,0,$C$27,$C$28)</f>
        <v>22.118802328702067</v>
      </c>
      <c r="F79">
        <f>[1]!MF_p_choke_atma(C79,fw_,$G$71,pline_calc,0,$G$72,tsurface_c,,PVT_str_)</f>
        <v>20.446043359086932</v>
      </c>
    </row>
    <row r="80" spans="1:10" x14ac:dyDescent="0.2">
      <c r="B80">
        <v>3</v>
      </c>
      <c r="C80">
        <f t="shared" si="2"/>
        <v>89.80298684785717</v>
      </c>
      <c r="D80">
        <f>[1]!IPR_pwf_atma($C$72,input_2,C80,fw_,Pb_)</f>
        <v>209.58865591846427</v>
      </c>
      <c r="E80">
        <f>[1]!MF_p_pipeline_atma(D80,Tres_,$F$28:$G$30,$G$67,$I$69:$J$71,C80,fw_,,PVT_str_,0,$C$27,$C$28)</f>
        <v>21.291852533590454</v>
      </c>
      <c r="F80">
        <f>[1]!MF_p_choke_atma(C80,fw_,$G$71,pline_calc,0,$G$72,tsurface_c,,PVT_str_)</f>
        <v>20.446043359086932</v>
      </c>
    </row>
    <row r="81" spans="1:21" x14ac:dyDescent="0.2">
      <c r="B81">
        <v>4</v>
      </c>
      <c r="C81">
        <f t="shared" si="2"/>
        <v>134.70448027178577</v>
      </c>
      <c r="D81">
        <f>[1]!IPR_pwf_atma($C$72,input_2,C81,fw_,Pb_)</f>
        <v>189.3829838776964</v>
      </c>
      <c r="E81">
        <f>[1]!MF_p_pipeline_atma(D81,Tres_,$F$28:$G$30,$G$67,$I$69:$J$71,C81,fw_,,PVT_str_,0,$C$27,$C$28)</f>
        <v>12.117839923665976</v>
      </c>
      <c r="F81">
        <f>[1]!MF_p_choke_atma(C81,fw_,$G$71,pline_calc,0,$G$72,tsurface_c,,PVT_str_)</f>
        <v>20.446043359086932</v>
      </c>
    </row>
    <row r="82" spans="1:21" x14ac:dyDescent="0.2">
      <c r="B82">
        <v>5</v>
      </c>
      <c r="C82">
        <f t="shared" si="2"/>
        <v>179.60597369571434</v>
      </c>
      <c r="D82">
        <f>[1]!IPR_pwf_atma($C$72,input_2,C82,fw_,Pb_)</f>
        <v>169.17731183692854</v>
      </c>
      <c r="E82">
        <f>[1]!MF_p_pipeline_atma(D82,Tres_,$F$28:$G$30,$G$67,$I$69:$J$71,C82,fw_,,PVT_str_,0,$C$27,$C$28)</f>
        <v>4.7782109662718746</v>
      </c>
      <c r="F82">
        <f>[1]!MF_p_choke_atma(C82,fw_,$G$71,pline_calc,0,$G$72,tsurface_c,,PVT_str_)</f>
        <v>20.446043359086932</v>
      </c>
    </row>
    <row r="83" spans="1:21" x14ac:dyDescent="0.2">
      <c r="B83">
        <v>6</v>
      </c>
      <c r="C83">
        <f t="shared" si="2"/>
        <v>224.50746711964291</v>
      </c>
      <c r="D83">
        <f>[1]!IPR_pwf_atma($C$72,input_2,C83,fw_,Pb_)</f>
        <v>148.9716397961607</v>
      </c>
      <c r="E83">
        <f>[1]!MF_p_pipeline_atma(D83,Tres_,$F$28:$G$30,$G$67,$I$69:$J$71,C83,fw_,,PVT_str_,0,$C$27,$C$28)</f>
        <v>0</v>
      </c>
      <c r="F83">
        <f>[1]!MF_p_choke_atma(C83,fw_,$G$71,pline_calc,0,$G$72,tsurface_c,,PVT_str_)</f>
        <v>20.446043359086932</v>
      </c>
    </row>
    <row r="84" spans="1:21" x14ac:dyDescent="0.2">
      <c r="B84">
        <v>7</v>
      </c>
      <c r="C84">
        <f t="shared" si="2"/>
        <v>269.40896054357148</v>
      </c>
      <c r="D84">
        <f>[1]!IPR_pwf_atma($C$72,input_2,C84,fw_,Pb_)</f>
        <v>128.76596775539284</v>
      </c>
      <c r="E84">
        <f>[1]!MF_p_pipeline_atma(D84,Tres_,$F$28:$G$30,$G$67,$I$69:$J$71,C84,fw_,,PVT_str_,0,$C$27,$C$28)</f>
        <v>0</v>
      </c>
      <c r="F84">
        <f>[1]!MF_p_choke_atma(C84,fw_,$G$71,pline_calc,0,$G$72,tsurface_c,,PVT_str_)</f>
        <v>20.446043359086932</v>
      </c>
    </row>
    <row r="85" spans="1:21" x14ac:dyDescent="0.2">
      <c r="B85">
        <v>8</v>
      </c>
      <c r="C85">
        <f t="shared" si="2"/>
        <v>314.31045396750005</v>
      </c>
      <c r="D85">
        <f>[1]!IPR_pwf_atma($C$72,input_2,C85,fw_,Pb_)</f>
        <v>108.29494250654452</v>
      </c>
      <c r="E85">
        <f>[1]!MF_p_pipeline_atma(D85,Tres_,$F$28:$G$30,$G$67,$I$69:$J$71,C85,fw_,,PVT_str_,0,$C$27,$C$28)</f>
        <v>0</v>
      </c>
      <c r="F85">
        <f>[1]!MF_p_choke_atma(C85,fw_,$G$71,pline_calc,0,$G$72,tsurface_c,,PVT_str_)</f>
        <v>20.446043359086932</v>
      </c>
    </row>
    <row r="86" spans="1:21" x14ac:dyDescent="0.2">
      <c r="B86">
        <v>9</v>
      </c>
      <c r="C86">
        <f t="shared" si="2"/>
        <v>359.21194739142862</v>
      </c>
      <c r="D86">
        <f>[1]!IPR_pwf_atma($C$72,input_2,C86,fw_,Pb_)</f>
        <v>85.872708958868301</v>
      </c>
      <c r="E86">
        <f>[1]!MF_p_pipeline_atma(D86,Tres_,$F$28:$G$30,$G$67,$I$69:$J$71,C86,fw_,,PVT_str_,0,$C$27,$C$28)</f>
        <v>0</v>
      </c>
      <c r="F86">
        <f>[1]!MF_p_choke_atma(C86,fw_,$G$71,pline_calc,0,$G$72,tsurface_c,,PVT_str_)</f>
        <v>20.446043359086932</v>
      </c>
    </row>
    <row r="87" spans="1:21" x14ac:dyDescent="0.2">
      <c r="B87">
        <v>10</v>
      </c>
      <c r="C87">
        <f t="shared" si="2"/>
        <v>404.11344081535719</v>
      </c>
      <c r="D87">
        <f>[1]!IPR_pwf_atma($C$72,input_2,C87,fw_,Pb_)</f>
        <v>59.075310194042174</v>
      </c>
      <c r="E87">
        <f>[1]!MF_p_pipeline_atma(D87,Tres_,$F$28:$G$30,$G$67,$I$69:$J$71,C87,fw_,,PVT_str_,0,$C$27,$C$28)</f>
        <v>0</v>
      </c>
      <c r="F87">
        <f>[1]!MF_p_choke_atma(C87,fw_,$G$71,pline_calc,0,$G$72,tsurface_c,,PVT_str_)</f>
        <v>20.446043359086932</v>
      </c>
    </row>
    <row r="88" spans="1:21" x14ac:dyDescent="0.2">
      <c r="B88">
        <v>11</v>
      </c>
      <c r="C88">
        <f t="shared" si="2"/>
        <v>449.01493423928576</v>
      </c>
      <c r="D88">
        <f>[1]!IPR_pwf_atma($C$72,input_2,C88,fw_,Pb_)</f>
        <v>1.0000000000001039</v>
      </c>
      <c r="E88">
        <f>[1]!MF_p_pipeline_atma(D88,Tres_,$F$28:$G$30,$G$67,$I$69:$J$71,C88,fw_,,PVT_str_,0,$C$27,$C$28)</f>
        <v>0</v>
      </c>
      <c r="F88">
        <f>[1]!MF_p_choke_atma(C88,fw_,$G$71,pline_calc,0,$G$72,tsurface_c,,PVT_str_)</f>
        <v>20.446043359086932</v>
      </c>
    </row>
    <row r="91" spans="1:21" x14ac:dyDescent="0.2">
      <c r="A91" s="1" t="s">
        <v>83</v>
      </c>
    </row>
    <row r="92" spans="1:21" x14ac:dyDescent="0.2">
      <c r="A92" s="1" t="s">
        <v>3</v>
      </c>
      <c r="B92" s="1"/>
      <c r="C92" s="1"/>
      <c r="D92" s="1"/>
      <c r="N92" t="s">
        <v>57</v>
      </c>
      <c r="O92" s="29"/>
      <c r="Q92" t="s">
        <v>84</v>
      </c>
      <c r="R92" s="29"/>
    </row>
    <row r="93" spans="1:21" ht="18" x14ac:dyDescent="0.35">
      <c r="B93" s="7" t="s">
        <v>22</v>
      </c>
      <c r="C93" s="2">
        <v>100</v>
      </c>
      <c r="D93" s="5" t="s">
        <v>28</v>
      </c>
      <c r="F93" s="49" t="s">
        <v>87</v>
      </c>
      <c r="G93" s="2">
        <v>120</v>
      </c>
      <c r="H93" s="49" t="s">
        <v>88</v>
      </c>
      <c r="J93" s="49" t="s">
        <v>96</v>
      </c>
      <c r="K93" s="51">
        <f>INT($G$94/[1]!ESP_head_m($G$93,1,,G96))</f>
        <v>337</v>
      </c>
      <c r="L93" s="49" t="s">
        <v>97</v>
      </c>
      <c r="N93" s="30" t="s">
        <v>58</v>
      </c>
      <c r="O93" s="31" t="s">
        <v>61</v>
      </c>
      <c r="Q93" s="30" t="s">
        <v>58</v>
      </c>
      <c r="R93" s="31" t="s">
        <v>85</v>
      </c>
      <c r="T93" s="56">
        <f>$G$101</f>
        <v>195.2951485475491</v>
      </c>
      <c r="U93">
        <v>0</v>
      </c>
    </row>
    <row r="94" spans="1:21" ht="15.75" x14ac:dyDescent="0.3">
      <c r="B94" s="7" t="s">
        <v>23</v>
      </c>
      <c r="C94" s="2">
        <v>180</v>
      </c>
      <c r="D94" s="5" t="s">
        <v>27</v>
      </c>
      <c r="F94" s="49" t="s">
        <v>89</v>
      </c>
      <c r="G94" s="2">
        <v>2000</v>
      </c>
      <c r="H94" s="49" t="s">
        <v>90</v>
      </c>
      <c r="J94" s="49" t="s">
        <v>98</v>
      </c>
      <c r="K94" s="52">
        <v>0.8</v>
      </c>
      <c r="L94" s="49"/>
      <c r="N94" s="30" t="s">
        <v>62</v>
      </c>
      <c r="O94" s="30" t="s">
        <v>63</v>
      </c>
      <c r="Q94" s="30" t="s">
        <v>62</v>
      </c>
      <c r="R94" s="30" t="s">
        <v>62</v>
      </c>
      <c r="T94" s="56">
        <f>$G$101+1</f>
        <v>196.2951485475491</v>
      </c>
      <c r="U94">
        <v>200</v>
      </c>
    </row>
    <row r="95" spans="1:21" ht="15.75" x14ac:dyDescent="0.3">
      <c r="F95" s="49" t="s">
        <v>91</v>
      </c>
      <c r="G95" s="2">
        <v>60</v>
      </c>
      <c r="H95" s="49" t="s">
        <v>92</v>
      </c>
      <c r="J95" s="49" t="s">
        <v>99</v>
      </c>
      <c r="K95" s="53">
        <v>80</v>
      </c>
      <c r="L95" s="49" t="s">
        <v>100</v>
      </c>
      <c r="N95" s="33">
        <v>0</v>
      </c>
      <c r="O95" s="34">
        <v>72</v>
      </c>
      <c r="Q95" s="33">
        <v>0</v>
      </c>
      <c r="R95" s="33">
        <v>0</v>
      </c>
    </row>
    <row r="96" spans="1:21" ht="15.75" x14ac:dyDescent="0.3">
      <c r="A96" s="1" t="s">
        <v>0</v>
      </c>
      <c r="F96" s="49" t="s">
        <v>93</v>
      </c>
      <c r="G96" s="50">
        <f>[1]!ESP_id_by_rate($G$93)</f>
        <v>737</v>
      </c>
      <c r="H96" s="49"/>
      <c r="J96" s="49" t="s">
        <v>101</v>
      </c>
      <c r="K96" s="53">
        <v>80</v>
      </c>
      <c r="L96" s="49" t="s">
        <v>102</v>
      </c>
      <c r="N96" s="33">
        <v>1500</v>
      </c>
      <c r="O96" s="34">
        <v>72</v>
      </c>
      <c r="Q96" s="33">
        <v>1500</v>
      </c>
      <c r="R96" s="33">
        <v>1500</v>
      </c>
    </row>
    <row r="97" spans="2:18" ht="15.75" x14ac:dyDescent="0.3">
      <c r="B97" s="7" t="s">
        <v>25</v>
      </c>
      <c r="C97" s="2">
        <f>input_2</f>
        <v>250</v>
      </c>
      <c r="D97" s="5" t="s">
        <v>27</v>
      </c>
      <c r="F97" s="49" t="s">
        <v>94</v>
      </c>
      <c r="G97" s="50" t="str">
        <f>[1]!ESP_name($G$96)</f>
        <v>ЭЦН5-125</v>
      </c>
      <c r="H97" s="49"/>
      <c r="J97" s="49" t="s">
        <v>103</v>
      </c>
      <c r="K97" s="2">
        <v>1</v>
      </c>
      <c r="L97" s="49" t="s">
        <v>19</v>
      </c>
      <c r="N97" s="33">
        <v>2500</v>
      </c>
      <c r="O97" s="34">
        <v>120</v>
      </c>
      <c r="Q97" s="33">
        <v>2500</v>
      </c>
      <c r="R97" s="33">
        <v>2500</v>
      </c>
    </row>
    <row r="98" spans="2:18" ht="27" x14ac:dyDescent="0.3">
      <c r="B98" s="7" t="s">
        <v>24</v>
      </c>
      <c r="C98" s="16">
        <f>[1]!IPR_pi_sm3dayatm($C$93,$C$94,Pres_,fw_,Pb_)</f>
        <v>1.4285714285714286</v>
      </c>
      <c r="D98" s="5" t="s">
        <v>29</v>
      </c>
      <c r="F98" s="49" t="s">
        <v>95</v>
      </c>
      <c r="G98" s="50">
        <f>[1]!ESP_rate_max_sm3day($G$95,$G$96)</f>
        <v>276</v>
      </c>
      <c r="H98" s="49"/>
      <c r="J98" s="54" t="s">
        <v>104</v>
      </c>
      <c r="K98" s="2">
        <v>1</v>
      </c>
    </row>
    <row r="99" spans="2:18" ht="15.75" x14ac:dyDescent="0.3">
      <c r="B99" s="5" t="s">
        <v>30</v>
      </c>
      <c r="C99" s="17">
        <f>[1]!IPR_qliq_sm3day($C$98,Pres_,1,fw_,Pb_)</f>
        <v>288.65245772525515</v>
      </c>
      <c r="D99" s="5" t="s">
        <v>28</v>
      </c>
      <c r="F99" s="5" t="s">
        <v>111</v>
      </c>
      <c r="G99" s="17">
        <f>[1]!IPR_pwf_atma($C$98,input_2,G101,fw_,Pb_)</f>
        <v>113.20568825272792</v>
      </c>
      <c r="J99" s="49" t="s">
        <v>2</v>
      </c>
      <c r="K99" s="2">
        <v>20</v>
      </c>
      <c r="L99" s="49"/>
    </row>
    <row r="100" spans="2:18" ht="15" x14ac:dyDescent="0.25">
      <c r="F100" s="7" t="s">
        <v>112</v>
      </c>
      <c r="G100" s="2">
        <f>[1]!crv_interpolation(C104:C113,I104:I113,G101)</f>
        <v>20.446043359086971</v>
      </c>
      <c r="J100" s="55" t="s">
        <v>105</v>
      </c>
      <c r="K100" t="str">
        <f>[1]!PVT_encode_string(gamma_gas_,gamma_oil_,gamma_wat_,Rsb_,Rp_,Pb_cal_,Tres_,Bob_,muob_,,K94,K95,K96)</f>
        <v>gamma_gas:0,800;gamma_oil:0,880;gamma_wat:1,000;rsb_m3m3:80,000;rp_m3m3:80,000;pb_atma:120,000;tres_C:100,000;bob_m3m3:1,200;muob_cP:1,000;PVTcorr:0;ksep_fr:0,800;p_ksep_atma:80,000;t_ksep_C:80,000;gas_only:False;</v>
      </c>
    </row>
    <row r="101" spans="2:18" ht="15" x14ac:dyDescent="0.25">
      <c r="F101" s="7" t="s">
        <v>113</v>
      </c>
      <c r="G101" s="16">
        <f>[1]!crv_intersection(C104:C113,I104:I113,C104:C113,J104:J113)</f>
        <v>195.2951485475491</v>
      </c>
    </row>
    <row r="103" spans="2:18" x14ac:dyDescent="0.2">
      <c r="C103" t="s">
        <v>53</v>
      </c>
      <c r="D103" t="s">
        <v>54</v>
      </c>
      <c r="E103" t="s">
        <v>86</v>
      </c>
      <c r="F103" t="s">
        <v>107</v>
      </c>
      <c r="G103" t="s">
        <v>106</v>
      </c>
      <c r="H103" t="s">
        <v>108</v>
      </c>
      <c r="I103" t="s">
        <v>109</v>
      </c>
      <c r="J103" t="s">
        <v>110</v>
      </c>
    </row>
    <row r="104" spans="2:18" x14ac:dyDescent="0.2">
      <c r="B104">
        <v>1</v>
      </c>
      <c r="C104">
        <v>0</v>
      </c>
      <c r="D104">
        <f>[1]!IPR_pwf_atma($C$98,input_2,C104,fw_,Pb_)</f>
        <v>250</v>
      </c>
      <c r="E104">
        <f t="array" ref="E104:F104">[1]!MF_p_pipeline_atma(D104,Tres_,$F$28:$G$30,$Q$96:$R$97,$N$96:$O$97,C104,fw_,,PVT_str_,0,$C$27,$C$28)</f>
        <v>171.42595178258685</v>
      </c>
      <c r="F104">
        <v>100</v>
      </c>
      <c r="G104">
        <f t="array" ref="G104:H104">[1]!ESP_p_atma(C104,fw_,E104,$K$93,$G$95,$G$96,$K$100,F104,,1,$K$98,,$K$99)</f>
        <v>457.7605275954466</v>
      </c>
      <c r="H104">
        <v>171.42595178258685</v>
      </c>
      <c r="I104">
        <f>[1]!MF_p_pipeline_atma(G104,Tres_,$F$28:$G$30,$Q$95:$R$96,$N$95:$O$96,C104,fw_,,$K$100,0,$C$27,$C$28)</f>
        <v>337.29456241040992</v>
      </c>
      <c r="J104">
        <f>pline_calc</f>
        <v>20.446043359086932</v>
      </c>
    </row>
    <row r="105" spans="2:18" x14ac:dyDescent="0.2">
      <c r="B105">
        <v>2</v>
      </c>
      <c r="C105">
        <f>C104+$C$99/N_</f>
        <v>28.865245772525515</v>
      </c>
      <c r="D105">
        <f>[1]!IPR_pwf_atma($C$98,input_2,C105,fw_,Pb_)</f>
        <v>229.79432795923213</v>
      </c>
      <c r="E105">
        <f t="array" ref="E105:F105">[1]!MF_p_pipeline_atma(D105,Tres_,$F$28:$G$30,$Q$96:$R$97,$N$96:$O$97,C105,fw_,,PVT_str_,0,$C$27,$C$28)</f>
        <v>143.97135709323447</v>
      </c>
      <c r="F105">
        <v>100</v>
      </c>
      <c r="G105">
        <f t="array" ref="G105:H105">[1]!ESP_p_atma(C105,fw_,E105,$K$93,$G$95,$G$96,$K$100,F105,,1,$K$98,,$K$99)</f>
        <v>430.72230564967168</v>
      </c>
      <c r="H105">
        <v>143.97135709323447</v>
      </c>
      <c r="I105">
        <f>[1]!MF_p_pipeline_atma(G105,Tres_,$F$28:$G$30,$Q$95:$R$96,$N$95:$O$96,C105,fw_,,$K$100,0,$C$27,$C$28)</f>
        <v>300.0090820512047</v>
      </c>
      <c r="J105">
        <f>pline_calc</f>
        <v>20.446043359086932</v>
      </c>
    </row>
    <row r="106" spans="2:18" x14ac:dyDescent="0.2">
      <c r="B106">
        <v>3</v>
      </c>
      <c r="C106">
        <f>C105+$C$99/N_</f>
        <v>57.730491545051031</v>
      </c>
      <c r="D106">
        <f>[1]!IPR_pwf_atma($C$98,input_2,C106,fw_,Pb_)</f>
        <v>209.58865591846427</v>
      </c>
      <c r="E106">
        <f t="array" ref="E106:F106">[1]!MF_p_pipeline_atma(D106,Tres_,$F$28:$G$30,$Q$96:$R$97,$N$96:$O$97,C106,fw_,,PVT_str_,0,$C$27,$C$28)</f>
        <v>123.87625083304724</v>
      </c>
      <c r="F106">
        <v>100</v>
      </c>
      <c r="G106">
        <f t="array" ref="G106:H106">[1]!ESP_p_atma(C106,fw_,E106,$K$93,$G$95,$G$96,$K$100,F106,,1,$K$98,,$K$99)</f>
        <v>409.43148771279135</v>
      </c>
      <c r="H106">
        <v>123.87625083304724</v>
      </c>
      <c r="I106">
        <f>[1]!MF_p_pipeline_atma(G106,Tres_,$F$28:$G$30,$Q$95:$R$96,$N$95:$O$96,C106,fw_,,$K$100,0,$C$27,$C$28)</f>
        <v>278.76120331620655</v>
      </c>
      <c r="J106">
        <f>pline_calc</f>
        <v>20.446043359086932</v>
      </c>
    </row>
    <row r="107" spans="2:18" x14ac:dyDescent="0.2">
      <c r="B107">
        <v>4</v>
      </c>
      <c r="C107">
        <f>C106+$C$99/N_</f>
        <v>86.59573731757655</v>
      </c>
      <c r="D107">
        <f>[1]!IPR_pwf_atma($C$98,input_2,C107,fw_,Pb_)</f>
        <v>189.3829838776964</v>
      </c>
      <c r="E107">
        <f t="array" ref="E107:F107">[1]!MF_p_pipeline_atma(D107,Tres_,$F$28:$G$30,$Q$96:$R$97,$N$96:$O$97,C107,fw_,,PVT_str_,0,$C$27,$C$28)</f>
        <v>104.14891622990159</v>
      </c>
      <c r="F107">
        <v>100</v>
      </c>
      <c r="G107">
        <f t="array" ref="G107:H107">[1]!ESP_p_atma(C107,fw_,E107,$K$93,$G$95,$G$96,$K$100,F107,,1,$K$98,,$K$99)</f>
        <v>386.00091536420081</v>
      </c>
      <c r="H107">
        <v>104.14891622990159</v>
      </c>
      <c r="I107">
        <f>[1]!MF_p_pipeline_atma(G107,Tres_,$F$28:$G$30,$Q$95:$R$96,$N$95:$O$96,C107,fw_,,$K$100,0,$C$27,$C$28)</f>
        <v>255.35181823574393</v>
      </c>
      <c r="J107">
        <f>pline_calc</f>
        <v>20.446043359086932</v>
      </c>
    </row>
    <row r="108" spans="2:18" x14ac:dyDescent="0.2">
      <c r="B108">
        <v>5</v>
      </c>
      <c r="C108">
        <f>C107+$C$99/N_</f>
        <v>115.46098309010206</v>
      </c>
      <c r="D108">
        <f>[1]!IPR_pwf_atma($C$98,input_2,C108,fw_,Pb_)</f>
        <v>169.17731183692857</v>
      </c>
      <c r="E108">
        <f t="array" ref="E108:F108">[1]!MF_p_pipeline_atma(D108,Tres_,$F$28:$G$30,$Q$96:$R$97,$N$96:$O$97,C108,fw_,,PVT_str_,0,$C$27,$C$28)</f>
        <v>85.60934710666568</v>
      </c>
      <c r="F108">
        <v>100</v>
      </c>
      <c r="G108">
        <f t="array" ref="G108:H108">[1]!ESP_p_atma(C108,fw_,E108,$K$93,$G$95,$G$96,$K$100,F108,,1,$K$98,,$K$99)</f>
        <v>355.95923642168651</v>
      </c>
      <c r="H108">
        <v>85.60934710666568</v>
      </c>
      <c r="I108">
        <f>[1]!MF_p_pipeline_atma(G108,Tres_,$F$28:$G$30,$Q$95:$R$96,$N$95:$O$96,C108,fw_,,$K$100,0,$C$27,$C$28)</f>
        <v>225.33775980866687</v>
      </c>
      <c r="J108">
        <f>pline_calc</f>
        <v>20.446043359086932</v>
      </c>
    </row>
    <row r="109" spans="2:18" x14ac:dyDescent="0.2">
      <c r="B109">
        <v>6</v>
      </c>
      <c r="C109">
        <f>C108+$C$99/N_</f>
        <v>144.32622886262757</v>
      </c>
      <c r="D109">
        <f>[1]!IPR_pwf_atma($C$98,input_2,C109,fw_,Pb_)</f>
        <v>148.9716397961607</v>
      </c>
      <c r="E109">
        <f t="array" ref="E109:F109">[1]!MF_p_pipeline_atma(D109,Tres_,$F$28:$G$30,$Q$96:$R$97,$N$96:$O$97,C109,fw_,,PVT_str_,0,$C$27,$C$28)</f>
        <v>68.575867507879167</v>
      </c>
      <c r="F109">
        <v>100</v>
      </c>
      <c r="G109">
        <f t="array" ref="G109:H109">[1]!ESP_p_atma(C109,fw_,E109,$K$93,$G$95,$G$96,$K$100,F109,,1,$K$98,,$K$99)</f>
        <v>304.43577894523906</v>
      </c>
      <c r="H109">
        <v>68.575867507879167</v>
      </c>
      <c r="I109">
        <f>[1]!MF_p_pipeline_atma(G109,Tres_,$F$28:$G$30,$Q$95:$R$96,$N$95:$O$96,C109,fw_,,$K$100,0,$C$27,$C$28)</f>
        <v>173.94875320984954</v>
      </c>
      <c r="J109">
        <f>pline_calc</f>
        <v>20.446043359086932</v>
      </c>
    </row>
    <row r="110" spans="2:18" x14ac:dyDescent="0.2">
      <c r="B110">
        <v>7</v>
      </c>
      <c r="C110">
        <f>C109+$C$99/N_</f>
        <v>173.1914746351531</v>
      </c>
      <c r="D110">
        <f>[1]!IPR_pwf_atma($C$98,input_2,C110,fw_,Pb_)</f>
        <v>128.76596775539284</v>
      </c>
      <c r="E110">
        <f t="array" ref="E110:F110">[1]!MF_p_pipeline_atma(D110,Tres_,$F$28:$G$30,$Q$96:$R$97,$N$96:$O$97,C110,fw_,,PVT_str_,0,$C$27,$C$28)</f>
        <v>53.027506594066985</v>
      </c>
      <c r="F110">
        <v>100</v>
      </c>
      <c r="G110">
        <f t="array" ref="G110:H110">[1]!ESP_p_atma(C110,fw_,E110,$K$93,$G$95,$G$96,$K$100,F110,,1,$K$98,,$K$99)</f>
        <v>217.18930935391046</v>
      </c>
      <c r="H110">
        <v>53.027506594066985</v>
      </c>
      <c r="I110">
        <f>[1]!MF_p_pipeline_atma(G110,Tres_,$F$28:$G$30,$Q$95:$R$96,$N$95:$O$96,C110,fw_,,$K$100,0,$C$27,$C$28)</f>
        <v>87.284447883462065</v>
      </c>
      <c r="J110">
        <f>pline_calc</f>
        <v>20.446043359086932</v>
      </c>
    </row>
    <row r="111" spans="2:18" x14ac:dyDescent="0.2">
      <c r="B111">
        <v>8</v>
      </c>
      <c r="C111">
        <f>C110+$C$99/N_</f>
        <v>202.05672040767863</v>
      </c>
      <c r="D111">
        <f>[1]!IPR_pwf_atma($C$98,input_2,C111,fw_,Pb_)</f>
        <v>108.29494250654452</v>
      </c>
      <c r="E111">
        <f t="array" ref="E111:F111">[1]!MF_p_pipeline_atma(D111,Tres_,$F$28:$G$30,$Q$96:$R$97,$N$96:$O$97,C111,fw_,,PVT_str_,0,$C$27,$C$28)</f>
        <v>38.482834054861662</v>
      </c>
      <c r="F111">
        <v>100</v>
      </c>
      <c r="G111">
        <f t="array" ref="G111:H111">[1]!ESP_p_atma(C111,fw_,E111,$K$93,$G$95,$G$96,$K$100,F111,,1,$K$98,,$K$99)</f>
        <v>5.8453252956698967E-2</v>
      </c>
      <c r="H111">
        <v>38.482834054861662</v>
      </c>
      <c r="I111">
        <f>[1]!MF_p_pipeline_atma(G111,Tres_,$F$28:$G$30,$Q$95:$R$96,$N$95:$O$96,C111,fw_,,$K$100,0,$C$27,$C$28)</f>
        <v>0</v>
      </c>
      <c r="J111">
        <f>pline_calc</f>
        <v>20.446043359086932</v>
      </c>
    </row>
    <row r="112" spans="2:18" x14ac:dyDescent="0.2">
      <c r="B112">
        <v>9</v>
      </c>
      <c r="C112">
        <f>C111+$C$99/N_</f>
        <v>230.92196618020415</v>
      </c>
      <c r="D112">
        <f>[1]!IPR_pwf_atma($C$98,input_2,C112,fw_,Pb_)</f>
        <v>85.872708958868259</v>
      </c>
      <c r="E112">
        <f t="array" ref="E112:F112">[1]!MF_p_pipeline_atma(D112,Tres_,$F$28:$G$30,$Q$96:$R$97,$N$96:$O$97,C112,fw_,,PVT_str_,0,$C$27,$C$28)</f>
        <v>23.663108393064583</v>
      </c>
      <c r="F112">
        <v>100</v>
      </c>
      <c r="G112">
        <f t="array" ref="G112:H112">[1]!ESP_p_atma(C112,fw_,E112,$K$93,$G$95,$G$96,$K$100,F112,,1,$K$98,,$K$99)</f>
        <v>2.0380492928432251E-2</v>
      </c>
      <c r="H112">
        <v>23.663108393064583</v>
      </c>
      <c r="I112">
        <f>[1]!MF_p_pipeline_atma(G112,Tres_,$F$28:$G$30,$Q$95:$R$96,$N$95:$O$96,C112,fw_,,$K$100,0,$C$27,$C$28)</f>
        <v>0</v>
      </c>
      <c r="J112">
        <f>pline_calc</f>
        <v>20.446043359086932</v>
      </c>
    </row>
    <row r="113" spans="2:10" x14ac:dyDescent="0.2">
      <c r="B113">
        <v>10</v>
      </c>
      <c r="C113">
        <f>C112+$C$99/N_</f>
        <v>259.78721195272965</v>
      </c>
      <c r="D113">
        <f>[1]!IPR_pwf_atma($C$98,input_2,C113,fw_,Pb_)</f>
        <v>59.075310194042146</v>
      </c>
      <c r="E113">
        <f t="array" ref="E113:F113">[1]!MF_p_pipeline_atma(D113,Tres_,$F$28:$G$30,$Q$96:$R$97,$N$96:$O$97,C113,fw_,,PVT_str_,0,$C$27,$C$28)</f>
        <v>7.9066663603406724</v>
      </c>
      <c r="F113">
        <v>100</v>
      </c>
      <c r="G113">
        <f t="array" ref="G113:H113">[1]!ESP_p_atma(C113,fw_,E113,$K$93,$G$95,$G$96,$K$100,F113,,1,$K$98,,$K$99)</f>
        <v>5.2506650160038144E-3</v>
      </c>
      <c r="H113">
        <v>7.9066663603406724</v>
      </c>
      <c r="I113">
        <f>[1]!MF_p_pipeline_atma(G113,Tres_,$F$28:$G$30,$Q$95:$R$96,$N$95:$O$96,C113,fw_,,$K$100,0,$C$27,$C$28)</f>
        <v>0</v>
      </c>
      <c r="J113">
        <f>pline_calc</f>
        <v>20.446043359086932</v>
      </c>
    </row>
    <row r="114" spans="2:10" x14ac:dyDescent="0.2">
      <c r="B114">
        <v>11</v>
      </c>
      <c r="C114">
        <f>C113+$C$99/N_</f>
        <v>288.65245772525515</v>
      </c>
      <c r="D114">
        <f>[1]!IPR_pwf_atma($C$98,input_2,C114,fw_,Pb_)</f>
        <v>1.0000000000000357</v>
      </c>
      <c r="E114">
        <f t="array" ref="E114:F114">[1]!MF_p_pipeline_atma(D114,Tres_,$F$28:$G$30,$Q$96:$R$97,$N$96:$O$97,C114,fw_,,PVT_str_,0,$C$27,$C$28)</f>
        <v>0</v>
      </c>
      <c r="F114">
        <v>100</v>
      </c>
      <c r="G114" t="str">
        <f t="array" ref="G114:H114">[1]!ESP_p_atma(C114,fw_,E114,$K$93,$G$95,$G$96,$K$100,F114,,1,$K$98,,$K$99)</f>
        <v>error</v>
      </c>
      <c r="H114" t="str">
        <v>error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10</xdr:col>
                    <xdr:colOff>504825</xdr:colOff>
                    <xdr:row>33</xdr:row>
                    <xdr:rowOff>9525</xdr:rowOff>
                  </from>
                  <to>
                    <xdr:col>13</xdr:col>
                    <xdr:colOff>457200</xdr:colOff>
                    <xdr:row>38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exercise_IPR</vt:lpstr>
      <vt:lpstr>exercise_IPR!Bob_</vt:lpstr>
      <vt:lpstr>exercise_IPR!Freq_</vt:lpstr>
      <vt:lpstr>exercise_IPR!fw_</vt:lpstr>
      <vt:lpstr>exercise_IPR!gamma_gas_</vt:lpstr>
      <vt:lpstr>exercise_IPR!gamma_oil_</vt:lpstr>
      <vt:lpstr>exercise_IPR!gamma_wat_</vt:lpstr>
      <vt:lpstr>exercise_IPR!Head_ESP_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PI_2</vt:lpstr>
      <vt:lpstr>pline_calc</vt:lpstr>
      <vt:lpstr>exercise_IPR!Pres_</vt:lpstr>
      <vt:lpstr>exercise_IPR!PumpID_</vt:lpstr>
      <vt:lpstr>exercise_IPR!PVT_str_</vt:lpstr>
      <vt:lpstr>exercise_IPR!Pwftest_</vt:lpstr>
      <vt:lpstr>exercise_IPR!Q_ESP_</vt:lpstr>
      <vt:lpstr>exercise_IPR!qltest_</vt:lpstr>
      <vt:lpstr>exercise_IPR!qmax_</vt:lpstr>
      <vt:lpstr>exercise_IPR!Rp_</vt:lpstr>
      <vt:lpstr>exercise_IPR!Rsb_</vt:lpstr>
      <vt:lpstr>exercise_IPR!Tres_</vt:lpstr>
      <vt:lpstr>tsurface_c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Олег Кобзарь</cp:lastModifiedBy>
  <cp:lastPrinted>2007-08-27T05:31:44Z</cp:lastPrinted>
  <dcterms:created xsi:type="dcterms:W3CDTF">2005-04-11T05:46:28Z</dcterms:created>
  <dcterms:modified xsi:type="dcterms:W3CDTF">2020-07-13T22:27:34Z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