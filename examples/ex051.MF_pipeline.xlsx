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D:\unifloc\unifloc_vba\examples\"/>
    </mc:Choice>
  </mc:AlternateContent>
  <xr:revisionPtr revIDLastSave="0" documentId="13_ncr:1_{50BD17EC-C962-474D-9CA3-00171A5EEC8D}" xr6:coauthVersionLast="47" xr6:coauthVersionMax="47" xr10:uidLastSave="{00000000-0000-0000-0000-000000000000}"/>
  <bookViews>
    <workbookView xWindow="-103" yWindow="-103" windowWidth="22149" windowHeight="13200" xr2:uid="{4F3269D6-54F3-4796-9400-98B76DA490E0}"/>
  </bookViews>
  <sheets>
    <sheet name="Лист1" sheetId="1" r:id="rId1"/>
  </sheets>
  <externalReferences>
    <externalReference r:id="rId2"/>
  </externalReferences>
  <definedNames>
    <definedName name="feed_json">Лист1!$D$17</definedName>
    <definedName name="pipe_diam">Лист1!$K$3</definedName>
    <definedName name="pipe_object">Лист1!$D$35</definedName>
    <definedName name="pipe_trajectory">Лист1!$H$3</definedName>
    <definedName name="PVT_json">Лист1!$D$12</definedName>
    <definedName name="t_model">Лист1!$N$16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D27" i="1"/>
  <c r="D26" i="1"/>
  <c r="D25" i="1"/>
  <c r="D35" i="1"/>
  <c r="N16" i="1"/>
  <c r="N15" i="1"/>
  <c r="K3" i="1"/>
  <c r="H3" i="1"/>
  <c r="D17" i="1"/>
  <c r="D12" i="1"/>
  <c r="K27" i="1" l="1"/>
  <c r="J35" i="1" a="1"/>
  <c r="Q42" i="1" l="1"/>
  <c r="Q50" i="1"/>
  <c r="N45" i="1"/>
  <c r="P38" i="1"/>
  <c r="J39" i="1"/>
  <c r="J47" i="1"/>
  <c r="J55" i="1"/>
  <c r="N48" i="1"/>
  <c r="P41" i="1"/>
  <c r="K39" i="1"/>
  <c r="K47" i="1"/>
  <c r="K56" i="1"/>
  <c r="O48" i="1"/>
  <c r="L36" i="1"/>
  <c r="L44" i="1"/>
  <c r="N49" i="1"/>
  <c r="P52" i="1"/>
  <c r="M42" i="1"/>
  <c r="M50" i="1"/>
  <c r="N35" i="1"/>
  <c r="N43" i="1"/>
  <c r="O46" i="1"/>
  <c r="P57" i="1"/>
  <c r="Q41" i="1"/>
  <c r="O56" i="1"/>
  <c r="L57" i="1"/>
  <c r="K46" i="1"/>
  <c r="L43" i="1"/>
  <c r="M49" i="1"/>
  <c r="P53" i="1"/>
  <c r="Q35" i="1"/>
  <c r="Q43" i="1"/>
  <c r="Q51" i="1"/>
  <c r="N50" i="1"/>
  <c r="P44" i="1"/>
  <c r="J40" i="1"/>
  <c r="J48" i="1"/>
  <c r="J56" i="1"/>
  <c r="N53" i="1"/>
  <c r="P46" i="1"/>
  <c r="K40" i="1"/>
  <c r="K48" i="1"/>
  <c r="L50" i="1"/>
  <c r="O53" i="1"/>
  <c r="L37" i="1"/>
  <c r="L45" i="1"/>
  <c r="N56" i="1"/>
  <c r="M35" i="1"/>
  <c r="M43" i="1"/>
  <c r="M51" i="1"/>
  <c r="N36" i="1"/>
  <c r="N44" i="1"/>
  <c r="O50" i="1"/>
  <c r="M44" i="1"/>
  <c r="N37" i="1"/>
  <c r="O55" i="1"/>
  <c r="N38" i="1"/>
  <c r="J35" i="1"/>
  <c r="J51" i="1"/>
  <c r="K43" i="1"/>
  <c r="P45" i="1"/>
  <c r="O52" i="1"/>
  <c r="M54" i="1"/>
  <c r="P39" i="1"/>
  <c r="Q55" i="1"/>
  <c r="J44" i="1"/>
  <c r="K36" i="1"/>
  <c r="N52" i="1"/>
  <c r="P37" i="1"/>
  <c r="M55" i="1"/>
  <c r="P43" i="1"/>
  <c r="O51" i="1"/>
  <c r="L54" i="1"/>
  <c r="K37" i="1"/>
  <c r="K53" i="1"/>
  <c r="P55" i="1"/>
  <c r="P42" i="1"/>
  <c r="M56" i="1"/>
  <c r="P48" i="1"/>
  <c r="J38" i="1"/>
  <c r="P35" i="1"/>
  <c r="O38" i="1"/>
  <c r="P47" i="1"/>
  <c r="O43" i="1"/>
  <c r="Q36" i="1"/>
  <c r="Q44" i="1"/>
  <c r="Q52" i="1"/>
  <c r="N55" i="1"/>
  <c r="P49" i="1"/>
  <c r="J41" i="1"/>
  <c r="J49" i="1"/>
  <c r="J57" i="1"/>
  <c r="O35" i="1"/>
  <c r="P51" i="1"/>
  <c r="K41" i="1"/>
  <c r="K49" i="1"/>
  <c r="L53" i="1"/>
  <c r="O57" i="1"/>
  <c r="L38" i="1"/>
  <c r="L46" i="1"/>
  <c r="O39" i="1"/>
  <c r="M36" i="1"/>
  <c r="M52" i="1"/>
  <c r="N46" i="1"/>
  <c r="M45" i="1"/>
  <c r="N51" i="1"/>
  <c r="J43" i="1"/>
  <c r="O44" i="1"/>
  <c r="K51" i="1"/>
  <c r="L40" i="1"/>
  <c r="M38" i="1"/>
  <c r="Q39" i="1"/>
  <c r="O47" i="1"/>
  <c r="L51" i="1"/>
  <c r="K44" i="1"/>
  <c r="P50" i="1"/>
  <c r="M39" i="1"/>
  <c r="N40" i="1"/>
  <c r="Q40" i="1"/>
  <c r="J37" i="1"/>
  <c r="J53" i="1"/>
  <c r="O54" i="1"/>
  <c r="K45" i="1"/>
  <c r="N57" i="1"/>
  <c r="L42" i="1"/>
  <c r="N41" i="1"/>
  <c r="Q49" i="1"/>
  <c r="Q57" i="1"/>
  <c r="J54" i="1"/>
  <c r="K54" i="1"/>
  <c r="L55" i="1"/>
  <c r="N42" i="1"/>
  <c r="Q37" i="1"/>
  <c r="Q45" i="1"/>
  <c r="Q53" i="1"/>
  <c r="O37" i="1"/>
  <c r="P54" i="1"/>
  <c r="J42" i="1"/>
  <c r="J50" i="1"/>
  <c r="K55" i="1"/>
  <c r="O40" i="1"/>
  <c r="P56" i="1"/>
  <c r="K42" i="1"/>
  <c r="K50" i="1"/>
  <c r="L56" i="1"/>
  <c r="P40" i="1"/>
  <c r="L39" i="1"/>
  <c r="L47" i="1"/>
  <c r="O45" i="1"/>
  <c r="M37" i="1"/>
  <c r="M53" i="1"/>
  <c r="P36" i="1"/>
  <c r="K35" i="1"/>
  <c r="N47" i="1"/>
  <c r="M46" i="1"/>
  <c r="N39" i="1"/>
  <c r="Q47" i="1"/>
  <c r="J36" i="1"/>
  <c r="O49" i="1"/>
  <c r="K52" i="1"/>
  <c r="L49" i="1"/>
  <c r="M47" i="1"/>
  <c r="Q48" i="1"/>
  <c r="J45" i="1"/>
  <c r="L52" i="1"/>
  <c r="M48" i="1"/>
  <c r="J46" i="1"/>
  <c r="K38" i="1"/>
  <c r="L35" i="1"/>
  <c r="M41" i="1"/>
  <c r="Q38" i="1"/>
  <c r="Q46" i="1"/>
  <c r="Q54" i="1"/>
  <c r="O42" i="1"/>
  <c r="K57" i="1"/>
  <c r="L48" i="1"/>
  <c r="N54" i="1"/>
  <c r="J52" i="1"/>
  <c r="L41" i="1"/>
  <c r="O36" i="1"/>
  <c r="Q56" i="1"/>
  <c r="M40" i="1"/>
  <c r="O41" i="1"/>
  <c r="M57" i="1"/>
</calcChain>
</file>

<file path=xl/sharedStrings.xml><?xml version="1.0" encoding="utf-8"?>
<sst xmlns="http://schemas.openxmlformats.org/spreadsheetml/2006/main" count="63" uniqueCount="53">
  <si>
    <t>gamma_gas</t>
  </si>
  <si>
    <t>gamma_oil</t>
  </si>
  <si>
    <t>gamma_wat</t>
  </si>
  <si>
    <t>rsb_m3m3</t>
  </si>
  <si>
    <t>pb_atma</t>
  </si>
  <si>
    <t>t_res_C</t>
  </si>
  <si>
    <t>bob_m3m3</t>
  </si>
  <si>
    <t>muob_cP</t>
  </si>
  <si>
    <t>pvt_corr_set</t>
  </si>
  <si>
    <t>PVT</t>
  </si>
  <si>
    <t>q_liq_sm3day</t>
  </si>
  <si>
    <t>fw_perc</t>
  </si>
  <si>
    <t>rp_m3m3</t>
  </si>
  <si>
    <t>q_gas_free_sm3day</t>
  </si>
  <si>
    <t>feed</t>
  </si>
  <si>
    <t>trajectory</t>
  </si>
  <si>
    <t>hmes, m</t>
  </si>
  <si>
    <t>hvert, m</t>
  </si>
  <si>
    <t>roughness_m</t>
  </si>
  <si>
    <t>diameter</t>
  </si>
  <si>
    <t>diam, mm</t>
  </si>
  <si>
    <t>pipe diams</t>
  </si>
  <si>
    <t>t model</t>
  </si>
  <si>
    <t>t_start_C</t>
  </si>
  <si>
    <t>t_end_C</t>
  </si>
  <si>
    <t>thermal_conductivity_formation_WmC</t>
  </si>
  <si>
    <t>specific_heat_capacity_formation_JkgC</t>
  </si>
  <si>
    <t>thermal_conductivity_cement_WmC</t>
  </si>
  <si>
    <t>thermal_conductivity_tubing_WmC</t>
  </si>
  <si>
    <t>thermal_conductivity_casing_WmC</t>
  </si>
  <si>
    <t>heat_transfer_casing_liquid_Wm2C</t>
  </si>
  <si>
    <t>heat_transfer_casing_gas_Wm2C</t>
  </si>
  <si>
    <t xml:space="preserve">heat_transfer_fluid_convection_Wm2C </t>
  </si>
  <si>
    <t>time_calc_hr</t>
  </si>
  <si>
    <t>param</t>
  </si>
  <si>
    <t>json</t>
  </si>
  <si>
    <t>ambient temperature</t>
  </si>
  <si>
    <t>t amb, C</t>
  </si>
  <si>
    <t>diam</t>
  </si>
  <si>
    <t>t_model</t>
  </si>
  <si>
    <t>flow_correlation</t>
  </si>
  <si>
    <t>flow_along_coord</t>
  </si>
  <si>
    <t>calibr_grav</t>
  </si>
  <si>
    <t>calibr_fric</t>
  </si>
  <si>
    <t>h_start_m</t>
  </si>
  <si>
    <t>h_end_m</t>
  </si>
  <si>
    <t>znlf</t>
  </si>
  <si>
    <t>pipe</t>
  </si>
  <si>
    <t>p_atma</t>
  </si>
  <si>
    <t>t_C</t>
  </si>
  <si>
    <t>pipe_object</t>
  </si>
  <si>
    <t>calc_along_coord</t>
  </si>
  <si>
    <t>{"show_array":1}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</si>
</sst>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FAFA"/>
        <bgColor indexed="64"/>
      </patternFill>
    </fill>
    <fill>
      <patternFill patternType="solid">
        <fgColor rgb="FFDCFAA0"/>
        <bgColor indexed="64"/>
      </patternFill>
    </fill>
    <fill>
      <patternFill patternType="solid">
        <fgColor rgb="FFE1C8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" fontId="0" fillId="0" borderId="0" xfId="0" applyNumberFormat="1"/>
    <xf numFmtId="0" fontId="0" fillId="5" borderId="0" xfId="0" applyFill="1"/>
    <xf numFmtId="1" fontId="0" fillId="6" borderId="0" xfId="0" applyNumberForma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Pressure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Лист1!$L$38:$L$57</c:f>
              <c:numCache>
                <c:formatCode>0</c:formatCode>
                <c:ptCount val="20"/>
                <c:pt idx="0">
                  <c:v>25</c:v>
                </c:pt>
                <c:pt idx="1">
                  <c:v>37.211265919476702</c:v>
                </c:pt>
                <c:pt idx="2">
                  <c:v>49.336935976810224</c:v>
                </c:pt>
                <c:pt idx="3">
                  <c:v>61.368662604850357</c:v>
                </c:pt>
                <c:pt idx="4">
                  <c:v>66.154734668379703</c:v>
                </c:pt>
                <c:pt idx="5">
                  <c:v>73.301276031794316</c:v>
                </c:pt>
                <c:pt idx="6">
                  <c:v>85.131937480979204</c:v>
                </c:pt>
                <c:pt idx="7">
                  <c:v>96.859528861433972</c:v>
                </c:pt>
                <c:pt idx="8">
                  <c:v>108.25265963744981</c:v>
                </c:pt>
                <c:pt idx="9">
                  <c:v>118.64374732377269</c:v>
                </c:pt>
                <c:pt idx="10">
                  <c:v>129.01643292775486</c:v>
                </c:pt>
                <c:pt idx="11">
                  <c:v>139.37296783267652</c:v>
                </c:pt>
                <c:pt idx="12">
                  <c:v>149.71212069474134</c:v>
                </c:pt>
                <c:pt idx="13">
                  <c:v>160.03289583994723</c:v>
                </c:pt>
                <c:pt idx="14">
                  <c:v>170.33447407582048</c:v>
                </c:pt>
                <c:pt idx="15">
                  <c:v>180.15967523685279</c:v>
                </c:pt>
                <c:pt idx="16">
                  <c:v>182.71586855800516</c:v>
                </c:pt>
                <c:pt idx="17">
                  <c:v>189.28532313169057</c:v>
                </c:pt>
                <c:pt idx="18">
                  <c:v>198.40957045644666</c:v>
                </c:pt>
                <c:pt idx="19">
                  <c:v>207.53360232980467</c:v>
                </c:pt>
              </c:numCache>
            </c:numRef>
          </c:xVal>
          <c:yVal>
            <c:numRef>
              <c:f>Лист1!$J$38:$J$57</c:f>
              <c:numCache>
                <c:formatCode>0</c:formatCode>
                <c:ptCount val="20"/>
                <c:pt idx="0">
                  <c:v>0</c:v>
                </c:pt>
                <c:pt idx="1">
                  <c:v>147.05882352941177</c:v>
                </c:pt>
                <c:pt idx="2">
                  <c:v>294.11764705882354</c:v>
                </c:pt>
                <c:pt idx="3">
                  <c:v>441.1764705882353</c:v>
                </c:pt>
                <c:pt idx="4">
                  <c:v>500</c:v>
                </c:pt>
                <c:pt idx="5">
                  <c:v>588.23529411764707</c:v>
                </c:pt>
                <c:pt idx="6">
                  <c:v>735.29411764705878</c:v>
                </c:pt>
                <c:pt idx="7">
                  <c:v>882.35294117647061</c:v>
                </c:pt>
                <c:pt idx="8">
                  <c:v>1029.4117647058824</c:v>
                </c:pt>
                <c:pt idx="9">
                  <c:v>1176.4705882352941</c:v>
                </c:pt>
                <c:pt idx="10">
                  <c:v>1323.5294117647059</c:v>
                </c:pt>
                <c:pt idx="11">
                  <c:v>1470.5882352941176</c:v>
                </c:pt>
                <c:pt idx="12">
                  <c:v>1617.6470588235295</c:v>
                </c:pt>
                <c:pt idx="13">
                  <c:v>1764.7058823529412</c:v>
                </c:pt>
                <c:pt idx="14">
                  <c:v>1911.7647058823529</c:v>
                </c:pt>
                <c:pt idx="15">
                  <c:v>2058.8235294117649</c:v>
                </c:pt>
                <c:pt idx="16">
                  <c:v>2100</c:v>
                </c:pt>
                <c:pt idx="17">
                  <c:v>2205.8823529411766</c:v>
                </c:pt>
                <c:pt idx="18">
                  <c:v>2352.9411764705883</c:v>
                </c:pt>
                <c:pt idx="19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BF-4CA0-AF72-B4A80B7F8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903023"/>
        <c:axId val="1235887183"/>
      </c:scatterChart>
      <c:valAx>
        <c:axId val="12359030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P, atma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5887183"/>
        <c:crosses val="autoZero"/>
        <c:crossBetween val="midCat"/>
      </c:valAx>
      <c:valAx>
        <c:axId val="123588718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Hmes,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59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Лист1!$M$38:$M$57</c:f>
              <c:numCache>
                <c:formatCode>0</c:formatCode>
                <c:ptCount val="20"/>
                <c:pt idx="0">
                  <c:v>10</c:v>
                </c:pt>
                <c:pt idx="1">
                  <c:v>13.676470588235293</c:v>
                </c:pt>
                <c:pt idx="2">
                  <c:v>17.352941176470587</c:v>
                </c:pt>
                <c:pt idx="3">
                  <c:v>21.029411764705884</c:v>
                </c:pt>
                <c:pt idx="4">
                  <c:v>22.5</c:v>
                </c:pt>
                <c:pt idx="5">
                  <c:v>24.705882352941178</c:v>
                </c:pt>
                <c:pt idx="6">
                  <c:v>28.382352941176471</c:v>
                </c:pt>
                <c:pt idx="7">
                  <c:v>32.058823529411768</c:v>
                </c:pt>
                <c:pt idx="8">
                  <c:v>36.191176470588239</c:v>
                </c:pt>
                <c:pt idx="9">
                  <c:v>42.147058823529413</c:v>
                </c:pt>
                <c:pt idx="10">
                  <c:v>48.102941176470587</c:v>
                </c:pt>
                <c:pt idx="11">
                  <c:v>54.058823529411761</c:v>
                </c:pt>
                <c:pt idx="12">
                  <c:v>60.014705882352942</c:v>
                </c:pt>
                <c:pt idx="13">
                  <c:v>65.970588235294116</c:v>
                </c:pt>
                <c:pt idx="14">
                  <c:v>71.92647058823529</c:v>
                </c:pt>
                <c:pt idx="15">
                  <c:v>77.617647058823536</c:v>
                </c:pt>
                <c:pt idx="16">
                  <c:v>79.099999999999994</c:v>
                </c:pt>
                <c:pt idx="17">
                  <c:v>81.294117647058826</c:v>
                </c:pt>
                <c:pt idx="18">
                  <c:v>83.647058823529406</c:v>
                </c:pt>
                <c:pt idx="19">
                  <c:v>86</c:v>
                </c:pt>
              </c:numCache>
            </c:numRef>
          </c:xVal>
          <c:yVal>
            <c:numRef>
              <c:f>Лист1!$K$38:$K$57</c:f>
              <c:numCache>
                <c:formatCode>0</c:formatCode>
                <c:ptCount val="20"/>
                <c:pt idx="0">
                  <c:v>0</c:v>
                </c:pt>
                <c:pt idx="1">
                  <c:v>147.05882352941177</c:v>
                </c:pt>
                <c:pt idx="2">
                  <c:v>294.11764705882354</c:v>
                </c:pt>
                <c:pt idx="3">
                  <c:v>441.1764705882353</c:v>
                </c:pt>
                <c:pt idx="4">
                  <c:v>500</c:v>
                </c:pt>
                <c:pt idx="5">
                  <c:v>588.23529411764707</c:v>
                </c:pt>
                <c:pt idx="6">
                  <c:v>735.29411764705878</c:v>
                </c:pt>
                <c:pt idx="7">
                  <c:v>882.35294117647061</c:v>
                </c:pt>
                <c:pt idx="8">
                  <c:v>1026.4705882352941</c:v>
                </c:pt>
                <c:pt idx="9">
                  <c:v>1158.8235294117646</c:v>
                </c:pt>
                <c:pt idx="10">
                  <c:v>1291.1764705882354</c:v>
                </c:pt>
                <c:pt idx="11">
                  <c:v>1423.5294117647059</c:v>
                </c:pt>
                <c:pt idx="12">
                  <c:v>1555.8823529411766</c:v>
                </c:pt>
                <c:pt idx="13">
                  <c:v>1688.2352941176471</c:v>
                </c:pt>
                <c:pt idx="14">
                  <c:v>1820.5882352941176</c:v>
                </c:pt>
                <c:pt idx="15">
                  <c:v>1947.0588235294119</c:v>
                </c:pt>
                <c:pt idx="16">
                  <c:v>1980</c:v>
                </c:pt>
                <c:pt idx="17">
                  <c:v>2064.7058823529414</c:v>
                </c:pt>
                <c:pt idx="18">
                  <c:v>2182.3529411764707</c:v>
                </c:pt>
                <c:pt idx="19">
                  <c:v>2300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EB0-4BDA-973B-92593FC7D8B6}"/>
            </c:ext>
          </c:extLst>
        </c:ser>
        <c:ser>
          <c:idx val="1"/>
          <c:order val="1"/>
          <c:tx>
            <c:v>Ambient Temperature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Лист1!$N$38:$N$57</c:f>
              <c:numCache>
                <c:formatCode>0</c:formatCode>
                <c:ptCount val="20"/>
                <c:pt idx="0">
                  <c:v>10</c:v>
                </c:pt>
                <c:pt idx="1">
                  <c:v>13.676470588235293</c:v>
                </c:pt>
                <c:pt idx="2">
                  <c:v>17.352941176470587</c:v>
                </c:pt>
                <c:pt idx="3">
                  <c:v>21.029411764705884</c:v>
                </c:pt>
                <c:pt idx="4">
                  <c:v>22.5</c:v>
                </c:pt>
                <c:pt idx="5">
                  <c:v>24.705882352941178</c:v>
                </c:pt>
                <c:pt idx="6">
                  <c:v>28.382352941176471</c:v>
                </c:pt>
                <c:pt idx="7">
                  <c:v>32.058823529411768</c:v>
                </c:pt>
                <c:pt idx="8">
                  <c:v>36.191176470588239</c:v>
                </c:pt>
                <c:pt idx="9">
                  <c:v>42.147058823529413</c:v>
                </c:pt>
                <c:pt idx="10">
                  <c:v>48.102941176470587</c:v>
                </c:pt>
                <c:pt idx="11">
                  <c:v>54.058823529411761</c:v>
                </c:pt>
                <c:pt idx="12">
                  <c:v>60.014705882352942</c:v>
                </c:pt>
                <c:pt idx="13">
                  <c:v>65.970588235294116</c:v>
                </c:pt>
                <c:pt idx="14">
                  <c:v>71.92647058823529</c:v>
                </c:pt>
                <c:pt idx="15">
                  <c:v>77.617647058823536</c:v>
                </c:pt>
                <c:pt idx="16">
                  <c:v>79.099999999999994</c:v>
                </c:pt>
                <c:pt idx="17">
                  <c:v>81.294117647058826</c:v>
                </c:pt>
                <c:pt idx="18">
                  <c:v>83.647058823529406</c:v>
                </c:pt>
                <c:pt idx="19">
                  <c:v>86</c:v>
                </c:pt>
              </c:numCache>
            </c:numRef>
          </c:xVal>
          <c:yVal>
            <c:numRef>
              <c:f>Лист1!$K$38:$K$57</c:f>
              <c:numCache>
                <c:formatCode>0</c:formatCode>
                <c:ptCount val="20"/>
                <c:pt idx="0">
                  <c:v>0</c:v>
                </c:pt>
                <c:pt idx="1">
                  <c:v>147.05882352941177</c:v>
                </c:pt>
                <c:pt idx="2">
                  <c:v>294.11764705882354</c:v>
                </c:pt>
                <c:pt idx="3">
                  <c:v>441.1764705882353</c:v>
                </c:pt>
                <c:pt idx="4">
                  <c:v>500</c:v>
                </c:pt>
                <c:pt idx="5">
                  <c:v>588.23529411764707</c:v>
                </c:pt>
                <c:pt idx="6">
                  <c:v>735.29411764705878</c:v>
                </c:pt>
                <c:pt idx="7">
                  <c:v>882.35294117647061</c:v>
                </c:pt>
                <c:pt idx="8">
                  <c:v>1026.4705882352941</c:v>
                </c:pt>
                <c:pt idx="9">
                  <c:v>1158.8235294117646</c:v>
                </c:pt>
                <c:pt idx="10">
                  <c:v>1291.1764705882354</c:v>
                </c:pt>
                <c:pt idx="11">
                  <c:v>1423.5294117647059</c:v>
                </c:pt>
                <c:pt idx="12">
                  <c:v>1555.8823529411766</c:v>
                </c:pt>
                <c:pt idx="13">
                  <c:v>1688.2352941176471</c:v>
                </c:pt>
                <c:pt idx="14">
                  <c:v>1820.5882352941176</c:v>
                </c:pt>
                <c:pt idx="15">
                  <c:v>1947.0588235294119</c:v>
                </c:pt>
                <c:pt idx="16">
                  <c:v>1980</c:v>
                </c:pt>
                <c:pt idx="17">
                  <c:v>2064.7058823529414</c:v>
                </c:pt>
                <c:pt idx="18">
                  <c:v>2182.3529411764707</c:v>
                </c:pt>
                <c:pt idx="19">
                  <c:v>2300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B0-4BDA-973B-92593FC7D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898223"/>
        <c:axId val="1235885743"/>
      </c:scatterChart>
      <c:valAx>
        <c:axId val="12358982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5885743"/>
        <c:crosses val="autoZero"/>
        <c:crossBetween val="midCat"/>
      </c:valAx>
      <c:valAx>
        <c:axId val="12358857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Hvert,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589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</xdr:colOff>
      <xdr:row>1</xdr:row>
      <xdr:rowOff>179615</xdr:rowOff>
    </xdr:from>
    <xdr:to>
      <xdr:col>1</xdr:col>
      <xdr:colOff>604157</xdr:colOff>
      <xdr:row>6</xdr:row>
      <xdr:rowOff>8081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E12711B-0F7F-4AB3-833D-DD8D91B7D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364672"/>
          <a:ext cx="549729" cy="753752"/>
        </a:xfrm>
        <a:prstGeom prst="rect">
          <a:avLst/>
        </a:prstGeom>
      </xdr:spPr>
    </xdr:pic>
    <xdr:clientData/>
  </xdr:twoCellAnchor>
  <xdr:twoCellAnchor editAs="oneCell">
    <xdr:from>
      <xdr:col>5</xdr:col>
      <xdr:colOff>92528</xdr:colOff>
      <xdr:row>0</xdr:row>
      <xdr:rowOff>10886</xdr:rowOff>
    </xdr:from>
    <xdr:to>
      <xdr:col>7</xdr:col>
      <xdr:colOff>141513</xdr:colOff>
      <xdr:row>1</xdr:row>
      <xdr:rowOff>113311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0966392-8A5F-8C6F-7404-A8EA48209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6071" y="10886"/>
          <a:ext cx="1355271" cy="287482"/>
        </a:xfrm>
        <a:prstGeom prst="rect">
          <a:avLst/>
        </a:prstGeom>
      </xdr:spPr>
    </xdr:pic>
    <xdr:clientData/>
  </xdr:twoCellAnchor>
  <xdr:twoCellAnchor editAs="oneCell">
    <xdr:from>
      <xdr:col>8</xdr:col>
      <xdr:colOff>304799</xdr:colOff>
      <xdr:row>0</xdr:row>
      <xdr:rowOff>32659</xdr:rowOff>
    </xdr:from>
    <xdr:to>
      <xdr:col>10</xdr:col>
      <xdr:colOff>468085</xdr:colOff>
      <xdr:row>1</xdr:row>
      <xdr:rowOff>150954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4B7B3EF-8D9B-4480-0EC7-17F42161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7770" y="32659"/>
          <a:ext cx="1469572" cy="303352"/>
        </a:xfrm>
        <a:prstGeom prst="rect">
          <a:avLst/>
        </a:prstGeom>
      </xdr:spPr>
    </xdr:pic>
    <xdr:clientData/>
  </xdr:twoCellAnchor>
  <xdr:twoCellAnchor editAs="oneCell">
    <xdr:from>
      <xdr:col>11</xdr:col>
      <xdr:colOff>636815</xdr:colOff>
      <xdr:row>0</xdr:row>
      <xdr:rowOff>38101</xdr:rowOff>
    </xdr:from>
    <xdr:to>
      <xdr:col>12</xdr:col>
      <xdr:colOff>1779814</xdr:colOff>
      <xdr:row>1</xdr:row>
      <xdr:rowOff>172358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A0E754B-8CAF-EE75-004C-4C8B3406D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9215" y="38101"/>
          <a:ext cx="1796142" cy="319314"/>
        </a:xfrm>
        <a:prstGeom prst="rect">
          <a:avLst/>
        </a:prstGeom>
      </xdr:spPr>
    </xdr:pic>
    <xdr:clientData/>
  </xdr:twoCellAnchor>
  <xdr:twoCellAnchor editAs="oneCell">
    <xdr:from>
      <xdr:col>1</xdr:col>
      <xdr:colOff>6223</xdr:colOff>
      <xdr:row>24</xdr:row>
      <xdr:rowOff>12441</xdr:rowOff>
    </xdr:from>
    <xdr:to>
      <xdr:col>1</xdr:col>
      <xdr:colOff>492881</xdr:colOff>
      <xdr:row>28</xdr:row>
      <xdr:rowOff>155510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B8161D-C651-E1AB-55F6-A9B3E3BA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9366" y="4491135"/>
          <a:ext cx="486658" cy="889518"/>
        </a:xfrm>
        <a:prstGeom prst="rect">
          <a:avLst/>
        </a:prstGeom>
      </xdr:spPr>
    </xdr:pic>
    <xdr:clientData/>
  </xdr:twoCellAnchor>
  <xdr:twoCellAnchor>
    <xdr:from>
      <xdr:col>14</xdr:col>
      <xdr:colOff>139960</xdr:colOff>
      <xdr:row>1</xdr:row>
      <xdr:rowOff>178836</xdr:rowOff>
    </xdr:from>
    <xdr:to>
      <xdr:col>19</xdr:col>
      <xdr:colOff>139958</xdr:colOff>
      <xdr:row>24</xdr:row>
      <xdr:rowOff>178838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D1DDC0B-9788-5751-82C0-201EE5EA0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186612</xdr:colOff>
      <xdr:row>1</xdr:row>
      <xdr:rowOff>163285</xdr:rowOff>
    </xdr:from>
    <xdr:to>
      <xdr:col>24</xdr:col>
      <xdr:colOff>186613</xdr:colOff>
      <xdr:row>24</xdr:row>
      <xdr:rowOff>163287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FA13159-5FA4-97B6-254B-0662F1BD9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272142</xdr:colOff>
      <xdr:row>24</xdr:row>
      <xdr:rowOff>46652</xdr:rowOff>
    </xdr:from>
    <xdr:to>
      <xdr:col>12</xdr:col>
      <xdr:colOff>178836</xdr:colOff>
      <xdr:row>30</xdr:row>
      <xdr:rowOff>54429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3E5AB2D3-84F9-2341-F03A-7FD70290C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47652" y="4525346"/>
          <a:ext cx="559837" cy="1127450"/>
        </a:xfrm>
        <a:prstGeom prst="rect">
          <a:avLst/>
        </a:prstGeom>
      </xdr:spPr>
    </xdr:pic>
    <xdr:clientData/>
  </xdr:twoCellAnchor>
  <xdr:twoCellAnchor>
    <xdr:from>
      <xdr:col>4</xdr:col>
      <xdr:colOff>77755</xdr:colOff>
      <xdr:row>26</xdr:row>
      <xdr:rowOff>124408</xdr:rowOff>
    </xdr:from>
    <xdr:to>
      <xdr:col>10</xdr:col>
      <xdr:colOff>23327</xdr:colOff>
      <xdr:row>33</xdr:row>
      <xdr:rowOff>178837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0540D006-EFDE-2EA6-72C1-324F94507D05}"/>
            </a:ext>
          </a:extLst>
        </xdr:cNvPr>
        <xdr:cNvCxnSpPr/>
      </xdr:nvCxnSpPr>
      <xdr:spPr>
        <a:xfrm flipH="1">
          <a:off x="3281265" y="4976327"/>
          <a:ext cx="3864429" cy="1360714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38878</xdr:colOff>
      <xdr:row>17</xdr:row>
      <xdr:rowOff>-1</xdr:rowOff>
    </xdr:from>
    <xdr:to>
      <xdr:col>9</xdr:col>
      <xdr:colOff>645368</xdr:colOff>
      <xdr:row>27</xdr:row>
      <xdr:rowOff>147735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C4A7EE13-822A-1B2E-7FCD-5D857712BA65}"/>
            </a:ext>
          </a:extLst>
        </xdr:cNvPr>
        <xdr:cNvCxnSpPr/>
      </xdr:nvCxnSpPr>
      <xdr:spPr>
        <a:xfrm flipH="1" flipV="1">
          <a:off x="3242388" y="3172408"/>
          <a:ext cx="3872204" cy="2013857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404325</xdr:colOff>
      <xdr:row>2</xdr:row>
      <xdr:rowOff>178837</xdr:rowOff>
    </xdr:from>
    <xdr:to>
      <xdr:col>7</xdr:col>
      <xdr:colOff>163285</xdr:colOff>
      <xdr:row>24</xdr:row>
      <xdr:rowOff>38878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6E4B54EC-7270-71B8-7751-7E4B07DEE380}"/>
            </a:ext>
          </a:extLst>
        </xdr:cNvPr>
        <xdr:cNvCxnSpPr/>
      </xdr:nvCxnSpPr>
      <xdr:spPr>
        <a:xfrm flipH="1">
          <a:off x="2923591" y="552061"/>
          <a:ext cx="2402633" cy="3965511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520957</xdr:colOff>
      <xdr:row>2</xdr:row>
      <xdr:rowOff>155511</xdr:rowOff>
    </xdr:from>
    <xdr:to>
      <xdr:col>10</xdr:col>
      <xdr:colOff>69980</xdr:colOff>
      <xdr:row>25</xdr:row>
      <xdr:rowOff>54429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077F9D19-F83F-54AF-A2A0-48C3AAC7C019}"/>
            </a:ext>
          </a:extLst>
        </xdr:cNvPr>
        <xdr:cNvCxnSpPr/>
      </xdr:nvCxnSpPr>
      <xdr:spPr>
        <a:xfrm flipH="1">
          <a:off x="3040223" y="528735"/>
          <a:ext cx="4152124" cy="4191000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54428</xdr:colOff>
      <xdr:row>15</xdr:row>
      <xdr:rowOff>85530</xdr:rowOff>
    </xdr:from>
    <xdr:to>
      <xdr:col>13</xdr:col>
      <xdr:colOff>15550</xdr:colOff>
      <xdr:row>26</xdr:row>
      <xdr:rowOff>46652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6CCF2A2C-33AA-D23D-3C9C-4137FD66BF84}"/>
            </a:ext>
          </a:extLst>
        </xdr:cNvPr>
        <xdr:cNvCxnSpPr/>
      </xdr:nvCxnSpPr>
      <xdr:spPr>
        <a:xfrm flipH="1">
          <a:off x="3257938" y="2884714"/>
          <a:ext cx="7550021" cy="2013857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floc\unifloc_vba\UniflocVBA_7.xlam" TargetMode="External"/><Relationship Id="rId1" Type="http://schemas.openxmlformats.org/officeDocument/2006/relationships/externalLinkPath" Target="/unifloc/unifloc_vba/UniflocVBA_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</sheetNames>
    <definedNames>
      <definedName name="encode_feed"/>
      <definedName name="encode_json"/>
      <definedName name="encode_pipe_diam"/>
      <definedName name="encode_pipe_object"/>
      <definedName name="encode_pipe_trajectory"/>
      <definedName name="encode_PVT"/>
      <definedName name="encode_t_model"/>
      <definedName name="MF_pipe_p_atma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C9B4-96B0-44FC-A159-E31844A45A17}">
  <sheetPr codeName="Лист1"/>
  <dimension ref="C3:Q57"/>
  <sheetViews>
    <sheetView tabSelected="1" zoomScale="70" zoomScaleNormal="70" workbookViewId="0">
      <selection activeCell="I20" sqref="I20"/>
    </sheetView>
  </sheetViews>
  <sheetFormatPr defaultRowHeight="14.6" x14ac:dyDescent="0.4"/>
  <cols>
    <col min="3" max="3" width="17.15234375" customWidth="1"/>
    <col min="4" max="4" width="9.61328125" customWidth="1"/>
    <col min="13" max="13" width="33.3828125" customWidth="1"/>
  </cols>
  <sheetData>
    <row r="3" spans="3:14" x14ac:dyDescent="0.4">
      <c r="C3" s="1" t="s">
        <v>0</v>
      </c>
      <c r="D3" s="2">
        <v>0.6</v>
      </c>
      <c r="G3" s="1" t="s">
        <v>15</v>
      </c>
      <c r="H3" s="3" t="str">
        <f>[1]!encode_pipe_trajectory(G6:H9)</f>
        <v>{"hmes_m":[0,1000,2000,2500],"hvert_m":[0,1000,1900,2300]}</v>
      </c>
      <c r="J3" s="1" t="s">
        <v>21</v>
      </c>
      <c r="K3" s="3" t="str">
        <f>[1]!encode_pipe_diam(J6:K9,K4)</f>
        <v>{"diam_list_mm":{"hmes_m":[0,500,2100],"diam_int_mm":[62,72,125]},"roughness_m":0.0001}</v>
      </c>
      <c r="M3" s="1" t="s">
        <v>22</v>
      </c>
      <c r="N3" s="2">
        <v>1</v>
      </c>
    </row>
    <row r="4" spans="3:14" x14ac:dyDescent="0.4">
      <c r="C4" s="1" t="s">
        <v>1</v>
      </c>
      <c r="D4" s="2">
        <v>0.86</v>
      </c>
      <c r="G4" s="1" t="s">
        <v>15</v>
      </c>
      <c r="H4" s="1"/>
      <c r="J4" s="1" t="s">
        <v>18</v>
      </c>
      <c r="K4" s="2">
        <v>1E-4</v>
      </c>
      <c r="M4" s="1" t="s">
        <v>23</v>
      </c>
      <c r="N4" s="2">
        <v>15</v>
      </c>
    </row>
    <row r="5" spans="3:14" x14ac:dyDescent="0.4">
      <c r="C5" s="1" t="s">
        <v>2</v>
      </c>
      <c r="D5" s="2">
        <v>1.1000000000000001</v>
      </c>
      <c r="G5" s="1" t="s">
        <v>16</v>
      </c>
      <c r="H5" s="1" t="s">
        <v>17</v>
      </c>
      <c r="J5" s="1" t="s">
        <v>19</v>
      </c>
      <c r="K5" s="1"/>
      <c r="M5" s="1" t="s">
        <v>24</v>
      </c>
      <c r="N5" s="2">
        <v>80</v>
      </c>
    </row>
    <row r="6" spans="3:14" x14ac:dyDescent="0.4">
      <c r="C6" s="1" t="s">
        <v>3</v>
      </c>
      <c r="D6" s="2">
        <v>120</v>
      </c>
      <c r="G6" s="2">
        <v>0</v>
      </c>
      <c r="H6" s="2">
        <v>0</v>
      </c>
      <c r="J6" s="1" t="s">
        <v>16</v>
      </c>
      <c r="K6" s="1" t="s">
        <v>20</v>
      </c>
      <c r="M6" s="1" t="s">
        <v>25</v>
      </c>
      <c r="N6" s="2">
        <v>2.4251999999999998</v>
      </c>
    </row>
    <row r="7" spans="3:14" x14ac:dyDescent="0.4">
      <c r="C7" s="1" t="s">
        <v>4</v>
      </c>
      <c r="D7" s="2">
        <v>130</v>
      </c>
      <c r="G7" s="2">
        <v>1000</v>
      </c>
      <c r="H7" s="2">
        <v>1000</v>
      </c>
      <c r="J7" s="2">
        <v>0</v>
      </c>
      <c r="K7" s="2">
        <v>62</v>
      </c>
      <c r="M7" s="1" t="s">
        <v>26</v>
      </c>
      <c r="N7" s="2">
        <v>200</v>
      </c>
    </row>
    <row r="8" spans="3:14" x14ac:dyDescent="0.4">
      <c r="C8" s="1" t="s">
        <v>5</v>
      </c>
      <c r="D8" s="2">
        <v>80</v>
      </c>
      <c r="G8" s="2">
        <v>2000</v>
      </c>
      <c r="H8" s="2">
        <v>1900</v>
      </c>
      <c r="J8" s="2">
        <v>500</v>
      </c>
      <c r="K8" s="2">
        <v>72</v>
      </c>
      <c r="M8" s="1" t="s">
        <v>27</v>
      </c>
      <c r="N8" s="2">
        <v>6.9649999999999999</v>
      </c>
    </row>
    <row r="9" spans="3:14" x14ac:dyDescent="0.4">
      <c r="C9" s="1" t="s">
        <v>6</v>
      </c>
      <c r="D9" s="2">
        <v>1.2</v>
      </c>
      <c r="G9" s="2">
        <v>2500</v>
      </c>
      <c r="H9" s="2">
        <v>2300</v>
      </c>
      <c r="J9" s="2">
        <v>2100</v>
      </c>
      <c r="K9" s="2">
        <v>125</v>
      </c>
      <c r="M9" s="1" t="s">
        <v>28</v>
      </c>
      <c r="N9" s="2">
        <v>32</v>
      </c>
    </row>
    <row r="10" spans="3:14" x14ac:dyDescent="0.4">
      <c r="C10" s="1" t="s">
        <v>7</v>
      </c>
      <c r="D10" s="2">
        <v>0.6</v>
      </c>
      <c r="M10" s="1" t="s">
        <v>29</v>
      </c>
      <c r="N10" s="2">
        <v>32</v>
      </c>
    </row>
    <row r="11" spans="3:14" x14ac:dyDescent="0.4">
      <c r="C11" s="1" t="s">
        <v>8</v>
      </c>
      <c r="D11" s="2">
        <v>0</v>
      </c>
      <c r="M11" s="1" t="s">
        <v>30</v>
      </c>
      <c r="N11" s="2">
        <v>200</v>
      </c>
    </row>
    <row r="12" spans="3:14" x14ac:dyDescent="0.4">
      <c r="C12" s="1" t="s">
        <v>9</v>
      </c>
      <c r="D12" s="3" t="str">
        <f>[1]!encode_PVT(D3,D4,D5,D6,D7,D8,D9,D10,D11)</f>
        <v>{"gamma_gas":0.6,"gamma_oil":0.86,"gamma_wat":1.1,"rsb_m3m3":120,"pb_atma":130,"t_res_C":80,"bob_m3m3":1.2,"muob_cP":0.6,"PVT_corr_set":0}</v>
      </c>
      <c r="M12" s="1" t="s">
        <v>31</v>
      </c>
      <c r="N12" s="2">
        <v>10</v>
      </c>
    </row>
    <row r="13" spans="3:14" x14ac:dyDescent="0.4">
      <c r="C13" s="1" t="s">
        <v>10</v>
      </c>
      <c r="D13" s="2">
        <v>30</v>
      </c>
      <c r="M13" s="1" t="s">
        <v>32</v>
      </c>
      <c r="N13" s="2">
        <v>200</v>
      </c>
    </row>
    <row r="14" spans="3:14" x14ac:dyDescent="0.4">
      <c r="C14" s="1" t="s">
        <v>11</v>
      </c>
      <c r="D14" s="2">
        <v>10</v>
      </c>
      <c r="M14" s="1" t="s">
        <v>33</v>
      </c>
      <c r="N14" s="2">
        <v>240</v>
      </c>
    </row>
    <row r="15" spans="3:14" x14ac:dyDescent="0.4">
      <c r="C15" s="1" t="s">
        <v>12</v>
      </c>
      <c r="D15" s="2">
        <v>120</v>
      </c>
      <c r="M15" s="1" t="s">
        <v>34</v>
      </c>
      <c r="N15" s="5" t="str">
        <f>[1]!encode_json(M6:N14)</f>
        <v>{"thermal_conductivity_formation_WmC":2.4252,"specific_heat_capacity_formation_JkgC":200,"thermal_conductivity_cement_WmC":6.965,"thermal_conductivity_tubing_WmC":32,"thermal_conductivity_casing_WmC":32,"heat_transfer_casing_liquid_Wm2C":200,"heat_transfer_casing_gas_Wm2C":10,"heat_transfer_fluid_convection_Wm2C ":200,"time_calc_hr":240}</v>
      </c>
    </row>
    <row r="16" spans="3:14" x14ac:dyDescent="0.4">
      <c r="C16" s="1" t="s">
        <v>13</v>
      </c>
      <c r="D16" s="2">
        <v>0</v>
      </c>
      <c r="M16" s="1" t="s">
        <v>35</v>
      </c>
      <c r="N16" s="3" t="str">
        <f>[1]!encode_t_model(N3,M19:N22,N4,N5,N15)</f>
        <v>{"t_model":1,"t_list_C":{"hvert_m":[0,1000,2000,2500],"t_C":[10,35,80,90]}}</v>
      </c>
    </row>
    <row r="17" spans="3:14" x14ac:dyDescent="0.4">
      <c r="C17" s="1" t="s">
        <v>14</v>
      </c>
      <c r="D17" s="3" t="str">
        <f>[1]!encode_feed(D13,D14,D15,D16,D12)</f>
        <v>{"gamma_gas":0.6,"gamma_oil":0.86,"gamma_wat":1.1,"rsb_m3m3":120,"pb_atma":130,"t_res_C":80,"bob_m3m3":1.2,"muob_cP":0.6,"PVT_corr_set":0,"q_liq_sm3day":30,"fw_perc":10,"rp_m3m3":120}</v>
      </c>
      <c r="M17" s="1" t="s">
        <v>36</v>
      </c>
      <c r="N17" s="1"/>
    </row>
    <row r="18" spans="3:14" x14ac:dyDescent="0.4">
      <c r="M18" s="1" t="s">
        <v>17</v>
      </c>
      <c r="N18" s="2" t="s">
        <v>37</v>
      </c>
    </row>
    <row r="19" spans="3:14" x14ac:dyDescent="0.4">
      <c r="M19" s="2">
        <v>0</v>
      </c>
      <c r="N19" s="2">
        <v>10</v>
      </c>
    </row>
    <row r="20" spans="3:14" x14ac:dyDescent="0.4">
      <c r="M20" s="2">
        <v>1000</v>
      </c>
      <c r="N20" s="2">
        <v>35</v>
      </c>
    </row>
    <row r="21" spans="3:14" x14ac:dyDescent="0.4">
      <c r="G21" s="4"/>
      <c r="M21" s="2">
        <v>2000</v>
      </c>
      <c r="N21" s="2">
        <v>80</v>
      </c>
    </row>
    <row r="22" spans="3:14" x14ac:dyDescent="0.4">
      <c r="M22" s="2">
        <v>2500</v>
      </c>
      <c r="N22" s="2">
        <v>90</v>
      </c>
    </row>
    <row r="25" spans="3:14" x14ac:dyDescent="0.4">
      <c r="C25" s="1" t="s">
        <v>15</v>
      </c>
      <c r="D25" s="5" t="str">
        <f>pipe_trajectory</f>
        <v>{"hmes_m":[0,1000,2000,2500],"hvert_m":[0,1000,1900,2300]}</v>
      </c>
      <c r="J25" s="1" t="s">
        <v>48</v>
      </c>
      <c r="K25" s="2">
        <v>25</v>
      </c>
    </row>
    <row r="26" spans="3:14" x14ac:dyDescent="0.4">
      <c r="C26" s="1" t="s">
        <v>38</v>
      </c>
      <c r="D26" s="5" t="str">
        <f>pipe_diam</f>
        <v>{"diam_list_mm":{"hmes_m":[0,500,2100],"diam_int_mm":[62,72,125]},"roughness_m":0.0001}</v>
      </c>
      <c r="J26" s="1" t="s">
        <v>49</v>
      </c>
      <c r="K26" s="2">
        <v>30</v>
      </c>
    </row>
    <row r="27" spans="3:14" x14ac:dyDescent="0.4">
      <c r="C27" s="1" t="s">
        <v>39</v>
      </c>
      <c r="D27" s="5" t="str">
        <f>t_model</f>
        <v>{"t_model":1,"t_list_C":{"hvert_m":[0,1000,2000,2500],"t_C":[10,35,80,90]}}</v>
      </c>
      <c r="J27" s="1" t="s">
        <v>50</v>
      </c>
      <c r="K27" s="5" t="str">
        <f>pipe_object</f>
        <v>{"construction":{"h_list_m":{"hmes_m":[0,1000,2000,2500],"hvert_m":[0,1000,1900,2300]},"diam_list_mm":{"hmes_m":[0,500,2100],"diam_int_mm":[62,72,125]},"roughness_m":0.0001},"t_model":{"t_model":1,"t_list_C":{"hvert_m":[0,1000,2000,2500],"t_C":[10,35,80,90]}},"flow_correlation":0,"flow_along_coord":false,"calibr_grav":1,"calibr_fric":1,"h_start_m":0,"h_end_m":0,"znlf":false}</v>
      </c>
    </row>
    <row r="28" spans="3:14" x14ac:dyDescent="0.4">
      <c r="C28" s="1" t="s">
        <v>40</v>
      </c>
      <c r="D28" s="2">
        <v>0</v>
      </c>
      <c r="J28" s="1" t="s">
        <v>14</v>
      </c>
      <c r="K28" s="5" t="str">
        <f>feed_json</f>
        <v>{"gamma_gas":0.6,"gamma_oil":0.86,"gamma_wat":1.1,"rsb_m3m3":120,"pb_atma":130,"t_res_C":80,"bob_m3m3":1.2,"muob_cP":0.6,"PVT_corr_set":0,"q_liq_sm3day":30,"fw_perc":10,"rp_m3m3":120}</v>
      </c>
    </row>
    <row r="29" spans="3:14" x14ac:dyDescent="0.4">
      <c r="C29" s="1" t="s">
        <v>41</v>
      </c>
      <c r="D29" s="2">
        <v>0</v>
      </c>
      <c r="J29" s="1" t="s">
        <v>51</v>
      </c>
      <c r="K29" s="2">
        <v>1</v>
      </c>
    </row>
    <row r="30" spans="3:14" x14ac:dyDescent="0.4">
      <c r="C30" s="1" t="s">
        <v>42</v>
      </c>
      <c r="D30" s="2">
        <v>1</v>
      </c>
      <c r="J30" s="1" t="s">
        <v>34</v>
      </c>
      <c r="K30" s="2" t="s">
        <v>52</v>
      </c>
    </row>
    <row r="31" spans="3:14" x14ac:dyDescent="0.4">
      <c r="C31" s="1" t="s">
        <v>43</v>
      </c>
      <c r="D31" s="2">
        <v>1</v>
      </c>
      <c r="J31" s="1" t="s">
        <v>10</v>
      </c>
      <c r="K31" s="2"/>
    </row>
    <row r="32" spans="3:14" x14ac:dyDescent="0.4">
      <c r="C32" s="1" t="s">
        <v>44</v>
      </c>
      <c r="D32" s="2"/>
      <c r="J32" s="1" t="s">
        <v>11</v>
      </c>
      <c r="K32" s="2"/>
    </row>
    <row r="33" spans="3:17" x14ac:dyDescent="0.4">
      <c r="C33" s="1" t="s">
        <v>45</v>
      </c>
      <c r="D33" s="2"/>
      <c r="J33" s="1" t="s">
        <v>12</v>
      </c>
      <c r="K33" s="2"/>
    </row>
    <row r="34" spans="3:17" x14ac:dyDescent="0.4">
      <c r="C34" s="1" t="s">
        <v>46</v>
      </c>
      <c r="D34" s="2"/>
      <c r="J34" s="1" t="s">
        <v>13</v>
      </c>
      <c r="K34" s="2"/>
    </row>
    <row r="35" spans="3:17" x14ac:dyDescent="0.4">
      <c r="C35" s="1" t="s">
        <v>47</v>
      </c>
      <c r="D35" s="3" t="str">
        <f>[1]!encode_pipe_object(D25,D26,D27,D28,D29,D30,D31,D32,D33,D34)</f>
        <v>{"construction":{"h_list_m":{"hmes_m":[0,1000,2000,2500],"hvert_m":[0,1000,1900,2300]},"diam_list_mm":{"hmes_m":[0,500,2100],"diam_int_mm":[62,72,125]},"roughness_m":0.0001},"t_model":{"t_model":1,"t_list_C":{"hvert_m":[0,1000,2000,2500],"t_C":[10,35,80,90]}},"flow_correlation":0,"flow_along_coord":false,"calibr_grav":1,"calibr_fric":1,"h_start_m":0,"h_end_m":0,"znlf":false}</v>
      </c>
      <c r="J35" s="6">
        <f t="array" ref="J35:Q57">[1]!MF_pipe_p_atma(K25, K26, K27, K28, K29, K30, K31, K32, K33, K34)</f>
        <v>207.53399999999999</v>
      </c>
      <c r="K35" s="6">
        <v>25</v>
      </c>
      <c r="L35" s="6">
        <v>10</v>
      </c>
      <c r="M35" s="6">
        <v>207.53399999999999</v>
      </c>
      <c r="N35" s="6">
        <v>86</v>
      </c>
      <c r="O35" s="6">
        <v>1</v>
      </c>
      <c r="P35" s="6">
        <v>1</v>
      </c>
      <c r="Q35" s="6" t="str">
        <v>["set show_log=1 in param to show calc log"]</v>
      </c>
    </row>
    <row r="36" spans="3:17" x14ac:dyDescent="0.4">
      <c r="J36" s="6" t="str">
        <v>p_result_atma</v>
      </c>
      <c r="K36" s="6" t="str">
        <v>p_1, atma</v>
      </c>
      <c r="L36" s="6" t="str">
        <v>t_1, C</v>
      </c>
      <c r="M36" s="6" t="str">
        <v>p_2, atma</v>
      </c>
      <c r="N36" s="6" t="str">
        <v>t_2, C</v>
      </c>
      <c r="O36" s="6" t="str">
        <v>calibr_grav</v>
      </c>
      <c r="P36" s="6" t="str">
        <v>calibr_fric</v>
      </c>
      <c r="Q36" s="6" t="str">
        <v>log</v>
      </c>
    </row>
    <row r="37" spans="3:17" x14ac:dyDescent="0.4">
      <c r="J37" s="6" t="str">
        <v>h,m</v>
      </c>
      <c r="K37" s="6" t="str">
        <v>hvert,m</v>
      </c>
      <c r="L37" s="6" t="str">
        <v>p,atma</v>
      </c>
      <c r="M37" s="6" t="str">
        <v>t,C</v>
      </c>
      <c r="N37" s="6" t="str">
        <v>t_amb, C</v>
      </c>
      <c r="O37" s="6" t="str">
        <v>Hl, %</v>
      </c>
      <c r="P37" s="6" t="str">
        <v>fpat</v>
      </c>
      <c r="Q37" s="6" t="str">
        <v>diam, mm</v>
      </c>
    </row>
    <row r="38" spans="3:17" x14ac:dyDescent="0.4">
      <c r="J38" s="6">
        <v>0</v>
      </c>
      <c r="K38" s="6">
        <v>0</v>
      </c>
      <c r="L38" s="6">
        <v>25</v>
      </c>
      <c r="M38" s="6">
        <v>10</v>
      </c>
      <c r="N38" s="6">
        <v>10</v>
      </c>
      <c r="O38" s="6">
        <v>100</v>
      </c>
      <c r="P38" s="6">
        <v>0</v>
      </c>
      <c r="Q38" s="6">
        <v>62</v>
      </c>
    </row>
    <row r="39" spans="3:17" x14ac:dyDescent="0.4">
      <c r="J39" s="6">
        <v>147.05882352941177</v>
      </c>
      <c r="K39" s="6">
        <v>147.05882352941177</v>
      </c>
      <c r="L39" s="6">
        <v>37.211265919476702</v>
      </c>
      <c r="M39" s="6">
        <v>13.676470588235293</v>
      </c>
      <c r="N39" s="6">
        <v>13.676470588235293</v>
      </c>
      <c r="O39" s="6">
        <v>100</v>
      </c>
      <c r="P39" s="6">
        <v>0</v>
      </c>
      <c r="Q39" s="6">
        <v>62</v>
      </c>
    </row>
    <row r="40" spans="3:17" x14ac:dyDescent="0.4">
      <c r="J40" s="6">
        <v>294.11764705882354</v>
      </c>
      <c r="K40" s="6">
        <v>294.11764705882354</v>
      </c>
      <c r="L40" s="6">
        <v>49.336935976810224</v>
      </c>
      <c r="M40" s="6">
        <v>17.352941176470587</v>
      </c>
      <c r="N40" s="6">
        <v>17.352941176470587</v>
      </c>
      <c r="O40" s="6">
        <v>100</v>
      </c>
      <c r="P40" s="6">
        <v>0</v>
      </c>
      <c r="Q40" s="6">
        <v>62</v>
      </c>
    </row>
    <row r="41" spans="3:17" x14ac:dyDescent="0.4">
      <c r="J41" s="6">
        <v>441.1764705882353</v>
      </c>
      <c r="K41" s="6">
        <v>441.1764705882353</v>
      </c>
      <c r="L41" s="6">
        <v>61.368662604850357</v>
      </c>
      <c r="M41" s="6">
        <v>21.029411764705884</v>
      </c>
      <c r="N41" s="6">
        <v>21.029411764705884</v>
      </c>
      <c r="O41" s="6">
        <v>100</v>
      </c>
      <c r="P41" s="6">
        <v>0</v>
      </c>
      <c r="Q41" s="6">
        <v>62</v>
      </c>
    </row>
    <row r="42" spans="3:17" x14ac:dyDescent="0.4">
      <c r="J42" s="6">
        <v>500</v>
      </c>
      <c r="K42" s="6">
        <v>500</v>
      </c>
      <c r="L42" s="6">
        <v>66.154734668379703</v>
      </c>
      <c r="M42" s="6">
        <v>22.5</v>
      </c>
      <c r="N42" s="6">
        <v>22.5</v>
      </c>
      <c r="O42" s="6">
        <v>100</v>
      </c>
      <c r="P42" s="6">
        <v>0</v>
      </c>
      <c r="Q42" s="6">
        <v>72.000000000000014</v>
      </c>
    </row>
    <row r="43" spans="3:17" x14ac:dyDescent="0.4">
      <c r="J43" s="6">
        <v>588.23529411764707</v>
      </c>
      <c r="K43" s="6">
        <v>588.23529411764707</v>
      </c>
      <c r="L43" s="6">
        <v>73.301276031794316</v>
      </c>
      <c r="M43" s="6">
        <v>24.705882352941178</v>
      </c>
      <c r="N43" s="6">
        <v>24.705882352941178</v>
      </c>
      <c r="O43" s="6">
        <v>100</v>
      </c>
      <c r="P43" s="6">
        <v>0</v>
      </c>
      <c r="Q43" s="6">
        <v>72.000000000000014</v>
      </c>
    </row>
    <row r="44" spans="3:17" x14ac:dyDescent="0.4">
      <c r="J44" s="6">
        <v>735.29411764705878</v>
      </c>
      <c r="K44" s="6">
        <v>735.29411764705878</v>
      </c>
      <c r="L44" s="6">
        <v>85.131937480979204</v>
      </c>
      <c r="M44" s="6">
        <v>28.382352941176471</v>
      </c>
      <c r="N44" s="6">
        <v>28.382352941176471</v>
      </c>
      <c r="O44" s="6">
        <v>100</v>
      </c>
      <c r="P44" s="6">
        <v>0</v>
      </c>
      <c r="Q44" s="6">
        <v>72.000000000000014</v>
      </c>
    </row>
    <row r="45" spans="3:17" x14ac:dyDescent="0.4">
      <c r="J45" s="6">
        <v>882.35294117647061</v>
      </c>
      <c r="K45" s="6">
        <v>882.35294117647061</v>
      </c>
      <c r="L45" s="6">
        <v>96.859528861433972</v>
      </c>
      <c r="M45" s="6">
        <v>32.058823529411768</v>
      </c>
      <c r="N45" s="6">
        <v>32.058823529411768</v>
      </c>
      <c r="O45" s="6">
        <v>100</v>
      </c>
      <c r="P45" s="6">
        <v>0</v>
      </c>
      <c r="Q45" s="6">
        <v>72.000000000000014</v>
      </c>
    </row>
    <row r="46" spans="3:17" x14ac:dyDescent="0.4">
      <c r="J46" s="6">
        <v>1029.4117647058824</v>
      </c>
      <c r="K46" s="6">
        <v>1026.4705882352941</v>
      </c>
      <c r="L46" s="6">
        <v>108.25265963744981</v>
      </c>
      <c r="M46" s="6">
        <v>36.191176470588239</v>
      </c>
      <c r="N46" s="6">
        <v>36.191176470588239</v>
      </c>
      <c r="O46" s="6">
        <v>100</v>
      </c>
      <c r="P46" s="6">
        <v>0</v>
      </c>
      <c r="Q46" s="6">
        <v>72.000000000000014</v>
      </c>
    </row>
    <row r="47" spans="3:17" x14ac:dyDescent="0.4">
      <c r="J47" s="6">
        <v>1176.4705882352941</v>
      </c>
      <c r="K47" s="6">
        <v>1158.8235294117646</v>
      </c>
      <c r="L47" s="6">
        <v>118.64374732377269</v>
      </c>
      <c r="M47" s="6">
        <v>42.147058823529413</v>
      </c>
      <c r="N47" s="6">
        <v>42.147058823529413</v>
      </c>
      <c r="O47" s="6">
        <v>100</v>
      </c>
      <c r="P47" s="6">
        <v>0</v>
      </c>
      <c r="Q47" s="6">
        <v>72.000000000000014</v>
      </c>
    </row>
    <row r="48" spans="3:17" x14ac:dyDescent="0.4">
      <c r="J48" s="6">
        <v>1323.5294117647059</v>
      </c>
      <c r="K48" s="6">
        <v>1291.1764705882354</v>
      </c>
      <c r="L48" s="6">
        <v>129.01643292775486</v>
      </c>
      <c r="M48" s="6">
        <v>48.102941176470587</v>
      </c>
      <c r="N48" s="6">
        <v>48.102941176470587</v>
      </c>
      <c r="O48" s="6">
        <v>100</v>
      </c>
      <c r="P48" s="6">
        <v>0</v>
      </c>
      <c r="Q48" s="6">
        <v>72.000000000000014</v>
      </c>
    </row>
    <row r="49" spans="10:17" x14ac:dyDescent="0.4">
      <c r="J49" s="6">
        <v>1470.5882352941176</v>
      </c>
      <c r="K49" s="6">
        <v>1423.5294117647059</v>
      </c>
      <c r="L49" s="6">
        <v>139.37296783267652</v>
      </c>
      <c r="M49" s="6">
        <v>54.058823529411761</v>
      </c>
      <c r="N49" s="6">
        <v>54.058823529411761</v>
      </c>
      <c r="O49" s="6">
        <v>100</v>
      </c>
      <c r="P49" s="6">
        <v>0</v>
      </c>
      <c r="Q49" s="6">
        <v>72.000000000000014</v>
      </c>
    </row>
    <row r="50" spans="10:17" x14ac:dyDescent="0.4">
      <c r="J50" s="6">
        <v>1617.6470588235295</v>
      </c>
      <c r="K50" s="6">
        <v>1555.8823529411766</v>
      </c>
      <c r="L50" s="6">
        <v>149.71212069474134</v>
      </c>
      <c r="M50" s="6">
        <v>60.014705882352942</v>
      </c>
      <c r="N50" s="6">
        <v>60.014705882352942</v>
      </c>
      <c r="O50" s="6">
        <v>100</v>
      </c>
      <c r="P50" s="6">
        <v>0</v>
      </c>
      <c r="Q50" s="6">
        <v>72.000000000000014</v>
      </c>
    </row>
    <row r="51" spans="10:17" x14ac:dyDescent="0.4">
      <c r="J51" s="6">
        <v>1764.7058823529412</v>
      </c>
      <c r="K51" s="6">
        <v>1688.2352941176471</v>
      </c>
      <c r="L51" s="6">
        <v>160.03289583994723</v>
      </c>
      <c r="M51" s="6">
        <v>65.970588235294116</v>
      </c>
      <c r="N51" s="6">
        <v>65.970588235294116</v>
      </c>
      <c r="O51" s="6">
        <v>100</v>
      </c>
      <c r="P51" s="6">
        <v>0</v>
      </c>
      <c r="Q51" s="6">
        <v>72.000000000000014</v>
      </c>
    </row>
    <row r="52" spans="10:17" x14ac:dyDescent="0.4">
      <c r="J52" s="6">
        <v>1911.7647058823529</v>
      </c>
      <c r="K52" s="6">
        <v>1820.5882352941176</v>
      </c>
      <c r="L52" s="6">
        <v>170.33447407582048</v>
      </c>
      <c r="M52" s="6">
        <v>71.92647058823529</v>
      </c>
      <c r="N52" s="6">
        <v>71.92647058823529</v>
      </c>
      <c r="O52" s="6">
        <v>100</v>
      </c>
      <c r="P52" s="6">
        <v>0</v>
      </c>
      <c r="Q52" s="6">
        <v>72.000000000000014</v>
      </c>
    </row>
    <row r="53" spans="10:17" x14ac:dyDescent="0.4">
      <c r="J53" s="6">
        <v>2058.8235294117649</v>
      </c>
      <c r="K53" s="6">
        <v>1947.0588235294119</v>
      </c>
      <c r="L53" s="6">
        <v>180.15967523685279</v>
      </c>
      <c r="M53" s="6">
        <v>77.617647058823536</v>
      </c>
      <c r="N53" s="6">
        <v>77.617647058823536</v>
      </c>
      <c r="O53" s="6">
        <v>100</v>
      </c>
      <c r="P53" s="6">
        <v>0</v>
      </c>
      <c r="Q53" s="6">
        <v>72.000000000000014</v>
      </c>
    </row>
    <row r="54" spans="10:17" x14ac:dyDescent="0.4">
      <c r="J54" s="6">
        <v>2100</v>
      </c>
      <c r="K54" s="6">
        <v>1980</v>
      </c>
      <c r="L54" s="6">
        <v>182.71586855800516</v>
      </c>
      <c r="M54" s="6">
        <v>79.099999999999994</v>
      </c>
      <c r="N54" s="6">
        <v>79.099999999999994</v>
      </c>
      <c r="O54" s="6">
        <v>100</v>
      </c>
      <c r="P54" s="6">
        <v>0</v>
      </c>
      <c r="Q54" s="6">
        <v>125</v>
      </c>
    </row>
    <row r="55" spans="10:17" x14ac:dyDescent="0.4">
      <c r="J55" s="6">
        <v>2205.8823529411766</v>
      </c>
      <c r="K55" s="6">
        <v>2064.7058823529414</v>
      </c>
      <c r="L55" s="6">
        <v>189.28532313169057</v>
      </c>
      <c r="M55" s="6">
        <v>81.294117647058826</v>
      </c>
      <c r="N55" s="6">
        <v>81.294117647058826</v>
      </c>
      <c r="O55" s="6">
        <v>100</v>
      </c>
      <c r="P55" s="6">
        <v>0</v>
      </c>
      <c r="Q55" s="6">
        <v>125</v>
      </c>
    </row>
    <row r="56" spans="10:17" x14ac:dyDescent="0.4">
      <c r="J56" s="6">
        <v>2352.9411764705883</v>
      </c>
      <c r="K56" s="6">
        <v>2182.3529411764707</v>
      </c>
      <c r="L56" s="6">
        <v>198.40957045644666</v>
      </c>
      <c r="M56" s="6">
        <v>83.647058823529406</v>
      </c>
      <c r="N56" s="6">
        <v>83.647058823529406</v>
      </c>
      <c r="O56" s="6">
        <v>100</v>
      </c>
      <c r="P56" s="6">
        <v>0</v>
      </c>
      <c r="Q56" s="6">
        <v>125</v>
      </c>
    </row>
    <row r="57" spans="10:17" x14ac:dyDescent="0.4">
      <c r="J57" s="6">
        <v>2500</v>
      </c>
      <c r="K57" s="6">
        <v>2300</v>
      </c>
      <c r="L57" s="6">
        <v>207.53360232980467</v>
      </c>
      <c r="M57" s="6">
        <v>86</v>
      </c>
      <c r="N57" s="6">
        <v>86</v>
      </c>
      <c r="O57" s="6">
        <v>100</v>
      </c>
      <c r="P57" s="6">
        <v>0</v>
      </c>
      <c r="Q57" s="6"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Лист1</vt:lpstr>
      <vt:lpstr>feed_json</vt:lpstr>
      <vt:lpstr>pipe_diam</vt:lpstr>
      <vt:lpstr>pipe_object</vt:lpstr>
      <vt:lpstr>pipe_trajectory</vt:lpstr>
      <vt:lpstr>PVT_json</vt:lpstr>
      <vt:lpstr>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rnt</dc:creator>
  <cp:lastModifiedBy>rnt</cp:lastModifiedBy>
  <dcterms:created xsi:type="dcterms:W3CDTF">2025-04-03T05:41:44Z</dcterms:created>
  <dcterms:modified xsi:type="dcterms:W3CDTF">2025-04-03T07:32:26Z</dcterms:modified>
</cp:coreProperties>
</file>