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F_examples\"/>
    </mc:Choice>
  </mc:AlternateContent>
  <xr:revisionPtr revIDLastSave="0" documentId="13_ncr:1_{7B1E0E19-FAE6-43AF-9DD5-43A265D07D29}" xr6:coauthVersionLast="45" xr6:coauthVersionMax="45" xr10:uidLastSave="{00000000-0000-0000-0000-000000000000}"/>
  <bookViews>
    <workbookView xWindow="-120" yWindow="-120" windowWidth="38640" windowHeight="21240" tabRatio="538" xr2:uid="{00000000-000D-0000-FFFF-FFFF00000000}"/>
  </bookViews>
  <sheets>
    <sheet name="exercise_VFM_choke" sheetId="120" r:id="rId1"/>
  </sheets>
  <externalReferences>
    <externalReference r:id="rId2"/>
  </externalReferences>
  <definedNames>
    <definedName name="Bob_" localSheetId="0">exercise_VFM_choke!$C$18</definedName>
    <definedName name="d_pipe" localSheetId="0">exercise_VFM_choke!$C$25</definedName>
    <definedName name="fw_" localSheetId="0">exercise_VFM_choke!$C$22</definedName>
    <definedName name="gamma_gas_" localSheetId="0">exercise_VFM_choke!$C$13</definedName>
    <definedName name="gamma_oil_" localSheetId="0">exercise_VFM_choke!$C$11</definedName>
    <definedName name="gamma_wat_" localSheetId="0">exercise_VFM_choke!$C$12</definedName>
    <definedName name="gamma_wat_kf_" localSheetId="0">exercise_VFM_choke!$C$20</definedName>
    <definedName name="input_0" localSheetId="0">exercise_VFM_choke!$C$11:$C$26</definedName>
    <definedName name="input_Course" localSheetId="0">exercise_VFM_choke!$I$3</definedName>
    <definedName name="input_Date" localSheetId="0">exercise_VFM_choke!$I$1</definedName>
    <definedName name="input_Group" localSheetId="0">exercise_VFM_choke!$I$4</definedName>
    <definedName name="input_Notes" localSheetId="0">exercise_VFM_choke!$I$6</definedName>
    <definedName name="input_Student_Name" localSheetId="0">exercise_VFM_choke!$I$5</definedName>
    <definedName name="input_Version" localSheetId="0">exercise_VFM_choke!$I$2</definedName>
    <definedName name="muob_" localSheetId="0">exercise_VFM_choke!$C$19</definedName>
    <definedName name="Pb_" localSheetId="0">exercise_VFM_choke!$C$16</definedName>
    <definedName name="Rp_" localSheetId="0">exercise_VFM_choke!$C$15</definedName>
    <definedName name="Rsb_" localSheetId="0">exercise_VFM_choke!$C$14</definedName>
    <definedName name="T_choke" localSheetId="0">exercise_VFM_choke!$C$23</definedName>
    <definedName name="T_upchoke" localSheetId="0">exercise_VFM_choke!$C$23</definedName>
    <definedName name="Tres_" localSheetId="0">exercise_VFM_choke!$C$17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0" i="120" l="1"/>
  <c r="E17" i="120"/>
  <c r="E16" i="120"/>
  <c r="E15" i="120"/>
  <c r="E14" i="120"/>
  <c r="E13" i="120"/>
  <c r="E12" i="120"/>
  <c r="E11" i="120"/>
  <c r="G1" i="120"/>
</calcChain>
</file>

<file path=xl/sharedStrings.xml><?xml version="1.0" encoding="utf-8"?>
<sst xmlns="http://schemas.openxmlformats.org/spreadsheetml/2006/main" count="75" uniqueCount="54">
  <si>
    <t>Физико - химические свойства флюида   PVT</t>
  </si>
  <si>
    <t>м3/м3</t>
  </si>
  <si>
    <t>С</t>
  </si>
  <si>
    <t>%</t>
  </si>
  <si>
    <t>сП</t>
  </si>
  <si>
    <t>атмa</t>
  </si>
  <si>
    <t>МПа</t>
  </si>
  <si>
    <t>Ф</t>
  </si>
  <si>
    <t>Параметры потока флюида</t>
  </si>
  <si>
    <t>Конструкция</t>
  </si>
  <si>
    <t>мм</t>
  </si>
  <si>
    <t>Упражнения по работе с макросами Unifloc VBA</t>
  </si>
  <si>
    <t>версия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</si>
  <si>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</si>
  <si>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</si>
  <si>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</si>
  <si>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</si>
  <si>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</si>
  <si>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</si>
  <si>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</si>
  <si>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</si>
  <si>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</si>
  <si>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</si>
  <si>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</si>
  <si>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</si>
  <si>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</si>
  <si>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T</t>
  </si>
  <si>
    <r>
      <rPr>
        <sz val="10"/>
        <rFont val="Arial Cyr"/>
      </rPr>
      <t>d</t>
    </r>
    <r>
      <rPr>
        <vertAlign val="subscript"/>
        <sz val="10"/>
        <rFont val="Arial Cyr"/>
      </rPr>
      <t>tub</t>
    </r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</si>
  <si>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</si>
  <si>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</si>
  <si>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</si>
  <si>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</si>
  <si>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</si>
  <si>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</si>
  <si>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</si>
  <si>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</si>
  <si>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</si>
  <si>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</si>
  <si>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</si>
  <si>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</si>
  <si>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</si>
  <si>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</si>
  <si>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https://neutrium.net/wp-content/uploads/2015/01/Choked-Flow1.png</t>
  </si>
  <si>
    <t>Виртуальный расходомер на основе штуцера</t>
  </si>
  <si>
    <t>Qliq</t>
  </si>
  <si>
    <t>fw</t>
  </si>
  <si>
    <t>Rp</t>
  </si>
  <si>
    <t>Pbuf</t>
  </si>
  <si>
    <t>Pline</t>
  </si>
  <si>
    <t>Twh</t>
  </si>
  <si>
    <t>dchoke</t>
  </si>
  <si>
    <t xml:space="preserve">Пример 1. </t>
  </si>
  <si>
    <t>Восстановите данные по дебитам по замерам давления</t>
  </si>
  <si>
    <t xml:space="preserve">Пример 2.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</si>
</sst>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0.0"/>
  </numFmts>
  <fonts count="18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bscript"/>
      <sz val="10"/>
      <name val="Arial Cyr"/>
    </font>
    <font>
      <sz val="10"/>
      <name val="Arial Cyr"/>
    </font>
    <font>
      <u/>
      <sz val="10"/>
      <color theme="10"/>
      <name val="Arial Cyr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  <xf numFmtId="0" fontId="17" fillId="0" borderId="0" applyNumberFormat="0" applyFill="0" applyBorder="0" applyAlignment="0" applyProtection="0"/>
  </cellStyleXfs>
  <cellXfs count="40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9" fillId="4" borderId="2" xfId="0" applyFont="1" applyFill="1" applyBorder="1" applyAlignment="1">
      <alignment horizontal="center" wrapText="1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12" fillId="4" borderId="2" xfId="0" applyFont="1" applyFill="1" applyBorder="1" applyAlignment="1">
      <alignment horizontal="center"/>
    </xf>
    <xf numFmtId="0" fontId="0" fillId="5" borderId="2" xfId="0" applyFont="1" applyFill="1" applyBorder="1" applyAlignment="1">
      <alignment horizontal="center"/>
    </xf>
    <xf numFmtId="14" fontId="0" fillId="3" borderId="0" xfId="0" applyNumberFormat="1" applyFill="1" applyAlignment="1">
      <alignment horizontal="left" vertical="top"/>
    </xf>
    <xf numFmtId="0" fontId="0" fillId="3" borderId="0" xfId="0" applyFill="1"/>
    <xf numFmtId="0" fontId="0" fillId="3" borderId="0" xfId="0" applyFill="1" applyAlignment="1">
      <alignment horizontal="left" vertical="top"/>
    </xf>
    <xf numFmtId="0" fontId="9" fillId="4" borderId="2" xfId="0" applyFont="1" applyFill="1" applyBorder="1" applyAlignment="1">
      <alignment horizontal="left"/>
    </xf>
    <xf numFmtId="0" fontId="0" fillId="4" borderId="4" xfId="0" applyFill="1" applyBorder="1" applyAlignment="1">
      <alignment vertical="top"/>
    </xf>
    <xf numFmtId="0" fontId="0" fillId="4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4" borderId="6" xfId="0" applyFill="1" applyBorder="1" applyAlignment="1">
      <alignment vertical="top"/>
    </xf>
    <xf numFmtId="0" fontId="0" fillId="4" borderId="3" xfId="0" applyFill="1" applyBorder="1" applyAlignment="1">
      <alignment vertical="top"/>
    </xf>
    <xf numFmtId="0" fontId="17" fillId="0" borderId="0" xfId="9"/>
    <xf numFmtId="0" fontId="0" fillId="5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2" fontId="0" fillId="0" borderId="0" xfId="0" applyNumberFormat="1"/>
    <xf numFmtId="165" fontId="0" fillId="0" borderId="0" xfId="0" applyNumberFormat="1" applyAlignment="1">
      <alignment horizontal="center"/>
    </xf>
    <xf numFmtId="1" fontId="0" fillId="0" borderId="0" xfId="0" applyNumberFormat="1"/>
    <xf numFmtId="0" fontId="0" fillId="6" borderId="5" xfId="0" applyFill="1" applyBorder="1" applyAlignment="1">
      <alignment horizontal="left"/>
    </xf>
    <xf numFmtId="0" fontId="0" fillId="6" borderId="8" xfId="0" applyFill="1" applyBorder="1" applyAlignment="1">
      <alignment horizontal="left"/>
    </xf>
    <xf numFmtId="0" fontId="0" fillId="6" borderId="9" xfId="0" applyFill="1" applyBorder="1" applyAlignment="1">
      <alignment horizontal="left"/>
    </xf>
    <xf numFmtId="0" fontId="0" fillId="6" borderId="10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16" xfId="0" applyFill="1" applyBorder="1" applyAlignment="1">
      <alignment horizontal="left" vertical="top"/>
    </xf>
  </cellXfs>
  <cellStyles count="10">
    <cellStyle name="Iau?iue_AA_1" xfId="1" xr:uid="{00000000-0005-0000-0000-000000000000}"/>
    <cellStyle name="Normal_Sheet2" xfId="6" xr:uid="{00000000-0005-0000-0000-000001000000}"/>
    <cellStyle name="Гиперссылка" xfId="9" builtinId="8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Пример</a:t>
            </a:r>
            <a:r>
              <a:rPr lang="ru-RU" baseline="0"/>
              <a:t> 1. Устьевые давления.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exercise_VFM_choke!$E$34</c:f>
              <c:strCache>
                <c:ptCount val="1"/>
                <c:pt idx="0">
                  <c:v>Pbuf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exercise_VFM_choke!$A$35:$A$61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xVal>
          <c:yVal>
            <c:numRef>
              <c:f>exercise_VFM_choke!$E$35:$E$61</c:f>
              <c:numCache>
                <c:formatCode>0.0</c:formatCode>
                <c:ptCount val="27"/>
                <c:pt idx="0">
                  <c:v>27.281982421875</c:v>
                </c:pt>
                <c:pt idx="1">
                  <c:v>28.012078857421876</c:v>
                </c:pt>
                <c:pt idx="2">
                  <c:v>27.252138977050791</c:v>
                </c:pt>
                <c:pt idx="3">
                  <c:v>28.914266052246091</c:v>
                </c:pt>
                <c:pt idx="4">
                  <c:v>27.48889495849609</c:v>
                </c:pt>
                <c:pt idx="5">
                  <c:v>26.167024841308596</c:v>
                </c:pt>
                <c:pt idx="6">
                  <c:v>27.278143615722655</c:v>
                </c:pt>
                <c:pt idx="7">
                  <c:v>25.703489685058596</c:v>
                </c:pt>
                <c:pt idx="8">
                  <c:v>26.922532348632817</c:v>
                </c:pt>
                <c:pt idx="9">
                  <c:v>26.752088012695314</c:v>
                </c:pt>
                <c:pt idx="10">
                  <c:v>27.300837707519527</c:v>
                </c:pt>
                <c:pt idx="11">
                  <c:v>27.087727050781247</c:v>
                </c:pt>
                <c:pt idx="12">
                  <c:v>24.068849182128908</c:v>
                </c:pt>
                <c:pt idx="13">
                  <c:v>25.780899353027337</c:v>
                </c:pt>
                <c:pt idx="14">
                  <c:v>23.823897171020505</c:v>
                </c:pt>
                <c:pt idx="15">
                  <c:v>23.760974578857425</c:v>
                </c:pt>
                <c:pt idx="16">
                  <c:v>24.683289642333985</c:v>
                </c:pt>
                <c:pt idx="17">
                  <c:v>26.688471679687495</c:v>
                </c:pt>
                <c:pt idx="18">
                  <c:v>27.434421539306641</c:v>
                </c:pt>
                <c:pt idx="19">
                  <c:v>26.193823242187502</c:v>
                </c:pt>
                <c:pt idx="20">
                  <c:v>26.337895202636712</c:v>
                </c:pt>
                <c:pt idx="21">
                  <c:v>29.517739562988275</c:v>
                </c:pt>
                <c:pt idx="22">
                  <c:v>28.760245971679687</c:v>
                </c:pt>
                <c:pt idx="23">
                  <c:v>28.227117919921874</c:v>
                </c:pt>
                <c:pt idx="24">
                  <c:v>27.982594299316411</c:v>
                </c:pt>
                <c:pt idx="25">
                  <c:v>27.893472290039057</c:v>
                </c:pt>
                <c:pt idx="26">
                  <c:v>27.930679321289063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AD-4A90-9D1B-865C93A505DA}"/>
            </c:ext>
          </c:extLst>
        </c:ser>
        <c:ser>
          <c:idx val="1"/>
          <c:order val="1"/>
          <c:tx>
            <c:strRef>
              <c:f>exercise_VFM_choke!$F$34</c:f>
              <c:strCache>
                <c:ptCount val="1"/>
                <c:pt idx="0">
                  <c:v>Pline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exercise_VFM_choke!$A$35:$A$61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xVal>
          <c:yVal>
            <c:numRef>
              <c:f>exercise_VFM_choke!$F$35:$F$61</c:f>
              <c:numCache>
                <c:formatCode>0.0</c:formatCode>
                <c:ptCount val="27"/>
                <c:pt idx="0">
                  <c:v>24</c:v>
                </c:pt>
                <c:pt idx="1">
                  <c:v>24.6</c:v>
                </c:pt>
                <c:pt idx="2">
                  <c:v>23.67</c:v>
                </c:pt>
                <c:pt idx="3">
                  <c:v>25.41</c:v>
                </c:pt>
                <c:pt idx="4">
                  <c:v>23.81</c:v>
                </c:pt>
                <c:pt idx="5">
                  <c:v>21.93</c:v>
                </c:pt>
                <c:pt idx="6">
                  <c:v>23.669999999999998</c:v>
                </c:pt>
                <c:pt idx="7">
                  <c:v>21.849999999999998</c:v>
                </c:pt>
                <c:pt idx="8">
                  <c:v>23.38</c:v>
                </c:pt>
                <c:pt idx="9">
                  <c:v>22.86</c:v>
                </c:pt>
                <c:pt idx="10">
                  <c:v>23.55</c:v>
                </c:pt>
                <c:pt idx="11">
                  <c:v>22.96</c:v>
                </c:pt>
                <c:pt idx="12">
                  <c:v>21.29</c:v>
                </c:pt>
                <c:pt idx="13">
                  <c:v>23.189999999999998</c:v>
                </c:pt>
                <c:pt idx="14">
                  <c:v>22.95</c:v>
                </c:pt>
                <c:pt idx="15">
                  <c:v>22.93</c:v>
                </c:pt>
                <c:pt idx="16">
                  <c:v>23.93</c:v>
                </c:pt>
                <c:pt idx="17">
                  <c:v>25.919999999999998</c:v>
                </c:pt>
                <c:pt idx="18">
                  <c:v>26.65</c:v>
                </c:pt>
                <c:pt idx="19">
                  <c:v>25.279999999999998</c:v>
                </c:pt>
                <c:pt idx="20">
                  <c:v>23.589999999999996</c:v>
                </c:pt>
                <c:pt idx="21">
                  <c:v>22.909999999999997</c:v>
                </c:pt>
                <c:pt idx="22">
                  <c:v>21.419999999999998</c:v>
                </c:pt>
                <c:pt idx="23">
                  <c:v>20.04</c:v>
                </c:pt>
                <c:pt idx="24">
                  <c:v>19.05</c:v>
                </c:pt>
                <c:pt idx="25">
                  <c:v>17.98</c:v>
                </c:pt>
                <c:pt idx="26">
                  <c:v>17.5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EAD-4A90-9D1B-865C93A50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6103088"/>
        <c:axId val="1050277056"/>
      </c:scatterChart>
      <c:valAx>
        <c:axId val="846103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Время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50277056"/>
        <c:crosses val="autoZero"/>
        <c:crossBetween val="midCat"/>
      </c:valAx>
      <c:valAx>
        <c:axId val="105027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4610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u="none" strike="noStrike" baseline="0">
                <a:effectLst/>
              </a:rPr>
              <a:t>Пример 2. Устьевые давления.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exercise_VFM_choke!$E$34</c:f>
              <c:strCache>
                <c:ptCount val="1"/>
                <c:pt idx="0">
                  <c:v>Pbuf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exercise_VFM_choke!$A$70:$A$96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xVal>
          <c:yVal>
            <c:numRef>
              <c:f>exercise_VFM_choke!$E$70:$E$96</c:f>
              <c:numCache>
                <c:formatCode>0.00</c:formatCode>
                <c:ptCount val="27"/>
                <c:pt idx="0">
                  <c:v>27.281982421875</c:v>
                </c:pt>
                <c:pt idx="1">
                  <c:v>28.521708374023429</c:v>
                </c:pt>
                <c:pt idx="2">
                  <c:v>29.774778442382814</c:v>
                </c:pt>
                <c:pt idx="3">
                  <c:v>31.215078125000002</c:v>
                </c:pt>
                <c:pt idx="4">
                  <c:v>31.816883087158203</c:v>
                </c:pt>
                <c:pt idx="5">
                  <c:v>31.16772186279297</c:v>
                </c:pt>
                <c:pt idx="6">
                  <c:v>32.090444946289068</c:v>
                </c:pt>
                <c:pt idx="7">
                  <c:v>31.566052246093751</c:v>
                </c:pt>
                <c:pt idx="8">
                  <c:v>32.578604431152343</c:v>
                </c:pt>
                <c:pt idx="9">
                  <c:v>32.61595550537109</c:v>
                </c:pt>
                <c:pt idx="10">
                  <c:v>32.373882751464848</c:v>
                </c:pt>
                <c:pt idx="11">
                  <c:v>31.64592376708984</c:v>
                </c:pt>
                <c:pt idx="12">
                  <c:v>31.119942169189457</c:v>
                </c:pt>
                <c:pt idx="13">
                  <c:v>30.839758300781249</c:v>
                </c:pt>
                <c:pt idx="14">
                  <c:v>29.283664398193356</c:v>
                </c:pt>
                <c:pt idx="15">
                  <c:v>29.924565124511716</c:v>
                </c:pt>
                <c:pt idx="16">
                  <c:v>30.63455909729004</c:v>
                </c:pt>
                <c:pt idx="17">
                  <c:v>32.484869079589835</c:v>
                </c:pt>
                <c:pt idx="18">
                  <c:v>31.224990386962887</c:v>
                </c:pt>
                <c:pt idx="19">
                  <c:v>30.098744964599611</c:v>
                </c:pt>
                <c:pt idx="20">
                  <c:v>30.160914916992184</c:v>
                </c:pt>
                <c:pt idx="21">
                  <c:v>28.767813720703124</c:v>
                </c:pt>
                <c:pt idx="22">
                  <c:v>29.572569274902342</c:v>
                </c:pt>
                <c:pt idx="23">
                  <c:v>30.738212280273437</c:v>
                </c:pt>
                <c:pt idx="24">
                  <c:v>30.877209777832029</c:v>
                </c:pt>
                <c:pt idx="25">
                  <c:v>31.676520080566402</c:v>
                </c:pt>
                <c:pt idx="26">
                  <c:v>32.742059326171862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D6-4500-A8F3-F3BE62CE44A1}"/>
            </c:ext>
          </c:extLst>
        </c:ser>
        <c:ser>
          <c:idx val="1"/>
          <c:order val="1"/>
          <c:tx>
            <c:strRef>
              <c:f>exercise_VFM_choke!$F$34</c:f>
              <c:strCache>
                <c:ptCount val="1"/>
                <c:pt idx="0">
                  <c:v>Pline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exercise_VFM_choke!$A$70:$A$96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xVal>
          <c:yVal>
            <c:numRef>
              <c:f>exercise_VFM_choke!$F$70:$F$96</c:f>
              <c:numCache>
                <c:formatCode>0.00</c:formatCode>
                <c:ptCount val="27"/>
                <c:pt idx="0">
                  <c:v>24</c:v>
                </c:pt>
                <c:pt idx="1">
                  <c:v>25.24</c:v>
                </c:pt>
                <c:pt idx="2">
                  <c:v>26.34</c:v>
                </c:pt>
                <c:pt idx="3">
                  <c:v>28.16</c:v>
                </c:pt>
                <c:pt idx="4">
                  <c:v>28.75</c:v>
                </c:pt>
                <c:pt idx="5">
                  <c:v>27.89</c:v>
                </c:pt>
                <c:pt idx="6">
                  <c:v>29.02</c:v>
                </c:pt>
                <c:pt idx="7">
                  <c:v>28.4</c:v>
                </c:pt>
                <c:pt idx="8">
                  <c:v>29.18</c:v>
                </c:pt>
                <c:pt idx="9">
                  <c:v>29.169999999999998</c:v>
                </c:pt>
                <c:pt idx="10">
                  <c:v>28.63</c:v>
                </c:pt>
                <c:pt idx="11">
                  <c:v>27.83</c:v>
                </c:pt>
                <c:pt idx="12">
                  <c:v>28.77</c:v>
                </c:pt>
                <c:pt idx="13">
                  <c:v>28.4</c:v>
                </c:pt>
                <c:pt idx="14">
                  <c:v>28.47</c:v>
                </c:pt>
                <c:pt idx="15">
                  <c:v>29.099999999999998</c:v>
                </c:pt>
                <c:pt idx="16">
                  <c:v>29.889999999999997</c:v>
                </c:pt>
                <c:pt idx="17">
                  <c:v>31.759999999999998</c:v>
                </c:pt>
                <c:pt idx="18">
                  <c:v>30.369999999999997</c:v>
                </c:pt>
                <c:pt idx="19">
                  <c:v>29.15</c:v>
                </c:pt>
                <c:pt idx="20">
                  <c:v>27.459999999999997</c:v>
                </c:pt>
                <c:pt idx="21">
                  <c:v>25.72</c:v>
                </c:pt>
                <c:pt idx="22">
                  <c:v>26.049999999999997</c:v>
                </c:pt>
                <c:pt idx="23">
                  <c:v>27.259999999999998</c:v>
                </c:pt>
                <c:pt idx="24">
                  <c:v>27.089999999999996</c:v>
                </c:pt>
                <c:pt idx="25">
                  <c:v>27.629999999999995</c:v>
                </c:pt>
                <c:pt idx="26">
                  <c:v>28.759999999999994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5D6-4500-A8F3-F3BE62CE4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6103088"/>
        <c:axId val="1050277056"/>
      </c:scatterChart>
      <c:valAx>
        <c:axId val="846103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Время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50277056"/>
        <c:crosses val="autoZero"/>
        <c:crossBetween val="midCat"/>
      </c:valAx>
      <c:valAx>
        <c:axId val="105027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4610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238125</xdr:colOff>
      <xdr:row>5</xdr:row>
      <xdr:rowOff>109743</xdr:rowOff>
    </xdr:from>
    <xdr:to>
      <xdr:col>48</xdr:col>
      <xdr:colOff>166686</xdr:colOff>
      <xdr:row>16</xdr:row>
      <xdr:rowOff>226217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3FA2B49B-5F5C-4BA1-BD0A-AAA0C5B86DEE}"/>
            </a:ext>
          </a:extLst>
        </xdr:cNvPr>
        <xdr:cNvGrpSpPr/>
      </xdr:nvGrpSpPr>
      <xdr:grpSpPr>
        <a:xfrm>
          <a:off x="16364683" y="1003628"/>
          <a:ext cx="5262561" cy="2358512"/>
          <a:chOff x="16219419" y="824119"/>
          <a:chExt cx="5235640" cy="2241585"/>
        </a:xfrm>
      </xdr:grpSpPr>
      <xdr:pic>
        <xdr:nvPicPr>
          <xdr:cNvPr id="3" name="Рисунок 2">
            <a:extLst>
              <a:ext uri="{FF2B5EF4-FFF2-40B4-BE49-F238E27FC236}">
                <a16:creationId xmlns:a16="http://schemas.microsoft.com/office/drawing/2014/main" id="{D29F6E5B-A749-4F76-9036-1CB210B2CB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6219419" y="824119"/>
            <a:ext cx="5181600" cy="2241585"/>
          </a:xfrm>
          <a:prstGeom prst="rect">
            <a:avLst/>
          </a:prstGeom>
        </xdr:spPr>
      </xdr:pic>
      <xdr:sp macro="" textlink="$AL$4">
        <xdr:nvSpPr>
          <xdr:cNvPr id="4" name="TextBox 3">
            <a:extLst>
              <a:ext uri="{FF2B5EF4-FFF2-40B4-BE49-F238E27FC236}">
                <a16:creationId xmlns:a16="http://schemas.microsoft.com/office/drawing/2014/main" id="{731C0962-EAEA-496B-8F71-C42F7B21C3D8}"/>
              </a:ext>
            </a:extLst>
          </xdr:cNvPr>
          <xdr:cNvSpPr txBox="1"/>
        </xdr:nvSpPr>
        <xdr:spPr>
          <a:xfrm>
            <a:off x="17183611" y="2079857"/>
            <a:ext cx="1085051" cy="4332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fld id="{45FF6FD8-BAD0-44CF-AEFC-997364D34A00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 </a:t>
            </a:fld>
            <a:endParaRPr lang="ru-RU" sz="1100"/>
          </a:p>
        </xdr:txBody>
      </xdr:sp>
      <xdr:sp macro="" textlink="$AL$2">
        <xdr:nvSpPr>
          <xdr:cNvPr id="5" name="TextBox 4">
            <a:extLst>
              <a:ext uri="{FF2B5EF4-FFF2-40B4-BE49-F238E27FC236}">
                <a16:creationId xmlns:a16="http://schemas.microsoft.com/office/drawing/2014/main" id="{0508F4C2-B779-4969-8838-91C4FC1A18EC}"/>
              </a:ext>
            </a:extLst>
          </xdr:cNvPr>
          <xdr:cNvSpPr txBox="1"/>
        </xdr:nvSpPr>
        <xdr:spPr>
          <a:xfrm>
            <a:off x="16282055" y="2085145"/>
            <a:ext cx="1005818" cy="235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BE629589-C801-45D0-9F9B-4A25698968FA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 </a:t>
            </a:fld>
            <a:endParaRPr lang="ru-RU" sz="1100"/>
          </a:p>
        </xdr:txBody>
      </xdr:sp>
      <xdr:sp macro="" textlink="$AL$3">
        <xdr:nvSpPr>
          <xdr:cNvPr id="6" name="TextBox 5">
            <a:extLst>
              <a:ext uri="{FF2B5EF4-FFF2-40B4-BE49-F238E27FC236}">
                <a16:creationId xmlns:a16="http://schemas.microsoft.com/office/drawing/2014/main" id="{45B8C902-49CF-448D-B135-6C321B60420B}"/>
              </a:ext>
            </a:extLst>
          </xdr:cNvPr>
          <xdr:cNvSpPr txBox="1"/>
        </xdr:nvSpPr>
        <xdr:spPr>
          <a:xfrm>
            <a:off x="20332250" y="2085146"/>
            <a:ext cx="1122809" cy="235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6CF60EE7-1DAD-4C9F-96CC-9584DA32B2C6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 </a:t>
            </a:fld>
            <a:endParaRPr lang="ru-RU" sz="1100"/>
          </a:p>
        </xdr:txBody>
      </xdr:sp>
      <xdr:sp macro="" textlink="$AL$1">
        <xdr:nvSpPr>
          <xdr:cNvPr id="7" name="TextBox 6">
            <a:extLst>
              <a:ext uri="{FF2B5EF4-FFF2-40B4-BE49-F238E27FC236}">
                <a16:creationId xmlns:a16="http://schemas.microsoft.com/office/drawing/2014/main" id="{9BFC706A-4B2A-4824-88CE-9635A831EE95}"/>
              </a:ext>
            </a:extLst>
          </xdr:cNvPr>
          <xdr:cNvSpPr txBox="1"/>
        </xdr:nvSpPr>
        <xdr:spPr>
          <a:xfrm>
            <a:off x="18468664" y="1789043"/>
            <a:ext cx="1390959" cy="235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34546ADC-568F-4B56-904D-9EBCA46BFF7B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 </a:t>
            </a:fld>
            <a:endParaRPr lang="ru-RU" sz="1100"/>
          </a:p>
        </xdr:txBody>
      </xdr:sp>
    </xdr:grpSp>
    <xdr:clientData/>
  </xdr:twoCellAnchor>
  <xdr:twoCellAnchor>
    <xdr:from>
      <xdr:col>6</xdr:col>
      <xdr:colOff>558176</xdr:colOff>
      <xdr:row>0</xdr:row>
      <xdr:rowOff>15200</xdr:rowOff>
    </xdr:from>
    <xdr:to>
      <xdr:col>17</xdr:col>
      <xdr:colOff>235855</xdr:colOff>
      <xdr:row>17</xdr:row>
      <xdr:rowOff>136332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D31DD71-C8CF-4FAC-9E29-7816EF1B1D62}"/>
            </a:ext>
          </a:extLst>
        </xdr:cNvPr>
        <xdr:cNvSpPr txBox="1"/>
      </xdr:nvSpPr>
      <xdr:spPr>
        <a:xfrm>
          <a:off x="4727195" y="15200"/>
          <a:ext cx="5158218" cy="348419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Упражнение показывает пример построения виртуального расходомера на основе данных о потоке флюида через штуцер.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следующие задания.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калибровочный коэффициент штуцера для заданных параметров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Восстановите значения дебита по данным измерения перепада давления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Всегда ли дебит можно восстановить однозначно? Какой разброс значений дебита можно получить?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характеристику штуцера и покажите на ней рабочие точки замеров</a:t>
          </a:r>
          <a:endParaRPr lang="en-US" sz="1100"/>
        </a:p>
        <a:p>
          <a:endParaRPr lang="ru-RU" sz="1100" baseline="0"/>
        </a:p>
        <a:p>
          <a:endParaRPr lang="ru-RU" sz="1100" baseline="0"/>
        </a:p>
        <a:p>
          <a:r>
            <a:rPr lang="ru-RU" sz="1100" baseline="0"/>
            <a:t>Используйте функции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MF_p_choke_atma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MF_qliq_choke_sm3day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MF_calibr_choke_fr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ru-RU" sz="1100" baseline="0"/>
        </a:p>
      </xdr:txBody>
    </xdr:sp>
    <xdr:clientData/>
  </xdr:twoCellAnchor>
  <xdr:twoCellAnchor editAs="oneCell">
    <xdr:from>
      <xdr:col>50</xdr:col>
      <xdr:colOff>309563</xdr:colOff>
      <xdr:row>0</xdr:row>
      <xdr:rowOff>142875</xdr:rowOff>
    </xdr:from>
    <xdr:to>
      <xdr:col>59</xdr:col>
      <xdr:colOff>395287</xdr:colOff>
      <xdr:row>20</xdr:row>
      <xdr:rowOff>50006</xdr:rowOff>
    </xdr:to>
    <xdr:pic>
      <xdr:nvPicPr>
        <xdr:cNvPr id="16" name="Рисунок 15" descr="Vena Contracta after a Restriction Orifice">
          <a:extLst>
            <a:ext uri="{FF2B5EF4-FFF2-40B4-BE49-F238E27FC236}">
              <a16:creationId xmlns:a16="http://schemas.microsoft.com/office/drawing/2014/main" id="{9ECB3B5C-A8DE-4EC6-94F5-3F2DB331FD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69388" y="142875"/>
          <a:ext cx="5343525" cy="395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51</xdr:col>
      <xdr:colOff>11907</xdr:colOff>
      <xdr:row>24</xdr:row>
      <xdr:rowOff>35720</xdr:rowOff>
    </xdr:from>
    <xdr:to>
      <xdr:col>60</xdr:col>
      <xdr:colOff>406826</xdr:colOff>
      <xdr:row>59</xdr:row>
      <xdr:rowOff>30225</xdr:rowOff>
    </xdr:to>
    <xdr:pic>
      <xdr:nvPicPr>
        <xdr:cNvPr id="17" name="Рисунок 16" descr="Choked Flow">
          <a:extLst>
            <a:ext uri="{FF2B5EF4-FFF2-40B4-BE49-F238E27FC236}">
              <a16:creationId xmlns:a16="http://schemas.microsoft.com/office/drawing/2014/main" id="{2132507A-D226-4C11-9347-0BB2208EE1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52732" y="4798220"/>
          <a:ext cx="5881319" cy="5719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263768</xdr:colOff>
      <xdr:row>34</xdr:row>
      <xdr:rowOff>21979</xdr:rowOff>
    </xdr:from>
    <xdr:to>
      <xdr:col>19</xdr:col>
      <xdr:colOff>359019</xdr:colOff>
      <xdr:row>52</xdr:row>
      <xdr:rowOff>153865</xdr:rowOff>
    </xdr:to>
    <xdr:graphicFrame macro="">
      <xdr:nvGraphicFramePr>
        <xdr:cNvPr id="22" name="Диаграмма 21">
          <a:extLst>
            <a:ext uri="{FF2B5EF4-FFF2-40B4-BE49-F238E27FC236}">
              <a16:creationId xmlns:a16="http://schemas.microsoft.com/office/drawing/2014/main" id="{A8F64EDB-3BB5-4527-8C79-D436B604D2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373673</xdr:colOff>
      <xdr:row>68</xdr:row>
      <xdr:rowOff>153865</xdr:rowOff>
    </xdr:from>
    <xdr:to>
      <xdr:col>20</xdr:col>
      <xdr:colOff>87924</xdr:colOff>
      <xdr:row>87</xdr:row>
      <xdr:rowOff>124558</xdr:rowOff>
    </xdr:to>
    <xdr:graphicFrame macro="">
      <xdr:nvGraphicFramePr>
        <xdr:cNvPr id="24" name="Диаграмма 23">
          <a:extLst>
            <a:ext uri="{FF2B5EF4-FFF2-40B4-BE49-F238E27FC236}">
              <a16:creationId xmlns:a16="http://schemas.microsoft.com/office/drawing/2014/main" id="{BA25ADFF-EF81-41F6-BA7C-5686617F46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neutrium.net/wp-content/uploads/2015/01/Choked-Flow1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73FD2-B877-4EE3-9D31-2AA865ABB49B}">
  <sheetPr codeName="Worksheet_Choke2">
    <outlinePr summaryBelow="0"/>
  </sheetPr>
  <dimension ref="A1:AZ96"/>
  <sheetViews>
    <sheetView tabSelected="1" zoomScale="130" zoomScaleNormal="130" workbookViewId="0">
      <selection activeCell="J20" sqref="J20"/>
    </sheetView>
  </sheetViews>
  <sheetFormatPr defaultRowHeight="12.75" x14ac:dyDescent="0.2"/>
  <cols>
    <col min="2" max="2" width="10" customWidth="1"/>
    <col min="3" max="3" width="12.28515625" customWidth="1"/>
    <col min="4" max="4" width="9.85546875" customWidth="1"/>
    <col min="5" max="5" width="11.28515625" customWidth="1"/>
    <col min="6" max="6" width="9.85546875" customWidth="1"/>
    <col min="7" max="7" width="10.28515625" customWidth="1"/>
    <col min="8" max="8" width="8.85546875" customWidth="1"/>
    <col min="9" max="9" width="10.42578125" customWidth="1"/>
    <col min="10" max="11" width="5.7109375" customWidth="1"/>
    <col min="12" max="12" width="12.5703125" customWidth="1"/>
    <col min="13" max="51" width="5.7109375" customWidth="1"/>
  </cols>
  <sheetData>
    <row r="1" spans="1:12" x14ac:dyDescent="0.2">
      <c r="A1" s="1" t="s">
        <v>11</v>
      </c>
      <c r="F1" t="s">
        <v>12</v>
      </c>
      <c r="G1" t="str">
        <f>[1]!unf_Version()</f>
        <v>7.25</v>
      </c>
      <c r="H1" t="s">
        <v>28</v>
      </c>
      <c r="I1" s="13">
        <v>44124</v>
      </c>
      <c r="J1" s="14"/>
      <c r="K1" s="14"/>
      <c r="L1" s="14"/>
    </row>
    <row r="2" spans="1:12" x14ac:dyDescent="0.2">
      <c r="A2" t="s">
        <v>43</v>
      </c>
      <c r="H2" t="s">
        <v>29</v>
      </c>
      <c r="I2" s="15">
        <v>7.25</v>
      </c>
      <c r="J2" s="14"/>
      <c r="K2" s="14"/>
      <c r="L2" s="14"/>
    </row>
    <row r="3" spans="1:12" ht="15" x14ac:dyDescent="0.25">
      <c r="A3" s="16" t="s">
        <v>30</v>
      </c>
      <c r="B3" s="28" t="s">
        <v>31</v>
      </c>
      <c r="C3" s="29"/>
      <c r="D3" s="29"/>
      <c r="E3" s="30"/>
      <c r="H3" t="s">
        <v>32</v>
      </c>
      <c r="I3" s="14" t="s">
        <v>31</v>
      </c>
      <c r="J3" s="14"/>
      <c r="K3" s="14"/>
      <c r="L3" s="14"/>
    </row>
    <row r="4" spans="1:12" ht="15" x14ac:dyDescent="0.25">
      <c r="A4" s="16" t="s">
        <v>33</v>
      </c>
      <c r="B4" s="28" t="s">
        <v>34</v>
      </c>
      <c r="C4" s="29"/>
      <c r="D4" s="29"/>
      <c r="E4" s="30"/>
      <c r="H4" t="s">
        <v>35</v>
      </c>
      <c r="I4" s="14" t="s">
        <v>34</v>
      </c>
      <c r="J4" s="14"/>
      <c r="K4" s="14"/>
      <c r="L4" s="14"/>
    </row>
    <row r="5" spans="1:12" ht="15" x14ac:dyDescent="0.25">
      <c r="A5" s="16" t="s">
        <v>36</v>
      </c>
      <c r="B5" s="28" t="s">
        <v>37</v>
      </c>
      <c r="C5" s="29"/>
      <c r="D5" s="29"/>
      <c r="E5" s="30"/>
      <c r="H5" t="s">
        <v>38</v>
      </c>
      <c r="I5" s="14" t="s">
        <v>37</v>
      </c>
      <c r="J5" s="14"/>
      <c r="K5" s="14"/>
      <c r="L5" s="14"/>
    </row>
    <row r="6" spans="1:12" x14ac:dyDescent="0.2">
      <c r="A6" s="17" t="s">
        <v>39</v>
      </c>
      <c r="B6" s="31" t="s">
        <v>40</v>
      </c>
      <c r="C6" s="32"/>
      <c r="D6" s="32"/>
      <c r="E6" s="33"/>
      <c r="H6" s="18" t="s">
        <v>41</v>
      </c>
      <c r="I6" s="19" t="s">
        <v>40</v>
      </c>
      <c r="J6" s="19"/>
      <c r="K6" s="19"/>
      <c r="L6" s="19"/>
    </row>
    <row r="7" spans="1:12" x14ac:dyDescent="0.2">
      <c r="A7" s="20"/>
      <c r="B7" s="34"/>
      <c r="C7" s="35"/>
      <c r="D7" s="35"/>
      <c r="E7" s="36"/>
      <c r="H7" s="18"/>
      <c r="I7" s="19"/>
      <c r="J7" s="19"/>
      <c r="K7" s="19"/>
      <c r="L7" s="19"/>
    </row>
    <row r="8" spans="1:12" x14ac:dyDescent="0.2">
      <c r="A8" s="21"/>
      <c r="B8" s="37"/>
      <c r="C8" s="38"/>
      <c r="D8" s="38"/>
      <c r="E8" s="39"/>
      <c r="H8" s="18"/>
      <c r="I8" s="19"/>
      <c r="J8" s="19"/>
      <c r="K8" s="19"/>
      <c r="L8" s="19"/>
    </row>
    <row r="10" spans="1:12" x14ac:dyDescent="0.2">
      <c r="A10" s="1" t="s">
        <v>0</v>
      </c>
    </row>
    <row r="11" spans="1:12" ht="18.75" x14ac:dyDescent="0.35">
      <c r="B11" s="5" t="s">
        <v>13</v>
      </c>
      <c r="C11" s="2">
        <v>0.86</v>
      </c>
      <c r="D11" s="24"/>
      <c r="E11" s="9">
        <f>gamma_oil_*1000</f>
        <v>860</v>
      </c>
      <c r="F11" s="11" t="s">
        <v>22</v>
      </c>
    </row>
    <row r="12" spans="1:12" ht="18.75" x14ac:dyDescent="0.35">
      <c r="B12" s="6" t="s">
        <v>14</v>
      </c>
      <c r="C12" s="2">
        <v>1</v>
      </c>
      <c r="D12" s="24"/>
      <c r="E12" s="9">
        <f>gamma_wat_*1000</f>
        <v>1000</v>
      </c>
      <c r="F12" s="11" t="s">
        <v>22</v>
      </c>
    </row>
    <row r="13" spans="1:12" ht="18.75" x14ac:dyDescent="0.35">
      <c r="B13" s="6" t="s">
        <v>15</v>
      </c>
      <c r="C13" s="2">
        <v>0.9</v>
      </c>
      <c r="D13" s="24"/>
      <c r="E13" s="9">
        <f>gamma_gas_*1.22</f>
        <v>1.0980000000000001</v>
      </c>
      <c r="F13" s="11" t="s">
        <v>22</v>
      </c>
    </row>
    <row r="14" spans="1:12" ht="18.75" x14ac:dyDescent="0.35">
      <c r="B14" s="7" t="s">
        <v>16</v>
      </c>
      <c r="C14" s="2">
        <v>80</v>
      </c>
      <c r="D14" s="6" t="s">
        <v>25</v>
      </c>
      <c r="E14" s="10">
        <f>Rsb_/gamma_oil_</f>
        <v>93.023255813953483</v>
      </c>
      <c r="F14" s="11" t="s">
        <v>23</v>
      </c>
    </row>
    <row r="15" spans="1:12" ht="18.75" x14ac:dyDescent="0.35">
      <c r="B15" s="7" t="s">
        <v>17</v>
      </c>
      <c r="C15" s="2">
        <v>200</v>
      </c>
      <c r="D15" s="6" t="s">
        <v>25</v>
      </c>
      <c r="E15" s="10">
        <f>Rsb_/gamma_oil_</f>
        <v>93.023255813953483</v>
      </c>
      <c r="F15" s="11" t="s">
        <v>23</v>
      </c>
    </row>
    <row r="16" spans="1:12" ht="18" x14ac:dyDescent="0.35">
      <c r="B16" s="6" t="s">
        <v>18</v>
      </c>
      <c r="C16" s="2">
        <v>100</v>
      </c>
      <c r="D16" s="24" t="s">
        <v>5</v>
      </c>
      <c r="E16" s="10">
        <f>Pb_*1.01325</f>
        <v>101.325</v>
      </c>
      <c r="F16" s="12" t="s">
        <v>6</v>
      </c>
    </row>
    <row r="17" spans="1:52" ht="18" x14ac:dyDescent="0.35">
      <c r="B17" s="6" t="s">
        <v>19</v>
      </c>
      <c r="C17" s="2">
        <v>100</v>
      </c>
      <c r="D17" s="24" t="s">
        <v>2</v>
      </c>
      <c r="E17" s="10">
        <f>Tres_*9/5+32</f>
        <v>212</v>
      </c>
      <c r="F17" s="12" t="s">
        <v>7</v>
      </c>
    </row>
    <row r="18" spans="1:52" ht="18" x14ac:dyDescent="0.35">
      <c r="B18" s="7" t="s">
        <v>20</v>
      </c>
      <c r="C18" s="2">
        <v>1.2</v>
      </c>
      <c r="D18" s="23" t="s">
        <v>1</v>
      </c>
    </row>
    <row r="19" spans="1:52" ht="18" x14ac:dyDescent="0.35">
      <c r="B19" s="8" t="s">
        <v>21</v>
      </c>
      <c r="C19" s="2">
        <v>1</v>
      </c>
      <c r="D19" s="24" t="s">
        <v>4</v>
      </c>
    </row>
    <row r="20" spans="1:52" ht="18.75" x14ac:dyDescent="0.35">
      <c r="B20" s="6" t="s">
        <v>14</v>
      </c>
      <c r="C20" s="2">
        <v>1.2</v>
      </c>
      <c r="D20" s="24"/>
      <c r="E20" s="9">
        <f>gamma_wat_kf_*1000</f>
        <v>1200</v>
      </c>
      <c r="F20" s="11" t="s">
        <v>22</v>
      </c>
    </row>
    <row r="21" spans="1:52" x14ac:dyDescent="0.2">
      <c r="A21" s="1" t="s">
        <v>8</v>
      </c>
      <c r="C21" s="4"/>
    </row>
    <row r="22" spans="1:52" ht="15.75" x14ac:dyDescent="0.3">
      <c r="B22" s="8" t="s">
        <v>24</v>
      </c>
      <c r="C22" s="2">
        <v>70</v>
      </c>
      <c r="D22" s="24" t="s">
        <v>3</v>
      </c>
    </row>
    <row r="23" spans="1:52" ht="15" x14ac:dyDescent="0.25">
      <c r="B23" s="8" t="s">
        <v>26</v>
      </c>
      <c r="C23" s="2">
        <v>80</v>
      </c>
      <c r="D23" s="24" t="s">
        <v>2</v>
      </c>
      <c r="AZ23" s="22" t="s">
        <v>42</v>
      </c>
    </row>
    <row r="24" spans="1:52" x14ac:dyDescent="0.2">
      <c r="A24" s="1" t="s">
        <v>9</v>
      </c>
      <c r="C24" s="3"/>
      <c r="D24" s="3"/>
    </row>
    <row r="25" spans="1:52" ht="15.75" x14ac:dyDescent="0.3">
      <c r="B25" s="8" t="s">
        <v>27</v>
      </c>
      <c r="C25" s="2">
        <v>70</v>
      </c>
      <c r="D25" s="24" t="s">
        <v>10</v>
      </c>
    </row>
    <row r="32" spans="1:52" x14ac:dyDescent="0.2">
      <c r="A32" t="s">
        <v>51</v>
      </c>
      <c r="B32" t="s">
        <v>52</v>
      </c>
    </row>
    <row r="34" spans="1:8" x14ac:dyDescent="0.2">
      <c r="A34" t="s">
        <v>26</v>
      </c>
      <c r="B34" t="s">
        <v>44</v>
      </c>
      <c r="C34" t="s">
        <v>45</v>
      </c>
      <c r="D34" t="s">
        <v>46</v>
      </c>
      <c r="E34" t="s">
        <v>47</v>
      </c>
      <c r="F34" t="s">
        <v>48</v>
      </c>
      <c r="G34" t="s">
        <v>49</v>
      </c>
      <c r="H34" t="s">
        <v>50</v>
      </c>
    </row>
    <row r="35" spans="1:8" x14ac:dyDescent="0.2">
      <c r="A35">
        <v>1</v>
      </c>
      <c r="B35">
        <v>60</v>
      </c>
      <c r="C35">
        <v>20</v>
      </c>
      <c r="D35">
        <v>100</v>
      </c>
      <c r="E35" s="26">
        <v>27.281982421875</v>
      </c>
      <c r="F35" s="26">
        <v>24</v>
      </c>
      <c r="G35">
        <v>30</v>
      </c>
      <c r="H35">
        <v>9</v>
      </c>
    </row>
    <row r="36" spans="1:8" x14ac:dyDescent="0.2">
      <c r="A36">
        <v>2</v>
      </c>
      <c r="E36" s="26">
        <v>28.012078857421876</v>
      </c>
      <c r="F36" s="26">
        <v>24.6</v>
      </c>
      <c r="G36">
        <v>30</v>
      </c>
      <c r="H36">
        <v>9</v>
      </c>
    </row>
    <row r="37" spans="1:8" x14ac:dyDescent="0.2">
      <c r="A37">
        <v>3</v>
      </c>
      <c r="E37" s="26">
        <v>27.252138977050791</v>
      </c>
      <c r="F37" s="26">
        <v>23.67</v>
      </c>
      <c r="G37">
        <v>30</v>
      </c>
      <c r="H37">
        <v>9</v>
      </c>
    </row>
    <row r="38" spans="1:8" x14ac:dyDescent="0.2">
      <c r="A38">
        <v>4</v>
      </c>
      <c r="E38" s="26">
        <v>28.914266052246091</v>
      </c>
      <c r="F38" s="26">
        <v>25.41</v>
      </c>
      <c r="G38">
        <v>30</v>
      </c>
      <c r="H38">
        <v>9</v>
      </c>
    </row>
    <row r="39" spans="1:8" x14ac:dyDescent="0.2">
      <c r="A39">
        <v>5</v>
      </c>
      <c r="E39" s="26">
        <v>27.48889495849609</v>
      </c>
      <c r="F39" s="26">
        <v>23.81</v>
      </c>
      <c r="G39">
        <v>30</v>
      </c>
      <c r="H39">
        <v>9</v>
      </c>
    </row>
    <row r="40" spans="1:8" x14ac:dyDescent="0.2">
      <c r="A40">
        <v>6</v>
      </c>
      <c r="E40" s="26">
        <v>26.167024841308596</v>
      </c>
      <c r="F40" s="26">
        <v>21.93</v>
      </c>
      <c r="G40">
        <v>30</v>
      </c>
      <c r="H40">
        <v>9</v>
      </c>
    </row>
    <row r="41" spans="1:8" x14ac:dyDescent="0.2">
      <c r="A41">
        <v>7</v>
      </c>
      <c r="E41" s="26">
        <v>27.278143615722655</v>
      </c>
      <c r="F41" s="26">
        <v>23.669999999999998</v>
      </c>
      <c r="G41">
        <v>30</v>
      </c>
      <c r="H41">
        <v>9</v>
      </c>
    </row>
    <row r="42" spans="1:8" x14ac:dyDescent="0.2">
      <c r="A42">
        <v>8</v>
      </c>
      <c r="E42" s="26">
        <v>25.703489685058596</v>
      </c>
      <c r="F42" s="26">
        <v>21.849999999999998</v>
      </c>
      <c r="G42">
        <v>30</v>
      </c>
      <c r="H42">
        <v>9</v>
      </c>
    </row>
    <row r="43" spans="1:8" x14ac:dyDescent="0.2">
      <c r="A43">
        <v>9</v>
      </c>
      <c r="E43" s="26">
        <v>26.922532348632817</v>
      </c>
      <c r="F43" s="26">
        <v>23.38</v>
      </c>
      <c r="G43">
        <v>30</v>
      </c>
      <c r="H43">
        <v>9</v>
      </c>
    </row>
    <row r="44" spans="1:8" x14ac:dyDescent="0.2">
      <c r="A44">
        <v>10</v>
      </c>
      <c r="E44" s="26">
        <v>26.752088012695314</v>
      </c>
      <c r="F44" s="26">
        <v>22.86</v>
      </c>
      <c r="G44">
        <v>30</v>
      </c>
      <c r="H44">
        <v>9</v>
      </c>
    </row>
    <row r="45" spans="1:8" x14ac:dyDescent="0.2">
      <c r="A45">
        <v>11</v>
      </c>
      <c r="E45" s="26">
        <v>27.300837707519527</v>
      </c>
      <c r="F45" s="26">
        <v>23.55</v>
      </c>
      <c r="G45">
        <v>30</v>
      </c>
      <c r="H45">
        <v>9</v>
      </c>
    </row>
    <row r="46" spans="1:8" x14ac:dyDescent="0.2">
      <c r="A46">
        <v>12</v>
      </c>
      <c r="E46" s="26">
        <v>27.087727050781247</v>
      </c>
      <c r="F46" s="26">
        <v>22.96</v>
      </c>
      <c r="G46">
        <v>30</v>
      </c>
      <c r="H46">
        <v>9</v>
      </c>
    </row>
    <row r="47" spans="1:8" x14ac:dyDescent="0.2">
      <c r="A47">
        <v>13</v>
      </c>
      <c r="E47" s="26">
        <v>24.068849182128908</v>
      </c>
      <c r="F47" s="26">
        <v>21.29</v>
      </c>
      <c r="G47">
        <v>30</v>
      </c>
      <c r="H47">
        <v>10</v>
      </c>
    </row>
    <row r="48" spans="1:8" x14ac:dyDescent="0.2">
      <c r="A48">
        <v>14</v>
      </c>
      <c r="E48" s="26">
        <v>25.780899353027337</v>
      </c>
      <c r="F48" s="26">
        <v>23.189999999999998</v>
      </c>
      <c r="G48">
        <v>30</v>
      </c>
      <c r="H48">
        <v>10</v>
      </c>
    </row>
    <row r="49" spans="1:8" x14ac:dyDescent="0.2">
      <c r="A49">
        <v>15</v>
      </c>
      <c r="E49" s="26">
        <v>23.823897171020505</v>
      </c>
      <c r="F49" s="26">
        <v>22.95</v>
      </c>
      <c r="G49">
        <v>30</v>
      </c>
      <c r="H49">
        <v>10</v>
      </c>
    </row>
    <row r="50" spans="1:8" x14ac:dyDescent="0.2">
      <c r="A50">
        <v>16</v>
      </c>
      <c r="E50" s="26">
        <v>23.760974578857425</v>
      </c>
      <c r="F50" s="26">
        <v>22.93</v>
      </c>
      <c r="G50">
        <v>30</v>
      </c>
      <c r="H50">
        <v>10</v>
      </c>
    </row>
    <row r="51" spans="1:8" x14ac:dyDescent="0.2">
      <c r="A51">
        <v>17</v>
      </c>
      <c r="E51" s="26">
        <v>24.683289642333985</v>
      </c>
      <c r="F51" s="26">
        <v>23.93</v>
      </c>
      <c r="G51">
        <v>30</v>
      </c>
      <c r="H51">
        <v>10</v>
      </c>
    </row>
    <row r="52" spans="1:8" x14ac:dyDescent="0.2">
      <c r="A52">
        <v>18</v>
      </c>
      <c r="E52" s="26">
        <v>26.688471679687495</v>
      </c>
      <c r="F52" s="26">
        <v>25.919999999999998</v>
      </c>
      <c r="G52">
        <v>30</v>
      </c>
      <c r="H52">
        <v>10</v>
      </c>
    </row>
    <row r="53" spans="1:8" x14ac:dyDescent="0.2">
      <c r="A53">
        <v>19</v>
      </c>
      <c r="E53" s="26">
        <v>27.434421539306641</v>
      </c>
      <c r="F53" s="26">
        <v>26.65</v>
      </c>
      <c r="G53">
        <v>30</v>
      </c>
      <c r="H53">
        <v>10</v>
      </c>
    </row>
    <row r="54" spans="1:8" x14ac:dyDescent="0.2">
      <c r="A54">
        <v>20</v>
      </c>
      <c r="E54" s="26">
        <v>26.193823242187502</v>
      </c>
      <c r="F54" s="26">
        <v>25.279999999999998</v>
      </c>
      <c r="G54">
        <v>30</v>
      </c>
      <c r="H54">
        <v>10</v>
      </c>
    </row>
    <row r="55" spans="1:8" x14ac:dyDescent="0.2">
      <c r="A55">
        <v>21</v>
      </c>
      <c r="E55" s="26">
        <v>26.337895202636712</v>
      </c>
      <c r="F55" s="26">
        <v>23.589999999999996</v>
      </c>
      <c r="G55">
        <v>30</v>
      </c>
      <c r="H55">
        <v>8</v>
      </c>
    </row>
    <row r="56" spans="1:8" x14ac:dyDescent="0.2">
      <c r="A56">
        <v>22</v>
      </c>
      <c r="E56" s="26">
        <v>29.517739562988275</v>
      </c>
      <c r="F56" s="26">
        <v>22.909999999999997</v>
      </c>
      <c r="G56">
        <v>30</v>
      </c>
      <c r="H56">
        <v>8</v>
      </c>
    </row>
    <row r="57" spans="1:8" x14ac:dyDescent="0.2">
      <c r="A57">
        <v>23</v>
      </c>
      <c r="E57" s="26">
        <v>28.760245971679687</v>
      </c>
      <c r="F57" s="26">
        <v>21.419999999999998</v>
      </c>
      <c r="G57">
        <v>30</v>
      </c>
      <c r="H57">
        <v>8</v>
      </c>
    </row>
    <row r="58" spans="1:8" x14ac:dyDescent="0.2">
      <c r="A58">
        <v>24</v>
      </c>
      <c r="E58" s="26">
        <v>28.227117919921874</v>
      </c>
      <c r="F58" s="26">
        <v>20.04</v>
      </c>
      <c r="G58">
        <v>30</v>
      </c>
      <c r="H58">
        <v>8</v>
      </c>
    </row>
    <row r="59" spans="1:8" x14ac:dyDescent="0.2">
      <c r="A59">
        <v>25</v>
      </c>
      <c r="E59" s="26">
        <v>27.982594299316411</v>
      </c>
      <c r="F59" s="26">
        <v>19.05</v>
      </c>
      <c r="G59">
        <v>30</v>
      </c>
      <c r="H59">
        <v>8</v>
      </c>
    </row>
    <row r="60" spans="1:8" x14ac:dyDescent="0.2">
      <c r="A60">
        <v>26</v>
      </c>
      <c r="E60" s="26">
        <v>27.893472290039057</v>
      </c>
      <c r="F60" s="26">
        <v>17.98</v>
      </c>
      <c r="G60">
        <v>30</v>
      </c>
      <c r="H60">
        <v>8</v>
      </c>
    </row>
    <row r="61" spans="1:8" x14ac:dyDescent="0.2">
      <c r="A61">
        <v>27</v>
      </c>
      <c r="E61" s="26">
        <v>27.930679321289063</v>
      </c>
      <c r="F61" s="26">
        <v>17.5</v>
      </c>
      <c r="G61">
        <v>30</v>
      </c>
      <c r="H61">
        <v>8</v>
      </c>
    </row>
    <row r="67" spans="1:8" x14ac:dyDescent="0.2">
      <c r="A67" t="s">
        <v>53</v>
      </c>
      <c r="B67" t="s">
        <v>52</v>
      </c>
    </row>
    <row r="69" spans="1:8" x14ac:dyDescent="0.2">
      <c r="A69" t="s">
        <v>26</v>
      </c>
      <c r="B69" t="s">
        <v>44</v>
      </c>
      <c r="C69" t="s">
        <v>45</v>
      </c>
      <c r="D69" t="s">
        <v>46</v>
      </c>
      <c r="E69" t="s">
        <v>47</v>
      </c>
      <c r="F69" t="s">
        <v>48</v>
      </c>
      <c r="G69" t="s">
        <v>49</v>
      </c>
      <c r="H69" t="s">
        <v>50</v>
      </c>
    </row>
    <row r="70" spans="1:8" x14ac:dyDescent="0.2">
      <c r="A70">
        <v>1</v>
      </c>
      <c r="B70">
        <v>60</v>
      </c>
      <c r="C70">
        <v>20</v>
      </c>
      <c r="D70">
        <v>100</v>
      </c>
      <c r="E70" s="25">
        <v>27.281982421875</v>
      </c>
      <c r="F70" s="25">
        <v>24</v>
      </c>
      <c r="G70" s="27">
        <v>30</v>
      </c>
      <c r="H70">
        <v>9</v>
      </c>
    </row>
    <row r="71" spans="1:8" x14ac:dyDescent="0.2">
      <c r="A71">
        <v>2</v>
      </c>
      <c r="E71" s="25">
        <v>28.521708374023429</v>
      </c>
      <c r="F71" s="25">
        <v>25.24</v>
      </c>
      <c r="G71" s="27">
        <v>29.95</v>
      </c>
      <c r="H71">
        <v>9</v>
      </c>
    </row>
    <row r="72" spans="1:8" x14ac:dyDescent="0.2">
      <c r="A72">
        <v>3</v>
      </c>
      <c r="E72" s="25">
        <v>29.774778442382814</v>
      </c>
      <c r="F72" s="25">
        <v>26.34</v>
      </c>
      <c r="G72" s="27">
        <v>29.9</v>
      </c>
      <c r="H72">
        <v>9</v>
      </c>
    </row>
    <row r="73" spans="1:8" x14ac:dyDescent="0.2">
      <c r="A73">
        <v>4</v>
      </c>
      <c r="E73" s="25">
        <v>31.215078125000002</v>
      </c>
      <c r="F73" s="25">
        <v>28.16</v>
      </c>
      <c r="G73" s="27">
        <v>29.849999999999998</v>
      </c>
      <c r="H73">
        <v>9</v>
      </c>
    </row>
    <row r="74" spans="1:8" x14ac:dyDescent="0.2">
      <c r="A74">
        <v>5</v>
      </c>
      <c r="E74" s="25">
        <v>31.816883087158203</v>
      </c>
      <c r="F74" s="25">
        <v>28.75</v>
      </c>
      <c r="G74" s="27">
        <v>29.799999999999997</v>
      </c>
      <c r="H74">
        <v>9</v>
      </c>
    </row>
    <row r="75" spans="1:8" x14ac:dyDescent="0.2">
      <c r="A75">
        <v>6</v>
      </c>
      <c r="E75" s="25">
        <v>31.16772186279297</v>
      </c>
      <c r="F75" s="25">
        <v>27.89</v>
      </c>
      <c r="G75" s="27">
        <v>29.749999999999996</v>
      </c>
      <c r="H75">
        <v>9</v>
      </c>
    </row>
    <row r="76" spans="1:8" x14ac:dyDescent="0.2">
      <c r="A76">
        <v>7</v>
      </c>
      <c r="E76" s="25">
        <v>32.090444946289068</v>
      </c>
      <c r="F76" s="25">
        <v>29.02</v>
      </c>
      <c r="G76" s="27">
        <v>29.699999999999996</v>
      </c>
      <c r="H76">
        <v>9</v>
      </c>
    </row>
    <row r="77" spans="1:8" x14ac:dyDescent="0.2">
      <c r="A77">
        <v>8</v>
      </c>
      <c r="E77" s="25">
        <v>31.566052246093751</v>
      </c>
      <c r="F77" s="25">
        <v>28.4</v>
      </c>
      <c r="G77" s="27">
        <v>29.649999999999995</v>
      </c>
      <c r="H77">
        <v>9</v>
      </c>
    </row>
    <row r="78" spans="1:8" x14ac:dyDescent="0.2">
      <c r="A78">
        <v>9</v>
      </c>
      <c r="E78" s="25">
        <v>32.578604431152343</v>
      </c>
      <c r="F78" s="25">
        <v>29.18</v>
      </c>
      <c r="G78" s="27">
        <v>29.599999999999994</v>
      </c>
      <c r="H78">
        <v>9</v>
      </c>
    </row>
    <row r="79" spans="1:8" x14ac:dyDescent="0.2">
      <c r="A79">
        <v>10</v>
      </c>
      <c r="E79" s="25">
        <v>32.61595550537109</v>
      </c>
      <c r="F79" s="25">
        <v>29.169999999999998</v>
      </c>
      <c r="G79" s="27">
        <v>29.549999999999994</v>
      </c>
      <c r="H79">
        <v>9</v>
      </c>
    </row>
    <row r="80" spans="1:8" x14ac:dyDescent="0.2">
      <c r="A80">
        <v>11</v>
      </c>
      <c r="E80" s="25">
        <v>32.373882751464848</v>
      </c>
      <c r="F80" s="25">
        <v>28.63</v>
      </c>
      <c r="G80" s="27">
        <v>29.499999999999993</v>
      </c>
      <c r="H80">
        <v>9</v>
      </c>
    </row>
    <row r="81" spans="1:8" x14ac:dyDescent="0.2">
      <c r="A81">
        <v>12</v>
      </c>
      <c r="E81" s="25">
        <v>31.64592376708984</v>
      </c>
      <c r="F81" s="25">
        <v>27.83</v>
      </c>
      <c r="G81" s="27">
        <v>29.449999999999992</v>
      </c>
      <c r="H81">
        <v>9</v>
      </c>
    </row>
    <row r="82" spans="1:8" x14ac:dyDescent="0.2">
      <c r="A82">
        <v>13</v>
      </c>
      <c r="E82" s="25">
        <v>31.119942169189457</v>
      </c>
      <c r="F82" s="25">
        <v>28.77</v>
      </c>
      <c r="G82" s="27">
        <v>29.399999999999991</v>
      </c>
      <c r="H82">
        <v>10</v>
      </c>
    </row>
    <row r="83" spans="1:8" x14ac:dyDescent="0.2">
      <c r="A83">
        <v>14</v>
      </c>
      <c r="E83" s="25">
        <v>30.839758300781249</v>
      </c>
      <c r="F83" s="25">
        <v>28.4</v>
      </c>
      <c r="G83" s="27">
        <v>29.349999999999991</v>
      </c>
      <c r="H83">
        <v>10</v>
      </c>
    </row>
    <row r="84" spans="1:8" x14ac:dyDescent="0.2">
      <c r="A84">
        <v>15</v>
      </c>
      <c r="E84" s="25">
        <v>29.283664398193356</v>
      </c>
      <c r="F84" s="25">
        <v>28.47</v>
      </c>
      <c r="G84" s="27">
        <v>29.29999999999999</v>
      </c>
      <c r="H84">
        <v>10</v>
      </c>
    </row>
    <row r="85" spans="1:8" x14ac:dyDescent="0.2">
      <c r="A85">
        <v>16</v>
      </c>
      <c r="E85" s="25">
        <v>29.924565124511716</v>
      </c>
      <c r="F85" s="25">
        <v>29.099999999999998</v>
      </c>
      <c r="G85" s="27">
        <v>29.249999999999989</v>
      </c>
      <c r="H85">
        <v>10</v>
      </c>
    </row>
    <row r="86" spans="1:8" x14ac:dyDescent="0.2">
      <c r="A86">
        <v>17</v>
      </c>
      <c r="E86" s="25">
        <v>30.63455909729004</v>
      </c>
      <c r="F86" s="25">
        <v>29.889999999999997</v>
      </c>
      <c r="G86" s="27">
        <v>29.199999999999989</v>
      </c>
      <c r="H86">
        <v>10</v>
      </c>
    </row>
    <row r="87" spans="1:8" x14ac:dyDescent="0.2">
      <c r="A87">
        <v>18</v>
      </c>
      <c r="E87" s="25">
        <v>32.484869079589835</v>
      </c>
      <c r="F87" s="25">
        <v>31.759999999999998</v>
      </c>
      <c r="G87" s="27">
        <v>29.149999999999988</v>
      </c>
      <c r="H87">
        <v>10</v>
      </c>
    </row>
    <row r="88" spans="1:8" x14ac:dyDescent="0.2">
      <c r="A88">
        <v>19</v>
      </c>
      <c r="E88" s="25">
        <v>31.224990386962887</v>
      </c>
      <c r="F88" s="25">
        <v>30.369999999999997</v>
      </c>
      <c r="G88" s="27">
        <v>29.099999999999987</v>
      </c>
      <c r="H88">
        <v>10</v>
      </c>
    </row>
    <row r="89" spans="1:8" x14ac:dyDescent="0.2">
      <c r="A89">
        <v>20</v>
      </c>
      <c r="E89" s="25">
        <v>30.098744964599611</v>
      </c>
      <c r="F89" s="25">
        <v>29.15</v>
      </c>
      <c r="G89" s="27">
        <v>29.049999999999986</v>
      </c>
      <c r="H89">
        <v>10</v>
      </c>
    </row>
    <row r="90" spans="1:8" x14ac:dyDescent="0.2">
      <c r="A90">
        <v>21</v>
      </c>
      <c r="B90">
        <v>34</v>
      </c>
      <c r="C90">
        <v>40</v>
      </c>
      <c r="D90">
        <v>200</v>
      </c>
      <c r="E90" s="25">
        <v>30.160914916992184</v>
      </c>
      <c r="F90" s="25">
        <v>27.459999999999997</v>
      </c>
      <c r="G90" s="27">
        <v>28.999999999999986</v>
      </c>
      <c r="H90">
        <v>8</v>
      </c>
    </row>
    <row r="91" spans="1:8" x14ac:dyDescent="0.2">
      <c r="A91">
        <v>22</v>
      </c>
      <c r="E91" s="25">
        <v>28.767813720703124</v>
      </c>
      <c r="F91" s="25">
        <v>25.72</v>
      </c>
      <c r="G91" s="27">
        <v>28.949999999999985</v>
      </c>
      <c r="H91">
        <v>8</v>
      </c>
    </row>
    <row r="92" spans="1:8" x14ac:dyDescent="0.2">
      <c r="A92">
        <v>23</v>
      </c>
      <c r="E92" s="25">
        <v>29.572569274902342</v>
      </c>
      <c r="F92" s="25">
        <v>26.049999999999997</v>
      </c>
      <c r="G92" s="27">
        <v>28.899999999999984</v>
      </c>
      <c r="H92">
        <v>8</v>
      </c>
    </row>
    <row r="93" spans="1:8" x14ac:dyDescent="0.2">
      <c r="A93">
        <v>24</v>
      </c>
      <c r="E93" s="25">
        <v>30.738212280273437</v>
      </c>
      <c r="F93" s="25">
        <v>27.259999999999998</v>
      </c>
      <c r="G93" s="27">
        <v>28.849999999999984</v>
      </c>
      <c r="H93">
        <v>8</v>
      </c>
    </row>
    <row r="94" spans="1:8" x14ac:dyDescent="0.2">
      <c r="A94">
        <v>25</v>
      </c>
      <c r="E94" s="25">
        <v>30.877209777832029</v>
      </c>
      <c r="F94" s="25">
        <v>27.089999999999996</v>
      </c>
      <c r="G94" s="27">
        <v>28.799999999999983</v>
      </c>
      <c r="H94">
        <v>8</v>
      </c>
    </row>
    <row r="95" spans="1:8" x14ac:dyDescent="0.2">
      <c r="A95">
        <v>26</v>
      </c>
      <c r="E95" s="25">
        <v>31.676520080566402</v>
      </c>
      <c r="F95" s="25">
        <v>27.629999999999995</v>
      </c>
      <c r="G95" s="27">
        <v>28.749999999999982</v>
      </c>
      <c r="H95">
        <v>8</v>
      </c>
    </row>
    <row r="96" spans="1:8" x14ac:dyDescent="0.2">
      <c r="A96">
        <v>27</v>
      </c>
      <c r="E96" s="25">
        <v>32.742059326171862</v>
      </c>
      <c r="F96" s="25">
        <v>28.759999999999994</v>
      </c>
      <c r="G96" s="27">
        <v>28.699999999999982</v>
      </c>
      <c r="H96">
        <v>8</v>
      </c>
    </row>
  </sheetData>
  <mergeCells count="4">
    <mergeCell ref="B3:E3"/>
    <mergeCell ref="B4:E4"/>
    <mergeCell ref="B5:E5"/>
    <mergeCell ref="B6:E8"/>
  </mergeCells>
  <hyperlinks>
    <hyperlink ref="AZ23" r:id="rId1" xr:uid="{D2423A2D-93CC-4B68-984B-ACB7C26634BD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21</vt:i4>
      </vt:variant>
    </vt:vector>
  </HeadingPairs>
  <TitlesOfParts>
    <vt:vector size="22" baseType="lpstr">
      <vt:lpstr>exercise_VFM_choke</vt:lpstr>
      <vt:lpstr>exercise_VFM_choke!Bob_</vt:lpstr>
      <vt:lpstr>exercise_VFM_choke!d_pipe</vt:lpstr>
      <vt:lpstr>exercise_VFM_choke!fw_</vt:lpstr>
      <vt:lpstr>exercise_VFM_choke!gamma_gas_</vt:lpstr>
      <vt:lpstr>exercise_VFM_choke!gamma_oil_</vt:lpstr>
      <vt:lpstr>exercise_VFM_choke!gamma_wat_</vt:lpstr>
      <vt:lpstr>exercise_VFM_choke!gamma_wat_kf_</vt:lpstr>
      <vt:lpstr>exercise_VFM_choke!input_0</vt:lpstr>
      <vt:lpstr>exercise_VFM_choke!input_Course</vt:lpstr>
      <vt:lpstr>exercise_VFM_choke!input_Date</vt:lpstr>
      <vt:lpstr>exercise_VFM_choke!input_Group</vt:lpstr>
      <vt:lpstr>exercise_VFM_choke!input_Notes</vt:lpstr>
      <vt:lpstr>exercise_VFM_choke!input_Student_Name</vt:lpstr>
      <vt:lpstr>exercise_VFM_choke!input_Version</vt:lpstr>
      <vt:lpstr>exercise_VFM_choke!muob_</vt:lpstr>
      <vt:lpstr>exercise_VFM_choke!Pb_</vt:lpstr>
      <vt:lpstr>exercise_VFM_choke!Rp_</vt:lpstr>
      <vt:lpstr>exercise_VFM_choke!Rsb_</vt:lpstr>
      <vt:lpstr>exercise_VFM_choke!T_choke</vt:lpstr>
      <vt:lpstr>exercise_VFM_choke!T_upchoke</vt:lpstr>
      <vt:lpstr>exercise_VFM_choke!Tres_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2020-10-20T16:28:21Z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