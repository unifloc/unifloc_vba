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charts/chart5.xml" ContentType="application/vnd.openxmlformats-officedocument.drawingml.chart+xml"/>
  <Override PartName="/xl/theme/themeOverride4.xml" ContentType="application/vnd.openxmlformats-officedocument.themeOverrid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theme/themeOverride5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DE752B79-1B61-42DB-B444-C17EC6D48028}" xr6:coauthVersionLast="47" xr6:coauthVersionMax="47" xr10:uidLastSave="{00000000-0000-0000-0000-000000000000}"/>
  <bookViews>
    <workbookView xWindow="-38520" yWindow="-1500" windowWidth="38640" windowHeight="21240" tabRatio="591" xr2:uid="{00000000-000D-0000-FFFF-FFFF00000000}"/>
  </bookViews>
  <sheets>
    <sheet name="exercise_PVT" sheetId="113" r:id="rId1"/>
  </sheets>
  <externalReferences>
    <externalReference r:id="rId2"/>
  </externalReferences>
  <definedNames>
    <definedName name="Bob_" localSheetId="0">exercise_PVT!$C$17</definedName>
    <definedName name="correlation">exercise_PVT!$C$19</definedName>
    <definedName name="Course" localSheetId="0">exercise_PVT!$B$3</definedName>
    <definedName name="gamma_gas_" localSheetId="0">exercise_PVT!$C$13</definedName>
    <definedName name="gamma_oil_" localSheetId="0">exercise_PVT!$C$11</definedName>
    <definedName name="gamma_wat_" localSheetId="0">exercise_PVT!$C$12</definedName>
    <definedName name="Group" localSheetId="0">exercise_PVT!$B$4</definedName>
    <definedName name="input_0" localSheetId="0">exercise_PVT!$C$11:$C$18</definedName>
    <definedName name="input_1" localSheetId="0">exercise_PVT!$B$27:$C$52</definedName>
    <definedName name="input_Course" localSheetId="0">exercise_PVT!$I$3</definedName>
    <definedName name="input_Date" localSheetId="0">exercise_PVT!$I$1</definedName>
    <definedName name="input_Group" localSheetId="0">exercise_PVT!$I$4</definedName>
    <definedName name="input_Notes" localSheetId="0">exercise_PVT!$I$6</definedName>
    <definedName name="input_Student_Name" localSheetId="0">exercise_PVT!$I$5</definedName>
    <definedName name="input_Version" localSheetId="0">exercise_PVT!$I$2</definedName>
    <definedName name="muob_" localSheetId="0">exercise_PVT!$C$18</definedName>
    <definedName name="Notes" localSheetId="0">exercise_PVT!$B$6</definedName>
    <definedName name="output_0" localSheetId="0">exercise_PVT!$D$27:$O$52</definedName>
    <definedName name="Pb_" localSheetId="0">exercise_PVT!$C$15</definedName>
    <definedName name="Rsb_" localSheetId="0">exercise_PVT!$C$14</definedName>
    <definedName name="Student_Name" localSheetId="0">exercise_PVT!$B$5</definedName>
    <definedName name="Tres_" localSheetId="0">exercise_PVT!$C$16</definedName>
    <definedName name="unf_version" localSheetId="0">exercise_PVT!$G$1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113" l="1"/>
  <c r="E15" i="113"/>
  <c r="E14" i="113"/>
  <c r="E13" i="113"/>
  <c r="E12" i="113"/>
  <c r="E11" i="113"/>
  <c r="B44" i="113" a="1"/>
  <c r="F52" i="113"/>
  <c r="H52" i="113"/>
  <c r="J27" i="113"/>
  <c r="N27" i="113"/>
  <c r="U52" i="113"/>
  <c r="T52" i="113"/>
  <c r="K52" i="113"/>
  <c r="U27" i="113"/>
  <c r="I27" i="113"/>
  <c r="H27" i="113"/>
  <c r="Q27" i="113"/>
  <c r="N52" i="113"/>
  <c r="T27" i="113"/>
  <c r="G27" i="113"/>
  <c r="S52" i="113"/>
  <c r="L52" i="113"/>
  <c r="S27" i="113"/>
  <c r="E27" i="113"/>
  <c r="M52" i="113"/>
  <c r="R27" i="113"/>
  <c r="F27" i="113"/>
  <c r="R52" i="113"/>
  <c r="O52" i="113"/>
  <c r="P27" i="113"/>
  <c r="D27" i="113"/>
  <c r="G52" i="113"/>
  <c r="O27" i="113"/>
  <c r="G1" i="113"/>
  <c r="I52" i="113"/>
  <c r="Q52" i="113"/>
  <c r="M27" i="113"/>
  <c r="P52" i="113"/>
  <c r="D52" i="113"/>
  <c r="L27" i="113"/>
  <c r="K27" i="113"/>
  <c r="E52" i="113"/>
  <c r="J52" i="113"/>
  <c r="B44" i="113" l="1"/>
  <c r="N44" i="113"/>
  <c r="Q44" i="113"/>
  <c r="P44" i="113"/>
  <c r="I44" i="113"/>
  <c r="G44" i="113"/>
  <c r="O44" i="113"/>
  <c r="R44" i="113"/>
  <c r="K44" i="113"/>
  <c r="J44" i="113"/>
  <c r="D44" i="113"/>
  <c r="H44" i="113"/>
  <c r="M44" i="113"/>
  <c r="F44" i="113"/>
  <c r="U44" i="113"/>
  <c r="T44" i="113"/>
  <c r="S44" i="113"/>
  <c r="L44" i="113"/>
  <c r="E44" i="113"/>
  <c r="B45" i="113" l="1"/>
  <c r="B43" i="113"/>
  <c r="F45" i="113"/>
  <c r="M45" i="113"/>
  <c r="L45" i="113"/>
  <c r="I45" i="113"/>
  <c r="K45" i="113"/>
  <c r="S45" i="113"/>
  <c r="T45" i="113"/>
  <c r="Q45" i="113"/>
  <c r="O45" i="113"/>
  <c r="U45" i="113"/>
  <c r="E45" i="113"/>
  <c r="N45" i="113"/>
  <c r="G45" i="113"/>
  <c r="P45" i="113"/>
  <c r="J45" i="113"/>
  <c r="R45" i="113"/>
  <c r="D45" i="113"/>
  <c r="H45" i="113"/>
  <c r="P43" i="113"/>
  <c r="R43" i="113"/>
  <c r="D43" i="113"/>
  <c r="F43" i="113"/>
  <c r="H43" i="113"/>
  <c r="U43" i="113"/>
  <c r="L43" i="113"/>
  <c r="K43" i="113"/>
  <c r="M43" i="113"/>
  <c r="I43" i="113"/>
  <c r="S43" i="113"/>
  <c r="O43" i="113"/>
  <c r="G43" i="113"/>
  <c r="Q43" i="113"/>
  <c r="N43" i="113"/>
  <c r="E43" i="113"/>
  <c r="T43" i="113"/>
  <c r="J43" i="113"/>
  <c r="B28" i="113" l="1"/>
  <c r="B46" i="113"/>
  <c r="L28" i="113"/>
  <c r="S28" i="113"/>
  <c r="R28" i="113"/>
  <c r="N28" i="113"/>
  <c r="G28" i="113"/>
  <c r="F28" i="113"/>
  <c r="O28" i="113"/>
  <c r="Q28" i="113"/>
  <c r="E28" i="113"/>
  <c r="U28" i="113"/>
  <c r="M28" i="113"/>
  <c r="I28" i="113"/>
  <c r="T28" i="113"/>
  <c r="K28" i="113"/>
  <c r="H28" i="113"/>
  <c r="P28" i="113"/>
  <c r="D28" i="113"/>
  <c r="J28" i="113"/>
  <c r="S46" i="113"/>
  <c r="R46" i="113"/>
  <c r="G46" i="113"/>
  <c r="F46" i="113"/>
  <c r="O46" i="113"/>
  <c r="N46" i="113"/>
  <c r="E46" i="113"/>
  <c r="M46" i="113"/>
  <c r="U46" i="113"/>
  <c r="Q46" i="113"/>
  <c r="K46" i="113"/>
  <c r="I46" i="113"/>
  <c r="T46" i="113"/>
  <c r="H46" i="113"/>
  <c r="P46" i="113"/>
  <c r="J46" i="113"/>
  <c r="D46" i="113"/>
  <c r="L46" i="113"/>
  <c r="B47" i="113" l="1"/>
  <c r="B29" i="113"/>
  <c r="U47" i="113"/>
  <c r="I47" i="113"/>
  <c r="K47" i="113"/>
  <c r="S47" i="113"/>
  <c r="T47" i="113"/>
  <c r="G47" i="113"/>
  <c r="Q47" i="113"/>
  <c r="O47" i="113"/>
  <c r="E47" i="113"/>
  <c r="N47" i="113"/>
  <c r="P47" i="113"/>
  <c r="J47" i="113"/>
  <c r="R47" i="113"/>
  <c r="D47" i="113"/>
  <c r="F47" i="113"/>
  <c r="H47" i="113"/>
  <c r="M47" i="113"/>
  <c r="L47" i="113"/>
  <c r="M29" i="113"/>
  <c r="L29" i="113"/>
  <c r="U29" i="113"/>
  <c r="O29" i="113"/>
  <c r="T29" i="113"/>
  <c r="G29" i="113"/>
  <c r="Q29" i="113"/>
  <c r="N29" i="113"/>
  <c r="I29" i="113"/>
  <c r="E29" i="113"/>
  <c r="J29" i="113"/>
  <c r="K29" i="113"/>
  <c r="H29" i="113"/>
  <c r="P29" i="113"/>
  <c r="S29" i="113"/>
  <c r="R29" i="113"/>
  <c r="D29" i="113"/>
  <c r="F29" i="113"/>
  <c r="B30" i="113" l="1"/>
  <c r="B48" i="113"/>
  <c r="O30" i="113"/>
  <c r="N30" i="113"/>
  <c r="Q30" i="113"/>
  <c r="E30" i="113"/>
  <c r="U30" i="113"/>
  <c r="M30" i="113"/>
  <c r="I30" i="113"/>
  <c r="T30" i="113"/>
  <c r="K30" i="113"/>
  <c r="H30" i="113"/>
  <c r="P30" i="113"/>
  <c r="D30" i="113"/>
  <c r="J30" i="113"/>
  <c r="L30" i="113"/>
  <c r="S30" i="113"/>
  <c r="R30" i="113"/>
  <c r="G30" i="113"/>
  <c r="F30" i="113"/>
  <c r="Q48" i="113"/>
  <c r="E48" i="113"/>
  <c r="K48" i="113"/>
  <c r="I48" i="113"/>
  <c r="T48" i="113"/>
  <c r="H48" i="113"/>
  <c r="P48" i="113"/>
  <c r="J48" i="113"/>
  <c r="D48" i="113"/>
  <c r="M48" i="113"/>
  <c r="L48" i="113"/>
  <c r="S48" i="113"/>
  <c r="R48" i="113"/>
  <c r="U48" i="113"/>
  <c r="N48" i="113"/>
  <c r="G48" i="113"/>
  <c r="F48" i="113"/>
  <c r="O48" i="113"/>
  <c r="B49" i="113" l="1"/>
  <c r="B31" i="113"/>
  <c r="N49" i="113"/>
  <c r="S49" i="113"/>
  <c r="G49" i="113"/>
  <c r="Q49" i="113"/>
  <c r="O49" i="113"/>
  <c r="P49" i="113"/>
  <c r="J49" i="113"/>
  <c r="R49" i="113"/>
  <c r="D49" i="113"/>
  <c r="T49" i="113"/>
  <c r="F49" i="113"/>
  <c r="M49" i="113"/>
  <c r="L49" i="113"/>
  <c r="U49" i="113"/>
  <c r="I49" i="113"/>
  <c r="H49" i="113"/>
  <c r="E49" i="113"/>
  <c r="K49" i="113"/>
  <c r="K31" i="113"/>
  <c r="I31" i="113"/>
  <c r="H31" i="113"/>
  <c r="G31" i="113"/>
  <c r="Q31" i="113"/>
  <c r="N31" i="113"/>
  <c r="O31" i="113"/>
  <c r="E31" i="113"/>
  <c r="T31" i="113"/>
  <c r="J31" i="113"/>
  <c r="S31" i="113"/>
  <c r="P31" i="113"/>
  <c r="R31" i="113"/>
  <c r="D31" i="113"/>
  <c r="F31" i="113"/>
  <c r="M31" i="113"/>
  <c r="L31" i="113"/>
  <c r="U31" i="113"/>
  <c r="B32" i="113" l="1"/>
  <c r="B50" i="113"/>
  <c r="U32" i="113"/>
  <c r="M32" i="113"/>
  <c r="I32" i="113"/>
  <c r="T32" i="113"/>
  <c r="D32" i="113"/>
  <c r="P32" i="113"/>
  <c r="J32" i="113"/>
  <c r="L32" i="113"/>
  <c r="K32" i="113"/>
  <c r="S32" i="113"/>
  <c r="R32" i="113"/>
  <c r="G32" i="113"/>
  <c r="F32" i="113"/>
  <c r="N32" i="113"/>
  <c r="O32" i="113"/>
  <c r="Q32" i="113"/>
  <c r="H32" i="113"/>
  <c r="E32" i="113"/>
  <c r="D50" i="113"/>
  <c r="M50" i="113"/>
  <c r="U50" i="113"/>
  <c r="R50" i="113"/>
  <c r="K50" i="113"/>
  <c r="I50" i="113"/>
  <c r="T50" i="113"/>
  <c r="J50" i="113"/>
  <c r="H50" i="113"/>
  <c r="P50" i="113"/>
  <c r="L50" i="113"/>
  <c r="S50" i="113"/>
  <c r="G50" i="113"/>
  <c r="F50" i="113"/>
  <c r="Q50" i="113"/>
  <c r="N50" i="113"/>
  <c r="E50" i="113"/>
  <c r="O50" i="113"/>
  <c r="B51" i="113" l="1"/>
  <c r="B33" i="113"/>
  <c r="E51" i="113"/>
  <c r="N51" i="113"/>
  <c r="T51" i="113"/>
  <c r="D51" i="113"/>
  <c r="R51" i="113"/>
  <c r="J51" i="113"/>
  <c r="M51" i="113"/>
  <c r="U51" i="113"/>
  <c r="P51" i="113"/>
  <c r="I51" i="113"/>
  <c r="L51" i="113"/>
  <c r="H51" i="113"/>
  <c r="K51" i="113"/>
  <c r="F51" i="113"/>
  <c r="O51" i="113"/>
  <c r="S51" i="113"/>
  <c r="G51" i="113"/>
  <c r="Q51" i="113"/>
  <c r="O33" i="113"/>
  <c r="S33" i="113"/>
  <c r="G33" i="113"/>
  <c r="Q33" i="113"/>
  <c r="N33" i="113"/>
  <c r="E33" i="113"/>
  <c r="J33" i="113"/>
  <c r="R33" i="113"/>
  <c r="D33" i="113"/>
  <c r="F33" i="113"/>
  <c r="T33" i="113"/>
  <c r="P33" i="113"/>
  <c r="M33" i="113"/>
  <c r="L33" i="113"/>
  <c r="U33" i="113"/>
  <c r="I33" i="113"/>
  <c r="K33" i="113"/>
  <c r="H33" i="113"/>
  <c r="B34" i="113" l="1"/>
  <c r="L34" i="113"/>
  <c r="K34" i="113"/>
  <c r="H34" i="113"/>
  <c r="P34" i="113"/>
  <c r="D34" i="113"/>
  <c r="J34" i="113"/>
  <c r="S34" i="113"/>
  <c r="R34" i="113"/>
  <c r="G34" i="113"/>
  <c r="F34" i="113"/>
  <c r="N34" i="113"/>
  <c r="O34" i="113"/>
  <c r="Q34" i="113"/>
  <c r="E34" i="113"/>
  <c r="U34" i="113"/>
  <c r="M34" i="113"/>
  <c r="I34" i="113"/>
  <c r="T34" i="113"/>
  <c r="B35" i="113" l="1"/>
  <c r="P35" i="113"/>
  <c r="T35" i="113"/>
  <c r="R35" i="113"/>
  <c r="D35" i="113"/>
  <c r="F35" i="113"/>
  <c r="M35" i="113"/>
  <c r="L35" i="113"/>
  <c r="U35" i="113"/>
  <c r="K35" i="113"/>
  <c r="I35" i="113"/>
  <c r="S35" i="113"/>
  <c r="O35" i="113"/>
  <c r="G35" i="113"/>
  <c r="Q35" i="113"/>
  <c r="N35" i="113"/>
  <c r="H35" i="113"/>
  <c r="E35" i="113"/>
  <c r="J35" i="113"/>
  <c r="B36" i="113" l="1"/>
  <c r="L36" i="113"/>
  <c r="S36" i="113"/>
  <c r="R36" i="113"/>
  <c r="G36" i="113"/>
  <c r="F36" i="113"/>
  <c r="O36" i="113"/>
  <c r="N36" i="113"/>
  <c r="Q36" i="113"/>
  <c r="E36" i="113"/>
  <c r="U36" i="113"/>
  <c r="I36" i="113"/>
  <c r="T36" i="113"/>
  <c r="M36" i="113"/>
  <c r="K36" i="113"/>
  <c r="H36" i="113"/>
  <c r="P36" i="113"/>
  <c r="D36" i="113"/>
  <c r="J36" i="113"/>
  <c r="B37" i="113" l="1"/>
  <c r="H37" i="113"/>
  <c r="M37" i="113"/>
  <c r="L37" i="113"/>
  <c r="I37" i="113"/>
  <c r="U37" i="113"/>
  <c r="T37" i="113"/>
  <c r="O37" i="113"/>
  <c r="S37" i="113"/>
  <c r="G37" i="113"/>
  <c r="Q37" i="113"/>
  <c r="N37" i="113"/>
  <c r="E37" i="113"/>
  <c r="J37" i="113"/>
  <c r="P37" i="113"/>
  <c r="R37" i="113"/>
  <c r="D37" i="113"/>
  <c r="K37" i="113"/>
  <c r="F37" i="113"/>
  <c r="B38" i="113" l="1"/>
  <c r="O38" i="113"/>
  <c r="Q38" i="113"/>
  <c r="E38" i="113"/>
  <c r="U38" i="113"/>
  <c r="M38" i="113"/>
  <c r="I38" i="113"/>
  <c r="T38" i="113"/>
  <c r="K38" i="113"/>
  <c r="H38" i="113"/>
  <c r="P38" i="113"/>
  <c r="N38" i="113"/>
  <c r="D38" i="113"/>
  <c r="J38" i="113"/>
  <c r="L38" i="113"/>
  <c r="S38" i="113"/>
  <c r="R38" i="113"/>
  <c r="G38" i="113"/>
  <c r="F38" i="113"/>
  <c r="B39" i="113" l="1"/>
  <c r="I39" i="113"/>
  <c r="H39" i="113"/>
  <c r="T39" i="113"/>
  <c r="K39" i="113"/>
  <c r="O39" i="113"/>
  <c r="G39" i="113"/>
  <c r="Q39" i="113"/>
  <c r="N39" i="113"/>
  <c r="S39" i="113"/>
  <c r="E39" i="113"/>
  <c r="J39" i="113"/>
  <c r="P39" i="113"/>
  <c r="R39" i="113"/>
  <c r="D39" i="113"/>
  <c r="F39" i="113"/>
  <c r="M39" i="113"/>
  <c r="L39" i="113"/>
  <c r="U39" i="113"/>
  <c r="B40" i="113" l="1"/>
  <c r="H40" i="113"/>
  <c r="P40" i="113"/>
  <c r="U40" i="113"/>
  <c r="M40" i="113"/>
  <c r="I40" i="113"/>
  <c r="T40" i="113"/>
  <c r="D40" i="113"/>
  <c r="J40" i="113"/>
  <c r="L40" i="113"/>
  <c r="S40" i="113"/>
  <c r="R40" i="113"/>
  <c r="G40" i="113"/>
  <c r="F40" i="113"/>
  <c r="N40" i="113"/>
  <c r="K40" i="113"/>
  <c r="O40" i="113"/>
  <c r="Q40" i="113"/>
  <c r="E40" i="113"/>
  <c r="B41" i="113" l="1"/>
  <c r="S41" i="113"/>
  <c r="O41" i="113"/>
  <c r="H41" i="113"/>
  <c r="G41" i="113"/>
  <c r="Q41" i="113"/>
  <c r="N41" i="113"/>
  <c r="E41" i="113"/>
  <c r="J41" i="113"/>
  <c r="R41" i="113"/>
  <c r="D41" i="113"/>
  <c r="F41" i="113"/>
  <c r="M41" i="113"/>
  <c r="L41" i="113"/>
  <c r="P41" i="113"/>
  <c r="I41" i="113"/>
  <c r="K41" i="113"/>
  <c r="U41" i="113"/>
  <c r="T41" i="113"/>
  <c r="B42" i="113" l="1"/>
  <c r="K42" i="113"/>
  <c r="H42" i="113"/>
  <c r="P42" i="113"/>
  <c r="D42" i="113"/>
  <c r="J42" i="113"/>
  <c r="S42" i="113"/>
  <c r="R42" i="113"/>
  <c r="G42" i="113"/>
  <c r="F42" i="113"/>
  <c r="O42" i="113"/>
  <c r="Q42" i="113"/>
  <c r="E42" i="113"/>
  <c r="L42" i="113"/>
  <c r="U42" i="113"/>
  <c r="N42" i="113"/>
  <c r="M42" i="113"/>
  <c r="I42" i="113"/>
  <c r="T42" i="1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<sst xmlns="http://schemas.openxmlformats.org/spreadsheetml/2006/main" count="64" uniqueCount="54">
  <si>
    <t>P</t>
  </si>
  <si>
    <t>Физико - химические свойства флюида   PVT</t>
  </si>
  <si>
    <t>м3/м3</t>
  </si>
  <si>
    <t>С</t>
  </si>
  <si>
    <t>T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</si>
  <si>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</si>
  <si>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</si>
  <si>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</si>
  <si>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</si>
  <si>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</si>
  <si>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</si>
  <si>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</si>
  <si>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</si>
  <si>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</si>
  <si>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</si>
  <si>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</si>
  <si>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</si>
  <si>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</si>
  <si>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</si>
  <si>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</si>
  <si>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</si>
  <si>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r>
      <t>R</t>
    </r>
    <r>
      <rPr>
        <vertAlign val="subscript"/>
        <sz val="10"/>
        <rFont val="Arial Cyr"/>
        <charset val="204"/>
      </rPr>
      <t>s</t>
    </r>
  </si>
  <si>
    <r>
      <t>B</t>
    </r>
    <r>
      <rPr>
        <vertAlign val="subscript"/>
        <sz val="10"/>
        <rFont val="Arial Cyr"/>
        <charset val="204"/>
      </rPr>
      <t>o</t>
    </r>
  </si>
  <si>
    <r>
      <rPr>
        <sz val="10"/>
        <rFont val="Calibri"/>
        <family val="2"/>
        <charset val="204"/>
      </rPr>
      <t>μ</t>
    </r>
    <r>
      <rPr>
        <vertAlign val="subscript"/>
        <sz val="10"/>
        <rFont val="Arial Cyr"/>
        <charset val="204"/>
      </rPr>
      <t>o</t>
    </r>
  </si>
  <si>
    <r>
      <t>μ</t>
    </r>
    <r>
      <rPr>
        <vertAlign val="subscript"/>
        <sz val="10"/>
        <rFont val="Calibri"/>
        <family val="2"/>
        <charset val="204"/>
      </rPr>
      <t>g</t>
    </r>
  </si>
  <si>
    <r>
      <t>μ</t>
    </r>
    <r>
      <rPr>
        <vertAlign val="subscript"/>
        <sz val="10"/>
        <rFont val="Calibri"/>
        <family val="2"/>
        <charset val="204"/>
      </rPr>
      <t>w</t>
    </r>
  </si>
  <si>
    <r>
      <t>ρ</t>
    </r>
    <r>
      <rPr>
        <vertAlign val="subscript"/>
        <sz val="10"/>
        <rFont val="Arial Cyr"/>
        <charset val="204"/>
      </rPr>
      <t>g</t>
    </r>
  </si>
  <si>
    <r>
      <t>ρ</t>
    </r>
    <r>
      <rPr>
        <vertAlign val="subscript"/>
        <sz val="10"/>
        <rFont val="Arial Cyr"/>
        <charset val="204"/>
      </rPr>
      <t>w</t>
    </r>
  </si>
  <si>
    <r>
      <t>ρ</t>
    </r>
    <r>
      <rPr>
        <vertAlign val="subscript"/>
        <sz val="10"/>
        <rFont val="Arial Cyr"/>
        <charset val="204"/>
      </rPr>
      <t>o</t>
    </r>
  </si>
  <si>
    <t>версия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</si>
  <si>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</si>
  <si>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B</t>
    </r>
    <r>
      <rPr>
        <vertAlign val="subscript"/>
        <sz val="10"/>
        <rFont val="Arial Cyr"/>
      </rPr>
      <t>g</t>
    </r>
  </si>
  <si>
    <t>ST_oilgas</t>
  </si>
  <si>
    <t>ST_watgas</t>
  </si>
  <si>
    <t>Курс</t>
  </si>
  <si>
    <t>Примечание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</si>
  <si>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</si>
  <si>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</si>
  <si>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</si>
  <si>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</si>
  <si>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</si>
  <si>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</si>
  <si>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</si>
  <si>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>co</t>
  </si>
  <si>
    <t>cpo</t>
  </si>
  <si>
    <t>cpg</t>
  </si>
  <si>
    <t>cpw</t>
  </si>
  <si>
    <t>cw</t>
  </si>
  <si>
    <t>cg</t>
  </si>
  <si>
    <r>
      <t>B</t>
    </r>
    <r>
      <rPr>
        <vertAlign val="subscript"/>
        <sz val="10"/>
        <rFont val="Arial Cyr"/>
      </rPr>
      <t>w</t>
    </r>
  </si>
  <si>
    <t>Расчет свойств флюида с использованием отдельных функций</t>
  </si>
  <si>
    <t>РГУ ИРДН 2023</t>
  </si>
  <si>
    <t xml:space="preserve"> </t>
  </si>
  <si>
    <t>Номер корреляции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</si>
</sst>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00"/>
    <numFmt numFmtId="166" formatCode="0.0E+00"/>
    <numFmt numFmtId="167" formatCode="0.0"/>
  </numFmts>
  <fonts count="18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name val="Calibri"/>
      <family val="2"/>
      <charset val="204"/>
    </font>
    <font>
      <vertAlign val="subscript"/>
      <sz val="10"/>
      <name val="Arial Cyr"/>
      <charset val="204"/>
    </font>
    <font>
      <vertAlign val="subscript"/>
      <sz val="10"/>
      <name val="Calibri"/>
      <family val="2"/>
      <charset val="204"/>
    </font>
    <font>
      <sz val="10"/>
      <name val="Arial Cyr"/>
      <family val="2"/>
      <charset val="204"/>
    </font>
    <font>
      <sz val="10"/>
      <color theme="1"/>
      <name val="Arial Cyr"/>
      <charset val="204"/>
    </font>
    <font>
      <vertAlign val="subscript"/>
      <sz val="10"/>
      <name val="Arial Cy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51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center"/>
    </xf>
    <xf numFmtId="1" fontId="16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1" fontId="0" fillId="4" borderId="2" xfId="0" applyNumberFormat="1" applyFill="1" applyBorder="1" applyAlignment="1">
      <alignment horizontal="center"/>
    </xf>
    <xf numFmtId="166" fontId="0" fillId="4" borderId="2" xfId="0" applyNumberFormat="1" applyFill="1" applyBorder="1" applyAlignment="1">
      <alignment horizontal="center"/>
    </xf>
    <xf numFmtId="167" fontId="0" fillId="4" borderId="2" xfId="0" applyNumberFormat="1" applyFill="1" applyBorder="1" applyAlignment="1">
      <alignment horizontal="center" vertical="center"/>
    </xf>
    <xf numFmtId="1" fontId="0" fillId="7" borderId="2" xfId="0" applyNumberFormat="1" applyFill="1" applyBorder="1" applyAlignment="1">
      <alignment horizontal="center" vertical="center"/>
    </xf>
    <xf numFmtId="1" fontId="0" fillId="2" borderId="2" xfId="0" applyNumberFormat="1" applyFill="1" applyBorder="1" applyAlignment="1">
      <alignment horizontal="center" vertical="center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</cellXfs>
  <cellStyles count="8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exercise_PVT!$F$26</c:f>
              <c:strCache>
                <c:ptCount val="1"/>
                <c:pt idx="0">
                  <c:v>μo</c:v>
                </c:pt>
              </c:strCache>
            </c:strRef>
          </c:tx>
          <c:xVal>
            <c:numRef>
              <c:f>exercise_PVT!$B$27:$B$52</c:f>
              <c:numCache>
                <c:formatCode>0</c:formatCode>
                <c:ptCount val="26"/>
                <c:pt idx="0">
                  <c:v>1</c:v>
                </c:pt>
                <c:pt idx="1">
                  <c:v>11.393908198723237</c:v>
                </c:pt>
                <c:pt idx="2">
                  <c:v>21.787816397446473</c:v>
                </c:pt>
                <c:pt idx="3">
                  <c:v>32.181724596169708</c:v>
                </c:pt>
                <c:pt idx="4">
                  <c:v>42.575632794892947</c:v>
                </c:pt>
                <c:pt idx="5">
                  <c:v>52.969540993616185</c:v>
                </c:pt>
                <c:pt idx="6">
                  <c:v>63.363449192339424</c:v>
                </c:pt>
                <c:pt idx="7">
                  <c:v>73.757357391062655</c:v>
                </c:pt>
                <c:pt idx="8">
                  <c:v>84.151265589785893</c:v>
                </c:pt>
                <c:pt idx="9">
                  <c:v>94.545173788509132</c:v>
                </c:pt>
                <c:pt idx="10">
                  <c:v>104.93908198723237</c:v>
                </c:pt>
                <c:pt idx="11">
                  <c:v>115.33299018595561</c:v>
                </c:pt>
                <c:pt idx="12">
                  <c:v>125.72689838467885</c:v>
                </c:pt>
                <c:pt idx="13">
                  <c:v>136.12080658340207</c:v>
                </c:pt>
                <c:pt idx="14">
                  <c:v>146.51471478212531</c:v>
                </c:pt>
                <c:pt idx="15">
                  <c:v>156.90862298084855</c:v>
                </c:pt>
                <c:pt idx="16">
                  <c:v>166.30253117957179</c:v>
                </c:pt>
                <c:pt idx="17">
                  <c:v>167.30253117957179</c:v>
                </c:pt>
                <c:pt idx="18">
                  <c:v>168.30253117957179</c:v>
                </c:pt>
                <c:pt idx="19">
                  <c:v>187.11645529677583</c:v>
                </c:pt>
                <c:pt idx="20">
                  <c:v>205.93037941397986</c:v>
                </c:pt>
                <c:pt idx="21">
                  <c:v>224.7443035311839</c:v>
                </c:pt>
                <c:pt idx="22">
                  <c:v>243.55822764838794</c:v>
                </c:pt>
                <c:pt idx="23">
                  <c:v>262.37215176559198</c:v>
                </c:pt>
                <c:pt idx="24">
                  <c:v>281.18607588279599</c:v>
                </c:pt>
                <c:pt idx="25">
                  <c:v>300</c:v>
                </c:pt>
              </c:numCache>
            </c:numRef>
          </c:xVal>
          <c:yVal>
            <c:numRef>
              <c:f>exercise_PVT!$F$27:$F$52</c:f>
              <c:numCache>
                <c:formatCode>0.0</c:formatCode>
                <c:ptCount val="26"/>
                <c:pt idx="0">
                  <c:v>2.6623666469705523</c:v>
                </c:pt>
                <c:pt idx="1">
                  <c:v>2.2621309234669953</c:v>
                </c:pt>
                <c:pt idx="2">
                  <c:v>1.9204541699043838</c:v>
                </c:pt>
                <c:pt idx="3">
                  <c:v>1.6581376682530862</c:v>
                </c:pt>
                <c:pt idx="4">
                  <c:v>1.4561790718380361</c:v>
                </c:pt>
                <c:pt idx="5">
                  <c:v>1.2978005228455678</c:v>
                </c:pt>
                <c:pt idx="6">
                  <c:v>1.1710405637630295</c:v>
                </c:pt>
                <c:pt idx="7">
                  <c:v>1.0676365793585858</c:v>
                </c:pt>
                <c:pt idx="8">
                  <c:v>0.98184292113524985</c:v>
                </c:pt>
                <c:pt idx="9">
                  <c:v>0.90959427527441039</c:v>
                </c:pt>
                <c:pt idx="10">
                  <c:v>0.84795630333294658</c:v>
                </c:pt>
                <c:pt idx="11">
                  <c:v>0.79476877443006366</c:v>
                </c:pt>
                <c:pt idx="12">
                  <c:v>0.74841157086166987</c:v>
                </c:pt>
                <c:pt idx="13">
                  <c:v>0.70764873959206809</c:v>
                </c:pt>
                <c:pt idx="14">
                  <c:v>0.67152262452448086</c:v>
                </c:pt>
                <c:pt idx="15">
                  <c:v>0.63928064847024102</c:v>
                </c:pt>
                <c:pt idx="16">
                  <c:v>0.61298094575252404</c:v>
                </c:pt>
                <c:pt idx="17">
                  <c:v>0.61032376134367305</c:v>
                </c:pt>
                <c:pt idx="18">
                  <c:v>0.60894663256184844</c:v>
                </c:pt>
                <c:pt idx="19">
                  <c:v>0.62509934878835527</c:v>
                </c:pt>
                <c:pt idx="20">
                  <c:v>0.64303492762432113</c:v>
                </c:pt>
                <c:pt idx="21">
                  <c:v>0.66261342454312622</c:v>
                </c:pt>
                <c:pt idx="22">
                  <c:v>0.68371572806076608</c:v>
                </c:pt>
                <c:pt idx="23">
                  <c:v>0.70623728337203007</c:v>
                </c:pt>
                <c:pt idx="24">
                  <c:v>0.73008359492326935</c:v>
                </c:pt>
                <c:pt idx="25">
                  <c:v>0.75516695400167422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AA-4171-9396-3613447B9395}"/>
            </c:ext>
          </c:extLst>
        </c:ser>
        <c:ser>
          <c:idx val="1"/>
          <c:order val="1"/>
          <c:tx>
            <c:strRef>
              <c:f>exercise_PVT!$H$26</c:f>
              <c:strCache>
                <c:ptCount val="1"/>
                <c:pt idx="0">
                  <c:v>μw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0</c:formatCode>
                <c:ptCount val="26"/>
                <c:pt idx="0">
                  <c:v>1</c:v>
                </c:pt>
                <c:pt idx="1">
                  <c:v>11.393908198723237</c:v>
                </c:pt>
                <c:pt idx="2">
                  <c:v>21.787816397446473</c:v>
                </c:pt>
                <c:pt idx="3">
                  <c:v>32.181724596169708</c:v>
                </c:pt>
                <c:pt idx="4">
                  <c:v>42.575632794892947</c:v>
                </c:pt>
                <c:pt idx="5">
                  <c:v>52.969540993616185</c:v>
                </c:pt>
                <c:pt idx="6">
                  <c:v>63.363449192339424</c:v>
                </c:pt>
                <c:pt idx="7">
                  <c:v>73.757357391062655</c:v>
                </c:pt>
                <c:pt idx="8">
                  <c:v>84.151265589785893</c:v>
                </c:pt>
                <c:pt idx="9">
                  <c:v>94.545173788509132</c:v>
                </c:pt>
                <c:pt idx="10">
                  <c:v>104.93908198723237</c:v>
                </c:pt>
                <c:pt idx="11">
                  <c:v>115.33299018595561</c:v>
                </c:pt>
                <c:pt idx="12">
                  <c:v>125.72689838467885</c:v>
                </c:pt>
                <c:pt idx="13">
                  <c:v>136.12080658340207</c:v>
                </c:pt>
                <c:pt idx="14">
                  <c:v>146.51471478212531</c:v>
                </c:pt>
                <c:pt idx="15">
                  <c:v>156.90862298084855</c:v>
                </c:pt>
                <c:pt idx="16">
                  <c:v>166.30253117957179</c:v>
                </c:pt>
                <c:pt idx="17">
                  <c:v>167.30253117957179</c:v>
                </c:pt>
                <c:pt idx="18">
                  <c:v>168.30253117957179</c:v>
                </c:pt>
                <c:pt idx="19">
                  <c:v>187.11645529677583</c:v>
                </c:pt>
                <c:pt idx="20">
                  <c:v>205.93037941397986</c:v>
                </c:pt>
                <c:pt idx="21">
                  <c:v>224.7443035311839</c:v>
                </c:pt>
                <c:pt idx="22">
                  <c:v>243.55822764838794</c:v>
                </c:pt>
                <c:pt idx="23">
                  <c:v>262.37215176559198</c:v>
                </c:pt>
                <c:pt idx="24">
                  <c:v>281.18607588279599</c:v>
                </c:pt>
                <c:pt idx="25">
                  <c:v>300</c:v>
                </c:pt>
              </c:numCache>
            </c:numRef>
          </c:xVal>
          <c:yVal>
            <c:numRef>
              <c:f>exercise_PVT!$H$27:$H$52</c:f>
              <c:numCache>
                <c:formatCode>0.00</c:formatCode>
                <c:ptCount val="26"/>
                <c:pt idx="0">
                  <c:v>0.49450516561346208</c:v>
                </c:pt>
                <c:pt idx="1">
                  <c:v>0.49759164793059346</c:v>
                </c:pt>
                <c:pt idx="2">
                  <c:v>0.5007498105631647</c:v>
                </c:pt>
                <c:pt idx="3">
                  <c:v>0.50397965351117591</c:v>
                </c:pt>
                <c:pt idx="4">
                  <c:v>0.50728117677462692</c:v>
                </c:pt>
                <c:pt idx="5">
                  <c:v>0.51065438035351773</c:v>
                </c:pt>
                <c:pt idx="6">
                  <c:v>0.51409926424784846</c:v>
                </c:pt>
                <c:pt idx="7">
                  <c:v>0.51761582845761911</c:v>
                </c:pt>
                <c:pt idx="8">
                  <c:v>0.52120407298282967</c:v>
                </c:pt>
                <c:pt idx="9">
                  <c:v>0.52486399782348003</c:v>
                </c:pt>
                <c:pt idx="10">
                  <c:v>0.5285956029795702</c:v>
                </c:pt>
                <c:pt idx="11">
                  <c:v>0.53239888845110039</c:v>
                </c:pt>
                <c:pt idx="12">
                  <c:v>0.53627385423807039</c:v>
                </c:pt>
                <c:pt idx="13">
                  <c:v>0.54022050034048019</c:v>
                </c:pt>
                <c:pt idx="14">
                  <c:v>0.54423882675832991</c:v>
                </c:pt>
                <c:pt idx="15">
                  <c:v>0.54832883349161954</c:v>
                </c:pt>
                <c:pt idx="16">
                  <c:v>0.55208700735382921</c:v>
                </c:pt>
                <c:pt idx="17">
                  <c:v>0.55249052054034897</c:v>
                </c:pt>
                <c:pt idx="18">
                  <c:v>0.55289469722874363</c:v>
                </c:pt>
                <c:pt idx="19">
                  <c:v>0.56062251611389724</c:v>
                </c:pt>
                <c:pt idx="20">
                  <c:v>0.56858519060463331</c:v>
                </c:pt>
                <c:pt idx="21">
                  <c:v>0.5767827207009516</c:v>
                </c:pt>
                <c:pt idx="22">
                  <c:v>0.58521510640285224</c:v>
                </c:pt>
                <c:pt idx="23">
                  <c:v>0.59388234771033521</c:v>
                </c:pt>
                <c:pt idx="24">
                  <c:v>0.60278444462340053</c:v>
                </c:pt>
                <c:pt idx="25">
                  <c:v>0.6119213971420483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AA-4171-9396-3613447B9395}"/>
            </c:ext>
          </c:extLst>
        </c:ser>
        <c:ser>
          <c:idx val="2"/>
          <c:order val="2"/>
          <c:tx>
            <c:strRef>
              <c:f>exercise_PVT!$G$26</c:f>
              <c:strCache>
                <c:ptCount val="1"/>
                <c:pt idx="0">
                  <c:v>μg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0</c:formatCode>
                <c:ptCount val="26"/>
                <c:pt idx="0">
                  <c:v>1</c:v>
                </c:pt>
                <c:pt idx="1">
                  <c:v>11.393908198723237</c:v>
                </c:pt>
                <c:pt idx="2">
                  <c:v>21.787816397446473</c:v>
                </c:pt>
                <c:pt idx="3">
                  <c:v>32.181724596169708</c:v>
                </c:pt>
                <c:pt idx="4">
                  <c:v>42.575632794892947</c:v>
                </c:pt>
                <c:pt idx="5">
                  <c:v>52.969540993616185</c:v>
                </c:pt>
                <c:pt idx="6">
                  <c:v>63.363449192339424</c:v>
                </c:pt>
                <c:pt idx="7">
                  <c:v>73.757357391062655</c:v>
                </c:pt>
                <c:pt idx="8">
                  <c:v>84.151265589785893</c:v>
                </c:pt>
                <c:pt idx="9">
                  <c:v>94.545173788509132</c:v>
                </c:pt>
                <c:pt idx="10">
                  <c:v>104.93908198723237</c:v>
                </c:pt>
                <c:pt idx="11">
                  <c:v>115.33299018595561</c:v>
                </c:pt>
                <c:pt idx="12">
                  <c:v>125.72689838467885</c:v>
                </c:pt>
                <c:pt idx="13">
                  <c:v>136.12080658340207</c:v>
                </c:pt>
                <c:pt idx="14">
                  <c:v>146.51471478212531</c:v>
                </c:pt>
                <c:pt idx="15">
                  <c:v>156.90862298084855</c:v>
                </c:pt>
                <c:pt idx="16">
                  <c:v>166.30253117957179</c:v>
                </c:pt>
                <c:pt idx="17">
                  <c:v>167.30253117957179</c:v>
                </c:pt>
                <c:pt idx="18">
                  <c:v>168.30253117957179</c:v>
                </c:pt>
                <c:pt idx="19">
                  <c:v>187.11645529677583</c:v>
                </c:pt>
                <c:pt idx="20">
                  <c:v>205.93037941397986</c:v>
                </c:pt>
                <c:pt idx="21">
                  <c:v>224.7443035311839</c:v>
                </c:pt>
                <c:pt idx="22">
                  <c:v>243.55822764838794</c:v>
                </c:pt>
                <c:pt idx="23">
                  <c:v>262.37215176559198</c:v>
                </c:pt>
                <c:pt idx="24">
                  <c:v>281.18607588279599</c:v>
                </c:pt>
                <c:pt idx="25">
                  <c:v>300</c:v>
                </c:pt>
              </c:numCache>
            </c:numRef>
          </c:xVal>
          <c:yVal>
            <c:numRef>
              <c:f>exercise_PVT!$G$27:$G$52</c:f>
              <c:numCache>
                <c:formatCode>0.000</c:formatCode>
                <c:ptCount val="26"/>
                <c:pt idx="0">
                  <c:v>1.1660919395050064E-2</c:v>
                </c:pt>
                <c:pt idx="1">
                  <c:v>1.1838342931049317E-2</c:v>
                </c:pt>
                <c:pt idx="2">
                  <c:v>1.2097499265985582E-2</c:v>
                </c:pt>
                <c:pt idx="3">
                  <c:v>1.2424814093774373E-2</c:v>
                </c:pt>
                <c:pt idx="4">
                  <c:v>1.282478640833495E-2</c:v>
                </c:pt>
                <c:pt idx="5">
                  <c:v>1.3306201464312937E-2</c:v>
                </c:pt>
                <c:pt idx="6">
                  <c:v>1.3878068914648978E-2</c:v>
                </c:pt>
                <c:pt idx="7">
                  <c:v>1.4546754089444107E-2</c:v>
                </c:pt>
                <c:pt idx="8">
                  <c:v>1.5313891606603959E-2</c:v>
                </c:pt>
                <c:pt idx="9">
                  <c:v>1.6175343278949889E-2</c:v>
                </c:pt>
                <c:pt idx="10">
                  <c:v>1.7121356009237199E-2</c:v>
                </c:pt>
                <c:pt idx="11">
                  <c:v>1.8137774263687002E-2</c:v>
                </c:pt>
                <c:pt idx="12">
                  <c:v>1.9207898987801314E-2</c:v>
                </c:pt>
                <c:pt idx="13">
                  <c:v>2.0314481911461804E-2</c:v>
                </c:pt>
                <c:pt idx="14">
                  <c:v>2.1441417980583015E-2</c:v>
                </c:pt>
                <c:pt idx="15">
                  <c:v>2.2574884611859077E-2</c:v>
                </c:pt>
                <c:pt idx="16">
                  <c:v>2.3595698794113839E-2</c:v>
                </c:pt>
                <c:pt idx="17">
                  <c:v>2.3703879897166484E-2</c:v>
                </c:pt>
                <c:pt idx="18">
                  <c:v>2.381194225496042E-2</c:v>
                </c:pt>
                <c:pt idx="19">
                  <c:v>2.5816424861100293E-2</c:v>
                </c:pt>
                <c:pt idx="20">
                  <c:v>2.7751712066987348E-2</c:v>
                </c:pt>
                <c:pt idx="21">
                  <c:v>2.9608220630653229E-2</c:v>
                </c:pt>
                <c:pt idx="22">
                  <c:v>3.13858228971046E-2</c:v>
                </c:pt>
                <c:pt idx="23">
                  <c:v>3.3088259899658919E-2</c:v>
                </c:pt>
                <c:pt idx="24">
                  <c:v>3.4720126441739309E-2</c:v>
                </c:pt>
                <c:pt idx="25">
                  <c:v>3.6285578432125411E-2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AA-4171-9396-3613447B9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At val="1.0000000000000002E-2"/>
        <c:crossBetween val="midCat"/>
      </c:valAx>
      <c:valAx>
        <c:axId val="4023944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 </a:t>
                </a:r>
                <a:r>
                  <a:rPr lang="ru-RU" baseline="0"/>
                  <a:t>,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7203064567418266"/>
          <c:y val="0.12115779913539503"/>
          <c:w val="0.78441444872543875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exercise_PVT!$K$26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0</c:formatCode>
                <c:ptCount val="26"/>
                <c:pt idx="0">
                  <c:v>1</c:v>
                </c:pt>
                <c:pt idx="1">
                  <c:v>11.393908198723237</c:v>
                </c:pt>
                <c:pt idx="2">
                  <c:v>21.787816397446473</c:v>
                </c:pt>
                <c:pt idx="3">
                  <c:v>32.181724596169708</c:v>
                </c:pt>
                <c:pt idx="4">
                  <c:v>42.575632794892947</c:v>
                </c:pt>
                <c:pt idx="5">
                  <c:v>52.969540993616185</c:v>
                </c:pt>
                <c:pt idx="6">
                  <c:v>63.363449192339424</c:v>
                </c:pt>
                <c:pt idx="7">
                  <c:v>73.757357391062655</c:v>
                </c:pt>
                <c:pt idx="8">
                  <c:v>84.151265589785893</c:v>
                </c:pt>
                <c:pt idx="9">
                  <c:v>94.545173788509132</c:v>
                </c:pt>
                <c:pt idx="10">
                  <c:v>104.93908198723237</c:v>
                </c:pt>
                <c:pt idx="11">
                  <c:v>115.33299018595561</c:v>
                </c:pt>
                <c:pt idx="12">
                  <c:v>125.72689838467885</c:v>
                </c:pt>
                <c:pt idx="13">
                  <c:v>136.12080658340207</c:v>
                </c:pt>
                <c:pt idx="14">
                  <c:v>146.51471478212531</c:v>
                </c:pt>
                <c:pt idx="15">
                  <c:v>156.90862298084855</c:v>
                </c:pt>
                <c:pt idx="16">
                  <c:v>166.30253117957179</c:v>
                </c:pt>
                <c:pt idx="17">
                  <c:v>167.30253117957179</c:v>
                </c:pt>
                <c:pt idx="18">
                  <c:v>168.30253117957179</c:v>
                </c:pt>
                <c:pt idx="19">
                  <c:v>187.11645529677583</c:v>
                </c:pt>
                <c:pt idx="20">
                  <c:v>205.93037941397986</c:v>
                </c:pt>
                <c:pt idx="21">
                  <c:v>224.7443035311839</c:v>
                </c:pt>
                <c:pt idx="22">
                  <c:v>243.55822764838794</c:v>
                </c:pt>
                <c:pt idx="23">
                  <c:v>262.37215176559198</c:v>
                </c:pt>
                <c:pt idx="24">
                  <c:v>281.18607588279599</c:v>
                </c:pt>
                <c:pt idx="25">
                  <c:v>300</c:v>
                </c:pt>
              </c:numCache>
            </c:numRef>
          </c:xVal>
          <c:yVal>
            <c:numRef>
              <c:f>exercise_PVT!$K$27:$K$52</c:f>
              <c:numCache>
                <c:formatCode>0</c:formatCode>
                <c:ptCount val="26"/>
                <c:pt idx="0">
                  <c:v>815.10368274464463</c:v>
                </c:pt>
                <c:pt idx="1">
                  <c:v>810.93566605502815</c:v>
                </c:pt>
                <c:pt idx="2">
                  <c:v>805.63393120493367</c:v>
                </c:pt>
                <c:pt idx="3">
                  <c:v>799.68243115417204</c:v>
                </c:pt>
                <c:pt idx="4">
                  <c:v>793.25530958963327</c:v>
                </c:pt>
                <c:pt idx="5">
                  <c:v>786.4613501692553</c:v>
                </c:pt>
                <c:pt idx="6">
                  <c:v>779.38134841376075</c:v>
                </c:pt>
                <c:pt idx="7">
                  <c:v>772.08005933412414</c:v>
                </c:pt>
                <c:pt idx="8">
                  <c:v>764.61133326798767</c:v>
                </c:pt>
                <c:pt idx="9">
                  <c:v>757.02080060537276</c:v>
                </c:pt>
                <c:pt idx="10">
                  <c:v>749.34749836056835</c:v>
                </c:pt>
                <c:pt idx="11">
                  <c:v>741.62497397582933</c:v>
                </c:pt>
                <c:pt idx="12">
                  <c:v>733.88210048093811</c:v>
                </c:pt>
                <c:pt idx="13">
                  <c:v>726.143716066313</c:v>
                </c:pt>
                <c:pt idx="14">
                  <c:v>718.4311473428827</c:v>
                </c:pt>
                <c:pt idx="15">
                  <c:v>710.76264970570344</c:v>
                </c:pt>
                <c:pt idx="16">
                  <c:v>703.88286205718578</c:v>
                </c:pt>
                <c:pt idx="17">
                  <c:v>703.15378495496122</c:v>
                </c:pt>
                <c:pt idx="18">
                  <c:v>702.7285505794307</c:v>
                </c:pt>
                <c:pt idx="19">
                  <c:v>705.73847226105477</c:v>
                </c:pt>
                <c:pt idx="20">
                  <c:v>708.20798871975398</c:v>
                </c:pt>
                <c:pt idx="21">
                  <c:v>710.27063700563349</c:v>
                </c:pt>
                <c:pt idx="22">
                  <c:v>712.01930848158759</c:v>
                </c:pt>
                <c:pt idx="23">
                  <c:v>713.52061885628109</c:v>
                </c:pt>
                <c:pt idx="24">
                  <c:v>714.8235846391558</c:v>
                </c:pt>
                <c:pt idx="25">
                  <c:v>715.96507469917833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E5-4E7E-B225-1829BBEB1990}"/>
            </c:ext>
          </c:extLst>
        </c:ser>
        <c:ser>
          <c:idx val="1"/>
          <c:order val="1"/>
          <c:tx>
            <c:strRef>
              <c:f>exercise_PVT!$J$26</c:f>
              <c:strCache>
                <c:ptCount val="1"/>
                <c:pt idx="0">
                  <c:v>ρw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0</c:formatCode>
                <c:ptCount val="26"/>
                <c:pt idx="0">
                  <c:v>1</c:v>
                </c:pt>
                <c:pt idx="1">
                  <c:v>11.393908198723237</c:v>
                </c:pt>
                <c:pt idx="2">
                  <c:v>21.787816397446473</c:v>
                </c:pt>
                <c:pt idx="3">
                  <c:v>32.181724596169708</c:v>
                </c:pt>
                <c:pt idx="4">
                  <c:v>42.575632794892947</c:v>
                </c:pt>
                <c:pt idx="5">
                  <c:v>52.969540993616185</c:v>
                </c:pt>
                <c:pt idx="6">
                  <c:v>63.363449192339424</c:v>
                </c:pt>
                <c:pt idx="7">
                  <c:v>73.757357391062655</c:v>
                </c:pt>
                <c:pt idx="8">
                  <c:v>84.151265589785893</c:v>
                </c:pt>
                <c:pt idx="9">
                  <c:v>94.545173788509132</c:v>
                </c:pt>
                <c:pt idx="10">
                  <c:v>104.93908198723237</c:v>
                </c:pt>
                <c:pt idx="11">
                  <c:v>115.33299018595561</c:v>
                </c:pt>
                <c:pt idx="12">
                  <c:v>125.72689838467885</c:v>
                </c:pt>
                <c:pt idx="13">
                  <c:v>136.12080658340207</c:v>
                </c:pt>
                <c:pt idx="14">
                  <c:v>146.51471478212531</c:v>
                </c:pt>
                <c:pt idx="15">
                  <c:v>156.90862298084855</c:v>
                </c:pt>
                <c:pt idx="16">
                  <c:v>166.30253117957179</c:v>
                </c:pt>
                <c:pt idx="17">
                  <c:v>167.30253117957179</c:v>
                </c:pt>
                <c:pt idx="18">
                  <c:v>168.30253117957179</c:v>
                </c:pt>
                <c:pt idx="19">
                  <c:v>187.11645529677583</c:v>
                </c:pt>
                <c:pt idx="20">
                  <c:v>205.93037941397986</c:v>
                </c:pt>
                <c:pt idx="21">
                  <c:v>224.7443035311839</c:v>
                </c:pt>
                <c:pt idx="22">
                  <c:v>243.55822764838794</c:v>
                </c:pt>
                <c:pt idx="23">
                  <c:v>262.37215176559198</c:v>
                </c:pt>
                <c:pt idx="24">
                  <c:v>281.18607588279599</c:v>
                </c:pt>
                <c:pt idx="25">
                  <c:v>300</c:v>
                </c:pt>
              </c:numCache>
            </c:numRef>
          </c:xVal>
          <c:yVal>
            <c:numRef>
              <c:f>exercise_PVT!$J$27:$J$52</c:f>
              <c:numCache>
                <c:formatCode>0</c:formatCode>
                <c:ptCount val="26"/>
                <c:pt idx="0">
                  <c:v>1067.6231937874506</c:v>
                </c:pt>
                <c:pt idx="1">
                  <c:v>1067.7452004872596</c:v>
                </c:pt>
                <c:pt idx="2">
                  <c:v>1067.8799782874048</c:v>
                </c:pt>
                <c:pt idx="3">
                  <c:v>1068.0275368504208</c:v>
                </c:pt>
                <c:pt idx="4">
                  <c:v>1068.1878867593193</c:v>
                </c:pt>
                <c:pt idx="5">
                  <c:v>1068.3610395194885</c:v>
                </c:pt>
                <c:pt idx="6">
                  <c:v>1068.5470075607595</c:v>
                </c:pt>
                <c:pt idx="7">
                  <c:v>1068.7458042396413</c:v>
                </c:pt>
                <c:pt idx="8">
                  <c:v>1068.957443841721</c:v>
                </c:pt>
                <c:pt idx="9">
                  <c:v>1069.1819415842378</c:v>
                </c:pt>
                <c:pt idx="10">
                  <c:v>1069.4193136188219</c:v>
                </c:pt>
                <c:pt idx="11">
                  <c:v>1069.669577034409</c:v>
                </c:pt>
                <c:pt idx="12">
                  <c:v>1069.9327498603227</c:v>
                </c:pt>
                <c:pt idx="13">
                  <c:v>1070.2088510695332</c:v>
                </c:pt>
                <c:pt idx="14">
                  <c:v>1070.4979005820869</c:v>
                </c:pt>
                <c:pt idx="15">
                  <c:v>1070.7999192687139</c:v>
                </c:pt>
                <c:pt idx="16">
                  <c:v>1071.0840563796121</c:v>
                </c:pt>
                <c:pt idx="17">
                  <c:v>1071.114928954609</c:v>
                </c:pt>
                <c:pt idx="18">
                  <c:v>1071.1459219896869</c:v>
                </c:pt>
                <c:pt idx="19">
                  <c:v>1071.7515023344019</c:v>
                </c:pt>
                <c:pt idx="20">
                  <c:v>1072.3998730956325</c:v>
                </c:pt>
                <c:pt idx="21">
                  <c:v>1073.0911884059371</c:v>
                </c:pt>
                <c:pt idx="22">
                  <c:v>1073.8256129140245</c:v>
                </c:pt>
                <c:pt idx="23">
                  <c:v>1074.6033218834768</c:v>
                </c:pt>
                <c:pt idx="24">
                  <c:v>1075.4245012981391</c:v>
                </c:pt>
                <c:pt idx="25">
                  <c:v>1076.2893479742904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E5-4E7E-B225-1829BBEB1990}"/>
            </c:ext>
          </c:extLst>
        </c:ser>
        <c:ser>
          <c:idx val="2"/>
          <c:order val="2"/>
          <c:tx>
            <c:strRef>
              <c:f>exercise_PVT!$I$26</c:f>
              <c:strCache>
                <c:ptCount val="1"/>
                <c:pt idx="0">
                  <c:v>ρg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0</c:formatCode>
                <c:ptCount val="26"/>
                <c:pt idx="0">
                  <c:v>1</c:v>
                </c:pt>
                <c:pt idx="1">
                  <c:v>11.393908198723237</c:v>
                </c:pt>
                <c:pt idx="2">
                  <c:v>21.787816397446473</c:v>
                </c:pt>
                <c:pt idx="3">
                  <c:v>32.181724596169708</c:v>
                </c:pt>
                <c:pt idx="4">
                  <c:v>42.575632794892947</c:v>
                </c:pt>
                <c:pt idx="5">
                  <c:v>52.969540993616185</c:v>
                </c:pt>
                <c:pt idx="6">
                  <c:v>63.363449192339424</c:v>
                </c:pt>
                <c:pt idx="7">
                  <c:v>73.757357391062655</c:v>
                </c:pt>
                <c:pt idx="8">
                  <c:v>84.151265589785893</c:v>
                </c:pt>
                <c:pt idx="9">
                  <c:v>94.545173788509132</c:v>
                </c:pt>
                <c:pt idx="10">
                  <c:v>104.93908198723237</c:v>
                </c:pt>
                <c:pt idx="11">
                  <c:v>115.33299018595561</c:v>
                </c:pt>
                <c:pt idx="12">
                  <c:v>125.72689838467885</c:v>
                </c:pt>
                <c:pt idx="13">
                  <c:v>136.12080658340207</c:v>
                </c:pt>
                <c:pt idx="14">
                  <c:v>146.51471478212531</c:v>
                </c:pt>
                <c:pt idx="15">
                  <c:v>156.90862298084855</c:v>
                </c:pt>
                <c:pt idx="16">
                  <c:v>166.30253117957179</c:v>
                </c:pt>
                <c:pt idx="17">
                  <c:v>167.30253117957179</c:v>
                </c:pt>
                <c:pt idx="18">
                  <c:v>168.30253117957179</c:v>
                </c:pt>
                <c:pt idx="19">
                  <c:v>187.11645529677583</c:v>
                </c:pt>
                <c:pt idx="20">
                  <c:v>205.93037941397986</c:v>
                </c:pt>
                <c:pt idx="21">
                  <c:v>224.7443035311839</c:v>
                </c:pt>
                <c:pt idx="22">
                  <c:v>243.55822764838794</c:v>
                </c:pt>
                <c:pt idx="23">
                  <c:v>262.37215176559198</c:v>
                </c:pt>
                <c:pt idx="24">
                  <c:v>281.18607588279599</c:v>
                </c:pt>
                <c:pt idx="25">
                  <c:v>300</c:v>
                </c:pt>
              </c:numCache>
            </c:numRef>
          </c:xVal>
          <c:yVal>
            <c:numRef>
              <c:f>exercise_PVT!$I$27:$I$52</c:f>
              <c:numCache>
                <c:formatCode>0.0</c:formatCode>
                <c:ptCount val="26"/>
                <c:pt idx="0">
                  <c:v>0.91112494408482325</c:v>
                </c:pt>
                <c:pt idx="1">
                  <c:v>10.651528657066159</c:v>
                </c:pt>
                <c:pt idx="2">
                  <c:v>20.954532059516286</c:v>
                </c:pt>
                <c:pt idx="3">
                  <c:v>31.946687926600063</c:v>
                </c:pt>
                <c:pt idx="4">
                  <c:v>43.754450610900811</c:v>
                </c:pt>
                <c:pt idx="5">
                  <c:v>56.459442811082383</c:v>
                </c:pt>
                <c:pt idx="6">
                  <c:v>70.059997847986807</c:v>
                </c:pt>
                <c:pt idx="7">
                  <c:v>84.450775610368311</c:v>
                </c:pt>
                <c:pt idx="8">
                  <c:v>99.427993216671709</c:v>
                </c:pt>
                <c:pt idx="9">
                  <c:v>114.71856764305909</c:v>
                </c:pt>
                <c:pt idx="10">
                  <c:v>130.02279370087339</c:v>
                </c:pt>
                <c:pt idx="11">
                  <c:v>145.05692699335617</c:v>
                </c:pt>
                <c:pt idx="12">
                  <c:v>159.58494510026614</c:v>
                </c:pt>
                <c:pt idx="13">
                  <c:v>173.43489531353822</c:v>
                </c:pt>
                <c:pt idx="14">
                  <c:v>186.50095315254381</c:v>
                </c:pt>
                <c:pt idx="15">
                  <c:v>198.73555045843958</c:v>
                </c:pt>
                <c:pt idx="16">
                  <c:v>209.07528353053394</c:v>
                </c:pt>
                <c:pt idx="17">
                  <c:v>210.13657077765103</c:v>
                </c:pt>
                <c:pt idx="18">
                  <c:v>211.19040147078786</c:v>
                </c:pt>
                <c:pt idx="19">
                  <c:v>229.68410343871801</c:v>
                </c:pt>
                <c:pt idx="20">
                  <c:v>245.88137636886731</c:v>
                </c:pt>
                <c:pt idx="21">
                  <c:v>260.14389413495593</c:v>
                </c:pt>
                <c:pt idx="22">
                  <c:v>272.80292809009575</c:v>
                </c:pt>
                <c:pt idx="23">
                  <c:v>284.13292402761004</c:v>
                </c:pt>
                <c:pt idx="24">
                  <c:v>294.35101146203277</c:v>
                </c:pt>
                <c:pt idx="25">
                  <c:v>303.62618263772396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E5-4E7E-B225-1829BBEB1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640896"/>
        <c:axId val="403460032"/>
      </c:scatterChart>
      <c:valAx>
        <c:axId val="343640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032"/>
        <c:crosses val="autoZero"/>
        <c:crossBetween val="midCat"/>
      </c:valAx>
      <c:valAx>
        <c:axId val="40346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Плотность  кг/м3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3640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Поверхностное</a:t>
            </a:r>
            <a:r>
              <a:rPr lang="ru-RU" baseline="0"/>
              <a:t> натяжение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exercise_PVT!$N$26</c:f>
              <c:strCache>
                <c:ptCount val="1"/>
                <c:pt idx="0">
                  <c:v>ST_oilgas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exercise_PVT!$B$27:$B$52</c:f>
              <c:numCache>
                <c:formatCode>0</c:formatCode>
                <c:ptCount val="26"/>
                <c:pt idx="0">
                  <c:v>1</c:v>
                </c:pt>
                <c:pt idx="1">
                  <c:v>11.393908198723237</c:v>
                </c:pt>
                <c:pt idx="2">
                  <c:v>21.787816397446473</c:v>
                </c:pt>
                <c:pt idx="3">
                  <c:v>32.181724596169708</c:v>
                </c:pt>
                <c:pt idx="4">
                  <c:v>42.575632794892947</c:v>
                </c:pt>
                <c:pt idx="5">
                  <c:v>52.969540993616185</c:v>
                </c:pt>
                <c:pt idx="6">
                  <c:v>63.363449192339424</c:v>
                </c:pt>
                <c:pt idx="7">
                  <c:v>73.757357391062655</c:v>
                </c:pt>
                <c:pt idx="8">
                  <c:v>84.151265589785893</c:v>
                </c:pt>
                <c:pt idx="9">
                  <c:v>94.545173788509132</c:v>
                </c:pt>
                <c:pt idx="10">
                  <c:v>104.93908198723237</c:v>
                </c:pt>
                <c:pt idx="11">
                  <c:v>115.33299018595561</c:v>
                </c:pt>
                <c:pt idx="12">
                  <c:v>125.72689838467885</c:v>
                </c:pt>
                <c:pt idx="13">
                  <c:v>136.12080658340207</c:v>
                </c:pt>
                <c:pt idx="14">
                  <c:v>146.51471478212531</c:v>
                </c:pt>
                <c:pt idx="15">
                  <c:v>156.90862298084855</c:v>
                </c:pt>
                <c:pt idx="16">
                  <c:v>166.30253117957179</c:v>
                </c:pt>
                <c:pt idx="17">
                  <c:v>167.30253117957179</c:v>
                </c:pt>
                <c:pt idx="18">
                  <c:v>168.30253117957179</c:v>
                </c:pt>
                <c:pt idx="19">
                  <c:v>187.11645529677583</c:v>
                </c:pt>
                <c:pt idx="20">
                  <c:v>205.93037941397986</c:v>
                </c:pt>
                <c:pt idx="21">
                  <c:v>224.7443035311839</c:v>
                </c:pt>
                <c:pt idx="22">
                  <c:v>243.55822764838794</c:v>
                </c:pt>
                <c:pt idx="23">
                  <c:v>262.37215176559198</c:v>
                </c:pt>
                <c:pt idx="24">
                  <c:v>281.18607588279599</c:v>
                </c:pt>
                <c:pt idx="25">
                  <c:v>300</c:v>
                </c:pt>
              </c:numCache>
            </c:numRef>
          </c:xVal>
          <c:yVal>
            <c:numRef>
              <c:f>exercise_PVT!$N$27:$N$52</c:f>
              <c:numCache>
                <c:formatCode>0.000</c:formatCode>
                <c:ptCount val="26"/>
                <c:pt idx="0">
                  <c:v>6.6414592185628799E-2</c:v>
                </c:pt>
                <c:pt idx="1">
                  <c:v>6.5533340391963152E-2</c:v>
                </c:pt>
                <c:pt idx="2">
                  <c:v>6.4663781882834559E-2</c:v>
                </c:pt>
                <c:pt idx="3">
                  <c:v>6.3805761500654409E-2</c:v>
                </c:pt>
                <c:pt idx="4">
                  <c:v>6.2959126146612115E-2</c:v>
                </c:pt>
                <c:pt idx="5">
                  <c:v>6.2123724753357333E-2</c:v>
                </c:pt>
                <c:pt idx="6">
                  <c:v>6.1299408258044523E-2</c:v>
                </c:pt>
                <c:pt idx="7">
                  <c:v>6.0486029575735401E-2</c:v>
                </c:pt>
                <c:pt idx="8">
                  <c:v>5.9683443573154124E-2</c:v>
                </c:pt>
                <c:pt idx="9">
                  <c:v>5.8891507042790767E-2</c:v>
                </c:pt>
                <c:pt idx="10">
                  <c:v>5.8110078677348478E-2</c:v>
                </c:pt>
                <c:pt idx="11">
                  <c:v>5.7339019044529614E-2</c:v>
                </c:pt>
                <c:pt idx="12">
                  <c:v>5.6578190562156523E-2</c:v>
                </c:pt>
                <c:pt idx="13">
                  <c:v>5.5827457473622319E-2</c:v>
                </c:pt>
                <c:pt idx="14">
                  <c:v>5.508668582366754E-2</c:v>
                </c:pt>
                <c:pt idx="15">
                  <c:v>5.4355743434478139E-2</c:v>
                </c:pt>
                <c:pt idx="16">
                  <c:v>5.370347275777565E-2</c:v>
                </c:pt>
                <c:pt idx="17">
                  <c:v>5.3634499882100686E-2</c:v>
                </c:pt>
                <c:pt idx="18">
                  <c:v>5.3565615590223638E-2</c:v>
                </c:pt>
                <c:pt idx="19">
                  <c:v>5.2285996494758895E-2</c:v>
                </c:pt>
                <c:pt idx="20">
                  <c:v>5.1036945983477036E-2</c:v>
                </c:pt>
                <c:pt idx="21">
                  <c:v>4.9817733809117561E-2</c:v>
                </c:pt>
                <c:pt idx="22">
                  <c:v>4.8627647169161896E-2</c:v>
                </c:pt>
                <c:pt idx="23">
                  <c:v>4.7465990289099105E-2</c:v>
                </c:pt>
                <c:pt idx="24">
                  <c:v>4.6332084015647056E-2</c:v>
                </c:pt>
                <c:pt idx="25">
                  <c:v>4.5225265419690894E-2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9C-4B99-B4AD-A03ED80B1F34}"/>
            </c:ext>
          </c:extLst>
        </c:ser>
        <c:ser>
          <c:idx val="2"/>
          <c:order val="1"/>
          <c:tx>
            <c:strRef>
              <c:f>exercise_PVT!$O$26</c:f>
              <c:strCache>
                <c:ptCount val="1"/>
                <c:pt idx="0">
                  <c:v>ST_watgas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0</c:formatCode>
                <c:ptCount val="26"/>
                <c:pt idx="0">
                  <c:v>1</c:v>
                </c:pt>
                <c:pt idx="1">
                  <c:v>11.393908198723237</c:v>
                </c:pt>
                <c:pt idx="2">
                  <c:v>21.787816397446473</c:v>
                </c:pt>
                <c:pt idx="3">
                  <c:v>32.181724596169708</c:v>
                </c:pt>
                <c:pt idx="4">
                  <c:v>42.575632794892947</c:v>
                </c:pt>
                <c:pt idx="5">
                  <c:v>52.969540993616185</c:v>
                </c:pt>
                <c:pt idx="6">
                  <c:v>63.363449192339424</c:v>
                </c:pt>
                <c:pt idx="7">
                  <c:v>73.757357391062655</c:v>
                </c:pt>
                <c:pt idx="8">
                  <c:v>84.151265589785893</c:v>
                </c:pt>
                <c:pt idx="9">
                  <c:v>94.545173788509132</c:v>
                </c:pt>
                <c:pt idx="10">
                  <c:v>104.93908198723237</c:v>
                </c:pt>
                <c:pt idx="11">
                  <c:v>115.33299018595561</c:v>
                </c:pt>
                <c:pt idx="12">
                  <c:v>125.72689838467885</c:v>
                </c:pt>
                <c:pt idx="13">
                  <c:v>136.12080658340207</c:v>
                </c:pt>
                <c:pt idx="14">
                  <c:v>146.51471478212531</c:v>
                </c:pt>
                <c:pt idx="15">
                  <c:v>156.90862298084855</c:v>
                </c:pt>
                <c:pt idx="16">
                  <c:v>166.30253117957179</c:v>
                </c:pt>
                <c:pt idx="17">
                  <c:v>167.30253117957179</c:v>
                </c:pt>
                <c:pt idx="18">
                  <c:v>168.30253117957179</c:v>
                </c:pt>
                <c:pt idx="19">
                  <c:v>187.11645529677583</c:v>
                </c:pt>
                <c:pt idx="20">
                  <c:v>205.93037941397986</c:v>
                </c:pt>
                <c:pt idx="21">
                  <c:v>224.7443035311839</c:v>
                </c:pt>
                <c:pt idx="22">
                  <c:v>243.55822764838794</c:v>
                </c:pt>
                <c:pt idx="23">
                  <c:v>262.37215176559198</c:v>
                </c:pt>
                <c:pt idx="24">
                  <c:v>281.18607588279599</c:v>
                </c:pt>
                <c:pt idx="25">
                  <c:v>300</c:v>
                </c:pt>
              </c:numCache>
            </c:numRef>
          </c:xVal>
          <c:yVal>
            <c:numRef>
              <c:f>exercise_PVT!$O$27:$O$52</c:f>
              <c:numCache>
                <c:formatCode>0.000</c:formatCode>
                <c:ptCount val="26"/>
                <c:pt idx="0">
                  <c:v>6.4550360938274251E-2</c:v>
                </c:pt>
                <c:pt idx="1">
                  <c:v>6.4394016161094705E-2</c:v>
                </c:pt>
                <c:pt idx="2">
                  <c:v>6.4238050060176563E-2</c:v>
                </c:pt>
                <c:pt idx="3">
                  <c:v>6.4082461718343572E-2</c:v>
                </c:pt>
                <c:pt idx="4">
                  <c:v>6.3927250220641038E-2</c:v>
                </c:pt>
                <c:pt idx="5">
                  <c:v>6.3772414654330187E-2</c:v>
                </c:pt>
                <c:pt idx="6">
                  <c:v>6.3617954108883115E-2</c:v>
                </c:pt>
                <c:pt idx="7">
                  <c:v>6.3463867675977129E-2</c:v>
                </c:pt>
                <c:pt idx="8">
                  <c:v>6.3310154449489689E-2</c:v>
                </c:pt>
                <c:pt idx="9">
                  <c:v>6.3156813525492794E-2</c:v>
                </c:pt>
                <c:pt idx="10">
                  <c:v>6.3003844002247927E-2</c:v>
                </c:pt>
                <c:pt idx="11">
                  <c:v>6.2851244980200546E-2</c:v>
                </c:pt>
                <c:pt idx="12">
                  <c:v>6.2699015561974963E-2</c:v>
                </c:pt>
                <c:pt idx="13">
                  <c:v>6.2547154852368891E-2</c:v>
                </c:pt>
                <c:pt idx="14">
                  <c:v>6.2395661958348406E-2</c:v>
                </c:pt>
                <c:pt idx="15">
                  <c:v>6.2244535989042407E-2</c:v>
                </c:pt>
                <c:pt idx="16">
                  <c:v>6.2108264809633947E-2</c:v>
                </c:pt>
                <c:pt idx="17">
                  <c:v>6.2093776055737702E-2</c:v>
                </c:pt>
                <c:pt idx="18">
                  <c:v>6.2079290681810124E-2</c:v>
                </c:pt>
                <c:pt idx="19">
                  <c:v>6.1807392925760346E-2</c:v>
                </c:pt>
                <c:pt idx="20">
                  <c:v>6.1536686040110901E-2</c:v>
                </c:pt>
                <c:pt idx="21">
                  <c:v>6.1267164809032326E-2</c:v>
                </c:pt>
                <c:pt idx="22">
                  <c:v>6.099882403953983E-2</c:v>
                </c:pt>
                <c:pt idx="23">
                  <c:v>6.0731658561392919E-2</c:v>
                </c:pt>
                <c:pt idx="24">
                  <c:v>6.0465663226996161E-2</c:v>
                </c:pt>
                <c:pt idx="25">
                  <c:v>6.0200832911299594E-2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9C-4B99-B4AD-A03ED80B1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Теплоемкость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exercise_PVT!$P$26</c:f>
              <c:strCache>
                <c:ptCount val="1"/>
                <c:pt idx="0">
                  <c:v>cpo</c:v>
                </c:pt>
              </c:strCache>
            </c:strRef>
          </c:tx>
          <c:xVal>
            <c:numRef>
              <c:f>exercise_PVT!$B$27:$B$52</c:f>
              <c:numCache>
                <c:formatCode>0</c:formatCode>
                <c:ptCount val="26"/>
                <c:pt idx="0">
                  <c:v>1</c:v>
                </c:pt>
                <c:pt idx="1">
                  <c:v>11.393908198723237</c:v>
                </c:pt>
                <c:pt idx="2">
                  <c:v>21.787816397446473</c:v>
                </c:pt>
                <c:pt idx="3">
                  <c:v>32.181724596169708</c:v>
                </c:pt>
                <c:pt idx="4">
                  <c:v>42.575632794892947</c:v>
                </c:pt>
                <c:pt idx="5">
                  <c:v>52.969540993616185</c:v>
                </c:pt>
                <c:pt idx="6">
                  <c:v>63.363449192339424</c:v>
                </c:pt>
                <c:pt idx="7">
                  <c:v>73.757357391062655</c:v>
                </c:pt>
                <c:pt idx="8">
                  <c:v>84.151265589785893</c:v>
                </c:pt>
                <c:pt idx="9">
                  <c:v>94.545173788509132</c:v>
                </c:pt>
                <c:pt idx="10">
                  <c:v>104.93908198723237</c:v>
                </c:pt>
                <c:pt idx="11">
                  <c:v>115.33299018595561</c:v>
                </c:pt>
                <c:pt idx="12">
                  <c:v>125.72689838467885</c:v>
                </c:pt>
                <c:pt idx="13">
                  <c:v>136.12080658340207</c:v>
                </c:pt>
                <c:pt idx="14">
                  <c:v>146.51471478212531</c:v>
                </c:pt>
                <c:pt idx="15">
                  <c:v>156.90862298084855</c:v>
                </c:pt>
                <c:pt idx="16">
                  <c:v>166.30253117957179</c:v>
                </c:pt>
                <c:pt idx="17">
                  <c:v>167.30253117957179</c:v>
                </c:pt>
                <c:pt idx="18">
                  <c:v>168.30253117957179</c:v>
                </c:pt>
                <c:pt idx="19">
                  <c:v>187.11645529677583</c:v>
                </c:pt>
                <c:pt idx="20">
                  <c:v>205.93037941397986</c:v>
                </c:pt>
                <c:pt idx="21">
                  <c:v>224.7443035311839</c:v>
                </c:pt>
                <c:pt idx="22">
                  <c:v>243.55822764838794</c:v>
                </c:pt>
                <c:pt idx="23">
                  <c:v>262.37215176559198</c:v>
                </c:pt>
                <c:pt idx="24">
                  <c:v>281.18607588279599</c:v>
                </c:pt>
                <c:pt idx="25">
                  <c:v>300</c:v>
                </c:pt>
              </c:numCache>
            </c:numRef>
          </c:xVal>
          <c:yVal>
            <c:numRef>
              <c:f>exercise_PVT!$P$27:$P$52</c:f>
              <c:numCache>
                <c:formatCode>0</c:formatCode>
                <c:ptCount val="26"/>
                <c:pt idx="0">
                  <c:v>2612.2600000000002</c:v>
                </c:pt>
                <c:pt idx="1">
                  <c:v>2612.2600000000002</c:v>
                </c:pt>
                <c:pt idx="2">
                  <c:v>2612.2600000000002</c:v>
                </c:pt>
                <c:pt idx="3">
                  <c:v>2612.2600000000002</c:v>
                </c:pt>
                <c:pt idx="4">
                  <c:v>2612.2600000000002</c:v>
                </c:pt>
                <c:pt idx="5">
                  <c:v>2612.2600000000002</c:v>
                </c:pt>
                <c:pt idx="6">
                  <c:v>2612.2600000000002</c:v>
                </c:pt>
                <c:pt idx="7">
                  <c:v>2612.2600000000002</c:v>
                </c:pt>
                <c:pt idx="8">
                  <c:v>2612.2600000000002</c:v>
                </c:pt>
                <c:pt idx="9">
                  <c:v>2612.2600000000002</c:v>
                </c:pt>
                <c:pt idx="10">
                  <c:v>2612.2600000000002</c:v>
                </c:pt>
                <c:pt idx="11">
                  <c:v>2612.2600000000002</c:v>
                </c:pt>
                <c:pt idx="12">
                  <c:v>2612.2600000000002</c:v>
                </c:pt>
                <c:pt idx="13">
                  <c:v>2612.2600000000002</c:v>
                </c:pt>
                <c:pt idx="14">
                  <c:v>2612.2600000000002</c:v>
                </c:pt>
                <c:pt idx="15">
                  <c:v>2612.2600000000002</c:v>
                </c:pt>
                <c:pt idx="16">
                  <c:v>2612.2600000000002</c:v>
                </c:pt>
                <c:pt idx="17">
                  <c:v>2612.2600000000002</c:v>
                </c:pt>
                <c:pt idx="18">
                  <c:v>2612.2600000000002</c:v>
                </c:pt>
                <c:pt idx="19">
                  <c:v>2612.2600000000002</c:v>
                </c:pt>
                <c:pt idx="20">
                  <c:v>2612.2600000000002</c:v>
                </c:pt>
                <c:pt idx="21">
                  <c:v>2612.2600000000002</c:v>
                </c:pt>
                <c:pt idx="22">
                  <c:v>2612.2600000000002</c:v>
                </c:pt>
                <c:pt idx="23">
                  <c:v>2612.2600000000002</c:v>
                </c:pt>
                <c:pt idx="24">
                  <c:v>2612.2600000000002</c:v>
                </c:pt>
                <c:pt idx="25">
                  <c:v>2612.2600000000002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D4-4996-9618-0FA143BE73AF}"/>
            </c:ext>
          </c:extLst>
        </c:ser>
        <c:ser>
          <c:idx val="1"/>
          <c:order val="1"/>
          <c:tx>
            <c:strRef>
              <c:f>exercise_PVT!$R$26</c:f>
              <c:strCache>
                <c:ptCount val="1"/>
                <c:pt idx="0">
                  <c:v>cpw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0</c:formatCode>
                <c:ptCount val="26"/>
                <c:pt idx="0">
                  <c:v>1</c:v>
                </c:pt>
                <c:pt idx="1">
                  <c:v>11.393908198723237</c:v>
                </c:pt>
                <c:pt idx="2">
                  <c:v>21.787816397446473</c:v>
                </c:pt>
                <c:pt idx="3">
                  <c:v>32.181724596169708</c:v>
                </c:pt>
                <c:pt idx="4">
                  <c:v>42.575632794892947</c:v>
                </c:pt>
                <c:pt idx="5">
                  <c:v>52.969540993616185</c:v>
                </c:pt>
                <c:pt idx="6">
                  <c:v>63.363449192339424</c:v>
                </c:pt>
                <c:pt idx="7">
                  <c:v>73.757357391062655</c:v>
                </c:pt>
                <c:pt idx="8">
                  <c:v>84.151265589785893</c:v>
                </c:pt>
                <c:pt idx="9">
                  <c:v>94.545173788509132</c:v>
                </c:pt>
                <c:pt idx="10">
                  <c:v>104.93908198723237</c:v>
                </c:pt>
                <c:pt idx="11">
                  <c:v>115.33299018595561</c:v>
                </c:pt>
                <c:pt idx="12">
                  <c:v>125.72689838467885</c:v>
                </c:pt>
                <c:pt idx="13">
                  <c:v>136.12080658340207</c:v>
                </c:pt>
                <c:pt idx="14">
                  <c:v>146.51471478212531</c:v>
                </c:pt>
                <c:pt idx="15">
                  <c:v>156.90862298084855</c:v>
                </c:pt>
                <c:pt idx="16">
                  <c:v>166.30253117957179</c:v>
                </c:pt>
                <c:pt idx="17">
                  <c:v>167.30253117957179</c:v>
                </c:pt>
                <c:pt idx="18">
                  <c:v>168.30253117957179</c:v>
                </c:pt>
                <c:pt idx="19">
                  <c:v>187.11645529677583</c:v>
                </c:pt>
                <c:pt idx="20">
                  <c:v>205.93037941397986</c:v>
                </c:pt>
                <c:pt idx="21">
                  <c:v>224.7443035311839</c:v>
                </c:pt>
                <c:pt idx="22">
                  <c:v>243.55822764838794</c:v>
                </c:pt>
                <c:pt idx="23">
                  <c:v>262.37215176559198</c:v>
                </c:pt>
                <c:pt idx="24">
                  <c:v>281.18607588279599</c:v>
                </c:pt>
                <c:pt idx="25">
                  <c:v>300</c:v>
                </c:pt>
              </c:numCache>
            </c:numRef>
          </c:xVal>
          <c:yVal>
            <c:numRef>
              <c:f>exercise_PVT!$R$27:$R$52</c:f>
              <c:numCache>
                <c:formatCode>0</c:formatCode>
                <c:ptCount val="26"/>
                <c:pt idx="0">
                  <c:v>4176</c:v>
                </c:pt>
                <c:pt idx="1">
                  <c:v>4176</c:v>
                </c:pt>
                <c:pt idx="2">
                  <c:v>4176</c:v>
                </c:pt>
                <c:pt idx="3">
                  <c:v>4176</c:v>
                </c:pt>
                <c:pt idx="4">
                  <c:v>4176</c:v>
                </c:pt>
                <c:pt idx="5">
                  <c:v>4176</c:v>
                </c:pt>
                <c:pt idx="6">
                  <c:v>4176</c:v>
                </c:pt>
                <c:pt idx="7">
                  <c:v>4176</c:v>
                </c:pt>
                <c:pt idx="8">
                  <c:v>4176</c:v>
                </c:pt>
                <c:pt idx="9">
                  <c:v>4176</c:v>
                </c:pt>
                <c:pt idx="10">
                  <c:v>4176</c:v>
                </c:pt>
                <c:pt idx="11">
                  <c:v>4176</c:v>
                </c:pt>
                <c:pt idx="12">
                  <c:v>4176</c:v>
                </c:pt>
                <c:pt idx="13">
                  <c:v>4176</c:v>
                </c:pt>
                <c:pt idx="14">
                  <c:v>4176</c:v>
                </c:pt>
                <c:pt idx="15">
                  <c:v>4176</c:v>
                </c:pt>
                <c:pt idx="16">
                  <c:v>4176</c:v>
                </c:pt>
                <c:pt idx="17">
                  <c:v>4176</c:v>
                </c:pt>
                <c:pt idx="18">
                  <c:v>4176</c:v>
                </c:pt>
                <c:pt idx="19">
                  <c:v>4176</c:v>
                </c:pt>
                <c:pt idx="20">
                  <c:v>4176</c:v>
                </c:pt>
                <c:pt idx="21">
                  <c:v>4176</c:v>
                </c:pt>
                <c:pt idx="22">
                  <c:v>4176</c:v>
                </c:pt>
                <c:pt idx="23">
                  <c:v>4176</c:v>
                </c:pt>
                <c:pt idx="24">
                  <c:v>4176</c:v>
                </c:pt>
                <c:pt idx="25">
                  <c:v>4176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D4-4996-9618-0FA143BE73AF}"/>
            </c:ext>
          </c:extLst>
        </c:ser>
        <c:ser>
          <c:idx val="2"/>
          <c:order val="2"/>
          <c:tx>
            <c:strRef>
              <c:f>exercise_PVT!$Q$26</c:f>
              <c:strCache>
                <c:ptCount val="1"/>
                <c:pt idx="0">
                  <c:v>cpg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0</c:formatCode>
                <c:ptCount val="26"/>
                <c:pt idx="0">
                  <c:v>1</c:v>
                </c:pt>
                <c:pt idx="1">
                  <c:v>11.393908198723237</c:v>
                </c:pt>
                <c:pt idx="2">
                  <c:v>21.787816397446473</c:v>
                </c:pt>
                <c:pt idx="3">
                  <c:v>32.181724596169708</c:v>
                </c:pt>
                <c:pt idx="4">
                  <c:v>42.575632794892947</c:v>
                </c:pt>
                <c:pt idx="5">
                  <c:v>52.969540993616185</c:v>
                </c:pt>
                <c:pt idx="6">
                  <c:v>63.363449192339424</c:v>
                </c:pt>
                <c:pt idx="7">
                  <c:v>73.757357391062655</c:v>
                </c:pt>
                <c:pt idx="8">
                  <c:v>84.151265589785893</c:v>
                </c:pt>
                <c:pt idx="9">
                  <c:v>94.545173788509132</c:v>
                </c:pt>
                <c:pt idx="10">
                  <c:v>104.93908198723237</c:v>
                </c:pt>
                <c:pt idx="11">
                  <c:v>115.33299018595561</c:v>
                </c:pt>
                <c:pt idx="12">
                  <c:v>125.72689838467885</c:v>
                </c:pt>
                <c:pt idx="13">
                  <c:v>136.12080658340207</c:v>
                </c:pt>
                <c:pt idx="14">
                  <c:v>146.51471478212531</c:v>
                </c:pt>
                <c:pt idx="15">
                  <c:v>156.90862298084855</c:v>
                </c:pt>
                <c:pt idx="16">
                  <c:v>166.30253117957179</c:v>
                </c:pt>
                <c:pt idx="17">
                  <c:v>167.30253117957179</c:v>
                </c:pt>
                <c:pt idx="18">
                  <c:v>168.30253117957179</c:v>
                </c:pt>
                <c:pt idx="19">
                  <c:v>187.11645529677583</c:v>
                </c:pt>
                <c:pt idx="20">
                  <c:v>205.93037941397986</c:v>
                </c:pt>
                <c:pt idx="21">
                  <c:v>224.7443035311839</c:v>
                </c:pt>
                <c:pt idx="22">
                  <c:v>243.55822764838794</c:v>
                </c:pt>
                <c:pt idx="23">
                  <c:v>262.37215176559198</c:v>
                </c:pt>
                <c:pt idx="24">
                  <c:v>281.18607588279599</c:v>
                </c:pt>
                <c:pt idx="25">
                  <c:v>300</c:v>
                </c:pt>
              </c:numCache>
            </c:numRef>
          </c:xVal>
          <c:yVal>
            <c:numRef>
              <c:f>exercise_PVT!$Q$27:$Q$52</c:f>
              <c:numCache>
                <c:formatCode>0</c:formatCode>
                <c:ptCount val="26"/>
                <c:pt idx="0">
                  <c:v>1925.7003792225805</c:v>
                </c:pt>
                <c:pt idx="1">
                  <c:v>1876.8407676849481</c:v>
                </c:pt>
                <c:pt idx="2">
                  <c:v>1824.3257680282316</c:v>
                </c:pt>
                <c:pt idx="3">
                  <c:v>1767.4621699214592</c:v>
                </c:pt>
                <c:pt idx="4">
                  <c:v>1707.2830510490837</c:v>
                </c:pt>
                <c:pt idx="5">
                  <c:v>1646.1002248700099</c:v>
                </c:pt>
                <c:pt idx="6">
                  <c:v>1586.848051579776</c:v>
                </c:pt>
                <c:pt idx="7">
                  <c:v>1532.3866443480701</c:v>
                </c:pt>
                <c:pt idx="8">
                  <c:v>1484.9732499359152</c:v>
                </c:pt>
                <c:pt idx="9">
                  <c:v>1446.0133455388964</c:v>
                </c:pt>
                <c:pt idx="10">
                  <c:v>1416.0690146987381</c:v>
                </c:pt>
                <c:pt idx="11">
                  <c:v>1395.0241683049328</c:v>
                </c:pt>
                <c:pt idx="12">
                  <c:v>1382.3019982779763</c:v>
                </c:pt>
                <c:pt idx="13">
                  <c:v>1377.0657724145951</c:v>
                </c:pt>
                <c:pt idx="14">
                  <c:v>1378.3732646112678</c:v>
                </c:pt>
                <c:pt idx="15">
                  <c:v>1385.2810762157062</c:v>
                </c:pt>
                <c:pt idx="16">
                  <c:v>1395.6059664978727</c:v>
                </c:pt>
                <c:pt idx="17">
                  <c:v>1396.9070957353338</c:v>
                </c:pt>
                <c:pt idx="18">
                  <c:v>1398.2445148388049</c:v>
                </c:pt>
                <c:pt idx="19">
                  <c:v>1429.3799821799669</c:v>
                </c:pt>
                <c:pt idx="20">
                  <c:v>1469.472410856112</c:v>
                </c:pt>
                <c:pt idx="21">
                  <c:v>1515.7993212400152</c:v>
                </c:pt>
                <c:pt idx="22">
                  <c:v>1566.464041949326</c:v>
                </c:pt>
                <c:pt idx="23">
                  <c:v>1620.1783661791044</c:v>
                </c:pt>
                <c:pt idx="24">
                  <c:v>1676.0807221805762</c:v>
                </c:pt>
                <c:pt idx="25">
                  <c:v>1733.5991597636048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D4-4996-9618-0FA143BE7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 val="autoZero"/>
        <c:crossBetween val="midCat"/>
      </c:valAx>
      <c:valAx>
        <c:axId val="40239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Теплоемкость,</a:t>
                </a:r>
                <a:r>
                  <a:rPr lang="ru-RU" baseline="0"/>
                  <a:t>  Дж/кг/С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Сжимаемость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exercise_PVT!$T$26</c:f>
              <c:strCache>
                <c:ptCount val="1"/>
                <c:pt idx="0">
                  <c:v>co</c:v>
                </c:pt>
              </c:strCache>
            </c:strRef>
          </c:tx>
          <c:xVal>
            <c:numRef>
              <c:f>exercise_PVT!$B$27:$B$52</c:f>
              <c:numCache>
                <c:formatCode>0</c:formatCode>
                <c:ptCount val="26"/>
                <c:pt idx="0">
                  <c:v>1</c:v>
                </c:pt>
                <c:pt idx="1">
                  <c:v>11.393908198723237</c:v>
                </c:pt>
                <c:pt idx="2">
                  <c:v>21.787816397446473</c:v>
                </c:pt>
                <c:pt idx="3">
                  <c:v>32.181724596169708</c:v>
                </c:pt>
                <c:pt idx="4">
                  <c:v>42.575632794892947</c:v>
                </c:pt>
                <c:pt idx="5">
                  <c:v>52.969540993616185</c:v>
                </c:pt>
                <c:pt idx="6">
                  <c:v>63.363449192339424</c:v>
                </c:pt>
                <c:pt idx="7">
                  <c:v>73.757357391062655</c:v>
                </c:pt>
                <c:pt idx="8">
                  <c:v>84.151265589785893</c:v>
                </c:pt>
                <c:pt idx="9">
                  <c:v>94.545173788509132</c:v>
                </c:pt>
                <c:pt idx="10">
                  <c:v>104.93908198723237</c:v>
                </c:pt>
                <c:pt idx="11">
                  <c:v>115.33299018595561</c:v>
                </c:pt>
                <c:pt idx="12">
                  <c:v>125.72689838467885</c:v>
                </c:pt>
                <c:pt idx="13">
                  <c:v>136.12080658340207</c:v>
                </c:pt>
                <c:pt idx="14">
                  <c:v>146.51471478212531</c:v>
                </c:pt>
                <c:pt idx="15">
                  <c:v>156.90862298084855</c:v>
                </c:pt>
                <c:pt idx="16">
                  <c:v>166.30253117957179</c:v>
                </c:pt>
                <c:pt idx="17">
                  <c:v>167.30253117957179</c:v>
                </c:pt>
                <c:pt idx="18">
                  <c:v>168.30253117957179</c:v>
                </c:pt>
                <c:pt idx="19">
                  <c:v>187.11645529677583</c:v>
                </c:pt>
                <c:pt idx="20">
                  <c:v>205.93037941397986</c:v>
                </c:pt>
                <c:pt idx="21">
                  <c:v>224.7443035311839</c:v>
                </c:pt>
                <c:pt idx="22">
                  <c:v>243.55822764838794</c:v>
                </c:pt>
                <c:pt idx="23">
                  <c:v>262.37215176559198</c:v>
                </c:pt>
                <c:pt idx="24">
                  <c:v>281.18607588279599</c:v>
                </c:pt>
                <c:pt idx="25">
                  <c:v>300</c:v>
                </c:pt>
              </c:numCache>
            </c:numRef>
          </c:xVal>
          <c:yVal>
            <c:numRef>
              <c:f>exercise_PVT!$T$27:$T$52</c:f>
              <c:numCache>
                <c:formatCode>0.0E+00</c:formatCode>
                <c:ptCount val="26"/>
                <c:pt idx="0">
                  <c:v>0.34467666273518999</c:v>
                </c:pt>
                <c:pt idx="1">
                  <c:v>4.6804793759818913E-2</c:v>
                </c:pt>
                <c:pt idx="2">
                  <c:v>2.6089932935326035E-2</c:v>
                </c:pt>
                <c:pt idx="3">
                  <c:v>1.7709947061691315E-2</c:v>
                </c:pt>
                <c:pt idx="4">
                  <c:v>1.3011934420075127E-2</c:v>
                </c:pt>
                <c:pt idx="5">
                  <c:v>9.9604716601682883E-3</c:v>
                </c:pt>
                <c:pt idx="6">
                  <c:v>7.8143271349144193E-3</c:v>
                </c:pt>
                <c:pt idx="7">
                  <c:v>6.2333602832086122E-3</c:v>
                </c:pt>
                <c:pt idx="8">
                  <c:v>5.0350597735005333E-3</c:v>
                </c:pt>
                <c:pt idx="9">
                  <c:v>4.109373791481759E-3</c:v>
                </c:pt>
                <c:pt idx="10">
                  <c:v>3.3840310728787395E-3</c:v>
                </c:pt>
                <c:pt idx="11">
                  <c:v>2.8087591501557963E-3</c:v>
                </c:pt>
                <c:pt idx="12">
                  <c:v>2.3473198868552616E-3</c:v>
                </c:pt>
                <c:pt idx="13">
                  <c:v>1.9730414425919562E-3</c:v>
                </c:pt>
                <c:pt idx="14">
                  <c:v>1.6660527208179653E-3</c:v>
                </c:pt>
                <c:pt idx="15">
                  <c:v>1.4114355585955543E-3</c:v>
                </c:pt>
                <c:pt idx="16">
                  <c:v>1.216934167766367E-3</c:v>
                </c:pt>
                <c:pt idx="17">
                  <c:v>1.1979266864905575E-3</c:v>
                </c:pt>
                <c:pt idx="18">
                  <c:v>2.540792806074091E-4</c:v>
                </c:pt>
                <c:pt idx="19">
                  <c:v>2.2853247181648843E-4</c:v>
                </c:pt>
                <c:pt idx="20">
                  <c:v>2.0765360685587447E-4</c:v>
                </c:pt>
                <c:pt idx="21">
                  <c:v>1.9027038894704737E-4</c:v>
                </c:pt>
                <c:pt idx="22">
                  <c:v>1.7557274274571062E-4</c:v>
                </c:pt>
                <c:pt idx="23">
                  <c:v>1.6298294525066877E-4</c:v>
                </c:pt>
                <c:pt idx="24">
                  <c:v>1.5207789330342152E-4</c:v>
                </c:pt>
                <c:pt idx="25">
                  <c:v>1.4254062015503879E-4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F2-4AD2-AE29-37244DC907C2}"/>
            </c:ext>
          </c:extLst>
        </c:ser>
        <c:ser>
          <c:idx val="1"/>
          <c:order val="1"/>
          <c:tx>
            <c:strRef>
              <c:f>exercise_PVT!$S$26</c:f>
              <c:strCache>
                <c:ptCount val="1"/>
                <c:pt idx="0">
                  <c:v>cw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pPr>
              <a:solidFill>
                <a:sysClr val="window" lastClr="FFFFFF">
                  <a:lumMod val="95000"/>
                </a:sysClr>
              </a:solidFill>
            </c:spPr>
          </c:marker>
          <c:xVal>
            <c:numRef>
              <c:f>exercise_PVT!$B$27:$B$52</c:f>
              <c:numCache>
                <c:formatCode>0</c:formatCode>
                <c:ptCount val="26"/>
                <c:pt idx="0">
                  <c:v>1</c:v>
                </c:pt>
                <c:pt idx="1">
                  <c:v>11.393908198723237</c:v>
                </c:pt>
                <c:pt idx="2">
                  <c:v>21.787816397446473</c:v>
                </c:pt>
                <c:pt idx="3">
                  <c:v>32.181724596169708</c:v>
                </c:pt>
                <c:pt idx="4">
                  <c:v>42.575632794892947</c:v>
                </c:pt>
                <c:pt idx="5">
                  <c:v>52.969540993616185</c:v>
                </c:pt>
                <c:pt idx="6">
                  <c:v>63.363449192339424</c:v>
                </c:pt>
                <c:pt idx="7">
                  <c:v>73.757357391062655</c:v>
                </c:pt>
                <c:pt idx="8">
                  <c:v>84.151265589785893</c:v>
                </c:pt>
                <c:pt idx="9">
                  <c:v>94.545173788509132</c:v>
                </c:pt>
                <c:pt idx="10">
                  <c:v>104.93908198723237</c:v>
                </c:pt>
                <c:pt idx="11">
                  <c:v>115.33299018595561</c:v>
                </c:pt>
                <c:pt idx="12">
                  <c:v>125.72689838467885</c:v>
                </c:pt>
                <c:pt idx="13">
                  <c:v>136.12080658340207</c:v>
                </c:pt>
                <c:pt idx="14">
                  <c:v>146.51471478212531</c:v>
                </c:pt>
                <c:pt idx="15">
                  <c:v>156.90862298084855</c:v>
                </c:pt>
                <c:pt idx="16">
                  <c:v>166.30253117957179</c:v>
                </c:pt>
                <c:pt idx="17">
                  <c:v>167.30253117957179</c:v>
                </c:pt>
                <c:pt idx="18">
                  <c:v>168.30253117957179</c:v>
                </c:pt>
                <c:pt idx="19">
                  <c:v>187.11645529677583</c:v>
                </c:pt>
                <c:pt idx="20">
                  <c:v>205.93037941397986</c:v>
                </c:pt>
                <c:pt idx="21">
                  <c:v>224.7443035311839</c:v>
                </c:pt>
                <c:pt idx="22">
                  <c:v>243.55822764838794</c:v>
                </c:pt>
                <c:pt idx="23">
                  <c:v>262.37215176559198</c:v>
                </c:pt>
                <c:pt idx="24">
                  <c:v>281.18607588279599</c:v>
                </c:pt>
                <c:pt idx="25">
                  <c:v>300</c:v>
                </c:pt>
              </c:numCache>
            </c:numRef>
          </c:xVal>
          <c:yVal>
            <c:numRef>
              <c:f>exercise_PVT!$S$27:$S$52</c:f>
              <c:numCache>
                <c:formatCode>0.0E+00</c:formatCode>
                <c:ptCount val="26"/>
                <c:pt idx="0">
                  <c:v>3.7837462027951241E-5</c:v>
                </c:pt>
                <c:pt idx="1">
                  <c:v>3.7731715854733125E-5</c:v>
                </c:pt>
                <c:pt idx="2">
                  <c:v>3.7626559102055887E-5</c:v>
                </c:pt>
                <c:pt idx="3">
                  <c:v>3.7521986855542694E-5</c:v>
                </c:pt>
                <c:pt idx="4">
                  <c:v>3.7417994255297712E-5</c:v>
                </c:pt>
                <c:pt idx="5">
                  <c:v>3.7314576495153219E-5</c:v>
                </c:pt>
                <c:pt idx="6">
                  <c:v>3.7211728821929179E-5</c:v>
                </c:pt>
                <c:pt idx="7">
                  <c:v>3.7109446534704977E-5</c:v>
                </c:pt>
                <c:pt idx="8">
                  <c:v>3.7007724984103241E-5</c:v>
                </c:pt>
                <c:pt idx="9">
                  <c:v>3.6906559571585264E-5</c:v>
                </c:pt>
                <c:pt idx="10">
                  <c:v>3.6805945748758087E-5</c:v>
                </c:pt>
                <c:pt idx="11">
                  <c:v>3.6705879016692803E-5</c:v>
                </c:pt>
                <c:pt idx="12">
                  <c:v>3.6606354925253977E-5</c:v>
                </c:pt>
                <c:pt idx="13">
                  <c:v>3.6507369072439929E-5</c:v>
                </c:pt>
                <c:pt idx="14">
                  <c:v>3.6408917103733729E-5</c:v>
                </c:pt>
                <c:pt idx="15">
                  <c:v>3.6310994711464635E-5</c:v>
                </c:pt>
                <c:pt idx="16">
                  <c:v>3.6222945504182631E-5</c:v>
                </c:pt>
                <c:pt idx="17">
                  <c:v>3.6213597634179809E-5</c:v>
                </c:pt>
                <c:pt idx="18">
                  <c:v>3.6204254587646077E-5</c:v>
                </c:pt>
                <c:pt idx="19">
                  <c:v>3.6029369455419434E-5</c:v>
                </c:pt>
                <c:pt idx="20">
                  <c:v>3.5856165770841603E-5</c:v>
                </c:pt>
                <c:pt idx="21">
                  <c:v>3.5684619400302491E-5</c:v>
                </c:pt>
                <c:pt idx="22">
                  <c:v>3.5514706669841871E-5</c:v>
                </c:pt>
                <c:pt idx="23">
                  <c:v>3.5346404354258074E-5</c:v>
                </c:pt>
                <c:pt idx="24">
                  <c:v>3.5179689666524969E-5</c:v>
                </c:pt>
                <c:pt idx="25">
                  <c:v>3.5014540247506962E-5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F2-4AD2-AE29-37244DC907C2}"/>
            </c:ext>
          </c:extLst>
        </c:ser>
        <c:ser>
          <c:idx val="2"/>
          <c:order val="2"/>
          <c:tx>
            <c:strRef>
              <c:f>exercise_PVT!$U$26</c:f>
              <c:strCache>
                <c:ptCount val="1"/>
                <c:pt idx="0">
                  <c:v>cg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0</c:formatCode>
                <c:ptCount val="26"/>
                <c:pt idx="0">
                  <c:v>1</c:v>
                </c:pt>
                <c:pt idx="1">
                  <c:v>11.393908198723237</c:v>
                </c:pt>
                <c:pt idx="2">
                  <c:v>21.787816397446473</c:v>
                </c:pt>
                <c:pt idx="3">
                  <c:v>32.181724596169708</c:v>
                </c:pt>
                <c:pt idx="4">
                  <c:v>42.575632794892947</c:v>
                </c:pt>
                <c:pt idx="5">
                  <c:v>52.969540993616185</c:v>
                </c:pt>
                <c:pt idx="6">
                  <c:v>63.363449192339424</c:v>
                </c:pt>
                <c:pt idx="7">
                  <c:v>73.757357391062655</c:v>
                </c:pt>
                <c:pt idx="8">
                  <c:v>84.151265589785893</c:v>
                </c:pt>
                <c:pt idx="9">
                  <c:v>94.545173788509132</c:v>
                </c:pt>
                <c:pt idx="10">
                  <c:v>104.93908198723237</c:v>
                </c:pt>
                <c:pt idx="11">
                  <c:v>115.33299018595561</c:v>
                </c:pt>
                <c:pt idx="12">
                  <c:v>125.72689838467885</c:v>
                </c:pt>
                <c:pt idx="13">
                  <c:v>136.12080658340207</c:v>
                </c:pt>
                <c:pt idx="14">
                  <c:v>146.51471478212531</c:v>
                </c:pt>
                <c:pt idx="15">
                  <c:v>156.90862298084855</c:v>
                </c:pt>
                <c:pt idx="16">
                  <c:v>166.30253117957179</c:v>
                </c:pt>
                <c:pt idx="17">
                  <c:v>167.30253117957179</c:v>
                </c:pt>
                <c:pt idx="18">
                  <c:v>168.30253117957179</c:v>
                </c:pt>
                <c:pt idx="19">
                  <c:v>187.11645529677583</c:v>
                </c:pt>
                <c:pt idx="20">
                  <c:v>205.93037941397986</c:v>
                </c:pt>
                <c:pt idx="21">
                  <c:v>224.7443035311839</c:v>
                </c:pt>
                <c:pt idx="22">
                  <c:v>243.55822764838794</c:v>
                </c:pt>
                <c:pt idx="23">
                  <c:v>262.37215176559198</c:v>
                </c:pt>
                <c:pt idx="24">
                  <c:v>281.18607588279599</c:v>
                </c:pt>
                <c:pt idx="25">
                  <c:v>300</c:v>
                </c:pt>
              </c:numCache>
            </c:numRef>
          </c:xVal>
          <c:yVal>
            <c:numRef>
              <c:f>exercise_PVT!$U$27:$U$52</c:f>
              <c:numCache>
                <c:formatCode>0.0E+00</c:formatCode>
                <c:ptCount val="26"/>
                <c:pt idx="0">
                  <c:v>1.0023857707950601</c:v>
                </c:pt>
                <c:pt idx="1">
                  <c:v>9.0351417747189355E-2</c:v>
                </c:pt>
                <c:pt idx="2">
                  <c:v>4.8784567557643953E-2</c:v>
                </c:pt>
                <c:pt idx="3">
                  <c:v>3.4276190801494189E-2</c:v>
                </c:pt>
                <c:pt idx="4">
                  <c:v>2.6933435218216534E-2</c:v>
                </c:pt>
                <c:pt idx="5">
                  <c:v>2.2427279295988079E-2</c:v>
                </c:pt>
                <c:pt idx="6">
                  <c:v>1.9254443250475466E-2</c:v>
                </c:pt>
                <c:pt idx="7">
                  <c:v>1.6773305878614034E-2</c:v>
                </c:pt>
                <c:pt idx="8">
                  <c:v>1.4689148673593137E-2</c:v>
                </c:pt>
                <c:pt idx="9">
                  <c:v>1.2868358419247067E-2</c:v>
                </c:pt>
                <c:pt idx="10">
                  <c:v>1.1254182989979144E-2</c:v>
                </c:pt>
                <c:pt idx="11">
                  <c:v>9.8236757977553848E-3</c:v>
                </c:pt>
                <c:pt idx="12">
                  <c:v>8.5656212085840257E-3</c:v>
                </c:pt>
                <c:pt idx="13">
                  <c:v>7.4703216303122853E-3</c:v>
                </c:pt>
                <c:pt idx="14">
                  <c:v>6.5259640812269813E-3</c:v>
                </c:pt>
                <c:pt idx="15">
                  <c:v>5.7182631519854402E-3</c:v>
                </c:pt>
                <c:pt idx="16">
                  <c:v>5.0926865814629125E-3</c:v>
                </c:pt>
                <c:pt idx="17">
                  <c:v>5.0314112276693577E-3</c:v>
                </c:pt>
                <c:pt idx="18">
                  <c:v>4.9711047078104982E-3</c:v>
                </c:pt>
                <c:pt idx="19">
                  <c:v>3.9992295055690649E-3</c:v>
                </c:pt>
                <c:pt idx="20">
                  <c:v>3.2788444915380715E-3</c:v>
                </c:pt>
                <c:pt idx="21">
                  <c:v>2.73951340680556E-3</c:v>
                </c:pt>
                <c:pt idx="22">
                  <c:v>2.328770378566851E-3</c:v>
                </c:pt>
                <c:pt idx="23">
                  <c:v>2.0093401480622756E-3</c:v>
                </c:pt>
                <c:pt idx="24">
                  <c:v>1.7553917076249014E-3</c:v>
                </c:pt>
                <c:pt idx="25">
                  <c:v>1.5492036754003349E-3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F2-4AD2-AE29-37244DC90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 val="autoZero"/>
        <c:crossBetween val="midCat"/>
      </c:valAx>
      <c:valAx>
        <c:axId val="4023944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Сжимаемость 1/атм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</a:t>
            </a:r>
            <a:r>
              <a:rPr lang="en-US" sz="1400" b="0" i="0" u="none" strike="noStrike" baseline="0">
                <a:effectLst/>
              </a:rPr>
              <a:t>𝑅𝑠</a:t>
            </a:r>
            <a:r>
              <a:rPr lang="ru-RU"/>
              <a:t>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exercise_PVT!$D$26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exercise_PVT!$B$27:$B$52</c:f>
              <c:numCache>
                <c:formatCode>0</c:formatCode>
                <c:ptCount val="26"/>
                <c:pt idx="0">
                  <c:v>1</c:v>
                </c:pt>
                <c:pt idx="1">
                  <c:v>11.393908198723237</c:v>
                </c:pt>
                <c:pt idx="2">
                  <c:v>21.787816397446473</c:v>
                </c:pt>
                <c:pt idx="3">
                  <c:v>32.181724596169708</c:v>
                </c:pt>
                <c:pt idx="4">
                  <c:v>42.575632794892947</c:v>
                </c:pt>
                <c:pt idx="5">
                  <c:v>52.969540993616185</c:v>
                </c:pt>
                <c:pt idx="6">
                  <c:v>63.363449192339424</c:v>
                </c:pt>
                <c:pt idx="7">
                  <c:v>73.757357391062655</c:v>
                </c:pt>
                <c:pt idx="8">
                  <c:v>84.151265589785893</c:v>
                </c:pt>
                <c:pt idx="9">
                  <c:v>94.545173788509132</c:v>
                </c:pt>
                <c:pt idx="10">
                  <c:v>104.93908198723237</c:v>
                </c:pt>
                <c:pt idx="11">
                  <c:v>115.33299018595561</c:v>
                </c:pt>
                <c:pt idx="12">
                  <c:v>125.72689838467885</c:v>
                </c:pt>
                <c:pt idx="13">
                  <c:v>136.12080658340207</c:v>
                </c:pt>
                <c:pt idx="14">
                  <c:v>146.51471478212531</c:v>
                </c:pt>
                <c:pt idx="15">
                  <c:v>156.90862298084855</c:v>
                </c:pt>
                <c:pt idx="16">
                  <c:v>166.30253117957179</c:v>
                </c:pt>
                <c:pt idx="17">
                  <c:v>167.30253117957179</c:v>
                </c:pt>
                <c:pt idx="18">
                  <c:v>168.30253117957179</c:v>
                </c:pt>
                <c:pt idx="19">
                  <c:v>187.11645529677583</c:v>
                </c:pt>
                <c:pt idx="20">
                  <c:v>205.93037941397986</c:v>
                </c:pt>
                <c:pt idx="21">
                  <c:v>224.7443035311839</c:v>
                </c:pt>
                <c:pt idx="22">
                  <c:v>243.55822764838794</c:v>
                </c:pt>
                <c:pt idx="23">
                  <c:v>262.37215176559198</c:v>
                </c:pt>
                <c:pt idx="24">
                  <c:v>281.18607588279599</c:v>
                </c:pt>
                <c:pt idx="25">
                  <c:v>300</c:v>
                </c:pt>
              </c:numCache>
            </c:numRef>
          </c:xVal>
          <c:yVal>
            <c:numRef>
              <c:f>exercise_PVT!$D$27:$D$52</c:f>
              <c:numCache>
                <c:formatCode>0</c:formatCode>
                <c:ptCount val="26"/>
                <c:pt idx="0">
                  <c:v>0.25089974166166029</c:v>
                </c:pt>
                <c:pt idx="1">
                  <c:v>4.6960656995819416</c:v>
                </c:pt>
                <c:pt idx="2">
                  <c:v>10.249661367567072</c:v>
                </c:pt>
                <c:pt idx="3">
                  <c:v>16.393127931324145</c:v>
                </c:pt>
                <c:pt idx="4">
                  <c:v>22.962025369134636</c:v>
                </c:pt>
                <c:pt idx="5">
                  <c:v>29.86948746073293</c:v>
                </c:pt>
                <c:pt idx="6">
                  <c:v>37.060744671252294</c:v>
                </c:pt>
                <c:pt idx="7">
                  <c:v>44.49772968355434</c:v>
                </c:pt>
                <c:pt idx="8">
                  <c:v>52.152272714803246</c:v>
                </c:pt>
                <c:pt idx="9">
                  <c:v>60.002591651916042</c:v>
                </c:pt>
                <c:pt idx="10">
                  <c:v>68.031285283769989</c:v>
                </c:pt>
                <c:pt idx="11">
                  <c:v>76.224097444626324</c:v>
                </c:pt>
                <c:pt idx="12">
                  <c:v>84.569111766627557</c:v>
                </c:pt>
                <c:pt idx="13">
                  <c:v>93.056203192569171</c:v>
                </c:pt>
                <c:pt idx="14">
                  <c:v>101.67665072192808</c:v>
                </c:pt>
                <c:pt idx="15">
                  <c:v>110.42285575969342</c:v>
                </c:pt>
                <c:pt idx="16">
                  <c:v>118.43019403718789</c:v>
                </c:pt>
                <c:pt idx="17">
                  <c:v>119.28813209487186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59-4CD5-BD5B-7C93F7FF9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 </a:t>
                </a:r>
                <a:r>
                  <a:rPr lang="en-US" sz="1000" b="0" i="0" u="none" strike="noStrike" baseline="0">
                    <a:effectLst/>
                  </a:rPr>
                  <a:t>𝑅𝑠</a:t>
                </a:r>
                <a:r>
                  <a:rPr lang="ru-RU"/>
                  <a:t>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 нефти</a:t>
            </a:r>
            <a:r>
              <a:rPr lang="en-US" baseline="0"/>
              <a:t>,</a:t>
            </a:r>
            <a:r>
              <a:rPr lang="ru-RU" baseline="0"/>
              <a:t> газа</a:t>
            </a:r>
            <a:r>
              <a:rPr lang="en-US" baseline="0"/>
              <a:t> </a:t>
            </a:r>
            <a:r>
              <a:rPr lang="ru-RU" baseline="0"/>
              <a:t>и воды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800614540425814"/>
          <c:y val="0.12115779913539503"/>
          <c:w val="0.82843894899536319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exercise_PVT!$E$26</c:f>
              <c:strCache>
                <c:ptCount val="1"/>
                <c:pt idx="0">
                  <c:v>Bo</c:v>
                </c:pt>
              </c:strCache>
            </c:strRef>
          </c:tx>
          <c:xVal>
            <c:numRef>
              <c:f>exercise_PVT!$B$27:$B$52</c:f>
              <c:numCache>
                <c:formatCode>0</c:formatCode>
                <c:ptCount val="26"/>
                <c:pt idx="0">
                  <c:v>1</c:v>
                </c:pt>
                <c:pt idx="1">
                  <c:v>11.393908198723237</c:v>
                </c:pt>
                <c:pt idx="2">
                  <c:v>21.787816397446473</c:v>
                </c:pt>
                <c:pt idx="3">
                  <c:v>32.181724596169708</c:v>
                </c:pt>
                <c:pt idx="4">
                  <c:v>42.575632794892947</c:v>
                </c:pt>
                <c:pt idx="5">
                  <c:v>52.969540993616185</c:v>
                </c:pt>
                <c:pt idx="6">
                  <c:v>63.363449192339424</c:v>
                </c:pt>
                <c:pt idx="7">
                  <c:v>73.757357391062655</c:v>
                </c:pt>
                <c:pt idx="8">
                  <c:v>84.151265589785893</c:v>
                </c:pt>
                <c:pt idx="9">
                  <c:v>94.545173788509132</c:v>
                </c:pt>
                <c:pt idx="10">
                  <c:v>104.93908198723237</c:v>
                </c:pt>
                <c:pt idx="11">
                  <c:v>115.33299018595561</c:v>
                </c:pt>
                <c:pt idx="12">
                  <c:v>125.72689838467885</c:v>
                </c:pt>
                <c:pt idx="13">
                  <c:v>136.12080658340207</c:v>
                </c:pt>
                <c:pt idx="14">
                  <c:v>146.51471478212531</c:v>
                </c:pt>
                <c:pt idx="15">
                  <c:v>156.90862298084855</c:v>
                </c:pt>
                <c:pt idx="16">
                  <c:v>166.30253117957179</c:v>
                </c:pt>
                <c:pt idx="17">
                  <c:v>167.30253117957179</c:v>
                </c:pt>
                <c:pt idx="18">
                  <c:v>168.30253117957179</c:v>
                </c:pt>
                <c:pt idx="19">
                  <c:v>187.11645529677583</c:v>
                </c:pt>
                <c:pt idx="20">
                  <c:v>205.93037941397986</c:v>
                </c:pt>
                <c:pt idx="21">
                  <c:v>224.7443035311839</c:v>
                </c:pt>
                <c:pt idx="22">
                  <c:v>243.55822764838794</c:v>
                </c:pt>
                <c:pt idx="23">
                  <c:v>262.37215176559198</c:v>
                </c:pt>
                <c:pt idx="24">
                  <c:v>281.18607588279599</c:v>
                </c:pt>
                <c:pt idx="25">
                  <c:v>300</c:v>
                </c:pt>
              </c:numCache>
            </c:numRef>
          </c:xVal>
          <c:yVal>
            <c:numRef>
              <c:f>exercise_PVT!$E$27:$E$52</c:f>
              <c:numCache>
                <c:formatCode>0.00</c:formatCode>
                <c:ptCount val="26"/>
                <c:pt idx="0">
                  <c:v>1.0554189485394045</c:v>
                </c:pt>
                <c:pt idx="1">
                  <c:v>1.0668706548910791</c:v>
                </c:pt>
                <c:pt idx="2">
                  <c:v>1.0814710955140383</c:v>
                </c:pt>
                <c:pt idx="3">
                  <c:v>1.0979667699927911</c:v>
                </c:pt>
                <c:pt idx="4">
                  <c:v>1.1159678669053985</c:v>
                </c:pt>
                <c:pt idx="5">
                  <c:v>1.1352654486524354</c:v>
                </c:pt>
                <c:pt idx="6">
                  <c:v>1.1557235779655699</c:v>
                </c:pt>
                <c:pt idx="7">
                  <c:v>1.1772439628901397</c:v>
                </c:pt>
                <c:pt idx="8">
                  <c:v>1.1997507079804024</c:v>
                </c:pt>
                <c:pt idx="9">
                  <c:v>1.2231825715469771</c:v>
                </c:pt>
                <c:pt idx="10">
                  <c:v>1.2474885699268174</c:v>
                </c:pt>
                <c:pt idx="11">
                  <c:v>1.272625268811471</c:v>
                </c:pt>
                <c:pt idx="12">
                  <c:v>1.2985550060918987</c:v>
                </c:pt>
                <c:pt idx="13">
                  <c:v>1.3252446668676323</c:v>
                </c:pt>
                <c:pt idx="14">
                  <c:v>1.3526648049189831</c:v>
                </c:pt>
                <c:pt idx="15">
                  <c:v>1.3807889919367839</c:v>
                </c:pt>
                <c:pt idx="16">
                  <c:v>1.4067930967315705</c:v>
                </c:pt>
                <c:pt idx="17">
                  <c:v>1.4095933223850325</c:v>
                </c:pt>
                <c:pt idx="18">
                  <c:v>1.4115601240081945</c:v>
                </c:pt>
                <c:pt idx="19">
                  <c:v>1.4055399258906733</c:v>
                </c:pt>
                <c:pt idx="20">
                  <c:v>1.4006388176913427</c:v>
                </c:pt>
                <c:pt idx="21">
                  <c:v>1.3965713184791735</c:v>
                </c:pt>
                <c:pt idx="22">
                  <c:v>1.3931414333627599</c:v>
                </c:pt>
                <c:pt idx="23">
                  <c:v>1.3902101407945431</c:v>
                </c:pt>
                <c:pt idx="24">
                  <c:v>1.3876760942362232</c:v>
                </c:pt>
                <c:pt idx="25">
                  <c:v>1.3854636700215823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0F5-9F97-B6024E10C659}"/>
            </c:ext>
          </c:extLst>
        </c:ser>
        <c:ser>
          <c:idx val="2"/>
          <c:order val="1"/>
          <c:tx>
            <c:strRef>
              <c:f>exercise_PVT!$L$26</c:f>
              <c:strCache>
                <c:ptCount val="1"/>
                <c:pt idx="0">
                  <c:v>Bg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0</c:formatCode>
                <c:ptCount val="26"/>
                <c:pt idx="0">
                  <c:v>1</c:v>
                </c:pt>
                <c:pt idx="1">
                  <c:v>11.393908198723237</c:v>
                </c:pt>
                <c:pt idx="2">
                  <c:v>21.787816397446473</c:v>
                </c:pt>
                <c:pt idx="3">
                  <c:v>32.181724596169708</c:v>
                </c:pt>
                <c:pt idx="4">
                  <c:v>42.575632794892947</c:v>
                </c:pt>
                <c:pt idx="5">
                  <c:v>52.969540993616185</c:v>
                </c:pt>
                <c:pt idx="6">
                  <c:v>63.363449192339424</c:v>
                </c:pt>
                <c:pt idx="7">
                  <c:v>73.757357391062655</c:v>
                </c:pt>
                <c:pt idx="8">
                  <c:v>84.151265589785893</c:v>
                </c:pt>
                <c:pt idx="9">
                  <c:v>94.545173788509132</c:v>
                </c:pt>
                <c:pt idx="10">
                  <c:v>104.93908198723237</c:v>
                </c:pt>
                <c:pt idx="11">
                  <c:v>115.33299018595561</c:v>
                </c:pt>
                <c:pt idx="12">
                  <c:v>125.72689838467885</c:v>
                </c:pt>
                <c:pt idx="13">
                  <c:v>136.12080658340207</c:v>
                </c:pt>
                <c:pt idx="14">
                  <c:v>146.51471478212531</c:v>
                </c:pt>
                <c:pt idx="15">
                  <c:v>156.90862298084855</c:v>
                </c:pt>
                <c:pt idx="16">
                  <c:v>166.30253117957179</c:v>
                </c:pt>
                <c:pt idx="17">
                  <c:v>167.30253117957179</c:v>
                </c:pt>
                <c:pt idx="18">
                  <c:v>168.30253117957179</c:v>
                </c:pt>
                <c:pt idx="19">
                  <c:v>187.11645529677583</c:v>
                </c:pt>
                <c:pt idx="20">
                  <c:v>205.93037941397986</c:v>
                </c:pt>
                <c:pt idx="21">
                  <c:v>224.7443035311839</c:v>
                </c:pt>
                <c:pt idx="22">
                  <c:v>243.55822764838794</c:v>
                </c:pt>
                <c:pt idx="23">
                  <c:v>262.37215176559198</c:v>
                </c:pt>
                <c:pt idx="24">
                  <c:v>281.18607588279599</c:v>
                </c:pt>
                <c:pt idx="25">
                  <c:v>300</c:v>
                </c:pt>
              </c:numCache>
            </c:numRef>
          </c:xVal>
          <c:yVal>
            <c:numRef>
              <c:f>exercise_PVT!$L$27:$L$52</c:f>
              <c:numCache>
                <c:formatCode>0.000</c:formatCode>
                <c:ptCount val="26"/>
                <c:pt idx="0">
                  <c:v>1.2067828974920884</c:v>
                </c:pt>
                <c:pt idx="1">
                  <c:v>0.10322743668070392</c:v>
                </c:pt>
                <c:pt idx="2">
                  <c:v>5.2472181047854026E-2</c:v>
                </c:pt>
                <c:pt idx="3">
                  <c:v>3.4417652387823537E-2</c:v>
                </c:pt>
                <c:pt idx="4">
                  <c:v>2.512955789978694E-2</c:v>
                </c:pt>
                <c:pt idx="5">
                  <c:v>1.9474687408430714E-2</c:v>
                </c:pt>
                <c:pt idx="6">
                  <c:v>1.5694119808363587E-2</c:v>
                </c:pt>
                <c:pt idx="7">
                  <c:v>1.3019773851135678E-2</c:v>
                </c:pt>
                <c:pt idx="8">
                  <c:v>1.1058555688677372E-2</c:v>
                </c:pt>
                <c:pt idx="9">
                  <c:v>9.5845861972503957E-3</c:v>
                </c:pt>
                <c:pt idx="10">
                  <c:v>8.4564403571388141E-3</c:v>
                </c:pt>
                <c:pt idx="11">
                  <c:v>7.5799896136663656E-3</c:v>
                </c:pt>
                <c:pt idx="12">
                  <c:v>6.889935634650078E-3</c:v>
                </c:pt>
                <c:pt idx="13">
                  <c:v>6.3397276425384468E-3</c:v>
                </c:pt>
                <c:pt idx="14">
                  <c:v>5.895573086431718E-3</c:v>
                </c:pt>
                <c:pt idx="15">
                  <c:v>5.532628648792952E-3</c:v>
                </c:pt>
                <c:pt idx="16">
                  <c:v>5.2590147502510577E-3</c:v>
                </c:pt>
                <c:pt idx="17">
                  <c:v>5.2324542840447835E-3</c:v>
                </c:pt>
                <c:pt idx="18">
                  <c:v>5.2063445703146149E-3</c:v>
                </c:pt>
                <c:pt idx="19">
                  <c:v>4.7871401787863196E-3</c:v>
                </c:pt>
                <c:pt idx="20">
                  <c:v>4.4717904879078875E-3</c:v>
                </c:pt>
                <c:pt idx="21">
                  <c:v>4.2266223608907472E-3</c:v>
                </c:pt>
                <c:pt idx="22">
                  <c:v>4.0304919294593122E-3</c:v>
                </c:pt>
                <c:pt idx="23">
                  <c:v>3.8697732892551211E-3</c:v>
                </c:pt>
                <c:pt idx="24">
                  <c:v>3.735438157792178E-3</c:v>
                </c:pt>
                <c:pt idx="25">
                  <c:v>3.6213280108057101E-3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5C-40F5-9F97-B6024E10C659}"/>
            </c:ext>
          </c:extLst>
        </c:ser>
        <c:ser>
          <c:idx val="1"/>
          <c:order val="2"/>
          <c:tx>
            <c:strRef>
              <c:f>exercise_PVT!$M$26</c:f>
              <c:strCache>
                <c:ptCount val="1"/>
                <c:pt idx="0">
                  <c:v>Bw</c:v>
                </c:pt>
              </c:strCache>
            </c:strRef>
          </c:tx>
          <c:xVal>
            <c:numRef>
              <c:f>exercise_PVT!$B$27:$B$52</c:f>
              <c:numCache>
                <c:formatCode>0</c:formatCode>
                <c:ptCount val="26"/>
                <c:pt idx="0">
                  <c:v>1</c:v>
                </c:pt>
                <c:pt idx="1">
                  <c:v>11.393908198723237</c:v>
                </c:pt>
                <c:pt idx="2">
                  <c:v>21.787816397446473</c:v>
                </c:pt>
                <c:pt idx="3">
                  <c:v>32.181724596169708</c:v>
                </c:pt>
                <c:pt idx="4">
                  <c:v>42.575632794892947</c:v>
                </c:pt>
                <c:pt idx="5">
                  <c:v>52.969540993616185</c:v>
                </c:pt>
                <c:pt idx="6">
                  <c:v>63.363449192339424</c:v>
                </c:pt>
                <c:pt idx="7">
                  <c:v>73.757357391062655</c:v>
                </c:pt>
                <c:pt idx="8">
                  <c:v>84.151265589785893</c:v>
                </c:pt>
                <c:pt idx="9">
                  <c:v>94.545173788509132</c:v>
                </c:pt>
                <c:pt idx="10">
                  <c:v>104.93908198723237</c:v>
                </c:pt>
                <c:pt idx="11">
                  <c:v>115.33299018595561</c:v>
                </c:pt>
                <c:pt idx="12">
                  <c:v>125.72689838467885</c:v>
                </c:pt>
                <c:pt idx="13">
                  <c:v>136.12080658340207</c:v>
                </c:pt>
                <c:pt idx="14">
                  <c:v>146.51471478212531</c:v>
                </c:pt>
                <c:pt idx="15">
                  <c:v>156.90862298084855</c:v>
                </c:pt>
                <c:pt idx="16">
                  <c:v>166.30253117957179</c:v>
                </c:pt>
                <c:pt idx="17">
                  <c:v>167.30253117957179</c:v>
                </c:pt>
                <c:pt idx="18">
                  <c:v>168.30253117957179</c:v>
                </c:pt>
                <c:pt idx="19">
                  <c:v>187.11645529677583</c:v>
                </c:pt>
                <c:pt idx="20">
                  <c:v>205.93037941397986</c:v>
                </c:pt>
                <c:pt idx="21">
                  <c:v>224.7443035311839</c:v>
                </c:pt>
                <c:pt idx="22">
                  <c:v>243.55822764838794</c:v>
                </c:pt>
                <c:pt idx="23">
                  <c:v>262.37215176559198</c:v>
                </c:pt>
                <c:pt idx="24">
                  <c:v>281.18607588279599</c:v>
                </c:pt>
                <c:pt idx="25">
                  <c:v>300</c:v>
                </c:pt>
              </c:numCache>
            </c:numRef>
          </c:xVal>
          <c:yVal>
            <c:numRef>
              <c:f>exercise_PVT!$M$27:$M$52</c:f>
              <c:numCache>
                <c:formatCode>0.000</c:formatCode>
                <c:ptCount val="26"/>
                <c:pt idx="0">
                  <c:v>1.0303260611055958</c:v>
                </c:pt>
                <c:pt idx="1">
                  <c:v>1.0302083301315905</c:v>
                </c:pt>
                <c:pt idx="2">
                  <c:v>1.0300783068937271</c:v>
                </c:pt>
                <c:pt idx="3">
                  <c:v>1.0299359913920056</c:v>
                </c:pt>
                <c:pt idx="4">
                  <c:v>1.0297813836264262</c:v>
                </c:pt>
                <c:pt idx="5">
                  <c:v>1.0296144835969887</c:v>
                </c:pt>
                <c:pt idx="6">
                  <c:v>1.029435291303693</c:v>
                </c:pt>
                <c:pt idx="7">
                  <c:v>1.0292438067465393</c:v>
                </c:pt>
                <c:pt idx="8">
                  <c:v>1.0290400299255276</c:v>
                </c:pt>
                <c:pt idx="9">
                  <c:v>1.0288239608406575</c:v>
                </c:pt>
                <c:pt idx="10">
                  <c:v>1.0285955994919298</c:v>
                </c:pt>
                <c:pt idx="11">
                  <c:v>1.0283549458793437</c:v>
                </c:pt>
                <c:pt idx="12">
                  <c:v>1.0281020000028998</c:v>
                </c:pt>
                <c:pt idx="13">
                  <c:v>1.0278367618625976</c:v>
                </c:pt>
                <c:pt idx="14">
                  <c:v>1.0275592314584374</c:v>
                </c:pt>
                <c:pt idx="15">
                  <c:v>1.0272694087904191</c:v>
                </c:pt>
                <c:pt idx="16">
                  <c:v>1.0269968948264687</c:v>
                </c:pt>
                <c:pt idx="17">
                  <c:v>1.0269672938585428</c:v>
                </c:pt>
                <c:pt idx="18">
                  <c:v>1.0269375791084709</c:v>
                </c:pt>
                <c:pt idx="19">
                  <c:v>1.0263573203341163</c:v>
                </c:pt>
                <c:pt idx="20">
                  <c:v>1.0257367868057425</c:v>
                </c:pt>
                <c:pt idx="21">
                  <c:v>1.0250759785233496</c:v>
                </c:pt>
                <c:pt idx="22">
                  <c:v>1.0243748954869372</c:v>
                </c:pt>
                <c:pt idx="23">
                  <c:v>1.0236335376965056</c:v>
                </c:pt>
                <c:pt idx="24">
                  <c:v>1.0228519051520548</c:v>
                </c:pt>
                <c:pt idx="25">
                  <c:v>1.0220299978535847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25C-40F5-9F97-B6024E10C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460608"/>
        <c:axId val="405286272"/>
      </c:scatterChart>
      <c:valAx>
        <c:axId val="403460608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286272"/>
        <c:crosses val="autoZero"/>
        <c:crossBetween val="midCat"/>
      </c:valAx>
      <c:valAx>
        <c:axId val="40528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Объемный коэффициент газа </a:t>
                </a:r>
                <a:r>
                  <a:rPr lang="en-US" baseline="0"/>
                  <a:t>Bg</a:t>
                </a:r>
                <a:r>
                  <a:rPr lang="ru-RU" baseline="0"/>
                  <a:t>,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548409</xdr:colOff>
      <xdr:row>0</xdr:row>
      <xdr:rowOff>7036</xdr:rowOff>
    </xdr:from>
    <xdr:to>
      <xdr:col>13</xdr:col>
      <xdr:colOff>373417</xdr:colOff>
      <xdr:row>20</xdr:row>
      <xdr:rowOff>114299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006109" y="7036"/>
              <a:ext cx="5532388" cy="3810583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006109" y="7036"/>
              <a:ext cx="5532388" cy="3810583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Fallback>
    </mc:AlternateContent>
    <xdr:clientData/>
  </xdr:twoCellAnchor>
  <xdr:twoCellAnchor>
    <xdr:from>
      <xdr:col>12</xdr:col>
      <xdr:colOff>533271</xdr:colOff>
      <xdr:row>56</xdr:row>
      <xdr:rowOff>90368</xdr:rowOff>
    </xdr:from>
    <xdr:to>
      <xdr:col>18</xdr:col>
      <xdr:colOff>478972</xdr:colOff>
      <xdr:row>79</xdr:row>
      <xdr:rowOff>44850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563504</xdr:colOff>
      <xdr:row>56</xdr:row>
      <xdr:rowOff>78547</xdr:rowOff>
    </xdr:from>
    <xdr:to>
      <xdr:col>26</xdr:col>
      <xdr:colOff>65314</xdr:colOff>
      <xdr:row>79</xdr:row>
      <xdr:rowOff>54430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531281</xdr:colOff>
      <xdr:row>80</xdr:row>
      <xdr:rowOff>260</xdr:rowOff>
    </xdr:from>
    <xdr:to>
      <xdr:col>26</xdr:col>
      <xdr:colOff>78441</xdr:colOff>
      <xdr:row>102</xdr:row>
      <xdr:rowOff>126625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520267</xdr:colOff>
      <xdr:row>80</xdr:row>
      <xdr:rowOff>7336</xdr:rowOff>
    </xdr:from>
    <xdr:to>
      <xdr:col>18</xdr:col>
      <xdr:colOff>450892</xdr:colOff>
      <xdr:row>102</xdr:row>
      <xdr:rowOff>162534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18FF4DC-32FF-4531-A876-5F98876F48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150981</xdr:colOff>
      <xdr:row>56</xdr:row>
      <xdr:rowOff>66589</xdr:rowOff>
    </xdr:from>
    <xdr:to>
      <xdr:col>33</xdr:col>
      <xdr:colOff>431546</xdr:colOff>
      <xdr:row>79</xdr:row>
      <xdr:rowOff>58998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5A6E0337-318C-404A-8CA6-B9129CCA81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231073</xdr:colOff>
      <xdr:row>56</xdr:row>
      <xdr:rowOff>85440</xdr:rowOff>
    </xdr:from>
    <xdr:to>
      <xdr:col>6</xdr:col>
      <xdr:colOff>30050</xdr:colOff>
      <xdr:row>79</xdr:row>
      <xdr:rowOff>54922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5004E8AB-B18B-46BE-AF1E-127B03207D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141676</xdr:colOff>
      <xdr:row>56</xdr:row>
      <xdr:rowOff>84162</xdr:rowOff>
    </xdr:from>
    <xdr:to>
      <xdr:col>12</xdr:col>
      <xdr:colOff>419778</xdr:colOff>
      <xdr:row>79</xdr:row>
      <xdr:rowOff>50420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35577126-ADC4-4096-8189-379C948C40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PVT_bg_m3m3"/>
      <definedName name="PVT_bo_m3m3"/>
      <definedName name="PVT_bw_m3m3"/>
      <definedName name="PVT_compressibility_gas_1atm"/>
      <definedName name="PVT_compressibility_oil_1atm"/>
      <definedName name="PVT_compressibility_wat_1atm"/>
      <definedName name="PVT_cp_gas_JkgC"/>
      <definedName name="PVT_cp_oil_JkgC"/>
      <definedName name="PVT_cp_wat_JkgC"/>
      <definedName name="PVT_mu_gas_cP"/>
      <definedName name="PVT_mu_oil_cP"/>
      <definedName name="PVT_mu_wat_cP"/>
      <definedName name="PVT_pb_atma"/>
      <definedName name="PVT_rho_gas_kgm3"/>
      <definedName name="PVT_rho_oil_kgm3"/>
      <definedName name="PVT_rho_wat_kgm3"/>
      <definedName name="PVT_rs_m3m3"/>
      <definedName name="PVT_ST_oilgas_Nm"/>
      <definedName name="PVT_ST_watgas_Nm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U52"/>
  <sheetViews>
    <sheetView tabSelected="1" zoomScaleNormal="100" workbookViewId="0">
      <selection activeCell="Q14" sqref="Q14"/>
    </sheetView>
  </sheetViews>
  <sheetFormatPr defaultRowHeight="12.75" x14ac:dyDescent="0.2"/>
  <cols>
    <col min="1" max="1" width="12.28515625" customWidth="1"/>
    <col min="2" max="2" width="16.7109375" customWidth="1"/>
    <col min="3" max="3" width="10.5703125" customWidth="1"/>
    <col min="4" max="4" width="9.85546875" customWidth="1"/>
    <col min="5" max="5" width="11.28515625" customWidth="1"/>
    <col min="6" max="6" width="9.85546875" customWidth="1"/>
    <col min="7" max="7" width="11.7109375" customWidth="1"/>
    <col min="8" max="8" width="12.28515625" customWidth="1"/>
    <col min="9" max="9" width="10.5703125" bestFit="1" customWidth="1"/>
    <col min="10" max="10" width="11.28515625" customWidth="1"/>
    <col min="11" max="11" width="10.140625" customWidth="1"/>
    <col min="12" max="16" width="9" bestFit="1" customWidth="1"/>
    <col min="17" max="17" width="12.85546875" customWidth="1"/>
    <col min="18" max="18" width="12.7109375" bestFit="1" customWidth="1"/>
    <col min="19" max="20" width="10.5703125" bestFit="1" customWidth="1"/>
    <col min="21" max="24" width="9.140625" customWidth="1"/>
    <col min="25" max="25" width="11.140625" customWidth="1"/>
    <col min="26" max="31" width="9.140625" customWidth="1"/>
  </cols>
  <sheetData>
    <row r="1" spans="1:18" x14ac:dyDescent="0.2">
      <c r="A1" s="1" t="s">
        <v>19</v>
      </c>
      <c r="F1" t="s">
        <v>29</v>
      </c>
      <c r="G1" t="str">
        <f>[1]!unf_version()</f>
        <v>7.40</v>
      </c>
      <c r="H1" s="20" t="s">
        <v>40</v>
      </c>
      <c r="I1" s="24">
        <v>44973</v>
      </c>
      <c r="J1" s="25"/>
      <c r="K1" s="25"/>
      <c r="L1" s="26"/>
    </row>
    <row r="2" spans="1:18" x14ac:dyDescent="0.2">
      <c r="A2" t="s">
        <v>20</v>
      </c>
      <c r="H2" s="20" t="s">
        <v>41</v>
      </c>
      <c r="I2" s="27">
        <v>7.4</v>
      </c>
      <c r="J2" s="22"/>
      <c r="K2" s="22"/>
      <c r="L2" s="23"/>
    </row>
    <row r="3" spans="1:18" ht="15" x14ac:dyDescent="0.25">
      <c r="A3" s="21" t="s">
        <v>34</v>
      </c>
      <c r="B3" s="33" t="s">
        <v>51</v>
      </c>
      <c r="C3" s="33"/>
      <c r="D3" s="33"/>
      <c r="E3" s="34"/>
      <c r="H3" s="21" t="s">
        <v>34</v>
      </c>
      <c r="I3" s="35" t="s">
        <v>51</v>
      </c>
      <c r="J3" s="35"/>
      <c r="K3" s="35"/>
      <c r="L3" s="35"/>
    </row>
    <row r="4" spans="1:18" ht="15" x14ac:dyDescent="0.25">
      <c r="A4" s="21" t="s">
        <v>37</v>
      </c>
      <c r="B4" s="33" t="s">
        <v>38</v>
      </c>
      <c r="C4" s="33"/>
      <c r="D4" s="33"/>
      <c r="E4" s="34"/>
      <c r="H4" s="21" t="s">
        <v>37</v>
      </c>
      <c r="I4" s="36" t="s">
        <v>38</v>
      </c>
      <c r="J4" s="36"/>
      <c r="K4" s="36"/>
      <c r="L4" s="36"/>
    </row>
    <row r="5" spans="1:18" ht="15" x14ac:dyDescent="0.25">
      <c r="A5" s="21" t="s">
        <v>42</v>
      </c>
      <c r="B5" s="33" t="s">
        <v>36</v>
      </c>
      <c r="C5" s="33"/>
      <c r="D5" s="33"/>
      <c r="E5" s="34"/>
      <c r="H5" s="21" t="s">
        <v>42</v>
      </c>
      <c r="I5" s="36" t="s">
        <v>36</v>
      </c>
      <c r="J5" s="36"/>
      <c r="K5" s="36"/>
      <c r="L5" s="36"/>
    </row>
    <row r="6" spans="1:18" x14ac:dyDescent="0.2">
      <c r="A6" s="37" t="s">
        <v>35</v>
      </c>
      <c r="B6" s="40" t="s">
        <v>39</v>
      </c>
      <c r="C6" s="41"/>
      <c r="D6" s="41"/>
      <c r="E6" s="42"/>
      <c r="H6" s="49" t="s">
        <v>35</v>
      </c>
      <c r="I6" s="50" t="s">
        <v>39</v>
      </c>
      <c r="J6" s="50"/>
      <c r="K6" s="50"/>
      <c r="L6" s="50"/>
    </row>
    <row r="7" spans="1:18" x14ac:dyDescent="0.2">
      <c r="A7" s="38"/>
      <c r="B7" s="43"/>
      <c r="C7" s="44"/>
      <c r="D7" s="44"/>
      <c r="E7" s="45"/>
      <c r="H7" s="49"/>
      <c r="I7" s="50"/>
      <c r="J7" s="50"/>
      <c r="K7" s="50"/>
      <c r="L7" s="50"/>
    </row>
    <row r="8" spans="1:18" x14ac:dyDescent="0.2">
      <c r="A8" s="39"/>
      <c r="B8" s="46"/>
      <c r="C8" s="47"/>
      <c r="D8" s="47"/>
      <c r="E8" s="48"/>
      <c r="H8" s="49"/>
      <c r="I8" s="50"/>
      <c r="J8" s="50"/>
      <c r="K8" s="50"/>
      <c r="L8" s="50"/>
    </row>
    <row r="10" spans="1:18" x14ac:dyDescent="0.2">
      <c r="A10" s="1" t="s">
        <v>1</v>
      </c>
    </row>
    <row r="11" spans="1:18" ht="18.75" x14ac:dyDescent="0.35">
      <c r="B11" s="4" t="s">
        <v>9</v>
      </c>
      <c r="C11" s="2">
        <v>0.86</v>
      </c>
      <c r="D11" s="5"/>
      <c r="E11" s="15">
        <f>gamma_oil_*1000</f>
        <v>860</v>
      </c>
      <c r="F11" s="16" t="s">
        <v>18</v>
      </c>
    </row>
    <row r="12" spans="1:18" ht="18.75" x14ac:dyDescent="0.35">
      <c r="B12" s="3" t="s">
        <v>11</v>
      </c>
      <c r="C12" s="2">
        <v>1.1000000000000001</v>
      </c>
      <c r="D12" s="5"/>
      <c r="E12" s="15">
        <f>gamma_wat_*1000</f>
        <v>1100</v>
      </c>
      <c r="F12" s="16" t="s">
        <v>18</v>
      </c>
    </row>
    <row r="13" spans="1:18" ht="18.75" x14ac:dyDescent="0.35">
      <c r="B13" s="3" t="s">
        <v>10</v>
      </c>
      <c r="C13" s="2">
        <v>0.9</v>
      </c>
      <c r="D13" s="5"/>
      <c r="E13" s="15">
        <f>gamma_gas_*1.22</f>
        <v>1.0980000000000001</v>
      </c>
      <c r="F13" s="16" t="s">
        <v>18</v>
      </c>
    </row>
    <row r="14" spans="1:18" ht="18.75" x14ac:dyDescent="0.35">
      <c r="B14" s="6" t="s">
        <v>12</v>
      </c>
      <c r="C14" s="2">
        <v>120</v>
      </c>
      <c r="D14" s="3" t="s">
        <v>13</v>
      </c>
      <c r="E14" s="17">
        <f>Rsb_/gamma_oil_</f>
        <v>139.53488372093022</v>
      </c>
      <c r="F14" s="16" t="s">
        <v>30</v>
      </c>
    </row>
    <row r="15" spans="1:18" ht="18" x14ac:dyDescent="0.35">
      <c r="B15" s="3" t="s">
        <v>15</v>
      </c>
      <c r="C15" s="2"/>
      <c r="D15" s="3" t="s">
        <v>6</v>
      </c>
      <c r="E15" s="17">
        <f>Pb_*1.01325/10</f>
        <v>0</v>
      </c>
      <c r="F15" s="16" t="s">
        <v>7</v>
      </c>
      <c r="R15" t="s">
        <v>52</v>
      </c>
    </row>
    <row r="16" spans="1:18" ht="18" x14ac:dyDescent="0.35">
      <c r="B16" s="3" t="s">
        <v>14</v>
      </c>
      <c r="C16" s="2">
        <v>100</v>
      </c>
      <c r="D16" s="3" t="s">
        <v>3</v>
      </c>
      <c r="E16" s="17">
        <f>Tres_*9/5+32</f>
        <v>212</v>
      </c>
      <c r="F16" s="16" t="s">
        <v>8</v>
      </c>
    </row>
    <row r="17" spans="2:21" ht="18" x14ac:dyDescent="0.35">
      <c r="B17" s="6" t="s">
        <v>16</v>
      </c>
      <c r="C17" s="2"/>
      <c r="D17" s="3" t="s">
        <v>2</v>
      </c>
      <c r="E17" s="18"/>
      <c r="F17" s="5"/>
    </row>
    <row r="18" spans="2:21" ht="18" x14ac:dyDescent="0.35">
      <c r="B18" s="7" t="s">
        <v>17</v>
      </c>
      <c r="C18" s="2"/>
      <c r="D18" s="3" t="s">
        <v>5</v>
      </c>
      <c r="E18" s="18"/>
      <c r="F18" s="5"/>
    </row>
    <row r="19" spans="2:21" ht="30" x14ac:dyDescent="0.25">
      <c r="B19" s="7" t="s">
        <v>53</v>
      </c>
      <c r="C19" s="2">
        <v>0</v>
      </c>
    </row>
    <row r="24" spans="2:21" x14ac:dyDescent="0.2">
      <c r="B24" t="s">
        <v>50</v>
      </c>
    </row>
    <row r="26" spans="2:21" ht="15.75" x14ac:dyDescent="0.2">
      <c r="B26" s="8" t="s">
        <v>0</v>
      </c>
      <c r="C26" s="8" t="s">
        <v>4</v>
      </c>
      <c r="D26" s="8" t="s">
        <v>21</v>
      </c>
      <c r="E26" s="8" t="s">
        <v>22</v>
      </c>
      <c r="F26" s="9" t="s">
        <v>23</v>
      </c>
      <c r="G26" s="10" t="s">
        <v>24</v>
      </c>
      <c r="H26" s="10" t="s">
        <v>25</v>
      </c>
      <c r="I26" s="8" t="s">
        <v>26</v>
      </c>
      <c r="J26" s="8" t="s">
        <v>27</v>
      </c>
      <c r="K26" s="8" t="s">
        <v>28</v>
      </c>
      <c r="L26" s="8" t="s">
        <v>31</v>
      </c>
      <c r="M26" s="8" t="s">
        <v>49</v>
      </c>
      <c r="N26" s="8" t="s">
        <v>32</v>
      </c>
      <c r="O26" s="8" t="s">
        <v>33</v>
      </c>
      <c r="P26" s="8" t="s">
        <v>44</v>
      </c>
      <c r="Q26" s="8" t="s">
        <v>45</v>
      </c>
      <c r="R26" s="8" t="s">
        <v>46</v>
      </c>
      <c r="S26" s="8" t="s">
        <v>47</v>
      </c>
      <c r="T26" s="8" t="s">
        <v>43</v>
      </c>
      <c r="U26" s="8" t="s">
        <v>48</v>
      </c>
    </row>
    <row r="27" spans="2:21" x14ac:dyDescent="0.2">
      <c r="B27" s="32">
        <v>1</v>
      </c>
      <c r="C27" s="11">
        <v>80</v>
      </c>
      <c r="D27" s="12">
        <f>[1]!PVT_rs_m3m3(B27,C27,,gamma_gas_,gamma_oil_,gamma_wat_,Rsb_,Pb_,Tres_,Bob_,muob_,correlation)</f>
        <v>0.25089974166166029</v>
      </c>
      <c r="E27" s="13">
        <f>[1]!PVT_bo_m3m3(B27,C27,,gamma_gas_,gamma_oil_,gamma_wat_,Rsb_,Pb_,Tres_,Bob_,muob_,correlation)</f>
        <v>1.0554189485394045</v>
      </c>
      <c r="F27" s="30">
        <f>[1]!PVT_mu_oil_cP(B27,C27,,gamma_gas_,gamma_oil_,gamma_wat_,Rsb_,Pb_,Tres_,Bob_,muob_,correlation)</f>
        <v>2.6623666469705523</v>
      </c>
      <c r="G27" s="14">
        <f>[1]!PVT_mu_gas_cP(B27,C27,,gamma_gas_,gamma_oil_,gamma_wat_,Rsb_,Pb_,Tres_,Bob_,muob_,correlation)</f>
        <v>1.1660919395050064E-2</v>
      </c>
      <c r="H27" s="13">
        <f>[1]!PVT_mu_wat_cP(B27,C27,,gamma_gas_,gamma_oil_,gamma_wat_,Rsb_,Pb_,Tres_,Bob_,muob_,correlation)</f>
        <v>0.49450516561346208</v>
      </c>
      <c r="I27" s="30">
        <f>[1]!PVT_rho_gas_kgm3(B27,C27,,gamma_gas_,gamma_oil_,gamma_wat_,Rsb_,Pb_,Tres_,Bob_,muob_,correlation)</f>
        <v>0.91112494408482325</v>
      </c>
      <c r="J27" s="12">
        <f>[1]!PVT_rho_wat_kgm3(B27,C27,,gamma_gas_,gamma_oil_,gamma_wat_,Rsb_,Pb_,Tres_,Bob_,muob_,correlation)</f>
        <v>1067.6231937874506</v>
      </c>
      <c r="K27" s="12">
        <f>[1]!PVT_rho_oil_kgm3(B27,C27,,gamma_gas_,gamma_oil_,gamma_wat_,Rsb_,Pb_,Tres_,Bob_,muob_,correlation)</f>
        <v>815.10368274464463</v>
      </c>
      <c r="L27" s="19">
        <f>[1]!PVT_bg_m3m3(B27,C27,,gamma_gas_,gamma_oil_,gamma_wat_,Rsb_,Pb_,Tres_,Bob_,muob_,correlation)</f>
        <v>1.2067828974920884</v>
      </c>
      <c r="M27" s="19">
        <f>[1]!PVT_bw_m3m3(B27,C27,,gamma_gas_,gamma_oil_,gamma_wat_,Rsb_,Pb_,Tres_,Bob_,muob_,correlation)</f>
        <v>1.0303260611055958</v>
      </c>
      <c r="N27" s="14">
        <f>[1]!PVT_ST_oilgas_Nm(B27,C27,,gamma_gas_,gamma_oil_,gamma_wat_,Rsb_,Pb_,Tres_,Bob_,muob_,correlation)</f>
        <v>6.6414592185628799E-2</v>
      </c>
      <c r="O27" s="19">
        <f>[1]!PVT_ST_watgas_Nm(B27,C27,,gamma_gas_,gamma_oil_,gamma_wat_,Rsb_,Pb_,Tres_,Bob_,muob_,correlation)</f>
        <v>6.4550360938274251E-2</v>
      </c>
      <c r="P27" s="28">
        <f>[1]!PVT_cp_oil_JkgC(B27,C27,,gamma_gas_,gamma_oil_,gamma_wat_,Rsb_,Pb_,Tres_,Bob_,muob_,correlation)</f>
        <v>2612.2600000000002</v>
      </c>
      <c r="Q27" s="28">
        <f>[1]!PVT_cp_gas_JkgC(B27,C27,,gamma_gas_,gamma_oil_,gamma_wat_,Rsb_,Pb_,Tres_,Bob_,muob_,correlation)</f>
        <v>1925.7003792225805</v>
      </c>
      <c r="R27" s="28">
        <f>[1]!PVT_cp_wat_JkgC(B27,C27,,gamma_gas_,gamma_oil_,gamma_wat_,Rsb_,Pb_,Tres_,Bob_,muob_,correlation)</f>
        <v>4176</v>
      </c>
      <c r="S27" s="29">
        <f>[1]!PVT_compressibility_wat_1atm(B27,C27,,gamma_gas_,gamma_oil_,gamma_wat_,Rsb_,Pb_,Tres_,Bob_,muob_,correlation)</f>
        <v>3.7837462027951241E-5</v>
      </c>
      <c r="T27" s="29">
        <f>[1]!PVT_compressibility_oil_1atm(B27,C27,,gamma_gas_,gamma_oil_,gamma_wat_,Rsb_,Pb_,Tres_,Bob_,muob_,correlation)</f>
        <v>0.34467666273518999</v>
      </c>
      <c r="U27" s="29">
        <f>[1]!PVT_compressibility_gas_1atm(B27,C27,,gamma_gas_,gamma_oil_,gamma_wat_,Rsb_,Pb_,Tres_,Bob_,muob_,correlation)</f>
        <v>1.0023857707950601</v>
      </c>
    </row>
    <row r="28" spans="2:21" x14ac:dyDescent="0.2">
      <c r="B28" s="32">
        <f>$B$43/16+B27</f>
        <v>11.393908198723237</v>
      </c>
      <c r="C28" s="11">
        <v>80</v>
      </c>
      <c r="D28" s="12">
        <f>[1]!PVT_rs_m3m3(B28,C28,,gamma_gas_,gamma_oil_,gamma_wat_,Rsb_,Pb_,Tres_,Bob_,muob_,correlation)</f>
        <v>4.6960656995819416</v>
      </c>
      <c r="E28" s="13">
        <f>[1]!PVT_bo_m3m3(B28,C28,,gamma_gas_,gamma_oil_,gamma_wat_,Rsb_,Pb_,Tres_,Bob_,muob_,correlation)</f>
        <v>1.0668706548910791</v>
      </c>
      <c r="F28" s="30">
        <f>[1]!PVT_mu_oil_cP(B28,C28,,gamma_gas_,gamma_oil_,gamma_wat_,Rsb_,Pb_,Tres_,Bob_,muob_,correlation)</f>
        <v>2.2621309234669953</v>
      </c>
      <c r="G28" s="14">
        <f>[1]!PVT_mu_gas_cP(B28,C28,,gamma_gas_,gamma_oil_,gamma_wat_,Rsb_,Pb_,Tres_,Bob_,muob_,correlation)</f>
        <v>1.1838342931049317E-2</v>
      </c>
      <c r="H28" s="13">
        <f>[1]!PVT_mu_wat_cP(B28,C28,,gamma_gas_,gamma_oil_,gamma_wat_,Rsb_,Pb_,Tres_,Bob_,muob_,correlation)</f>
        <v>0.49759164793059346</v>
      </c>
      <c r="I28" s="30">
        <f>[1]!PVT_rho_gas_kgm3(B28,C28,,gamma_gas_,gamma_oil_,gamma_wat_,Rsb_,Pb_,Tres_,Bob_,muob_,correlation)</f>
        <v>10.651528657066159</v>
      </c>
      <c r="J28" s="12">
        <f>[1]!PVT_rho_wat_kgm3(B28,C28,,gamma_gas_,gamma_oil_,gamma_wat_,Rsb_,Pb_,Tres_,Bob_,muob_,correlation)</f>
        <v>1067.7452004872596</v>
      </c>
      <c r="K28" s="12">
        <f>[1]!PVT_rho_oil_kgm3(B28,C28,,gamma_gas_,gamma_oil_,gamma_wat_,Rsb_,Pb_,Tres_,Bob_,muob_,correlation)</f>
        <v>810.93566605502815</v>
      </c>
      <c r="L28" s="19">
        <f>[1]!PVT_bg_m3m3(B28,C28,,gamma_gas_,gamma_oil_,gamma_wat_,Rsb_,Pb_,Tres_,Bob_,muob_,correlation)</f>
        <v>0.10322743668070392</v>
      </c>
      <c r="M28" s="19">
        <f>[1]!PVT_bw_m3m3(B28,C28,,gamma_gas_,gamma_oil_,gamma_wat_,Rsb_,Pb_,Tres_,Bob_,muob_,correlation)</f>
        <v>1.0302083301315905</v>
      </c>
      <c r="N28" s="14">
        <f>[1]!PVT_ST_oilgas_Nm(B28,C28,,gamma_gas_,gamma_oil_,gamma_wat_,Rsb_,Pb_,Tres_,Bob_,muob_,correlation)</f>
        <v>6.5533340391963152E-2</v>
      </c>
      <c r="O28" s="19">
        <f>[1]!PVT_ST_watgas_Nm(B28,C28,,gamma_gas_,gamma_oil_,gamma_wat_,Rsb_,Pb_,Tres_,Bob_,muob_,correlation)</f>
        <v>6.4394016161094705E-2</v>
      </c>
      <c r="P28" s="28">
        <f>[1]!PVT_cp_oil_JkgC(B28,C28,,gamma_gas_,gamma_oil_,gamma_wat_,Rsb_,Pb_,Tres_,Bob_,muob_,correlation)</f>
        <v>2612.2600000000002</v>
      </c>
      <c r="Q28" s="28">
        <f>[1]!PVT_cp_gas_JkgC(B28,C28,,gamma_gas_,gamma_oil_,gamma_wat_,Rsb_,Pb_,Tres_,Bob_,muob_,correlation)</f>
        <v>1876.8407676849481</v>
      </c>
      <c r="R28" s="28">
        <f>[1]!PVT_cp_wat_JkgC(B28,C28,,gamma_gas_,gamma_oil_,gamma_wat_,Rsb_,Pb_,Tres_,Bob_,muob_,correlation)</f>
        <v>4176</v>
      </c>
      <c r="S28" s="29">
        <f>[1]!PVT_compressibility_wat_1atm(B28,C28,,gamma_gas_,gamma_oil_,gamma_wat_,Rsb_,Pb_,Tres_,Bob_,muob_,correlation)</f>
        <v>3.7731715854733125E-5</v>
      </c>
      <c r="T28" s="29">
        <f>[1]!PVT_compressibility_oil_1atm(B28,C28,,gamma_gas_,gamma_oil_,gamma_wat_,Rsb_,Pb_,Tres_,Bob_,muob_,correlation)</f>
        <v>4.6804793759818913E-2</v>
      </c>
      <c r="U28" s="29">
        <f>[1]!PVT_compressibility_gas_1atm(B28,C28,,gamma_gas_,gamma_oil_,gamma_wat_,Rsb_,Pb_,Tres_,Bob_,muob_,correlation)</f>
        <v>9.0351417747189355E-2</v>
      </c>
    </row>
    <row r="29" spans="2:21" x14ac:dyDescent="0.2">
      <c r="B29" s="32">
        <f t="shared" ref="B29:B42" si="0">$B$43/16+B28</f>
        <v>21.787816397446473</v>
      </c>
      <c r="C29" s="11">
        <v>80</v>
      </c>
      <c r="D29" s="12">
        <f>[1]!PVT_rs_m3m3(B29,C29,,gamma_gas_,gamma_oil_,gamma_wat_,Rsb_,Pb_,Tres_,Bob_,muob_,correlation)</f>
        <v>10.249661367567072</v>
      </c>
      <c r="E29" s="13">
        <f>[1]!PVT_bo_m3m3(B29,C29,,gamma_gas_,gamma_oil_,gamma_wat_,Rsb_,Pb_,Tres_,Bob_,muob_,correlation)</f>
        <v>1.0814710955140383</v>
      </c>
      <c r="F29" s="30">
        <f>[1]!PVT_mu_oil_cP(B29,C29,,gamma_gas_,gamma_oil_,gamma_wat_,Rsb_,Pb_,Tres_,Bob_,muob_,correlation)</f>
        <v>1.9204541699043838</v>
      </c>
      <c r="G29" s="14">
        <f>[1]!PVT_mu_gas_cP(B29,C29,,gamma_gas_,gamma_oil_,gamma_wat_,Rsb_,Pb_,Tres_,Bob_,muob_,correlation)</f>
        <v>1.2097499265985582E-2</v>
      </c>
      <c r="H29" s="13">
        <f>[1]!PVT_mu_wat_cP(B29,C29,,gamma_gas_,gamma_oil_,gamma_wat_,Rsb_,Pb_,Tres_,Bob_,muob_,correlation)</f>
        <v>0.5007498105631647</v>
      </c>
      <c r="I29" s="30">
        <f>[1]!PVT_rho_gas_kgm3(B29,C29,,gamma_gas_,gamma_oil_,gamma_wat_,Rsb_,Pb_,Tres_,Bob_,muob_,correlation)</f>
        <v>20.954532059516286</v>
      </c>
      <c r="J29" s="12">
        <f>[1]!PVT_rho_wat_kgm3(B29,C29,,gamma_gas_,gamma_oil_,gamma_wat_,Rsb_,Pb_,Tres_,Bob_,muob_,correlation)</f>
        <v>1067.8799782874048</v>
      </c>
      <c r="K29" s="12">
        <f>[1]!PVT_rho_oil_kgm3(B29,C29,,gamma_gas_,gamma_oil_,gamma_wat_,Rsb_,Pb_,Tres_,Bob_,muob_,correlation)</f>
        <v>805.63393120493367</v>
      </c>
      <c r="L29" s="19">
        <f>[1]!PVT_bg_m3m3(B29,C29,,gamma_gas_,gamma_oil_,gamma_wat_,Rsb_,Pb_,Tres_,Bob_,muob_,correlation)</f>
        <v>5.2472181047854026E-2</v>
      </c>
      <c r="M29" s="19">
        <f>[1]!PVT_bw_m3m3(B29,C29,,gamma_gas_,gamma_oil_,gamma_wat_,Rsb_,Pb_,Tres_,Bob_,muob_,correlation)</f>
        <v>1.0300783068937271</v>
      </c>
      <c r="N29" s="14">
        <f>[1]!PVT_ST_oilgas_Nm(B29,C29,,gamma_gas_,gamma_oil_,gamma_wat_,Rsb_,Pb_,Tres_,Bob_,muob_,correlation)</f>
        <v>6.4663781882834559E-2</v>
      </c>
      <c r="O29" s="19">
        <f>[1]!PVT_ST_watgas_Nm(B29,C29,,gamma_gas_,gamma_oil_,gamma_wat_,Rsb_,Pb_,Tres_,Bob_,muob_,correlation)</f>
        <v>6.4238050060176563E-2</v>
      </c>
      <c r="P29" s="28">
        <f>[1]!PVT_cp_oil_JkgC(B29,C29,,gamma_gas_,gamma_oil_,gamma_wat_,Rsb_,Pb_,Tres_,Bob_,muob_,correlation)</f>
        <v>2612.2600000000002</v>
      </c>
      <c r="Q29" s="28">
        <f>[1]!PVT_cp_gas_JkgC(B29,C29,,gamma_gas_,gamma_oil_,gamma_wat_,Rsb_,Pb_,Tres_,Bob_,muob_,correlation)</f>
        <v>1824.3257680282316</v>
      </c>
      <c r="R29" s="28">
        <f>[1]!PVT_cp_wat_JkgC(B29,C29,,gamma_gas_,gamma_oil_,gamma_wat_,Rsb_,Pb_,Tres_,Bob_,muob_,correlation)</f>
        <v>4176</v>
      </c>
      <c r="S29" s="29">
        <f>[1]!PVT_compressibility_wat_1atm(B29,C29,,gamma_gas_,gamma_oil_,gamma_wat_,Rsb_,Pb_,Tres_,Bob_,muob_,correlation)</f>
        <v>3.7626559102055887E-5</v>
      </c>
      <c r="T29" s="29">
        <f>[1]!PVT_compressibility_oil_1atm(B29,C29,,gamma_gas_,gamma_oil_,gamma_wat_,Rsb_,Pb_,Tres_,Bob_,muob_,correlation)</f>
        <v>2.6089932935326035E-2</v>
      </c>
      <c r="U29" s="29">
        <f>[1]!PVT_compressibility_gas_1atm(B29,C29,,gamma_gas_,gamma_oil_,gamma_wat_,Rsb_,Pb_,Tres_,Bob_,muob_,correlation)</f>
        <v>4.8784567557643953E-2</v>
      </c>
    </row>
    <row r="30" spans="2:21" x14ac:dyDescent="0.2">
      <c r="B30" s="32">
        <f t="shared" si="0"/>
        <v>32.181724596169708</v>
      </c>
      <c r="C30" s="11">
        <v>80</v>
      </c>
      <c r="D30" s="12">
        <f>[1]!PVT_rs_m3m3(B30,C30,,gamma_gas_,gamma_oil_,gamma_wat_,Rsb_,Pb_,Tres_,Bob_,muob_,correlation)</f>
        <v>16.393127931324145</v>
      </c>
      <c r="E30" s="13">
        <f>[1]!PVT_bo_m3m3(B30,C30,,gamma_gas_,gamma_oil_,gamma_wat_,Rsb_,Pb_,Tres_,Bob_,muob_,correlation)</f>
        <v>1.0979667699927911</v>
      </c>
      <c r="F30" s="30">
        <f>[1]!PVT_mu_oil_cP(B30,C30,,gamma_gas_,gamma_oil_,gamma_wat_,Rsb_,Pb_,Tres_,Bob_,muob_,correlation)</f>
        <v>1.6581376682530862</v>
      </c>
      <c r="G30" s="14">
        <f>[1]!PVT_mu_gas_cP(B30,C30,,gamma_gas_,gamma_oil_,gamma_wat_,Rsb_,Pb_,Tres_,Bob_,muob_,correlation)</f>
        <v>1.2424814093774373E-2</v>
      </c>
      <c r="H30" s="13">
        <f>[1]!PVT_mu_wat_cP(B30,C30,,gamma_gas_,gamma_oil_,gamma_wat_,Rsb_,Pb_,Tres_,Bob_,muob_,correlation)</f>
        <v>0.50397965351117591</v>
      </c>
      <c r="I30" s="30">
        <f>[1]!PVT_rho_gas_kgm3(B30,C30,,gamma_gas_,gamma_oil_,gamma_wat_,Rsb_,Pb_,Tres_,Bob_,muob_,correlation)</f>
        <v>31.946687926600063</v>
      </c>
      <c r="J30" s="12">
        <f>[1]!PVT_rho_wat_kgm3(B30,C30,,gamma_gas_,gamma_oil_,gamma_wat_,Rsb_,Pb_,Tres_,Bob_,muob_,correlation)</f>
        <v>1068.0275368504208</v>
      </c>
      <c r="K30" s="12">
        <f>[1]!PVT_rho_oil_kgm3(B30,C30,,gamma_gas_,gamma_oil_,gamma_wat_,Rsb_,Pb_,Tres_,Bob_,muob_,correlation)</f>
        <v>799.68243115417204</v>
      </c>
      <c r="L30" s="19">
        <f>[1]!PVT_bg_m3m3(B30,C30,,gamma_gas_,gamma_oil_,gamma_wat_,Rsb_,Pb_,Tres_,Bob_,muob_,correlation)</f>
        <v>3.4417652387823537E-2</v>
      </c>
      <c r="M30" s="19">
        <f>[1]!PVT_bw_m3m3(B30,C30,,gamma_gas_,gamma_oil_,gamma_wat_,Rsb_,Pb_,Tres_,Bob_,muob_,correlation)</f>
        <v>1.0299359913920056</v>
      </c>
      <c r="N30" s="14">
        <f>[1]!PVT_ST_oilgas_Nm(B30,C30,,gamma_gas_,gamma_oil_,gamma_wat_,Rsb_,Pb_,Tres_,Bob_,muob_,correlation)</f>
        <v>6.3805761500654409E-2</v>
      </c>
      <c r="O30" s="19">
        <f>[1]!PVT_ST_watgas_Nm(B30,C30,,gamma_gas_,gamma_oil_,gamma_wat_,Rsb_,Pb_,Tres_,Bob_,muob_,correlation)</f>
        <v>6.4082461718343572E-2</v>
      </c>
      <c r="P30" s="28">
        <f>[1]!PVT_cp_oil_JkgC(B30,C30,,gamma_gas_,gamma_oil_,gamma_wat_,Rsb_,Pb_,Tres_,Bob_,muob_,correlation)</f>
        <v>2612.2600000000002</v>
      </c>
      <c r="Q30" s="28">
        <f>[1]!PVT_cp_gas_JkgC(B30,C30,,gamma_gas_,gamma_oil_,gamma_wat_,Rsb_,Pb_,Tres_,Bob_,muob_,correlation)</f>
        <v>1767.4621699214592</v>
      </c>
      <c r="R30" s="28">
        <f>[1]!PVT_cp_wat_JkgC(B30,C30,,gamma_gas_,gamma_oil_,gamma_wat_,Rsb_,Pb_,Tres_,Bob_,muob_,correlation)</f>
        <v>4176</v>
      </c>
      <c r="S30" s="29">
        <f>[1]!PVT_compressibility_wat_1atm(B30,C30,,gamma_gas_,gamma_oil_,gamma_wat_,Rsb_,Pb_,Tres_,Bob_,muob_,correlation)</f>
        <v>3.7521986855542694E-5</v>
      </c>
      <c r="T30" s="29">
        <f>[1]!PVT_compressibility_oil_1atm(B30,C30,,gamma_gas_,gamma_oil_,gamma_wat_,Rsb_,Pb_,Tres_,Bob_,muob_,correlation)</f>
        <v>1.7709947061691315E-2</v>
      </c>
      <c r="U30" s="29">
        <f>[1]!PVT_compressibility_gas_1atm(B30,C30,,gamma_gas_,gamma_oil_,gamma_wat_,Rsb_,Pb_,Tres_,Bob_,muob_,correlation)</f>
        <v>3.4276190801494189E-2</v>
      </c>
    </row>
    <row r="31" spans="2:21" x14ac:dyDescent="0.2">
      <c r="B31" s="32">
        <f t="shared" si="0"/>
        <v>42.575632794892947</v>
      </c>
      <c r="C31" s="11">
        <v>80</v>
      </c>
      <c r="D31" s="12">
        <f>[1]!PVT_rs_m3m3(B31,C31,,gamma_gas_,gamma_oil_,gamma_wat_,Rsb_,Pb_,Tres_,Bob_,muob_,correlation)</f>
        <v>22.962025369134636</v>
      </c>
      <c r="E31" s="13">
        <f>[1]!PVT_bo_m3m3(B31,C31,,gamma_gas_,gamma_oil_,gamma_wat_,Rsb_,Pb_,Tres_,Bob_,muob_,correlation)</f>
        <v>1.1159678669053985</v>
      </c>
      <c r="F31" s="30">
        <f>[1]!PVT_mu_oil_cP(B31,C31,,gamma_gas_,gamma_oil_,gamma_wat_,Rsb_,Pb_,Tres_,Bob_,muob_,correlation)</f>
        <v>1.4561790718380361</v>
      </c>
      <c r="G31" s="14">
        <f>[1]!PVT_mu_gas_cP(B31,C31,,gamma_gas_,gamma_oil_,gamma_wat_,Rsb_,Pb_,Tres_,Bob_,muob_,correlation)</f>
        <v>1.282478640833495E-2</v>
      </c>
      <c r="H31" s="13">
        <f>[1]!PVT_mu_wat_cP(B31,C31,,gamma_gas_,gamma_oil_,gamma_wat_,Rsb_,Pb_,Tres_,Bob_,muob_,correlation)</f>
        <v>0.50728117677462692</v>
      </c>
      <c r="I31" s="30">
        <f>[1]!PVT_rho_gas_kgm3(B31,C31,,gamma_gas_,gamma_oil_,gamma_wat_,Rsb_,Pb_,Tres_,Bob_,muob_,correlation)</f>
        <v>43.754450610900811</v>
      </c>
      <c r="J31" s="12">
        <f>[1]!PVT_rho_wat_kgm3(B31,C31,,gamma_gas_,gamma_oil_,gamma_wat_,Rsb_,Pb_,Tres_,Bob_,muob_,correlation)</f>
        <v>1068.1878867593193</v>
      </c>
      <c r="K31" s="12">
        <f>[1]!PVT_rho_oil_kgm3(B31,C31,,gamma_gas_,gamma_oil_,gamma_wat_,Rsb_,Pb_,Tres_,Bob_,muob_,correlation)</f>
        <v>793.25530958963327</v>
      </c>
      <c r="L31" s="19">
        <f>[1]!PVT_bg_m3m3(B31,C31,,gamma_gas_,gamma_oil_,gamma_wat_,Rsb_,Pb_,Tres_,Bob_,muob_,correlation)</f>
        <v>2.512955789978694E-2</v>
      </c>
      <c r="M31" s="19">
        <f>[1]!PVT_bw_m3m3(B31,C31,,gamma_gas_,gamma_oil_,gamma_wat_,Rsb_,Pb_,Tres_,Bob_,muob_,correlation)</f>
        <v>1.0297813836264262</v>
      </c>
      <c r="N31" s="14">
        <f>[1]!PVT_ST_oilgas_Nm(B31,C31,,gamma_gas_,gamma_oil_,gamma_wat_,Rsb_,Pb_,Tres_,Bob_,muob_,correlation)</f>
        <v>6.2959126146612115E-2</v>
      </c>
      <c r="O31" s="19">
        <f>[1]!PVT_ST_watgas_Nm(B31,C31,,gamma_gas_,gamma_oil_,gamma_wat_,Rsb_,Pb_,Tres_,Bob_,muob_,correlation)</f>
        <v>6.3927250220641038E-2</v>
      </c>
      <c r="P31" s="28">
        <f>[1]!PVT_cp_oil_JkgC(B31,C31,,gamma_gas_,gamma_oil_,gamma_wat_,Rsb_,Pb_,Tres_,Bob_,muob_,correlation)</f>
        <v>2612.2600000000002</v>
      </c>
      <c r="Q31" s="28">
        <f>[1]!PVT_cp_gas_JkgC(B31,C31,,gamma_gas_,gamma_oil_,gamma_wat_,Rsb_,Pb_,Tres_,Bob_,muob_,correlation)</f>
        <v>1707.2830510490837</v>
      </c>
      <c r="R31" s="28">
        <f>[1]!PVT_cp_wat_JkgC(B31,C31,,gamma_gas_,gamma_oil_,gamma_wat_,Rsb_,Pb_,Tres_,Bob_,muob_,correlation)</f>
        <v>4176</v>
      </c>
      <c r="S31" s="29">
        <f>[1]!PVT_compressibility_wat_1atm(B31,C31,,gamma_gas_,gamma_oil_,gamma_wat_,Rsb_,Pb_,Tres_,Bob_,muob_,correlation)</f>
        <v>3.7417994255297712E-5</v>
      </c>
      <c r="T31" s="29">
        <f>[1]!PVT_compressibility_oil_1atm(B31,C31,,gamma_gas_,gamma_oil_,gamma_wat_,Rsb_,Pb_,Tres_,Bob_,muob_,correlation)</f>
        <v>1.3011934420075127E-2</v>
      </c>
      <c r="U31" s="29">
        <f>[1]!PVT_compressibility_gas_1atm(B31,C31,,gamma_gas_,gamma_oil_,gamma_wat_,Rsb_,Pb_,Tres_,Bob_,muob_,correlation)</f>
        <v>2.6933435218216534E-2</v>
      </c>
    </row>
    <row r="32" spans="2:21" x14ac:dyDescent="0.2">
      <c r="B32" s="32">
        <f t="shared" si="0"/>
        <v>52.969540993616185</v>
      </c>
      <c r="C32" s="11">
        <v>80</v>
      </c>
      <c r="D32" s="12">
        <f>[1]!PVT_rs_m3m3(B32,C32,,gamma_gas_,gamma_oil_,gamma_wat_,Rsb_,Pb_,Tres_,Bob_,muob_,correlation)</f>
        <v>29.86948746073293</v>
      </c>
      <c r="E32" s="13">
        <f>[1]!PVT_bo_m3m3(B32,C32,,gamma_gas_,gamma_oil_,gamma_wat_,Rsb_,Pb_,Tres_,Bob_,muob_,correlation)</f>
        <v>1.1352654486524354</v>
      </c>
      <c r="F32" s="30">
        <f>[1]!PVT_mu_oil_cP(B32,C32,,gamma_gas_,gamma_oil_,gamma_wat_,Rsb_,Pb_,Tres_,Bob_,muob_,correlation)</f>
        <v>1.2978005228455678</v>
      </c>
      <c r="G32" s="14">
        <f>[1]!PVT_mu_gas_cP(B32,C32,,gamma_gas_,gamma_oil_,gamma_wat_,Rsb_,Pb_,Tres_,Bob_,muob_,correlation)</f>
        <v>1.3306201464312937E-2</v>
      </c>
      <c r="H32" s="13">
        <f>[1]!PVT_mu_wat_cP(B32,C32,,gamma_gas_,gamma_oil_,gamma_wat_,Rsb_,Pb_,Tres_,Bob_,muob_,correlation)</f>
        <v>0.51065438035351773</v>
      </c>
      <c r="I32" s="30">
        <f>[1]!PVT_rho_gas_kgm3(B32,C32,,gamma_gas_,gamma_oil_,gamma_wat_,Rsb_,Pb_,Tres_,Bob_,muob_,correlation)</f>
        <v>56.459442811082383</v>
      </c>
      <c r="J32" s="12">
        <f>[1]!PVT_rho_wat_kgm3(B32,C32,,gamma_gas_,gamma_oil_,gamma_wat_,Rsb_,Pb_,Tres_,Bob_,muob_,correlation)</f>
        <v>1068.3610395194885</v>
      </c>
      <c r="K32" s="12">
        <f>[1]!PVT_rho_oil_kgm3(B32,C32,,gamma_gas_,gamma_oil_,gamma_wat_,Rsb_,Pb_,Tres_,Bob_,muob_,correlation)</f>
        <v>786.4613501692553</v>
      </c>
      <c r="L32" s="19">
        <f>[1]!PVT_bg_m3m3(B32,C32,,gamma_gas_,gamma_oil_,gamma_wat_,Rsb_,Pb_,Tres_,Bob_,muob_,correlation)</f>
        <v>1.9474687408430714E-2</v>
      </c>
      <c r="M32" s="19">
        <f>[1]!PVT_bw_m3m3(B32,C32,,gamma_gas_,gamma_oil_,gamma_wat_,Rsb_,Pb_,Tres_,Bob_,muob_,correlation)</f>
        <v>1.0296144835969887</v>
      </c>
      <c r="N32" s="14">
        <f>[1]!PVT_ST_oilgas_Nm(B32,C32,,gamma_gas_,gamma_oil_,gamma_wat_,Rsb_,Pb_,Tres_,Bob_,muob_,correlation)</f>
        <v>6.2123724753357333E-2</v>
      </c>
      <c r="O32" s="19">
        <f>[1]!PVT_ST_watgas_Nm(B32,C32,,gamma_gas_,gamma_oil_,gamma_wat_,Rsb_,Pb_,Tres_,Bob_,muob_,correlation)</f>
        <v>6.3772414654330187E-2</v>
      </c>
      <c r="P32" s="28">
        <f>[1]!PVT_cp_oil_JkgC(B32,C32,,gamma_gas_,gamma_oil_,gamma_wat_,Rsb_,Pb_,Tres_,Bob_,muob_,correlation)</f>
        <v>2612.2600000000002</v>
      </c>
      <c r="Q32" s="28">
        <f>[1]!PVT_cp_gas_JkgC(B32,C32,,gamma_gas_,gamma_oil_,gamma_wat_,Rsb_,Pb_,Tres_,Bob_,muob_,correlation)</f>
        <v>1646.1002248700099</v>
      </c>
      <c r="R32" s="28">
        <f>[1]!PVT_cp_wat_JkgC(B32,C32,,gamma_gas_,gamma_oil_,gamma_wat_,Rsb_,Pb_,Tres_,Bob_,muob_,correlation)</f>
        <v>4176</v>
      </c>
      <c r="S32" s="29">
        <f>[1]!PVT_compressibility_wat_1atm(B32,C32,,gamma_gas_,gamma_oil_,gamma_wat_,Rsb_,Pb_,Tres_,Bob_,muob_,correlation)</f>
        <v>3.7314576495153219E-5</v>
      </c>
      <c r="T32" s="29">
        <f>[1]!PVT_compressibility_oil_1atm(B32,C32,,gamma_gas_,gamma_oil_,gamma_wat_,Rsb_,Pb_,Tres_,Bob_,muob_,correlation)</f>
        <v>9.9604716601682883E-3</v>
      </c>
      <c r="U32" s="29">
        <f>[1]!PVT_compressibility_gas_1atm(B32,C32,,gamma_gas_,gamma_oil_,gamma_wat_,Rsb_,Pb_,Tres_,Bob_,muob_,correlation)</f>
        <v>2.2427279295988079E-2</v>
      </c>
    </row>
    <row r="33" spans="2:21" x14ac:dyDescent="0.2">
      <c r="B33" s="32">
        <f t="shared" si="0"/>
        <v>63.363449192339424</v>
      </c>
      <c r="C33" s="11">
        <v>80</v>
      </c>
      <c r="D33" s="12">
        <f>[1]!PVT_rs_m3m3(B33,C33,,gamma_gas_,gamma_oil_,gamma_wat_,Rsb_,Pb_,Tres_,Bob_,muob_,correlation)</f>
        <v>37.060744671252294</v>
      </c>
      <c r="E33" s="13">
        <f>[1]!PVT_bo_m3m3(B33,C33,,gamma_gas_,gamma_oil_,gamma_wat_,Rsb_,Pb_,Tres_,Bob_,muob_,correlation)</f>
        <v>1.1557235779655699</v>
      </c>
      <c r="F33" s="30">
        <f>[1]!PVT_mu_oil_cP(B33,C33,,gamma_gas_,gamma_oil_,gamma_wat_,Rsb_,Pb_,Tres_,Bob_,muob_,correlation)</f>
        <v>1.1710405637630295</v>
      </c>
      <c r="G33" s="14">
        <f>[1]!PVT_mu_gas_cP(B33,C33,,gamma_gas_,gamma_oil_,gamma_wat_,Rsb_,Pb_,Tres_,Bob_,muob_,correlation)</f>
        <v>1.3878068914648978E-2</v>
      </c>
      <c r="H33" s="13">
        <f>[1]!PVT_mu_wat_cP(B33,C33,,gamma_gas_,gamma_oil_,gamma_wat_,Rsb_,Pb_,Tres_,Bob_,muob_,correlation)</f>
        <v>0.51409926424784846</v>
      </c>
      <c r="I33" s="30">
        <f>[1]!PVT_rho_gas_kgm3(B33,C33,,gamma_gas_,gamma_oil_,gamma_wat_,Rsb_,Pb_,Tres_,Bob_,muob_,correlation)</f>
        <v>70.059997847986807</v>
      </c>
      <c r="J33" s="12">
        <f>[1]!PVT_rho_wat_kgm3(B33,C33,,gamma_gas_,gamma_oil_,gamma_wat_,Rsb_,Pb_,Tres_,Bob_,muob_,correlation)</f>
        <v>1068.5470075607595</v>
      </c>
      <c r="K33" s="12">
        <f>[1]!PVT_rho_oil_kgm3(B33,C33,,gamma_gas_,gamma_oil_,gamma_wat_,Rsb_,Pb_,Tres_,Bob_,muob_,correlation)</f>
        <v>779.38134841376075</v>
      </c>
      <c r="L33" s="19">
        <f>[1]!PVT_bg_m3m3(B33,C33,,gamma_gas_,gamma_oil_,gamma_wat_,Rsb_,Pb_,Tres_,Bob_,muob_,correlation)</f>
        <v>1.5694119808363587E-2</v>
      </c>
      <c r="M33" s="19">
        <f>[1]!PVT_bw_m3m3(B33,C33,,gamma_gas_,gamma_oil_,gamma_wat_,Rsb_,Pb_,Tres_,Bob_,muob_,correlation)</f>
        <v>1.029435291303693</v>
      </c>
      <c r="N33" s="14">
        <f>[1]!PVT_ST_oilgas_Nm(B33,C33,,gamma_gas_,gamma_oil_,gamma_wat_,Rsb_,Pb_,Tres_,Bob_,muob_,correlation)</f>
        <v>6.1299408258044523E-2</v>
      </c>
      <c r="O33" s="19">
        <f>[1]!PVT_ST_watgas_Nm(B33,C33,,gamma_gas_,gamma_oil_,gamma_wat_,Rsb_,Pb_,Tres_,Bob_,muob_,correlation)</f>
        <v>6.3617954108883115E-2</v>
      </c>
      <c r="P33" s="28">
        <f>[1]!PVT_cp_oil_JkgC(B33,C33,,gamma_gas_,gamma_oil_,gamma_wat_,Rsb_,Pb_,Tres_,Bob_,muob_,correlation)</f>
        <v>2612.2600000000002</v>
      </c>
      <c r="Q33" s="28">
        <f>[1]!PVT_cp_gas_JkgC(B33,C33,,gamma_gas_,gamma_oil_,gamma_wat_,Rsb_,Pb_,Tres_,Bob_,muob_,correlation)</f>
        <v>1586.848051579776</v>
      </c>
      <c r="R33" s="28">
        <f>[1]!PVT_cp_wat_JkgC(B33,C33,,gamma_gas_,gamma_oil_,gamma_wat_,Rsb_,Pb_,Tres_,Bob_,muob_,correlation)</f>
        <v>4176</v>
      </c>
      <c r="S33" s="29">
        <f>[1]!PVT_compressibility_wat_1atm(B33,C33,,gamma_gas_,gamma_oil_,gamma_wat_,Rsb_,Pb_,Tres_,Bob_,muob_,correlation)</f>
        <v>3.7211728821929179E-5</v>
      </c>
      <c r="T33" s="29">
        <f>[1]!PVT_compressibility_oil_1atm(B33,C33,,gamma_gas_,gamma_oil_,gamma_wat_,Rsb_,Pb_,Tres_,Bob_,muob_,correlation)</f>
        <v>7.8143271349144193E-3</v>
      </c>
      <c r="U33" s="29">
        <f>[1]!PVT_compressibility_gas_1atm(B33,C33,,gamma_gas_,gamma_oil_,gamma_wat_,Rsb_,Pb_,Tres_,Bob_,muob_,correlation)</f>
        <v>1.9254443250475466E-2</v>
      </c>
    </row>
    <row r="34" spans="2:21" x14ac:dyDescent="0.2">
      <c r="B34" s="32">
        <f t="shared" si="0"/>
        <v>73.757357391062655</v>
      </c>
      <c r="C34" s="11">
        <v>80</v>
      </c>
      <c r="D34" s="12">
        <f>[1]!PVT_rs_m3m3(B34,C34,,gamma_gas_,gamma_oil_,gamma_wat_,Rsb_,Pb_,Tres_,Bob_,muob_,correlation)</f>
        <v>44.49772968355434</v>
      </c>
      <c r="E34" s="13">
        <f>[1]!PVT_bo_m3m3(B34,C34,,gamma_gas_,gamma_oil_,gamma_wat_,Rsb_,Pb_,Tres_,Bob_,muob_,correlation)</f>
        <v>1.1772439628901397</v>
      </c>
      <c r="F34" s="30">
        <f>[1]!PVT_mu_oil_cP(B34,C34,,gamma_gas_,gamma_oil_,gamma_wat_,Rsb_,Pb_,Tres_,Bob_,muob_,correlation)</f>
        <v>1.0676365793585858</v>
      </c>
      <c r="G34" s="14">
        <f>[1]!PVT_mu_gas_cP(B34,C34,,gamma_gas_,gamma_oil_,gamma_wat_,Rsb_,Pb_,Tres_,Bob_,muob_,correlation)</f>
        <v>1.4546754089444107E-2</v>
      </c>
      <c r="H34" s="13">
        <f>[1]!PVT_mu_wat_cP(B34,C34,,gamma_gas_,gamma_oil_,gamma_wat_,Rsb_,Pb_,Tres_,Bob_,muob_,correlation)</f>
        <v>0.51761582845761911</v>
      </c>
      <c r="I34" s="30">
        <f>[1]!PVT_rho_gas_kgm3(B34,C34,,gamma_gas_,gamma_oil_,gamma_wat_,Rsb_,Pb_,Tres_,Bob_,muob_,correlation)</f>
        <v>84.450775610368311</v>
      </c>
      <c r="J34" s="12">
        <f>[1]!PVT_rho_wat_kgm3(B34,C34,,gamma_gas_,gamma_oil_,gamma_wat_,Rsb_,Pb_,Tres_,Bob_,muob_,correlation)</f>
        <v>1068.7458042396413</v>
      </c>
      <c r="K34" s="12">
        <f>[1]!PVT_rho_oil_kgm3(B34,C34,,gamma_gas_,gamma_oil_,gamma_wat_,Rsb_,Pb_,Tres_,Bob_,muob_,correlation)</f>
        <v>772.08005933412414</v>
      </c>
      <c r="L34" s="19">
        <f>[1]!PVT_bg_m3m3(B34,C34,,gamma_gas_,gamma_oil_,gamma_wat_,Rsb_,Pb_,Tres_,Bob_,muob_,correlation)</f>
        <v>1.3019773851135678E-2</v>
      </c>
      <c r="M34" s="19">
        <f>[1]!PVT_bw_m3m3(B34,C34,,gamma_gas_,gamma_oil_,gamma_wat_,Rsb_,Pb_,Tres_,Bob_,muob_,correlation)</f>
        <v>1.0292438067465393</v>
      </c>
      <c r="N34" s="14">
        <f>[1]!PVT_ST_oilgas_Nm(B34,C34,,gamma_gas_,gamma_oil_,gamma_wat_,Rsb_,Pb_,Tres_,Bob_,muob_,correlation)</f>
        <v>6.0486029575735401E-2</v>
      </c>
      <c r="O34" s="19">
        <f>[1]!PVT_ST_watgas_Nm(B34,C34,,gamma_gas_,gamma_oil_,gamma_wat_,Rsb_,Pb_,Tres_,Bob_,muob_,correlation)</f>
        <v>6.3463867675977129E-2</v>
      </c>
      <c r="P34" s="28">
        <f>[1]!PVT_cp_oil_JkgC(B34,C34,,gamma_gas_,gamma_oil_,gamma_wat_,Rsb_,Pb_,Tres_,Bob_,muob_,correlation)</f>
        <v>2612.2600000000002</v>
      </c>
      <c r="Q34" s="28">
        <f>[1]!PVT_cp_gas_JkgC(B34,C34,,gamma_gas_,gamma_oil_,gamma_wat_,Rsb_,Pb_,Tres_,Bob_,muob_,correlation)</f>
        <v>1532.3866443480701</v>
      </c>
      <c r="R34" s="28">
        <f>[1]!PVT_cp_wat_JkgC(B34,C34,,gamma_gas_,gamma_oil_,gamma_wat_,Rsb_,Pb_,Tres_,Bob_,muob_,correlation)</f>
        <v>4176</v>
      </c>
      <c r="S34" s="29">
        <f>[1]!PVT_compressibility_wat_1atm(B34,C34,,gamma_gas_,gamma_oil_,gamma_wat_,Rsb_,Pb_,Tres_,Bob_,muob_,correlation)</f>
        <v>3.7109446534704977E-5</v>
      </c>
      <c r="T34" s="29">
        <f>[1]!PVT_compressibility_oil_1atm(B34,C34,,gamma_gas_,gamma_oil_,gamma_wat_,Rsb_,Pb_,Tres_,Bob_,muob_,correlation)</f>
        <v>6.2333602832086122E-3</v>
      </c>
      <c r="U34" s="29">
        <f>[1]!PVT_compressibility_gas_1atm(B34,C34,,gamma_gas_,gamma_oil_,gamma_wat_,Rsb_,Pb_,Tres_,Bob_,muob_,correlation)</f>
        <v>1.6773305878614034E-2</v>
      </c>
    </row>
    <row r="35" spans="2:21" x14ac:dyDescent="0.2">
      <c r="B35" s="32">
        <f t="shared" si="0"/>
        <v>84.151265589785893</v>
      </c>
      <c r="C35" s="11">
        <v>80</v>
      </c>
      <c r="D35" s="12">
        <f>[1]!PVT_rs_m3m3(B35,C35,,gamma_gas_,gamma_oil_,gamma_wat_,Rsb_,Pb_,Tres_,Bob_,muob_,correlation)</f>
        <v>52.152272714803246</v>
      </c>
      <c r="E35" s="13">
        <f>[1]!PVT_bo_m3m3(B35,C35,,gamma_gas_,gamma_oil_,gamma_wat_,Rsb_,Pb_,Tres_,Bob_,muob_,correlation)</f>
        <v>1.1997507079804024</v>
      </c>
      <c r="F35" s="30">
        <f>[1]!PVT_mu_oil_cP(B35,C35,,gamma_gas_,gamma_oil_,gamma_wat_,Rsb_,Pb_,Tres_,Bob_,muob_,correlation)</f>
        <v>0.98184292113524985</v>
      </c>
      <c r="G35" s="14">
        <f>[1]!PVT_mu_gas_cP(B35,C35,,gamma_gas_,gamma_oil_,gamma_wat_,Rsb_,Pb_,Tres_,Bob_,muob_,correlation)</f>
        <v>1.5313891606603959E-2</v>
      </c>
      <c r="H35" s="13">
        <f>[1]!PVT_mu_wat_cP(B35,C35,,gamma_gas_,gamma_oil_,gamma_wat_,Rsb_,Pb_,Tres_,Bob_,muob_,correlation)</f>
        <v>0.52120407298282967</v>
      </c>
      <c r="I35" s="30">
        <f>[1]!PVT_rho_gas_kgm3(B35,C35,,gamma_gas_,gamma_oil_,gamma_wat_,Rsb_,Pb_,Tres_,Bob_,muob_,correlation)</f>
        <v>99.427993216671709</v>
      </c>
      <c r="J35" s="12">
        <f>[1]!PVT_rho_wat_kgm3(B35,C35,,gamma_gas_,gamma_oil_,gamma_wat_,Rsb_,Pb_,Tres_,Bob_,muob_,correlation)</f>
        <v>1068.957443841721</v>
      </c>
      <c r="K35" s="12">
        <f>[1]!PVT_rho_oil_kgm3(B35,C35,,gamma_gas_,gamma_oil_,gamma_wat_,Rsb_,Pb_,Tres_,Bob_,muob_,correlation)</f>
        <v>764.61133326798767</v>
      </c>
      <c r="L35" s="19">
        <f>[1]!PVT_bg_m3m3(B35,C35,,gamma_gas_,gamma_oil_,gamma_wat_,Rsb_,Pb_,Tres_,Bob_,muob_,correlation)</f>
        <v>1.1058555688677372E-2</v>
      </c>
      <c r="M35" s="19">
        <f>[1]!PVT_bw_m3m3(B35,C35,,gamma_gas_,gamma_oil_,gamma_wat_,Rsb_,Pb_,Tres_,Bob_,muob_,correlation)</f>
        <v>1.0290400299255276</v>
      </c>
      <c r="N35" s="14">
        <f>[1]!PVT_ST_oilgas_Nm(B35,C35,,gamma_gas_,gamma_oil_,gamma_wat_,Rsb_,Pb_,Tres_,Bob_,muob_,correlation)</f>
        <v>5.9683443573154124E-2</v>
      </c>
      <c r="O35" s="19">
        <f>[1]!PVT_ST_watgas_Nm(B35,C35,,gamma_gas_,gamma_oil_,gamma_wat_,Rsb_,Pb_,Tres_,Bob_,muob_,correlation)</f>
        <v>6.3310154449489689E-2</v>
      </c>
      <c r="P35" s="28">
        <f>[1]!PVT_cp_oil_JkgC(B35,C35,,gamma_gas_,gamma_oil_,gamma_wat_,Rsb_,Pb_,Tres_,Bob_,muob_,correlation)</f>
        <v>2612.2600000000002</v>
      </c>
      <c r="Q35" s="28">
        <f>[1]!PVT_cp_gas_JkgC(B35,C35,,gamma_gas_,gamma_oil_,gamma_wat_,Rsb_,Pb_,Tres_,Bob_,muob_,correlation)</f>
        <v>1484.9732499359152</v>
      </c>
      <c r="R35" s="28">
        <f>[1]!PVT_cp_wat_JkgC(B35,C35,,gamma_gas_,gamma_oil_,gamma_wat_,Rsb_,Pb_,Tres_,Bob_,muob_,correlation)</f>
        <v>4176</v>
      </c>
      <c r="S35" s="29">
        <f>[1]!PVT_compressibility_wat_1atm(B35,C35,,gamma_gas_,gamma_oil_,gamma_wat_,Rsb_,Pb_,Tres_,Bob_,muob_,correlation)</f>
        <v>3.7007724984103241E-5</v>
      </c>
      <c r="T35" s="29">
        <f>[1]!PVT_compressibility_oil_1atm(B35,C35,,gamma_gas_,gamma_oil_,gamma_wat_,Rsb_,Pb_,Tres_,Bob_,muob_,correlation)</f>
        <v>5.0350597735005333E-3</v>
      </c>
      <c r="U35" s="29">
        <f>[1]!PVT_compressibility_gas_1atm(B35,C35,,gamma_gas_,gamma_oil_,gamma_wat_,Rsb_,Pb_,Tres_,Bob_,muob_,correlation)</f>
        <v>1.4689148673593137E-2</v>
      </c>
    </row>
    <row r="36" spans="2:21" x14ac:dyDescent="0.2">
      <c r="B36" s="32">
        <f t="shared" si="0"/>
        <v>94.545173788509132</v>
      </c>
      <c r="C36" s="11">
        <v>80</v>
      </c>
      <c r="D36" s="12">
        <f>[1]!PVT_rs_m3m3(B36,C36,,gamma_gas_,gamma_oil_,gamma_wat_,Rsb_,Pb_,Tres_,Bob_,muob_,correlation)</f>
        <v>60.002591651916042</v>
      </c>
      <c r="E36" s="13">
        <f>[1]!PVT_bo_m3m3(B36,C36,,gamma_gas_,gamma_oil_,gamma_wat_,Rsb_,Pb_,Tres_,Bob_,muob_,correlation)</f>
        <v>1.2231825715469771</v>
      </c>
      <c r="F36" s="30">
        <f>[1]!PVT_mu_oil_cP(B36,C36,,gamma_gas_,gamma_oil_,gamma_wat_,Rsb_,Pb_,Tres_,Bob_,muob_,correlation)</f>
        <v>0.90959427527441039</v>
      </c>
      <c r="G36" s="14">
        <f>[1]!PVT_mu_gas_cP(B36,C36,,gamma_gas_,gamma_oil_,gamma_wat_,Rsb_,Pb_,Tres_,Bob_,muob_,correlation)</f>
        <v>1.6175343278949889E-2</v>
      </c>
      <c r="H36" s="13">
        <f>[1]!PVT_mu_wat_cP(B36,C36,,gamma_gas_,gamma_oil_,gamma_wat_,Rsb_,Pb_,Tres_,Bob_,muob_,correlation)</f>
        <v>0.52486399782348003</v>
      </c>
      <c r="I36" s="30">
        <f>[1]!PVT_rho_gas_kgm3(B36,C36,,gamma_gas_,gamma_oil_,gamma_wat_,Rsb_,Pb_,Tres_,Bob_,muob_,correlation)</f>
        <v>114.71856764305909</v>
      </c>
      <c r="J36" s="12">
        <f>[1]!PVT_rho_wat_kgm3(B36,C36,,gamma_gas_,gamma_oil_,gamma_wat_,Rsb_,Pb_,Tres_,Bob_,muob_,correlation)</f>
        <v>1069.1819415842378</v>
      </c>
      <c r="K36" s="12">
        <f>[1]!PVT_rho_oil_kgm3(B36,C36,,gamma_gas_,gamma_oil_,gamma_wat_,Rsb_,Pb_,Tres_,Bob_,muob_,correlation)</f>
        <v>757.02080060537276</v>
      </c>
      <c r="L36" s="19">
        <f>[1]!PVT_bg_m3m3(B36,C36,,gamma_gas_,gamma_oil_,gamma_wat_,Rsb_,Pb_,Tres_,Bob_,muob_,correlation)</f>
        <v>9.5845861972503957E-3</v>
      </c>
      <c r="M36" s="19">
        <f>[1]!PVT_bw_m3m3(B36,C36,,gamma_gas_,gamma_oil_,gamma_wat_,Rsb_,Pb_,Tres_,Bob_,muob_,correlation)</f>
        <v>1.0288239608406575</v>
      </c>
      <c r="N36" s="14">
        <f>[1]!PVT_ST_oilgas_Nm(B36,C36,,gamma_gas_,gamma_oil_,gamma_wat_,Rsb_,Pb_,Tres_,Bob_,muob_,correlation)</f>
        <v>5.8891507042790767E-2</v>
      </c>
      <c r="O36" s="19">
        <f>[1]!PVT_ST_watgas_Nm(B36,C36,,gamma_gas_,gamma_oil_,gamma_wat_,Rsb_,Pb_,Tres_,Bob_,muob_,correlation)</f>
        <v>6.3156813525492794E-2</v>
      </c>
      <c r="P36" s="28">
        <f>[1]!PVT_cp_oil_JkgC(B36,C36,,gamma_gas_,gamma_oil_,gamma_wat_,Rsb_,Pb_,Tres_,Bob_,muob_,correlation)</f>
        <v>2612.2600000000002</v>
      </c>
      <c r="Q36" s="28">
        <f>[1]!PVT_cp_gas_JkgC(B36,C36,,gamma_gas_,gamma_oil_,gamma_wat_,Rsb_,Pb_,Tres_,Bob_,muob_,correlation)</f>
        <v>1446.0133455388964</v>
      </c>
      <c r="R36" s="28">
        <f>[1]!PVT_cp_wat_JkgC(B36,C36,,gamma_gas_,gamma_oil_,gamma_wat_,Rsb_,Pb_,Tres_,Bob_,muob_,correlation)</f>
        <v>4176</v>
      </c>
      <c r="S36" s="29">
        <f>[1]!PVT_compressibility_wat_1atm(B36,C36,,gamma_gas_,gamma_oil_,gamma_wat_,Rsb_,Pb_,Tres_,Bob_,muob_,correlation)</f>
        <v>3.6906559571585264E-5</v>
      </c>
      <c r="T36" s="29">
        <f>[1]!PVT_compressibility_oil_1atm(B36,C36,,gamma_gas_,gamma_oil_,gamma_wat_,Rsb_,Pb_,Tres_,Bob_,muob_,correlation)</f>
        <v>4.109373791481759E-3</v>
      </c>
      <c r="U36" s="29">
        <f>[1]!PVT_compressibility_gas_1atm(B36,C36,,gamma_gas_,gamma_oil_,gamma_wat_,Rsb_,Pb_,Tres_,Bob_,muob_,correlation)</f>
        <v>1.2868358419247067E-2</v>
      </c>
    </row>
    <row r="37" spans="2:21" x14ac:dyDescent="0.2">
      <c r="B37" s="32">
        <f t="shared" si="0"/>
        <v>104.93908198723237</v>
      </c>
      <c r="C37" s="11">
        <v>80</v>
      </c>
      <c r="D37" s="12">
        <f>[1]!PVT_rs_m3m3(B37,C37,,gamma_gas_,gamma_oil_,gamma_wat_,Rsb_,Pb_,Tres_,Bob_,muob_,correlation)</f>
        <v>68.031285283769989</v>
      </c>
      <c r="E37" s="13">
        <f>[1]!PVT_bo_m3m3(B37,C37,,gamma_gas_,gamma_oil_,gamma_wat_,Rsb_,Pb_,Tres_,Bob_,muob_,correlation)</f>
        <v>1.2474885699268174</v>
      </c>
      <c r="F37" s="30">
        <f>[1]!PVT_mu_oil_cP(B37,C37,,gamma_gas_,gamma_oil_,gamma_wat_,Rsb_,Pb_,Tres_,Bob_,muob_,correlation)</f>
        <v>0.84795630333294658</v>
      </c>
      <c r="G37" s="14">
        <f>[1]!PVT_mu_gas_cP(B37,C37,,gamma_gas_,gamma_oil_,gamma_wat_,Rsb_,Pb_,Tres_,Bob_,muob_,correlation)</f>
        <v>1.7121356009237199E-2</v>
      </c>
      <c r="H37" s="13">
        <f>[1]!PVT_mu_wat_cP(B37,C37,,gamma_gas_,gamma_oil_,gamma_wat_,Rsb_,Pb_,Tres_,Bob_,muob_,correlation)</f>
        <v>0.5285956029795702</v>
      </c>
      <c r="I37" s="30">
        <f>[1]!PVT_rho_gas_kgm3(B37,C37,,gamma_gas_,gamma_oil_,gamma_wat_,Rsb_,Pb_,Tres_,Bob_,muob_,correlation)</f>
        <v>130.02279370087339</v>
      </c>
      <c r="J37" s="12">
        <f>[1]!PVT_rho_wat_kgm3(B37,C37,,gamma_gas_,gamma_oil_,gamma_wat_,Rsb_,Pb_,Tres_,Bob_,muob_,correlation)</f>
        <v>1069.4193136188219</v>
      </c>
      <c r="K37" s="12">
        <f>[1]!PVT_rho_oil_kgm3(B37,C37,,gamma_gas_,gamma_oil_,gamma_wat_,Rsb_,Pb_,Tres_,Bob_,muob_,correlation)</f>
        <v>749.34749836056835</v>
      </c>
      <c r="L37" s="19">
        <f>[1]!PVT_bg_m3m3(B37,C37,,gamma_gas_,gamma_oil_,gamma_wat_,Rsb_,Pb_,Tres_,Bob_,muob_,correlation)</f>
        <v>8.4564403571388141E-3</v>
      </c>
      <c r="M37" s="19">
        <f>[1]!PVT_bw_m3m3(B37,C37,,gamma_gas_,gamma_oil_,gamma_wat_,Rsb_,Pb_,Tres_,Bob_,muob_,correlation)</f>
        <v>1.0285955994919298</v>
      </c>
      <c r="N37" s="14">
        <f>[1]!PVT_ST_oilgas_Nm(B37,C37,,gamma_gas_,gamma_oil_,gamma_wat_,Rsb_,Pb_,Tres_,Bob_,muob_,correlation)</f>
        <v>5.8110078677348478E-2</v>
      </c>
      <c r="O37" s="19">
        <f>[1]!PVT_ST_watgas_Nm(B37,C37,,gamma_gas_,gamma_oil_,gamma_wat_,Rsb_,Pb_,Tres_,Bob_,muob_,correlation)</f>
        <v>6.3003844002247927E-2</v>
      </c>
      <c r="P37" s="28">
        <f>[1]!PVT_cp_oil_JkgC(B37,C37,,gamma_gas_,gamma_oil_,gamma_wat_,Rsb_,Pb_,Tres_,Bob_,muob_,correlation)</f>
        <v>2612.2600000000002</v>
      </c>
      <c r="Q37" s="28">
        <f>[1]!PVT_cp_gas_JkgC(B37,C37,,gamma_gas_,gamma_oil_,gamma_wat_,Rsb_,Pb_,Tres_,Bob_,muob_,correlation)</f>
        <v>1416.0690146987381</v>
      </c>
      <c r="R37" s="28">
        <f>[1]!PVT_cp_wat_JkgC(B37,C37,,gamma_gas_,gamma_oil_,gamma_wat_,Rsb_,Pb_,Tres_,Bob_,muob_,correlation)</f>
        <v>4176</v>
      </c>
      <c r="S37" s="29">
        <f>[1]!PVT_compressibility_wat_1atm(B37,C37,,gamma_gas_,gamma_oil_,gamma_wat_,Rsb_,Pb_,Tres_,Bob_,muob_,correlation)</f>
        <v>3.6805945748758087E-5</v>
      </c>
      <c r="T37" s="29">
        <f>[1]!PVT_compressibility_oil_1atm(B37,C37,,gamma_gas_,gamma_oil_,gamma_wat_,Rsb_,Pb_,Tres_,Bob_,muob_,correlation)</f>
        <v>3.3840310728787395E-3</v>
      </c>
      <c r="U37" s="29">
        <f>[1]!PVT_compressibility_gas_1atm(B37,C37,,gamma_gas_,gamma_oil_,gamma_wat_,Rsb_,Pb_,Tres_,Bob_,muob_,correlation)</f>
        <v>1.1254182989979144E-2</v>
      </c>
    </row>
    <row r="38" spans="2:21" x14ac:dyDescent="0.2">
      <c r="B38" s="32">
        <f t="shared" si="0"/>
        <v>115.33299018595561</v>
      </c>
      <c r="C38" s="11">
        <v>80</v>
      </c>
      <c r="D38" s="12">
        <f>[1]!PVT_rs_m3m3(B38,C38,,gamma_gas_,gamma_oil_,gamma_wat_,Rsb_,Pb_,Tres_,Bob_,muob_,correlation)</f>
        <v>76.224097444626324</v>
      </c>
      <c r="E38" s="13">
        <f>[1]!PVT_bo_m3m3(B38,C38,,gamma_gas_,gamma_oil_,gamma_wat_,Rsb_,Pb_,Tres_,Bob_,muob_,correlation)</f>
        <v>1.272625268811471</v>
      </c>
      <c r="F38" s="30">
        <f>[1]!PVT_mu_oil_cP(B38,C38,,gamma_gas_,gamma_oil_,gamma_wat_,Rsb_,Pb_,Tres_,Bob_,muob_,correlation)</f>
        <v>0.79476877443006366</v>
      </c>
      <c r="G38" s="14">
        <f>[1]!PVT_mu_gas_cP(B38,C38,,gamma_gas_,gamma_oil_,gamma_wat_,Rsb_,Pb_,Tres_,Bob_,muob_,correlation)</f>
        <v>1.8137774263687002E-2</v>
      </c>
      <c r="H38" s="13">
        <f>[1]!PVT_mu_wat_cP(B38,C38,,gamma_gas_,gamma_oil_,gamma_wat_,Rsb_,Pb_,Tres_,Bob_,muob_,correlation)</f>
        <v>0.53239888845110039</v>
      </c>
      <c r="I38" s="30">
        <f>[1]!PVT_rho_gas_kgm3(B38,C38,,gamma_gas_,gamma_oil_,gamma_wat_,Rsb_,Pb_,Tres_,Bob_,muob_,correlation)</f>
        <v>145.05692699335617</v>
      </c>
      <c r="J38" s="12">
        <f>[1]!PVT_rho_wat_kgm3(B38,C38,,gamma_gas_,gamma_oil_,gamma_wat_,Rsb_,Pb_,Tres_,Bob_,muob_,correlation)</f>
        <v>1069.669577034409</v>
      </c>
      <c r="K38" s="12">
        <f>[1]!PVT_rho_oil_kgm3(B38,C38,,gamma_gas_,gamma_oil_,gamma_wat_,Rsb_,Pb_,Tres_,Bob_,muob_,correlation)</f>
        <v>741.62497397582933</v>
      </c>
      <c r="L38" s="19">
        <f>[1]!PVT_bg_m3m3(B38,C38,,gamma_gas_,gamma_oil_,gamma_wat_,Rsb_,Pb_,Tres_,Bob_,muob_,correlation)</f>
        <v>7.5799896136663656E-3</v>
      </c>
      <c r="M38" s="19">
        <f>[1]!PVT_bw_m3m3(B38,C38,,gamma_gas_,gamma_oil_,gamma_wat_,Rsb_,Pb_,Tres_,Bob_,muob_,correlation)</f>
        <v>1.0283549458793437</v>
      </c>
      <c r="N38" s="14">
        <f>[1]!PVT_ST_oilgas_Nm(B38,C38,,gamma_gas_,gamma_oil_,gamma_wat_,Rsb_,Pb_,Tres_,Bob_,muob_,correlation)</f>
        <v>5.7339019044529614E-2</v>
      </c>
      <c r="O38" s="19">
        <f>[1]!PVT_ST_watgas_Nm(B38,C38,,gamma_gas_,gamma_oil_,gamma_wat_,Rsb_,Pb_,Tres_,Bob_,muob_,correlation)</f>
        <v>6.2851244980200546E-2</v>
      </c>
      <c r="P38" s="28">
        <f>[1]!PVT_cp_oil_JkgC(B38,C38,,gamma_gas_,gamma_oil_,gamma_wat_,Rsb_,Pb_,Tres_,Bob_,muob_,correlation)</f>
        <v>2612.2600000000002</v>
      </c>
      <c r="Q38" s="28">
        <f>[1]!PVT_cp_gas_JkgC(B38,C38,,gamma_gas_,gamma_oil_,gamma_wat_,Rsb_,Pb_,Tres_,Bob_,muob_,correlation)</f>
        <v>1395.0241683049328</v>
      </c>
      <c r="R38" s="28">
        <f>[1]!PVT_cp_wat_JkgC(B38,C38,,gamma_gas_,gamma_oil_,gamma_wat_,Rsb_,Pb_,Tres_,Bob_,muob_,correlation)</f>
        <v>4176</v>
      </c>
      <c r="S38" s="29">
        <f>[1]!PVT_compressibility_wat_1atm(B38,C38,,gamma_gas_,gamma_oil_,gamma_wat_,Rsb_,Pb_,Tres_,Bob_,muob_,correlation)</f>
        <v>3.6705879016692803E-5</v>
      </c>
      <c r="T38" s="29">
        <f>[1]!PVT_compressibility_oil_1atm(B38,C38,,gamma_gas_,gamma_oil_,gamma_wat_,Rsb_,Pb_,Tres_,Bob_,muob_,correlation)</f>
        <v>2.8087591501557963E-3</v>
      </c>
      <c r="U38" s="29">
        <f>[1]!PVT_compressibility_gas_1atm(B38,C38,,gamma_gas_,gamma_oil_,gamma_wat_,Rsb_,Pb_,Tres_,Bob_,muob_,correlation)</f>
        <v>9.8236757977553848E-3</v>
      </c>
    </row>
    <row r="39" spans="2:21" x14ac:dyDescent="0.2">
      <c r="B39" s="32">
        <f t="shared" si="0"/>
        <v>125.72689838467885</v>
      </c>
      <c r="C39" s="11">
        <v>80</v>
      </c>
      <c r="D39" s="12">
        <f>[1]!PVT_rs_m3m3(B39,C39,,gamma_gas_,gamma_oil_,gamma_wat_,Rsb_,Pb_,Tres_,Bob_,muob_,correlation)</f>
        <v>84.569111766627557</v>
      </c>
      <c r="E39" s="13">
        <f>[1]!PVT_bo_m3m3(B39,C39,,gamma_gas_,gamma_oil_,gamma_wat_,Rsb_,Pb_,Tres_,Bob_,muob_,correlation)</f>
        <v>1.2985550060918987</v>
      </c>
      <c r="F39" s="30">
        <f>[1]!PVT_mu_oil_cP(B39,C39,,gamma_gas_,gamma_oil_,gamma_wat_,Rsb_,Pb_,Tres_,Bob_,muob_,correlation)</f>
        <v>0.74841157086166987</v>
      </c>
      <c r="G39" s="14">
        <f>[1]!PVT_mu_gas_cP(B39,C39,,gamma_gas_,gamma_oil_,gamma_wat_,Rsb_,Pb_,Tres_,Bob_,muob_,correlation)</f>
        <v>1.9207898987801314E-2</v>
      </c>
      <c r="H39" s="13">
        <f>[1]!PVT_mu_wat_cP(B39,C39,,gamma_gas_,gamma_oil_,gamma_wat_,Rsb_,Pb_,Tres_,Bob_,muob_,correlation)</f>
        <v>0.53627385423807039</v>
      </c>
      <c r="I39" s="30">
        <f>[1]!PVT_rho_gas_kgm3(B39,C39,,gamma_gas_,gamma_oil_,gamma_wat_,Rsb_,Pb_,Tres_,Bob_,muob_,correlation)</f>
        <v>159.58494510026614</v>
      </c>
      <c r="J39" s="12">
        <f>[1]!PVT_rho_wat_kgm3(B39,C39,,gamma_gas_,gamma_oil_,gamma_wat_,Rsb_,Pb_,Tres_,Bob_,muob_,correlation)</f>
        <v>1069.9327498603227</v>
      </c>
      <c r="K39" s="12">
        <f>[1]!PVT_rho_oil_kgm3(B39,C39,,gamma_gas_,gamma_oil_,gamma_wat_,Rsb_,Pb_,Tres_,Bob_,muob_,correlation)</f>
        <v>733.88210048093811</v>
      </c>
      <c r="L39" s="19">
        <f>[1]!PVT_bg_m3m3(B39,C39,,gamma_gas_,gamma_oil_,gamma_wat_,Rsb_,Pb_,Tres_,Bob_,muob_,correlation)</f>
        <v>6.889935634650078E-3</v>
      </c>
      <c r="M39" s="19">
        <f>[1]!PVT_bw_m3m3(B39,C39,,gamma_gas_,gamma_oil_,gamma_wat_,Rsb_,Pb_,Tres_,Bob_,muob_,correlation)</f>
        <v>1.0281020000028998</v>
      </c>
      <c r="N39" s="14">
        <f>[1]!PVT_ST_oilgas_Nm(B39,C39,,gamma_gas_,gamma_oil_,gamma_wat_,Rsb_,Pb_,Tres_,Bob_,muob_,correlation)</f>
        <v>5.6578190562156523E-2</v>
      </c>
      <c r="O39" s="19">
        <f>[1]!PVT_ST_watgas_Nm(B39,C39,,gamma_gas_,gamma_oil_,gamma_wat_,Rsb_,Pb_,Tres_,Bob_,muob_,correlation)</f>
        <v>6.2699015561974963E-2</v>
      </c>
      <c r="P39" s="28">
        <f>[1]!PVT_cp_oil_JkgC(B39,C39,,gamma_gas_,gamma_oil_,gamma_wat_,Rsb_,Pb_,Tres_,Bob_,muob_,correlation)</f>
        <v>2612.2600000000002</v>
      </c>
      <c r="Q39" s="28">
        <f>[1]!PVT_cp_gas_JkgC(B39,C39,,gamma_gas_,gamma_oil_,gamma_wat_,Rsb_,Pb_,Tres_,Bob_,muob_,correlation)</f>
        <v>1382.3019982779763</v>
      </c>
      <c r="R39" s="28">
        <f>[1]!PVT_cp_wat_JkgC(B39,C39,,gamma_gas_,gamma_oil_,gamma_wat_,Rsb_,Pb_,Tres_,Bob_,muob_,correlation)</f>
        <v>4176</v>
      </c>
      <c r="S39" s="29">
        <f>[1]!PVT_compressibility_wat_1atm(B39,C39,,gamma_gas_,gamma_oil_,gamma_wat_,Rsb_,Pb_,Tres_,Bob_,muob_,correlation)</f>
        <v>3.6606354925253977E-5</v>
      </c>
      <c r="T39" s="29">
        <f>[1]!PVT_compressibility_oil_1atm(B39,C39,,gamma_gas_,gamma_oil_,gamma_wat_,Rsb_,Pb_,Tres_,Bob_,muob_,correlation)</f>
        <v>2.3473198868552616E-3</v>
      </c>
      <c r="U39" s="29">
        <f>[1]!PVT_compressibility_gas_1atm(B39,C39,,gamma_gas_,gamma_oil_,gamma_wat_,Rsb_,Pb_,Tres_,Bob_,muob_,correlation)</f>
        <v>8.5656212085840257E-3</v>
      </c>
    </row>
    <row r="40" spans="2:21" x14ac:dyDescent="0.2">
      <c r="B40" s="32">
        <f t="shared" si="0"/>
        <v>136.12080658340207</v>
      </c>
      <c r="C40" s="11">
        <v>80</v>
      </c>
      <c r="D40" s="12">
        <f>[1]!PVT_rs_m3m3(B40,C40,,gamma_gas_,gamma_oil_,gamma_wat_,Rsb_,Pb_,Tres_,Bob_,muob_,correlation)</f>
        <v>93.056203192569171</v>
      </c>
      <c r="E40" s="13">
        <f>[1]!PVT_bo_m3m3(B40,C40,,gamma_gas_,gamma_oil_,gamma_wat_,Rsb_,Pb_,Tres_,Bob_,muob_,correlation)</f>
        <v>1.3252446668676323</v>
      </c>
      <c r="F40" s="30">
        <f>[1]!PVT_mu_oil_cP(B40,C40,,gamma_gas_,gamma_oil_,gamma_wat_,Rsb_,Pb_,Tres_,Bob_,muob_,correlation)</f>
        <v>0.70764873959206809</v>
      </c>
      <c r="G40" s="14">
        <f>[1]!PVT_mu_gas_cP(B40,C40,,gamma_gas_,gamma_oil_,gamma_wat_,Rsb_,Pb_,Tres_,Bob_,muob_,correlation)</f>
        <v>2.0314481911461804E-2</v>
      </c>
      <c r="H40" s="13">
        <f>[1]!PVT_mu_wat_cP(B40,C40,,gamma_gas_,gamma_oil_,gamma_wat_,Rsb_,Pb_,Tres_,Bob_,muob_,correlation)</f>
        <v>0.54022050034048019</v>
      </c>
      <c r="I40" s="30">
        <f>[1]!PVT_rho_gas_kgm3(B40,C40,,gamma_gas_,gamma_oil_,gamma_wat_,Rsb_,Pb_,Tres_,Bob_,muob_,correlation)</f>
        <v>173.43489531353822</v>
      </c>
      <c r="J40" s="12">
        <f>[1]!PVT_rho_wat_kgm3(B40,C40,,gamma_gas_,gamma_oil_,gamma_wat_,Rsb_,Pb_,Tres_,Bob_,muob_,correlation)</f>
        <v>1070.2088510695332</v>
      </c>
      <c r="K40" s="12">
        <f>[1]!PVT_rho_oil_kgm3(B40,C40,,gamma_gas_,gamma_oil_,gamma_wat_,Rsb_,Pb_,Tres_,Bob_,muob_,correlation)</f>
        <v>726.143716066313</v>
      </c>
      <c r="L40" s="19">
        <f>[1]!PVT_bg_m3m3(B40,C40,,gamma_gas_,gamma_oil_,gamma_wat_,Rsb_,Pb_,Tres_,Bob_,muob_,correlation)</f>
        <v>6.3397276425384468E-3</v>
      </c>
      <c r="M40" s="19">
        <f>[1]!PVT_bw_m3m3(B40,C40,,gamma_gas_,gamma_oil_,gamma_wat_,Rsb_,Pb_,Tres_,Bob_,muob_,correlation)</f>
        <v>1.0278367618625976</v>
      </c>
      <c r="N40" s="14">
        <f>[1]!PVT_ST_oilgas_Nm(B40,C40,,gamma_gas_,gamma_oil_,gamma_wat_,Rsb_,Pb_,Tres_,Bob_,muob_,correlation)</f>
        <v>5.5827457473622319E-2</v>
      </c>
      <c r="O40" s="19">
        <f>[1]!PVT_ST_watgas_Nm(B40,C40,,gamma_gas_,gamma_oil_,gamma_wat_,Rsb_,Pb_,Tres_,Bob_,muob_,correlation)</f>
        <v>6.2547154852368891E-2</v>
      </c>
      <c r="P40" s="28">
        <f>[1]!PVT_cp_oil_JkgC(B40,C40,,gamma_gas_,gamma_oil_,gamma_wat_,Rsb_,Pb_,Tres_,Bob_,muob_,correlation)</f>
        <v>2612.2600000000002</v>
      </c>
      <c r="Q40" s="28">
        <f>[1]!PVT_cp_gas_JkgC(B40,C40,,gamma_gas_,gamma_oil_,gamma_wat_,Rsb_,Pb_,Tres_,Bob_,muob_,correlation)</f>
        <v>1377.0657724145951</v>
      </c>
      <c r="R40" s="28">
        <f>[1]!PVT_cp_wat_JkgC(B40,C40,,gamma_gas_,gamma_oil_,gamma_wat_,Rsb_,Pb_,Tres_,Bob_,muob_,correlation)</f>
        <v>4176</v>
      </c>
      <c r="S40" s="29">
        <f>[1]!PVT_compressibility_wat_1atm(B40,C40,,gamma_gas_,gamma_oil_,gamma_wat_,Rsb_,Pb_,Tres_,Bob_,muob_,correlation)</f>
        <v>3.6507369072439929E-5</v>
      </c>
      <c r="T40" s="29">
        <f>[1]!PVT_compressibility_oil_1atm(B40,C40,,gamma_gas_,gamma_oil_,gamma_wat_,Rsb_,Pb_,Tres_,Bob_,muob_,correlation)</f>
        <v>1.9730414425919562E-3</v>
      </c>
      <c r="U40" s="29">
        <f>[1]!PVT_compressibility_gas_1atm(B40,C40,,gamma_gas_,gamma_oil_,gamma_wat_,Rsb_,Pb_,Tres_,Bob_,muob_,correlation)</f>
        <v>7.4703216303122853E-3</v>
      </c>
    </row>
    <row r="41" spans="2:21" x14ac:dyDescent="0.2">
      <c r="B41" s="32">
        <f t="shared" si="0"/>
        <v>146.51471478212531</v>
      </c>
      <c r="C41" s="11">
        <v>80</v>
      </c>
      <c r="D41" s="12">
        <f>[1]!PVT_rs_m3m3(B41,C41,,gamma_gas_,gamma_oil_,gamma_wat_,Rsb_,Pb_,Tres_,Bob_,muob_,correlation)</f>
        <v>101.67665072192808</v>
      </c>
      <c r="E41" s="13">
        <f>[1]!PVT_bo_m3m3(B41,C41,,gamma_gas_,gamma_oil_,gamma_wat_,Rsb_,Pb_,Tres_,Bob_,muob_,correlation)</f>
        <v>1.3526648049189831</v>
      </c>
      <c r="F41" s="30">
        <f>[1]!PVT_mu_oil_cP(B41,C41,,gamma_gas_,gamma_oil_,gamma_wat_,Rsb_,Pb_,Tres_,Bob_,muob_,correlation)</f>
        <v>0.67152262452448086</v>
      </c>
      <c r="G41" s="14">
        <f>[1]!PVT_mu_gas_cP(B41,C41,,gamma_gas_,gamma_oil_,gamma_wat_,Rsb_,Pb_,Tres_,Bob_,muob_,correlation)</f>
        <v>2.1441417980583015E-2</v>
      </c>
      <c r="H41" s="13">
        <f>[1]!PVT_mu_wat_cP(B41,C41,,gamma_gas_,gamma_oil_,gamma_wat_,Rsb_,Pb_,Tres_,Bob_,muob_,correlation)</f>
        <v>0.54423882675832991</v>
      </c>
      <c r="I41" s="30">
        <f>[1]!PVT_rho_gas_kgm3(B41,C41,,gamma_gas_,gamma_oil_,gamma_wat_,Rsb_,Pb_,Tres_,Bob_,muob_,correlation)</f>
        <v>186.50095315254381</v>
      </c>
      <c r="J41" s="12">
        <f>[1]!PVT_rho_wat_kgm3(B41,C41,,gamma_gas_,gamma_oil_,gamma_wat_,Rsb_,Pb_,Tres_,Bob_,muob_,correlation)</f>
        <v>1070.4979005820869</v>
      </c>
      <c r="K41" s="12">
        <f>[1]!PVT_rho_oil_kgm3(B41,C41,,gamma_gas_,gamma_oil_,gamma_wat_,Rsb_,Pb_,Tres_,Bob_,muob_,correlation)</f>
        <v>718.4311473428827</v>
      </c>
      <c r="L41" s="19">
        <f>[1]!PVT_bg_m3m3(B41,C41,,gamma_gas_,gamma_oil_,gamma_wat_,Rsb_,Pb_,Tres_,Bob_,muob_,correlation)</f>
        <v>5.895573086431718E-3</v>
      </c>
      <c r="M41" s="19">
        <f>[1]!PVT_bw_m3m3(B41,C41,,gamma_gas_,gamma_oil_,gamma_wat_,Rsb_,Pb_,Tres_,Bob_,muob_,correlation)</f>
        <v>1.0275592314584374</v>
      </c>
      <c r="N41" s="14">
        <f>[1]!PVT_ST_oilgas_Nm(B41,C41,,gamma_gas_,gamma_oil_,gamma_wat_,Rsb_,Pb_,Tres_,Bob_,muob_,correlation)</f>
        <v>5.508668582366754E-2</v>
      </c>
      <c r="O41" s="19">
        <f>[1]!PVT_ST_watgas_Nm(B41,C41,,gamma_gas_,gamma_oil_,gamma_wat_,Rsb_,Pb_,Tres_,Bob_,muob_,correlation)</f>
        <v>6.2395661958348406E-2</v>
      </c>
      <c r="P41" s="28">
        <f>[1]!PVT_cp_oil_JkgC(B41,C41,,gamma_gas_,gamma_oil_,gamma_wat_,Rsb_,Pb_,Tres_,Bob_,muob_,correlation)</f>
        <v>2612.2600000000002</v>
      </c>
      <c r="Q41" s="28">
        <f>[1]!PVT_cp_gas_JkgC(B41,C41,,gamma_gas_,gamma_oil_,gamma_wat_,Rsb_,Pb_,Tres_,Bob_,muob_,correlation)</f>
        <v>1378.3732646112678</v>
      </c>
      <c r="R41" s="28">
        <f>[1]!PVT_cp_wat_JkgC(B41,C41,,gamma_gas_,gamma_oil_,gamma_wat_,Rsb_,Pb_,Tres_,Bob_,muob_,correlation)</f>
        <v>4176</v>
      </c>
      <c r="S41" s="29">
        <f>[1]!PVT_compressibility_wat_1atm(B41,C41,,gamma_gas_,gamma_oil_,gamma_wat_,Rsb_,Pb_,Tres_,Bob_,muob_,correlation)</f>
        <v>3.6408917103733729E-5</v>
      </c>
      <c r="T41" s="29">
        <f>[1]!PVT_compressibility_oil_1atm(B41,C41,,gamma_gas_,gamma_oil_,gamma_wat_,Rsb_,Pb_,Tres_,Bob_,muob_,correlation)</f>
        <v>1.6660527208179653E-3</v>
      </c>
      <c r="U41" s="29">
        <f>[1]!PVT_compressibility_gas_1atm(B41,C41,,gamma_gas_,gamma_oil_,gamma_wat_,Rsb_,Pb_,Tres_,Bob_,muob_,correlation)</f>
        <v>6.5259640812269813E-3</v>
      </c>
    </row>
    <row r="42" spans="2:21" x14ac:dyDescent="0.2">
      <c r="B42" s="32">
        <f t="shared" si="0"/>
        <v>156.90862298084855</v>
      </c>
      <c r="C42" s="11">
        <v>80</v>
      </c>
      <c r="D42" s="12">
        <f>[1]!PVT_rs_m3m3(B42,C42,,gamma_gas_,gamma_oil_,gamma_wat_,Rsb_,Pb_,Tres_,Bob_,muob_,correlation)</f>
        <v>110.42285575969342</v>
      </c>
      <c r="E42" s="13">
        <f>[1]!PVT_bo_m3m3(B42,C42,,gamma_gas_,gamma_oil_,gamma_wat_,Rsb_,Pb_,Tres_,Bob_,muob_,correlation)</f>
        <v>1.3807889919367839</v>
      </c>
      <c r="F42" s="30">
        <f>[1]!PVT_mu_oil_cP(B42,C42,,gamma_gas_,gamma_oil_,gamma_wat_,Rsb_,Pb_,Tres_,Bob_,muob_,correlation)</f>
        <v>0.63928064847024102</v>
      </c>
      <c r="G42" s="14">
        <f>[1]!PVT_mu_gas_cP(B42,C42,,gamma_gas_,gamma_oil_,gamma_wat_,Rsb_,Pb_,Tres_,Bob_,muob_,correlation)</f>
        <v>2.2574884611859077E-2</v>
      </c>
      <c r="H42" s="13">
        <f>[1]!PVT_mu_wat_cP(B42,C42,,gamma_gas_,gamma_oil_,gamma_wat_,Rsb_,Pb_,Tres_,Bob_,muob_,correlation)</f>
        <v>0.54832883349161954</v>
      </c>
      <c r="I42" s="30">
        <f>[1]!PVT_rho_gas_kgm3(B42,C42,,gamma_gas_,gamma_oil_,gamma_wat_,Rsb_,Pb_,Tres_,Bob_,muob_,correlation)</f>
        <v>198.73555045843958</v>
      </c>
      <c r="J42" s="12">
        <f>[1]!PVT_rho_wat_kgm3(B42,C42,,gamma_gas_,gamma_oil_,gamma_wat_,Rsb_,Pb_,Tres_,Bob_,muob_,correlation)</f>
        <v>1070.7999192687139</v>
      </c>
      <c r="K42" s="12">
        <f>[1]!PVT_rho_oil_kgm3(B42,C42,,gamma_gas_,gamma_oil_,gamma_wat_,Rsb_,Pb_,Tres_,Bob_,muob_,correlation)</f>
        <v>710.76264970570344</v>
      </c>
      <c r="L42" s="19">
        <f>[1]!PVT_bg_m3m3(B42,C42,,gamma_gas_,gamma_oil_,gamma_wat_,Rsb_,Pb_,Tres_,Bob_,muob_,correlation)</f>
        <v>5.532628648792952E-3</v>
      </c>
      <c r="M42" s="19">
        <f>[1]!PVT_bw_m3m3(B42,C42,,gamma_gas_,gamma_oil_,gamma_wat_,Rsb_,Pb_,Tres_,Bob_,muob_,correlation)</f>
        <v>1.0272694087904191</v>
      </c>
      <c r="N42" s="14">
        <f>[1]!PVT_ST_oilgas_Nm(B42,C42,,gamma_gas_,gamma_oil_,gamma_wat_,Rsb_,Pb_,Tres_,Bob_,muob_,correlation)</f>
        <v>5.4355743434478139E-2</v>
      </c>
      <c r="O42" s="19">
        <f>[1]!PVT_ST_watgas_Nm(B42,C42,,gamma_gas_,gamma_oil_,gamma_wat_,Rsb_,Pb_,Tres_,Bob_,muob_,correlation)</f>
        <v>6.2244535989042407E-2</v>
      </c>
      <c r="P42" s="28">
        <f>[1]!PVT_cp_oil_JkgC(B42,C42,,gamma_gas_,gamma_oil_,gamma_wat_,Rsb_,Pb_,Tres_,Bob_,muob_,correlation)</f>
        <v>2612.2600000000002</v>
      </c>
      <c r="Q42" s="28">
        <f>[1]!PVT_cp_gas_JkgC(B42,C42,,gamma_gas_,gamma_oil_,gamma_wat_,Rsb_,Pb_,Tres_,Bob_,muob_,correlation)</f>
        <v>1385.2810762157062</v>
      </c>
      <c r="R42" s="28">
        <f>[1]!PVT_cp_wat_JkgC(B42,C42,,gamma_gas_,gamma_oil_,gamma_wat_,Rsb_,Pb_,Tres_,Bob_,muob_,correlation)</f>
        <v>4176</v>
      </c>
      <c r="S42" s="29">
        <f>[1]!PVT_compressibility_wat_1atm(B42,C42,,gamma_gas_,gamma_oil_,gamma_wat_,Rsb_,Pb_,Tres_,Bob_,muob_,correlation)</f>
        <v>3.6310994711464635E-5</v>
      </c>
      <c r="T42" s="29">
        <f>[1]!PVT_compressibility_oil_1atm(B42,C42,,gamma_gas_,gamma_oil_,gamma_wat_,Rsb_,Pb_,Tres_,Bob_,muob_,correlation)</f>
        <v>1.4114355585955543E-3</v>
      </c>
      <c r="U42" s="29">
        <f>[1]!PVT_compressibility_gas_1atm(B42,C42,,gamma_gas_,gamma_oil_,gamma_wat_,Rsb_,Pb_,Tres_,Bob_,muob_,correlation)</f>
        <v>5.7182631519854402E-3</v>
      </c>
    </row>
    <row r="43" spans="2:21" x14ac:dyDescent="0.2">
      <c r="B43" s="32">
        <f>B44-1</f>
        <v>166.30253117957179</v>
      </c>
      <c r="C43" s="11">
        <v>80</v>
      </c>
      <c r="D43" s="12">
        <f>[1]!PVT_rs_m3m3(B43,C43,,gamma_gas_,gamma_oil_,gamma_wat_,Rsb_,Pb_,Tres_,Bob_,muob_,correlation)</f>
        <v>118.43019403718789</v>
      </c>
      <c r="E43" s="13">
        <f>[1]!PVT_bo_m3m3(B43,C43,,gamma_gas_,gamma_oil_,gamma_wat_,Rsb_,Pb_,Tres_,Bob_,muob_,correlation)</f>
        <v>1.4067930967315705</v>
      </c>
      <c r="F43" s="30">
        <f>[1]!PVT_mu_oil_cP(B43,C43,,gamma_gas_,gamma_oil_,gamma_wat_,Rsb_,Pb_,Tres_,Bob_,muob_,correlation)</f>
        <v>0.61298094575252404</v>
      </c>
      <c r="G43" s="14">
        <f>[1]!PVT_mu_gas_cP(B43,C43,,gamma_gas_,gamma_oil_,gamma_wat_,Rsb_,Pb_,Tres_,Bob_,muob_,correlation)</f>
        <v>2.3595698794113839E-2</v>
      </c>
      <c r="H43" s="13">
        <f>[1]!PVT_mu_wat_cP(B43,C43,,gamma_gas_,gamma_oil_,gamma_wat_,Rsb_,Pb_,Tres_,Bob_,muob_,correlation)</f>
        <v>0.55208700735382921</v>
      </c>
      <c r="I43" s="30">
        <f>[1]!PVT_rho_gas_kgm3(B43,C43,,gamma_gas_,gamma_oil_,gamma_wat_,Rsb_,Pb_,Tres_,Bob_,muob_,correlation)</f>
        <v>209.07528353053394</v>
      </c>
      <c r="J43" s="12">
        <f>[1]!PVT_rho_wat_kgm3(B43,C43,,gamma_gas_,gamma_oil_,gamma_wat_,Rsb_,Pb_,Tres_,Bob_,muob_,correlation)</f>
        <v>1071.0840563796121</v>
      </c>
      <c r="K43" s="12">
        <f>[1]!PVT_rho_oil_kgm3(B43,C43,,gamma_gas_,gamma_oil_,gamma_wat_,Rsb_,Pb_,Tres_,Bob_,muob_,correlation)</f>
        <v>703.88286205718578</v>
      </c>
      <c r="L43" s="19">
        <f>[1]!PVT_bg_m3m3(B43,C43,,gamma_gas_,gamma_oil_,gamma_wat_,Rsb_,Pb_,Tres_,Bob_,muob_,correlation)</f>
        <v>5.2590147502510577E-3</v>
      </c>
      <c r="M43" s="19">
        <f>[1]!PVT_bw_m3m3(B43,C43,,gamma_gas_,gamma_oil_,gamma_wat_,Rsb_,Pb_,Tres_,Bob_,muob_,correlation)</f>
        <v>1.0269968948264687</v>
      </c>
      <c r="N43" s="14">
        <f>[1]!PVT_ST_oilgas_Nm(B43,C43,,gamma_gas_,gamma_oil_,gamma_wat_,Rsb_,Pb_,Tres_,Bob_,muob_,correlation)</f>
        <v>5.370347275777565E-2</v>
      </c>
      <c r="O43" s="19">
        <f>[1]!PVT_ST_watgas_Nm(B43,C43,,gamma_gas_,gamma_oil_,gamma_wat_,Rsb_,Pb_,Tres_,Bob_,muob_,correlation)</f>
        <v>6.2108264809633947E-2</v>
      </c>
      <c r="P43" s="28">
        <f>[1]!PVT_cp_oil_JkgC(B43,C43,,gamma_gas_,gamma_oil_,gamma_wat_,Rsb_,Pb_,Tres_,Bob_,muob_,correlation)</f>
        <v>2612.2600000000002</v>
      </c>
      <c r="Q43" s="28">
        <f>[1]!PVT_cp_gas_JkgC(B43,C43,,gamma_gas_,gamma_oil_,gamma_wat_,Rsb_,Pb_,Tres_,Bob_,muob_,correlation)</f>
        <v>1395.6059664978727</v>
      </c>
      <c r="R43" s="28">
        <f>[1]!PVT_cp_wat_JkgC(B43,C43,,gamma_gas_,gamma_oil_,gamma_wat_,Rsb_,Pb_,Tres_,Bob_,muob_,correlation)</f>
        <v>4176</v>
      </c>
      <c r="S43" s="29">
        <f>[1]!PVT_compressibility_wat_1atm(B43,C43,,gamma_gas_,gamma_oil_,gamma_wat_,Rsb_,Pb_,Tres_,Bob_,muob_,correlation)</f>
        <v>3.6222945504182631E-5</v>
      </c>
      <c r="T43" s="29">
        <f>[1]!PVT_compressibility_oil_1atm(B43,C43,,gamma_gas_,gamma_oil_,gamma_wat_,Rsb_,Pb_,Tres_,Bob_,muob_,correlation)</f>
        <v>1.216934167766367E-3</v>
      </c>
      <c r="U43" s="29">
        <f>[1]!PVT_compressibility_gas_1atm(B43,C43,,gamma_gas_,gamma_oil_,gamma_wat_,Rsb_,Pb_,Tres_,Bob_,muob_,correlation)</f>
        <v>5.0926865814629125E-3</v>
      </c>
    </row>
    <row r="44" spans="2:21" x14ac:dyDescent="0.2">
      <c r="B44" s="31" cm="1">
        <f t="array" ref="B44">[1]!PVT_pb_atma(C44,,gamma_gas_,gamma_oil_,gamma_wat_,Rsb_,Pb_,Tres_,Bob_,muob_,correlation)</f>
        <v>167.30253117957179</v>
      </c>
      <c r="C44" s="11">
        <v>80</v>
      </c>
      <c r="D44" s="12">
        <f>[1]!PVT_rs_m3m3(B44,C44,,gamma_gas_,gamma_oil_,gamma_wat_,Rsb_,Pb_,Tres_,Bob_,muob_,correlation)</f>
        <v>119.28813209487186</v>
      </c>
      <c r="E44" s="13">
        <f>[1]!PVT_bo_m3m3(B44,C44,,gamma_gas_,gamma_oil_,gamma_wat_,Rsb_,Pb_,Tres_,Bob_,muob_,correlation)</f>
        <v>1.4095933223850325</v>
      </c>
      <c r="F44" s="30">
        <f>[1]!PVT_mu_oil_cP(B44,C44,,gamma_gas_,gamma_oil_,gamma_wat_,Rsb_,Pb_,Tres_,Bob_,muob_,correlation)</f>
        <v>0.61032376134367305</v>
      </c>
      <c r="G44" s="14">
        <f>[1]!PVT_mu_gas_cP(B44,C44,,gamma_gas_,gamma_oil_,gamma_wat_,Rsb_,Pb_,Tres_,Bob_,muob_,correlation)</f>
        <v>2.3703879897166484E-2</v>
      </c>
      <c r="H44" s="13">
        <f>[1]!PVT_mu_wat_cP(B44,C44,,gamma_gas_,gamma_oil_,gamma_wat_,Rsb_,Pb_,Tres_,Bob_,muob_,correlation)</f>
        <v>0.55249052054034897</v>
      </c>
      <c r="I44" s="30">
        <f>[1]!PVT_rho_gas_kgm3(B44,C44,,gamma_gas_,gamma_oil_,gamma_wat_,Rsb_,Pb_,Tres_,Bob_,muob_,correlation)</f>
        <v>210.13657077765103</v>
      </c>
      <c r="J44" s="12">
        <f>[1]!PVT_rho_wat_kgm3(B44,C44,,gamma_gas_,gamma_oil_,gamma_wat_,Rsb_,Pb_,Tres_,Bob_,muob_,correlation)</f>
        <v>1071.114928954609</v>
      </c>
      <c r="K44" s="12">
        <f>[1]!PVT_rho_oil_kgm3(B44,C44,,gamma_gas_,gamma_oil_,gamma_wat_,Rsb_,Pb_,Tres_,Bob_,muob_,correlation)</f>
        <v>703.15378495496122</v>
      </c>
      <c r="L44" s="19">
        <f>[1]!PVT_bg_m3m3(B44,C44,,gamma_gas_,gamma_oil_,gamma_wat_,Rsb_,Pb_,Tres_,Bob_,muob_,correlation)</f>
        <v>5.2324542840447835E-3</v>
      </c>
      <c r="M44" s="19">
        <f>[1]!PVT_bw_m3m3(B44,C44,,gamma_gas_,gamma_oil_,gamma_wat_,Rsb_,Pb_,Tres_,Bob_,muob_,correlation)</f>
        <v>1.0269672938585428</v>
      </c>
      <c r="N44" s="14">
        <f>[1]!PVT_ST_oilgas_Nm(B44,C44,,gamma_gas_,gamma_oil_,gamma_wat_,Rsb_,Pb_,Tres_,Bob_,muob_,correlation)</f>
        <v>5.3634499882100686E-2</v>
      </c>
      <c r="O44" s="19">
        <f>[1]!PVT_ST_watgas_Nm(B44,C44,,gamma_gas_,gamma_oil_,gamma_wat_,Rsb_,Pb_,Tres_,Bob_,muob_,correlation)</f>
        <v>6.2093776055737702E-2</v>
      </c>
      <c r="P44" s="28">
        <f>[1]!PVT_cp_oil_JkgC(B44,C44,,gamma_gas_,gamma_oil_,gamma_wat_,Rsb_,Pb_,Tres_,Bob_,muob_,correlation)</f>
        <v>2612.2600000000002</v>
      </c>
      <c r="Q44" s="28">
        <f>[1]!PVT_cp_gas_JkgC(B44,C44,,gamma_gas_,gamma_oil_,gamma_wat_,Rsb_,Pb_,Tres_,Bob_,muob_,correlation)</f>
        <v>1396.9070957353338</v>
      </c>
      <c r="R44" s="28">
        <f>[1]!PVT_cp_wat_JkgC(B44,C44,,gamma_gas_,gamma_oil_,gamma_wat_,Rsb_,Pb_,Tres_,Bob_,muob_,correlation)</f>
        <v>4176</v>
      </c>
      <c r="S44" s="29">
        <f>[1]!PVT_compressibility_wat_1atm(B44,C44,,gamma_gas_,gamma_oil_,gamma_wat_,Rsb_,Pb_,Tres_,Bob_,muob_,correlation)</f>
        <v>3.6213597634179809E-5</v>
      </c>
      <c r="T44" s="29">
        <f>[1]!PVT_compressibility_oil_1atm(B44,C44,,gamma_gas_,gamma_oil_,gamma_wat_,Rsb_,Pb_,Tres_,Bob_,muob_,correlation)</f>
        <v>1.1979266864905575E-3</v>
      </c>
      <c r="U44" s="29">
        <f>[1]!PVT_compressibility_gas_1atm(B44,C44,,gamma_gas_,gamma_oil_,gamma_wat_,Rsb_,Pb_,Tres_,Bob_,muob_,correlation)</f>
        <v>5.0314112276693577E-3</v>
      </c>
    </row>
    <row r="45" spans="2:21" x14ac:dyDescent="0.2">
      <c r="B45" s="32">
        <f>B44+1</f>
        <v>168.30253117957179</v>
      </c>
      <c r="C45" s="11">
        <v>80</v>
      </c>
      <c r="D45" s="12">
        <f>[1]!PVT_rs_m3m3(B45,C45,,gamma_gas_,gamma_oil_,gamma_wat_,Rsb_,Pb_,Tres_,Bob_,muob_,correlation)</f>
        <v>120</v>
      </c>
      <c r="E45" s="13">
        <f>[1]!PVT_bo_m3m3(B45,C45,,gamma_gas_,gamma_oil_,gamma_wat_,Rsb_,Pb_,Tres_,Bob_,muob_,correlation)</f>
        <v>1.4115601240081945</v>
      </c>
      <c r="F45" s="30">
        <f>[1]!PVT_mu_oil_cP(B45,C45,,gamma_gas_,gamma_oil_,gamma_wat_,Rsb_,Pb_,Tres_,Bob_,muob_,correlation)</f>
        <v>0.60894663256184844</v>
      </c>
      <c r="G45" s="14">
        <f>[1]!PVT_mu_gas_cP(B45,C45,,gamma_gas_,gamma_oil_,gamma_wat_,Rsb_,Pb_,Tres_,Bob_,muob_,correlation)</f>
        <v>2.381194225496042E-2</v>
      </c>
      <c r="H45" s="13">
        <f>[1]!PVT_mu_wat_cP(B45,C45,,gamma_gas_,gamma_oil_,gamma_wat_,Rsb_,Pb_,Tres_,Bob_,muob_,correlation)</f>
        <v>0.55289469722874363</v>
      </c>
      <c r="I45" s="30">
        <f>[1]!PVT_rho_gas_kgm3(B45,C45,,gamma_gas_,gamma_oil_,gamma_wat_,Rsb_,Pb_,Tres_,Bob_,muob_,correlation)</f>
        <v>211.19040147078786</v>
      </c>
      <c r="J45" s="12">
        <f>[1]!PVT_rho_wat_kgm3(B45,C45,,gamma_gas_,gamma_oil_,gamma_wat_,Rsb_,Pb_,Tres_,Bob_,muob_,correlation)</f>
        <v>1071.1459219896869</v>
      </c>
      <c r="K45" s="12">
        <f>[1]!PVT_rho_oil_kgm3(B45,C45,,gamma_gas_,gamma_oil_,gamma_wat_,Rsb_,Pb_,Tres_,Bob_,muob_,correlation)</f>
        <v>702.7285505794307</v>
      </c>
      <c r="L45" s="19">
        <f>[1]!PVT_bg_m3m3(B45,C45,,gamma_gas_,gamma_oil_,gamma_wat_,Rsb_,Pb_,Tres_,Bob_,muob_,correlation)</f>
        <v>5.2063445703146149E-3</v>
      </c>
      <c r="M45" s="19">
        <f>[1]!PVT_bw_m3m3(B45,C45,,gamma_gas_,gamma_oil_,gamma_wat_,Rsb_,Pb_,Tres_,Bob_,muob_,correlation)</f>
        <v>1.0269375791084709</v>
      </c>
      <c r="N45" s="14">
        <f>[1]!PVT_ST_oilgas_Nm(B45,C45,,gamma_gas_,gamma_oil_,gamma_wat_,Rsb_,Pb_,Tres_,Bob_,muob_,correlation)</f>
        <v>5.3565615590223638E-2</v>
      </c>
      <c r="O45" s="19">
        <f>[1]!PVT_ST_watgas_Nm(B45,C45,,gamma_gas_,gamma_oil_,gamma_wat_,Rsb_,Pb_,Tres_,Bob_,muob_,correlation)</f>
        <v>6.2079290681810124E-2</v>
      </c>
      <c r="P45" s="28">
        <f>[1]!PVT_cp_oil_JkgC(B45,C45,,gamma_gas_,gamma_oil_,gamma_wat_,Rsb_,Pb_,Tres_,Bob_,muob_,correlation)</f>
        <v>2612.2600000000002</v>
      </c>
      <c r="Q45" s="28">
        <f>[1]!PVT_cp_gas_JkgC(B45,C45,,gamma_gas_,gamma_oil_,gamma_wat_,Rsb_,Pb_,Tres_,Bob_,muob_,correlation)</f>
        <v>1398.2445148388049</v>
      </c>
      <c r="R45" s="28">
        <f>[1]!PVT_cp_wat_JkgC(B45,C45,,gamma_gas_,gamma_oil_,gamma_wat_,Rsb_,Pb_,Tres_,Bob_,muob_,correlation)</f>
        <v>4176</v>
      </c>
      <c r="S45" s="29">
        <f>[1]!PVT_compressibility_wat_1atm(B45,C45,,gamma_gas_,gamma_oil_,gamma_wat_,Rsb_,Pb_,Tres_,Bob_,muob_,correlation)</f>
        <v>3.6204254587646077E-5</v>
      </c>
      <c r="T45" s="29">
        <f>[1]!PVT_compressibility_oil_1atm(B45,C45,,gamma_gas_,gamma_oil_,gamma_wat_,Rsb_,Pb_,Tres_,Bob_,muob_,correlation)</f>
        <v>2.540792806074091E-4</v>
      </c>
      <c r="U45" s="29">
        <f>[1]!PVT_compressibility_gas_1atm(B45,C45,,gamma_gas_,gamma_oil_,gamma_wat_,Rsb_,Pb_,Tres_,Bob_,muob_,correlation)</f>
        <v>4.9711047078104982E-3</v>
      </c>
    </row>
    <row r="46" spans="2:21" x14ac:dyDescent="0.2">
      <c r="B46" s="32">
        <f>($B$52-$B$45)/7+B45</f>
        <v>187.11645529677583</v>
      </c>
      <c r="C46" s="11">
        <v>80</v>
      </c>
      <c r="D46" s="12">
        <f>[1]!PVT_rs_m3m3(B46,C46,,gamma_gas_,gamma_oil_,gamma_wat_,Rsb_,Pb_,Tres_,Bob_,muob_,correlation)</f>
        <v>120</v>
      </c>
      <c r="E46" s="13">
        <f>[1]!PVT_bo_m3m3(B46,C46,,gamma_gas_,gamma_oil_,gamma_wat_,Rsb_,Pb_,Tres_,Bob_,muob_,correlation)</f>
        <v>1.4055399258906733</v>
      </c>
      <c r="F46" s="30">
        <f>[1]!PVT_mu_oil_cP(B46,C46,,gamma_gas_,gamma_oil_,gamma_wat_,Rsb_,Pb_,Tres_,Bob_,muob_,correlation)</f>
        <v>0.62509934878835527</v>
      </c>
      <c r="G46" s="14">
        <f>[1]!PVT_mu_gas_cP(B46,C46,,gamma_gas_,gamma_oil_,gamma_wat_,Rsb_,Pb_,Tres_,Bob_,muob_,correlation)</f>
        <v>2.5816424861100293E-2</v>
      </c>
      <c r="H46" s="13">
        <f>[1]!PVT_mu_wat_cP(B46,C46,,gamma_gas_,gamma_oil_,gamma_wat_,Rsb_,Pb_,Tres_,Bob_,muob_,correlation)</f>
        <v>0.56062251611389724</v>
      </c>
      <c r="I46" s="30">
        <f>[1]!PVT_rho_gas_kgm3(B46,C46,,gamma_gas_,gamma_oil_,gamma_wat_,Rsb_,Pb_,Tres_,Bob_,muob_,correlation)</f>
        <v>229.68410343871801</v>
      </c>
      <c r="J46" s="12">
        <f>[1]!PVT_rho_wat_kgm3(B46,C46,,gamma_gas_,gamma_oil_,gamma_wat_,Rsb_,Pb_,Tres_,Bob_,muob_,correlation)</f>
        <v>1071.7515023344019</v>
      </c>
      <c r="K46" s="12">
        <f>[1]!PVT_rho_oil_kgm3(B46,C46,,gamma_gas_,gamma_oil_,gamma_wat_,Rsb_,Pb_,Tres_,Bob_,muob_,correlation)</f>
        <v>705.73847226105477</v>
      </c>
      <c r="L46" s="19">
        <f>[1]!PVT_bg_m3m3(B46,C46,,gamma_gas_,gamma_oil_,gamma_wat_,Rsb_,Pb_,Tres_,Bob_,muob_,correlation)</f>
        <v>4.7871401787863196E-3</v>
      </c>
      <c r="M46" s="19">
        <f>[1]!PVT_bw_m3m3(B46,C46,,gamma_gas_,gamma_oil_,gamma_wat_,Rsb_,Pb_,Tres_,Bob_,muob_,correlation)</f>
        <v>1.0263573203341163</v>
      </c>
      <c r="N46" s="14">
        <f>[1]!PVT_ST_oilgas_Nm(B46,C46,,gamma_gas_,gamma_oil_,gamma_wat_,Rsb_,Pb_,Tres_,Bob_,muob_,correlation)</f>
        <v>5.2285996494758895E-2</v>
      </c>
      <c r="O46" s="19">
        <f>[1]!PVT_ST_watgas_Nm(B46,C46,,gamma_gas_,gamma_oil_,gamma_wat_,Rsb_,Pb_,Tres_,Bob_,muob_,correlation)</f>
        <v>6.1807392925760346E-2</v>
      </c>
      <c r="P46" s="28">
        <f>[1]!PVT_cp_oil_JkgC(B46,C46,,gamma_gas_,gamma_oil_,gamma_wat_,Rsb_,Pb_,Tres_,Bob_,muob_,correlation)</f>
        <v>2612.2600000000002</v>
      </c>
      <c r="Q46" s="28">
        <f>[1]!PVT_cp_gas_JkgC(B46,C46,,gamma_gas_,gamma_oil_,gamma_wat_,Rsb_,Pb_,Tres_,Bob_,muob_,correlation)</f>
        <v>1429.3799821799669</v>
      </c>
      <c r="R46" s="28">
        <f>[1]!PVT_cp_wat_JkgC(B46,C46,,gamma_gas_,gamma_oil_,gamma_wat_,Rsb_,Pb_,Tres_,Bob_,muob_,correlation)</f>
        <v>4176</v>
      </c>
      <c r="S46" s="29">
        <f>[1]!PVT_compressibility_wat_1atm(B46,C46,,gamma_gas_,gamma_oil_,gamma_wat_,Rsb_,Pb_,Tres_,Bob_,muob_,correlation)</f>
        <v>3.6029369455419434E-5</v>
      </c>
      <c r="T46" s="29">
        <f>[1]!PVT_compressibility_oil_1atm(B46,C46,,gamma_gas_,gamma_oil_,gamma_wat_,Rsb_,Pb_,Tres_,Bob_,muob_,correlation)</f>
        <v>2.2853247181648843E-4</v>
      </c>
      <c r="U46" s="29">
        <f>[1]!PVT_compressibility_gas_1atm(B46,C46,,gamma_gas_,gamma_oil_,gamma_wat_,Rsb_,Pb_,Tres_,Bob_,muob_,correlation)</f>
        <v>3.9992295055690649E-3</v>
      </c>
    </row>
    <row r="47" spans="2:21" x14ac:dyDescent="0.2">
      <c r="B47" s="32">
        <f t="shared" ref="B47:B51" si="1">($B$52-$B$45)/7+B46</f>
        <v>205.93037941397986</v>
      </c>
      <c r="C47" s="11">
        <v>80</v>
      </c>
      <c r="D47" s="12">
        <f>[1]!PVT_rs_m3m3(B47,C47,,gamma_gas_,gamma_oil_,gamma_wat_,Rsb_,Pb_,Tres_,Bob_,muob_,correlation)</f>
        <v>120</v>
      </c>
      <c r="E47" s="13">
        <f>[1]!PVT_bo_m3m3(B47,C47,,gamma_gas_,gamma_oil_,gamma_wat_,Rsb_,Pb_,Tres_,Bob_,muob_,correlation)</f>
        <v>1.4006388176913427</v>
      </c>
      <c r="F47" s="30">
        <f>[1]!PVT_mu_oil_cP(B47,C47,,gamma_gas_,gamma_oil_,gamma_wat_,Rsb_,Pb_,Tres_,Bob_,muob_,correlation)</f>
        <v>0.64303492762432113</v>
      </c>
      <c r="G47" s="14">
        <f>[1]!PVT_mu_gas_cP(B47,C47,,gamma_gas_,gamma_oil_,gamma_wat_,Rsb_,Pb_,Tres_,Bob_,muob_,correlation)</f>
        <v>2.7751712066987348E-2</v>
      </c>
      <c r="H47" s="13">
        <f>[1]!PVT_mu_wat_cP(B47,C47,,gamma_gas_,gamma_oil_,gamma_wat_,Rsb_,Pb_,Tres_,Bob_,muob_,correlation)</f>
        <v>0.56858519060463331</v>
      </c>
      <c r="I47" s="30">
        <f>[1]!PVT_rho_gas_kgm3(B47,C47,,gamma_gas_,gamma_oil_,gamma_wat_,Rsb_,Pb_,Tres_,Bob_,muob_,correlation)</f>
        <v>245.88137636886731</v>
      </c>
      <c r="J47" s="12">
        <f>[1]!PVT_rho_wat_kgm3(B47,C47,,gamma_gas_,gamma_oil_,gamma_wat_,Rsb_,Pb_,Tres_,Bob_,muob_,correlation)</f>
        <v>1072.3998730956325</v>
      </c>
      <c r="K47" s="12">
        <f>[1]!PVT_rho_oil_kgm3(B47,C47,,gamma_gas_,gamma_oil_,gamma_wat_,Rsb_,Pb_,Tres_,Bob_,muob_,correlation)</f>
        <v>708.20798871975398</v>
      </c>
      <c r="L47" s="19">
        <f>[1]!PVT_bg_m3m3(B47,C47,,gamma_gas_,gamma_oil_,gamma_wat_,Rsb_,Pb_,Tres_,Bob_,muob_,correlation)</f>
        <v>4.4717904879078875E-3</v>
      </c>
      <c r="M47" s="19">
        <f>[1]!PVT_bw_m3m3(B47,C47,,gamma_gas_,gamma_oil_,gamma_wat_,Rsb_,Pb_,Tres_,Bob_,muob_,correlation)</f>
        <v>1.0257367868057425</v>
      </c>
      <c r="N47" s="14">
        <f>[1]!PVT_ST_oilgas_Nm(B47,C47,,gamma_gas_,gamma_oil_,gamma_wat_,Rsb_,Pb_,Tres_,Bob_,muob_,correlation)</f>
        <v>5.1036945983477036E-2</v>
      </c>
      <c r="O47" s="19">
        <f>[1]!PVT_ST_watgas_Nm(B47,C47,,gamma_gas_,gamma_oil_,gamma_wat_,Rsb_,Pb_,Tres_,Bob_,muob_,correlation)</f>
        <v>6.1536686040110901E-2</v>
      </c>
      <c r="P47" s="28">
        <f>[1]!PVT_cp_oil_JkgC(B47,C47,,gamma_gas_,gamma_oil_,gamma_wat_,Rsb_,Pb_,Tres_,Bob_,muob_,correlation)</f>
        <v>2612.2600000000002</v>
      </c>
      <c r="Q47" s="28">
        <f>[1]!PVT_cp_gas_JkgC(B47,C47,,gamma_gas_,gamma_oil_,gamma_wat_,Rsb_,Pb_,Tres_,Bob_,muob_,correlation)</f>
        <v>1469.472410856112</v>
      </c>
      <c r="R47" s="28">
        <f>[1]!PVT_cp_wat_JkgC(B47,C47,,gamma_gas_,gamma_oil_,gamma_wat_,Rsb_,Pb_,Tres_,Bob_,muob_,correlation)</f>
        <v>4176</v>
      </c>
      <c r="S47" s="29">
        <f>[1]!PVT_compressibility_wat_1atm(B47,C47,,gamma_gas_,gamma_oil_,gamma_wat_,Rsb_,Pb_,Tres_,Bob_,muob_,correlation)</f>
        <v>3.5856165770841603E-5</v>
      </c>
      <c r="T47" s="29">
        <f>[1]!PVT_compressibility_oil_1atm(B47,C47,,gamma_gas_,gamma_oil_,gamma_wat_,Rsb_,Pb_,Tres_,Bob_,muob_,correlation)</f>
        <v>2.0765360685587447E-4</v>
      </c>
      <c r="U47" s="29">
        <f>[1]!PVT_compressibility_gas_1atm(B47,C47,,gamma_gas_,gamma_oil_,gamma_wat_,Rsb_,Pb_,Tres_,Bob_,muob_,correlation)</f>
        <v>3.2788444915380715E-3</v>
      </c>
    </row>
    <row r="48" spans="2:21" x14ac:dyDescent="0.2">
      <c r="B48" s="32">
        <f t="shared" si="1"/>
        <v>224.7443035311839</v>
      </c>
      <c r="C48" s="11">
        <v>80</v>
      </c>
      <c r="D48" s="12">
        <f>[1]!PVT_rs_m3m3(B48,C48,,gamma_gas_,gamma_oil_,gamma_wat_,Rsb_,Pb_,Tres_,Bob_,muob_,correlation)</f>
        <v>120</v>
      </c>
      <c r="E48" s="13">
        <f>[1]!PVT_bo_m3m3(B48,C48,,gamma_gas_,gamma_oil_,gamma_wat_,Rsb_,Pb_,Tres_,Bob_,muob_,correlation)</f>
        <v>1.3965713184791735</v>
      </c>
      <c r="F48" s="30">
        <f>[1]!PVT_mu_oil_cP(B48,C48,,gamma_gas_,gamma_oil_,gamma_wat_,Rsb_,Pb_,Tres_,Bob_,muob_,correlation)</f>
        <v>0.66261342454312622</v>
      </c>
      <c r="G48" s="14">
        <f>[1]!PVT_mu_gas_cP(B48,C48,,gamma_gas_,gamma_oil_,gamma_wat_,Rsb_,Pb_,Tres_,Bob_,muob_,correlation)</f>
        <v>2.9608220630653229E-2</v>
      </c>
      <c r="H48" s="13">
        <f>[1]!PVT_mu_wat_cP(B48,C48,,gamma_gas_,gamma_oil_,gamma_wat_,Rsb_,Pb_,Tres_,Bob_,muob_,correlation)</f>
        <v>0.5767827207009516</v>
      </c>
      <c r="I48" s="30">
        <f>[1]!PVT_rho_gas_kgm3(B48,C48,,gamma_gas_,gamma_oil_,gamma_wat_,Rsb_,Pb_,Tres_,Bob_,muob_,correlation)</f>
        <v>260.14389413495593</v>
      </c>
      <c r="J48" s="12">
        <f>[1]!PVT_rho_wat_kgm3(B48,C48,,gamma_gas_,gamma_oil_,gamma_wat_,Rsb_,Pb_,Tres_,Bob_,muob_,correlation)</f>
        <v>1073.0911884059371</v>
      </c>
      <c r="K48" s="12">
        <f>[1]!PVT_rho_oil_kgm3(B48,C48,,gamma_gas_,gamma_oil_,gamma_wat_,Rsb_,Pb_,Tres_,Bob_,muob_,correlation)</f>
        <v>710.27063700563349</v>
      </c>
      <c r="L48" s="19">
        <f>[1]!PVT_bg_m3m3(B48,C48,,gamma_gas_,gamma_oil_,gamma_wat_,Rsb_,Pb_,Tres_,Bob_,muob_,correlation)</f>
        <v>4.2266223608907472E-3</v>
      </c>
      <c r="M48" s="19">
        <f>[1]!PVT_bw_m3m3(B48,C48,,gamma_gas_,gamma_oil_,gamma_wat_,Rsb_,Pb_,Tres_,Bob_,muob_,correlation)</f>
        <v>1.0250759785233496</v>
      </c>
      <c r="N48" s="14">
        <f>[1]!PVT_ST_oilgas_Nm(B48,C48,,gamma_gas_,gamma_oil_,gamma_wat_,Rsb_,Pb_,Tres_,Bob_,muob_,correlation)</f>
        <v>4.9817733809117561E-2</v>
      </c>
      <c r="O48" s="19">
        <f>[1]!PVT_ST_watgas_Nm(B48,C48,,gamma_gas_,gamma_oil_,gamma_wat_,Rsb_,Pb_,Tres_,Bob_,muob_,correlation)</f>
        <v>6.1267164809032326E-2</v>
      </c>
      <c r="P48" s="28">
        <f>[1]!PVT_cp_oil_JkgC(B48,C48,,gamma_gas_,gamma_oil_,gamma_wat_,Rsb_,Pb_,Tres_,Bob_,muob_,correlation)</f>
        <v>2612.2600000000002</v>
      </c>
      <c r="Q48" s="28">
        <f>[1]!PVT_cp_gas_JkgC(B48,C48,,gamma_gas_,gamma_oil_,gamma_wat_,Rsb_,Pb_,Tres_,Bob_,muob_,correlation)</f>
        <v>1515.7993212400152</v>
      </c>
      <c r="R48" s="28">
        <f>[1]!PVT_cp_wat_JkgC(B48,C48,,gamma_gas_,gamma_oil_,gamma_wat_,Rsb_,Pb_,Tres_,Bob_,muob_,correlation)</f>
        <v>4176</v>
      </c>
      <c r="S48" s="29">
        <f>[1]!PVT_compressibility_wat_1atm(B48,C48,,gamma_gas_,gamma_oil_,gamma_wat_,Rsb_,Pb_,Tres_,Bob_,muob_,correlation)</f>
        <v>3.5684619400302491E-5</v>
      </c>
      <c r="T48" s="29">
        <f>[1]!PVT_compressibility_oil_1atm(B48,C48,,gamma_gas_,gamma_oil_,gamma_wat_,Rsb_,Pb_,Tres_,Bob_,muob_,correlation)</f>
        <v>1.9027038894704737E-4</v>
      </c>
      <c r="U48" s="29">
        <f>[1]!PVT_compressibility_gas_1atm(B48,C48,,gamma_gas_,gamma_oil_,gamma_wat_,Rsb_,Pb_,Tres_,Bob_,muob_,correlation)</f>
        <v>2.73951340680556E-3</v>
      </c>
    </row>
    <row r="49" spans="2:21" x14ac:dyDescent="0.2">
      <c r="B49" s="32">
        <f t="shared" si="1"/>
        <v>243.55822764838794</v>
      </c>
      <c r="C49" s="11">
        <v>80</v>
      </c>
      <c r="D49" s="12">
        <f>[1]!PVT_rs_m3m3(B49,C49,,gamma_gas_,gamma_oil_,gamma_wat_,Rsb_,Pb_,Tres_,Bob_,muob_,correlation)</f>
        <v>120</v>
      </c>
      <c r="E49" s="13">
        <f>[1]!PVT_bo_m3m3(B49,C49,,gamma_gas_,gamma_oil_,gamma_wat_,Rsb_,Pb_,Tres_,Bob_,muob_,correlation)</f>
        <v>1.3931414333627599</v>
      </c>
      <c r="F49" s="30">
        <f>[1]!PVT_mu_oil_cP(B49,C49,,gamma_gas_,gamma_oil_,gamma_wat_,Rsb_,Pb_,Tres_,Bob_,muob_,correlation)</f>
        <v>0.68371572806076608</v>
      </c>
      <c r="G49" s="14">
        <f>[1]!PVT_mu_gas_cP(B49,C49,,gamma_gas_,gamma_oil_,gamma_wat_,Rsb_,Pb_,Tres_,Bob_,muob_,correlation)</f>
        <v>3.13858228971046E-2</v>
      </c>
      <c r="H49" s="13">
        <f>[1]!PVT_mu_wat_cP(B49,C49,,gamma_gas_,gamma_oil_,gamma_wat_,Rsb_,Pb_,Tres_,Bob_,muob_,correlation)</f>
        <v>0.58521510640285224</v>
      </c>
      <c r="I49" s="30">
        <f>[1]!PVT_rho_gas_kgm3(B49,C49,,gamma_gas_,gamma_oil_,gamma_wat_,Rsb_,Pb_,Tres_,Bob_,muob_,correlation)</f>
        <v>272.80292809009575</v>
      </c>
      <c r="J49" s="12">
        <f>[1]!PVT_rho_wat_kgm3(B49,C49,,gamma_gas_,gamma_oil_,gamma_wat_,Rsb_,Pb_,Tres_,Bob_,muob_,correlation)</f>
        <v>1073.8256129140245</v>
      </c>
      <c r="K49" s="12">
        <f>[1]!PVT_rho_oil_kgm3(B49,C49,,gamma_gas_,gamma_oil_,gamma_wat_,Rsb_,Pb_,Tres_,Bob_,muob_,correlation)</f>
        <v>712.01930848158759</v>
      </c>
      <c r="L49" s="19">
        <f>[1]!PVT_bg_m3m3(B49,C49,,gamma_gas_,gamma_oil_,gamma_wat_,Rsb_,Pb_,Tres_,Bob_,muob_,correlation)</f>
        <v>4.0304919294593122E-3</v>
      </c>
      <c r="M49" s="19">
        <f>[1]!PVT_bw_m3m3(B49,C49,,gamma_gas_,gamma_oil_,gamma_wat_,Rsb_,Pb_,Tres_,Bob_,muob_,correlation)</f>
        <v>1.0243748954869372</v>
      </c>
      <c r="N49" s="14">
        <f>[1]!PVT_ST_oilgas_Nm(B49,C49,,gamma_gas_,gamma_oil_,gamma_wat_,Rsb_,Pb_,Tres_,Bob_,muob_,correlation)</f>
        <v>4.8627647169161896E-2</v>
      </c>
      <c r="O49" s="19">
        <f>[1]!PVT_ST_watgas_Nm(B49,C49,,gamma_gas_,gamma_oil_,gamma_wat_,Rsb_,Pb_,Tres_,Bob_,muob_,correlation)</f>
        <v>6.099882403953983E-2</v>
      </c>
      <c r="P49" s="28">
        <f>[1]!PVT_cp_oil_JkgC(B49,C49,,gamma_gas_,gamma_oil_,gamma_wat_,Rsb_,Pb_,Tres_,Bob_,muob_,correlation)</f>
        <v>2612.2600000000002</v>
      </c>
      <c r="Q49" s="28">
        <f>[1]!PVT_cp_gas_JkgC(B49,C49,,gamma_gas_,gamma_oil_,gamma_wat_,Rsb_,Pb_,Tres_,Bob_,muob_,correlation)</f>
        <v>1566.464041949326</v>
      </c>
      <c r="R49" s="28">
        <f>[1]!PVT_cp_wat_JkgC(B49,C49,,gamma_gas_,gamma_oil_,gamma_wat_,Rsb_,Pb_,Tres_,Bob_,muob_,correlation)</f>
        <v>4176</v>
      </c>
      <c r="S49" s="29">
        <f>[1]!PVT_compressibility_wat_1atm(B49,C49,,gamma_gas_,gamma_oil_,gamma_wat_,Rsb_,Pb_,Tres_,Bob_,muob_,correlation)</f>
        <v>3.5514706669841871E-5</v>
      </c>
      <c r="T49" s="29">
        <f>[1]!PVT_compressibility_oil_1atm(B49,C49,,gamma_gas_,gamma_oil_,gamma_wat_,Rsb_,Pb_,Tres_,Bob_,muob_,correlation)</f>
        <v>1.7557274274571062E-4</v>
      </c>
      <c r="U49" s="29">
        <f>[1]!PVT_compressibility_gas_1atm(B49,C49,,gamma_gas_,gamma_oil_,gamma_wat_,Rsb_,Pb_,Tres_,Bob_,muob_,correlation)</f>
        <v>2.328770378566851E-3</v>
      </c>
    </row>
    <row r="50" spans="2:21" x14ac:dyDescent="0.2">
      <c r="B50" s="32">
        <f t="shared" si="1"/>
        <v>262.37215176559198</v>
      </c>
      <c r="C50" s="11">
        <v>80</v>
      </c>
      <c r="D50" s="12">
        <f>[1]!PVT_rs_m3m3(B50,C50,,gamma_gas_,gamma_oil_,gamma_wat_,Rsb_,Pb_,Tres_,Bob_,muob_,correlation)</f>
        <v>120</v>
      </c>
      <c r="E50" s="13">
        <f>[1]!PVT_bo_m3m3(B50,C50,,gamma_gas_,gamma_oil_,gamma_wat_,Rsb_,Pb_,Tres_,Bob_,muob_,correlation)</f>
        <v>1.3902101407945431</v>
      </c>
      <c r="F50" s="30">
        <f>[1]!PVT_mu_oil_cP(B50,C50,,gamma_gas_,gamma_oil_,gamma_wat_,Rsb_,Pb_,Tres_,Bob_,muob_,correlation)</f>
        <v>0.70623728337203007</v>
      </c>
      <c r="G50" s="14">
        <f>[1]!PVT_mu_gas_cP(B50,C50,,gamma_gas_,gamma_oil_,gamma_wat_,Rsb_,Pb_,Tres_,Bob_,muob_,correlation)</f>
        <v>3.3088259899658919E-2</v>
      </c>
      <c r="H50" s="13">
        <f>[1]!PVT_mu_wat_cP(B50,C50,,gamma_gas_,gamma_oil_,gamma_wat_,Rsb_,Pb_,Tres_,Bob_,muob_,correlation)</f>
        <v>0.59388234771033521</v>
      </c>
      <c r="I50" s="30">
        <f>[1]!PVT_rho_gas_kgm3(B50,C50,,gamma_gas_,gamma_oil_,gamma_wat_,Rsb_,Pb_,Tres_,Bob_,muob_,correlation)</f>
        <v>284.13292402761004</v>
      </c>
      <c r="J50" s="12">
        <f>[1]!PVT_rho_wat_kgm3(B50,C50,,gamma_gas_,gamma_oil_,gamma_wat_,Rsb_,Pb_,Tres_,Bob_,muob_,correlation)</f>
        <v>1074.6033218834768</v>
      </c>
      <c r="K50" s="12">
        <f>[1]!PVT_rho_oil_kgm3(B50,C50,,gamma_gas_,gamma_oil_,gamma_wat_,Rsb_,Pb_,Tres_,Bob_,muob_,correlation)</f>
        <v>713.52061885628109</v>
      </c>
      <c r="L50" s="19">
        <f>[1]!PVT_bg_m3m3(B50,C50,,gamma_gas_,gamma_oil_,gamma_wat_,Rsb_,Pb_,Tres_,Bob_,muob_,correlation)</f>
        <v>3.8697732892551211E-3</v>
      </c>
      <c r="M50" s="19">
        <f>[1]!PVT_bw_m3m3(B50,C50,,gamma_gas_,gamma_oil_,gamma_wat_,Rsb_,Pb_,Tres_,Bob_,muob_,correlation)</f>
        <v>1.0236335376965056</v>
      </c>
      <c r="N50" s="14">
        <f>[1]!PVT_ST_oilgas_Nm(B50,C50,,gamma_gas_,gamma_oil_,gamma_wat_,Rsb_,Pb_,Tres_,Bob_,muob_,correlation)</f>
        <v>4.7465990289099105E-2</v>
      </c>
      <c r="O50" s="19">
        <f>[1]!PVT_ST_watgas_Nm(B50,C50,,gamma_gas_,gamma_oil_,gamma_wat_,Rsb_,Pb_,Tres_,Bob_,muob_,correlation)</f>
        <v>6.0731658561392919E-2</v>
      </c>
      <c r="P50" s="28">
        <f>[1]!PVT_cp_oil_JkgC(B50,C50,,gamma_gas_,gamma_oil_,gamma_wat_,Rsb_,Pb_,Tres_,Bob_,muob_,correlation)</f>
        <v>2612.2600000000002</v>
      </c>
      <c r="Q50" s="28">
        <f>[1]!PVT_cp_gas_JkgC(B50,C50,,gamma_gas_,gamma_oil_,gamma_wat_,Rsb_,Pb_,Tres_,Bob_,muob_,correlation)</f>
        <v>1620.1783661791044</v>
      </c>
      <c r="R50" s="28">
        <f>[1]!PVT_cp_wat_JkgC(B50,C50,,gamma_gas_,gamma_oil_,gamma_wat_,Rsb_,Pb_,Tres_,Bob_,muob_,correlation)</f>
        <v>4176</v>
      </c>
      <c r="S50" s="29">
        <f>[1]!PVT_compressibility_wat_1atm(B50,C50,,gamma_gas_,gamma_oil_,gamma_wat_,Rsb_,Pb_,Tres_,Bob_,muob_,correlation)</f>
        <v>3.5346404354258074E-5</v>
      </c>
      <c r="T50" s="29">
        <f>[1]!PVT_compressibility_oil_1atm(B50,C50,,gamma_gas_,gamma_oil_,gamma_wat_,Rsb_,Pb_,Tres_,Bob_,muob_,correlation)</f>
        <v>1.6298294525066877E-4</v>
      </c>
      <c r="U50" s="29">
        <f>[1]!PVT_compressibility_gas_1atm(B50,C50,,gamma_gas_,gamma_oil_,gamma_wat_,Rsb_,Pb_,Tres_,Bob_,muob_,correlation)</f>
        <v>2.0093401480622756E-3</v>
      </c>
    </row>
    <row r="51" spans="2:21" x14ac:dyDescent="0.2">
      <c r="B51" s="32">
        <f t="shared" si="1"/>
        <v>281.18607588279599</v>
      </c>
      <c r="C51" s="11">
        <v>80</v>
      </c>
      <c r="D51" s="12">
        <f>[1]!PVT_rs_m3m3(B51,C51,,gamma_gas_,gamma_oil_,gamma_wat_,Rsb_,Pb_,Tres_,Bob_,muob_,correlation)</f>
        <v>120</v>
      </c>
      <c r="E51" s="13">
        <f>[1]!PVT_bo_m3m3(B51,C51,,gamma_gas_,gamma_oil_,gamma_wat_,Rsb_,Pb_,Tres_,Bob_,muob_,correlation)</f>
        <v>1.3876760942362232</v>
      </c>
      <c r="F51" s="30">
        <f>[1]!PVT_mu_oil_cP(B51,C51,,gamma_gas_,gamma_oil_,gamma_wat_,Rsb_,Pb_,Tres_,Bob_,muob_,correlation)</f>
        <v>0.73008359492326935</v>
      </c>
      <c r="G51" s="14">
        <f>[1]!PVT_mu_gas_cP(B51,C51,,gamma_gas_,gamma_oil_,gamma_wat_,Rsb_,Pb_,Tres_,Bob_,muob_,correlation)</f>
        <v>3.4720126441739309E-2</v>
      </c>
      <c r="H51" s="13">
        <f>[1]!PVT_mu_wat_cP(B51,C51,,gamma_gas_,gamma_oil_,gamma_wat_,Rsb_,Pb_,Tres_,Bob_,muob_,correlation)</f>
        <v>0.60278444462340053</v>
      </c>
      <c r="I51" s="30">
        <f>[1]!PVT_rho_gas_kgm3(B51,C51,,gamma_gas_,gamma_oil_,gamma_wat_,Rsb_,Pb_,Tres_,Bob_,muob_,correlation)</f>
        <v>294.35101146203277</v>
      </c>
      <c r="J51" s="12">
        <f>[1]!PVT_rho_wat_kgm3(B51,C51,,gamma_gas_,gamma_oil_,gamma_wat_,Rsb_,Pb_,Tres_,Bob_,muob_,correlation)</f>
        <v>1075.4245012981391</v>
      </c>
      <c r="K51" s="12">
        <f>[1]!PVT_rho_oil_kgm3(B51,C51,,gamma_gas_,gamma_oil_,gamma_wat_,Rsb_,Pb_,Tres_,Bob_,muob_,correlation)</f>
        <v>714.8235846391558</v>
      </c>
      <c r="L51" s="19">
        <f>[1]!PVT_bg_m3m3(B51,C51,,gamma_gas_,gamma_oil_,gamma_wat_,Rsb_,Pb_,Tres_,Bob_,muob_,correlation)</f>
        <v>3.735438157792178E-3</v>
      </c>
      <c r="M51" s="19">
        <f>[1]!PVT_bw_m3m3(B51,C51,,gamma_gas_,gamma_oil_,gamma_wat_,Rsb_,Pb_,Tres_,Bob_,muob_,correlation)</f>
        <v>1.0228519051520548</v>
      </c>
      <c r="N51" s="14">
        <f>[1]!PVT_ST_oilgas_Nm(B51,C51,,gamma_gas_,gamma_oil_,gamma_wat_,Rsb_,Pb_,Tres_,Bob_,muob_,correlation)</f>
        <v>4.6332084015647056E-2</v>
      </c>
      <c r="O51" s="19">
        <f>[1]!PVT_ST_watgas_Nm(B51,C51,,gamma_gas_,gamma_oil_,gamma_wat_,Rsb_,Pb_,Tres_,Bob_,muob_,correlation)</f>
        <v>6.0465663226996161E-2</v>
      </c>
      <c r="P51" s="28">
        <f>[1]!PVT_cp_oil_JkgC(B51,C51,,gamma_gas_,gamma_oil_,gamma_wat_,Rsb_,Pb_,Tres_,Bob_,muob_,correlation)</f>
        <v>2612.2600000000002</v>
      </c>
      <c r="Q51" s="28">
        <f>[1]!PVT_cp_gas_JkgC(B51,C51,,gamma_gas_,gamma_oil_,gamma_wat_,Rsb_,Pb_,Tres_,Bob_,muob_,correlation)</f>
        <v>1676.0807221805762</v>
      </c>
      <c r="R51" s="28">
        <f>[1]!PVT_cp_wat_JkgC(B51,C51,,gamma_gas_,gamma_oil_,gamma_wat_,Rsb_,Pb_,Tres_,Bob_,muob_,correlation)</f>
        <v>4176</v>
      </c>
      <c r="S51" s="29">
        <f>[1]!PVT_compressibility_wat_1atm(B51,C51,,gamma_gas_,gamma_oil_,gamma_wat_,Rsb_,Pb_,Tres_,Bob_,muob_,correlation)</f>
        <v>3.5179689666524969E-5</v>
      </c>
      <c r="T51" s="29">
        <f>[1]!PVT_compressibility_oil_1atm(B51,C51,,gamma_gas_,gamma_oil_,gamma_wat_,Rsb_,Pb_,Tres_,Bob_,muob_,correlation)</f>
        <v>1.5207789330342152E-4</v>
      </c>
      <c r="U51" s="29">
        <f>[1]!PVT_compressibility_gas_1atm(B51,C51,,gamma_gas_,gamma_oil_,gamma_wat_,Rsb_,Pb_,Tres_,Bob_,muob_,correlation)</f>
        <v>1.7553917076249014E-3</v>
      </c>
    </row>
    <row r="52" spans="2:21" x14ac:dyDescent="0.2">
      <c r="B52" s="32">
        <v>300</v>
      </c>
      <c r="C52" s="11">
        <v>80</v>
      </c>
      <c r="D52" s="12">
        <f>[1]!PVT_rs_m3m3(B52,C52,,gamma_gas_,gamma_oil_,gamma_wat_,Rsb_,Pb_,Tres_,Bob_,muob_,correlation)</f>
        <v>120</v>
      </c>
      <c r="E52" s="13">
        <f>[1]!PVT_bo_m3m3(B52,C52,,gamma_gas_,gamma_oil_,gamma_wat_,Rsb_,Pb_,Tres_,Bob_,muob_,correlation)</f>
        <v>1.3854636700215823</v>
      </c>
      <c r="F52" s="30">
        <f>[1]!PVT_mu_oil_cP(B52,C52,,gamma_gas_,gamma_oil_,gamma_wat_,Rsb_,Pb_,Tres_,Bob_,muob_,correlation)</f>
        <v>0.75516695400167422</v>
      </c>
      <c r="G52" s="14">
        <f>[1]!PVT_mu_gas_cP(B52,C52,,gamma_gas_,gamma_oil_,gamma_wat_,Rsb_,Pb_,Tres_,Bob_,muob_,correlation)</f>
        <v>3.6285578432125411E-2</v>
      </c>
      <c r="H52" s="13">
        <f>[1]!PVT_mu_wat_cP(B52,C52,,gamma_gas_,gamma_oil_,gamma_wat_,Rsb_,Pb_,Tres_,Bob_,muob_,correlation)</f>
        <v>0.6119213971420483</v>
      </c>
      <c r="I52" s="30">
        <f>[1]!PVT_rho_gas_kgm3(B52,C52,,gamma_gas_,gamma_oil_,gamma_wat_,Rsb_,Pb_,Tres_,Bob_,muob_,correlation)</f>
        <v>303.62618263772396</v>
      </c>
      <c r="J52" s="12">
        <f>[1]!PVT_rho_wat_kgm3(B52,C52,,gamma_gas_,gamma_oil_,gamma_wat_,Rsb_,Pb_,Tres_,Bob_,muob_,correlation)</f>
        <v>1076.2893479742904</v>
      </c>
      <c r="K52" s="12">
        <f>[1]!PVT_rho_oil_kgm3(B52,C52,,gamma_gas_,gamma_oil_,gamma_wat_,Rsb_,Pb_,Tres_,Bob_,muob_,correlation)</f>
        <v>715.96507469917833</v>
      </c>
      <c r="L52" s="19">
        <f>[1]!PVT_bg_m3m3(B52,C52,,gamma_gas_,gamma_oil_,gamma_wat_,Rsb_,Pb_,Tres_,Bob_,muob_,correlation)</f>
        <v>3.6213280108057101E-3</v>
      </c>
      <c r="M52" s="19">
        <f>[1]!PVT_bw_m3m3(B52,C52,,gamma_gas_,gamma_oil_,gamma_wat_,Rsb_,Pb_,Tres_,Bob_,muob_,correlation)</f>
        <v>1.0220299978535847</v>
      </c>
      <c r="N52" s="14">
        <f>[1]!PVT_ST_oilgas_Nm(B52,C52,,gamma_gas_,gamma_oil_,gamma_wat_,Rsb_,Pb_,Tres_,Bob_,muob_,correlation)</f>
        <v>4.5225265419690894E-2</v>
      </c>
      <c r="O52" s="19">
        <f>[1]!PVT_ST_watgas_Nm(B52,C52,,gamma_gas_,gamma_oil_,gamma_wat_,Rsb_,Pb_,Tres_,Bob_,muob_,correlation)</f>
        <v>6.0200832911299594E-2</v>
      </c>
      <c r="P52" s="28">
        <f>[1]!PVT_cp_oil_JkgC(B52,C52,,gamma_gas_,gamma_oil_,gamma_wat_,Rsb_,Pb_,Tres_,Bob_,muob_,correlation)</f>
        <v>2612.2600000000002</v>
      </c>
      <c r="Q52" s="28">
        <f>[1]!PVT_cp_gas_JkgC(B52,C52,,gamma_gas_,gamma_oil_,gamma_wat_,Rsb_,Pb_,Tres_,Bob_,muob_,correlation)</f>
        <v>1733.5991597636048</v>
      </c>
      <c r="R52" s="28">
        <f>[1]!PVT_cp_wat_JkgC(B52,C52,,gamma_gas_,gamma_oil_,gamma_wat_,Rsb_,Pb_,Tres_,Bob_,muob_,correlation)</f>
        <v>4176</v>
      </c>
      <c r="S52" s="29">
        <f>[1]!PVT_compressibility_wat_1atm(B52,C52,,gamma_gas_,gamma_oil_,gamma_wat_,Rsb_,Pb_,Tres_,Bob_,muob_,correlation)</f>
        <v>3.5014540247506962E-5</v>
      </c>
      <c r="T52" s="29">
        <f>[1]!PVT_compressibility_oil_1atm(B52,C52,,gamma_gas_,gamma_oil_,gamma_wat_,Rsb_,Pb_,Tres_,Bob_,muob_,correlation)</f>
        <v>1.4254062015503879E-4</v>
      </c>
      <c r="U52" s="29">
        <f>[1]!PVT_compressibility_gas_1atm(B52,C52,,gamma_gas_,gamma_oil_,gamma_wat_,Rsb_,Pb_,Tres_,Bob_,muob_,correlation)</f>
        <v>1.5492036754003349E-3</v>
      </c>
    </row>
  </sheetData>
  <dataConsolidate link="1"/>
  <mergeCells count="10">
    <mergeCell ref="A6:A8"/>
    <mergeCell ref="B6:E8"/>
    <mergeCell ref="H6:H8"/>
    <mergeCell ref="I6:L8"/>
    <mergeCell ref="B3:E3"/>
    <mergeCell ref="I3:L3"/>
    <mergeCell ref="B4:E4"/>
    <mergeCell ref="I4:L4"/>
    <mergeCell ref="B5:E5"/>
    <mergeCell ref="I5:L5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23</vt:i4>
      </vt:variant>
    </vt:vector>
  </HeadingPairs>
  <TitlesOfParts>
    <vt:vector size="24" baseType="lpstr">
      <vt:lpstr>exercise_PVT</vt:lpstr>
      <vt:lpstr>exercise_PVT!Bob_</vt:lpstr>
      <vt:lpstr>correlation</vt:lpstr>
      <vt:lpstr>exercise_PVT!Course</vt:lpstr>
      <vt:lpstr>exercise_PVT!gamma_gas_</vt:lpstr>
      <vt:lpstr>exercise_PVT!gamma_oil_</vt:lpstr>
      <vt:lpstr>exercise_PVT!gamma_wat_</vt:lpstr>
      <vt:lpstr>exercise_PVT!Group</vt:lpstr>
      <vt:lpstr>exercise_PVT!input_0</vt:lpstr>
      <vt:lpstr>exercise_PVT!input_1</vt:lpstr>
      <vt:lpstr>exercise_PVT!input_Course</vt:lpstr>
      <vt:lpstr>exercise_PVT!input_Date</vt:lpstr>
      <vt:lpstr>exercise_PVT!input_Group</vt:lpstr>
      <vt:lpstr>exercise_PVT!input_Notes</vt:lpstr>
      <vt:lpstr>exercise_PVT!input_Student_Name</vt:lpstr>
      <vt:lpstr>exercise_PVT!input_Version</vt:lpstr>
      <vt:lpstr>exercise_PVT!muob_</vt:lpstr>
      <vt:lpstr>exercise_PVT!Notes</vt:lpstr>
      <vt:lpstr>exercise_PVT!output_0</vt:lpstr>
      <vt:lpstr>exercise_PVT!Pb_</vt:lpstr>
      <vt:lpstr>exercise_PVT!Rsb_</vt:lpstr>
      <vt:lpstr>exercise_PVT!Student_Name</vt:lpstr>
      <vt:lpstr>exercise_PVT!Tres_</vt:lpstr>
      <vt:lpstr>exercise_PVT!unf_version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rnt</cp:lastModifiedBy>
  <dcterms:created xsi:type="dcterms:W3CDTF">2020-04-13T13:26:12Z</dcterms:created>
  <dcterms:modified xsi:type="dcterms:W3CDTF">2023-02-16T18:22:02Z</dcterms:modified>
</cp:coreProperties>
</file>