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1E3E2807-08DD-4A3F-9EC6-2B4EAC1A1930}" xr6:coauthVersionLast="45" xr6:coauthVersionMax="45" xr10:uidLastSave="{00000000-0000-0000-0000-000000000000}"/>
  <bookViews>
    <workbookView xWindow="7620" yWindow="5310" windowWidth="28800" windowHeight="1543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exercise_PVT!$C$18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exercise_PVT!$C$11:$C$19</definedName>
    <definedName name="input_1" localSheetId="0">exercise_PVT!$B$27:$C$52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exercise_PVT!$C$19</definedName>
    <definedName name="Notes" localSheetId="0">exercise_PVT!$B$6</definedName>
    <definedName name="output_0" localSheetId="0">exercise_PVT!$D$27:$O$52</definedName>
    <definedName name="Pb_" localSheetId="0">exercise_PVT!$C$16</definedName>
    <definedName name="PVT_str_" localSheetId="0">exercise_PVT!$C$23</definedName>
    <definedName name="Rp_" localSheetId="0">exercise_PVT!$C$15</definedName>
    <definedName name="Rsb_" localSheetId="0">exercise_PVT!$C$14</definedName>
    <definedName name="Student_Name" localSheetId="0">exercise_PVT!$B$5</definedName>
    <definedName name="Tres_" localSheetId="0">exercise_PVT!$C$17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113" l="1"/>
  <c r="E16" i="113"/>
  <c r="E15" i="113"/>
  <c r="E14" i="113"/>
  <c r="E13" i="113"/>
  <c r="E12" i="113"/>
  <c r="E11" i="113"/>
  <c r="I51" i="113"/>
  <c r="F50" i="113"/>
  <c r="I47" i="113"/>
  <c r="F46" i="113"/>
  <c r="I43" i="113"/>
  <c r="F42" i="113"/>
  <c r="I39" i="113"/>
  <c r="F38" i="113"/>
  <c r="I35" i="113"/>
  <c r="F30" i="113"/>
  <c r="I27" i="113"/>
  <c r="K47" i="113"/>
  <c r="K31" i="113"/>
  <c r="K52" i="113"/>
  <c r="H51" i="113"/>
  <c r="E50" i="113"/>
  <c r="K48" i="113"/>
  <c r="H47" i="113"/>
  <c r="E46" i="113"/>
  <c r="K44" i="113"/>
  <c r="H43" i="113"/>
  <c r="E42" i="113"/>
  <c r="K40" i="113"/>
  <c r="H39" i="113"/>
  <c r="E38" i="113"/>
  <c r="K36" i="113"/>
  <c r="H35" i="113"/>
  <c r="E34" i="113"/>
  <c r="K32" i="113"/>
  <c r="H31" i="113"/>
  <c r="E30" i="113"/>
  <c r="K28" i="113"/>
  <c r="H27" i="113"/>
  <c r="D34" i="113"/>
  <c r="G31" i="113"/>
  <c r="J28" i="113"/>
  <c r="H38" i="113"/>
  <c r="J52" i="113"/>
  <c r="G51" i="113"/>
  <c r="D50" i="113"/>
  <c r="J48" i="113"/>
  <c r="G47" i="113"/>
  <c r="D46" i="113"/>
  <c r="J44" i="113"/>
  <c r="G43" i="113"/>
  <c r="D42" i="113"/>
  <c r="J40" i="113"/>
  <c r="G39" i="113"/>
  <c r="D38" i="113"/>
  <c r="J36" i="113"/>
  <c r="G35" i="113"/>
  <c r="J32" i="113"/>
  <c r="D30" i="113"/>
  <c r="G27" i="113"/>
  <c r="E49" i="113"/>
  <c r="E33" i="113"/>
  <c r="I52" i="113"/>
  <c r="F51" i="113"/>
  <c r="I48" i="113"/>
  <c r="F47" i="113"/>
  <c r="I44" i="113"/>
  <c r="F43" i="113"/>
  <c r="I40" i="113"/>
  <c r="F39" i="113"/>
  <c r="I36" i="113"/>
  <c r="F35" i="113"/>
  <c r="I32" i="113"/>
  <c r="F31" i="113"/>
  <c r="I28" i="113"/>
  <c r="F27" i="113"/>
  <c r="H36" i="113"/>
  <c r="K33" i="113"/>
  <c r="E31" i="113"/>
  <c r="E27" i="113"/>
  <c r="K39" i="113"/>
  <c r="H52" i="113"/>
  <c r="E51" i="113"/>
  <c r="K49" i="113"/>
  <c r="H48" i="113"/>
  <c r="E47" i="113"/>
  <c r="K45" i="113"/>
  <c r="H44" i="113"/>
  <c r="E43" i="113"/>
  <c r="K41" i="113"/>
  <c r="H40" i="113"/>
  <c r="E39" i="113"/>
  <c r="K37" i="113"/>
  <c r="E35" i="113"/>
  <c r="H32" i="113"/>
  <c r="K29" i="113"/>
  <c r="E37" i="113"/>
  <c r="G52" i="113"/>
  <c r="D51" i="113"/>
  <c r="J49" i="113"/>
  <c r="G48" i="113"/>
  <c r="D47" i="113"/>
  <c r="J45" i="113"/>
  <c r="G44" i="113"/>
  <c r="D43" i="113"/>
  <c r="J41" i="113"/>
  <c r="G40" i="113"/>
  <c r="D39" i="113"/>
  <c r="J37" i="113"/>
  <c r="G36" i="113"/>
  <c r="D35" i="113"/>
  <c r="J33" i="113"/>
  <c r="G32" i="113"/>
  <c r="D31" i="113"/>
  <c r="J29" i="113"/>
  <c r="G28" i="113"/>
  <c r="D27" i="113"/>
  <c r="I33" i="113"/>
  <c r="F28" i="113"/>
  <c r="H42" i="113"/>
  <c r="F52" i="113"/>
  <c r="I49" i="113"/>
  <c r="F48" i="113"/>
  <c r="I45" i="113"/>
  <c r="F44" i="113"/>
  <c r="I41" i="113"/>
  <c r="F40" i="113"/>
  <c r="I37" i="113"/>
  <c r="F36" i="113"/>
  <c r="F32" i="113"/>
  <c r="I29" i="113"/>
  <c r="C23" i="113"/>
  <c r="M52" i="113" a="1"/>
  <c r="E41" i="113"/>
  <c r="H30" i="113"/>
  <c r="E52" i="113"/>
  <c r="K50" i="113"/>
  <c r="H49" i="113"/>
  <c r="E48" i="113"/>
  <c r="K46" i="113"/>
  <c r="H45" i="113"/>
  <c r="E44" i="113"/>
  <c r="K42" i="113"/>
  <c r="H41" i="113"/>
  <c r="E40" i="113"/>
  <c r="K38" i="113"/>
  <c r="H37" i="113"/>
  <c r="E36" i="113"/>
  <c r="K34" i="113"/>
  <c r="H33" i="113"/>
  <c r="E32" i="113"/>
  <c r="K30" i="113"/>
  <c r="H29" i="113"/>
  <c r="E28" i="113"/>
  <c r="G1" i="113"/>
  <c r="D36" i="113"/>
  <c r="G33" i="113"/>
  <c r="J30" i="113"/>
  <c r="D28" i="113"/>
  <c r="N42" i="113" a="1"/>
  <c r="E45" i="113"/>
  <c r="K27" i="113"/>
  <c r="N50" i="113" a="1"/>
  <c r="M34" i="113" a="1"/>
  <c r="N40" i="113" a="1"/>
  <c r="N44" i="113" a="1"/>
  <c r="N33" i="113" a="1"/>
  <c r="N39" i="113" a="1"/>
  <c r="N43" i="113" a="1"/>
  <c r="M43" i="113" a="1"/>
  <c r="N46" i="113" a="1"/>
  <c r="N32" i="113" a="1"/>
  <c r="O50" i="113" a="1"/>
  <c r="O29" i="113" a="1"/>
  <c r="O27" i="113" a="1"/>
  <c r="D52" i="113"/>
  <c r="J50" i="113"/>
  <c r="G49" i="113"/>
  <c r="D48" i="113"/>
  <c r="J46" i="113"/>
  <c r="G45" i="113"/>
  <c r="D44" i="113"/>
  <c r="J42" i="113"/>
  <c r="G41" i="113"/>
  <c r="D40" i="113"/>
  <c r="J38" i="113"/>
  <c r="G37" i="113"/>
  <c r="J34" i="113"/>
  <c r="D32" i="113"/>
  <c r="G29" i="113"/>
  <c r="N37" i="113" a="1"/>
  <c r="H50" i="113"/>
  <c r="K35" i="113"/>
  <c r="L51" i="113"/>
  <c r="I50" i="113"/>
  <c r="F49" i="113"/>
  <c r="L47" i="113"/>
  <c r="I46" i="113"/>
  <c r="F45" i="113"/>
  <c r="L43" i="113"/>
  <c r="I42" i="113"/>
  <c r="F41" i="113"/>
  <c r="L39" i="113"/>
  <c r="I38" i="113"/>
  <c r="F37" i="113"/>
  <c r="L35" i="113"/>
  <c r="I34" i="113"/>
  <c r="F33" i="113"/>
  <c r="L31" i="113"/>
  <c r="I30" i="113"/>
  <c r="F29" i="113"/>
  <c r="L27" i="113"/>
  <c r="O41" i="113" a="1"/>
  <c r="M48" i="113" a="1"/>
  <c r="O43" i="113" a="1"/>
  <c r="K51" i="113"/>
  <c r="H46" i="113"/>
  <c r="H34" i="113"/>
  <c r="J51" i="113"/>
  <c r="G50" i="113"/>
  <c r="D49" i="113"/>
  <c r="J47" i="113"/>
  <c r="G46" i="113"/>
  <c r="D45" i="113"/>
  <c r="J43" i="113"/>
  <c r="G42" i="113"/>
  <c r="D41" i="113"/>
  <c r="J39" i="113"/>
  <c r="G38" i="113"/>
  <c r="D37" i="113"/>
  <c r="J35" i="113"/>
  <c r="G34" i="113"/>
  <c r="D33" i="113"/>
  <c r="J31" i="113"/>
  <c r="G30" i="113"/>
  <c r="D29" i="113"/>
  <c r="J27" i="113"/>
  <c r="L40" i="113"/>
  <c r="L36" i="113"/>
  <c r="F34" i="113"/>
  <c r="I31" i="113"/>
  <c r="L28" i="113"/>
  <c r="H28" i="113"/>
  <c r="N29" i="113" a="1"/>
  <c r="K43" i="113"/>
  <c r="E29" i="113"/>
  <c r="L34" i="113"/>
  <c r="L38" i="113"/>
  <c r="L42" i="113"/>
  <c r="L46" i="113"/>
  <c r="L50" i="113"/>
  <c r="M28" i="113" a="1"/>
  <c r="N30" i="113" a="1"/>
  <c r="N41" i="113" a="1"/>
  <c r="O34" i="113" a="1"/>
  <c r="N52" i="113" a="1"/>
  <c r="N36" i="113" a="1"/>
  <c r="M42" i="113" a="1"/>
  <c r="M40" i="113" a="1"/>
  <c r="O31" i="113" a="1"/>
  <c r="O44" i="113" a="1"/>
  <c r="M41" i="113" a="1"/>
  <c r="N48" i="113" a="1"/>
  <c r="M46" i="113" a="1"/>
  <c r="O35" i="113" a="1"/>
  <c r="L30" i="113"/>
  <c r="N31" i="113" a="1"/>
  <c r="N28" i="113" a="1"/>
  <c r="O30" i="113" a="1"/>
  <c r="M51" i="113" a="1"/>
  <c r="M39" i="113" a="1"/>
  <c r="N35" i="113" a="1"/>
  <c r="O48" i="113" a="1"/>
  <c r="O32" i="113" a="1"/>
  <c r="O40" i="113" a="1"/>
  <c r="M36" i="113" a="1"/>
  <c r="M44" i="113" a="1"/>
  <c r="M38" i="113" a="1"/>
  <c r="N49" i="113" a="1"/>
  <c r="O38" i="113" a="1"/>
  <c r="N27" i="113" a="1"/>
  <c r="L29" i="113"/>
  <c r="L33" i="113"/>
  <c r="L37" i="113"/>
  <c r="L41" i="113"/>
  <c r="L45" i="113"/>
  <c r="L49" i="113"/>
  <c r="N47" i="113" a="1"/>
  <c r="O28" i="113" a="1"/>
  <c r="M31" i="113" a="1"/>
  <c r="M49" i="113" a="1"/>
  <c r="M37" i="113" a="1"/>
  <c r="O36" i="113" a="1"/>
  <c r="M45" i="113" a="1"/>
  <c r="M33" i="113" a="1"/>
  <c r="O33" i="113" a="1"/>
  <c r="O37" i="113" a="1"/>
  <c r="M47" i="113" a="1"/>
  <c r="N34" i="113" a="1"/>
  <c r="O49" i="113" a="1"/>
  <c r="O52" i="113" a="1"/>
  <c r="N45" i="113" a="1"/>
  <c r="O47" i="113" a="1"/>
  <c r="L32" i="113"/>
  <c r="L44" i="113"/>
  <c r="L48" i="113"/>
  <c r="L52" i="113"/>
  <c r="M29" i="113" a="1"/>
  <c r="M30" i="113" a="1"/>
  <c r="N51" i="113" a="1"/>
  <c r="O45" i="113" a="1"/>
  <c r="O42" i="113" a="1"/>
  <c r="O51" i="113" a="1"/>
  <c r="O46" i="113" a="1"/>
  <c r="N38" i="113" a="1"/>
  <c r="M32" i="113" a="1"/>
  <c r="O39" i="113" a="1"/>
  <c r="M35" i="113" a="1"/>
  <c r="M50" i="113" a="1"/>
  <c r="M27" i="113" a="1"/>
  <c r="M27" i="113" l="1"/>
  <c r="M50" i="113"/>
  <c r="M35" i="113"/>
  <c r="O39" i="113"/>
  <c r="M32" i="113"/>
  <c r="N38" i="113"/>
  <c r="O46" i="113"/>
  <c r="O51" i="113"/>
  <c r="O42" i="113"/>
  <c r="O45" i="113"/>
  <c r="N51" i="113"/>
  <c r="M30" i="113"/>
  <c r="M29" i="113"/>
  <c r="O47" i="113"/>
  <c r="N45" i="113"/>
  <c r="O52" i="113"/>
  <c r="O49" i="113"/>
  <c r="N34" i="113"/>
  <c r="M47" i="113"/>
  <c r="O37" i="113"/>
  <c r="O33" i="113"/>
  <c r="M33" i="113"/>
  <c r="M45" i="113"/>
  <c r="O36" i="113"/>
  <c r="M37" i="113"/>
  <c r="M49" i="113"/>
  <c r="M31" i="113"/>
  <c r="O28" i="113"/>
  <c r="N47" i="113"/>
  <c r="N27" i="113"/>
  <c r="O38" i="113"/>
  <c r="N49" i="113"/>
  <c r="M38" i="113"/>
  <c r="M44" i="113"/>
  <c r="M36" i="113"/>
  <c r="O40" i="113"/>
  <c r="O32" i="113"/>
  <c r="O48" i="113"/>
  <c r="N35" i="113"/>
  <c r="M39" i="113"/>
  <c r="M51" i="113"/>
  <c r="O30" i="113"/>
  <c r="N28" i="113"/>
  <c r="N31" i="113"/>
  <c r="O35" i="113"/>
  <c r="M46" i="113"/>
  <c r="N48" i="113"/>
  <c r="M41" i="113"/>
  <c r="O44" i="113"/>
  <c r="O31" i="113"/>
  <c r="M40" i="113"/>
  <c r="M42" i="113"/>
  <c r="N36" i="113"/>
  <c r="N52" i="113"/>
  <c r="O34" i="113"/>
  <c r="N41" i="113"/>
  <c r="N30" i="113"/>
  <c r="M28" i="113"/>
  <c r="N29" i="113"/>
  <c r="O43" i="113"/>
  <c r="M48" i="113"/>
  <c r="O41" i="113"/>
  <c r="N37" i="113"/>
  <c r="O27" i="113"/>
  <c r="O29" i="113"/>
  <c r="O50" i="113"/>
  <c r="N32" i="113"/>
  <c r="N46" i="113"/>
  <c r="M43" i="113"/>
  <c r="N43" i="113"/>
  <c r="N39" i="113"/>
  <c r="N33" i="113"/>
  <c r="N44" i="113"/>
  <c r="N40" i="113"/>
  <c r="M34" i="113"/>
  <c r="N50" i="113"/>
  <c r="N42" i="113"/>
  <c r="M52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<sst xmlns="http://schemas.openxmlformats.org/spreadsheetml/2006/main" count="61" uniqueCount="49">
  <si>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</si>
  <si>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</si>
  <si>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</si>
  <si>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</si>
  <si>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</si>
  <si>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</si>
  <si>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</si>
  <si>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</si>
  <si>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</si>
  <si>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</si>
  <si>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</si>
  <si>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</si>
  <si>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</si>
  <si>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</si>
  <si>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</si>
  <si>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</si>
  <si>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</si>
  <si>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</si>
  <si>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</si>
  <si>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</si>
  <si>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</si>
  <si>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</si>
  <si>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</si>
  <si>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</si>
  <si>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</si>
  <si>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</si>
  <si>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</si>
  <si>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</si>
  <si>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</si>
  <si>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</si>
  <si>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</si>
  <si>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</si>
  <si>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</si>
  <si>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</si>
  <si>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</si>
  <si>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</si>
  <si>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</si>
  <si>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</si>
  <si>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</si>
  <si>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</si>
  <si>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</si>
  <si>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</si>
  <si>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</si>
  <si>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</si>
  <si>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</si>
  <si>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</si>
  <si>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</si>
  <si>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</si>
  <si>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rnt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</si>
</sst>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3" borderId="0" xfId="0" applyFill="1" applyAlignment="1">
      <alignment wrapText="1"/>
    </xf>
    <xf numFmtId="0" fontId="0" fillId="4" borderId="0" xfId="0" applyFill="1"/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exercise_PVT!$D$26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exercise_PVT!$D$27:$D$52</c:f>
              <c:numCache>
                <c:formatCode>0</c:formatCode>
                <c:ptCount val="26"/>
                <c:pt idx="0">
                  <c:v>0.2798088954904438</c:v>
                </c:pt>
                <c:pt idx="1">
                  <c:v>1.9427700619597315</c:v>
                </c:pt>
                <c:pt idx="2">
                  <c:v>4.4757056525954209</c:v>
                </c:pt>
                <c:pt idx="3">
                  <c:v>10.311020064035665</c:v>
                </c:pt>
                <c:pt idx="4">
                  <c:v>23.754273183557927</c:v>
                </c:pt>
                <c:pt idx="5">
                  <c:v>38.703979645925592</c:v>
                </c:pt>
                <c:pt idx="6">
                  <c:v>53.488559430003527</c:v>
                </c:pt>
                <c:pt idx="7">
                  <c:v>69.974621365274899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B8-4871-AA5E-7DD7B9C7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 и газа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exercise_PVT!$E$26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exercise_PVT!$E$27:$E$52</c:f>
              <c:numCache>
                <c:formatCode>0.00</c:formatCode>
                <c:ptCount val="26"/>
                <c:pt idx="0">
                  <c:v>1.0342845637326907</c:v>
                </c:pt>
                <c:pt idx="1">
                  <c:v>1.0369866968897452</c:v>
                </c:pt>
                <c:pt idx="2">
                  <c:v>1.0411398217402343</c:v>
                </c:pt>
                <c:pt idx="3">
                  <c:v>1.0508687115856259</c:v>
                </c:pt>
                <c:pt idx="4">
                  <c:v>1.0740377473460598</c:v>
                </c:pt>
                <c:pt idx="5">
                  <c:v>1.1008539317349204</c:v>
                </c:pt>
                <c:pt idx="6">
                  <c:v>1.1322102757286072</c:v>
                </c:pt>
                <c:pt idx="7">
                  <c:v>1.1638405832814809</c:v>
                </c:pt>
                <c:pt idx="8">
                  <c:v>1.1806672063194987</c:v>
                </c:pt>
                <c:pt idx="9">
                  <c:v>1.1755656078867194</c:v>
                </c:pt>
                <c:pt idx="10">
                  <c:v>1.1717538804745498</c:v>
                </c:pt>
                <c:pt idx="11">
                  <c:v>1.1687977504115337</c:v>
                </c:pt>
                <c:pt idx="12">
                  <c:v>1.1664382168802112</c:v>
                </c:pt>
                <c:pt idx="13">
                  <c:v>1.1645112328704794</c:v>
                </c:pt>
                <c:pt idx="14">
                  <c:v>1.1629078448678598</c:v>
                </c:pt>
                <c:pt idx="15">
                  <c:v>1.1615528563960344</c:v>
                </c:pt>
                <c:pt idx="16">
                  <c:v>1.1603926943680387</c:v>
                </c:pt>
                <c:pt idx="17">
                  <c:v>1.1593881579705583</c:v>
                </c:pt>
                <c:pt idx="18">
                  <c:v>1.1585099020034806</c:v>
                </c:pt>
                <c:pt idx="19">
                  <c:v>1.1577355227772113</c:v>
                </c:pt>
                <c:pt idx="20">
                  <c:v>1.1570476202397262</c:v>
                </c:pt>
                <c:pt idx="21">
                  <c:v>1.1564324749673425</c:v>
                </c:pt>
                <c:pt idx="22">
                  <c:v>1.1558791238484611</c:v>
                </c:pt>
                <c:pt idx="23">
                  <c:v>1.1553787009926739</c:v>
                </c:pt>
                <c:pt idx="24">
                  <c:v>1.1549239591296774</c:v>
                </c:pt>
                <c:pt idx="25">
                  <c:v>1.1545089163509799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exercise_PVT!$L$26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exercise_PVT!$L$27:$L$52</c:f>
              <c:numCache>
                <c:formatCode>0.000</c:formatCode>
                <c:ptCount val="26"/>
                <c:pt idx="0">
                  <c:v>1.1902085842258197</c:v>
                </c:pt>
                <c:pt idx="1">
                  <c:v>0.23617172454783733</c:v>
                </c:pt>
                <c:pt idx="2">
                  <c:v>0.11689157086781359</c:v>
                </c:pt>
                <c:pt idx="3">
                  <c:v>5.7196130046353107E-2</c:v>
                </c:pt>
                <c:pt idx="4">
                  <c:v>2.7237620596068997E-2</c:v>
                </c:pt>
                <c:pt idx="5">
                  <c:v>1.7219546908062919E-2</c:v>
                </c:pt>
                <c:pt idx="6">
                  <c:v>1.2607451863384913E-2</c:v>
                </c:pt>
                <c:pt idx="7">
                  <c:v>9.7146413417554898E-3</c:v>
                </c:pt>
                <c:pt idx="8">
                  <c:v>7.9009214283778124E-3</c:v>
                </c:pt>
                <c:pt idx="9">
                  <c:v>6.7011280598054139E-3</c:v>
                </c:pt>
                <c:pt idx="10">
                  <c:v>5.872805873660355E-3</c:v>
                </c:pt>
                <c:pt idx="11">
                  <c:v>5.2788721097086523E-3</c:v>
                </c:pt>
                <c:pt idx="12">
                  <c:v>4.8380394711904119E-3</c:v>
                </c:pt>
                <c:pt idx="13">
                  <c:v>4.5004710014339587E-3</c:v>
                </c:pt>
                <c:pt idx="14">
                  <c:v>4.2347387521946217E-3</c:v>
                </c:pt>
                <c:pt idx="15">
                  <c:v>4.0204873488958954E-3</c:v>
                </c:pt>
                <c:pt idx="16">
                  <c:v>3.8441787358921529E-3</c:v>
                </c:pt>
                <c:pt idx="17">
                  <c:v>3.6965669753428478E-3</c:v>
                </c:pt>
                <c:pt idx="18">
                  <c:v>3.5711693303174009E-3</c:v>
                </c:pt>
                <c:pt idx="19">
                  <c:v>3.4633224745852561E-3</c:v>
                </c:pt>
                <c:pt idx="20">
                  <c:v>3.3695884886969217E-3</c:v>
                </c:pt>
                <c:pt idx="21">
                  <c:v>3.2873735985192989E-3</c:v>
                </c:pt>
                <c:pt idx="22">
                  <c:v>3.2146785773881185E-3</c:v>
                </c:pt>
                <c:pt idx="23">
                  <c:v>3.1499320876366564E-3</c:v>
                </c:pt>
                <c:pt idx="24">
                  <c:v>3.0918772135640235E-3</c:v>
                </c:pt>
                <c:pt idx="25">
                  <c:v>3.0394927286336538E-3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exercise_PVT!$F$26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exercise_PVT!$F$27:$F$52</c:f>
              <c:numCache>
                <c:formatCode>0</c:formatCode>
                <c:ptCount val="26"/>
                <c:pt idx="0">
                  <c:v>3.5908714194028639</c:v>
                </c:pt>
                <c:pt idx="1">
                  <c:v>3.3570865111980623</c:v>
                </c:pt>
                <c:pt idx="2">
                  <c:v>3.0601961110648412</c:v>
                </c:pt>
                <c:pt idx="3">
                  <c:v>2.5590499604436054</c:v>
                </c:pt>
                <c:pt idx="4">
                  <c:v>1.8965472054168762</c:v>
                </c:pt>
                <c:pt idx="5">
                  <c:v>1.5022556041891129</c:v>
                </c:pt>
                <c:pt idx="6">
                  <c:v>1.2534060565552225</c:v>
                </c:pt>
                <c:pt idx="7">
                  <c:v>1.0798118334263502</c:v>
                </c:pt>
                <c:pt idx="8">
                  <c:v>1.0143832116351985</c:v>
                </c:pt>
                <c:pt idx="9">
                  <c:v>1.0516696946026671</c:v>
                </c:pt>
                <c:pt idx="10">
                  <c:v>1.0946410836040579</c:v>
                </c:pt>
                <c:pt idx="11">
                  <c:v>1.1427623596214616</c:v>
                </c:pt>
                <c:pt idx="12">
                  <c:v>1.1956079698529825</c:v>
                </c:pt>
                <c:pt idx="13">
                  <c:v>1.2528187080253694</c:v>
                </c:pt>
                <c:pt idx="14">
                  <c:v>1.3140740183946704</c:v>
                </c:pt>
                <c:pt idx="15">
                  <c:v>1.3790736979594145</c:v>
                </c:pt>
                <c:pt idx="16">
                  <c:v>1.447525646071635</c:v>
                </c:pt>
                <c:pt idx="17">
                  <c:v>1.5191376962112864</c:v>
                </c:pt>
                <c:pt idx="18">
                  <c:v>1.5936123222926795</c:v>
                </c:pt>
                <c:pt idx="19">
                  <c:v>1.6706434440866633</c:v>
                </c:pt>
                <c:pt idx="20">
                  <c:v>1.7499148114006253</c:v>
                </c:pt>
                <c:pt idx="21">
                  <c:v>1.8310996013758258</c:v>
                </c:pt>
                <c:pt idx="22">
                  <c:v>1.9138609593794527</c:v>
                </c:pt>
                <c:pt idx="23">
                  <c:v>1.9978532751006954</c:v>
                </c:pt>
                <c:pt idx="24">
                  <c:v>2.0827240254263466</c:v>
                </c:pt>
                <c:pt idx="25">
                  <c:v>2.168116042785591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exercise_PVT!$H$26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exercise_PVT!$H$27:$H$52</c:f>
              <c:numCache>
                <c:formatCode>0.00</c:formatCode>
                <c:ptCount val="26"/>
                <c:pt idx="0">
                  <c:v>0.35624363932272113</c:v>
                </c:pt>
                <c:pt idx="1">
                  <c:v>0.35709322621362849</c:v>
                </c:pt>
                <c:pt idx="2">
                  <c:v>0.35816596459309391</c:v>
                </c:pt>
                <c:pt idx="3">
                  <c:v>0.36034729057146242</c:v>
                </c:pt>
                <c:pt idx="4">
                  <c:v>0.36485333940594955</c:v>
                </c:pt>
                <c:pt idx="5">
                  <c:v>0.36955058407743696</c:v>
                </c:pt>
                <c:pt idx="6">
                  <c:v>0.35302359180895171</c:v>
                </c:pt>
                <c:pt idx="7">
                  <c:v>0.3578127065913933</c:v>
                </c:pt>
                <c:pt idx="8">
                  <c:v>0.36278208207500345</c:v>
                </c:pt>
                <c:pt idx="9">
                  <c:v>0.36793171825978227</c:v>
                </c:pt>
                <c:pt idx="10">
                  <c:v>0.3732616151457297</c:v>
                </c:pt>
                <c:pt idx="11">
                  <c:v>0.37877177273284574</c:v>
                </c:pt>
                <c:pt idx="12">
                  <c:v>0.38446219102113038</c:v>
                </c:pt>
                <c:pt idx="13">
                  <c:v>0.39033287001058364</c:v>
                </c:pt>
                <c:pt idx="14">
                  <c:v>0.39638380970120551</c:v>
                </c:pt>
                <c:pt idx="15">
                  <c:v>0.40261501009299605</c:v>
                </c:pt>
                <c:pt idx="16">
                  <c:v>0.4090264711859552</c:v>
                </c:pt>
                <c:pt idx="17">
                  <c:v>0.4156181929800829</c:v>
                </c:pt>
                <c:pt idx="18">
                  <c:v>0.42239017547537927</c:v>
                </c:pt>
                <c:pt idx="19">
                  <c:v>0.42934241867184425</c:v>
                </c:pt>
                <c:pt idx="20">
                  <c:v>0.4364749225694779</c:v>
                </c:pt>
                <c:pt idx="21">
                  <c:v>0.4437876871682801</c:v>
                </c:pt>
                <c:pt idx="22">
                  <c:v>0.45128071246825097</c:v>
                </c:pt>
                <c:pt idx="23">
                  <c:v>0.45895399846939039</c:v>
                </c:pt>
                <c:pt idx="24">
                  <c:v>0.46680754517169848</c:v>
                </c:pt>
                <c:pt idx="25">
                  <c:v>0.47484135257517518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exercise_PVT!$G$26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exercise_PVT!$G$27:$G$52</c:f>
              <c:numCache>
                <c:formatCode>0.000</c:formatCode>
                <c:ptCount val="26"/>
                <c:pt idx="0">
                  <c:v>1.1932850448315473E-2</c:v>
                </c:pt>
                <c:pt idx="1">
                  <c:v>1.1981690346822645E-2</c:v>
                </c:pt>
                <c:pt idx="2">
                  <c:v>1.2063588453790939E-2</c:v>
                </c:pt>
                <c:pt idx="3">
                  <c:v>1.2272271360253977E-2</c:v>
                </c:pt>
                <c:pt idx="4">
                  <c:v>1.2840634920625187E-2</c:v>
                </c:pt>
                <c:pt idx="5">
                  <c:v>1.361956860336098E-2</c:v>
                </c:pt>
                <c:pt idx="6">
                  <c:v>1.4696072111725578E-2</c:v>
                </c:pt>
                <c:pt idx="7">
                  <c:v>1.5875949307699977E-2</c:v>
                </c:pt>
                <c:pt idx="8">
                  <c:v>1.7240992045821735E-2</c:v>
                </c:pt>
                <c:pt idx="9">
                  <c:v>1.8739305276369276E-2</c:v>
                </c:pt>
                <c:pt idx="10">
                  <c:v>2.0314190014666292E-2</c:v>
                </c:pt>
                <c:pt idx="11">
                  <c:v>2.1917374342552566E-2</c:v>
                </c:pt>
                <c:pt idx="12">
                  <c:v>2.3514396112959614E-2</c:v>
                </c:pt>
                <c:pt idx="13">
                  <c:v>2.5083831869427847E-2</c:v>
                </c:pt>
                <c:pt idx="14">
                  <c:v>2.6613890827450862E-2</c:v>
                </c:pt>
                <c:pt idx="15">
                  <c:v>2.8098871526802589E-2</c:v>
                </c:pt>
                <c:pt idx="16">
                  <c:v>2.9536501483992422E-2</c:v>
                </c:pt>
                <c:pt idx="17">
                  <c:v>3.092626812710509E-2</c:v>
                </c:pt>
                <c:pt idx="18">
                  <c:v>3.2268505467152347E-2</c:v>
                </c:pt>
                <c:pt idx="19">
                  <c:v>3.3563960430461753E-2</c:v>
                </c:pt>
                <c:pt idx="20">
                  <c:v>3.4813626743034121E-2</c:v>
                </c:pt>
                <c:pt idx="21">
                  <c:v>3.6018709819299714E-2</c:v>
                </c:pt>
                <c:pt idx="22">
                  <c:v>3.7180644022582574E-2</c:v>
                </c:pt>
                <c:pt idx="23">
                  <c:v>3.8301121221605575E-2</c:v>
                </c:pt>
                <c:pt idx="24">
                  <c:v>3.9382111695183519E-2</c:v>
                </c:pt>
                <c:pt idx="25">
                  <c:v>4.0425870556863336E-2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exercise_PVT!$K$26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exercise_PVT!$K$27:$K$52</c:f>
              <c:numCache>
                <c:formatCode>0</c:formatCode>
                <c:ptCount val="26"/>
                <c:pt idx="0">
                  <c:v>831.75704654955371</c:v>
                </c:pt>
                <c:pt idx="1">
                  <c:v>831.15703251822526</c:v>
                </c:pt>
                <c:pt idx="2">
                  <c:v>830.21930160335671</c:v>
                </c:pt>
                <c:pt idx="3">
                  <c:v>827.96030462925341</c:v>
                </c:pt>
                <c:pt idx="4">
                  <c:v>822.33280778176027</c:v>
                </c:pt>
                <c:pt idx="5">
                  <c:v>815.57388829214244</c:v>
                </c:pt>
                <c:pt idx="6">
                  <c:v>805.7492481751533</c:v>
                </c:pt>
                <c:pt idx="7">
                  <c:v>797.69549994548436</c:v>
                </c:pt>
                <c:pt idx="8">
                  <c:v>794.62594961422008</c:v>
                </c:pt>
                <c:pt idx="9">
                  <c:v>798.07438539015709</c:v>
                </c:pt>
                <c:pt idx="10">
                  <c:v>800.67052956551083</c:v>
                </c:pt>
                <c:pt idx="11">
                  <c:v>802.69559012212653</c:v>
                </c:pt>
                <c:pt idx="12">
                  <c:v>804.3193256384435</c:v>
                </c:pt>
                <c:pt idx="13">
                  <c:v>805.65027929133623</c:v>
                </c:pt>
                <c:pt idx="14">
                  <c:v>806.76108957421775</c:v>
                </c:pt>
                <c:pt idx="15">
                  <c:v>807.70220212873562</c:v>
                </c:pt>
                <c:pt idx="16">
                  <c:v>808.5097437733757</c:v>
                </c:pt>
                <c:pt idx="17">
                  <c:v>809.2102662513347</c:v>
                </c:pt>
                <c:pt idx="18">
                  <c:v>809.82372129710234</c:v>
                </c:pt>
                <c:pt idx="19">
                  <c:v>810.36539135418775</c:v>
                </c:pt>
                <c:pt idx="20">
                  <c:v>810.84718000251246</c:v>
                </c:pt>
                <c:pt idx="21">
                  <c:v>811.27849684997329</c:v>
                </c:pt>
                <c:pt idx="22">
                  <c:v>811.6668781734993</c:v>
                </c:pt>
                <c:pt idx="23">
                  <c:v>812.01843100788551</c:v>
                </c:pt>
                <c:pt idx="24">
                  <c:v>812.33815662374536</c:v>
                </c:pt>
                <c:pt idx="25">
                  <c:v>812.63018995583332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exercise_PVT!$J$26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exercise_PVT!$J$27:$J$52</c:f>
              <c:numCache>
                <c:formatCode>0</c:formatCode>
                <c:ptCount val="26"/>
                <c:pt idx="0">
                  <c:v>973.30050235747183</c:v>
                </c:pt>
                <c:pt idx="1">
                  <c:v>973.34091603058414</c:v>
                </c:pt>
                <c:pt idx="2">
                  <c:v>973.39384198608423</c:v>
                </c:pt>
                <c:pt idx="3">
                  <c:v>973.5077268096602</c:v>
                </c:pt>
                <c:pt idx="4">
                  <c:v>973.76765532594959</c:v>
                </c:pt>
                <c:pt idx="5">
                  <c:v>974.07052069509973</c:v>
                </c:pt>
                <c:pt idx="6">
                  <c:v>971.70124991871342</c:v>
                </c:pt>
                <c:pt idx="7">
                  <c:v>972.09537309020902</c:v>
                </c:pt>
                <c:pt idx="8">
                  <c:v>972.53286117907339</c:v>
                </c:pt>
                <c:pt idx="9">
                  <c:v>973.01383088495345</c:v>
                </c:pt>
                <c:pt idx="10">
                  <c:v>973.53841068777274</c:v>
                </c:pt>
                <c:pt idx="11">
                  <c:v>974.10674093385262</c:v>
                </c:pt>
                <c:pt idx="12">
                  <c:v>974.71897393020072</c:v>
                </c:pt>
                <c:pt idx="13">
                  <c:v>975.37527404707998</c:v>
                </c:pt>
                <c:pt idx="14">
                  <c:v>976.07581782899126</c:v>
                </c:pt>
                <c:pt idx="15">
                  <c:v>976.82079411420705</c:v>
                </c:pt>
                <c:pt idx="16">
                  <c:v>977.61040416301159</c:v>
                </c:pt>
                <c:pt idx="17">
                  <c:v>978.4448617948093</c:v>
                </c:pt>
                <c:pt idx="18">
                  <c:v>979.32439353427742</c:v>
                </c:pt>
                <c:pt idx="19">
                  <c:v>980.24923876675155</c:v>
                </c:pt>
                <c:pt idx="20">
                  <c:v>981.21964990304559</c:v>
                </c:pt>
                <c:pt idx="21">
                  <c:v>982.23589255391971</c:v>
                </c:pt>
                <c:pt idx="22">
                  <c:v>983.29824571442282</c:v>
                </c:pt>
                <c:pt idx="23">
                  <c:v>984.4070019583562</c:v>
                </c:pt>
                <c:pt idx="24">
                  <c:v>985.56246764310936</c:v>
                </c:pt>
                <c:pt idx="25">
                  <c:v>986.76496312514394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exercise_PVT!$I$26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exercise_PVT!$I$27:$I$52</c:f>
              <c:numCache>
                <c:formatCode>0</c:formatCode>
                <c:ptCount val="26"/>
                <c:pt idx="0">
                  <c:v>0.82116698951195299</c:v>
                </c:pt>
                <c:pt idx="1">
                  <c:v>4.1383446806395012</c:v>
                </c:pt>
                <c:pt idx="2">
                  <c:v>8.3612530205898601</c:v>
                </c:pt>
                <c:pt idx="3">
                  <c:v>17.087869392700593</c:v>
                </c:pt>
                <c:pt idx="4">
                  <c:v>35.882723182547565</c:v>
                </c:pt>
                <c:pt idx="5">
                  <c:v>56.758752435138632</c:v>
                </c:pt>
                <c:pt idx="6">
                  <c:v>77.522405843046656</c:v>
                </c:pt>
                <c:pt idx="7">
                  <c:v>100.60690514626715</c:v>
                </c:pt>
                <c:pt idx="8">
                  <c:v>123.70202752423371</c:v>
                </c:pt>
                <c:pt idx="9">
                  <c:v>145.85007050714091</c:v>
                </c:pt>
                <c:pt idx="10">
                  <c:v>166.42130201910436</c:v>
                </c:pt>
                <c:pt idx="11">
                  <c:v>185.14561059406719</c:v>
                </c:pt>
                <c:pt idx="12">
                  <c:v>202.01571438595934</c:v>
                </c:pt>
                <c:pt idx="13">
                  <c:v>217.16838075139015</c:v>
                </c:pt>
                <c:pt idx="14">
                  <c:v>230.79581933914827</c:v>
                </c:pt>
                <c:pt idx="15">
                  <c:v>243.09490745404341</c:v>
                </c:pt>
                <c:pt idx="16">
                  <c:v>254.24416166569722</c:v>
                </c:pt>
                <c:pt idx="17">
                  <c:v>264.3966703482634</c:v>
                </c:pt>
                <c:pt idx="18">
                  <c:v>273.68066579837409</c:v>
                </c:pt>
                <c:pt idx="19">
                  <c:v>282.20300222463175</c:v>
                </c:pt>
                <c:pt idx="20">
                  <c:v>290.05322260522149</c:v>
                </c:pt>
                <c:pt idx="21">
                  <c:v>297.3072486924587</c:v>
                </c:pt>
                <c:pt idx="22">
                  <c:v>304.03039572127034</c:v>
                </c:pt>
                <c:pt idx="23">
                  <c:v>310.27970534224994</c:v>
                </c:pt>
                <c:pt idx="24">
                  <c:v>316.10569647214157</c:v>
                </c:pt>
                <c:pt idx="25">
                  <c:v>321.55365623768205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exercise_PVT!$N$26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exercise_PVT!$N$27:$N$52</c:f>
              <c:numCache>
                <c:formatCode>0.000</c:formatCode>
                <c:ptCount val="26"/>
                <c:pt idx="0">
                  <c:v>6.5661875063976624E-2</c:v>
                </c:pt>
                <c:pt idx="1">
                  <c:v>6.2413684458147156E-2</c:v>
                </c:pt>
                <c:pt idx="2">
                  <c:v>5.8578466280318188E-2</c:v>
                </c:pt>
                <c:pt idx="3">
                  <c:v>5.1600552056456757E-2</c:v>
                </c:pt>
                <c:pt idx="4">
                  <c:v>4.0039352970392544E-2</c:v>
                </c:pt>
                <c:pt idx="5">
                  <c:v>3.106846191361785E-2</c:v>
                </c:pt>
                <c:pt idx="6">
                  <c:v>2.4107515583273419E-2</c:v>
                </c:pt>
                <c:pt idx="7">
                  <c:v>1.8706182147466801E-2</c:v>
                </c:pt>
                <c:pt idx="8">
                  <c:v>1.4515027453803352E-2</c:v>
                </c:pt>
                <c:pt idx="9">
                  <c:v>1.1262908717757576E-2</c:v>
                </c:pt>
                <c:pt idx="10">
                  <c:v>8.7394331969589574E-3</c:v>
                </c:pt>
                <c:pt idx="11">
                  <c:v>6.7813470319339365E-3</c:v>
                </c:pt>
                <c:pt idx="12">
                  <c:v>5.2619736922436943E-3</c:v>
                </c:pt>
                <c:pt idx="13">
                  <c:v>4.083018758290629E-3</c:v>
                </c:pt>
                <c:pt idx="14">
                  <c:v>3.1682108569122563E-3</c:v>
                </c:pt>
                <c:pt idx="15">
                  <c:v>2.458367357111765E-3</c:v>
                </c:pt>
                <c:pt idx="16">
                  <c:v>1.9075656057825508E-3</c:v>
                </c:pt>
                <c:pt idx="17">
                  <c:v>1.4801720051472031E-3</c:v>
                </c:pt>
                <c:pt idx="18">
                  <c:v>1.1485367308888457E-3</c:v>
                </c:pt>
                <c:pt idx="19">
                  <c:v>8.9120495294710614E-4</c:v>
                </c:pt>
                <c:pt idx="20">
                  <c:v>6.9152883560179268E-4</c:v>
                </c:pt>
                <c:pt idx="21">
                  <c:v>5.3659052150392835E-4</c:v>
                </c:pt>
                <c:pt idx="22">
                  <c:v>4.1636642312578559E-4</c:v>
                </c:pt>
                <c:pt idx="23">
                  <c:v>3.2307875625658353E-4</c:v>
                </c:pt>
                <c:pt idx="24">
                  <c:v>2.5069236361734056E-4</c:v>
                </c:pt>
                <c:pt idx="25">
                  <c:v>1.945242760750792E-4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exercise_PVT!$O$26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exercise_PVT!$B$27:$B$52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exercise_PVT!$O$27:$O$52</c:f>
              <c:numCache>
                <c:formatCode>0.000</c:formatCode>
                <c:ptCount val="26"/>
                <c:pt idx="0">
                  <c:v>6.4416926551517747E-2</c:v>
                </c:pt>
                <c:pt idx="1">
                  <c:v>6.3826348619054896E-2</c:v>
                </c:pt>
                <c:pt idx="2">
                  <c:v>6.3095734448019331E-2</c:v>
                </c:pt>
                <c:pt idx="3">
                  <c:v>6.1659500186148221E-2</c:v>
                </c:pt>
                <c:pt idx="4">
                  <c:v>5.8884365535558904E-2</c:v>
                </c:pt>
                <c:pt idx="5">
                  <c:v>5.6234132519034911E-2</c:v>
                </c:pt>
                <c:pt idx="6">
                  <c:v>5.3703179637025276E-2</c:v>
                </c:pt>
                <c:pt idx="7">
                  <c:v>5.1286138399136483E-2</c:v>
                </c:pt>
                <c:pt idx="8">
                  <c:v>4.8977881936844617E-2</c:v>
                </c:pt>
                <c:pt idx="9">
                  <c:v>4.6773514128719842E-2</c:v>
                </c:pt>
                <c:pt idx="10">
                  <c:v>4.4668359215096334E-2</c:v>
                </c:pt>
                <c:pt idx="11">
                  <c:v>4.2657951880159285E-2</c:v>
                </c:pt>
                <c:pt idx="12">
                  <c:v>4.073802778041128E-2</c:v>
                </c:pt>
                <c:pt idx="13">
                  <c:v>3.8904514499428069E-2</c:v>
                </c:pt>
                <c:pt idx="14">
                  <c:v>3.7153522909717261E-2</c:v>
                </c:pt>
                <c:pt idx="15">
                  <c:v>3.5481338923357551E-2</c:v>
                </c:pt>
                <c:pt idx="16">
                  <c:v>3.3884415613920256E-2</c:v>
                </c:pt>
                <c:pt idx="17">
                  <c:v>3.2359365692962827E-2</c:v>
                </c:pt>
                <c:pt idx="18">
                  <c:v>3.0902954325135904E-2</c:v>
                </c:pt>
                <c:pt idx="19">
                  <c:v>2.9512092266663854E-2</c:v>
                </c:pt>
                <c:pt idx="20">
                  <c:v>2.8183829312644539E-2</c:v>
                </c:pt>
                <c:pt idx="21">
                  <c:v>2.6915348039269153E-2</c:v>
                </c:pt>
                <c:pt idx="22">
                  <c:v>2.5703957827688646E-2</c:v>
                </c:pt>
                <c:pt idx="23">
                  <c:v>2.4547089156850312E-2</c:v>
                </c:pt>
                <c:pt idx="24">
                  <c:v>2.3442288153199226E-2</c:v>
                </c:pt>
                <c:pt idx="25">
                  <c:v>2.2387211385683402E-2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11134</xdr:colOff>
      <xdr:row>52</xdr:row>
      <xdr:rowOff>78459</xdr:rowOff>
    </xdr:from>
    <xdr:to>
      <xdr:col>6</xdr:col>
      <xdr:colOff>659197</xdr:colOff>
      <xdr:row>75</xdr:row>
      <xdr:rowOff>47941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2414</xdr:colOff>
      <xdr:row>52</xdr:row>
      <xdr:rowOff>78166</xdr:rowOff>
    </xdr:from>
    <xdr:to>
      <xdr:col>13</xdr:col>
      <xdr:colOff>484945</xdr:colOff>
      <xdr:row>75</xdr:row>
      <xdr:rowOff>42056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548409</xdr:colOff>
      <xdr:row>0</xdr:row>
      <xdr:rowOff>7037</xdr:rowOff>
    </xdr:from>
    <xdr:to>
      <xdr:col>14</xdr:col>
      <xdr:colOff>373417</xdr:colOff>
      <xdr:row>19</xdr:row>
      <xdr:rowOff>42497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182529" y="7037"/>
              <a:ext cx="5651823" cy="3572134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r>
                <a:rPr lang="ru-RU" sz="1100" baseline="0"/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PVT_encode_string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endParaRPr lang="ru-RU" sz="1100" baseline="0"/>
            </a:p>
          </xdr:txBody>
        </xdr:sp>
      </mc:Fallback>
    </mc:AlternateContent>
    <xdr:clientData/>
  </xdr:twoCellAnchor>
  <xdr:twoCellAnchor>
    <xdr:from>
      <xdr:col>13</xdr:col>
      <xdr:colOff>531260</xdr:colOff>
      <xdr:row>52</xdr:row>
      <xdr:rowOff>95213</xdr:rowOff>
    </xdr:from>
    <xdr:to>
      <xdr:col>20</xdr:col>
      <xdr:colOff>557490</xdr:colOff>
      <xdr:row>75</xdr:row>
      <xdr:rowOff>78962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37761</xdr:colOff>
      <xdr:row>0</xdr:row>
      <xdr:rowOff>5847</xdr:rowOff>
    </xdr:from>
    <xdr:to>
      <xdr:col>26</xdr:col>
      <xdr:colOff>283165</xdr:colOff>
      <xdr:row>19</xdr:row>
      <xdr:rowOff>57979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439061" y="5847"/>
          <a:ext cx="6951004" cy="386213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упражению: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Можно ли глядя на графические зависимости отпределить параметры нефти? Если да, то какие?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Всегда ли заданное значение давления насыщения совпадает со значением давления насыщения считанным с графиков?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Чему равно значение объемного коэффициента при Р = 1 атма ? Есть ли разница между значением по определению и графическими зависимостями?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Как изменятся построенные зависимости если не вводить значения калибробочных параметров - давления насыщения, объемного коэффициента при давлении насыщения, вязкости при давлении насыщения?</a:t>
          </a: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Как изменяться зависимости при смене набора корреляций для расчета?</a:t>
          </a:r>
          <a:endParaRPr lang="ru-RU">
            <a:effectLst/>
          </a:endParaRPr>
        </a:p>
        <a:p>
          <a:endParaRPr lang="ru-RU" sz="1100" baseline="0"/>
        </a:p>
        <a:p>
          <a:r>
            <a:rPr lang="ru-RU" sz="1100" baseline="0"/>
            <a:t>Дополнительные вопросы и задания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и сравните зависимости </a:t>
          </a:r>
          <a:r>
            <a:rPr lang="en-US" sz="1100" baseline="0"/>
            <a:t>PVT </a:t>
          </a:r>
          <a:r>
            <a:rPr lang="ru-RU" sz="1100" baseline="0"/>
            <a:t>параметров от давления с учетом калибровки и без учета калибровки с использованием различных корреляций.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насколько сильно влияет выбор корреляции в случае наличия и отсутствия калибровки параметров?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Рассмотрите другие функции Унифлок с префиксом </a:t>
          </a:r>
          <a:r>
            <a:rPr lang="en-US" sz="1100" baseline="0"/>
            <a:t>PVT </a:t>
          </a:r>
          <a:r>
            <a:rPr lang="ru-RU" sz="1100" baseline="0"/>
            <a:t>- для чего они предназначены. Постройте зависимости других свойтв нефти, газа и воды от давления и температуры. 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*Проверьте себя, насколько точно вы можете оценить параметры нефти по частично известным данным? Какой минимальный набор данных надо знать? Проверьте коллег попросив их оценить/угадать свойства нефти по частичным данным.</a:t>
          </a:r>
        </a:p>
      </xdr:txBody>
    </xdr:sp>
    <xdr:clientData/>
  </xdr:twoCellAnchor>
  <xdr:twoCellAnchor>
    <xdr:from>
      <xdr:col>21</xdr:col>
      <xdr:colOff>19011</xdr:colOff>
      <xdr:row>52</xdr:row>
      <xdr:rowOff>95079</xdr:rowOff>
    </xdr:from>
    <xdr:to>
      <xdr:col>28</xdr:col>
      <xdr:colOff>418271</xdr:colOff>
      <xdr:row>75</xdr:row>
      <xdr:rowOff>99391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122168</xdr:colOff>
      <xdr:row>33</xdr:row>
      <xdr:rowOff>20707</xdr:rowOff>
    </xdr:from>
    <xdr:to>
      <xdr:col>20</xdr:col>
      <xdr:colOff>284093</xdr:colOff>
      <xdr:row>43</xdr:row>
      <xdr:rowOff>1657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523468" y="6135757"/>
          <a:ext cx="3209925" cy="1600200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21</xdr:col>
      <xdr:colOff>11133</xdr:colOff>
      <xdr:row>29</xdr:row>
      <xdr:rowOff>37045</xdr:rowOff>
    </xdr:from>
    <xdr:to>
      <xdr:col>27</xdr:col>
      <xdr:colOff>485262</xdr:colOff>
      <xdr:row>52</xdr:row>
      <xdr:rowOff>6527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PVT_bg_m3m3"/>
      <definedName name="PVT_bo_m3m3"/>
      <definedName name="PVT_encode_string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V122"/>
  <sheetViews>
    <sheetView tabSelected="1" zoomScale="115" zoomScaleNormal="115" workbookViewId="0">
      <selection activeCell="G5" sqref="G5"/>
    </sheetView>
  </sheetViews>
  <sheetFormatPr defaultRowHeight="12.75" x14ac:dyDescent="0.2"/>
  <cols>
    <col min="1" max="1" width="12.28515625" customWidth="1"/>
    <col min="2" max="2" width="11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10" max="10" width="11.28515625" customWidth="1"/>
    <col min="11" max="11" width="10.140625" customWidth="1"/>
    <col min="22" max="32" width="9.140625" customWidth="1"/>
  </cols>
  <sheetData>
    <row r="1" spans="1:12" x14ac:dyDescent="0.2">
      <c r="A1" s="1" t="s">
        <v>21</v>
      </c>
      <c r="F1" t="s">
        <v>31</v>
      </c>
      <c r="G1" t="str">
        <f>[1]!getUFVersion()</f>
        <v>7.18</v>
      </c>
      <c r="H1" s="23" t="s">
        <v>45</v>
      </c>
      <c r="I1" s="27">
        <v>43934</v>
      </c>
      <c r="J1" s="28"/>
      <c r="K1" s="28"/>
      <c r="L1" s="29"/>
    </row>
    <row r="2" spans="1:12" x14ac:dyDescent="0.2">
      <c r="A2" t="s">
        <v>22</v>
      </c>
      <c r="H2" s="23" t="s">
        <v>46</v>
      </c>
      <c r="I2" s="30">
        <v>7.18</v>
      </c>
      <c r="J2" s="25"/>
      <c r="K2" s="25"/>
      <c r="L2" s="26"/>
    </row>
    <row r="3" spans="1:12" ht="15" x14ac:dyDescent="0.25">
      <c r="A3" s="24" t="s">
        <v>38</v>
      </c>
      <c r="B3" s="45" t="s">
        <v>40</v>
      </c>
      <c r="C3" s="45"/>
      <c r="D3" s="45"/>
      <c r="E3" s="46"/>
      <c r="H3" s="24" t="s">
        <v>38</v>
      </c>
      <c r="I3" s="47" t="s">
        <v>40</v>
      </c>
      <c r="J3" s="47"/>
      <c r="K3" s="47"/>
      <c r="L3" s="47"/>
    </row>
    <row r="4" spans="1:12" ht="15" x14ac:dyDescent="0.25">
      <c r="A4" s="24" t="s">
        <v>42</v>
      </c>
      <c r="B4" s="45" t="s">
        <v>43</v>
      </c>
      <c r="C4" s="45"/>
      <c r="D4" s="45"/>
      <c r="E4" s="46"/>
      <c r="H4" s="24" t="s">
        <v>42</v>
      </c>
      <c r="I4" s="48" t="s">
        <v>43</v>
      </c>
      <c r="J4" s="48"/>
      <c r="K4" s="48"/>
      <c r="L4" s="48"/>
    </row>
    <row r="5" spans="1:12" ht="15" x14ac:dyDescent="0.25">
      <c r="A5" s="24" t="s">
        <v>47</v>
      </c>
      <c r="B5" s="45" t="s">
        <v>41</v>
      </c>
      <c r="C5" s="45"/>
      <c r="D5" s="45"/>
      <c r="E5" s="46"/>
      <c r="H5" s="24" t="s">
        <v>47</v>
      </c>
      <c r="I5" s="48" t="s">
        <v>41</v>
      </c>
      <c r="J5" s="48"/>
      <c r="K5" s="48"/>
      <c r="L5" s="48"/>
    </row>
    <row r="6" spans="1:12" x14ac:dyDescent="0.2">
      <c r="A6" s="31" t="s">
        <v>39</v>
      </c>
      <c r="B6" s="34" t="s">
        <v>44</v>
      </c>
      <c r="C6" s="35"/>
      <c r="D6" s="35"/>
      <c r="E6" s="36"/>
      <c r="H6" s="43" t="s">
        <v>39</v>
      </c>
      <c r="I6" s="44" t="s">
        <v>44</v>
      </c>
      <c r="J6" s="44"/>
      <c r="K6" s="44"/>
      <c r="L6" s="44"/>
    </row>
    <row r="7" spans="1:12" x14ac:dyDescent="0.2">
      <c r="A7" s="32"/>
      <c r="B7" s="37"/>
      <c r="C7" s="38"/>
      <c r="D7" s="38"/>
      <c r="E7" s="39"/>
      <c r="H7" s="43"/>
      <c r="I7" s="44"/>
      <c r="J7" s="44"/>
      <c r="K7" s="44"/>
      <c r="L7" s="44"/>
    </row>
    <row r="8" spans="1:12" x14ac:dyDescent="0.2">
      <c r="A8" s="33"/>
      <c r="B8" s="40"/>
      <c r="C8" s="41"/>
      <c r="D8" s="41"/>
      <c r="E8" s="42"/>
      <c r="H8" s="43"/>
      <c r="I8" s="44"/>
      <c r="J8" s="44"/>
      <c r="K8" s="44"/>
      <c r="L8" s="44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0.86</v>
      </c>
      <c r="D11" s="6"/>
      <c r="E11" s="18">
        <f>gamma_oil_*1000</f>
        <v>860</v>
      </c>
      <c r="F11" s="19" t="s">
        <v>20</v>
      </c>
    </row>
    <row r="12" spans="1:12" ht="18.75" x14ac:dyDescent="0.35">
      <c r="B12" s="4" t="s">
        <v>12</v>
      </c>
      <c r="C12" s="2">
        <v>1</v>
      </c>
      <c r="D12" s="6"/>
      <c r="E12" s="18">
        <f>gamma_wat_*1000</f>
        <v>1000</v>
      </c>
      <c r="F12" s="19" t="s">
        <v>20</v>
      </c>
    </row>
    <row r="13" spans="1:12" ht="18.75" x14ac:dyDescent="0.35">
      <c r="B13" s="4" t="s">
        <v>11</v>
      </c>
      <c r="C13" s="2">
        <v>0.8</v>
      </c>
      <c r="D13" s="6"/>
      <c r="E13" s="18">
        <f>gamma_gas_*1.22</f>
        <v>0.97599999999999998</v>
      </c>
      <c r="F13" s="19" t="s">
        <v>20</v>
      </c>
    </row>
    <row r="14" spans="1:12" ht="18.75" x14ac:dyDescent="0.35">
      <c r="B14" s="7" t="s">
        <v>13</v>
      </c>
      <c r="C14" s="2">
        <v>80</v>
      </c>
      <c r="D14" s="4" t="s">
        <v>14</v>
      </c>
      <c r="E14" s="20">
        <f>Rsb_/gamma_oil_</f>
        <v>93.023255813953483</v>
      </c>
      <c r="F14" s="19" t="s">
        <v>33</v>
      </c>
    </row>
    <row r="15" spans="1:12" ht="18.75" x14ac:dyDescent="0.35">
      <c r="A15" t="s">
        <v>48</v>
      </c>
      <c r="B15" s="7" t="s">
        <v>15</v>
      </c>
      <c r="C15" s="2">
        <v>80</v>
      </c>
      <c r="D15" s="4" t="s">
        <v>14</v>
      </c>
      <c r="E15" s="20">
        <f>Rsb_/gamma_oil_</f>
        <v>93.023255813953483</v>
      </c>
      <c r="F15" s="19" t="s">
        <v>33</v>
      </c>
    </row>
    <row r="16" spans="1:12" ht="18" x14ac:dyDescent="0.35">
      <c r="B16" s="4" t="s">
        <v>17</v>
      </c>
      <c r="C16" s="2">
        <v>120</v>
      </c>
      <c r="D16" s="4" t="s">
        <v>7</v>
      </c>
      <c r="E16" s="20">
        <f>Pb_*1.01325/10</f>
        <v>12.159000000000001</v>
      </c>
      <c r="F16" s="19" t="s">
        <v>8</v>
      </c>
    </row>
    <row r="17" spans="2:22" ht="18" x14ac:dyDescent="0.35">
      <c r="B17" s="4" t="s">
        <v>16</v>
      </c>
      <c r="C17" s="2">
        <v>100</v>
      </c>
      <c r="D17" s="4" t="s">
        <v>3</v>
      </c>
      <c r="E17" s="20">
        <f>Tres_*9/5+32</f>
        <v>212</v>
      </c>
      <c r="F17" s="19" t="s">
        <v>9</v>
      </c>
    </row>
    <row r="18" spans="2:22" ht="18" x14ac:dyDescent="0.35">
      <c r="B18" s="7" t="s">
        <v>18</v>
      </c>
      <c r="C18" s="2">
        <v>1.2</v>
      </c>
      <c r="D18" s="4" t="s">
        <v>2</v>
      </c>
      <c r="E18" s="21"/>
      <c r="F18" s="6"/>
    </row>
    <row r="19" spans="2:22" ht="18" x14ac:dyDescent="0.35">
      <c r="B19" s="8" t="s">
        <v>19</v>
      </c>
      <c r="C19" s="2">
        <v>1</v>
      </c>
      <c r="D19" s="4" t="s">
        <v>6</v>
      </c>
      <c r="E19" s="21"/>
      <c r="F19" s="6"/>
    </row>
    <row r="23" spans="2:22" x14ac:dyDescent="0.2">
      <c r="B23" s="13" t="s">
        <v>32</v>
      </c>
      <c r="C23" s="14" t="str">
        <f>[1]!PVT_encode_string(gamma_gas_,gamma_oil_,gamma_wat_,Rsb_,Rp_,Pb_,Tres_,Bob_,muob_)</f>
        <v>gamma_gas:0.800;gamma_oil:0.860;gamma_wat:1.000;rsb_m3m3:80.000;rp_m3m3:80.000;pb_atma:120.000;tres_C:100.000;bob_m3m3:1.200;muob_cP:1.000;PVTcorr:0;ksep_fr:0.000;p_ksep_atma:-1.000;t_ksep_C:-1.000;gas_only:False;</v>
      </c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</row>
    <row r="26" spans="2:22" ht="15.75" x14ac:dyDescent="0.2">
      <c r="B26" s="9" t="s">
        <v>0</v>
      </c>
      <c r="C26" s="9" t="s">
        <v>4</v>
      </c>
      <c r="D26" s="9" t="s">
        <v>23</v>
      </c>
      <c r="E26" s="9" t="s">
        <v>24</v>
      </c>
      <c r="F26" s="10" t="s">
        <v>25</v>
      </c>
      <c r="G26" s="11" t="s">
        <v>26</v>
      </c>
      <c r="H26" s="11" t="s">
        <v>27</v>
      </c>
      <c r="I26" s="9" t="s">
        <v>28</v>
      </c>
      <c r="J26" s="9" t="s">
        <v>29</v>
      </c>
      <c r="K26" s="9" t="s">
        <v>30</v>
      </c>
      <c r="L26" s="9" t="s">
        <v>34</v>
      </c>
      <c r="M26" s="9" t="s">
        <v>37</v>
      </c>
      <c r="N26" s="9" t="s">
        <v>35</v>
      </c>
      <c r="O26" s="9" t="s">
        <v>36</v>
      </c>
    </row>
    <row r="27" spans="2:22" x14ac:dyDescent="0.2">
      <c r="B27" s="12">
        <v>1</v>
      </c>
      <c r="C27" s="12">
        <v>75</v>
      </c>
      <c r="D27" s="15">
        <f>[1]!PVT_rs_m3m3(B27,C27,gamma_gas_,gamma_oil_,gamma_wat_,Rsb_,Rp_,Pb_,Tres_,Bob_,muob_)</f>
        <v>0.2798088954904438</v>
      </c>
      <c r="E27" s="16">
        <f>[1]!PVT_bo_m3m3(B27,C27,gamma_gas_,gamma_oil_,gamma_wat_,Rsb_,Rp_,Pb_,Tres_,Bob_,muob_)</f>
        <v>1.0342845637326907</v>
      </c>
      <c r="F27" s="15">
        <f>[1]!PVT_mu_oil_cP(B27,C27,gamma_gas_,gamma_oil_,gamma_wat_,Rsb_,Rp_,Pb_,Tres_,Bob_,muob_)</f>
        <v>3.5908714194028639</v>
      </c>
      <c r="G27" s="17">
        <f>[1]!PVT_mu_gas_cP(B27,C27,gamma_gas_,gamma_oil_,gamma_wat_,Rsb_,Rp_,Pb_,Pb_,Bob_,muob_)</f>
        <v>1.1932850448315473E-2</v>
      </c>
      <c r="H27" s="16">
        <f>[1]!PVT_mu_wat_cP(B27,C27,gamma_gas_,gamma_oil_,gamma_wat_,Rsb_,Rp_,Pb_,Tres_,Bob_,muob_)</f>
        <v>0.35624363932272113</v>
      </c>
      <c r="I27" s="15">
        <f>[1]!PVT_rho_gas_kgm3(B27,C27,gamma_gas_,gamma_oil_,gamma_wat_,Rsb_,Rp_,Pb_,Tres_,Bob_,muob_)</f>
        <v>0.82116698951195299</v>
      </c>
      <c r="J27" s="15">
        <f>[1]!PVT_rho_wat_kgm3(B27,C27,gamma_gas_,gamma_oil_,gamma_wat_,Rsb_,Rp_,Pb_,Tres_,Bob_,muob_)</f>
        <v>973.30050235747183</v>
      </c>
      <c r="K27" s="15">
        <f>[1]!PVT_rho_oil_kgm3(B27,C27,gamma_gas_,gamma_oil_,gamma_wat_,Rsb_,Rp_,Pb_,Tres_,Bob_,muob_)</f>
        <v>831.75704654955371</v>
      </c>
      <c r="L27" s="22">
        <f>[1]!PVT_bg_m3m3(B27,C27,gamma_gas_,gamma_oil_,gamma_wat_,Rsb_,Rp_,Pb_,Tres_,Bob_,muob_,0,,,,PVT_str_)</f>
        <v>1.1902085842258197</v>
      </c>
      <c r="M27" s="17" cm="1">
        <f t="array" ref="M27">[1]!PVT_ST_liqgas_Nm(B27,C27,gamma_gas_,gamma_oil_,gamma_wat_,Rsb_,Rp_,Pb_,Tres_,Bob_,muob_,0,,,,PVT_str_)</f>
        <v>6.5661875063976624E-2</v>
      </c>
      <c r="N27" s="17" cm="1">
        <f t="array" ref="N27">[1]!PVT_ST_oilgas_Nm(B27,C27,gamma_gas_,gamma_oil_,gamma_wat_,Rsb_,Rp_,Pb_,Tres_,Bob_,muob_,0,,,,PVT_str_)</f>
        <v>6.5661875063976624E-2</v>
      </c>
      <c r="O27" s="22" cm="1">
        <f t="array" ref="O27">[1]!PVT_ST_watgas_Nm(B27,C27,gamma_gas_,gamma_oil_,gamma_wat_,Rsb_,Rp_,Pb_,Tres_,Bob_,muob_,0,,,,PVT_str_)</f>
        <v>6.4416926551517747E-2</v>
      </c>
    </row>
    <row r="28" spans="2:22" x14ac:dyDescent="0.2">
      <c r="B28" s="12">
        <v>5</v>
      </c>
      <c r="C28" s="12">
        <v>75</v>
      </c>
      <c r="D28" s="15">
        <f>[1]!PVT_rs_m3m3(B28,C28,gamma_gas_,gamma_oil_,gamma_wat_,Rsb_,Rp_,Pb_,Tres_,Bob_,muob_)</f>
        <v>1.9427700619597315</v>
      </c>
      <c r="E28" s="16">
        <f>[1]!PVT_bo_m3m3(B28,C28,gamma_gas_,gamma_oil_,gamma_wat_,Rsb_,Rp_,Pb_,Tres_,Bob_,muob_)</f>
        <v>1.0369866968897452</v>
      </c>
      <c r="F28" s="15">
        <f>[1]!PVT_mu_oil_cP(B28,C28,gamma_gas_,gamma_oil_,gamma_wat_,Rsb_,Rp_,Pb_,Tres_,Bob_,muob_)</f>
        <v>3.3570865111980623</v>
      </c>
      <c r="G28" s="17">
        <f>[1]!PVT_mu_gas_cP(B28,C28,gamma_gas_,gamma_oil_,gamma_wat_,Rsb_,Rp_,Pb_,Pb_,Bob_,muob_)</f>
        <v>1.1981690346822645E-2</v>
      </c>
      <c r="H28" s="16">
        <f>[1]!PVT_mu_wat_cP(B28,C28,gamma_gas_,gamma_oil_,gamma_wat_,Rsb_,Rp_,Pb_,Tres_,Bob_,muob_)</f>
        <v>0.35709322621362849</v>
      </c>
      <c r="I28" s="15">
        <f>[1]!PVT_rho_gas_kgm3(B28,C28,gamma_gas_,gamma_oil_,gamma_wat_,Rsb_,Rp_,Pb_,Tres_,Bob_,muob_)</f>
        <v>4.1383446806395012</v>
      </c>
      <c r="J28" s="15">
        <f>[1]!PVT_rho_wat_kgm3(B28,C28,gamma_gas_,gamma_oil_,gamma_wat_,Rsb_,Rp_,Pb_,Tres_,Bob_,muob_)</f>
        <v>973.34091603058414</v>
      </c>
      <c r="K28" s="15">
        <f>[1]!PVT_rho_oil_kgm3(B28,C28,gamma_gas_,gamma_oil_,gamma_wat_,Rsb_,Rp_,Pb_,Tres_,Bob_,muob_)</f>
        <v>831.15703251822526</v>
      </c>
      <c r="L28" s="22">
        <f>[1]!PVT_bg_m3m3(B28,C28,gamma_gas_,gamma_oil_,gamma_wat_,Rsb_,Rp_,Pb_,Tres_,Bob_,muob_,0,,,,PVT_str_)</f>
        <v>0.23617172454783733</v>
      </c>
      <c r="M28" s="17" cm="1">
        <f t="array" ref="M28">[1]!PVT_ST_liqgas_Nm(B28,C28,gamma_gas_,gamma_oil_,gamma_wat_,Rsb_,Rp_,Pb_,Tres_,Bob_,muob_,0,,,,PVT_str_)</f>
        <v>6.2413684458147156E-2</v>
      </c>
      <c r="N28" s="17" cm="1">
        <f t="array" ref="N28">[1]!PVT_ST_oilgas_Nm(B28,C28,gamma_gas_,gamma_oil_,gamma_wat_,Rsb_,Rp_,Pb_,Tres_,Bob_,muob_,0,,,,PVT_str_)</f>
        <v>6.2413684458147156E-2</v>
      </c>
      <c r="O28" s="22" cm="1">
        <f t="array" ref="O28">[1]!PVT_ST_watgas_Nm(B28,C28,gamma_gas_,gamma_oil_,gamma_wat_,Rsb_,Rp_,Pb_,Tres_,Bob_,muob_,0,,,,PVT_str_)</f>
        <v>6.3826348619054896E-2</v>
      </c>
    </row>
    <row r="29" spans="2:22" x14ac:dyDescent="0.2">
      <c r="B29" s="12">
        <v>10</v>
      </c>
      <c r="C29" s="12">
        <v>75</v>
      </c>
      <c r="D29" s="15">
        <f>[1]!PVT_rs_m3m3(B29,C29,gamma_gas_,gamma_oil_,gamma_wat_,Rsb_,Rp_,Pb_,Tres_,Bob_,muob_)</f>
        <v>4.4757056525954209</v>
      </c>
      <c r="E29" s="16">
        <f>[1]!PVT_bo_m3m3(B29,C29,gamma_gas_,gamma_oil_,gamma_wat_,Rsb_,Rp_,Pb_,Tres_,Bob_,muob_)</f>
        <v>1.0411398217402343</v>
      </c>
      <c r="F29" s="15">
        <f>[1]!PVT_mu_oil_cP(B29,C29,gamma_gas_,gamma_oil_,gamma_wat_,Rsb_,Rp_,Pb_,Tres_,Bob_,muob_)</f>
        <v>3.0601961110648412</v>
      </c>
      <c r="G29" s="17">
        <f>[1]!PVT_mu_gas_cP(B29,C29,gamma_gas_,gamma_oil_,gamma_wat_,Rsb_,Rp_,Pb_,Pb_,Bob_,muob_)</f>
        <v>1.2063588453790939E-2</v>
      </c>
      <c r="H29" s="16">
        <f>[1]!PVT_mu_wat_cP(B29,C29,gamma_gas_,gamma_oil_,gamma_wat_,Rsb_,Rp_,Pb_,Tres_,Bob_,muob_)</f>
        <v>0.35816596459309391</v>
      </c>
      <c r="I29" s="15">
        <f>[1]!PVT_rho_gas_kgm3(B29,C29,gamma_gas_,gamma_oil_,gamma_wat_,Rsb_,Rp_,Pb_,Tres_,Bob_,muob_)</f>
        <v>8.3612530205898601</v>
      </c>
      <c r="J29" s="15">
        <f>[1]!PVT_rho_wat_kgm3(B29,C29,gamma_gas_,gamma_oil_,gamma_wat_,Rsb_,Rp_,Pb_,Tres_,Bob_,muob_)</f>
        <v>973.39384198608423</v>
      </c>
      <c r="K29" s="15">
        <f>[1]!PVT_rho_oil_kgm3(B29,C29,gamma_gas_,gamma_oil_,gamma_wat_,Rsb_,Rp_,Pb_,Tres_,Bob_,muob_)</f>
        <v>830.21930160335671</v>
      </c>
      <c r="L29" s="22">
        <f>[1]!PVT_bg_m3m3(B29,C29,gamma_gas_,gamma_oil_,gamma_wat_,Rsb_,Rp_,Pb_,Tres_,Bob_,muob_,0,,,,PVT_str_)</f>
        <v>0.11689157086781359</v>
      </c>
      <c r="M29" s="17" cm="1">
        <f t="array" ref="M29">[1]!PVT_ST_liqgas_Nm(B29,C29,gamma_gas_,gamma_oil_,gamma_wat_,Rsb_,Rp_,Pb_,Tres_,Bob_,muob_,0,,,,PVT_str_)</f>
        <v>5.8578466280318188E-2</v>
      </c>
      <c r="N29" s="17" cm="1">
        <f t="array" ref="N29">[1]!PVT_ST_oilgas_Nm(B29,C29,gamma_gas_,gamma_oil_,gamma_wat_,Rsb_,Rp_,Pb_,Tres_,Bob_,muob_,0,,,,PVT_str_)</f>
        <v>5.8578466280318188E-2</v>
      </c>
      <c r="O29" s="22" cm="1">
        <f t="array" ref="O29">[1]!PVT_ST_watgas_Nm(B29,C29,gamma_gas_,gamma_oil_,gamma_wat_,Rsb_,Rp_,Pb_,Tres_,Bob_,muob_,0,,,,PVT_str_)</f>
        <v>6.3095734448019331E-2</v>
      </c>
    </row>
    <row r="30" spans="2:22" x14ac:dyDescent="0.2">
      <c r="B30" s="12">
        <v>20</v>
      </c>
      <c r="C30" s="12">
        <v>75</v>
      </c>
      <c r="D30" s="15">
        <f>[1]!PVT_rs_m3m3(B30,C30,gamma_gas_,gamma_oil_,gamma_wat_,Rsb_,Rp_,Pb_,Tres_,Bob_,muob_)</f>
        <v>10.311020064035665</v>
      </c>
      <c r="E30" s="16">
        <f>[1]!PVT_bo_m3m3(B30,C30,gamma_gas_,gamma_oil_,gamma_wat_,Rsb_,Rp_,Pb_,Tres_,Bob_,muob_)</f>
        <v>1.0508687115856259</v>
      </c>
      <c r="F30" s="15">
        <f>[1]!PVT_mu_oil_cP(B30,C30,gamma_gas_,gamma_oil_,gamma_wat_,Rsb_,Rp_,Pb_,Tres_,Bob_,muob_)</f>
        <v>2.5590499604436054</v>
      </c>
      <c r="G30" s="17">
        <f>[1]!PVT_mu_gas_cP(B30,C30,gamma_gas_,gamma_oil_,gamma_wat_,Rsb_,Rp_,Pb_,Pb_,Bob_,muob_)</f>
        <v>1.2272271360253977E-2</v>
      </c>
      <c r="H30" s="16">
        <f>[1]!PVT_mu_wat_cP(B30,C30,gamma_gas_,gamma_oil_,gamma_wat_,Rsb_,Rp_,Pb_,Tres_,Bob_,muob_)</f>
        <v>0.36034729057146242</v>
      </c>
      <c r="I30" s="15">
        <f>[1]!PVT_rho_gas_kgm3(B30,C30,gamma_gas_,gamma_oil_,gamma_wat_,Rsb_,Rp_,Pb_,Tres_,Bob_,muob_)</f>
        <v>17.087869392700593</v>
      </c>
      <c r="J30" s="15">
        <f>[1]!PVT_rho_wat_kgm3(B30,C30,gamma_gas_,gamma_oil_,gamma_wat_,Rsb_,Rp_,Pb_,Tres_,Bob_,muob_)</f>
        <v>973.5077268096602</v>
      </c>
      <c r="K30" s="15">
        <f>[1]!PVT_rho_oil_kgm3(B30,C30,gamma_gas_,gamma_oil_,gamma_wat_,Rsb_,Rp_,Pb_,Tres_,Bob_,muob_)</f>
        <v>827.96030462925341</v>
      </c>
      <c r="L30" s="22">
        <f>[1]!PVT_bg_m3m3(B30,C30,gamma_gas_,gamma_oil_,gamma_wat_,Rsb_,Rp_,Pb_,Tres_,Bob_,muob_,0,,,,PVT_str_)</f>
        <v>5.7196130046353107E-2</v>
      </c>
      <c r="M30" s="17" cm="1">
        <f t="array" ref="M30">[1]!PVT_ST_liqgas_Nm(B30,C30,gamma_gas_,gamma_oil_,gamma_wat_,Rsb_,Rp_,Pb_,Tres_,Bob_,muob_,0,,,,PVT_str_)</f>
        <v>5.1600552056456757E-2</v>
      </c>
      <c r="N30" s="17" cm="1">
        <f t="array" ref="N30">[1]!PVT_ST_oilgas_Nm(B30,C30,gamma_gas_,gamma_oil_,gamma_wat_,Rsb_,Rp_,Pb_,Tres_,Bob_,muob_,0,,,,PVT_str_)</f>
        <v>5.1600552056456757E-2</v>
      </c>
      <c r="O30" s="22" cm="1">
        <f t="array" ref="O30">[1]!PVT_ST_watgas_Nm(B30,C30,gamma_gas_,gamma_oil_,gamma_wat_,Rsb_,Rp_,Pb_,Tres_,Bob_,muob_,0,,,,PVT_str_)</f>
        <v>6.1659500186148221E-2</v>
      </c>
    </row>
    <row r="31" spans="2:22" x14ac:dyDescent="0.2">
      <c r="B31" s="12">
        <v>40</v>
      </c>
      <c r="C31" s="12">
        <v>75</v>
      </c>
      <c r="D31" s="15">
        <f>[1]!PVT_rs_m3m3(B31,C31,gamma_gas_,gamma_oil_,gamma_wat_,Rsb_,Rp_,Pb_,Tres_,Bob_,muob_)</f>
        <v>23.754273183557927</v>
      </c>
      <c r="E31" s="16">
        <f>[1]!PVT_bo_m3m3(B31,C31,gamma_gas_,gamma_oil_,gamma_wat_,Rsb_,Rp_,Pb_,Tres_,Bob_,muob_)</f>
        <v>1.0740377473460598</v>
      </c>
      <c r="F31" s="15">
        <f>[1]!PVT_mu_oil_cP(B31,C31,gamma_gas_,gamma_oil_,gamma_wat_,Rsb_,Rp_,Pb_,Tres_,Bob_,muob_)</f>
        <v>1.8965472054168762</v>
      </c>
      <c r="G31" s="17">
        <f>[1]!PVT_mu_gas_cP(B31,C31,gamma_gas_,gamma_oil_,gamma_wat_,Rsb_,Rp_,Pb_,Pb_,Bob_,muob_)</f>
        <v>1.2840634920625187E-2</v>
      </c>
      <c r="H31" s="16">
        <f>[1]!PVT_mu_wat_cP(B31,C31,gamma_gas_,gamma_oil_,gamma_wat_,Rsb_,Rp_,Pb_,Tres_,Bob_,muob_)</f>
        <v>0.36485333940594955</v>
      </c>
      <c r="I31" s="15">
        <f>[1]!PVT_rho_gas_kgm3(B31,C31,gamma_gas_,gamma_oil_,gamma_wat_,Rsb_,Rp_,Pb_,Tres_,Bob_,muob_)</f>
        <v>35.882723182547565</v>
      </c>
      <c r="J31" s="15">
        <f>[1]!PVT_rho_wat_kgm3(B31,C31,gamma_gas_,gamma_oil_,gamma_wat_,Rsb_,Rp_,Pb_,Tres_,Bob_,muob_)</f>
        <v>973.76765532594959</v>
      </c>
      <c r="K31" s="15">
        <f>[1]!PVT_rho_oil_kgm3(B31,C31,gamma_gas_,gamma_oil_,gamma_wat_,Rsb_,Rp_,Pb_,Tres_,Bob_,muob_)</f>
        <v>822.33280778176027</v>
      </c>
      <c r="L31" s="22">
        <f>[1]!PVT_bg_m3m3(B31,C31,gamma_gas_,gamma_oil_,gamma_wat_,Rsb_,Rp_,Pb_,Tres_,Bob_,muob_,0,,,,PVT_str_)</f>
        <v>2.7237620596068997E-2</v>
      </c>
      <c r="M31" s="17" cm="1">
        <f t="array" ref="M31">[1]!PVT_ST_liqgas_Nm(B31,C31,gamma_gas_,gamma_oil_,gamma_wat_,Rsb_,Rp_,Pb_,Tres_,Bob_,muob_,0,,,,PVT_str_)</f>
        <v>4.0039352970392544E-2</v>
      </c>
      <c r="N31" s="17" cm="1">
        <f t="array" ref="N31">[1]!PVT_ST_oilgas_Nm(B31,C31,gamma_gas_,gamma_oil_,gamma_wat_,Rsb_,Rp_,Pb_,Tres_,Bob_,muob_,0,,,,PVT_str_)</f>
        <v>4.0039352970392544E-2</v>
      </c>
      <c r="O31" s="22" cm="1">
        <f t="array" ref="O31">[1]!PVT_ST_watgas_Nm(B31,C31,gamma_gas_,gamma_oil_,gamma_wat_,Rsb_,Rp_,Pb_,Tres_,Bob_,muob_,0,,,,PVT_str_)</f>
        <v>5.8884365535558904E-2</v>
      </c>
    </row>
    <row r="32" spans="2:22" x14ac:dyDescent="0.2">
      <c r="B32" s="12">
        <v>60</v>
      </c>
      <c r="C32" s="12">
        <v>75</v>
      </c>
      <c r="D32" s="15">
        <f>[1]!PVT_rs_m3m3(B32,C32,gamma_gas_,gamma_oil_,gamma_wat_,Rsb_,Rp_,Pb_,Tres_,Bob_,muob_)</f>
        <v>38.703979645925592</v>
      </c>
      <c r="E32" s="16">
        <f>[1]!PVT_bo_m3m3(B32,C32,gamma_gas_,gamma_oil_,gamma_wat_,Rsb_,Rp_,Pb_,Tres_,Bob_,muob_)</f>
        <v>1.1008539317349204</v>
      </c>
      <c r="F32" s="15">
        <f>[1]!PVT_mu_oil_cP(B32,C32,gamma_gas_,gamma_oil_,gamma_wat_,Rsb_,Rp_,Pb_,Tres_,Bob_,muob_)</f>
        <v>1.5022556041891129</v>
      </c>
      <c r="G32" s="17">
        <f>[1]!PVT_mu_gas_cP(B32,C32,gamma_gas_,gamma_oil_,gamma_wat_,Rsb_,Rp_,Pb_,Pb_,Bob_,muob_)</f>
        <v>1.361956860336098E-2</v>
      </c>
      <c r="H32" s="16">
        <f>[1]!PVT_mu_wat_cP(B32,C32,gamma_gas_,gamma_oil_,gamma_wat_,Rsb_,Rp_,Pb_,Tres_,Bob_,muob_)</f>
        <v>0.36955058407743696</v>
      </c>
      <c r="I32" s="15">
        <f>[1]!PVT_rho_gas_kgm3(B32,C32,gamma_gas_,gamma_oil_,gamma_wat_,Rsb_,Rp_,Pb_,Tres_,Bob_,muob_)</f>
        <v>56.758752435138632</v>
      </c>
      <c r="J32" s="15">
        <f>[1]!PVT_rho_wat_kgm3(B32,C32,gamma_gas_,gamma_oil_,gamma_wat_,Rsb_,Rp_,Pb_,Tres_,Bob_,muob_)</f>
        <v>974.07052069509973</v>
      </c>
      <c r="K32" s="15">
        <f>[1]!PVT_rho_oil_kgm3(B32,C32,gamma_gas_,gamma_oil_,gamma_wat_,Rsb_,Rp_,Pb_,Tres_,Bob_,muob_)</f>
        <v>815.57388829214244</v>
      </c>
      <c r="L32" s="22">
        <f>[1]!PVT_bg_m3m3(B32,C32,gamma_gas_,gamma_oil_,gamma_wat_,Rsb_,Rp_,Pb_,Tres_,Bob_,muob_,0,,,,PVT_str_)</f>
        <v>1.7219546908062919E-2</v>
      </c>
      <c r="M32" s="17" cm="1">
        <f t="array" ref="M32">[1]!PVT_ST_liqgas_Nm(B32,C32,gamma_gas_,gamma_oil_,gamma_wat_,Rsb_,Rp_,Pb_,Tres_,Bob_,muob_,0,,,,PVT_str_)</f>
        <v>3.106846191361785E-2</v>
      </c>
      <c r="N32" s="17" cm="1">
        <f t="array" ref="N32">[1]!PVT_ST_oilgas_Nm(B32,C32,gamma_gas_,gamma_oil_,gamma_wat_,Rsb_,Rp_,Pb_,Tres_,Bob_,muob_,0,,,,PVT_str_)</f>
        <v>3.106846191361785E-2</v>
      </c>
      <c r="O32" s="22" cm="1">
        <f t="array" ref="O32">[1]!PVT_ST_watgas_Nm(B32,C32,gamma_gas_,gamma_oil_,gamma_wat_,Rsb_,Rp_,Pb_,Tres_,Bob_,muob_,0,,,,PVT_str_)</f>
        <v>5.6234132519034911E-2</v>
      </c>
    </row>
    <row r="33" spans="2:15" x14ac:dyDescent="0.2">
      <c r="B33" s="12">
        <v>80</v>
      </c>
      <c r="C33" s="12">
        <v>80</v>
      </c>
      <c r="D33" s="15">
        <f>[1]!PVT_rs_m3m3(B33,C33,gamma_gas_,gamma_oil_,gamma_wat_,Rsb_,Rp_,Pb_,Tres_,Bob_,muob_)</f>
        <v>53.488559430003527</v>
      </c>
      <c r="E33" s="16">
        <f>[1]!PVT_bo_m3m3(B33,C33,gamma_gas_,gamma_oil_,gamma_wat_,Rsb_,Rp_,Pb_,Tres_,Bob_,muob_)</f>
        <v>1.1322102757286072</v>
      </c>
      <c r="F33" s="15">
        <f>[1]!PVT_mu_oil_cP(B33,C33,gamma_gas_,gamma_oil_,gamma_wat_,Rsb_,Rp_,Pb_,Tres_,Bob_,muob_)</f>
        <v>1.2534060565552225</v>
      </c>
      <c r="G33" s="17">
        <f>[1]!PVT_mu_gas_cP(B33,C33,gamma_gas_,gamma_oil_,gamma_wat_,Rsb_,Rp_,Pb_,Pb_,Bob_,muob_)</f>
        <v>1.4696072111725578E-2</v>
      </c>
      <c r="H33" s="16">
        <f>[1]!PVT_mu_wat_cP(B33,C33,gamma_gas_,gamma_oil_,gamma_wat_,Rsb_,Rp_,Pb_,Tres_,Bob_,muob_)</f>
        <v>0.35302359180895171</v>
      </c>
      <c r="I33" s="15">
        <f>[1]!PVT_rho_gas_kgm3(B33,C33,gamma_gas_,gamma_oil_,gamma_wat_,Rsb_,Rp_,Pb_,Tres_,Bob_,muob_)</f>
        <v>77.522405843046656</v>
      </c>
      <c r="J33" s="15">
        <f>[1]!PVT_rho_wat_kgm3(B33,C33,gamma_gas_,gamma_oil_,gamma_wat_,Rsb_,Rp_,Pb_,Tres_,Bob_,muob_)</f>
        <v>971.70124991871342</v>
      </c>
      <c r="K33" s="15">
        <f>[1]!PVT_rho_oil_kgm3(B33,C33,gamma_gas_,gamma_oil_,gamma_wat_,Rsb_,Rp_,Pb_,Tres_,Bob_,muob_)</f>
        <v>805.7492481751533</v>
      </c>
      <c r="L33" s="22">
        <f>[1]!PVT_bg_m3m3(B33,C33,gamma_gas_,gamma_oil_,gamma_wat_,Rsb_,Rp_,Pb_,Tres_,Bob_,muob_,0,,,,PVT_str_)</f>
        <v>1.2607451863384913E-2</v>
      </c>
      <c r="M33" s="17" cm="1">
        <f t="array" ref="M33">[1]!PVT_ST_liqgas_Nm(B33,C33,gamma_gas_,gamma_oil_,gamma_wat_,Rsb_,Rp_,Pb_,Tres_,Bob_,muob_,0,,,,PVT_str_)</f>
        <v>2.4107515583273419E-2</v>
      </c>
      <c r="N33" s="17" cm="1">
        <f t="array" ref="N33">[1]!PVT_ST_oilgas_Nm(B33,C33,gamma_gas_,gamma_oil_,gamma_wat_,Rsb_,Rp_,Pb_,Tres_,Bob_,muob_,0,,,,PVT_str_)</f>
        <v>2.4107515583273419E-2</v>
      </c>
      <c r="O33" s="22" cm="1">
        <f t="array" ref="O33">[1]!PVT_ST_watgas_Nm(B33,C33,gamma_gas_,gamma_oil_,gamma_wat_,Rsb_,Rp_,Pb_,Tres_,Bob_,muob_,0,,,,PVT_str_)</f>
        <v>5.3703179637025276E-2</v>
      </c>
    </row>
    <row r="34" spans="2:15" x14ac:dyDescent="0.2">
      <c r="B34" s="12">
        <v>100</v>
      </c>
      <c r="C34" s="12">
        <v>80</v>
      </c>
      <c r="D34" s="15">
        <f>[1]!PVT_rs_m3m3(B34,C34,gamma_gas_,gamma_oil_,gamma_wat_,Rsb_,Rp_,Pb_,Tres_,Bob_,muob_)</f>
        <v>69.974621365274899</v>
      </c>
      <c r="E34" s="16">
        <f>[1]!PVT_bo_m3m3(B34,C34,gamma_gas_,gamma_oil_,gamma_wat_,Rsb_,Rp_,Pb_,Tres_,Bob_,muob_)</f>
        <v>1.1638405832814809</v>
      </c>
      <c r="F34" s="15">
        <f>[1]!PVT_mu_oil_cP(B34,C34,gamma_gas_,gamma_oil_,gamma_wat_,Rsb_,Rp_,Pb_,Tres_,Bob_,muob_)</f>
        <v>1.0798118334263502</v>
      </c>
      <c r="G34" s="17">
        <f>[1]!PVT_mu_gas_cP(B34,C34,gamma_gas_,gamma_oil_,gamma_wat_,Rsb_,Rp_,Pb_,Pb_,Bob_,muob_)</f>
        <v>1.5875949307699977E-2</v>
      </c>
      <c r="H34" s="16">
        <f>[1]!PVT_mu_wat_cP(B34,C34,gamma_gas_,gamma_oil_,gamma_wat_,Rsb_,Rp_,Pb_,Tres_,Bob_,muob_)</f>
        <v>0.3578127065913933</v>
      </c>
      <c r="I34" s="15">
        <f>[1]!PVT_rho_gas_kgm3(B34,C34,gamma_gas_,gamma_oil_,gamma_wat_,Rsb_,Rp_,Pb_,Tres_,Bob_,muob_)</f>
        <v>100.60690514626715</v>
      </c>
      <c r="J34" s="15">
        <f>[1]!PVT_rho_wat_kgm3(B34,C34,gamma_gas_,gamma_oil_,gamma_wat_,Rsb_,Rp_,Pb_,Tres_,Bob_,muob_)</f>
        <v>972.09537309020902</v>
      </c>
      <c r="K34" s="15">
        <f>[1]!PVT_rho_oil_kgm3(B34,C34,gamma_gas_,gamma_oil_,gamma_wat_,Rsb_,Rp_,Pb_,Tres_,Bob_,muob_)</f>
        <v>797.69549994548436</v>
      </c>
      <c r="L34" s="22">
        <f>[1]!PVT_bg_m3m3(B34,C34,gamma_gas_,gamma_oil_,gamma_wat_,Rsb_,Rp_,Pb_,Tres_,Bob_,muob_,0,,,,PVT_str_)</f>
        <v>9.7146413417554898E-3</v>
      </c>
      <c r="M34" s="17" cm="1">
        <f t="array" ref="M34">[1]!PVT_ST_liqgas_Nm(B34,C34,gamma_gas_,gamma_oil_,gamma_wat_,Rsb_,Rp_,Pb_,Tres_,Bob_,muob_,0,,,,PVT_str_)</f>
        <v>1.8706182147466801E-2</v>
      </c>
      <c r="N34" s="17" cm="1">
        <f t="array" ref="N34">[1]!PVT_ST_oilgas_Nm(B34,C34,gamma_gas_,gamma_oil_,gamma_wat_,Rsb_,Rp_,Pb_,Tres_,Bob_,muob_,0,,,,PVT_str_)</f>
        <v>1.8706182147466801E-2</v>
      </c>
      <c r="O34" s="22" cm="1">
        <f t="array" ref="O34">[1]!PVT_ST_watgas_Nm(B34,C34,gamma_gas_,gamma_oil_,gamma_wat_,Rsb_,Rp_,Pb_,Tres_,Bob_,muob_,0,,,,PVT_str_)</f>
        <v>5.1286138399136483E-2</v>
      </c>
    </row>
    <row r="35" spans="2:15" x14ac:dyDescent="0.2">
      <c r="B35" s="12">
        <v>120</v>
      </c>
      <c r="C35" s="12">
        <v>80</v>
      </c>
      <c r="D35" s="15">
        <f>[1]!PVT_rs_m3m3(B35,C35,gamma_gas_,gamma_oil_,gamma_wat_,Rsb_,Rp_,Pb_,Tres_,Bob_,muob_)</f>
        <v>80</v>
      </c>
      <c r="E35" s="16">
        <f>[1]!PVT_bo_m3m3(B35,C35,gamma_gas_,gamma_oil_,gamma_wat_,Rsb_,Rp_,Pb_,Tres_,Bob_,muob_)</f>
        <v>1.1806672063194987</v>
      </c>
      <c r="F35" s="15">
        <f>[1]!PVT_mu_oil_cP(B35,C35,gamma_gas_,gamma_oil_,gamma_wat_,Rsb_,Rp_,Pb_,Tres_,Bob_,muob_)</f>
        <v>1.0143832116351985</v>
      </c>
      <c r="G35" s="17">
        <f>[1]!PVT_mu_gas_cP(B35,C35,gamma_gas_,gamma_oil_,gamma_wat_,Rsb_,Rp_,Pb_,Pb_,Bob_,muob_)</f>
        <v>1.7240992045821735E-2</v>
      </c>
      <c r="H35" s="16">
        <f>[1]!PVT_mu_wat_cP(B35,C35,gamma_gas_,gamma_oil_,gamma_wat_,Rsb_,Rp_,Pb_,Tres_,Bob_,muob_)</f>
        <v>0.36278208207500345</v>
      </c>
      <c r="I35" s="15">
        <f>[1]!PVT_rho_gas_kgm3(B35,C35,gamma_gas_,gamma_oil_,gamma_wat_,Rsb_,Rp_,Pb_,Tres_,Bob_,muob_)</f>
        <v>123.70202752423371</v>
      </c>
      <c r="J35" s="15">
        <f>[1]!PVT_rho_wat_kgm3(B35,C35,gamma_gas_,gamma_oil_,gamma_wat_,Rsb_,Rp_,Pb_,Tres_,Bob_,muob_)</f>
        <v>972.53286117907339</v>
      </c>
      <c r="K35" s="15">
        <f>[1]!PVT_rho_oil_kgm3(B35,C35,gamma_gas_,gamma_oil_,gamma_wat_,Rsb_,Rp_,Pb_,Tres_,Bob_,muob_)</f>
        <v>794.62594961422008</v>
      </c>
      <c r="L35" s="22">
        <f>[1]!PVT_bg_m3m3(B35,C35,gamma_gas_,gamma_oil_,gamma_wat_,Rsb_,Rp_,Pb_,Tres_,Bob_,muob_,0,,,,PVT_str_)</f>
        <v>7.9009214283778124E-3</v>
      </c>
      <c r="M35" s="17" cm="1">
        <f t="array" ref="M35">[1]!PVT_ST_liqgas_Nm(B35,C35,gamma_gas_,gamma_oil_,gamma_wat_,Rsb_,Rp_,Pb_,Tres_,Bob_,muob_,0,,,,PVT_str_)</f>
        <v>1.4515027453803352E-2</v>
      </c>
      <c r="N35" s="17" cm="1">
        <f t="array" ref="N35">[1]!PVT_ST_oilgas_Nm(B35,C35,gamma_gas_,gamma_oil_,gamma_wat_,Rsb_,Rp_,Pb_,Tres_,Bob_,muob_,0,,,,PVT_str_)</f>
        <v>1.4515027453803352E-2</v>
      </c>
      <c r="O35" s="22" cm="1">
        <f t="array" ref="O35">[1]!PVT_ST_watgas_Nm(B35,C35,gamma_gas_,gamma_oil_,gamma_wat_,Rsb_,Rp_,Pb_,Tres_,Bob_,muob_,0,,,,PVT_str_)</f>
        <v>4.8977881936844617E-2</v>
      </c>
    </row>
    <row r="36" spans="2:15" x14ac:dyDescent="0.2">
      <c r="B36" s="12">
        <v>140</v>
      </c>
      <c r="C36" s="12">
        <v>80</v>
      </c>
      <c r="D36" s="15">
        <f>[1]!PVT_rs_m3m3(B36,C36,gamma_gas_,gamma_oil_,gamma_wat_,Rsb_,Rp_,Pb_,Tres_,Bob_,muob_)</f>
        <v>80</v>
      </c>
      <c r="E36" s="16">
        <f>[1]!PVT_bo_m3m3(B36,C36,gamma_gas_,gamma_oil_,gamma_wat_,Rsb_,Rp_,Pb_,Tres_,Bob_,muob_)</f>
        <v>1.1755656078867194</v>
      </c>
      <c r="F36" s="15">
        <f>[1]!PVT_mu_oil_cP(B36,C36,gamma_gas_,gamma_oil_,gamma_wat_,Rsb_,Rp_,Pb_,Tres_,Bob_,muob_)</f>
        <v>1.0516696946026671</v>
      </c>
      <c r="G36" s="17">
        <f>[1]!PVT_mu_gas_cP(B36,C36,gamma_gas_,gamma_oil_,gamma_wat_,Rsb_,Rp_,Pb_,Pb_,Bob_,muob_)</f>
        <v>1.8739305276369276E-2</v>
      </c>
      <c r="H36" s="16">
        <f>[1]!PVT_mu_wat_cP(B36,C36,gamma_gas_,gamma_oil_,gamma_wat_,Rsb_,Rp_,Pb_,Tres_,Bob_,muob_)</f>
        <v>0.36793171825978227</v>
      </c>
      <c r="I36" s="15">
        <f>[1]!PVT_rho_gas_kgm3(B36,C36,gamma_gas_,gamma_oil_,gamma_wat_,Rsb_,Rp_,Pb_,Tres_,Bob_,muob_)</f>
        <v>145.85007050714091</v>
      </c>
      <c r="J36" s="15">
        <f>[1]!PVT_rho_wat_kgm3(B36,C36,gamma_gas_,gamma_oil_,gamma_wat_,Rsb_,Rp_,Pb_,Tres_,Bob_,muob_)</f>
        <v>973.01383088495345</v>
      </c>
      <c r="K36" s="15">
        <f>[1]!PVT_rho_oil_kgm3(B36,C36,gamma_gas_,gamma_oil_,gamma_wat_,Rsb_,Rp_,Pb_,Tres_,Bob_,muob_)</f>
        <v>798.07438539015709</v>
      </c>
      <c r="L36" s="22">
        <f>[1]!PVT_bg_m3m3(B36,C36,gamma_gas_,gamma_oil_,gamma_wat_,Rsb_,Rp_,Pb_,Tres_,Bob_,muob_,0,,,,PVT_str_)</f>
        <v>6.7011280598054139E-3</v>
      </c>
      <c r="M36" s="17" cm="1">
        <f t="array" ref="M36">[1]!PVT_ST_liqgas_Nm(B36,C36,gamma_gas_,gamma_oil_,gamma_wat_,Rsb_,Rp_,Pb_,Tres_,Bob_,muob_,0,,,,PVT_str_)</f>
        <v>1.1262908717757576E-2</v>
      </c>
      <c r="N36" s="17" cm="1">
        <f t="array" ref="N36">[1]!PVT_ST_oilgas_Nm(B36,C36,gamma_gas_,gamma_oil_,gamma_wat_,Rsb_,Rp_,Pb_,Tres_,Bob_,muob_,0,,,,PVT_str_)</f>
        <v>1.1262908717757576E-2</v>
      </c>
      <c r="O36" s="22" cm="1">
        <f t="array" ref="O36">[1]!PVT_ST_watgas_Nm(B36,C36,gamma_gas_,gamma_oil_,gamma_wat_,Rsb_,Rp_,Pb_,Tres_,Bob_,muob_,0,,,,PVT_str_)</f>
        <v>4.6773514128719842E-2</v>
      </c>
    </row>
    <row r="37" spans="2:15" x14ac:dyDescent="0.2">
      <c r="B37" s="12">
        <v>160</v>
      </c>
      <c r="C37" s="12">
        <v>80</v>
      </c>
      <c r="D37" s="15">
        <f>[1]!PVT_rs_m3m3(B37,C37,gamma_gas_,gamma_oil_,gamma_wat_,Rsb_,Rp_,Pb_,Tres_,Bob_,muob_)</f>
        <v>80</v>
      </c>
      <c r="E37" s="16">
        <f>[1]!PVT_bo_m3m3(B37,C37,gamma_gas_,gamma_oil_,gamma_wat_,Rsb_,Rp_,Pb_,Tres_,Bob_,muob_)</f>
        <v>1.1717538804745498</v>
      </c>
      <c r="F37" s="15">
        <f>[1]!PVT_mu_oil_cP(B37,C37,gamma_gas_,gamma_oil_,gamma_wat_,Rsb_,Rp_,Pb_,Tres_,Bob_,muob_)</f>
        <v>1.0946410836040579</v>
      </c>
      <c r="G37" s="17">
        <f>[1]!PVT_mu_gas_cP(B37,C37,gamma_gas_,gamma_oil_,gamma_wat_,Rsb_,Rp_,Pb_,Pb_,Bob_,muob_)</f>
        <v>2.0314190014666292E-2</v>
      </c>
      <c r="H37" s="16">
        <f>[1]!PVT_mu_wat_cP(B37,C37,gamma_gas_,gamma_oil_,gamma_wat_,Rsb_,Rp_,Pb_,Tres_,Bob_,muob_)</f>
        <v>0.3732616151457297</v>
      </c>
      <c r="I37" s="15">
        <f>[1]!PVT_rho_gas_kgm3(B37,C37,gamma_gas_,gamma_oil_,gamma_wat_,Rsb_,Rp_,Pb_,Tres_,Bob_,muob_)</f>
        <v>166.42130201910436</v>
      </c>
      <c r="J37" s="15">
        <f>[1]!PVT_rho_wat_kgm3(B37,C37,gamma_gas_,gamma_oil_,gamma_wat_,Rsb_,Rp_,Pb_,Tres_,Bob_,muob_)</f>
        <v>973.53841068777274</v>
      </c>
      <c r="K37" s="15">
        <f>[1]!PVT_rho_oil_kgm3(B37,C37,gamma_gas_,gamma_oil_,gamma_wat_,Rsb_,Rp_,Pb_,Tres_,Bob_,muob_)</f>
        <v>800.67052956551083</v>
      </c>
      <c r="L37" s="22">
        <f>[1]!PVT_bg_m3m3(B37,C37,gamma_gas_,gamma_oil_,gamma_wat_,Rsb_,Rp_,Pb_,Tres_,Bob_,muob_,0,,,,PVT_str_)</f>
        <v>5.872805873660355E-3</v>
      </c>
      <c r="M37" s="17" cm="1">
        <f t="array" ref="M37">[1]!PVT_ST_liqgas_Nm(B37,C37,gamma_gas_,gamma_oil_,gamma_wat_,Rsb_,Rp_,Pb_,Tres_,Bob_,muob_,0,,,,PVT_str_)</f>
        <v>8.7394331969589574E-3</v>
      </c>
      <c r="N37" s="17" cm="1">
        <f t="array" ref="N37">[1]!PVT_ST_oilgas_Nm(B37,C37,gamma_gas_,gamma_oil_,gamma_wat_,Rsb_,Rp_,Pb_,Tres_,Bob_,muob_,0,,,,PVT_str_)</f>
        <v>8.7394331969589574E-3</v>
      </c>
      <c r="O37" s="22" cm="1">
        <f t="array" ref="O37">[1]!PVT_ST_watgas_Nm(B37,C37,gamma_gas_,gamma_oil_,gamma_wat_,Rsb_,Rp_,Pb_,Tres_,Bob_,muob_,0,,,,PVT_str_)</f>
        <v>4.4668359215096334E-2</v>
      </c>
    </row>
    <row r="38" spans="2:15" x14ac:dyDescent="0.2">
      <c r="B38" s="12">
        <v>180</v>
      </c>
      <c r="C38" s="12">
        <v>80</v>
      </c>
      <c r="D38" s="15">
        <f>[1]!PVT_rs_m3m3(B38,C38,gamma_gas_,gamma_oil_,gamma_wat_,Rsb_,Rp_,Pb_,Tres_,Bob_,muob_)</f>
        <v>80</v>
      </c>
      <c r="E38" s="16">
        <f>[1]!PVT_bo_m3m3(B38,C38,gamma_gas_,gamma_oil_,gamma_wat_,Rsb_,Rp_,Pb_,Tres_,Bob_,muob_)</f>
        <v>1.1687977504115337</v>
      </c>
      <c r="F38" s="15">
        <f>[1]!PVT_mu_oil_cP(B38,C38,gamma_gas_,gamma_oil_,gamma_wat_,Rsb_,Rp_,Pb_,Tres_,Bob_,muob_)</f>
        <v>1.1427623596214616</v>
      </c>
      <c r="G38" s="17">
        <f>[1]!PVT_mu_gas_cP(B38,C38,gamma_gas_,gamma_oil_,gamma_wat_,Rsb_,Rp_,Pb_,Pb_,Bob_,muob_)</f>
        <v>2.1917374342552566E-2</v>
      </c>
      <c r="H38" s="16">
        <f>[1]!PVT_mu_wat_cP(B38,C38,gamma_gas_,gamma_oil_,gamma_wat_,Rsb_,Rp_,Pb_,Tres_,Bob_,muob_)</f>
        <v>0.37877177273284574</v>
      </c>
      <c r="I38" s="15">
        <f>[1]!PVT_rho_gas_kgm3(B38,C38,gamma_gas_,gamma_oil_,gamma_wat_,Rsb_,Rp_,Pb_,Tres_,Bob_,muob_)</f>
        <v>185.14561059406719</v>
      </c>
      <c r="J38" s="15">
        <f>[1]!PVT_rho_wat_kgm3(B38,C38,gamma_gas_,gamma_oil_,gamma_wat_,Rsb_,Rp_,Pb_,Tres_,Bob_,muob_)</f>
        <v>974.10674093385262</v>
      </c>
      <c r="K38" s="15">
        <f>[1]!PVT_rho_oil_kgm3(B38,C38,gamma_gas_,gamma_oil_,gamma_wat_,Rsb_,Rp_,Pb_,Tres_,Bob_,muob_)</f>
        <v>802.69559012212653</v>
      </c>
      <c r="L38" s="22">
        <f>[1]!PVT_bg_m3m3(B38,C38,gamma_gas_,gamma_oil_,gamma_wat_,Rsb_,Rp_,Pb_,Tres_,Bob_,muob_,0,,,,PVT_str_)</f>
        <v>5.2788721097086523E-3</v>
      </c>
      <c r="M38" s="17" cm="1">
        <f t="array" ref="M38">[1]!PVT_ST_liqgas_Nm(B38,C38,gamma_gas_,gamma_oil_,gamma_wat_,Rsb_,Rp_,Pb_,Tres_,Bob_,muob_,0,,,,PVT_str_)</f>
        <v>6.7813470319339365E-3</v>
      </c>
      <c r="N38" s="17" cm="1">
        <f t="array" ref="N38">[1]!PVT_ST_oilgas_Nm(B38,C38,gamma_gas_,gamma_oil_,gamma_wat_,Rsb_,Rp_,Pb_,Tres_,Bob_,muob_,0,,,,PVT_str_)</f>
        <v>6.7813470319339365E-3</v>
      </c>
      <c r="O38" s="22" cm="1">
        <f t="array" ref="O38">[1]!PVT_ST_watgas_Nm(B38,C38,gamma_gas_,gamma_oil_,gamma_wat_,Rsb_,Rp_,Pb_,Tres_,Bob_,muob_,0,,,,PVT_str_)</f>
        <v>4.2657951880159285E-2</v>
      </c>
    </row>
    <row r="39" spans="2:15" x14ac:dyDescent="0.2">
      <c r="B39" s="12">
        <v>200</v>
      </c>
      <c r="C39" s="12">
        <v>80</v>
      </c>
      <c r="D39" s="15">
        <f>[1]!PVT_rs_m3m3(B39,C39,gamma_gas_,gamma_oil_,gamma_wat_,Rsb_,Rp_,Pb_,Tres_,Bob_,muob_)</f>
        <v>80</v>
      </c>
      <c r="E39" s="16">
        <f>[1]!PVT_bo_m3m3(B39,C39,gamma_gas_,gamma_oil_,gamma_wat_,Rsb_,Rp_,Pb_,Tres_,Bob_,muob_)</f>
        <v>1.1664382168802112</v>
      </c>
      <c r="F39" s="15">
        <f>[1]!PVT_mu_oil_cP(B39,C39,gamma_gas_,gamma_oil_,gamma_wat_,Rsb_,Rp_,Pb_,Tres_,Bob_,muob_)</f>
        <v>1.1956079698529825</v>
      </c>
      <c r="G39" s="17">
        <f>[1]!PVT_mu_gas_cP(B39,C39,gamma_gas_,gamma_oil_,gamma_wat_,Rsb_,Rp_,Pb_,Pb_,Bob_,muob_)</f>
        <v>2.3514396112959614E-2</v>
      </c>
      <c r="H39" s="16">
        <f>[1]!PVT_mu_wat_cP(B39,C39,gamma_gas_,gamma_oil_,gamma_wat_,Rsb_,Rp_,Pb_,Tres_,Bob_,muob_)</f>
        <v>0.38446219102113038</v>
      </c>
      <c r="I39" s="15">
        <f>[1]!PVT_rho_gas_kgm3(B39,C39,gamma_gas_,gamma_oil_,gamma_wat_,Rsb_,Rp_,Pb_,Tres_,Bob_,muob_)</f>
        <v>202.01571438595934</v>
      </c>
      <c r="J39" s="15">
        <f>[1]!PVT_rho_wat_kgm3(B39,C39,gamma_gas_,gamma_oil_,gamma_wat_,Rsb_,Rp_,Pb_,Tres_,Bob_,muob_)</f>
        <v>974.71897393020072</v>
      </c>
      <c r="K39" s="15">
        <f>[1]!PVT_rho_oil_kgm3(B39,C39,gamma_gas_,gamma_oil_,gamma_wat_,Rsb_,Rp_,Pb_,Tres_,Bob_,muob_)</f>
        <v>804.3193256384435</v>
      </c>
      <c r="L39" s="22">
        <f>[1]!PVT_bg_m3m3(B39,C39,gamma_gas_,gamma_oil_,gamma_wat_,Rsb_,Rp_,Pb_,Tres_,Bob_,muob_,0,,,,PVT_str_)</f>
        <v>4.8380394711904119E-3</v>
      </c>
      <c r="M39" s="17" cm="1">
        <f t="array" ref="M39">[1]!PVT_ST_liqgas_Nm(B39,C39,gamma_gas_,gamma_oil_,gamma_wat_,Rsb_,Rp_,Pb_,Tres_,Bob_,muob_,0,,,,PVT_str_)</f>
        <v>5.2619736922436943E-3</v>
      </c>
      <c r="N39" s="17" cm="1">
        <f t="array" ref="N39">[1]!PVT_ST_oilgas_Nm(B39,C39,gamma_gas_,gamma_oil_,gamma_wat_,Rsb_,Rp_,Pb_,Tres_,Bob_,muob_,0,,,,PVT_str_)</f>
        <v>5.2619736922436943E-3</v>
      </c>
      <c r="O39" s="22" cm="1">
        <f t="array" ref="O39">[1]!PVT_ST_watgas_Nm(B39,C39,gamma_gas_,gamma_oil_,gamma_wat_,Rsb_,Rp_,Pb_,Tres_,Bob_,muob_,0,,,,PVT_str_)</f>
        <v>4.073802778041128E-2</v>
      </c>
    </row>
    <row r="40" spans="2:15" x14ac:dyDescent="0.2">
      <c r="B40" s="12">
        <v>220</v>
      </c>
      <c r="C40" s="12">
        <v>80</v>
      </c>
      <c r="D40" s="15">
        <f>[1]!PVT_rs_m3m3(B40,C40,gamma_gas_,gamma_oil_,gamma_wat_,Rsb_,Rp_,Pb_,Tres_,Bob_,muob_)</f>
        <v>80</v>
      </c>
      <c r="E40" s="16">
        <f>[1]!PVT_bo_m3m3(B40,C40,gamma_gas_,gamma_oil_,gamma_wat_,Rsb_,Rp_,Pb_,Tres_,Bob_,muob_)</f>
        <v>1.1645112328704794</v>
      </c>
      <c r="F40" s="15">
        <f>[1]!PVT_mu_oil_cP(B40,C40,gamma_gas_,gamma_oil_,gamma_wat_,Rsb_,Rp_,Pb_,Tres_,Bob_,muob_)</f>
        <v>1.2528187080253694</v>
      </c>
      <c r="G40" s="17">
        <f>[1]!PVT_mu_gas_cP(B40,C40,gamma_gas_,gamma_oil_,gamma_wat_,Rsb_,Rp_,Pb_,Pb_,Bob_,muob_)</f>
        <v>2.5083831869427847E-2</v>
      </c>
      <c r="H40" s="16">
        <f>[1]!PVT_mu_wat_cP(B40,C40,gamma_gas_,gamma_oil_,gamma_wat_,Rsb_,Rp_,Pb_,Tres_,Bob_,muob_)</f>
        <v>0.39033287001058364</v>
      </c>
      <c r="I40" s="15">
        <f>[1]!PVT_rho_gas_kgm3(B40,C40,gamma_gas_,gamma_oil_,gamma_wat_,Rsb_,Rp_,Pb_,Tres_,Bob_,muob_)</f>
        <v>217.16838075139015</v>
      </c>
      <c r="J40" s="15">
        <f>[1]!PVT_rho_wat_kgm3(B40,C40,gamma_gas_,gamma_oil_,gamma_wat_,Rsb_,Rp_,Pb_,Tres_,Bob_,muob_)</f>
        <v>975.37527404707998</v>
      </c>
      <c r="K40" s="15">
        <f>[1]!PVT_rho_oil_kgm3(B40,C40,gamma_gas_,gamma_oil_,gamma_wat_,Rsb_,Rp_,Pb_,Tres_,Bob_,muob_)</f>
        <v>805.65027929133623</v>
      </c>
      <c r="L40" s="22">
        <f>[1]!PVT_bg_m3m3(B40,C40,gamma_gas_,gamma_oil_,gamma_wat_,Rsb_,Rp_,Pb_,Tres_,Bob_,muob_,0,,,,PVT_str_)</f>
        <v>4.5004710014339587E-3</v>
      </c>
      <c r="M40" s="17" cm="1">
        <f t="array" ref="M40">[1]!PVT_ST_liqgas_Nm(B40,C40,gamma_gas_,gamma_oil_,gamma_wat_,Rsb_,Rp_,Pb_,Tres_,Bob_,muob_,0,,,,PVT_str_)</f>
        <v>4.083018758290629E-3</v>
      </c>
      <c r="N40" s="17" cm="1">
        <f t="array" ref="N40">[1]!PVT_ST_oilgas_Nm(B40,C40,gamma_gas_,gamma_oil_,gamma_wat_,Rsb_,Rp_,Pb_,Tres_,Bob_,muob_,0,,,,PVT_str_)</f>
        <v>4.083018758290629E-3</v>
      </c>
      <c r="O40" s="22" cm="1">
        <f t="array" ref="O40">[1]!PVT_ST_watgas_Nm(B40,C40,gamma_gas_,gamma_oil_,gamma_wat_,Rsb_,Rp_,Pb_,Tres_,Bob_,muob_,0,,,,PVT_str_)</f>
        <v>3.8904514499428069E-2</v>
      </c>
    </row>
    <row r="41" spans="2:15" x14ac:dyDescent="0.2">
      <c r="B41" s="12">
        <v>240</v>
      </c>
      <c r="C41" s="12">
        <v>80</v>
      </c>
      <c r="D41" s="15">
        <f>[1]!PVT_rs_m3m3(B41,C41,gamma_gas_,gamma_oil_,gamma_wat_,Rsb_,Rp_,Pb_,Tres_,Bob_,muob_)</f>
        <v>80</v>
      </c>
      <c r="E41" s="16">
        <f>[1]!PVT_bo_m3m3(B41,C41,gamma_gas_,gamma_oil_,gamma_wat_,Rsb_,Rp_,Pb_,Tres_,Bob_,muob_)</f>
        <v>1.1629078448678598</v>
      </c>
      <c r="F41" s="15">
        <f>[1]!PVT_mu_oil_cP(B41,C41,gamma_gas_,gamma_oil_,gamma_wat_,Rsb_,Rp_,Pb_,Tres_,Bob_,muob_)</f>
        <v>1.3140740183946704</v>
      </c>
      <c r="G41" s="17">
        <f>[1]!PVT_mu_gas_cP(B41,C41,gamma_gas_,gamma_oil_,gamma_wat_,Rsb_,Rp_,Pb_,Pb_,Bob_,muob_)</f>
        <v>2.6613890827450862E-2</v>
      </c>
      <c r="H41" s="16">
        <f>[1]!PVT_mu_wat_cP(B41,C41,gamma_gas_,gamma_oil_,gamma_wat_,Rsb_,Rp_,Pb_,Tres_,Bob_,muob_)</f>
        <v>0.39638380970120551</v>
      </c>
      <c r="I41" s="15">
        <f>[1]!PVT_rho_gas_kgm3(B41,C41,gamma_gas_,gamma_oil_,gamma_wat_,Rsb_,Rp_,Pb_,Tres_,Bob_,muob_)</f>
        <v>230.79581933914827</v>
      </c>
      <c r="J41" s="15">
        <f>[1]!PVT_rho_wat_kgm3(B41,C41,gamma_gas_,gamma_oil_,gamma_wat_,Rsb_,Rp_,Pb_,Tres_,Bob_,muob_)</f>
        <v>976.07581782899126</v>
      </c>
      <c r="K41" s="15">
        <f>[1]!PVT_rho_oil_kgm3(B41,C41,gamma_gas_,gamma_oil_,gamma_wat_,Rsb_,Rp_,Pb_,Tres_,Bob_,muob_)</f>
        <v>806.76108957421775</v>
      </c>
      <c r="L41" s="22">
        <f>[1]!PVT_bg_m3m3(B41,C41,gamma_gas_,gamma_oil_,gamma_wat_,Rsb_,Rp_,Pb_,Tres_,Bob_,muob_,0,,,,PVT_str_)</f>
        <v>4.2347387521946217E-3</v>
      </c>
      <c r="M41" s="17" cm="1">
        <f t="array" ref="M41">[1]!PVT_ST_liqgas_Nm(B41,C41,gamma_gas_,gamma_oil_,gamma_wat_,Rsb_,Rp_,Pb_,Tres_,Bob_,muob_,0,,,,PVT_str_)</f>
        <v>3.1682108569122563E-3</v>
      </c>
      <c r="N41" s="17" cm="1">
        <f t="array" ref="N41">[1]!PVT_ST_oilgas_Nm(B41,C41,gamma_gas_,gamma_oil_,gamma_wat_,Rsb_,Rp_,Pb_,Tres_,Bob_,muob_,0,,,,PVT_str_)</f>
        <v>3.1682108569122563E-3</v>
      </c>
      <c r="O41" s="22" cm="1">
        <f t="array" ref="O41">[1]!PVT_ST_watgas_Nm(B41,C41,gamma_gas_,gamma_oil_,gamma_wat_,Rsb_,Rp_,Pb_,Tres_,Bob_,muob_,0,,,,PVT_str_)</f>
        <v>3.7153522909717261E-2</v>
      </c>
    </row>
    <row r="42" spans="2:15" x14ac:dyDescent="0.2">
      <c r="B42" s="12">
        <v>260</v>
      </c>
      <c r="C42" s="12">
        <v>80</v>
      </c>
      <c r="D42" s="15">
        <f>[1]!PVT_rs_m3m3(B42,C42,gamma_gas_,gamma_oil_,gamma_wat_,Rsb_,Rp_,Pb_,Tres_,Bob_,muob_)</f>
        <v>80</v>
      </c>
      <c r="E42" s="16">
        <f>[1]!PVT_bo_m3m3(B42,C42,gamma_gas_,gamma_oil_,gamma_wat_,Rsb_,Rp_,Pb_,Tres_,Bob_,muob_)</f>
        <v>1.1615528563960344</v>
      </c>
      <c r="F42" s="15">
        <f>[1]!PVT_mu_oil_cP(B42,C42,gamma_gas_,gamma_oil_,gamma_wat_,Rsb_,Rp_,Pb_,Tres_,Bob_,muob_)</f>
        <v>1.3790736979594145</v>
      </c>
      <c r="G42" s="17">
        <f>[1]!PVT_mu_gas_cP(B42,C42,gamma_gas_,gamma_oil_,gamma_wat_,Rsb_,Rp_,Pb_,Pb_,Bob_,muob_)</f>
        <v>2.8098871526802589E-2</v>
      </c>
      <c r="H42" s="16">
        <f>[1]!PVT_mu_wat_cP(B42,C42,gamma_gas_,gamma_oil_,gamma_wat_,Rsb_,Rp_,Pb_,Tres_,Bob_,muob_)</f>
        <v>0.40261501009299605</v>
      </c>
      <c r="I42" s="15">
        <f>[1]!PVT_rho_gas_kgm3(B42,C42,gamma_gas_,gamma_oil_,gamma_wat_,Rsb_,Rp_,Pb_,Tres_,Bob_,muob_)</f>
        <v>243.09490745404341</v>
      </c>
      <c r="J42" s="15">
        <f>[1]!PVT_rho_wat_kgm3(B42,C42,gamma_gas_,gamma_oil_,gamma_wat_,Rsb_,Rp_,Pb_,Tres_,Bob_,muob_)</f>
        <v>976.82079411420705</v>
      </c>
      <c r="K42" s="15">
        <f>[1]!PVT_rho_oil_kgm3(B42,C42,gamma_gas_,gamma_oil_,gamma_wat_,Rsb_,Rp_,Pb_,Tres_,Bob_,muob_)</f>
        <v>807.70220212873562</v>
      </c>
      <c r="L42" s="22">
        <f>[1]!PVT_bg_m3m3(B42,C42,gamma_gas_,gamma_oil_,gamma_wat_,Rsb_,Rp_,Pb_,Tres_,Bob_,muob_,0,,,,PVT_str_)</f>
        <v>4.0204873488958954E-3</v>
      </c>
      <c r="M42" s="17" cm="1">
        <f t="array" ref="M42">[1]!PVT_ST_liqgas_Nm(B42,C42,gamma_gas_,gamma_oil_,gamma_wat_,Rsb_,Rp_,Pb_,Tres_,Bob_,muob_,0,,,,PVT_str_)</f>
        <v>2.458367357111765E-3</v>
      </c>
      <c r="N42" s="17" cm="1">
        <f t="array" ref="N42">[1]!PVT_ST_oilgas_Nm(B42,C42,gamma_gas_,gamma_oil_,gamma_wat_,Rsb_,Rp_,Pb_,Tres_,Bob_,muob_,0,,,,PVT_str_)</f>
        <v>2.458367357111765E-3</v>
      </c>
      <c r="O42" s="22" cm="1">
        <f t="array" ref="O42">[1]!PVT_ST_watgas_Nm(B42,C42,gamma_gas_,gamma_oil_,gamma_wat_,Rsb_,Rp_,Pb_,Tres_,Bob_,muob_,0,,,,PVT_str_)</f>
        <v>3.5481338923357551E-2</v>
      </c>
    </row>
    <row r="43" spans="2:15" x14ac:dyDescent="0.2">
      <c r="B43" s="12">
        <v>280</v>
      </c>
      <c r="C43" s="12">
        <v>80</v>
      </c>
      <c r="D43" s="15">
        <f>[1]!PVT_rs_m3m3(B43,C43,gamma_gas_,gamma_oil_,gamma_wat_,Rsb_,Rp_,Pb_,Tres_,Bob_,muob_)</f>
        <v>80</v>
      </c>
      <c r="E43" s="16">
        <f>[1]!PVT_bo_m3m3(B43,C43,gamma_gas_,gamma_oil_,gamma_wat_,Rsb_,Rp_,Pb_,Tres_,Bob_,muob_)</f>
        <v>1.1603926943680387</v>
      </c>
      <c r="F43" s="15">
        <f>[1]!PVT_mu_oil_cP(B43,C43,gamma_gas_,gamma_oil_,gamma_wat_,Rsb_,Rp_,Pb_,Tres_,Bob_,muob_)</f>
        <v>1.447525646071635</v>
      </c>
      <c r="G43" s="17">
        <f>[1]!PVT_mu_gas_cP(B43,C43,gamma_gas_,gamma_oil_,gamma_wat_,Rsb_,Rp_,Pb_,Pb_,Bob_,muob_)</f>
        <v>2.9536501483992422E-2</v>
      </c>
      <c r="H43" s="16">
        <f>[1]!PVT_mu_wat_cP(B43,C43,gamma_gas_,gamma_oil_,gamma_wat_,Rsb_,Rp_,Pb_,Tres_,Bob_,muob_)</f>
        <v>0.4090264711859552</v>
      </c>
      <c r="I43" s="15">
        <f>[1]!PVT_rho_gas_kgm3(B43,C43,gamma_gas_,gamma_oil_,gamma_wat_,Rsb_,Rp_,Pb_,Tres_,Bob_,muob_)</f>
        <v>254.24416166569722</v>
      </c>
      <c r="J43" s="15">
        <f>[1]!PVT_rho_wat_kgm3(B43,C43,gamma_gas_,gamma_oil_,gamma_wat_,Rsb_,Rp_,Pb_,Tres_,Bob_,muob_)</f>
        <v>977.61040416301159</v>
      </c>
      <c r="K43" s="15">
        <f>[1]!PVT_rho_oil_kgm3(B43,C43,gamma_gas_,gamma_oil_,gamma_wat_,Rsb_,Rp_,Pb_,Tres_,Bob_,muob_)</f>
        <v>808.5097437733757</v>
      </c>
      <c r="L43" s="22">
        <f>[1]!PVT_bg_m3m3(B43,C43,gamma_gas_,gamma_oil_,gamma_wat_,Rsb_,Rp_,Pb_,Tres_,Bob_,muob_,0,,,,PVT_str_)</f>
        <v>3.8441787358921529E-3</v>
      </c>
      <c r="M43" s="17" cm="1">
        <f t="array" ref="M43">[1]!PVT_ST_liqgas_Nm(B43,C43,gamma_gas_,gamma_oil_,gamma_wat_,Rsb_,Rp_,Pb_,Tres_,Bob_,muob_,0,,,,PVT_str_)</f>
        <v>1.9075656057825508E-3</v>
      </c>
      <c r="N43" s="17" cm="1">
        <f t="array" ref="N43">[1]!PVT_ST_oilgas_Nm(B43,C43,gamma_gas_,gamma_oil_,gamma_wat_,Rsb_,Rp_,Pb_,Tres_,Bob_,muob_,0,,,,PVT_str_)</f>
        <v>1.9075656057825508E-3</v>
      </c>
      <c r="O43" s="22" cm="1">
        <f t="array" ref="O43">[1]!PVT_ST_watgas_Nm(B43,C43,gamma_gas_,gamma_oil_,gamma_wat_,Rsb_,Rp_,Pb_,Tres_,Bob_,muob_,0,,,,PVT_str_)</f>
        <v>3.3884415613920256E-2</v>
      </c>
    </row>
    <row r="44" spans="2:15" x14ac:dyDescent="0.2">
      <c r="B44" s="12">
        <v>300</v>
      </c>
      <c r="C44" s="12">
        <v>80</v>
      </c>
      <c r="D44" s="15">
        <f>[1]!PVT_rs_m3m3(B44,C44,gamma_gas_,gamma_oil_,gamma_wat_,Rsb_,Rp_,Pb_,Tres_,Bob_,muob_)</f>
        <v>80</v>
      </c>
      <c r="E44" s="16">
        <f>[1]!PVT_bo_m3m3(B44,C44,gamma_gas_,gamma_oil_,gamma_wat_,Rsb_,Rp_,Pb_,Tres_,Bob_,muob_)</f>
        <v>1.1593881579705583</v>
      </c>
      <c r="F44" s="15">
        <f>[1]!PVT_mu_oil_cP(B44,C44,gamma_gas_,gamma_oil_,gamma_wat_,Rsb_,Rp_,Pb_,Tres_,Bob_,muob_)</f>
        <v>1.5191376962112864</v>
      </c>
      <c r="G44" s="17">
        <f>[1]!PVT_mu_gas_cP(B44,C44,gamma_gas_,gamma_oil_,gamma_wat_,Rsb_,Rp_,Pb_,Pb_,Bob_,muob_)</f>
        <v>3.092626812710509E-2</v>
      </c>
      <c r="H44" s="16">
        <f>[1]!PVT_mu_wat_cP(B44,C44,gamma_gas_,gamma_oil_,gamma_wat_,Rsb_,Rp_,Pb_,Tres_,Bob_,muob_)</f>
        <v>0.4156181929800829</v>
      </c>
      <c r="I44" s="15">
        <f>[1]!PVT_rho_gas_kgm3(B44,C44,gamma_gas_,gamma_oil_,gamma_wat_,Rsb_,Rp_,Pb_,Tres_,Bob_,muob_)</f>
        <v>264.3966703482634</v>
      </c>
      <c r="J44" s="15">
        <f>[1]!PVT_rho_wat_kgm3(B44,C44,gamma_gas_,gamma_oil_,gamma_wat_,Rsb_,Rp_,Pb_,Tres_,Bob_,muob_)</f>
        <v>978.4448617948093</v>
      </c>
      <c r="K44" s="15">
        <f>[1]!PVT_rho_oil_kgm3(B44,C44,gamma_gas_,gamma_oil_,gamma_wat_,Rsb_,Rp_,Pb_,Tres_,Bob_,muob_)</f>
        <v>809.2102662513347</v>
      </c>
      <c r="L44" s="22">
        <f>[1]!PVT_bg_m3m3(B44,C44,gamma_gas_,gamma_oil_,gamma_wat_,Rsb_,Rp_,Pb_,Tres_,Bob_,muob_,0,,,,PVT_str_)</f>
        <v>3.6965669753428478E-3</v>
      </c>
      <c r="M44" s="17" cm="1">
        <f t="array" ref="M44">[1]!PVT_ST_liqgas_Nm(B44,C44,gamma_gas_,gamma_oil_,gamma_wat_,Rsb_,Rp_,Pb_,Tres_,Bob_,muob_,0,,,,PVT_str_)</f>
        <v>1.4801720051472031E-3</v>
      </c>
      <c r="N44" s="17" cm="1">
        <f t="array" ref="N44">[1]!PVT_ST_oilgas_Nm(B44,C44,gamma_gas_,gamma_oil_,gamma_wat_,Rsb_,Rp_,Pb_,Tres_,Bob_,muob_,0,,,,PVT_str_)</f>
        <v>1.4801720051472031E-3</v>
      </c>
      <c r="O44" s="22" cm="1">
        <f t="array" ref="O44">[1]!PVT_ST_watgas_Nm(B44,C44,gamma_gas_,gamma_oil_,gamma_wat_,Rsb_,Rp_,Pb_,Tres_,Bob_,muob_,0,,,,PVT_str_)</f>
        <v>3.2359365692962827E-2</v>
      </c>
    </row>
    <row r="45" spans="2:15" x14ac:dyDescent="0.2">
      <c r="B45" s="12">
        <v>320</v>
      </c>
      <c r="C45" s="12">
        <v>80</v>
      </c>
      <c r="D45" s="15">
        <f>[1]!PVT_rs_m3m3(B45,C45,gamma_gas_,gamma_oil_,gamma_wat_,Rsb_,Rp_,Pb_,Tres_,Bob_,muob_)</f>
        <v>80</v>
      </c>
      <c r="E45" s="16">
        <f>[1]!PVT_bo_m3m3(B45,C45,gamma_gas_,gamma_oil_,gamma_wat_,Rsb_,Rp_,Pb_,Tres_,Bob_,muob_)</f>
        <v>1.1585099020034806</v>
      </c>
      <c r="F45" s="15">
        <f>[1]!PVT_mu_oil_cP(B45,C45,gamma_gas_,gamma_oil_,gamma_wat_,Rsb_,Rp_,Pb_,Tres_,Bob_,muob_)</f>
        <v>1.5936123222926795</v>
      </c>
      <c r="G45" s="17">
        <f>[1]!PVT_mu_gas_cP(B45,C45,gamma_gas_,gamma_oil_,gamma_wat_,Rsb_,Rp_,Pb_,Pb_,Bob_,muob_)</f>
        <v>3.2268505467152347E-2</v>
      </c>
      <c r="H45" s="16">
        <f>[1]!PVT_mu_wat_cP(B45,C45,gamma_gas_,gamma_oil_,gamma_wat_,Rsb_,Rp_,Pb_,Tres_,Bob_,muob_)</f>
        <v>0.42239017547537927</v>
      </c>
      <c r="I45" s="15">
        <f>[1]!PVT_rho_gas_kgm3(B45,C45,gamma_gas_,gamma_oil_,gamma_wat_,Rsb_,Rp_,Pb_,Tres_,Bob_,muob_)</f>
        <v>273.68066579837409</v>
      </c>
      <c r="J45" s="15">
        <f>[1]!PVT_rho_wat_kgm3(B45,C45,gamma_gas_,gamma_oil_,gamma_wat_,Rsb_,Rp_,Pb_,Tres_,Bob_,muob_)</f>
        <v>979.32439353427742</v>
      </c>
      <c r="K45" s="15">
        <f>[1]!PVT_rho_oil_kgm3(B45,C45,gamma_gas_,gamma_oil_,gamma_wat_,Rsb_,Rp_,Pb_,Tres_,Bob_,muob_)</f>
        <v>809.82372129710234</v>
      </c>
      <c r="L45" s="22">
        <f>[1]!PVT_bg_m3m3(B45,C45,gamma_gas_,gamma_oil_,gamma_wat_,Rsb_,Rp_,Pb_,Tres_,Bob_,muob_,0,,,,PVT_str_)</f>
        <v>3.5711693303174009E-3</v>
      </c>
      <c r="M45" s="17" cm="1">
        <f t="array" ref="M45">[1]!PVT_ST_liqgas_Nm(B45,C45,gamma_gas_,gamma_oil_,gamma_wat_,Rsb_,Rp_,Pb_,Tres_,Bob_,muob_,0,,,,PVT_str_)</f>
        <v>1.1485367308888457E-3</v>
      </c>
      <c r="N45" s="17" cm="1">
        <f t="array" ref="N45">[1]!PVT_ST_oilgas_Nm(B45,C45,gamma_gas_,gamma_oil_,gamma_wat_,Rsb_,Rp_,Pb_,Tres_,Bob_,muob_,0,,,,PVT_str_)</f>
        <v>1.1485367308888457E-3</v>
      </c>
      <c r="O45" s="22" cm="1">
        <f t="array" ref="O45">[1]!PVT_ST_watgas_Nm(B45,C45,gamma_gas_,gamma_oil_,gamma_wat_,Rsb_,Rp_,Pb_,Tres_,Bob_,muob_,0,,,,PVT_str_)</f>
        <v>3.0902954325135904E-2</v>
      </c>
    </row>
    <row r="46" spans="2:15" x14ac:dyDescent="0.2">
      <c r="B46" s="12">
        <v>340</v>
      </c>
      <c r="C46" s="12">
        <v>80</v>
      </c>
      <c r="D46" s="15">
        <f>[1]!PVT_rs_m3m3(B46,C46,gamma_gas_,gamma_oil_,gamma_wat_,Rsb_,Rp_,Pb_,Tres_,Bob_,muob_)</f>
        <v>80</v>
      </c>
      <c r="E46" s="16">
        <f>[1]!PVT_bo_m3m3(B46,C46,gamma_gas_,gamma_oil_,gamma_wat_,Rsb_,Rp_,Pb_,Tres_,Bob_,muob_)</f>
        <v>1.1577355227772113</v>
      </c>
      <c r="F46" s="15">
        <f>[1]!PVT_mu_oil_cP(B46,C46,gamma_gas_,gamma_oil_,gamma_wat_,Rsb_,Rp_,Pb_,Tres_,Bob_,muob_)</f>
        <v>1.6706434440866633</v>
      </c>
      <c r="G46" s="17">
        <f>[1]!PVT_mu_gas_cP(B46,C46,gamma_gas_,gamma_oil_,gamma_wat_,Rsb_,Rp_,Pb_,Pb_,Bob_,muob_)</f>
        <v>3.3563960430461753E-2</v>
      </c>
      <c r="H46" s="16">
        <f>[1]!PVT_mu_wat_cP(B46,C46,gamma_gas_,gamma_oil_,gamma_wat_,Rsb_,Rp_,Pb_,Tres_,Bob_,muob_)</f>
        <v>0.42934241867184425</v>
      </c>
      <c r="I46" s="15">
        <f>[1]!PVT_rho_gas_kgm3(B46,C46,gamma_gas_,gamma_oil_,gamma_wat_,Rsb_,Rp_,Pb_,Tres_,Bob_,muob_)</f>
        <v>282.20300222463175</v>
      </c>
      <c r="J46" s="15">
        <f>[1]!PVT_rho_wat_kgm3(B46,C46,gamma_gas_,gamma_oil_,gamma_wat_,Rsb_,Rp_,Pb_,Tres_,Bob_,muob_)</f>
        <v>980.24923876675155</v>
      </c>
      <c r="K46" s="15">
        <f>[1]!PVT_rho_oil_kgm3(B46,C46,gamma_gas_,gamma_oil_,gamma_wat_,Rsb_,Rp_,Pb_,Tres_,Bob_,muob_)</f>
        <v>810.36539135418775</v>
      </c>
      <c r="L46" s="22">
        <f>[1]!PVT_bg_m3m3(B46,C46,gamma_gas_,gamma_oil_,gamma_wat_,Rsb_,Rp_,Pb_,Tres_,Bob_,muob_,0,,,,PVT_str_)</f>
        <v>3.4633224745852561E-3</v>
      </c>
      <c r="M46" s="17" cm="1">
        <f t="array" ref="M46">[1]!PVT_ST_liqgas_Nm(B46,C46,gamma_gas_,gamma_oil_,gamma_wat_,Rsb_,Rp_,Pb_,Tres_,Bob_,muob_,0,,,,PVT_str_)</f>
        <v>8.9120495294710614E-4</v>
      </c>
      <c r="N46" s="17" cm="1">
        <f t="array" ref="N46">[1]!PVT_ST_oilgas_Nm(B46,C46,gamma_gas_,gamma_oil_,gamma_wat_,Rsb_,Rp_,Pb_,Tres_,Bob_,muob_,0,,,,PVT_str_)</f>
        <v>8.9120495294710614E-4</v>
      </c>
      <c r="O46" s="22" cm="1">
        <f t="array" ref="O46">[1]!PVT_ST_watgas_Nm(B46,C46,gamma_gas_,gamma_oil_,gamma_wat_,Rsb_,Rp_,Pb_,Tres_,Bob_,muob_,0,,,,PVT_str_)</f>
        <v>2.9512092266663854E-2</v>
      </c>
    </row>
    <row r="47" spans="2:15" x14ac:dyDescent="0.2">
      <c r="B47" s="12">
        <v>360</v>
      </c>
      <c r="C47" s="12">
        <v>80</v>
      </c>
      <c r="D47" s="15">
        <f>[1]!PVT_rs_m3m3(B47,C47,gamma_gas_,gamma_oil_,gamma_wat_,Rsb_,Rp_,Pb_,Tres_,Bob_,muob_)</f>
        <v>80</v>
      </c>
      <c r="E47" s="16">
        <f>[1]!PVT_bo_m3m3(B47,C47,gamma_gas_,gamma_oil_,gamma_wat_,Rsb_,Rp_,Pb_,Tres_,Bob_,muob_)</f>
        <v>1.1570476202397262</v>
      </c>
      <c r="F47" s="15">
        <f>[1]!PVT_mu_oil_cP(B47,C47,gamma_gas_,gamma_oil_,gamma_wat_,Rsb_,Rp_,Pb_,Tres_,Bob_,muob_)</f>
        <v>1.7499148114006253</v>
      </c>
      <c r="G47" s="17">
        <f>[1]!PVT_mu_gas_cP(B47,C47,gamma_gas_,gamma_oil_,gamma_wat_,Rsb_,Rp_,Pb_,Pb_,Bob_,muob_)</f>
        <v>3.4813626743034121E-2</v>
      </c>
      <c r="H47" s="16">
        <f>[1]!PVT_mu_wat_cP(B47,C47,gamma_gas_,gamma_oil_,gamma_wat_,Rsb_,Rp_,Pb_,Tres_,Bob_,muob_)</f>
        <v>0.4364749225694779</v>
      </c>
      <c r="I47" s="15">
        <f>[1]!PVT_rho_gas_kgm3(B47,C47,gamma_gas_,gamma_oil_,gamma_wat_,Rsb_,Rp_,Pb_,Tres_,Bob_,muob_)</f>
        <v>290.05322260522149</v>
      </c>
      <c r="J47" s="15">
        <f>[1]!PVT_rho_wat_kgm3(B47,C47,gamma_gas_,gamma_oil_,gamma_wat_,Rsb_,Rp_,Pb_,Tres_,Bob_,muob_)</f>
        <v>981.21964990304559</v>
      </c>
      <c r="K47" s="15">
        <f>[1]!PVT_rho_oil_kgm3(B47,C47,gamma_gas_,gamma_oil_,gamma_wat_,Rsb_,Rp_,Pb_,Tres_,Bob_,muob_)</f>
        <v>810.84718000251246</v>
      </c>
      <c r="L47" s="22">
        <f>[1]!PVT_bg_m3m3(B47,C47,gamma_gas_,gamma_oil_,gamma_wat_,Rsb_,Rp_,Pb_,Tres_,Bob_,muob_,0,,,,PVT_str_)</f>
        <v>3.3695884886969217E-3</v>
      </c>
      <c r="M47" s="17" cm="1">
        <f t="array" ref="M47">[1]!PVT_ST_liqgas_Nm(B47,C47,gamma_gas_,gamma_oil_,gamma_wat_,Rsb_,Rp_,Pb_,Tres_,Bob_,muob_,0,,,,PVT_str_)</f>
        <v>6.9152883560179268E-4</v>
      </c>
      <c r="N47" s="17" cm="1">
        <f t="array" ref="N47">[1]!PVT_ST_oilgas_Nm(B47,C47,gamma_gas_,gamma_oil_,gamma_wat_,Rsb_,Rp_,Pb_,Tres_,Bob_,muob_,0,,,,PVT_str_)</f>
        <v>6.9152883560179268E-4</v>
      </c>
      <c r="O47" s="22" cm="1">
        <f t="array" ref="O47">[1]!PVT_ST_watgas_Nm(B47,C47,gamma_gas_,gamma_oil_,gamma_wat_,Rsb_,Rp_,Pb_,Tres_,Bob_,muob_,0,,,,PVT_str_)</f>
        <v>2.8183829312644539E-2</v>
      </c>
    </row>
    <row r="48" spans="2:15" x14ac:dyDescent="0.2">
      <c r="B48" s="12">
        <v>380</v>
      </c>
      <c r="C48" s="12">
        <v>80</v>
      </c>
      <c r="D48" s="15">
        <f>[1]!PVT_rs_m3m3(B48,C48,gamma_gas_,gamma_oil_,gamma_wat_,Rsb_,Rp_,Pb_,Tres_,Bob_,muob_)</f>
        <v>80</v>
      </c>
      <c r="E48" s="16">
        <f>[1]!PVT_bo_m3m3(B48,C48,gamma_gas_,gamma_oil_,gamma_wat_,Rsb_,Rp_,Pb_,Tres_,Bob_,muob_)</f>
        <v>1.1564324749673425</v>
      </c>
      <c r="F48" s="15">
        <f>[1]!PVT_mu_oil_cP(B48,C48,gamma_gas_,gamma_oil_,gamma_wat_,Rsb_,Rp_,Pb_,Tres_,Bob_,muob_)</f>
        <v>1.8310996013758258</v>
      </c>
      <c r="G48" s="17">
        <f>[1]!PVT_mu_gas_cP(B48,C48,gamma_gas_,gamma_oil_,gamma_wat_,Rsb_,Rp_,Pb_,Pb_,Bob_,muob_)</f>
        <v>3.6018709819299714E-2</v>
      </c>
      <c r="H48" s="16">
        <f>[1]!PVT_mu_wat_cP(B48,C48,gamma_gas_,gamma_oil_,gamma_wat_,Rsb_,Rp_,Pb_,Tres_,Bob_,muob_)</f>
        <v>0.4437876871682801</v>
      </c>
      <c r="I48" s="15">
        <f>[1]!PVT_rho_gas_kgm3(B48,C48,gamma_gas_,gamma_oil_,gamma_wat_,Rsb_,Rp_,Pb_,Tres_,Bob_,muob_)</f>
        <v>297.3072486924587</v>
      </c>
      <c r="J48" s="15">
        <f>[1]!PVT_rho_wat_kgm3(B48,C48,gamma_gas_,gamma_oil_,gamma_wat_,Rsb_,Rp_,Pb_,Tres_,Bob_,muob_)</f>
        <v>982.23589255391971</v>
      </c>
      <c r="K48" s="15">
        <f>[1]!PVT_rho_oil_kgm3(B48,C48,gamma_gas_,gamma_oil_,gamma_wat_,Rsb_,Rp_,Pb_,Tres_,Bob_,muob_)</f>
        <v>811.27849684997329</v>
      </c>
      <c r="L48" s="22">
        <f>[1]!PVT_bg_m3m3(B48,C48,gamma_gas_,gamma_oil_,gamma_wat_,Rsb_,Rp_,Pb_,Tres_,Bob_,muob_,0,,,,PVT_str_)</f>
        <v>3.2873735985192989E-3</v>
      </c>
      <c r="M48" s="17" cm="1">
        <f t="array" ref="M48">[1]!PVT_ST_liqgas_Nm(B48,C48,gamma_gas_,gamma_oil_,gamma_wat_,Rsb_,Rp_,Pb_,Tres_,Bob_,muob_,0,,,,PVT_str_)</f>
        <v>5.3659052150392835E-4</v>
      </c>
      <c r="N48" s="17" cm="1">
        <f t="array" ref="N48">[1]!PVT_ST_oilgas_Nm(B48,C48,gamma_gas_,gamma_oil_,gamma_wat_,Rsb_,Rp_,Pb_,Tres_,Bob_,muob_,0,,,,PVT_str_)</f>
        <v>5.3659052150392835E-4</v>
      </c>
      <c r="O48" s="22" cm="1">
        <f t="array" ref="O48">[1]!PVT_ST_watgas_Nm(B48,C48,gamma_gas_,gamma_oil_,gamma_wat_,Rsb_,Rp_,Pb_,Tres_,Bob_,muob_,0,,,,PVT_str_)</f>
        <v>2.6915348039269153E-2</v>
      </c>
    </row>
    <row r="49" spans="2:15" x14ac:dyDescent="0.2">
      <c r="B49" s="12">
        <v>400</v>
      </c>
      <c r="C49" s="12">
        <v>80</v>
      </c>
      <c r="D49" s="15">
        <f>[1]!PVT_rs_m3m3(B49,C49,gamma_gas_,gamma_oil_,gamma_wat_,Rsb_,Rp_,Pb_,Tres_,Bob_,muob_)</f>
        <v>80</v>
      </c>
      <c r="E49" s="16">
        <f>[1]!PVT_bo_m3m3(B49,C49,gamma_gas_,gamma_oil_,gamma_wat_,Rsb_,Rp_,Pb_,Tres_,Bob_,muob_)</f>
        <v>1.1558791238484611</v>
      </c>
      <c r="F49" s="15">
        <f>[1]!PVT_mu_oil_cP(B49,C49,gamma_gas_,gamma_oil_,gamma_wat_,Rsb_,Rp_,Pb_,Tres_,Bob_,muob_)</f>
        <v>1.9138609593794527</v>
      </c>
      <c r="G49" s="17">
        <f>[1]!PVT_mu_gas_cP(B49,C49,gamma_gas_,gamma_oil_,gamma_wat_,Rsb_,Rp_,Pb_,Pb_,Bob_,muob_)</f>
        <v>3.7180644022582574E-2</v>
      </c>
      <c r="H49" s="16">
        <f>[1]!PVT_mu_wat_cP(B49,C49,gamma_gas_,gamma_oil_,gamma_wat_,Rsb_,Rp_,Pb_,Tres_,Bob_,muob_)</f>
        <v>0.45128071246825097</v>
      </c>
      <c r="I49" s="15">
        <f>[1]!PVT_rho_gas_kgm3(B49,C49,gamma_gas_,gamma_oil_,gamma_wat_,Rsb_,Rp_,Pb_,Tres_,Bob_,muob_)</f>
        <v>304.03039572127034</v>
      </c>
      <c r="J49" s="15">
        <f>[1]!PVT_rho_wat_kgm3(B49,C49,gamma_gas_,gamma_oil_,gamma_wat_,Rsb_,Rp_,Pb_,Tres_,Bob_,muob_)</f>
        <v>983.29824571442282</v>
      </c>
      <c r="K49" s="15">
        <f>[1]!PVT_rho_oil_kgm3(B49,C49,gamma_gas_,gamma_oil_,gamma_wat_,Rsb_,Rp_,Pb_,Tres_,Bob_,muob_)</f>
        <v>811.6668781734993</v>
      </c>
      <c r="L49" s="22">
        <f>[1]!PVT_bg_m3m3(B49,C49,gamma_gas_,gamma_oil_,gamma_wat_,Rsb_,Rp_,Pb_,Tres_,Bob_,muob_,0,,,,PVT_str_)</f>
        <v>3.2146785773881185E-3</v>
      </c>
      <c r="M49" s="17" cm="1">
        <f t="array" ref="M49">[1]!PVT_ST_liqgas_Nm(B49,C49,gamma_gas_,gamma_oil_,gamma_wat_,Rsb_,Rp_,Pb_,Tres_,Bob_,muob_,0,,,,PVT_str_)</f>
        <v>4.1636642312578559E-4</v>
      </c>
      <c r="N49" s="17" cm="1">
        <f t="array" ref="N49">[1]!PVT_ST_oilgas_Nm(B49,C49,gamma_gas_,gamma_oil_,gamma_wat_,Rsb_,Rp_,Pb_,Tres_,Bob_,muob_,0,,,,PVT_str_)</f>
        <v>4.1636642312578559E-4</v>
      </c>
      <c r="O49" s="22" cm="1">
        <f t="array" ref="O49">[1]!PVT_ST_watgas_Nm(B49,C49,gamma_gas_,gamma_oil_,gamma_wat_,Rsb_,Rp_,Pb_,Tres_,Bob_,muob_,0,,,,PVT_str_)</f>
        <v>2.5703957827688646E-2</v>
      </c>
    </row>
    <row r="50" spans="2:15" x14ac:dyDescent="0.2">
      <c r="B50" s="12">
        <v>420</v>
      </c>
      <c r="C50" s="12">
        <v>80</v>
      </c>
      <c r="D50" s="15">
        <f>[1]!PVT_rs_m3m3(B50,C50,gamma_gas_,gamma_oil_,gamma_wat_,Rsb_,Rp_,Pb_,Tres_,Bob_,muob_)</f>
        <v>80</v>
      </c>
      <c r="E50" s="16">
        <f>[1]!PVT_bo_m3m3(B50,C50,gamma_gas_,gamma_oil_,gamma_wat_,Rsb_,Rp_,Pb_,Tres_,Bob_,muob_)</f>
        <v>1.1553787009926739</v>
      </c>
      <c r="F50" s="15">
        <f>[1]!PVT_mu_oil_cP(B50,C50,gamma_gas_,gamma_oil_,gamma_wat_,Rsb_,Rp_,Pb_,Tres_,Bob_,muob_)</f>
        <v>1.9978532751006954</v>
      </c>
      <c r="G50" s="17">
        <f>[1]!PVT_mu_gas_cP(B50,C50,gamma_gas_,gamma_oil_,gamma_wat_,Rsb_,Rp_,Pb_,Pb_,Bob_,muob_)</f>
        <v>3.8301121221605575E-2</v>
      </c>
      <c r="H50" s="16">
        <f>[1]!PVT_mu_wat_cP(B50,C50,gamma_gas_,gamma_oil_,gamma_wat_,Rsb_,Rp_,Pb_,Tres_,Bob_,muob_)</f>
        <v>0.45895399846939039</v>
      </c>
      <c r="I50" s="15">
        <f>[1]!PVT_rho_gas_kgm3(B50,C50,gamma_gas_,gamma_oil_,gamma_wat_,Rsb_,Rp_,Pb_,Tres_,Bob_,muob_)</f>
        <v>310.27970534224994</v>
      </c>
      <c r="J50" s="15">
        <f>[1]!PVT_rho_wat_kgm3(B50,C50,gamma_gas_,gamma_oil_,gamma_wat_,Rsb_,Rp_,Pb_,Tres_,Bob_,muob_)</f>
        <v>984.4070019583562</v>
      </c>
      <c r="K50" s="15">
        <f>[1]!PVT_rho_oil_kgm3(B50,C50,gamma_gas_,gamma_oil_,gamma_wat_,Rsb_,Rp_,Pb_,Tres_,Bob_,muob_)</f>
        <v>812.01843100788551</v>
      </c>
      <c r="L50" s="22">
        <f>[1]!PVT_bg_m3m3(B50,C50,gamma_gas_,gamma_oil_,gamma_wat_,Rsb_,Rp_,Pb_,Tres_,Bob_,muob_,0,,,,PVT_str_)</f>
        <v>3.1499320876366564E-3</v>
      </c>
      <c r="M50" s="17" cm="1">
        <f t="array" ref="M50">[1]!PVT_ST_liqgas_Nm(B50,C50,gamma_gas_,gamma_oil_,gamma_wat_,Rsb_,Rp_,Pb_,Tres_,Bob_,muob_,0,,,,PVT_str_)</f>
        <v>3.2307875625658353E-4</v>
      </c>
      <c r="N50" s="17" cm="1">
        <f t="array" ref="N50">[1]!PVT_ST_oilgas_Nm(B50,C50,gamma_gas_,gamma_oil_,gamma_wat_,Rsb_,Rp_,Pb_,Tres_,Bob_,muob_,0,,,,PVT_str_)</f>
        <v>3.2307875625658353E-4</v>
      </c>
      <c r="O50" s="22" cm="1">
        <f t="array" ref="O50">[1]!PVT_ST_watgas_Nm(B50,C50,gamma_gas_,gamma_oil_,gamma_wat_,Rsb_,Rp_,Pb_,Tres_,Bob_,muob_,0,,,,PVT_str_)</f>
        <v>2.4547089156850312E-2</v>
      </c>
    </row>
    <row r="51" spans="2:15" x14ac:dyDescent="0.2">
      <c r="B51" s="12">
        <v>440</v>
      </c>
      <c r="C51" s="12">
        <v>80</v>
      </c>
      <c r="D51" s="15">
        <f>[1]!PVT_rs_m3m3(B51,C51,gamma_gas_,gamma_oil_,gamma_wat_,Rsb_,Rp_,Pb_,Tres_,Bob_,muob_)</f>
        <v>80</v>
      </c>
      <c r="E51" s="16">
        <f>[1]!PVT_bo_m3m3(B51,C51,gamma_gas_,gamma_oil_,gamma_wat_,Rsb_,Rp_,Pb_,Tres_,Bob_,muob_)</f>
        <v>1.1549239591296774</v>
      </c>
      <c r="F51" s="15">
        <f>[1]!PVT_mu_oil_cP(B51,C51,gamma_gas_,gamma_oil_,gamma_wat_,Rsb_,Rp_,Pb_,Tres_,Bob_,muob_)</f>
        <v>2.0827240254263466</v>
      </c>
      <c r="G51" s="17">
        <f>[1]!PVT_mu_gas_cP(B51,C51,gamma_gas_,gamma_oil_,gamma_wat_,Rsb_,Rp_,Pb_,Pb_,Bob_,muob_)</f>
        <v>3.9382111695183519E-2</v>
      </c>
      <c r="H51" s="16">
        <f>[1]!PVT_mu_wat_cP(B51,C51,gamma_gas_,gamma_oil_,gamma_wat_,Rsb_,Rp_,Pb_,Tres_,Bob_,muob_)</f>
        <v>0.46680754517169848</v>
      </c>
      <c r="I51" s="15">
        <f>[1]!PVT_rho_gas_kgm3(B51,C51,gamma_gas_,gamma_oil_,gamma_wat_,Rsb_,Rp_,Pb_,Tres_,Bob_,muob_)</f>
        <v>316.10569647214157</v>
      </c>
      <c r="J51" s="15">
        <f>[1]!PVT_rho_wat_kgm3(B51,C51,gamma_gas_,gamma_oil_,gamma_wat_,Rsb_,Rp_,Pb_,Tres_,Bob_,muob_)</f>
        <v>985.56246764310936</v>
      </c>
      <c r="K51" s="15">
        <f>[1]!PVT_rho_oil_kgm3(B51,C51,gamma_gas_,gamma_oil_,gamma_wat_,Rsb_,Rp_,Pb_,Tres_,Bob_,muob_)</f>
        <v>812.33815662374536</v>
      </c>
      <c r="L51" s="22">
        <f>[1]!PVT_bg_m3m3(B51,C51,gamma_gas_,gamma_oil_,gamma_wat_,Rsb_,Rp_,Pb_,Tres_,Bob_,muob_,0,,,,PVT_str_)</f>
        <v>3.0918772135640235E-3</v>
      </c>
      <c r="M51" s="17" cm="1">
        <f t="array" ref="M51">[1]!PVT_ST_liqgas_Nm(B51,C51,gamma_gas_,gamma_oil_,gamma_wat_,Rsb_,Rp_,Pb_,Tres_,Bob_,muob_,0,,,,PVT_str_)</f>
        <v>2.5069236361734056E-4</v>
      </c>
      <c r="N51" s="17" cm="1">
        <f t="array" ref="N51">[1]!PVT_ST_oilgas_Nm(B51,C51,gamma_gas_,gamma_oil_,gamma_wat_,Rsb_,Rp_,Pb_,Tres_,Bob_,muob_,0,,,,PVT_str_)</f>
        <v>2.5069236361734056E-4</v>
      </c>
      <c r="O51" s="22" cm="1">
        <f t="array" ref="O51">[1]!PVT_ST_watgas_Nm(B51,C51,gamma_gas_,gamma_oil_,gamma_wat_,Rsb_,Rp_,Pb_,Tres_,Bob_,muob_,0,,,,PVT_str_)</f>
        <v>2.3442288153199226E-2</v>
      </c>
    </row>
    <row r="52" spans="2:15" x14ac:dyDescent="0.2">
      <c r="B52" s="12">
        <v>460</v>
      </c>
      <c r="C52" s="12">
        <v>80</v>
      </c>
      <c r="D52" s="15">
        <f>[1]!PVT_rs_m3m3(B52,C52,gamma_gas_,gamma_oil_,gamma_wat_,Rsb_,Rp_,Pb_,Tres_,Bob_,muob_)</f>
        <v>80</v>
      </c>
      <c r="E52" s="16">
        <f>[1]!PVT_bo_m3m3(B52,C52,gamma_gas_,gamma_oil_,gamma_wat_,Rsb_,Rp_,Pb_,Tres_,Bob_,muob_)</f>
        <v>1.1545089163509799</v>
      </c>
      <c r="F52" s="15">
        <f>[1]!PVT_mu_oil_cP(B52,C52,gamma_gas_,gamma_oil_,gamma_wat_,Rsb_,Rp_,Pb_,Tres_,Bob_,muob_)</f>
        <v>2.168116042785591</v>
      </c>
      <c r="G52" s="17">
        <f>[1]!PVT_mu_gas_cP(B52,C52,gamma_gas_,gamma_oil_,gamma_wat_,Rsb_,Rp_,Pb_,Pb_,Bob_,muob_)</f>
        <v>4.0425870556863336E-2</v>
      </c>
      <c r="H52" s="16">
        <f>[1]!PVT_mu_wat_cP(B52,C52,gamma_gas_,gamma_oil_,gamma_wat_,Rsb_,Rp_,Pb_,Tres_,Bob_,muob_)</f>
        <v>0.47484135257517518</v>
      </c>
      <c r="I52" s="15">
        <f>[1]!PVT_rho_gas_kgm3(B52,C52,gamma_gas_,gamma_oil_,gamma_wat_,Rsb_,Rp_,Pb_,Tres_,Bob_,muob_)</f>
        <v>321.55365623768205</v>
      </c>
      <c r="J52" s="15">
        <f>[1]!PVT_rho_wat_kgm3(B52,C52,gamma_gas_,gamma_oil_,gamma_wat_,Rsb_,Rp_,Pb_,Tres_,Bob_,muob_)</f>
        <v>986.76496312514394</v>
      </c>
      <c r="K52" s="15">
        <f>[1]!PVT_rho_oil_kgm3(B52,C52,gamma_gas_,gamma_oil_,gamma_wat_,Rsb_,Rp_,Pb_,Tres_,Bob_,muob_)</f>
        <v>812.63018995583332</v>
      </c>
      <c r="L52" s="22">
        <f>[1]!PVT_bg_m3m3(B52,C52,gamma_gas_,gamma_oil_,gamma_wat_,Rsb_,Rp_,Pb_,Tres_,Bob_,muob_,0,,,,PVT_str_)</f>
        <v>3.0394927286336538E-3</v>
      </c>
      <c r="M52" s="17" cm="1">
        <f t="array" ref="M52">[1]!PVT_ST_liqgas_Nm(B52,C52,gamma_gas_,gamma_oil_,gamma_wat_,Rsb_,Rp_,Pb_,Tres_,Bob_,muob_,0,,,,PVT_str_)</f>
        <v>1.945242760750792E-4</v>
      </c>
      <c r="N52" s="17" cm="1">
        <f t="array" ref="N52">[1]!PVT_ST_oilgas_Nm(B52,C52,gamma_gas_,gamma_oil_,gamma_wat_,Rsb_,Rp_,Pb_,Tres_,Bob_,muob_,0,,,,PVT_str_)</f>
        <v>1.945242760750792E-4</v>
      </c>
      <c r="O52" s="22" cm="1">
        <f t="array" ref="O52">[1]!PVT_ST_watgas_Nm(B52,C52,gamma_gas_,gamma_oil_,gamma_wat_,Rsb_,Rp_,Pb_,Tres_,Bob_,muob_,0,,,,PVT_str_)</f>
        <v>2.2387211385683402E-2</v>
      </c>
    </row>
    <row r="111" spans="11:11" x14ac:dyDescent="0.2">
      <c r="K111" t="s">
        <v>5</v>
      </c>
    </row>
    <row r="122" spans="11:11" x14ac:dyDescent="0.2">
      <c r="K122" s="3"/>
    </row>
  </sheetData>
  <dataConsolidate/>
  <mergeCells count="10"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exercise_PVT!Pb_</vt:lpstr>
      <vt:lpstr>exercise_PVT!PVT_str_</vt:lpstr>
      <vt:lpstr>exercise_PVT!Rp_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Ринат Хабибуллин</cp:lastModifiedBy>
  <dcterms:created xsi:type="dcterms:W3CDTF">2020-04-13T13:26:12Z</dcterms:created>
  <dcterms:modified xsi:type="dcterms:W3CDTF">2020-04-13T16:15:59Z</dcterms:modified>
</cp:coreProperties>
</file>