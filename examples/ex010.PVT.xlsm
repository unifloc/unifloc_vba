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4.xml" ContentType="application/vnd.openxmlformats-officedocument.drawingml.chart+xml"/>
  <Override PartName="/xl/theme/themeOverride3.xml" ContentType="application/vnd.openxmlformats-officedocument.themeOverride+xml"/>
  <Override PartName="/xl/charts/chart5.xml" ContentType="application/vnd.openxmlformats-officedocument.drawingml.chart+xml"/>
  <Override PartName="/xl/theme/themeOverride4.xml" ContentType="application/vnd.openxmlformats-officedocument.themeOverride+xml"/>
  <Override PartName="/xl/charts/chart6.xml" ContentType="application/vnd.openxmlformats-officedocument.drawingml.chart+xml"/>
  <Override PartName="/xl/theme/themeOverride5.xml" ContentType="application/vnd.openxmlformats-officedocument.themeOverride+xml"/>
  <Override PartName="/xl/charts/chart7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8.xml" ContentType="application/vnd.openxmlformats-officedocument.drawingml.chart+xml"/>
  <Override PartName="/xl/theme/themeOverride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updateLinks="always" codeName="ThisWorkbook" hidePivotFieldList="1"/>
  <mc:AlternateContent xmlns:mc="http://schemas.openxmlformats.org/markup-compatibility/2006">
    <mc:Choice Requires="x15">
      <x15ac:absPath xmlns:x15ac="http://schemas.microsoft.com/office/spreadsheetml/2010/11/ac" url="D:\unifloc\unifloc_vba\examples\"/>
    </mc:Choice>
  </mc:AlternateContent>
  <xr:revisionPtr revIDLastSave="0" documentId="13_ncr:1_{95834F3F-BE30-4C3D-AD5E-BB22DE926488}" xr6:coauthVersionLast="47" xr6:coauthVersionMax="47" xr10:uidLastSave="{00000000-0000-0000-0000-000000000000}"/>
  <bookViews>
    <workbookView xWindow="5940" yWindow="1950" windowWidth="28800" windowHeight="15435" tabRatio="591" xr2:uid="{00000000-000D-0000-FFFF-FFFF00000000}"/>
  </bookViews>
  <sheets>
    <sheet name="exercise_PVT" sheetId="113" r:id="rId1"/>
  </sheets>
  <externalReferences>
    <externalReference r:id="rId2"/>
  </externalReferences>
  <definedNames>
    <definedName name="Bob_" localSheetId="0">exercise_PVT!$C$17</definedName>
    <definedName name="Course" localSheetId="0">exercise_PVT!$B$3</definedName>
    <definedName name="gamma_gas_" localSheetId="0">exercise_PVT!$C$13</definedName>
    <definedName name="gamma_oil_" localSheetId="0">exercise_PVT!$C$11</definedName>
    <definedName name="gamma_wat_" localSheetId="0">exercise_PVT!$C$12</definedName>
    <definedName name="Group" localSheetId="0">exercise_PVT!$B$4</definedName>
    <definedName name="input_0" localSheetId="0">exercise_PVT!$C$11:$C$18</definedName>
    <definedName name="input_1" localSheetId="0">exercise_PVT!$B$71:$C$96</definedName>
    <definedName name="input_Course" localSheetId="0">exercise_PVT!$I$3</definedName>
    <definedName name="input_Date" localSheetId="0">exercise_PVT!$I$1</definedName>
    <definedName name="input_Group" localSheetId="0">exercise_PVT!$I$4</definedName>
    <definedName name="input_Notes" localSheetId="0">exercise_PVT!$I$6</definedName>
    <definedName name="input_Student_Name" localSheetId="0">exercise_PVT!$I$5</definedName>
    <definedName name="input_Version" localSheetId="0">exercise_PVT!$I$2</definedName>
    <definedName name="muob_" localSheetId="0">exercise_PVT!$C$18</definedName>
    <definedName name="Notes" localSheetId="0">exercise_PVT!$B$6</definedName>
    <definedName name="output_0" localSheetId="0">exercise_PVT!$D$71:$P$96</definedName>
    <definedName name="param">exercise_PVT!$D$21</definedName>
    <definedName name="Pb_" localSheetId="0">exercise_PVT!$C$15</definedName>
    <definedName name="PVT_str_" localSheetId="0">exercise_PVT!$D$26</definedName>
    <definedName name="Rp_" localSheetId="0">exercise_PVT!#REF!</definedName>
    <definedName name="Rsb_" localSheetId="0">exercise_PVT!$C$14</definedName>
    <definedName name="Student_Name" localSheetId="0">exercise_PVT!$B$5</definedName>
    <definedName name="Tres_" localSheetId="0">exercise_PVT!$C$16</definedName>
    <definedName name="unf_version" localSheetId="0">exercise_PVT!$G$1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00" i="113" l="1"/>
  <c r="E16" i="113"/>
  <c r="E15" i="113"/>
  <c r="E14" i="113"/>
  <c r="E13" i="113"/>
  <c r="E12" i="113"/>
  <c r="E11" i="113"/>
  <c r="G1" i="113"/>
  <c r="U87" i="113"/>
  <c r="M86" i="113"/>
  <c r="U95" i="113"/>
  <c r="T71" i="113"/>
  <c r="D72" i="113"/>
  <c r="O90" i="113"/>
  <c r="J76" i="113"/>
  <c r="V86" i="113"/>
  <c r="M78" i="113"/>
  <c r="U92" i="113"/>
  <c r="N71" i="113"/>
  <c r="R88" i="113"/>
  <c r="P84" i="113"/>
  <c r="D90" i="113"/>
  <c r="T93" i="113"/>
  <c r="V84" i="113"/>
  <c r="K82" i="113"/>
  <c r="L95" i="113"/>
  <c r="V95" i="113"/>
  <c r="R85" i="113"/>
  <c r="O96" i="113"/>
  <c r="Q88" i="113"/>
  <c r="L79" i="113"/>
  <c r="M91" i="113"/>
  <c r="U79" i="113"/>
  <c r="I72" i="113"/>
  <c r="J83" i="113"/>
  <c r="P87" i="113"/>
  <c r="K95" i="113"/>
  <c r="F90" i="113"/>
  <c r="F92" i="113"/>
  <c r="L78" i="113"/>
  <c r="J90" i="113"/>
  <c r="J95" i="113"/>
  <c r="L74" i="113"/>
  <c r="G74" i="113"/>
  <c r="T73" i="113"/>
  <c r="D85" i="113"/>
  <c r="Q84" i="113"/>
  <c r="U75" i="113"/>
  <c r="H81" i="113"/>
  <c r="K72" i="113"/>
  <c r="K78" i="113"/>
  <c r="F86" i="113"/>
  <c r="I96" i="113"/>
  <c r="Q74" i="113"/>
  <c r="O94" i="113"/>
  <c r="S94" i="113"/>
  <c r="Q75" i="113"/>
  <c r="N94" i="113"/>
  <c r="N76" i="113"/>
  <c r="O84" i="113"/>
  <c r="G76" i="113"/>
  <c r="M79" i="113"/>
  <c r="D86" i="113"/>
  <c r="S72" i="113"/>
  <c r="K86" i="113"/>
  <c r="P93" i="113"/>
  <c r="R94" i="113"/>
  <c r="F77" i="113"/>
  <c r="D88" i="113"/>
  <c r="R92" i="113"/>
  <c r="D87" i="113"/>
  <c r="O76" i="113"/>
  <c r="T83" i="113"/>
  <c r="P90" i="113"/>
  <c r="I76" i="113"/>
  <c r="M87" i="113"/>
  <c r="J71" i="113"/>
  <c r="O83" i="113"/>
  <c r="I91" i="113"/>
  <c r="J73" i="113"/>
  <c r="K91" i="113"/>
  <c r="L86" i="113"/>
  <c r="H87" i="113"/>
  <c r="U72" i="113"/>
  <c r="D80" i="113"/>
  <c r="S87" i="113"/>
  <c r="L84" i="113"/>
  <c r="F82" i="113"/>
  <c r="S75" i="113"/>
  <c r="K93" i="113"/>
  <c r="L76" i="113"/>
  <c r="J81" i="113"/>
  <c r="G88" i="113"/>
  <c r="P71" i="113"/>
  <c r="O74" i="113"/>
  <c r="D83" i="113"/>
  <c r="G95" i="113"/>
  <c r="M92" i="113"/>
  <c r="J91" i="113"/>
  <c r="M83" i="113"/>
  <c r="R91" i="113"/>
  <c r="J89" i="113"/>
  <c r="L81" i="113"/>
  <c r="G96" i="113"/>
  <c r="T95" i="113"/>
  <c r="P94" i="113"/>
  <c r="L90" i="113"/>
  <c r="R74" i="113"/>
  <c r="I80" i="113"/>
  <c r="S92" i="113"/>
  <c r="M75" i="113"/>
  <c r="D77" i="113"/>
  <c r="N80" i="113"/>
  <c r="M88" i="113"/>
  <c r="S90" i="113"/>
  <c r="K85" i="113"/>
  <c r="J79" i="113"/>
  <c r="T81" i="113"/>
  <c r="J84" i="113"/>
  <c r="O95" i="113"/>
  <c r="M89" i="113"/>
  <c r="O89" i="113"/>
  <c r="R86" i="113"/>
  <c r="P95" i="113"/>
  <c r="T88" i="113"/>
  <c r="I73" i="113"/>
  <c r="K73" i="113"/>
  <c r="H96" i="113"/>
  <c r="M73" i="113"/>
  <c r="G93" i="113"/>
  <c r="T76" i="113"/>
  <c r="G78" i="113"/>
  <c r="M80" i="113"/>
  <c r="H93" i="113"/>
  <c r="T89" i="113"/>
  <c r="Q89" i="113"/>
  <c r="O80" i="113"/>
  <c r="D94" i="113"/>
  <c r="L71" i="113"/>
  <c r="I87" i="113"/>
  <c r="T75" i="113"/>
  <c r="D26" i="113"/>
  <c r="N73" i="113"/>
  <c r="F75" i="113"/>
  <c r="G86" i="113"/>
  <c r="G79" i="113"/>
  <c r="V80" i="113"/>
  <c r="U96" i="113"/>
  <c r="S82" i="113"/>
  <c r="V76" i="113"/>
  <c r="Q93" i="113"/>
  <c r="D96" i="113"/>
  <c r="E96" i="113"/>
  <c r="R76" i="113"/>
  <c r="H72" i="113"/>
  <c r="D95" i="113"/>
  <c r="E93" i="113"/>
  <c r="K83" i="113"/>
  <c r="T96" i="113"/>
  <c r="Q76" i="113"/>
  <c r="O81" i="113"/>
  <c r="F87" i="113"/>
  <c r="N93" i="113"/>
  <c r="M74" i="113"/>
  <c r="N79" i="113"/>
  <c r="T85" i="113"/>
  <c r="D79" i="113"/>
  <c r="R77" i="113"/>
  <c r="F78" i="113"/>
  <c r="N75" i="113"/>
  <c r="Q72" i="113"/>
  <c r="O91" i="113"/>
  <c r="L96" i="113"/>
  <c r="D82" i="113"/>
  <c r="P85" i="113"/>
  <c r="T84" i="113"/>
  <c r="U83" i="113"/>
  <c r="T86" i="113"/>
  <c r="R83" i="113"/>
  <c r="F94" i="113"/>
  <c r="D81" i="113"/>
  <c r="H95" i="113"/>
  <c r="H80" i="113"/>
  <c r="K96" i="113"/>
  <c r="U78" i="113"/>
  <c r="I92" i="113"/>
  <c r="M93" i="113"/>
  <c r="Q96" i="113"/>
  <c r="R87" i="113"/>
  <c r="V81" i="113"/>
  <c r="Q80" i="113"/>
  <c r="F73" i="113"/>
  <c r="J85" i="113"/>
  <c r="U84" i="113"/>
  <c r="R95" i="113"/>
  <c r="E89" i="113"/>
  <c r="N90" i="113"/>
  <c r="J92" i="113"/>
  <c r="H90" i="113"/>
  <c r="F85" i="113"/>
  <c r="D92" i="113"/>
  <c r="V72" i="113"/>
  <c r="E79" i="113"/>
  <c r="K79" i="113"/>
  <c r="H73" i="113"/>
  <c r="I82" i="113"/>
  <c r="G75" i="113"/>
  <c r="P73" i="113"/>
  <c r="G89" i="113"/>
  <c r="Q71" i="113"/>
  <c r="E77" i="113"/>
  <c r="Q91" i="113"/>
  <c r="N77" i="113"/>
  <c r="N74" i="113"/>
  <c r="P96" i="113"/>
  <c r="P81" i="113"/>
  <c r="H88" i="113"/>
  <c r="N84" i="113"/>
  <c r="M76" i="113"/>
  <c r="S96" i="113"/>
  <c r="T78" i="113"/>
  <c r="H74" i="113"/>
  <c r="G81" i="113"/>
  <c r="U94" i="113"/>
  <c r="S80" i="113"/>
  <c r="T82" i="113"/>
  <c r="F79" i="113"/>
  <c r="Q73" i="113"/>
  <c r="M96" i="113"/>
  <c r="I93" i="113"/>
  <c r="I85" i="113"/>
  <c r="V74" i="113"/>
  <c r="J82" i="113"/>
  <c r="V92" i="113"/>
  <c r="J87" i="113"/>
  <c r="D73" i="113"/>
  <c r="N78" i="113"/>
  <c r="M82" i="113"/>
  <c r="F88" i="113"/>
  <c r="L80" i="113"/>
  <c r="U91" i="113"/>
  <c r="S81" i="113"/>
  <c r="S85" i="113"/>
  <c r="O79" i="113"/>
  <c r="E85" i="113"/>
  <c r="I81" i="113"/>
  <c r="N72" i="113"/>
  <c r="J96" i="113"/>
  <c r="M71" i="113"/>
  <c r="T77" i="113"/>
  <c r="N89" i="113"/>
  <c r="K87" i="113"/>
  <c r="K74" i="113"/>
  <c r="R71" i="113"/>
  <c r="P86" i="113"/>
  <c r="V73" i="113"/>
  <c r="E88" i="113"/>
  <c r="V78" i="113"/>
  <c r="S79" i="113"/>
  <c r="J74" i="113"/>
  <c r="J72" i="113"/>
  <c r="E83" i="113"/>
  <c r="E80" i="113"/>
  <c r="L82" i="113"/>
  <c r="L91" i="113"/>
  <c r="U80" i="113"/>
  <c r="D71" i="113"/>
  <c r="S83" i="113"/>
  <c r="S88" i="113"/>
  <c r="H86" i="113"/>
  <c r="J94" i="113"/>
  <c r="J88" i="113"/>
  <c r="S76" i="113"/>
  <c r="G94" i="113"/>
  <c r="G72" i="113"/>
  <c r="M81" i="113"/>
  <c r="Q82" i="113"/>
  <c r="D89" i="113"/>
  <c r="G87" i="113"/>
  <c r="I79" i="113"/>
  <c r="V88" i="113"/>
  <c r="R81" i="113"/>
  <c r="T92" i="113"/>
  <c r="S73" i="113"/>
  <c r="U86" i="113"/>
  <c r="I71" i="113"/>
  <c r="K84" i="113"/>
  <c r="U93" i="113"/>
  <c r="Q95" i="113"/>
  <c r="V79" i="113"/>
  <c r="T91" i="113"/>
  <c r="Q87" i="113"/>
  <c r="L77" i="113"/>
  <c r="N96" i="113"/>
  <c r="J77" i="113"/>
  <c r="M95" i="113"/>
  <c r="P79" i="113"/>
  <c r="P89" i="113"/>
  <c r="T87" i="113"/>
  <c r="R93" i="113"/>
  <c r="K90" i="113"/>
  <c r="R75" i="113"/>
  <c r="O72" i="113"/>
  <c r="F74" i="113"/>
  <c r="P92" i="113"/>
  <c r="L73" i="113"/>
  <c r="R90" i="113"/>
  <c r="O82" i="113"/>
  <c r="N86" i="113"/>
  <c r="L92" i="113"/>
  <c r="F84" i="113"/>
  <c r="F71" i="113"/>
  <c r="M72" i="113"/>
  <c r="Q79" i="113"/>
  <c r="V89" i="113"/>
  <c r="T74" i="113"/>
  <c r="K92" i="113"/>
  <c r="U76" i="113"/>
  <c r="S86" i="113"/>
  <c r="P88" i="113"/>
  <c r="U85" i="113"/>
  <c r="V91" i="113"/>
  <c r="V93" i="113"/>
  <c r="H89" i="113"/>
  <c r="K94" i="113"/>
  <c r="I86" i="113"/>
  <c r="S91" i="113"/>
  <c r="E75" i="113"/>
  <c r="H78" i="113"/>
  <c r="H92" i="113"/>
  <c r="L94" i="113"/>
  <c r="U74" i="113"/>
  <c r="P74" i="113"/>
  <c r="O71" i="113"/>
  <c r="H75" i="113"/>
  <c r="Q78" i="113"/>
  <c r="G71" i="113"/>
  <c r="U77" i="113"/>
  <c r="F93" i="113"/>
  <c r="H84" i="113"/>
  <c r="Q81" i="113"/>
  <c r="I84" i="113"/>
  <c r="D21" i="113" a="1"/>
  <c r="M84" i="113"/>
  <c r="H82" i="113"/>
  <c r="J93" i="113"/>
  <c r="T79" i="113"/>
  <c r="Q92" i="113"/>
  <c r="I74" i="113"/>
  <c r="I78" i="113"/>
  <c r="E74" i="113"/>
  <c r="S84" i="113"/>
  <c r="D74" i="113"/>
  <c r="J75" i="113"/>
  <c r="F81" i="113"/>
  <c r="U88" i="113"/>
  <c r="E82" i="113"/>
  <c r="H91" i="113"/>
  <c r="K75" i="113"/>
  <c r="N85" i="113"/>
  <c r="V90" i="113"/>
  <c r="T72" i="113"/>
  <c r="R73" i="113"/>
  <c r="F80" i="113"/>
  <c r="I75" i="113"/>
  <c r="O88" i="113"/>
  <c r="L89" i="113"/>
  <c r="S89" i="113"/>
  <c r="N87" i="113"/>
  <c r="U90" i="113"/>
  <c r="N92" i="113"/>
  <c r="S77" i="113"/>
  <c r="S74" i="113"/>
  <c r="R78" i="113"/>
  <c r="K89" i="113"/>
  <c r="H94" i="113"/>
  <c r="L93" i="113"/>
  <c r="Q90" i="113"/>
  <c r="I90" i="113"/>
  <c r="Q83" i="113"/>
  <c r="Q86" i="113"/>
  <c r="U89" i="113"/>
  <c r="M90" i="113"/>
  <c r="Q94" i="113"/>
  <c r="V75" i="113"/>
  <c r="U71" i="113"/>
  <c r="L75" i="113"/>
  <c r="I94" i="113"/>
  <c r="V82" i="113"/>
  <c r="Q77" i="113"/>
  <c r="K77" i="113"/>
  <c r="I77" i="113"/>
  <c r="O78" i="113"/>
  <c r="O87" i="113"/>
  <c r="G82" i="113"/>
  <c r="K88" i="113"/>
  <c r="T80" i="113"/>
  <c r="G80" i="113"/>
  <c r="M77" i="113"/>
  <c r="I95" i="113"/>
  <c r="F76" i="113"/>
  <c r="V83" i="113"/>
  <c r="F83" i="113"/>
  <c r="D93" i="113"/>
  <c r="P91" i="113"/>
  <c r="O85" i="113"/>
  <c r="P76" i="113"/>
  <c r="D91" i="113"/>
  <c r="M85" i="113"/>
  <c r="P77" i="113"/>
  <c r="H71" i="113"/>
  <c r="L72" i="113"/>
  <c r="T90" i="113"/>
  <c r="S93" i="113"/>
  <c r="G83" i="113"/>
  <c r="L83" i="113"/>
  <c r="F95" i="113"/>
  <c r="D78" i="113"/>
  <c r="O77" i="113"/>
  <c r="F91" i="113"/>
  <c r="F96" i="113"/>
  <c r="O75" i="113"/>
  <c r="T94" i="113"/>
  <c r="O92" i="113"/>
  <c r="L85" i="113"/>
  <c r="Q85" i="113"/>
  <c r="J78" i="113"/>
  <c r="K81" i="113"/>
  <c r="V94" i="113"/>
  <c r="H83" i="113"/>
  <c r="R89" i="113"/>
  <c r="O73" i="113"/>
  <c r="V96" i="113"/>
  <c r="G84" i="113"/>
  <c r="E86" i="113"/>
  <c r="N88" i="113"/>
  <c r="L87" i="113"/>
  <c r="K80" i="113"/>
  <c r="N82" i="113"/>
  <c r="I83" i="113"/>
  <c r="H85" i="113"/>
  <c r="G92" i="113"/>
  <c r="H76" i="113"/>
  <c r="G85" i="113"/>
  <c r="I88" i="113"/>
  <c r="M94" i="113"/>
  <c r="P82" i="113"/>
  <c r="N95" i="113"/>
  <c r="J80" i="113"/>
  <c r="F89" i="113"/>
  <c r="D76" i="113"/>
  <c r="H77" i="113"/>
  <c r="O93" i="113"/>
  <c r="G91" i="113"/>
  <c r="N81" i="113"/>
  <c r="G77" i="113"/>
  <c r="H79" i="113"/>
  <c r="I89" i="113"/>
  <c r="V87" i="113"/>
  <c r="P72" i="113"/>
  <c r="K71" i="113"/>
  <c r="N83" i="113"/>
  <c r="N91" i="113"/>
  <c r="P83" i="113"/>
  <c r="P78" i="113"/>
  <c r="R72" i="113"/>
  <c r="G73" i="113"/>
  <c r="R82" i="113"/>
  <c r="O86" i="113"/>
  <c r="R96" i="113"/>
  <c r="F72" i="113"/>
  <c r="S95" i="113"/>
  <c r="D84" i="113"/>
  <c r="U81" i="113"/>
  <c r="E78" i="113"/>
  <c r="P80" i="113"/>
  <c r="U73" i="113"/>
  <c r="E72" i="113"/>
  <c r="R80" i="113"/>
  <c r="V77" i="113"/>
  <c r="U82" i="113"/>
  <c r="V71" i="113"/>
  <c r="J86" i="113"/>
  <c r="E92" i="113"/>
  <c r="V85" i="113"/>
  <c r="D75" i="113"/>
  <c r="L88" i="113"/>
  <c r="G90" i="113"/>
  <c r="S78" i="113"/>
  <c r="K76" i="113"/>
  <c r="S71" i="113"/>
  <c r="P75" i="113"/>
  <c r="R84" i="113"/>
  <c r="R79" i="113"/>
  <c r="E91" i="113"/>
  <c r="E84" i="113"/>
  <c r="E94" i="113"/>
  <c r="E87" i="113"/>
  <c r="E71" i="113"/>
  <c r="E73" i="113"/>
  <c r="E90" i="113"/>
  <c r="E76" i="113"/>
  <c r="E95" i="113"/>
  <c r="E81" i="113"/>
  <c r="D38" i="113" a="1"/>
  <c r="D39" i="113" a="1"/>
  <c r="D59" i="113" a="1"/>
  <c r="D47" i="113" a="1"/>
  <c r="D41" i="113" a="1"/>
  <c r="D58" i="113" a="1"/>
  <c r="D52" i="113" a="1"/>
  <c r="D46" i="113" a="1"/>
  <c r="D40" i="113" a="1"/>
  <c r="D51" i="113" a="1"/>
  <c r="D63" i="113" a="1"/>
  <c r="D57" i="113" a="1"/>
  <c r="D45" i="113" a="1"/>
  <c r="D62" i="113" a="1"/>
  <c r="D56" i="113" a="1"/>
  <c r="D50" i="113" a="1"/>
  <c r="D44" i="113" a="1"/>
  <c r="D61" i="113" a="1"/>
  <c r="D55" i="113" a="1"/>
  <c r="D49" i="113" a="1"/>
  <c r="D43" i="113" a="1"/>
  <c r="D60" i="113" a="1"/>
  <c r="D54" i="113" a="1"/>
  <c r="D48" i="113" a="1"/>
  <c r="D42" i="113" a="1"/>
  <c r="D53" i="113" a="1"/>
  <c r="D29" i="113" a="1"/>
  <c r="D59" i="113" l="1"/>
  <c r="D47" i="113"/>
  <c r="D41" i="113"/>
  <c r="D58" i="113"/>
  <c r="D52" i="113"/>
  <c r="D46" i="113"/>
  <c r="D40" i="113"/>
  <c r="D51" i="113"/>
  <c r="D63" i="113"/>
  <c r="D57" i="113"/>
  <c r="D45" i="113"/>
  <c r="D62" i="113"/>
  <c r="D56" i="113"/>
  <c r="D50" i="113"/>
  <c r="D44" i="113"/>
  <c r="D61" i="113"/>
  <c r="D55" i="113"/>
  <c r="D49" i="113"/>
  <c r="D43" i="113"/>
  <c r="D60" i="113"/>
  <c r="D54" i="113"/>
  <c r="D48" i="113"/>
  <c r="D42" i="113"/>
  <c r="D53" i="113"/>
  <c r="D39" i="113"/>
  <c r="D38" i="113"/>
  <c r="D29" i="113"/>
  <c r="D21" i="113"/>
  <c r="D33" i="113" a="1"/>
  <c r="D33" i="113" l="1"/>
  <c r="F29" i="113" a="1"/>
  <c r="S37" i="113" l="1"/>
  <c r="K37" i="113"/>
  <c r="N37" i="113"/>
  <c r="X37" i="113"/>
  <c r="L37" i="113"/>
  <c r="Z37" i="113"/>
  <c r="E37" i="113"/>
  <c r="U37" i="113"/>
  <c r="W37" i="113"/>
  <c r="R37" i="113"/>
  <c r="H37" i="113"/>
  <c r="P37" i="113"/>
  <c r="G37" i="113"/>
  <c r="I37" i="113"/>
  <c r="T37" i="113"/>
  <c r="J37" i="113"/>
  <c r="F37" i="113"/>
  <c r="Q37" i="113"/>
  <c r="M37" i="113"/>
  <c r="Y37" i="113"/>
  <c r="V37" i="113"/>
  <c r="O37" i="113"/>
  <c r="F29" i="113"/>
  <c r="D37" i="11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<sst xmlns="http://schemas.openxmlformats.org/spreadsheetml/2006/main" count="73" uniqueCount="59">
  <si>
    <t>P</t>
  </si>
  <si>
    <t>Физико - химические свойства флюида   PVT</t>
  </si>
  <si>
    <t>м3/м3</t>
  </si>
  <si>
    <t>С</t>
  </si>
  <si>
    <t>T</t>
  </si>
  <si>
    <t>,</t>
  </si>
  <si>
    <t>сП</t>
  </si>
  <si>
    <t>атмa</t>
  </si>
  <si>
    <t>МПа</t>
  </si>
  <si>
    <t>Ф</t>
  </si>
  <si>
    <r>
      <t>γ</t>
    </r>
    <r>
      <rPr>
        <vertAlign val="subscript"/>
        <sz val="11"/>
        <color theme="1"/>
        <rFont val="Calibri"/>
        <family val="2"/>
        <charset val="204"/>
      </rPr>
      <t>o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</si>
  <si>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g</t>
    </r>
  </si>
  <si>
    <r>
      <t>γ</t>
    </r>
    <r>
      <rPr>
        <vertAlign val="subscript"/>
        <sz val="11"/>
        <color theme="1"/>
        <rFont val="Calibri"/>
        <family val="2"/>
        <charset val="204"/>
        <scheme val="minor"/>
      </rPr>
      <t>w</t>
    </r>
  </si>
  <si>
    <r>
      <t>R</t>
    </r>
    <r>
      <rPr>
        <vertAlign val="subscript"/>
        <sz val="11"/>
        <color theme="1"/>
        <rFont val="Calibri"/>
        <family val="2"/>
        <charset val="204"/>
        <scheme val="minor"/>
      </rPr>
      <t>sb</t>
    </r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</si>
  <si>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rFont val="Arial Cyr"/>
        <charset val="204"/>
      </rPr>
      <t>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</si>
  <si>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r>
      <t>T</t>
    </r>
    <r>
      <rPr>
        <vertAlign val="subscript"/>
        <sz val="11"/>
        <color theme="1"/>
        <rFont val="Calibri"/>
        <family val="2"/>
        <charset val="204"/>
        <scheme val="minor"/>
      </rPr>
      <t>res</t>
    </r>
  </si>
  <si>
    <r>
      <t>P</t>
    </r>
    <r>
      <rPr>
        <vertAlign val="subscript"/>
        <sz val="11"/>
        <color theme="1"/>
        <rFont val="Calibri"/>
        <family val="2"/>
        <charset val="204"/>
        <scheme val="minor"/>
      </rPr>
      <t>b cal</t>
    </r>
  </si>
  <si>
    <r>
      <t>B</t>
    </r>
    <r>
      <rPr>
        <vertAlign val="subscript"/>
        <sz val="11"/>
        <color theme="1"/>
        <rFont val="Calibri"/>
        <family val="2"/>
        <charset val="204"/>
        <scheme val="minor"/>
      </rPr>
      <t>ob cal</t>
    </r>
  </si>
  <si>
    <r>
      <t>μ</t>
    </r>
    <r>
      <rPr>
        <vertAlign val="subscript"/>
        <sz val="11"/>
        <color theme="1"/>
        <rFont val="Calibri"/>
        <family val="2"/>
        <charset val="204"/>
      </rPr>
      <t>ob cal</t>
    </r>
  </si>
  <si>
    <r>
      <t>кг/м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</si>
  <si>
    <t>Упражнения по работе с макросами Unifloc VBA</t>
  </si>
  <si>
    <t>Расчет базовых PVT свойств нефти</t>
  </si>
  <si>
    <r>
      <t>R</t>
    </r>
    <r>
      <rPr>
        <vertAlign val="subscript"/>
        <sz val="10"/>
        <rFont val="Arial Cyr"/>
        <charset val="204"/>
      </rPr>
      <t>s</t>
    </r>
  </si>
  <si>
    <r>
      <t>B</t>
    </r>
    <r>
      <rPr>
        <vertAlign val="subscript"/>
        <sz val="10"/>
        <rFont val="Arial Cyr"/>
        <charset val="204"/>
      </rPr>
      <t>o</t>
    </r>
  </si>
  <si>
    <r>
      <rPr>
        <sz val="10"/>
        <rFont val="Calibri"/>
        <family val="2"/>
        <charset val="204"/>
      </rPr>
      <t>μ</t>
    </r>
    <r>
      <rPr>
        <vertAlign val="subscript"/>
        <sz val="10"/>
        <rFont val="Arial Cyr"/>
        <charset val="204"/>
      </rPr>
      <t>o</t>
    </r>
  </si>
  <si>
    <r>
      <t>μ</t>
    </r>
    <r>
      <rPr>
        <vertAlign val="subscript"/>
        <sz val="10"/>
        <rFont val="Calibri"/>
        <family val="2"/>
        <charset val="204"/>
      </rPr>
      <t>g</t>
    </r>
  </si>
  <si>
    <r>
      <t>μ</t>
    </r>
    <r>
      <rPr>
        <vertAlign val="subscript"/>
        <sz val="10"/>
        <rFont val="Calibri"/>
        <family val="2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</si>
  <si>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g</t>
    </r>
  </si>
  <si>
    <r>
      <t>ρ</t>
    </r>
    <r>
      <rPr>
        <vertAlign val="subscript"/>
        <sz val="10"/>
        <rFont val="Arial Cyr"/>
        <charset val="204"/>
      </rPr>
      <t>w</t>
    </r>
  </si>
  <si>
    <r>
      <t>ρ</t>
    </r>
    <r>
      <rPr>
        <vertAlign val="subscript"/>
        <sz val="10"/>
        <rFont val="Arial Cyr"/>
        <charset val="204"/>
      </rPr>
      <t>o</t>
    </r>
  </si>
  <si>
    <t>версия</t>
  </si>
  <si>
    <t>PVT строка</t>
  </si>
  <si>
    <r>
      <t>м</t>
    </r>
    <r>
      <rPr>
        <vertAlign val="superscript"/>
        <sz val="11"/>
        <color theme="1"/>
        <rFont val="Calibri"/>
        <family val="2"/>
        <charset val="204"/>
        <scheme val="minor"/>
      </rPr>
      <t>3</t>
    </r>
    <r>
      <rPr>
        <sz val="10"/>
        <color theme="1"/>
        <rFont val="Arial Cyr"/>
        <charset val="204"/>
      </rPr>
      <t>/т</t>
    </r>
  </si>
  <si>
    <r>
      <t>B</t>
    </r>
    <r>
      <rPr>
        <vertAlign val="subscript"/>
        <sz val="10"/>
        <rFont val="Arial Cyr"/>
      </rPr>
      <t>g</t>
    </r>
  </si>
  <si>
    <t>ST_oilgas</t>
  </si>
  <si>
    <t>ST_watgas</t>
  </si>
  <si>
    <t>ST_liqgas</t>
  </si>
  <si>
    <t>Курс</t>
  </si>
  <si>
    <t>Примечание</t>
  </si>
  <si>
    <t>Хабибуллин Ринат</t>
  </si>
  <si>
    <t>Группа</t>
  </si>
  <si>
    <t>РиЭНМ</t>
  </si>
  <si>
    <t>Пример выполнения упражнения</t>
  </si>
  <si>
    <t>Date</t>
  </si>
  <si>
    <t>Version</t>
  </si>
  <si>
    <t>Имя</t>
  </si>
  <si>
    <t>co</t>
  </si>
  <si>
    <t>cpo</t>
  </si>
  <si>
    <t>cpg</t>
  </si>
  <si>
    <t>cpw</t>
  </si>
  <si>
    <t>cw</t>
  </si>
  <si>
    <t>cg</t>
  </si>
  <si>
    <r>
      <t>B</t>
    </r>
    <r>
      <rPr>
        <vertAlign val="subscript"/>
        <sz val="10"/>
        <rFont val="Arial Cyr"/>
      </rPr>
      <t>w</t>
    </r>
  </si>
  <si>
    <t xml:space="preserve">Параметры расчета </t>
  </si>
  <si>
    <t>show_log</t>
  </si>
  <si>
    <t>Расчет параметров флюида с использованием функции PVT_calc</t>
  </si>
  <si>
    <t>Расчет свойств флюида с использованием отдельных функций</t>
  </si>
  <si>
    <t>PVT_correlation</t>
  </si>
  <si>
    <t>РГУ ИРДН 2023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</si>
</sst>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* #,##0.00_);_(* \(#,##0.00\);_(* &quot;-&quot;??_);_(@_)"/>
    <numFmt numFmtId="165" formatCode="0.000"/>
    <numFmt numFmtId="166" formatCode="0.0E+00"/>
    <numFmt numFmtId="167" formatCode="0.0"/>
  </numFmts>
  <fonts count="19" x14ac:knownFonts="1"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Times New Roman Cyr"/>
      <charset val="204"/>
    </font>
    <font>
      <sz val="11"/>
      <color theme="1"/>
      <name val="Calibri"/>
      <family val="2"/>
      <scheme val="minor"/>
    </font>
    <font>
      <b/>
      <sz val="10"/>
      <name val="Arial Cyr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</font>
    <font>
      <vertAlign val="subscript"/>
      <sz val="11"/>
      <color theme="1"/>
      <name val="Calibri"/>
      <family val="2"/>
      <charset val="204"/>
      <scheme val="minor"/>
    </font>
    <font>
      <vertAlign val="subscript"/>
      <sz val="11"/>
      <color theme="1"/>
      <name val="Calibri"/>
      <family val="2"/>
      <charset val="204"/>
    </font>
    <font>
      <vertAlign val="superscript"/>
      <sz val="11"/>
      <color theme="1"/>
      <name val="Calibri"/>
      <family val="2"/>
      <charset val="204"/>
      <scheme val="minor"/>
    </font>
    <font>
      <sz val="10"/>
      <name val="Calibri"/>
      <family val="2"/>
      <charset val="204"/>
    </font>
    <font>
      <vertAlign val="subscript"/>
      <sz val="10"/>
      <name val="Arial Cyr"/>
      <charset val="204"/>
    </font>
    <font>
      <vertAlign val="subscript"/>
      <sz val="10"/>
      <name val="Calibri"/>
      <family val="2"/>
      <charset val="204"/>
    </font>
    <font>
      <sz val="10"/>
      <name val="Arial Cyr"/>
      <family val="2"/>
      <charset val="204"/>
    </font>
    <font>
      <sz val="10"/>
      <color theme="1"/>
      <name val="Arial Cyr"/>
      <charset val="204"/>
    </font>
    <font>
      <vertAlign val="subscript"/>
      <sz val="10"/>
      <name val="Arial Cyr"/>
    </font>
    <font>
      <b/>
      <sz val="10"/>
      <name val="Arial Cyr"/>
    </font>
  </fonts>
  <fills count="8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</fills>
  <borders count="1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4" fillId="0" borderId="1"/>
    <xf numFmtId="0" fontId="5" fillId="0" borderId="0"/>
    <xf numFmtId="0" fontId="3" fillId="0" borderId="0"/>
    <xf numFmtId="0" fontId="2" fillId="0" borderId="0"/>
    <xf numFmtId="164" fontId="7" fillId="0" borderId="0" applyFont="0" applyFill="0" applyBorder="0" applyAlignment="0" applyProtection="0"/>
    <xf numFmtId="0" fontId="1" fillId="0" borderId="0"/>
    <xf numFmtId="9" fontId="1" fillId="0" borderId="0" applyFont="0" applyFill="0" applyBorder="0" applyAlignment="0" applyProtection="0"/>
  </cellStyleXfs>
  <cellXfs count="73">
    <xf numFmtId="0" fontId="0" fillId="0" borderId="0" xfId="0"/>
    <xf numFmtId="0" fontId="6" fillId="0" borderId="0" xfId="0" applyFont="1"/>
    <xf numFmtId="0" fontId="0" fillId="2" borderId="2" xfId="0" applyFill="1" applyBorder="1" applyAlignment="1">
      <alignment horizontal="center"/>
    </xf>
    <xf numFmtId="0" fontId="0" fillId="0" borderId="0" xfId="0" quotePrefix="1"/>
    <xf numFmtId="0" fontId="0" fillId="3" borderId="2" xfId="0" applyFill="1" applyBorder="1" applyAlignment="1">
      <alignment horizontal="center"/>
    </xf>
    <xf numFmtId="0" fontId="8" fillId="3" borderId="2" xfId="0" applyFont="1" applyFill="1" applyBorder="1" applyAlignment="1">
      <alignment horizontal="center"/>
    </xf>
    <xf numFmtId="0" fontId="0" fillId="3" borderId="2" xfId="0" applyFill="1" applyBorder="1"/>
    <xf numFmtId="0" fontId="0" fillId="3" borderId="2" xfId="0" applyFill="1" applyBorder="1" applyAlignment="1">
      <alignment horizontal="center" wrapText="1"/>
    </xf>
    <xf numFmtId="0" fontId="8" fillId="3" borderId="2" xfId="0" applyFont="1" applyFill="1" applyBorder="1" applyAlignment="1">
      <alignment horizontal="center" wrapText="1"/>
    </xf>
    <xf numFmtId="0" fontId="0" fillId="3" borderId="2" xfId="0" applyFill="1" applyBorder="1" applyAlignment="1">
      <alignment horizontal="center" vertical="center"/>
    </xf>
    <xf numFmtId="0" fontId="15" fillId="3" borderId="2" xfId="0" applyFont="1" applyFill="1" applyBorder="1" applyAlignment="1">
      <alignment horizontal="center" vertical="center"/>
    </xf>
    <xf numFmtId="0" fontId="12" fillId="3" borderId="2" xfId="0" applyFont="1" applyFill="1" applyBorder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1" fontId="0" fillId="4" borderId="2" xfId="0" applyNumberFormat="1" applyFill="1" applyBorder="1" applyAlignment="1">
      <alignment horizontal="center" vertical="center"/>
    </xf>
    <xf numFmtId="2" fontId="0" fillId="4" borderId="2" xfId="0" applyNumberFormat="1" applyFill="1" applyBorder="1" applyAlignment="1">
      <alignment horizontal="center" vertical="center"/>
    </xf>
    <xf numFmtId="165" fontId="0" fillId="4" borderId="2" xfId="0" applyNumberFormat="1" applyFill="1" applyBorder="1" applyAlignment="1">
      <alignment horizontal="center" vertical="center"/>
    </xf>
    <xf numFmtId="0" fontId="16" fillId="4" borderId="2" xfId="0" applyFont="1" applyFill="1" applyBorder="1" applyAlignment="1">
      <alignment horizontal="center"/>
    </xf>
    <xf numFmtId="0" fontId="16" fillId="3" borderId="2" xfId="0" applyFont="1" applyFill="1" applyBorder="1" applyAlignment="1">
      <alignment horizontal="center"/>
    </xf>
    <xf numFmtId="1" fontId="16" fillId="4" borderId="2" xfId="0" applyNumberFormat="1" applyFont="1" applyFill="1" applyBorder="1" applyAlignment="1">
      <alignment horizontal="center"/>
    </xf>
    <xf numFmtId="0" fontId="0" fillId="5" borderId="2" xfId="0" applyFill="1" applyBorder="1" applyAlignment="1">
      <alignment horizontal="center"/>
    </xf>
    <xf numFmtId="165" fontId="0" fillId="4" borderId="2" xfId="0" applyNumberFormat="1" applyFill="1" applyBorder="1" applyAlignment="1">
      <alignment horizontal="center"/>
    </xf>
    <xf numFmtId="0" fontId="0" fillId="3" borderId="16" xfId="0" applyFill="1" applyBorder="1"/>
    <xf numFmtId="0" fontId="8" fillId="3" borderId="2" xfId="0" applyFont="1" applyFill="1" applyBorder="1" applyAlignment="1">
      <alignment horizontal="left"/>
    </xf>
    <xf numFmtId="0" fontId="0" fillId="4" borderId="3" xfId="0" applyFill="1" applyBorder="1"/>
    <xf numFmtId="0" fontId="0" fillId="4" borderId="4" xfId="0" applyFill="1" applyBorder="1"/>
    <xf numFmtId="14" fontId="0" fillId="4" borderId="8" xfId="0" applyNumberFormat="1" applyFill="1" applyBorder="1" applyAlignment="1">
      <alignment horizontal="left" vertical="top"/>
    </xf>
    <xf numFmtId="0" fontId="0" fillId="4" borderId="9" xfId="0" applyFill="1" applyBorder="1"/>
    <xf numFmtId="0" fontId="0" fillId="4" borderId="11" xfId="0" applyFill="1" applyBorder="1"/>
    <xf numFmtId="0" fontId="0" fillId="4" borderId="16" xfId="0" applyFill="1" applyBorder="1" applyAlignment="1">
      <alignment horizontal="left" vertical="top"/>
    </xf>
    <xf numFmtId="1" fontId="0" fillId="4" borderId="2" xfId="0" applyNumberFormat="1" applyFill="1" applyBorder="1" applyAlignment="1">
      <alignment horizontal="center"/>
    </xf>
    <xf numFmtId="166" fontId="0" fillId="4" borderId="2" xfId="0" applyNumberFormat="1" applyFill="1" applyBorder="1" applyAlignment="1">
      <alignment horizontal="center"/>
    </xf>
    <xf numFmtId="0" fontId="0" fillId="0" borderId="0" xfId="0" applyAlignment="1">
      <alignment wrapText="1"/>
    </xf>
    <xf numFmtId="0" fontId="0" fillId="3" borderId="2" xfId="0" applyFill="1" applyBorder="1" applyAlignment="1">
      <alignment horizontal="center" vertical="center" wrapText="1"/>
    </xf>
    <xf numFmtId="1" fontId="0" fillId="7" borderId="2" xfId="0" applyNumberFormat="1" applyFill="1" applyBorder="1" applyAlignment="1">
      <alignment horizontal="center"/>
    </xf>
    <xf numFmtId="2" fontId="0" fillId="7" borderId="2" xfId="0" applyNumberFormat="1" applyFill="1" applyBorder="1" applyAlignment="1">
      <alignment horizontal="center"/>
    </xf>
    <xf numFmtId="165" fontId="0" fillId="7" borderId="2" xfId="0" applyNumberFormat="1" applyFill="1" applyBorder="1" applyAlignment="1">
      <alignment horizontal="center"/>
    </xf>
    <xf numFmtId="11" fontId="0" fillId="7" borderId="2" xfId="0" applyNumberFormat="1" applyFill="1" applyBorder="1" applyAlignment="1">
      <alignment horizontal="center"/>
    </xf>
    <xf numFmtId="0" fontId="0" fillId="7" borderId="2" xfId="0" applyFill="1" applyBorder="1"/>
    <xf numFmtId="0" fontId="0" fillId="2" borderId="2" xfId="0" applyFill="1" applyBorder="1"/>
    <xf numFmtId="1" fontId="16" fillId="4" borderId="2" xfId="0" applyNumberFormat="1" applyFont="1" applyFill="1" applyBorder="1" applyAlignment="1">
      <alignment horizontal="left"/>
    </xf>
    <xf numFmtId="0" fontId="0" fillId="4" borderId="16" xfId="0" applyFill="1" applyBorder="1"/>
    <xf numFmtId="0" fontId="0" fillId="2" borderId="16" xfId="0" applyFill="1" applyBorder="1" applyAlignment="1">
      <alignment horizontal="center" vertical="center"/>
    </xf>
    <xf numFmtId="0" fontId="0" fillId="7" borderId="9" xfId="0" applyFill="1" applyBorder="1"/>
    <xf numFmtId="0" fontId="0" fillId="7" borderId="11" xfId="0" applyFill="1" applyBorder="1"/>
    <xf numFmtId="0" fontId="0" fillId="7" borderId="14" xfId="0" applyFill="1" applyBorder="1"/>
    <xf numFmtId="0" fontId="0" fillId="7" borderId="15" xfId="0" applyFill="1" applyBorder="1"/>
    <xf numFmtId="167" fontId="0" fillId="4" borderId="2" xfId="0" applyNumberFormat="1" applyFill="1" applyBorder="1" applyAlignment="1">
      <alignment horizontal="center" vertical="center"/>
    </xf>
    <xf numFmtId="0" fontId="0" fillId="4" borderId="8" xfId="0" applyFill="1" applyBorder="1"/>
    <xf numFmtId="0" fontId="0" fillId="4" borderId="13" xfId="0" applyFill="1" applyBorder="1"/>
    <xf numFmtId="0" fontId="0" fillId="4" borderId="15" xfId="0" applyFill="1" applyBorder="1"/>
    <xf numFmtId="0" fontId="0" fillId="0" borderId="0" xfId="0" applyFill="1" applyBorder="1"/>
    <xf numFmtId="0" fontId="18" fillId="3" borderId="16" xfId="0" applyFont="1" applyFill="1" applyBorder="1" applyAlignment="1">
      <alignment wrapText="1"/>
    </xf>
    <xf numFmtId="0" fontId="0" fillId="3" borderId="4" xfId="0" applyFill="1" applyBorder="1"/>
    <xf numFmtId="0" fontId="18" fillId="3" borderId="14" xfId="0" applyFont="1" applyFill="1" applyBorder="1" applyAlignment="1">
      <alignment horizontal="left" wrapText="1"/>
    </xf>
    <xf numFmtId="0" fontId="18" fillId="3" borderId="15" xfId="0" applyFont="1" applyFill="1" applyBorder="1" applyAlignment="1">
      <alignment horizontal="left" wrapText="1"/>
    </xf>
    <xf numFmtId="0" fontId="0" fillId="3" borderId="5" xfId="0" applyFill="1" applyBorder="1" applyAlignment="1">
      <alignment horizontal="left" vertical="top"/>
    </xf>
    <xf numFmtId="0" fontId="0" fillId="3" borderId="6" xfId="0" applyFill="1" applyBorder="1" applyAlignment="1">
      <alignment horizontal="left" vertical="top"/>
    </xf>
    <xf numFmtId="0" fontId="0" fillId="3" borderId="7" xfId="0" applyFill="1" applyBorder="1" applyAlignment="1">
      <alignment horizontal="left" vertical="top"/>
    </xf>
    <xf numFmtId="0" fontId="0" fillId="6" borderId="8" xfId="0" applyFill="1" applyBorder="1" applyAlignment="1">
      <alignment horizontal="left" vertical="top"/>
    </xf>
    <xf numFmtId="0" fontId="0" fillId="6" borderId="9" xfId="0" applyFill="1" applyBorder="1" applyAlignment="1">
      <alignment horizontal="left" vertical="top"/>
    </xf>
    <xf numFmtId="0" fontId="0" fillId="6" borderId="11" xfId="0" applyFill="1" applyBorder="1" applyAlignment="1">
      <alignment horizontal="left" vertical="top"/>
    </xf>
    <xf numFmtId="0" fontId="0" fillId="6" borderId="10" xfId="0" applyFill="1" applyBorder="1" applyAlignment="1">
      <alignment horizontal="left" vertical="top"/>
    </xf>
    <xf numFmtId="0" fontId="0" fillId="6" borderId="0" xfId="0" applyFill="1" applyBorder="1" applyAlignment="1">
      <alignment horizontal="left" vertical="top"/>
    </xf>
    <xf numFmtId="0" fontId="0" fillId="6" borderId="12" xfId="0" applyFill="1" applyBorder="1" applyAlignment="1">
      <alignment horizontal="left" vertical="top"/>
    </xf>
    <xf numFmtId="0" fontId="0" fillId="6" borderId="13" xfId="0" applyFill="1" applyBorder="1" applyAlignment="1">
      <alignment horizontal="left" vertical="top"/>
    </xf>
    <xf numFmtId="0" fontId="0" fillId="6" borderId="14" xfId="0" applyFill="1" applyBorder="1" applyAlignment="1">
      <alignment horizontal="left" vertical="top"/>
    </xf>
    <xf numFmtId="0" fontId="0" fillId="6" borderId="15" xfId="0" applyFill="1" applyBorder="1" applyAlignment="1">
      <alignment horizontal="left" vertical="top"/>
    </xf>
    <xf numFmtId="0" fontId="0" fillId="3" borderId="2" xfId="0" applyFill="1" applyBorder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0" fontId="0" fillId="6" borderId="3" xfId="0" applyFill="1" applyBorder="1" applyAlignment="1">
      <alignment horizontal="left"/>
    </xf>
    <xf numFmtId="0" fontId="0" fillId="6" borderId="4" xfId="0" applyFill="1" applyBorder="1" applyAlignment="1">
      <alignment horizontal="left"/>
    </xf>
    <xf numFmtId="0" fontId="0" fillId="4" borderId="7" xfId="0" applyFill="1" applyBorder="1" applyAlignment="1">
      <alignment horizontal="left"/>
    </xf>
    <xf numFmtId="0" fontId="0" fillId="4" borderId="2" xfId="0" applyFill="1" applyBorder="1" applyAlignment="1">
      <alignment horizontal="left"/>
    </xf>
  </cellXfs>
  <cellStyles count="8">
    <cellStyle name="Iau?iue_AA_1" xfId="1" xr:uid="{00000000-0005-0000-0000-000000000000}"/>
    <cellStyle name="Обычный" xfId="0" builtinId="0"/>
    <cellStyle name="Обычный 2" xfId="2" xr:uid="{00000000-0005-0000-0000-000003000000}"/>
    <cellStyle name="Обычный 3" xfId="3" xr:uid="{00000000-0005-0000-0000-000004000000}"/>
    <cellStyle name="Обычный 3 2" xfId="4" xr:uid="{00000000-0005-0000-0000-000005000000}"/>
    <cellStyle name="Обычный 4" xfId="6" xr:uid="{00000000-0005-0000-0000-000006000000}"/>
    <cellStyle name="Процентный 2" xfId="7" xr:uid="{00000000-0005-0000-0000-000007000000}"/>
    <cellStyle name="Финансовый 2" xfId="5" xr:uid="{00000000-0005-0000-0000-000008000000}"/>
  </cellStyles>
  <dxfs count="0"/>
  <tableStyles count="0" defaultTableStyle="TableStyleMedium2" defaultPivotStyle="PivotStyleLight16"/>
  <colors>
    <mruColors>
      <color rgb="FFFFFF99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Вязкость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exercise_PVT!$F$70</c:f>
              <c:strCache>
                <c:ptCount val="1"/>
                <c:pt idx="0">
                  <c:v>μo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exercise_PVT!$I$38:$I$63</c:f>
              <c:numCache>
                <c:formatCode>0.00</c:formatCode>
                <c:ptCount val="26"/>
                <c:pt idx="0">
                  <c:v>5.8817089283756099</c:v>
                </c:pt>
                <c:pt idx="1">
                  <c:v>4.3614318264026997</c:v>
                </c:pt>
                <c:pt idx="2">
                  <c:v>3.86523611398637</c:v>
                </c:pt>
                <c:pt idx="3">
                  <c:v>3.3298018270592502</c:v>
                </c:pt>
                <c:pt idx="4">
                  <c:v>2.74751104782864</c:v>
                </c:pt>
                <c:pt idx="5">
                  <c:v>2.3833798490418201</c:v>
                </c:pt>
                <c:pt idx="6">
                  <c:v>2.1144840427529599</c:v>
                </c:pt>
                <c:pt idx="7">
                  <c:v>1.9006398144438601</c:v>
                </c:pt>
                <c:pt idx="8">
                  <c:v>1.7234904651246299</c:v>
                </c:pt>
                <c:pt idx="9">
                  <c:v>1.5730301289491899</c:v>
                </c:pt>
                <c:pt idx="10">
                  <c:v>1.44314579802133</c:v>
                </c:pt>
                <c:pt idx="11">
                  <c:v>1.32978593899882</c:v>
                </c:pt>
                <c:pt idx="12">
                  <c:v>1.2730498856894299</c:v>
                </c:pt>
                <c:pt idx="13">
                  <c:v>1.29606054553033</c:v>
                </c:pt>
                <c:pt idx="14">
                  <c:v>1.3190712053712399</c:v>
                </c:pt>
                <c:pt idx="15">
                  <c:v>1.34208186521215</c:v>
                </c:pt>
                <c:pt idx="16">
                  <c:v>1.3650925250530499</c:v>
                </c:pt>
                <c:pt idx="17">
                  <c:v>1.38810318489396</c:v>
                </c:pt>
                <c:pt idx="18">
                  <c:v>1.4111138447348699</c:v>
                </c:pt>
                <c:pt idx="19">
                  <c:v>1.43412450457577</c:v>
                </c:pt>
                <c:pt idx="20">
                  <c:v>1.4571351644166799</c:v>
                </c:pt>
                <c:pt idx="21">
                  <c:v>1.48014582425758</c:v>
                </c:pt>
                <c:pt idx="22">
                  <c:v>1.5031564840984899</c:v>
                </c:pt>
                <c:pt idx="23">
                  <c:v>1.5261671439394</c:v>
                </c:pt>
                <c:pt idx="24">
                  <c:v>1.5491778037802999</c:v>
                </c:pt>
                <c:pt idx="25">
                  <c:v>1.57218846362121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EAA-4171-9396-3613447B9395}"/>
            </c:ext>
          </c:extLst>
        </c:ser>
        <c:ser>
          <c:idx val="1"/>
          <c:order val="1"/>
          <c:tx>
            <c:strRef>
              <c:f>exercise_PVT!$H$70</c:f>
              <c:strCache>
                <c:ptCount val="1"/>
                <c:pt idx="0">
                  <c:v>μw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exercise_PVT!$K$38:$K$63</c:f>
              <c:numCache>
                <c:formatCode>0.00</c:formatCode>
                <c:ptCount val="26"/>
                <c:pt idx="0">
                  <c:v>0.49450516561346203</c:v>
                </c:pt>
                <c:pt idx="1">
                  <c:v>0.49568448521335701</c:v>
                </c:pt>
                <c:pt idx="2">
                  <c:v>0.49717356350540998</c:v>
                </c:pt>
                <c:pt idx="3">
                  <c:v>0.50020148273013199</c:v>
                </c:pt>
                <c:pt idx="4">
                  <c:v>0.50645637174203595</c:v>
                </c:pt>
                <c:pt idx="5">
                  <c:v>0.51297666150388799</c:v>
                </c:pt>
                <c:pt idx="6">
                  <c:v>0.51976235201568799</c:v>
                </c:pt>
                <c:pt idx="7">
                  <c:v>0.52681344327743596</c:v>
                </c:pt>
                <c:pt idx="8">
                  <c:v>0.534129935289131</c:v>
                </c:pt>
                <c:pt idx="9">
                  <c:v>0.541711828050775</c:v>
                </c:pt>
                <c:pt idx="10">
                  <c:v>0.54955912156236597</c:v>
                </c:pt>
                <c:pt idx="11">
                  <c:v>0.55767181582390601</c:v>
                </c:pt>
                <c:pt idx="12">
                  <c:v>0.56604991083539302</c:v>
                </c:pt>
                <c:pt idx="13">
                  <c:v>0.57469340659682799</c:v>
                </c:pt>
                <c:pt idx="14">
                  <c:v>0.58360230310821104</c:v>
                </c:pt>
                <c:pt idx="15">
                  <c:v>0.59277660036954205</c:v>
                </c:pt>
                <c:pt idx="16">
                  <c:v>0.60221629838082102</c:v>
                </c:pt>
                <c:pt idx="17">
                  <c:v>0.61192139714204796</c:v>
                </c:pt>
                <c:pt idx="18">
                  <c:v>0.62189189665322298</c:v>
                </c:pt>
                <c:pt idx="19">
                  <c:v>0.63212779691434595</c:v>
                </c:pt>
                <c:pt idx="20">
                  <c:v>0.642629097925416</c:v>
                </c:pt>
                <c:pt idx="21">
                  <c:v>0.65339579968643502</c:v>
                </c:pt>
                <c:pt idx="22">
                  <c:v>0.664427902197401</c:v>
                </c:pt>
                <c:pt idx="23">
                  <c:v>0.67572540545831505</c:v>
                </c:pt>
                <c:pt idx="24">
                  <c:v>0.68728830946917696</c:v>
                </c:pt>
                <c:pt idx="25">
                  <c:v>0.69911661422998705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EAA-4171-9396-3613447B9395}"/>
            </c:ext>
          </c:extLst>
        </c:ser>
        <c:ser>
          <c:idx val="2"/>
          <c:order val="2"/>
          <c:tx>
            <c:strRef>
              <c:f>exercise_PVT!$G$70</c:f>
              <c:strCache>
                <c:ptCount val="1"/>
                <c:pt idx="0">
                  <c:v>μg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exercise_PVT!$J$38:$J$63</c:f>
              <c:numCache>
                <c:formatCode>0.00</c:formatCode>
                <c:ptCount val="26"/>
                <c:pt idx="0">
                  <c:v>1.1660919395050101E-2</c:v>
                </c:pt>
                <c:pt idx="1">
                  <c:v>1.1716093611280801E-2</c:v>
                </c:pt>
                <c:pt idx="2">
                  <c:v>1.1808987320130899E-2</c:v>
                </c:pt>
                <c:pt idx="3">
                  <c:v>1.20480710401587E-2</c:v>
                </c:pt>
                <c:pt idx="4">
                  <c:v>1.27184512770108E-2</c:v>
                </c:pt>
                <c:pt idx="5">
                  <c:v>1.3682645275706401E-2</c:v>
                </c:pt>
                <c:pt idx="6">
                  <c:v>1.49958249568269E-2</c:v>
                </c:pt>
                <c:pt idx="7">
                  <c:v>1.6662090323001599E-2</c:v>
                </c:pt>
                <c:pt idx="8">
                  <c:v>1.8612671003194099E-2</c:v>
                </c:pt>
                <c:pt idx="9">
                  <c:v>2.0733492057591601E-2</c:v>
                </c:pt>
                <c:pt idx="10">
                  <c:v>2.2911561151152698E-2</c:v>
                </c:pt>
                <c:pt idx="11">
                  <c:v>2.5065367115478101E-2</c:v>
                </c:pt>
                <c:pt idx="12">
                  <c:v>2.7149989853059699E-2</c:v>
                </c:pt>
                <c:pt idx="13">
                  <c:v>2.9147599743131501E-2</c:v>
                </c:pt>
                <c:pt idx="14">
                  <c:v>3.10555308872686E-2</c:v>
                </c:pt>
                <c:pt idx="15">
                  <c:v>3.2877589940684501E-2</c:v>
                </c:pt>
                <c:pt idx="16">
                  <c:v>3.4619250690228802E-2</c:v>
                </c:pt>
                <c:pt idx="17">
                  <c:v>3.6285578432125397E-2</c:v>
                </c:pt>
                <c:pt idx="18">
                  <c:v>3.7880656112842699E-2</c:v>
                </c:pt>
                <c:pt idx="19">
                  <c:v>3.9407689305848002E-2</c:v>
                </c:pt>
                <c:pt idx="20">
                  <c:v>4.0869339901965202E-2</c:v>
                </c:pt>
                <c:pt idx="21">
                  <c:v>4.2268075916358401E-2</c:v>
                </c:pt>
                <c:pt idx="22">
                  <c:v>4.3606453351793903E-2</c:v>
                </c:pt>
                <c:pt idx="23">
                  <c:v>4.4887308467026897E-2</c:v>
                </c:pt>
                <c:pt idx="24">
                  <c:v>4.6113865949030899E-2</c:v>
                </c:pt>
                <c:pt idx="25">
                  <c:v>4.7289778277559397E-2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EAA-4171-9396-3613447B9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At val="1.0000000000000002E-2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Вязкость </a:t>
                </a:r>
                <a:r>
                  <a:rPr lang="ru-RU" baseline="0"/>
                  <a:t>, сП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Плотность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7203064567418266"/>
          <c:y val="0.12115779913539503"/>
          <c:w val="0.78441444872543875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exercise_PVT!$K$70</c:f>
              <c:strCache>
                <c:ptCount val="1"/>
                <c:pt idx="0">
                  <c:v>ρo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exercise_PVT!$L$38:$L$63</c:f>
              <c:numCache>
                <c:formatCode>0</c:formatCode>
                <c:ptCount val="26"/>
                <c:pt idx="0">
                  <c:v>853.23409663014002</c:v>
                </c:pt>
                <c:pt idx="1">
                  <c:v>839.64708194673199</c:v>
                </c:pt>
                <c:pt idx="2">
                  <c:v>833.50901217482703</c:v>
                </c:pt>
                <c:pt idx="3">
                  <c:v>825.45464852416796</c:v>
                </c:pt>
                <c:pt idx="4">
                  <c:v>814.33601694639799</c:v>
                </c:pt>
                <c:pt idx="5">
                  <c:v>805.579823812173</c:v>
                </c:pt>
                <c:pt idx="6">
                  <c:v>797.83614859835302</c:v>
                </c:pt>
                <c:pt idx="7">
                  <c:v>790.63151319097904</c:v>
                </c:pt>
                <c:pt idx="8">
                  <c:v>783.745513235472</c:v>
                </c:pt>
                <c:pt idx="9">
                  <c:v>777.06121982833099</c:v>
                </c:pt>
                <c:pt idx="10">
                  <c:v>770.51256356465501</c:v>
                </c:pt>
                <c:pt idx="11">
                  <c:v>764.06155842617204</c:v>
                </c:pt>
                <c:pt idx="12">
                  <c:v>761.13617178977904</c:v>
                </c:pt>
                <c:pt idx="13">
                  <c:v>763.93166349610601</c:v>
                </c:pt>
                <c:pt idx="14">
                  <c:v>766.26908135614303</c:v>
                </c:pt>
                <c:pt idx="15">
                  <c:v>768.25248165063897</c:v>
                </c:pt>
                <c:pt idx="16">
                  <c:v>769.95662463306303</c:v>
                </c:pt>
                <c:pt idx="17">
                  <c:v>771.43660596458801</c:v>
                </c:pt>
                <c:pt idx="18">
                  <c:v>772.733923038189</c:v>
                </c:pt>
                <c:pt idx="19">
                  <c:v>773.88042623413401</c:v>
                </c:pt>
                <c:pt idx="20">
                  <c:v>774.900968161067</c:v>
                </c:pt>
                <c:pt idx="21">
                  <c:v>775.81522534967996</c:v>
                </c:pt>
                <c:pt idx="22">
                  <c:v>776.63897905019201</c:v>
                </c:pt>
                <c:pt idx="23">
                  <c:v>777.38503366233795</c:v>
                </c:pt>
                <c:pt idx="24">
                  <c:v>778.06388701759704</c:v>
                </c:pt>
                <c:pt idx="25">
                  <c:v>778.68422736170305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2E5-4E7E-B225-1829BBEB1990}"/>
            </c:ext>
          </c:extLst>
        </c:ser>
        <c:ser>
          <c:idx val="1"/>
          <c:order val="1"/>
          <c:tx>
            <c:strRef>
              <c:f>exercise_PVT!$J$70</c:f>
              <c:strCache>
                <c:ptCount val="1"/>
                <c:pt idx="0">
                  <c:v>ρw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exercise_PVT!$N$38:$N$63</c:f>
              <c:numCache>
                <c:formatCode>0</c:formatCode>
                <c:ptCount val="26"/>
                <c:pt idx="0">
                  <c:v>1067.62319378745</c:v>
                </c:pt>
                <c:pt idx="1">
                  <c:v>1067.6686358168499</c:v>
                </c:pt>
                <c:pt idx="2">
                  <c:v>1067.7280970806901</c:v>
                </c:pt>
                <c:pt idx="3">
                  <c:v>1067.85588583551</c:v>
                </c:pt>
                <c:pt idx="4">
                  <c:v>1068.1469589671799</c:v>
                </c:pt>
                <c:pt idx="5">
                  <c:v>1068.4854253338599</c:v>
                </c:pt>
                <c:pt idx="6">
                  <c:v>1068.87137491058</c:v>
                </c:pt>
                <c:pt idx="7">
                  <c:v>1069.30491039923</c:v>
                </c:pt>
                <c:pt idx="8">
                  <c:v>1069.7861472969801</c:v>
                </c:pt>
                <c:pt idx="9">
                  <c:v>1070.31521397345</c:v>
                </c:pt>
                <c:pt idx="10">
                  <c:v>1070.89225175655</c:v>
                </c:pt>
                <c:pt idx="11">
                  <c:v>1071.5174150272401</c:v>
                </c:pt>
                <c:pt idx="12">
                  <c:v>1072.1908713232201</c:v>
                </c:pt>
                <c:pt idx="13">
                  <c:v>1072.9128014517901</c:v>
                </c:pt>
                <c:pt idx="14">
                  <c:v>1073.6833996118901</c:v>
                </c:pt>
                <c:pt idx="15">
                  <c:v>1074.5028735256301</c:v>
                </c:pt>
                <c:pt idx="16">
                  <c:v>1075.37144457931</c:v>
                </c:pt>
                <c:pt idx="17">
                  <c:v>1076.28934797429</c:v>
                </c:pt>
                <c:pt idx="18">
                  <c:v>1077.2568328877101</c:v>
                </c:pt>
                <c:pt idx="19">
                  <c:v>1078.2741626434299</c:v>
                </c:pt>
                <c:pt idx="20">
                  <c:v>1079.34161489335</c:v>
                </c:pt>
                <c:pt idx="21">
                  <c:v>1080.4594818093101</c:v>
                </c:pt>
                <c:pt idx="22">
                  <c:v>1081.6280702858701</c:v>
                </c:pt>
                <c:pt idx="23">
                  <c:v>1082.8477021541901</c:v>
                </c:pt>
                <c:pt idx="24">
                  <c:v>1084.1187144074199</c:v>
                </c:pt>
                <c:pt idx="25">
                  <c:v>1085.4414594376599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2E5-4E7E-B225-1829BBEB1990}"/>
            </c:ext>
          </c:extLst>
        </c:ser>
        <c:ser>
          <c:idx val="2"/>
          <c:order val="2"/>
          <c:tx>
            <c:strRef>
              <c:f>exercise_PVT!$I$70</c:f>
              <c:strCache>
                <c:ptCount val="1"/>
                <c:pt idx="0">
                  <c:v>ρg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exercise_PVT!$M$38:$M$63</c:f>
              <c:numCache>
                <c:formatCode>0</c:formatCode>
                <c:ptCount val="26"/>
                <c:pt idx="0">
                  <c:v>0.91112494408482303</c:v>
                </c:pt>
                <c:pt idx="1">
                  <c:v>4.59980193899995</c:v>
                </c:pt>
                <c:pt idx="2">
                  <c:v>9.3150535450549103</c:v>
                </c:pt>
                <c:pt idx="3">
                  <c:v>19.137042404295698</c:v>
                </c:pt>
                <c:pt idx="4">
                  <c:v>40.746840070535299</c:v>
                </c:pt>
                <c:pt idx="5">
                  <c:v>65.565159938697207</c:v>
                </c:pt>
                <c:pt idx="6">
                  <c:v>93.392234234404697</c:v>
                </c:pt>
                <c:pt idx="7">
                  <c:v>122.767477061679</c:v>
                </c:pt>
                <c:pt idx="8">
                  <c:v>151.65465832519601</c:v>
                </c:pt>
                <c:pt idx="9">
                  <c:v>178.40676454841201</c:v>
                </c:pt>
                <c:pt idx="10">
                  <c:v>202.21271328922501</c:v>
                </c:pt>
                <c:pt idx="11">
                  <c:v>222.978035243715</c:v>
                </c:pt>
                <c:pt idx="12">
                  <c:v>241.00156608904601</c:v>
                </c:pt>
                <c:pt idx="13">
                  <c:v>256.71064729823098</c:v>
                </c:pt>
                <c:pt idx="14">
                  <c:v>270.51818172576702</c:v>
                </c:pt>
                <c:pt idx="15">
                  <c:v>282.76962009740299</c:v>
                </c:pt>
                <c:pt idx="16">
                  <c:v>293.736244216763</c:v>
                </c:pt>
                <c:pt idx="17">
                  <c:v>303.62618263772401</c:v>
                </c:pt>
                <c:pt idx="18">
                  <c:v>312.59920396126898</c:v>
                </c:pt>
                <c:pt idx="19">
                  <c:v>320.77990474698998</c:v>
                </c:pt>
                <c:pt idx="20">
                  <c:v>328.26790395338003</c:v>
                </c:pt>
                <c:pt idx="21">
                  <c:v>335.14519561162302</c:v>
                </c:pt>
                <c:pt idx="22">
                  <c:v>341.48125031666302</c:v>
                </c:pt>
                <c:pt idx="23">
                  <c:v>347.33647174521502</c:v>
                </c:pt>
                <c:pt idx="24">
                  <c:v>352.76450166554798</c:v>
                </c:pt>
                <c:pt idx="25">
                  <c:v>357.81373889366898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2E5-4E7E-B225-1829BBEB1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43640896"/>
        <c:axId val="403460032"/>
      </c:scatterChart>
      <c:valAx>
        <c:axId val="3436408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032"/>
        <c:crosses val="autoZero"/>
        <c:crossBetween val="midCat"/>
      </c:valAx>
      <c:valAx>
        <c:axId val="4034600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Плотность  кг/м3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436408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Поверхностное</a:t>
            </a:r>
            <a:r>
              <a:rPr lang="ru-RU" baseline="0"/>
              <a:t> натяжение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exercise_PVT!$O$70</c:f>
              <c:strCache>
                <c:ptCount val="1"/>
                <c:pt idx="0">
                  <c:v>ST_oilgas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exercise_PVT!$O$71:$O$96</c:f>
              <c:numCache>
                <c:formatCode>0.000</c:formatCode>
                <c:ptCount val="26"/>
                <c:pt idx="0">
                  <c:v>5.8480104272548641E-2</c:v>
                </c:pt>
                <c:pt idx="1">
                  <c:v>5.8480104272548641E-2</c:v>
                </c:pt>
                <c:pt idx="2">
                  <c:v>5.8480104272548641E-2</c:v>
                </c:pt>
                <c:pt idx="3">
                  <c:v>5.8480104272548641E-2</c:v>
                </c:pt>
                <c:pt idx="4">
                  <c:v>5.8480104272548641E-2</c:v>
                </c:pt>
                <c:pt idx="5">
                  <c:v>5.8480104272548641E-2</c:v>
                </c:pt>
                <c:pt idx="6">
                  <c:v>5.8480104272548641E-2</c:v>
                </c:pt>
                <c:pt idx="7">
                  <c:v>5.8480104272548641E-2</c:v>
                </c:pt>
                <c:pt idx="8">
                  <c:v>5.8480104272548641E-2</c:v>
                </c:pt>
                <c:pt idx="9">
                  <c:v>5.8480104272548641E-2</c:v>
                </c:pt>
                <c:pt idx="10">
                  <c:v>5.8480104272548641E-2</c:v>
                </c:pt>
                <c:pt idx="11">
                  <c:v>5.8480104272548641E-2</c:v>
                </c:pt>
                <c:pt idx="12">
                  <c:v>5.8480104272548641E-2</c:v>
                </c:pt>
                <c:pt idx="13">
                  <c:v>5.8480104272548641E-2</c:v>
                </c:pt>
                <c:pt idx="14">
                  <c:v>5.8480104272548641E-2</c:v>
                </c:pt>
                <c:pt idx="15">
                  <c:v>5.8480104272548641E-2</c:v>
                </c:pt>
                <c:pt idx="16">
                  <c:v>5.8480104272548641E-2</c:v>
                </c:pt>
                <c:pt idx="17">
                  <c:v>5.8480104272548641E-2</c:v>
                </c:pt>
                <c:pt idx="18">
                  <c:v>5.8480104272548641E-2</c:v>
                </c:pt>
                <c:pt idx="19">
                  <c:v>5.8480104272548641E-2</c:v>
                </c:pt>
                <c:pt idx="20">
                  <c:v>5.8480104272548641E-2</c:v>
                </c:pt>
                <c:pt idx="21">
                  <c:v>5.8480104272548641E-2</c:v>
                </c:pt>
                <c:pt idx="22">
                  <c:v>5.8480104272548641E-2</c:v>
                </c:pt>
                <c:pt idx="23">
                  <c:v>5.8480104272548641E-2</c:v>
                </c:pt>
                <c:pt idx="24">
                  <c:v>5.8480104272548641E-2</c:v>
                </c:pt>
                <c:pt idx="25">
                  <c:v>5.8480104272548641E-2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C-4B99-B4AD-A03ED80B1F34}"/>
            </c:ext>
          </c:extLst>
        </c:ser>
        <c:ser>
          <c:idx val="2"/>
          <c:order val="1"/>
          <c:tx>
            <c:strRef>
              <c:f>exercise_PVT!$P$70</c:f>
              <c:strCache>
                <c:ptCount val="1"/>
                <c:pt idx="0">
                  <c:v>ST_watgas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exercise_PVT!$P$71:$P$96</c:f>
              <c:numCache>
                <c:formatCode>0.000</c:formatCode>
                <c:ptCount val="26"/>
                <c:pt idx="0">
                  <c:v>6.3076487347313664E-2</c:v>
                </c:pt>
                <c:pt idx="1">
                  <c:v>6.3076487347313664E-2</c:v>
                </c:pt>
                <c:pt idx="2">
                  <c:v>6.3076487347313664E-2</c:v>
                </c:pt>
                <c:pt idx="3">
                  <c:v>6.3076487347313664E-2</c:v>
                </c:pt>
                <c:pt idx="4">
                  <c:v>6.3076487347313664E-2</c:v>
                </c:pt>
                <c:pt idx="5">
                  <c:v>6.3076487347313664E-2</c:v>
                </c:pt>
                <c:pt idx="6">
                  <c:v>6.3076487347313664E-2</c:v>
                </c:pt>
                <c:pt idx="7">
                  <c:v>6.3076487347313664E-2</c:v>
                </c:pt>
                <c:pt idx="8">
                  <c:v>6.3076487347313664E-2</c:v>
                </c:pt>
                <c:pt idx="9">
                  <c:v>6.3076487347313664E-2</c:v>
                </c:pt>
                <c:pt idx="10">
                  <c:v>6.3076487347313664E-2</c:v>
                </c:pt>
                <c:pt idx="11">
                  <c:v>6.3076487347313664E-2</c:v>
                </c:pt>
                <c:pt idx="12">
                  <c:v>6.3076487347313664E-2</c:v>
                </c:pt>
                <c:pt idx="13">
                  <c:v>6.3076487347313664E-2</c:v>
                </c:pt>
                <c:pt idx="14">
                  <c:v>6.3076487347313664E-2</c:v>
                </c:pt>
                <c:pt idx="15">
                  <c:v>6.3076487347313664E-2</c:v>
                </c:pt>
                <c:pt idx="16">
                  <c:v>6.3076487347313664E-2</c:v>
                </c:pt>
                <c:pt idx="17">
                  <c:v>6.3076487347313664E-2</c:v>
                </c:pt>
                <c:pt idx="18">
                  <c:v>6.3076487347313664E-2</c:v>
                </c:pt>
                <c:pt idx="19">
                  <c:v>6.3076487347313664E-2</c:v>
                </c:pt>
                <c:pt idx="20">
                  <c:v>6.3076487347313664E-2</c:v>
                </c:pt>
                <c:pt idx="21">
                  <c:v>6.3076487347313664E-2</c:v>
                </c:pt>
                <c:pt idx="22">
                  <c:v>6.3076487347313664E-2</c:v>
                </c:pt>
                <c:pt idx="23">
                  <c:v>6.3076487347313664E-2</c:v>
                </c:pt>
                <c:pt idx="24">
                  <c:v>6.3076487347313664E-2</c:v>
                </c:pt>
                <c:pt idx="25">
                  <c:v>6.3076487347313664E-2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39C-4B99-B4AD-A03ED80B1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ST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Теплоемкость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exercise_PVT!$Q$70</c:f>
              <c:strCache>
                <c:ptCount val="1"/>
                <c:pt idx="0">
                  <c:v>cpo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exercise_PVT!$Q$71:$Q$96</c:f>
              <c:numCache>
                <c:formatCode>0</c:formatCode>
                <c:ptCount val="26"/>
                <c:pt idx="0">
                  <c:v>2226.25</c:v>
                </c:pt>
                <c:pt idx="1">
                  <c:v>2248.6000000000004</c:v>
                </c:pt>
                <c:pt idx="2">
                  <c:v>2270.9500000000003</c:v>
                </c:pt>
                <c:pt idx="3">
                  <c:v>2293.3000000000002</c:v>
                </c:pt>
                <c:pt idx="4">
                  <c:v>2315.65</c:v>
                </c:pt>
                <c:pt idx="5">
                  <c:v>2338</c:v>
                </c:pt>
                <c:pt idx="6">
                  <c:v>2360.3500000000004</c:v>
                </c:pt>
                <c:pt idx="7">
                  <c:v>2382.7000000000003</c:v>
                </c:pt>
                <c:pt idx="8">
                  <c:v>2405.0500000000002</c:v>
                </c:pt>
                <c:pt idx="9">
                  <c:v>2427.4</c:v>
                </c:pt>
                <c:pt idx="10">
                  <c:v>2449.75</c:v>
                </c:pt>
                <c:pt idx="11">
                  <c:v>2472.1000000000004</c:v>
                </c:pt>
                <c:pt idx="12">
                  <c:v>2494.4500000000003</c:v>
                </c:pt>
                <c:pt idx="13">
                  <c:v>2516.8000000000002</c:v>
                </c:pt>
                <c:pt idx="14">
                  <c:v>2539.15</c:v>
                </c:pt>
                <c:pt idx="15">
                  <c:v>2561.5</c:v>
                </c:pt>
                <c:pt idx="16">
                  <c:v>2583.8500000000004</c:v>
                </c:pt>
                <c:pt idx="17">
                  <c:v>2606.2000000000003</c:v>
                </c:pt>
                <c:pt idx="18">
                  <c:v>2628.55</c:v>
                </c:pt>
                <c:pt idx="19">
                  <c:v>2650.9</c:v>
                </c:pt>
                <c:pt idx="20">
                  <c:v>2673.25</c:v>
                </c:pt>
                <c:pt idx="21">
                  <c:v>2695.6000000000004</c:v>
                </c:pt>
                <c:pt idx="22">
                  <c:v>2717.9500000000003</c:v>
                </c:pt>
                <c:pt idx="23">
                  <c:v>2740.3</c:v>
                </c:pt>
                <c:pt idx="24">
                  <c:v>2762.65</c:v>
                </c:pt>
                <c:pt idx="25">
                  <c:v>2785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D4-4996-9618-0FA143BE73AF}"/>
            </c:ext>
          </c:extLst>
        </c:ser>
        <c:ser>
          <c:idx val="1"/>
          <c:order val="1"/>
          <c:tx>
            <c:strRef>
              <c:f>exercise_PVT!$S$70</c:f>
              <c:strCache>
                <c:ptCount val="1"/>
                <c:pt idx="0">
                  <c:v>cpw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exercise_PVT!$S$71:$S$96</c:f>
              <c:numCache>
                <c:formatCode>0</c:formatCode>
                <c:ptCount val="26"/>
                <c:pt idx="0">
                  <c:v>4176</c:v>
                </c:pt>
                <c:pt idx="1">
                  <c:v>4176</c:v>
                </c:pt>
                <c:pt idx="2">
                  <c:v>4176</c:v>
                </c:pt>
                <c:pt idx="3">
                  <c:v>4176</c:v>
                </c:pt>
                <c:pt idx="4">
                  <c:v>4176</c:v>
                </c:pt>
                <c:pt idx="5">
                  <c:v>4176</c:v>
                </c:pt>
                <c:pt idx="6">
                  <c:v>4176</c:v>
                </c:pt>
                <c:pt idx="7">
                  <c:v>4176</c:v>
                </c:pt>
                <c:pt idx="8">
                  <c:v>4176</c:v>
                </c:pt>
                <c:pt idx="9">
                  <c:v>4176</c:v>
                </c:pt>
                <c:pt idx="10">
                  <c:v>4176</c:v>
                </c:pt>
                <c:pt idx="11">
                  <c:v>4176</c:v>
                </c:pt>
                <c:pt idx="12">
                  <c:v>4176</c:v>
                </c:pt>
                <c:pt idx="13">
                  <c:v>4176</c:v>
                </c:pt>
                <c:pt idx="14">
                  <c:v>4176</c:v>
                </c:pt>
                <c:pt idx="15">
                  <c:v>4176</c:v>
                </c:pt>
                <c:pt idx="16">
                  <c:v>4176</c:v>
                </c:pt>
                <c:pt idx="17">
                  <c:v>4176</c:v>
                </c:pt>
                <c:pt idx="18">
                  <c:v>4176</c:v>
                </c:pt>
                <c:pt idx="19">
                  <c:v>4176</c:v>
                </c:pt>
                <c:pt idx="20">
                  <c:v>4176</c:v>
                </c:pt>
                <c:pt idx="21">
                  <c:v>4176</c:v>
                </c:pt>
                <c:pt idx="22">
                  <c:v>4176</c:v>
                </c:pt>
                <c:pt idx="23">
                  <c:v>4176</c:v>
                </c:pt>
                <c:pt idx="24">
                  <c:v>4176</c:v>
                </c:pt>
                <c:pt idx="25">
                  <c:v>4176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D4-4996-9618-0FA143BE73AF}"/>
            </c:ext>
          </c:extLst>
        </c:ser>
        <c:ser>
          <c:idx val="2"/>
          <c:order val="2"/>
          <c:tx>
            <c:strRef>
              <c:f>exercise_PVT!$R$70</c:f>
              <c:strCache>
                <c:ptCount val="1"/>
                <c:pt idx="0">
                  <c:v>cpg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exercise_PVT!$R$71:$R$96</c:f>
              <c:numCache>
                <c:formatCode>0</c:formatCode>
                <c:ptCount val="26"/>
                <c:pt idx="0">
                  <c:v>735.03794173772542</c:v>
                </c:pt>
                <c:pt idx="1">
                  <c:v>788.00211209883264</c:v>
                </c:pt>
                <c:pt idx="2">
                  <c:v>840.55256562393652</c:v>
                </c:pt>
                <c:pt idx="3">
                  <c:v>892.40455916893188</c:v>
                </c:pt>
                <c:pt idx="4">
                  <c:v>943.36880958380561</c:v>
                </c:pt>
                <c:pt idx="5">
                  <c:v>993.31536729000095</c:v>
                </c:pt>
                <c:pt idx="6">
                  <c:v>1042.155704446737</c:v>
                </c:pt>
                <c:pt idx="7">
                  <c:v>1089.8328626702933</c:v>
                </c:pt>
                <c:pt idx="8">
                  <c:v>1136.3152558289164</c:v>
                </c:pt>
                <c:pt idx="9">
                  <c:v>1181.5921990827189</c:v>
                </c:pt>
                <c:pt idx="10">
                  <c:v>1225.6703244594989</c:v>
                </c:pt>
                <c:pt idx="11">
                  <c:v>1268.5705252077025</c:v>
                </c:pt>
                <c:pt idx="12">
                  <c:v>1310.3252814476407</c:v>
                </c:pt>
                <c:pt idx="13">
                  <c:v>1350.9763073777533</c:v>
                </c:pt>
                <c:pt idx="14">
                  <c:v>1390.5724933022948</c:v>
                </c:pt>
                <c:pt idx="15">
                  <c:v>1429.1681252534001</c:v>
                </c:pt>
                <c:pt idx="16">
                  <c:v>1466.8213653305124</c:v>
                </c:pt>
                <c:pt idx="17">
                  <c:v>1503.5929735049735</c:v>
                </c:pt>
                <c:pt idx="18">
                  <c:v>1539.5452492362815</c:v>
                </c:pt>
                <c:pt idx="19">
                  <c:v>1574.7411697751866</c:v>
                </c:pt>
                <c:pt idx="20">
                  <c:v>1609.2437016610927</c:v>
                </c:pt>
                <c:pt idx="21">
                  <c:v>1643.1152625101522</c:v>
                </c:pt>
                <c:pt idx="22">
                  <c:v>1676.4173114885052</c:v>
                </c:pt>
                <c:pt idx="23">
                  <c:v>1709.2100486226275</c:v>
                </c:pt>
                <c:pt idx="24">
                  <c:v>1741.5522051040189</c:v>
                </c:pt>
                <c:pt idx="25">
                  <c:v>1773.5009088349148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D4-4996-9618-0FA143BE73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Теплоемкость,</a:t>
                </a:r>
                <a:r>
                  <a:rPr lang="ru-RU" baseline="0"/>
                  <a:t>  Дж/кг/С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Сжимаемость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exercise_PVT!$U$70</c:f>
              <c:strCache>
                <c:ptCount val="1"/>
                <c:pt idx="0">
                  <c:v>co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exercise_PVT!$O$38:$O$63</c:f>
              <c:numCache>
                <c:formatCode>0</c:formatCode>
                <c:ptCount val="26"/>
                <c:pt idx="0">
                  <c:v>0.43838494718684901</c:v>
                </c:pt>
                <c:pt idx="1">
                  <c:v>4.2496105065731003E-2</c:v>
                </c:pt>
                <c:pt idx="2">
                  <c:v>1.55544848900348E-2</c:v>
                </c:pt>
                <c:pt idx="3">
                  <c:v>5.6932747088255702E-3</c:v>
                </c:pt>
                <c:pt idx="4">
                  <c:v>2.0838605160701301E-3</c:v>
                </c:pt>
                <c:pt idx="5">
                  <c:v>1.1575408339028401E-3</c:v>
                </c:pt>
                <c:pt idx="6">
                  <c:v>7.62737593481036E-4</c:v>
                </c:pt>
                <c:pt idx="7">
                  <c:v>5.5189395016156805E-4</c:v>
                </c:pt>
                <c:pt idx="8">
                  <c:v>4.2368474434752997E-4</c:v>
                </c:pt>
                <c:pt idx="9">
                  <c:v>3.3882073609868199E-4</c:v>
                </c:pt>
                <c:pt idx="10">
                  <c:v>2.7917830009389298E-4</c:v>
                </c:pt>
                <c:pt idx="11">
                  <c:v>2.3534799402449399E-4</c:v>
                </c:pt>
                <c:pt idx="12">
                  <c:v>2.0920111111111101E-4</c:v>
                </c:pt>
                <c:pt idx="13">
                  <c:v>1.9018282828282799E-4</c:v>
                </c:pt>
                <c:pt idx="14">
                  <c:v>1.74334259259259E-4</c:v>
                </c:pt>
                <c:pt idx="15">
                  <c:v>1.6092393162393199E-4</c:v>
                </c:pt>
                <c:pt idx="16">
                  <c:v>1.4942936507936501E-4</c:v>
                </c:pt>
                <c:pt idx="17">
                  <c:v>1.3946740740740699E-4</c:v>
                </c:pt>
                <c:pt idx="18">
                  <c:v>1.3075069444444401E-4</c:v>
                </c:pt>
                <c:pt idx="19">
                  <c:v>1.2305947712418301E-4</c:v>
                </c:pt>
                <c:pt idx="20">
                  <c:v>1.1622283950617301E-4</c:v>
                </c:pt>
                <c:pt idx="21">
                  <c:v>1.10105847953216E-4</c:v>
                </c:pt>
                <c:pt idx="22">
                  <c:v>1.0460055555555599E-4</c:v>
                </c:pt>
                <c:pt idx="23">
                  <c:v>9.96195767195767E-5</c:v>
                </c:pt>
                <c:pt idx="24">
                  <c:v>9.5091414141414198E-5</c:v>
                </c:pt>
                <c:pt idx="25">
                  <c:v>9.0957004830917896E-5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F2-4AD2-AE29-37244DC907C2}"/>
            </c:ext>
          </c:extLst>
        </c:ser>
        <c:ser>
          <c:idx val="1"/>
          <c:order val="1"/>
          <c:tx>
            <c:strRef>
              <c:f>exercise_PVT!$T$70</c:f>
              <c:strCache>
                <c:ptCount val="1"/>
                <c:pt idx="0">
                  <c:v>cw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pPr>
              <a:solidFill>
                <a:sysClr val="window" lastClr="FFFFFF">
                  <a:lumMod val="95000"/>
                </a:sysClr>
              </a:solidFill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exercise_PVT!$Q$38:$Q$63</c:f>
              <c:numCache>
                <c:formatCode>0.00E+00</c:formatCode>
                <c:ptCount val="26"/>
                <c:pt idx="0">
                  <c:v>3.78374620279512E-5</c:v>
                </c:pt>
                <c:pt idx="1">
                  <c:v>3.7796696500802801E-5</c:v>
                </c:pt>
                <c:pt idx="2">
                  <c:v>3.7745862951246003E-5</c:v>
                </c:pt>
                <c:pt idx="3">
                  <c:v>3.7644604954190997E-5</c:v>
                </c:pt>
                <c:pt idx="4">
                  <c:v>3.7443710085765802E-5</c:v>
                </c:pt>
                <c:pt idx="5">
                  <c:v>3.7244948033572399E-5</c:v>
                </c:pt>
                <c:pt idx="6">
                  <c:v>3.7048285012135802E-5</c:v>
                </c:pt>
                <c:pt idx="7">
                  <c:v>3.6853687945817697E-5</c:v>
                </c:pt>
                <c:pt idx="8">
                  <c:v>3.6661124450270998E-5</c:v>
                </c:pt>
                <c:pt idx="9">
                  <c:v>3.6470562814473901E-5</c:v>
                </c:pt>
                <c:pt idx="10">
                  <c:v>3.6281971983320802E-5</c:v>
                </c:pt>
                <c:pt idx="11">
                  <c:v>3.60953215407505E-5</c:v>
                </c:pt>
                <c:pt idx="12">
                  <c:v>3.5910581693392998E-5</c:v>
                </c:pt>
                <c:pt idx="13">
                  <c:v>3.5727723254715299E-5</c:v>
                </c:pt>
                <c:pt idx="14">
                  <c:v>3.5546717629650001E-5</c:v>
                </c:pt>
                <c:pt idx="15">
                  <c:v>3.5367536799687602E-5</c:v>
                </c:pt>
                <c:pt idx="16">
                  <c:v>3.5190153308418302E-5</c:v>
                </c:pt>
                <c:pt idx="17">
                  <c:v>3.5014540247507002E-5</c:v>
                </c:pt>
                <c:pt idx="18">
                  <c:v>3.4840671243084599E-5</c:v>
                </c:pt>
                <c:pt idx="19">
                  <c:v>3.4668520442544801E-5</c:v>
                </c:pt>
                <c:pt idx="20">
                  <c:v>3.4498062501728701E-5</c:v>
                </c:pt>
                <c:pt idx="21">
                  <c:v>3.4329272572486801E-5</c:v>
                </c:pt>
                <c:pt idx="22">
                  <c:v>3.41621262906035E-5</c:v>
                </c:pt>
                <c:pt idx="23">
                  <c:v>3.3996599764072998E-5</c:v>
                </c:pt>
                <c:pt idx="24">
                  <c:v>3.3832669561714799E-5</c:v>
                </c:pt>
                <c:pt idx="25">
                  <c:v>3.3670312702116297E-5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BF2-4AD2-AE29-37244DC907C2}"/>
            </c:ext>
          </c:extLst>
        </c:ser>
        <c:ser>
          <c:idx val="2"/>
          <c:order val="2"/>
          <c:tx>
            <c:strRef>
              <c:f>exercise_PVT!$V$70</c:f>
              <c:strCache>
                <c:ptCount val="1"/>
                <c:pt idx="0">
                  <c:v>cg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exercise_PVT!$P$38:$P$63</c:f>
              <c:numCache>
                <c:formatCode>0.00E+00</c:formatCode>
                <c:ptCount val="26"/>
                <c:pt idx="0">
                  <c:v>1.0023857707950601</c:v>
                </c:pt>
                <c:pt idx="1">
                  <c:v>0.20244469970579701</c:v>
                </c:pt>
                <c:pt idx="2">
                  <c:v>0.102550553019295</c:v>
                </c:pt>
                <c:pt idx="3">
                  <c:v>5.2831960881571098E-2</c:v>
                </c:pt>
                <c:pt idx="4">
                  <c:v>2.8396434090459399E-2</c:v>
                </c:pt>
                <c:pt idx="5">
                  <c:v>2.0184164865056101E-2</c:v>
                </c:pt>
                <c:pt idx="6">
                  <c:v>1.5484849037100601E-2</c:v>
                </c:pt>
                <c:pt idx="7">
                  <c:v>1.1997369744629199E-2</c:v>
                </c:pt>
                <c:pt idx="8">
                  <c:v>9.2380104232467897E-3</c:v>
                </c:pt>
                <c:pt idx="9">
                  <c:v>7.1009336693922996E-3</c:v>
                </c:pt>
                <c:pt idx="10">
                  <c:v>5.50208439050409E-3</c:v>
                </c:pt>
                <c:pt idx="11">
                  <c:v>4.33287881754486E-3</c:v>
                </c:pt>
                <c:pt idx="12">
                  <c:v>3.4834166523360801E-3</c:v>
                </c:pt>
                <c:pt idx="13">
                  <c:v>2.8616167448859099E-3</c:v>
                </c:pt>
                <c:pt idx="14">
                  <c:v>2.3984982248809999E-3</c:v>
                </c:pt>
                <c:pt idx="15">
                  <c:v>2.0455644724820198E-3</c:v>
                </c:pt>
                <c:pt idx="16">
                  <c:v>1.76983791015114E-3</c:v>
                </c:pt>
                <c:pt idx="17">
                  <c:v>1.5492036754003299E-3</c:v>
                </c:pt>
                <c:pt idx="18">
                  <c:v>1.36884526687346E-3</c:v>
                </c:pt>
                <c:pt idx="19">
                  <c:v>1.21875500329505E-3</c:v>
                </c:pt>
                <c:pt idx="20">
                  <c:v>1.0920730564827699E-3</c:v>
                </c:pt>
                <c:pt idx="21">
                  <c:v>9.8400370785263003E-4</c:v>
                </c:pt>
                <c:pt idx="22">
                  <c:v>8.9111441181083004E-4</c:v>
                </c:pt>
                <c:pt idx="23">
                  <c:v>8.1088268028920699E-4</c:v>
                </c:pt>
                <c:pt idx="24">
                  <c:v>7.4140176232851405E-4</c:v>
                </c:pt>
                <c:pt idx="25">
                  <c:v>6.8118786493963303E-4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BF2-4AD2-AE29-37244DC907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2392768"/>
        <c:axId val="402394496"/>
      </c:scatterChart>
      <c:valAx>
        <c:axId val="40239276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4496"/>
        <c:crosses val="autoZero"/>
        <c:crossBetween val="midCat"/>
      </c:valAx>
      <c:valAx>
        <c:axId val="402394496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Сжимаемость 1/атм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239276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exercise_PVT!$E$71:$E$96</c:f>
              <c:numCache>
                <c:formatCode>0.00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1.2260297734777394</c:v>
                </c:pt>
                <c:pt idx="4">
                  <c:v>1.227249663084476</c:v>
                </c:pt>
                <c:pt idx="5">
                  <c:v>1.2284815290127347</c:v>
                </c:pt>
                <c:pt idx="6">
                  <c:v>1.2297492079619461</c:v>
                </c:pt>
                <c:pt idx="7">
                  <c:v>1.2310695382959889</c:v>
                </c:pt>
                <c:pt idx="8">
                  <c:v>1.2324541732873886</c:v>
                </c:pt>
                <c:pt idx="9">
                  <c:v>1.2339115584795428</c:v>
                </c:pt>
                <c:pt idx="10">
                  <c:v>1.2354480195097308</c:v>
                </c:pt>
                <c:pt idx="11">
                  <c:v>1.2370683742798521</c:v>
                </c:pt>
                <c:pt idx="12">
                  <c:v>1.2387762982021189</c:v>
                </c:pt>
                <c:pt idx="13">
                  <c:v>1.2405745549844414</c:v>
                </c:pt>
                <c:pt idx="14">
                  <c:v>1.2424651502684256</c:v>
                </c:pt>
                <c:pt idx="15">
                  <c:v>1.2444494388296186</c:v>
                </c:pt>
                <c:pt idx="16">
                  <c:v>1.2465282025743014</c:v>
                </c:pt>
                <c:pt idx="17">
                  <c:v>1.2487017093991832</c:v>
                </c:pt>
                <c:pt idx="18">
                  <c:v>1.2509697590001392</c:v>
                </c:pt>
                <c:pt idx="19">
                  <c:v>1.2533317194242077</c:v>
                </c:pt>
                <c:pt idx="20">
                  <c:v>1.2557865567987296</c:v>
                </c:pt>
                <c:pt idx="21">
                  <c:v>1.2583328598434629</c:v>
                </c:pt>
                <c:pt idx="22">
                  <c:v>1.2609688602566704</c:v>
                </c:pt>
                <c:pt idx="23">
                  <c:v>1.2636924499132252</c:v>
                </c:pt>
                <c:pt idx="24">
                  <c:v>1.2665011943754036</c:v>
                </c:pt>
                <c:pt idx="25">
                  <c:v>1.2693923458154672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23C-468D-B349-1FEA0759F96E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exercise_PVT!$L$71:$L$96</c:f>
              <c:numCache>
                <c:formatCode>0.000</c:formatCode>
                <c:ptCount val="26"/>
                <c:pt idx="0">
                  <c:v>4.0400436149199458E-3</c:v>
                </c:pt>
                <c:pt idx="1">
                  <c:v>4.3796757260023307E-3</c:v>
                </c:pt>
                <c:pt idx="2">
                  <c:v>4.7223024121642223E-3</c:v>
                </c:pt>
                <c:pt idx="3">
                  <c:v>5.0660011882838751E-3</c:v>
                </c:pt>
                <c:pt idx="4">
                  <c:v>5.4093339032144786E-3</c:v>
                </c:pt>
                <c:pt idx="5">
                  <c:v>5.751168358416602E-3</c:v>
                </c:pt>
                <c:pt idx="6">
                  <c:v>6.0905925459615465E-3</c:v>
                </c:pt>
                <c:pt idx="7">
                  <c:v>6.4268694529726863E-3</c:v>
                </c:pt>
                <c:pt idx="8">
                  <c:v>6.7594096728414823E-3</c:v>
                </c:pt>
                <c:pt idx="9">
                  <c:v>7.0877518270945081E-3</c:v>
                </c:pt>
                <c:pt idx="10">
                  <c:v>7.4115464916199129E-3</c:v>
                </c:pt>
                <c:pt idx="11">
                  <c:v>7.7305418726152939E-3</c:v>
                </c:pt>
                <c:pt idx="12">
                  <c:v>8.0445706029272212E-3</c:v>
                </c:pt>
                <c:pt idx="13">
                  <c:v>8.3535374991225951E-3</c:v>
                </c:pt>
                <c:pt idx="14">
                  <c:v>8.6574082898460119E-3</c:v>
                </c:pt>
                <c:pt idx="15">
                  <c:v>8.9561993641653972E-3</c:v>
                </c:pt>
                <c:pt idx="16">
                  <c:v>9.2499685736778022E-3</c:v>
                </c:pt>
                <c:pt idx="17">
                  <c:v>9.5388070908368813E-3</c:v>
                </c:pt>
                <c:pt idx="18">
                  <c:v>9.8228322944900297E-3</c:v>
                </c:pt>
                <c:pt idx="19">
                  <c:v>1.0102181628280148E-2</c:v>
                </c:pt>
                <c:pt idx="20">
                  <c:v>1.0377007359983394E-2</c:v>
                </c:pt>
                <c:pt idx="21">
                  <c:v>1.0647472159539399E-2</c:v>
                </c:pt>
                <c:pt idx="22">
                  <c:v>1.0913745409202879E-2</c:v>
                </c:pt>
                <c:pt idx="23">
                  <c:v>1.1176000159454426E-2</c:v>
                </c:pt>
                <c:pt idx="24">
                  <c:v>1.1434410647711207E-2</c:v>
                </c:pt>
                <c:pt idx="25">
                  <c:v>1.1689150302354564E-2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23C-468D-B349-1FEA0759F96E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exercise_PVT!$B$71:$B$96</c:f>
              <c:numCache>
                <c:formatCode>General</c:formatCode>
                <c:ptCount val="26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100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100</c:v>
                </c:pt>
                <c:pt idx="12">
                  <c:v>100</c:v>
                </c:pt>
                <c:pt idx="13">
                  <c:v>100</c:v>
                </c:pt>
                <c:pt idx="14">
                  <c:v>100</c:v>
                </c:pt>
                <c:pt idx="15">
                  <c:v>100</c:v>
                </c:pt>
                <c:pt idx="16">
                  <c:v>100</c:v>
                </c:pt>
                <c:pt idx="17">
                  <c:v>100</c:v>
                </c:pt>
                <c:pt idx="18">
                  <c:v>100</c:v>
                </c:pt>
                <c:pt idx="19">
                  <c:v>100</c:v>
                </c:pt>
                <c:pt idx="20">
                  <c:v>100</c:v>
                </c:pt>
                <c:pt idx="21">
                  <c:v>100</c:v>
                </c:pt>
                <c:pt idx="22">
                  <c:v>100</c:v>
                </c:pt>
                <c:pt idx="23">
                  <c:v>100</c:v>
                </c:pt>
                <c:pt idx="24">
                  <c:v>100</c:v>
                </c:pt>
                <c:pt idx="25">
                  <c:v>100</c:v>
                </c:pt>
              </c:numCache>
            </c:numRef>
          </c:xVal>
          <c:yVal>
            <c:numRef>
              <c:f>exercise_PVT!$M$71:$M$96</c:f>
              <c:numCache>
                <c:formatCode>0.000</c:formatCode>
                <c:ptCount val="26"/>
                <c:pt idx="0">
                  <c:v>0.99514580406662356</c:v>
                </c:pt>
                <c:pt idx="1">
                  <c:v>0.99676034634526822</c:v>
                </c:pt>
                <c:pt idx="2">
                  <c:v>0.99846389113376288</c:v>
                </c:pt>
                <c:pt idx="3">
                  <c:v>1.0002564306200352</c:v>
                </c:pt>
                <c:pt idx="4">
                  <c:v>1.0021379569920126</c:v>
                </c:pt>
                <c:pt idx="5">
                  <c:v>1.0041084624376224</c:v>
                </c:pt>
                <c:pt idx="6">
                  <c:v>1.0061679391447922</c:v>
                </c:pt>
                <c:pt idx="7">
                  <c:v>1.0083163793014496</c:v>
                </c:pt>
                <c:pt idx="8">
                  <c:v>1.0105537750955218</c:v>
                </c:pt>
                <c:pt idx="9">
                  <c:v>1.0128801187149363</c:v>
                </c:pt>
                <c:pt idx="10">
                  <c:v>1.0152954023476208</c:v>
                </c:pt>
                <c:pt idx="11">
                  <c:v>1.017799618181503</c:v>
                </c:pt>
                <c:pt idx="12">
                  <c:v>1.0203927584045096</c:v>
                </c:pt>
                <c:pt idx="13">
                  <c:v>1.0230748152045688</c:v>
                </c:pt>
                <c:pt idx="14">
                  <c:v>1.0258457807696078</c:v>
                </c:pt>
                <c:pt idx="15">
                  <c:v>1.0287056472875542</c:v>
                </c:pt>
                <c:pt idx="16">
                  <c:v>1.0316544069463351</c:v>
                </c:pt>
                <c:pt idx="17">
                  <c:v>1.0346920519338785</c:v>
                </c:pt>
                <c:pt idx="18">
                  <c:v>1.0378185744381114</c:v>
                </c:pt>
                <c:pt idx="19">
                  <c:v>1.0410339666469617</c:v>
                </c:pt>
                <c:pt idx="20">
                  <c:v>1.0443382207483567</c:v>
                </c:pt>
                <c:pt idx="21">
                  <c:v>1.0477313289302237</c:v>
                </c:pt>
                <c:pt idx="22">
                  <c:v>1.0512132833804906</c:v>
                </c:pt>
                <c:pt idx="23">
                  <c:v>1.0547840762870844</c:v>
                </c:pt>
                <c:pt idx="24">
                  <c:v>1.058443699837933</c:v>
                </c:pt>
                <c:pt idx="25">
                  <c:v>1.0621921462209634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982-4A43-86F7-C61FFC487C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Газосодержание </a:t>
            </a:r>
            <a:r>
              <a:rPr lang="en-US" sz="1400" b="0" i="0" u="none" strike="noStrike" baseline="0">
                <a:effectLst/>
              </a:rPr>
              <a:t>𝑅𝑠</a:t>
            </a:r>
            <a:r>
              <a:rPr lang="ru-RU"/>
              <a:t> от давления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exercise_PVT!$D$70</c:f>
              <c:strCache>
                <c:ptCount val="1"/>
                <c:pt idx="0">
                  <c:v>Rs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exercise_PVT!$D$38:$D$63</c:f>
              <c:numCache>
                <c:formatCode>0</c:formatCode>
                <c:ptCount val="26"/>
                <c:pt idx="0">
                  <c:v>0.62154268592315998</c:v>
                </c:pt>
                <c:pt idx="1">
                  <c:v>15.487817519266899</c:v>
                </c:pt>
                <c:pt idx="2">
                  <c:v>22.4476034799494</c:v>
                </c:pt>
                <c:pt idx="3">
                  <c:v>31.8601846313639</c:v>
                </c:pt>
                <c:pt idx="4">
                  <c:v>45.406792313410797</c:v>
                </c:pt>
                <c:pt idx="5">
                  <c:v>56.516487498725901</c:v>
                </c:pt>
                <c:pt idx="6">
                  <c:v>66.643685440116201</c:v>
                </c:pt>
                <c:pt idx="7">
                  <c:v>76.306188018086303</c:v>
                </c:pt>
                <c:pt idx="8">
                  <c:v>85.752103255594307</c:v>
                </c:pt>
                <c:pt idx="9">
                  <c:v>95.119689445078095</c:v>
                </c:pt>
                <c:pt idx="10">
                  <c:v>104.493467668992</c:v>
                </c:pt>
                <c:pt idx="11">
                  <c:v>113.928430410008</c:v>
                </c:pt>
                <c:pt idx="12">
                  <c:v>120</c:v>
                </c:pt>
                <c:pt idx="13">
                  <c:v>120</c:v>
                </c:pt>
                <c:pt idx="14">
                  <c:v>120</c:v>
                </c:pt>
                <c:pt idx="15">
                  <c:v>120</c:v>
                </c:pt>
                <c:pt idx="16">
                  <c:v>120</c:v>
                </c:pt>
                <c:pt idx="17">
                  <c:v>120</c:v>
                </c:pt>
                <c:pt idx="18">
                  <c:v>120</c:v>
                </c:pt>
                <c:pt idx="19">
                  <c:v>120</c:v>
                </c:pt>
                <c:pt idx="20">
                  <c:v>120</c:v>
                </c:pt>
                <c:pt idx="21">
                  <c:v>120</c:v>
                </c:pt>
                <c:pt idx="22">
                  <c:v>120</c:v>
                </c:pt>
                <c:pt idx="23">
                  <c:v>120</c:v>
                </c:pt>
                <c:pt idx="24">
                  <c:v>120</c:v>
                </c:pt>
                <c:pt idx="25">
                  <c:v>120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9-4CD5-BD5B-7C93F7FF9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38671232"/>
        <c:axId val="338671808"/>
      </c:scatterChart>
      <c:valAx>
        <c:axId val="3386712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808"/>
        <c:crosses val="autoZero"/>
        <c:crossBetween val="midCat"/>
      </c:valAx>
      <c:valAx>
        <c:axId val="3386718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Газосодержание </a:t>
                </a:r>
                <a:r>
                  <a:rPr lang="en-US" sz="1000" b="0" i="0" u="none" strike="noStrike" baseline="0">
                    <a:effectLst/>
                  </a:rPr>
                  <a:t>𝑅𝑠</a:t>
                </a:r>
                <a:r>
                  <a:rPr lang="ru-RU"/>
                  <a:t>, м3/м3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ru-RU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386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/>
              <a:t>Объемный</a:t>
            </a:r>
            <a:r>
              <a:rPr lang="ru-RU" baseline="0"/>
              <a:t> коэффициент нефти</a:t>
            </a:r>
            <a:r>
              <a:rPr lang="en-US" baseline="0"/>
              <a:t>,</a:t>
            </a:r>
            <a:r>
              <a:rPr lang="ru-RU" baseline="0"/>
              <a:t> газа</a:t>
            </a:r>
            <a:r>
              <a:rPr lang="en-US" baseline="0"/>
              <a:t> </a:t>
            </a:r>
            <a:r>
              <a:rPr lang="ru-RU" baseline="0"/>
              <a:t>и воды </a:t>
            </a:r>
            <a:endParaRPr lang="en-US"/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0.12800614540425814"/>
          <c:y val="0.12115779913539503"/>
          <c:w val="0.82843894899536319"/>
          <c:h val="0.69957118802381801"/>
        </c:manualLayout>
      </c:layout>
      <c:scatterChart>
        <c:scatterStyle val="lineMarker"/>
        <c:varyColors val="0"/>
        <c:ser>
          <c:idx val="0"/>
          <c:order val="0"/>
          <c:tx>
            <c:strRef>
              <c:f>exercise_PVT!$E$70</c:f>
              <c:strCache>
                <c:ptCount val="1"/>
                <c:pt idx="0">
                  <c:v>Bo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exercise_PVT!$F$38:$F$63</c:f>
              <c:numCache>
                <c:formatCode>0.00</c:formatCode>
                <c:ptCount val="26"/>
                <c:pt idx="0">
                  <c:v>1.0556111252313001</c:v>
                </c:pt>
                <c:pt idx="1">
                  <c:v>1.0921604322983101</c:v>
                </c:pt>
                <c:pt idx="2">
                  <c:v>1.1093843017264899</c:v>
                </c:pt>
                <c:pt idx="3">
                  <c:v>1.1327469419179701</c:v>
                </c:pt>
                <c:pt idx="4">
                  <c:v>1.16650388854763</c:v>
                </c:pt>
                <c:pt idx="5">
                  <c:v>1.19434666194396</c:v>
                </c:pt>
                <c:pt idx="6">
                  <c:v>1.21989550506308</c:v>
                </c:pt>
                <c:pt idx="7">
                  <c:v>1.2444494388296199</c:v>
                </c:pt>
                <c:pt idx="8">
                  <c:v>1.26863502667848</c:v>
                </c:pt>
                <c:pt idx="9">
                  <c:v>1.2928028403701299</c:v>
                </c:pt>
                <c:pt idx="10">
                  <c:v>1.3171669749430699</c:v>
                </c:pt>
                <c:pt idx="11">
                  <c:v>1.34186534551035</c:v>
                </c:pt>
                <c:pt idx="12">
                  <c:v>1.3557936651117599</c:v>
                </c:pt>
                <c:pt idx="13">
                  <c:v>1.3508323444499599</c:v>
                </c:pt>
                <c:pt idx="14">
                  <c:v>1.34671178194175</c:v>
                </c:pt>
                <c:pt idx="15">
                  <c:v>1.3432349711162701</c:v>
                </c:pt>
                <c:pt idx="16">
                  <c:v>1.3402619926697701</c:v>
                </c:pt>
                <c:pt idx="17">
                  <c:v>1.33769073443135</c:v>
                </c:pt>
                <c:pt idx="18">
                  <c:v>1.3354449303101199</c:v>
                </c:pt>
                <c:pt idx="19">
                  <c:v>1.33346646977706</c:v>
                </c:pt>
                <c:pt idx="20">
                  <c:v>1.33171029899334</c:v>
                </c:pt>
                <c:pt idx="21">
                  <c:v>1.3301409488772</c:v>
                </c:pt>
                <c:pt idx="22">
                  <c:v>1.3287301150684401</c:v>
                </c:pt>
                <c:pt idx="23">
                  <c:v>1.3274549358615899</c:v>
                </c:pt>
                <c:pt idx="24">
                  <c:v>1.32629674403159</c:v>
                </c:pt>
                <c:pt idx="25">
                  <c:v>1.32524014708295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5C-40F5-9F97-B6024E10C659}"/>
            </c:ext>
          </c:extLst>
        </c:ser>
        <c:ser>
          <c:idx val="2"/>
          <c:order val="1"/>
          <c:tx>
            <c:strRef>
              <c:f>exercise_PVT!$L$70</c:f>
              <c:strCache>
                <c:ptCount val="1"/>
                <c:pt idx="0">
                  <c:v>Bg</c:v>
                </c:pt>
              </c:strCache>
            </c:strRef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exercise_PVT!$G$38:$G$63</c:f>
              <c:numCache>
                <c:formatCode>0.00</c:formatCode>
                <c:ptCount val="26"/>
                <c:pt idx="0">
                  <c:v>1.20678289749209</c:v>
                </c:pt>
                <c:pt idx="1">
                  <c:v>0.23903855309019001</c:v>
                </c:pt>
                <c:pt idx="2">
                  <c:v>0.11803796882989601</c:v>
                </c:pt>
                <c:pt idx="3">
                  <c:v>5.7455586750081597E-2</c:v>
                </c:pt>
                <c:pt idx="4">
                  <c:v>2.6984423776092701E-2</c:v>
                </c:pt>
                <c:pt idx="5">
                  <c:v>1.67700345889196E-2</c:v>
                </c:pt>
                <c:pt idx="6">
                  <c:v>1.17732486968916E-2</c:v>
                </c:pt>
                <c:pt idx="7">
                  <c:v>8.9561993641654007E-3</c:v>
                </c:pt>
                <c:pt idx="8">
                  <c:v>7.2502223943708803E-3</c:v>
                </c:pt>
                <c:pt idx="9">
                  <c:v>6.1630510635802402E-3</c:v>
                </c:pt>
                <c:pt idx="10">
                  <c:v>5.4374919465490796E-3</c:v>
                </c:pt>
                <c:pt idx="11">
                  <c:v>4.9311135009249404E-3</c:v>
                </c:pt>
                <c:pt idx="12">
                  <c:v>4.5623354978271899E-3</c:v>
                </c:pt>
                <c:pt idx="13">
                  <c:v>4.28314918594955E-3</c:v>
                </c:pt>
                <c:pt idx="14">
                  <c:v>4.0645327163799597E-3</c:v>
                </c:pt>
                <c:pt idx="15">
                  <c:v>3.8884304460332498E-3</c:v>
                </c:pt>
                <c:pt idx="16">
                  <c:v>3.7432561410045101E-3</c:v>
                </c:pt>
                <c:pt idx="17">
                  <c:v>3.6213280108057101E-3</c:v>
                </c:pt>
                <c:pt idx="18">
                  <c:v>3.5173793984972202E-3</c:v>
                </c:pt>
                <c:pt idx="19">
                  <c:v>3.4276773068663302E-3</c:v>
                </c:pt>
                <c:pt idx="20">
                  <c:v>3.3494898123093801E-3</c:v>
                </c:pt>
                <c:pt idx="21">
                  <c:v>3.2807571595750099E-3</c:v>
                </c:pt>
                <c:pt idx="22">
                  <c:v>3.2198839584322201E-3</c:v>
                </c:pt>
                <c:pt idx="23">
                  <c:v>3.1656047937475098E-3</c:v>
                </c:pt>
                <c:pt idx="24">
                  <c:v>3.1168952511056499E-3</c:v>
                </c:pt>
                <c:pt idx="25">
                  <c:v>3.0729116310616198E-3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25C-40F5-9F97-B6024E10C659}"/>
            </c:ext>
          </c:extLst>
        </c:ser>
        <c:ser>
          <c:idx val="1"/>
          <c:order val="2"/>
          <c:tx>
            <c:strRef>
              <c:f>exercise_PVT!$M$70</c:f>
              <c:strCache>
                <c:ptCount val="1"/>
                <c:pt idx="0">
                  <c:v>Bw</c:v>
                </c:pt>
              </c:strCache>
            </c:strRef>
          </c:tx>
          <c:xVal>
            <c:numRef>
              <c:f>exercise_PVT!$B$38:$B$63</c:f>
              <c:numCache>
                <c:formatCode>General</c:formatCode>
                <c:ptCount val="26"/>
                <c:pt idx="0">
                  <c:v>1</c:v>
                </c:pt>
                <c:pt idx="1">
                  <c:v>5</c:v>
                </c:pt>
                <c:pt idx="2">
                  <c:v>10</c:v>
                </c:pt>
                <c:pt idx="3">
                  <c:v>20</c:v>
                </c:pt>
                <c:pt idx="4">
                  <c:v>40</c:v>
                </c:pt>
                <c:pt idx="5">
                  <c:v>60</c:v>
                </c:pt>
                <c:pt idx="6">
                  <c:v>80</c:v>
                </c:pt>
                <c:pt idx="7">
                  <c:v>100</c:v>
                </c:pt>
                <c:pt idx="8">
                  <c:v>120</c:v>
                </c:pt>
                <c:pt idx="9">
                  <c:v>140</c:v>
                </c:pt>
                <c:pt idx="10">
                  <c:v>160</c:v>
                </c:pt>
                <c:pt idx="11">
                  <c:v>180</c:v>
                </c:pt>
                <c:pt idx="12">
                  <c:v>200</c:v>
                </c:pt>
                <c:pt idx="13">
                  <c:v>220</c:v>
                </c:pt>
                <c:pt idx="14">
                  <c:v>240</c:v>
                </c:pt>
                <c:pt idx="15">
                  <c:v>260</c:v>
                </c:pt>
                <c:pt idx="16">
                  <c:v>280</c:v>
                </c:pt>
                <c:pt idx="17">
                  <c:v>300</c:v>
                </c:pt>
                <c:pt idx="18">
                  <c:v>320</c:v>
                </c:pt>
                <c:pt idx="19">
                  <c:v>340</c:v>
                </c:pt>
                <c:pt idx="20">
                  <c:v>360</c:v>
                </c:pt>
                <c:pt idx="21">
                  <c:v>380</c:v>
                </c:pt>
                <c:pt idx="22">
                  <c:v>400</c:v>
                </c:pt>
                <c:pt idx="23">
                  <c:v>420</c:v>
                </c:pt>
                <c:pt idx="24">
                  <c:v>440</c:v>
                </c:pt>
                <c:pt idx="25">
                  <c:v>460</c:v>
                </c:pt>
              </c:numCache>
            </c:numRef>
          </c:xVal>
          <c:yVal>
            <c:numRef>
              <c:f>exercise_PVT!$H$38:$H$63</c:f>
              <c:numCache>
                <c:formatCode>0.00</c:formatCode>
                <c:ptCount val="26"/>
                <c:pt idx="0">
                  <c:v>1.0303260611056</c:v>
                </c:pt>
                <c:pt idx="1">
                  <c:v>1.0302822084479599</c:v>
                </c:pt>
                <c:pt idx="2">
                  <c:v>1.03022483252763</c:v>
                </c:pt>
                <c:pt idx="3">
                  <c:v>1.03010154702602</c:v>
                </c:pt>
                <c:pt idx="4">
                  <c:v>1.029820841379</c:v>
                </c:pt>
                <c:pt idx="5">
                  <c:v>1.02949462287358</c:v>
                </c:pt>
                <c:pt idx="6">
                  <c:v>1.0291228915097701</c:v>
                </c:pt>
                <c:pt idx="7">
                  <c:v>1.02870564728755</c:v>
                </c:pt>
                <c:pt idx="8">
                  <c:v>1.02824289020694</c:v>
                </c:pt>
                <c:pt idx="9">
                  <c:v>1.02773462026794</c:v>
                </c:pt>
                <c:pt idx="10">
                  <c:v>1.02718083747053</c:v>
                </c:pt>
                <c:pt idx="11">
                  <c:v>1.0265815418147299</c:v>
                </c:pt>
                <c:pt idx="12">
                  <c:v>1.02593673330054</c:v>
                </c:pt>
                <c:pt idx="13">
                  <c:v>1.0252464119279401</c:v>
                </c:pt>
                <c:pt idx="14">
                  <c:v>1.0245105776969501</c:v>
                </c:pt>
                <c:pt idx="15">
                  <c:v>1.02372923060756</c:v>
                </c:pt>
                <c:pt idx="16">
                  <c:v>1.02290237065977</c:v>
                </c:pt>
                <c:pt idx="17">
                  <c:v>1.0220299978535801</c:v>
                </c:pt>
                <c:pt idx="18">
                  <c:v>1.0211121121890001</c:v>
                </c:pt>
                <c:pt idx="19">
                  <c:v>1.0201487136660199</c:v>
                </c:pt>
                <c:pt idx="20">
                  <c:v>1.0191398022846501</c:v>
                </c:pt>
                <c:pt idx="21">
                  <c:v>1.01808537804487</c:v>
                </c:pt>
                <c:pt idx="22">
                  <c:v>1.0169854409467001</c:v>
                </c:pt>
                <c:pt idx="23">
                  <c:v>1.0158399909901299</c:v>
                </c:pt>
                <c:pt idx="24">
                  <c:v>1.0146490281751701</c:v>
                </c:pt>
                <c:pt idx="25">
                  <c:v>1.0134125525018001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25C-40F5-9F97-B6024E10C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3460608"/>
        <c:axId val="405286272"/>
      </c:scatterChart>
      <c:valAx>
        <c:axId val="403460608"/>
        <c:scaling>
          <c:orientation val="minMax"/>
          <c:max val="3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/>
                  <a:t>Давление, атм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5286272"/>
        <c:crosses val="autoZero"/>
        <c:crossBetween val="midCat"/>
      </c:valAx>
      <c:valAx>
        <c:axId val="40528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ru-RU" baseline="0"/>
                  <a:t>Объемный коэффициент газа </a:t>
                </a:r>
                <a:r>
                  <a:rPr lang="en-US" baseline="0"/>
                  <a:t>Bg</a:t>
                </a:r>
                <a:r>
                  <a:rPr lang="ru-RU" baseline="0"/>
                  <a:t>, м3/м3</a:t>
                </a:r>
                <a:endParaRPr lang="ru-RU"/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40346060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ysClr val="window" lastClr="FFFFFF">
        <a:lumMod val="95000"/>
      </a:sys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548409</xdr:colOff>
      <xdr:row>0</xdr:row>
      <xdr:rowOff>7036</xdr:rowOff>
    </xdr:from>
    <xdr:to>
      <xdr:col>14</xdr:col>
      <xdr:colOff>373417</xdr:colOff>
      <xdr:row>20</xdr:row>
      <xdr:rowOff>114299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𝑅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𝑠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𝐵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𝑜</m:t>
                      </m:r>
                    </m:sub>
                  </m:sSub>
                </m:oMath>
              </a14:m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latin typeface="Cambria Math" panose="02040503050406030204" pitchFamily="18" charset="0"/>
                        </a:rPr>
                      </m:ctrlPr>
                    </m:sSubPr>
                    <m:e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latin typeface="Cambria Math" panose="02040503050406030204" pitchFamily="18" charset="0"/>
                        </a:rPr>
                        <m:t>𝑜</m:t>
                      </m:r>
                    </m:sub>
                  </m:sSub>
                </m:oMath>
              </a14:m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𝑔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14:m>
                <m:oMath xmlns:m="http://schemas.openxmlformats.org/officeDocument/2006/math">
                  <m:sSub>
                    <m:sSubPr>
                      <m:ctrlP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𝜇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𝑤</m:t>
                      </m:r>
                    </m:sub>
                  </m:sSub>
                </m:oMath>
              </a14:m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000-000004000000}"/>
                </a:ext>
              </a:extLst>
            </xdr:cNvPr>
            <xdr:cNvSpPr txBox="1"/>
          </xdr:nvSpPr>
          <xdr:spPr>
            <a:xfrm>
              <a:off x="5006109" y="7036"/>
              <a:ext cx="5532388" cy="3810583"/>
            </a:xfrm>
            <a:prstGeom prst="rect">
              <a:avLst/>
            </a:prstGeom>
            <a:solidFill>
              <a:schemeClr val="accent6">
                <a:lumMod val="20000"/>
                <a:lumOff val="80000"/>
              </a:schemeClr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/>
                <a:t>Упражнение показывает как можно рассчитать </a:t>
              </a:r>
              <a:r>
                <a:rPr lang="en-US" sz="1100"/>
                <a:t>PVT </a:t>
              </a:r>
              <a:r>
                <a:rPr lang="ru-RU" sz="1100"/>
                <a:t>свойства</a:t>
              </a:r>
              <a:r>
                <a:rPr lang="ru-RU" sz="1100" baseline="0"/>
                <a:t> пластовых флюидов и позволяет проанализировать получившиеся зависимости.</a:t>
              </a:r>
            </a:p>
            <a:p>
              <a:pPr marL="0" indent="0">
                <a:buFont typeface="Arial" panose="020B0604020202020204" pitchFamily="34" charset="0"/>
                <a:buNone/>
              </a:pPr>
              <a:endParaRPr lang="ru-RU" sz="1100" baseline="0"/>
            </a:p>
            <a:p>
              <a:pPr marL="0" indent="0">
                <a:buFont typeface="Arial" panose="020B0604020202020204" pitchFamily="34" charset="0"/>
                <a:buNone/>
              </a:pPr>
              <a:r>
                <a:rPr lang="ru-RU" sz="1100" baseline="0"/>
                <a:t>Выполните следующее задание</a:t>
              </a:r>
              <a:endParaRPr lang="ru-RU" sz="1100"/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/>
                <a:t>Постройте</a:t>
              </a:r>
              <a:r>
                <a:rPr lang="ru-RU" sz="1100" baseline="0"/>
                <a:t> зависимости газосодержания в нефти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𝑅_𝑠</a:t>
              </a:r>
              <a:r>
                <a:rPr lang="en-US" sz="1100" baseline="0"/>
                <a:t>, </a:t>
              </a:r>
              <a:r>
                <a:rPr lang="ru-RU" sz="1100" baseline="0"/>
                <a:t>объемного коэффициента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𝐵_𝑜</a:t>
              </a:r>
              <a:r>
                <a:rPr lang="ru-RU" sz="1100" baseline="0"/>
                <a:t>, вязкости нефти</a:t>
              </a:r>
              <a:r>
                <a:rPr lang="en-US" sz="1100" baseline="0"/>
                <a:t> </a:t>
              </a:r>
              <a:r>
                <a:rPr lang="en-US" sz="1100" b="0" i="0" baseline="0">
                  <a:latin typeface="Cambria Math" panose="02040503050406030204" pitchFamily="18" charset="0"/>
                </a:rPr>
                <a:t>𝜇_𝑜</a:t>
              </a:r>
              <a:r>
                <a:rPr lang="en-US" sz="1100" baseline="0"/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вязкости газа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𝜇_𝑔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воды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 b="0" i="0" baseline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𝜇_𝑤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плотности газа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/>
                <a:t>,</a:t>
              </a:r>
              <a:r>
                <a:rPr lang="ru-RU" baseline="0"/>
                <a:t> воды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w</a:t>
              </a:r>
              <a:r>
                <a:rPr lang="en-US"/>
                <a:t> </a:t>
              </a:r>
              <a:r>
                <a:rPr lang="ru-RU"/>
                <a:t>и нефти</a:t>
              </a:r>
              <a:r>
                <a:rPr lang="ru-RU" baseline="0"/>
                <a:t> </a:t>
              </a:r>
              <a:r>
                <a:rPr lang="el-GR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ρ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o</a:t>
              </a:r>
              <a:r>
                <a:rPr lang="en-US"/>
                <a:t> </a:t>
              </a:r>
              <a:r>
                <a:rPr lang="ru-RU" sz="1100" baseline="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,  и объемного коэффициента газа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en-US" sz="1100" b="0" i="0" u="none" strike="noStrike" baseline="-250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g</a:t>
              </a:r>
              <a:r>
                <a:rPr lang="en-US"/>
                <a:t> </a:t>
              </a:r>
              <a:r>
                <a:rPr lang="ru-RU" sz="1100" baseline="0"/>
                <a:t>от давления</a:t>
              </a:r>
              <a:r>
                <a:rPr lang="en-US" sz="1100" baseline="0"/>
                <a:t> </a:t>
              </a:r>
              <a:r>
                <a:rPr lang="ru-RU" sz="1100" baseline="0"/>
                <a:t>и температуры в приведенной ниже таблице.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Настройте при необходимости отображение графиков для построенных величин. </a:t>
              </a:r>
            </a:p>
            <a:p>
              <a:pPr marL="171450" indent="-171450">
                <a:buFont typeface="Arial" panose="020B0604020202020204" pitchFamily="34" charset="0"/>
                <a:buChar char="•"/>
              </a:pPr>
              <a:r>
                <a:rPr lang="ru-RU" sz="1100" baseline="0"/>
                <a:t>Объясните получившиеся графические зависимости.</a:t>
              </a:r>
              <a:endParaRPr lang="en-US" sz="1100"/>
            </a:p>
            <a:p>
              <a:r>
                <a:rPr lang="ru-RU" sz="1100"/>
                <a:t>Используйте</a:t>
              </a:r>
              <a:r>
                <a:rPr lang="ru-RU" sz="1100" baseline="0"/>
                <a:t> функции</a:t>
              </a:r>
              <a:r>
                <a:rPr lang="en-US" sz="1100" baseline="0"/>
                <a:t>:</a:t>
              </a:r>
              <a:endParaRPr lang="ru-RU" sz="1100" baseline="0"/>
            </a:p>
            <a:p>
              <a:pPr marL="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lang="en-US" sz="1100">
                  <a:solidFill>
                    <a:schemeClr val="dk1"/>
                  </a:solidFill>
                  <a:effectLst/>
                  <a:latin typeface="Courier New" panose="02070309020205020404" pitchFamily="49" charset="0"/>
                  <a:ea typeface="+mn-ea"/>
                  <a:cs typeface="Courier New" panose="02070309020205020404" pitchFamily="49" charset="0"/>
                </a:rPr>
                <a:t>encode_PVT</a:t>
              </a:r>
              <a:endParaRPr lang="ru-RU" sz="1100" baseline="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GB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PVT_calc</a:t>
              </a:r>
              <a:r>
                <a:rPr lang="ru-RU" sz="1100" baseline="0">
                  <a:latin typeface="Courier New" panose="02070309020205020404" pitchFamily="49" charset="0"/>
                  <a:cs typeface="Courier New" panose="02070309020205020404" pitchFamily="49" charset="0"/>
                </a:rPr>
                <a:t> </a:t>
              </a: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PVT_rs_m3m3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PVT_bo_m3m3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PVT_mu_oil_cP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PVT_mu_gas_cP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PVT_mu_wat_cP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PVT_rho_gas_kgm3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PVT_rho_wat_kgm3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PVT_rho_oil_kgm3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  <a:p>
              <a:r>
                <a:rPr lang="en-US" sz="1100">
                  <a:latin typeface="Courier New" panose="02070309020205020404" pitchFamily="49" charset="0"/>
                  <a:cs typeface="Courier New" panose="02070309020205020404" pitchFamily="49" charset="0"/>
                </a:rPr>
                <a:t>PVT_bg_m3m3</a:t>
              </a:r>
              <a:endParaRPr lang="ru-RU" sz="1100">
                <a:latin typeface="Courier New" panose="02070309020205020404" pitchFamily="49" charset="0"/>
                <a:cs typeface="Courier New" panose="02070309020205020404" pitchFamily="49" charset="0"/>
              </a:endParaRPr>
            </a:p>
          </xdr:txBody>
        </xdr:sp>
      </mc:Fallback>
    </mc:AlternateContent>
    <xdr:clientData/>
  </xdr:twoCellAnchor>
  <xdr:twoCellAnchor>
    <xdr:from>
      <xdr:col>12</xdr:col>
      <xdr:colOff>533271</xdr:colOff>
      <xdr:row>100</xdr:row>
      <xdr:rowOff>90368</xdr:rowOff>
    </xdr:from>
    <xdr:to>
      <xdr:col>19</xdr:col>
      <xdr:colOff>478972</xdr:colOff>
      <xdr:row>123</xdr:row>
      <xdr:rowOff>44850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563504</xdr:colOff>
      <xdr:row>100</xdr:row>
      <xdr:rowOff>78547</xdr:rowOff>
    </xdr:from>
    <xdr:to>
      <xdr:col>27</xdr:col>
      <xdr:colOff>65314</xdr:colOff>
      <xdr:row>123</xdr:row>
      <xdr:rowOff>54430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27</xdr:col>
      <xdr:colOff>101344</xdr:colOff>
      <xdr:row>35</xdr:row>
      <xdr:rowOff>132002</xdr:rowOff>
    </xdr:from>
    <xdr:to>
      <xdr:col>32</xdr:col>
      <xdr:colOff>486191</xdr:colOff>
      <xdr:row>49</xdr:row>
      <xdr:rowOff>48248</xdr:rowOff>
    </xdr:to>
    <xdr:sp macro="" textlink="">
      <xdr:nvSpPr>
        <xdr:cNvPr id="8" name="Стрелка: влево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 rot="21010197">
          <a:off x="19061697" y="6407296"/>
          <a:ext cx="3522494" cy="2632552"/>
        </a:xfrm>
        <a:prstGeom prst="leftArrow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1. </a:t>
          </a:r>
          <a:r>
            <a:rPr lang="ru-RU" sz="1100"/>
            <a:t>Рассчитайте</a:t>
          </a:r>
          <a:r>
            <a:rPr lang="ru-RU" sz="1100" baseline="0"/>
            <a:t> необходимые значения в этой таблице.</a:t>
          </a:r>
        </a:p>
        <a:p>
          <a:pPr algn="l"/>
          <a:r>
            <a:rPr lang="ru-RU" sz="1100" baseline="0"/>
            <a:t>Ниже автоматом должны отобразиться графики, если все сделать правильно</a:t>
          </a:r>
          <a:endParaRPr lang="ru-RU" sz="1100"/>
        </a:p>
      </xdr:txBody>
    </xdr:sp>
    <xdr:clientData/>
  </xdr:twoCellAnchor>
  <xdr:twoCellAnchor>
    <xdr:from>
      <xdr:col>19</xdr:col>
      <xdr:colOff>531281</xdr:colOff>
      <xdr:row>123</xdr:row>
      <xdr:rowOff>157143</xdr:rowOff>
    </xdr:from>
    <xdr:to>
      <xdr:col>26</xdr:col>
      <xdr:colOff>68647</xdr:colOff>
      <xdr:row>146</xdr:row>
      <xdr:rowOff>126625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520267</xdr:colOff>
      <xdr:row>124</xdr:row>
      <xdr:rowOff>7336</xdr:rowOff>
    </xdr:from>
    <xdr:to>
      <xdr:col>19</xdr:col>
      <xdr:colOff>450892</xdr:colOff>
      <xdr:row>146</xdr:row>
      <xdr:rowOff>162534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id="{118FF4DC-32FF-4531-A876-5F98876F489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27</xdr:col>
      <xdr:colOff>150981</xdr:colOff>
      <xdr:row>100</xdr:row>
      <xdr:rowOff>66589</xdr:rowOff>
    </xdr:from>
    <xdr:to>
      <xdr:col>34</xdr:col>
      <xdr:colOff>431546</xdr:colOff>
      <xdr:row>123</xdr:row>
      <xdr:rowOff>58998</xdr:rowOff>
    </xdr:to>
    <xdr:graphicFrame macro="">
      <xdr:nvGraphicFramePr>
        <xdr:cNvPr id="11" name="Диаграмма 10">
          <a:extLst>
            <a:ext uri="{FF2B5EF4-FFF2-40B4-BE49-F238E27FC236}">
              <a16:creationId xmlns:a16="http://schemas.microsoft.com/office/drawing/2014/main" id="{5A6E0337-318C-404A-8CA6-B9129CCA81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6</xdr:col>
      <xdr:colOff>124878</xdr:colOff>
      <xdr:row>123</xdr:row>
      <xdr:rowOff>118751</xdr:rowOff>
    </xdr:from>
    <xdr:to>
      <xdr:col>12</xdr:col>
      <xdr:colOff>411466</xdr:colOff>
      <xdr:row>146</xdr:row>
      <xdr:rowOff>82642</xdr:rowOff>
    </xdr:to>
    <xdr:graphicFrame macro="">
      <xdr:nvGraphicFramePr>
        <xdr:cNvPr id="13" name="Диаграмма 12">
          <a:extLst>
            <a:ext uri="{FF2B5EF4-FFF2-40B4-BE49-F238E27FC236}">
              <a16:creationId xmlns:a16="http://schemas.microsoft.com/office/drawing/2014/main" id="{FF254159-DFE5-4BD6-AF97-FC9E358AFF3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231073</xdr:colOff>
      <xdr:row>100</xdr:row>
      <xdr:rowOff>85440</xdr:rowOff>
    </xdr:from>
    <xdr:to>
      <xdr:col>6</xdr:col>
      <xdr:colOff>30050</xdr:colOff>
      <xdr:row>123</xdr:row>
      <xdr:rowOff>54922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id="{5004E8AB-B18B-46BE-AF1E-127B03207DB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6</xdr:col>
      <xdr:colOff>141676</xdr:colOff>
      <xdr:row>100</xdr:row>
      <xdr:rowOff>84162</xdr:rowOff>
    </xdr:from>
    <xdr:to>
      <xdr:col>12</xdr:col>
      <xdr:colOff>419778</xdr:colOff>
      <xdr:row>123</xdr:row>
      <xdr:rowOff>50420</xdr:rowOff>
    </xdr:to>
    <xdr:graphicFrame macro="">
      <xdr:nvGraphicFramePr>
        <xdr:cNvPr id="14" name="Диаграмма 13">
          <a:extLst>
            <a:ext uri="{FF2B5EF4-FFF2-40B4-BE49-F238E27FC236}">
              <a16:creationId xmlns:a16="http://schemas.microsoft.com/office/drawing/2014/main" id="{35577126-ADC4-4096-8189-379C948C408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nifloc/unifloc_vba/UniflocVBA_7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fo"/>
    </sheetNames>
    <definedNames>
      <definedName name="decode_json"/>
      <definedName name="encode_json"/>
      <definedName name="encode_PVT"/>
      <definedName name="json_PVT_calc"/>
      <definedName name="PVT_bg_m3m3"/>
      <definedName name="PVT_bo_m3m3"/>
      <definedName name="PVT_bw_m3m3"/>
      <definedName name="PVT_calc"/>
      <definedName name="PVT_compressibility_gas_1atm"/>
      <definedName name="PVT_compressibility_oil_1atm"/>
      <definedName name="PVT_compressibility_wat_1atm"/>
      <definedName name="PVT_cp_gas_JkgC"/>
      <definedName name="PVT_cp_oil_JkgC"/>
      <definedName name="PVT_cp_wat_JkgC"/>
      <definedName name="PVT_mu_gas_cP"/>
      <definedName name="PVT_mu_oil_cP"/>
      <definedName name="PVT_mu_wat_cP"/>
      <definedName name="PVT_rho_gas_kgm3"/>
      <definedName name="PVT_rho_oil_kgm3"/>
      <definedName name="PVT_rho_wat_kgm3"/>
      <definedName name="PVT_rs_m3m3"/>
      <definedName name="PVT_ST_liqgas_Nm"/>
      <definedName name="PVT_ST_oilgas_Nm"/>
      <definedName name="PVT_ST_watgas_Nm"/>
      <definedName name="unf_version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Стандартная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Стандартная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Стандартная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B9FB-9064-41A8-B6EB-75D3C901BFC5}">
  <sheetPr codeName="Worksheet____5">
    <outlinePr summaryBelow="0"/>
  </sheetPr>
  <dimension ref="A1:AB166"/>
  <sheetViews>
    <sheetView tabSelected="1" topLeftCell="A94" zoomScale="70" zoomScaleNormal="70" workbookViewId="0">
      <selection activeCell="C128" sqref="C128"/>
    </sheetView>
  </sheetViews>
  <sheetFormatPr defaultRowHeight="12.75" x14ac:dyDescent="0.2"/>
  <cols>
    <col min="1" max="1" width="12.28515625" customWidth="1"/>
    <col min="2" max="2" width="13.140625" customWidth="1"/>
    <col min="3" max="3" width="10.5703125" customWidth="1"/>
    <col min="4" max="4" width="9.85546875" customWidth="1"/>
    <col min="5" max="5" width="11.28515625" customWidth="1"/>
    <col min="6" max="6" width="9.85546875" customWidth="1"/>
    <col min="7" max="7" width="11.7109375" customWidth="1"/>
    <col min="8" max="8" width="12.28515625" customWidth="1"/>
    <col min="9" max="9" width="10.5703125" bestFit="1" customWidth="1"/>
    <col min="10" max="10" width="11.28515625" customWidth="1"/>
    <col min="11" max="11" width="10.140625" customWidth="1"/>
    <col min="12" max="13" width="9" bestFit="1" customWidth="1"/>
    <col min="14" max="14" width="9.140625" customWidth="1"/>
    <col min="15" max="17" width="9" bestFit="1" customWidth="1"/>
    <col min="18" max="18" width="21" customWidth="1"/>
    <col min="19" max="19" width="12.7109375" bestFit="1" customWidth="1"/>
    <col min="20" max="21" width="10.5703125" bestFit="1" customWidth="1"/>
    <col min="22" max="25" width="9.140625" customWidth="1"/>
    <col min="26" max="26" width="11.140625" customWidth="1"/>
    <col min="27" max="32" width="9.140625" customWidth="1"/>
  </cols>
  <sheetData>
    <row r="1" spans="1:12" x14ac:dyDescent="0.2">
      <c r="A1" s="1" t="s">
        <v>20</v>
      </c>
      <c r="F1" t="s">
        <v>30</v>
      </c>
      <c r="G1" t="str">
        <f>[1]!unf_version()</f>
        <v>7.40</v>
      </c>
      <c r="H1" s="21" t="s">
        <v>43</v>
      </c>
      <c r="I1" s="25">
        <v>44950</v>
      </c>
      <c r="J1" s="26"/>
      <c r="K1" s="26"/>
      <c r="L1" s="27"/>
    </row>
    <row r="2" spans="1:12" x14ac:dyDescent="0.2">
      <c r="A2" t="s">
        <v>21</v>
      </c>
      <c r="H2" s="21" t="s">
        <v>44</v>
      </c>
      <c r="I2" s="28">
        <v>7.4</v>
      </c>
      <c r="J2" s="23"/>
      <c r="K2" s="23"/>
      <c r="L2" s="24"/>
    </row>
    <row r="3" spans="1:12" ht="15" x14ac:dyDescent="0.25">
      <c r="A3" s="22" t="s">
        <v>37</v>
      </c>
      <c r="B3" s="69" t="s">
        <v>58</v>
      </c>
      <c r="C3" s="69"/>
      <c r="D3" s="69"/>
      <c r="E3" s="70"/>
      <c r="H3" s="22" t="s">
        <v>37</v>
      </c>
      <c r="I3" s="71" t="s">
        <v>58</v>
      </c>
      <c r="J3" s="71"/>
      <c r="K3" s="71"/>
      <c r="L3" s="71"/>
    </row>
    <row r="4" spans="1:12" ht="15" x14ac:dyDescent="0.25">
      <c r="A4" s="22" t="s">
        <v>40</v>
      </c>
      <c r="B4" s="69" t="s">
        <v>41</v>
      </c>
      <c r="C4" s="69"/>
      <c r="D4" s="69"/>
      <c r="E4" s="70"/>
      <c r="H4" s="22" t="s">
        <v>40</v>
      </c>
      <c r="I4" s="72" t="s">
        <v>41</v>
      </c>
      <c r="J4" s="72"/>
      <c r="K4" s="72"/>
      <c r="L4" s="72"/>
    </row>
    <row r="5" spans="1:12" ht="15" x14ac:dyDescent="0.25">
      <c r="A5" s="22" t="s">
        <v>45</v>
      </c>
      <c r="B5" s="69" t="s">
        <v>39</v>
      </c>
      <c r="C5" s="69"/>
      <c r="D5" s="69"/>
      <c r="E5" s="70"/>
      <c r="H5" s="22" t="s">
        <v>45</v>
      </c>
      <c r="I5" s="72" t="s">
        <v>39</v>
      </c>
      <c r="J5" s="72"/>
      <c r="K5" s="72"/>
      <c r="L5" s="72"/>
    </row>
    <row r="6" spans="1:12" x14ac:dyDescent="0.2">
      <c r="A6" s="55" t="s">
        <v>38</v>
      </c>
      <c r="B6" s="58" t="s">
        <v>42</v>
      </c>
      <c r="C6" s="59"/>
      <c r="D6" s="59"/>
      <c r="E6" s="60"/>
      <c r="H6" s="67" t="s">
        <v>38</v>
      </c>
      <c r="I6" s="68" t="s">
        <v>42</v>
      </c>
      <c r="J6" s="68"/>
      <c r="K6" s="68"/>
      <c r="L6" s="68"/>
    </row>
    <row r="7" spans="1:12" x14ac:dyDescent="0.2">
      <c r="A7" s="56"/>
      <c r="B7" s="61"/>
      <c r="C7" s="62"/>
      <c r="D7" s="62"/>
      <c r="E7" s="63"/>
      <c r="H7" s="67"/>
      <c r="I7" s="68"/>
      <c r="J7" s="68"/>
      <c r="K7" s="68"/>
      <c r="L7" s="68"/>
    </row>
    <row r="8" spans="1:12" x14ac:dyDescent="0.2">
      <c r="A8" s="57"/>
      <c r="B8" s="64"/>
      <c r="C8" s="65"/>
      <c r="D8" s="65"/>
      <c r="E8" s="66"/>
      <c r="H8" s="67"/>
      <c r="I8" s="68"/>
      <c r="J8" s="68"/>
      <c r="K8" s="68"/>
      <c r="L8" s="68"/>
    </row>
    <row r="10" spans="1:12" x14ac:dyDescent="0.2">
      <c r="A10" s="1" t="s">
        <v>1</v>
      </c>
    </row>
    <row r="11" spans="1:12" ht="18.75" x14ac:dyDescent="0.35">
      <c r="B11" s="5" t="s">
        <v>10</v>
      </c>
      <c r="C11" s="2">
        <v>0.9</v>
      </c>
      <c r="D11" s="6"/>
      <c r="E11" s="16">
        <f>gamma_oil_*1000</f>
        <v>900</v>
      </c>
      <c r="F11" s="17" t="s">
        <v>19</v>
      </c>
    </row>
    <row r="12" spans="1:12" ht="18.75" x14ac:dyDescent="0.35">
      <c r="B12" s="4" t="s">
        <v>12</v>
      </c>
      <c r="C12" s="2">
        <v>1.1000000000000001</v>
      </c>
      <c r="D12" s="6"/>
      <c r="E12" s="16">
        <f>gamma_wat_*1000</f>
        <v>1100</v>
      </c>
      <c r="F12" s="17" t="s">
        <v>19</v>
      </c>
    </row>
    <row r="13" spans="1:12" ht="18.75" x14ac:dyDescent="0.35">
      <c r="B13" s="4" t="s">
        <v>11</v>
      </c>
      <c r="C13" s="2">
        <v>0.9</v>
      </c>
      <c r="D13" s="6"/>
      <c r="E13" s="16">
        <f>gamma_gas_*1.22</f>
        <v>1.0980000000000001</v>
      </c>
      <c r="F13" s="17" t="s">
        <v>19</v>
      </c>
    </row>
    <row r="14" spans="1:12" ht="18.75" x14ac:dyDescent="0.35">
      <c r="B14" s="7" t="s">
        <v>13</v>
      </c>
      <c r="C14" s="2">
        <v>120</v>
      </c>
      <c r="D14" s="4" t="s">
        <v>14</v>
      </c>
      <c r="E14" s="18">
        <f>Rsb_/gamma_oil_</f>
        <v>133.33333333333334</v>
      </c>
      <c r="F14" s="17" t="s">
        <v>32</v>
      </c>
    </row>
    <row r="15" spans="1:12" ht="18" x14ac:dyDescent="0.35">
      <c r="B15" s="4" t="s">
        <v>16</v>
      </c>
      <c r="C15" s="2"/>
      <c r="D15" s="4" t="s">
        <v>7</v>
      </c>
      <c r="E15" s="18">
        <f>Pb_*1.01325/10</f>
        <v>0</v>
      </c>
      <c r="F15" s="17" t="s">
        <v>8</v>
      </c>
    </row>
    <row r="16" spans="1:12" ht="18" x14ac:dyDescent="0.35">
      <c r="B16" s="4" t="s">
        <v>15</v>
      </c>
      <c r="C16" s="2">
        <v>100</v>
      </c>
      <c r="D16" s="4" t="s">
        <v>3</v>
      </c>
      <c r="E16" s="18">
        <f>Tres_*9/5+32</f>
        <v>212</v>
      </c>
      <c r="F16" s="17" t="s">
        <v>9</v>
      </c>
    </row>
    <row r="17" spans="2:28" ht="18" x14ac:dyDescent="0.35">
      <c r="B17" s="7" t="s">
        <v>17</v>
      </c>
      <c r="C17" s="2"/>
      <c r="D17" s="4" t="s">
        <v>2</v>
      </c>
      <c r="E17" s="19"/>
      <c r="F17" s="6"/>
    </row>
    <row r="18" spans="2:28" ht="18" x14ac:dyDescent="0.35">
      <c r="B18" s="8" t="s">
        <v>18</v>
      </c>
      <c r="C18" s="2"/>
      <c r="D18" s="4" t="s">
        <v>6</v>
      </c>
      <c r="E18" s="19"/>
      <c r="F18" s="6"/>
    </row>
    <row r="21" spans="2:28" x14ac:dyDescent="0.2">
      <c r="B21" s="53" t="s">
        <v>53</v>
      </c>
      <c r="C21" s="54"/>
      <c r="D21" s="39" t="str" cm="1">
        <f t="array" ref="D21">[1]!encode_json(B22:C24)</f>
        <v>{"show_log":1,"PVT_correlation":1}</v>
      </c>
      <c r="E21" s="18"/>
      <c r="F21" s="18"/>
    </row>
    <row r="22" spans="2:28" x14ac:dyDescent="0.2">
      <c r="B22" s="38" t="s">
        <v>54</v>
      </c>
      <c r="C22" s="38">
        <v>1</v>
      </c>
    </row>
    <row r="23" spans="2:28" x14ac:dyDescent="0.2">
      <c r="B23" s="38" t="s">
        <v>57</v>
      </c>
      <c r="C23" s="38">
        <v>1</v>
      </c>
    </row>
    <row r="24" spans="2:28" x14ac:dyDescent="0.2">
      <c r="B24" s="38"/>
      <c r="C24" s="38"/>
    </row>
    <row r="26" spans="2:28" ht="15" customHeight="1" x14ac:dyDescent="0.2">
      <c r="B26" s="51" t="s">
        <v>31</v>
      </c>
      <c r="C26" s="52"/>
      <c r="D26" s="40" t="str">
        <f>[1]!encode_PVT(gamma_gas_,gamma_oil_,gamma_wat_,Rsb_,Pb_,Tres_,Bob_,muob_,C23)</f>
        <v>{"gamma_gas":0.9,"gamma_oil":0.9,"gamma_wat":1.1,"rsb_m3m3":120,"PVT_corr_set":1}</v>
      </c>
      <c r="E26" s="23"/>
      <c r="F26" s="23"/>
      <c r="G26" s="23"/>
      <c r="H26" s="23"/>
      <c r="I26" s="23"/>
      <c r="J26" s="23"/>
      <c r="K26" s="23"/>
      <c r="L26" s="24"/>
    </row>
    <row r="28" spans="2:28" x14ac:dyDescent="0.2">
      <c r="B28" s="9" t="s">
        <v>0</v>
      </c>
      <c r="C28" s="9" t="s">
        <v>4</v>
      </c>
    </row>
    <row r="29" spans="2:28" x14ac:dyDescent="0.2">
      <c r="B29" s="12">
        <v>240</v>
      </c>
      <c r="C29" s="41">
        <v>50</v>
      </c>
      <c r="D29" s="47" t="str" cm="1">
        <f t="array" ref="D29">[1]!json_PVT_calc(B29,C29,PVT_str_)</f>
        <v>{"rs_m3m3":120,"pb_atma":169.557906198542,"bo_m3m3":1.30732792687036,"bg_m3m3":3.52043764711271E-03,"bw_m3m3":1.00906772183023,"mu_oil_cP":2.37444937123559,"mu_gas_cP":0.03731778265764,"mu_wat_cP":0.834966973838392,"rho_oil_rc_kgm3":789.353289859258,"rho_gas_rc_kgm3":312.327645087474,"rho_wat_rc_kgm3":1090.11513915522,"compressibility_oil_1atm":1.36084259259259E-04,"compressibility_gas_1atm":1.7817046839307E-03,"compressibility_wat_1atm":3.31880766327554E-05,"sigma_liq_Nm":4.88505242195722E-02,"sigma_oil_gas_Nm":4.88505242195722E-02,"sigma_wat_gas_Nm":6.10494843415872E-02,"cp_oil_JkgC":2427.4,"cp_gas_JkgC":1408.53294957108,"cv_gas_JkgC":1165.492940836,"cp_wat_JkgC":4176,"z":0.763338655593905,"sal_ppm":136861.032313161}</v>
      </c>
      <c r="E29" s="27"/>
      <c r="F29" s="42" t="str" cm="1">
        <f t="array" ref="F29:AB30">[1]!decode_json(D29,1,)</f>
        <v>rs_m3m3</v>
      </c>
      <c r="G29" s="42" t="str">
        <v>pb_atma</v>
      </c>
      <c r="H29" s="42" t="str">
        <v>bo_m3m3</v>
      </c>
      <c r="I29" s="42" t="str">
        <v>bg_m3m3</v>
      </c>
      <c r="J29" s="42" t="str">
        <v>bw_m3m3</v>
      </c>
      <c r="K29" s="42" t="str">
        <v>mu_oil_cP</v>
      </c>
      <c r="L29" s="42" t="str">
        <v>mu_gas_cP</v>
      </c>
      <c r="M29" s="42" t="str">
        <v>mu_wat_cP</v>
      </c>
      <c r="N29" s="42" t="str">
        <v>rho_oil_rc_kgm3</v>
      </c>
      <c r="O29" s="42" t="str">
        <v>rho_gas_rc_kgm3</v>
      </c>
      <c r="P29" s="42" t="str">
        <v>rho_wat_rc_kgm3</v>
      </c>
      <c r="Q29" s="42" t="str">
        <v>compressibility_oil_1atm</v>
      </c>
      <c r="R29" s="42" t="str">
        <v>compressibility_gas_1atm</v>
      </c>
      <c r="S29" s="42" t="str">
        <v>compressibility_wat_1atm</v>
      </c>
      <c r="T29" s="42" t="str">
        <v>sigma_liq_Nm</v>
      </c>
      <c r="U29" s="42" t="str">
        <v>sigma_oil_gas_Nm</v>
      </c>
      <c r="V29" s="42" t="str">
        <v>sigma_wat_gas_Nm</v>
      </c>
      <c r="W29" s="42" t="str">
        <v>cp_oil_JkgC</v>
      </c>
      <c r="X29" s="42" t="str">
        <v>cp_gas_JkgC</v>
      </c>
      <c r="Y29" s="42" t="str">
        <v>cv_gas_JkgC</v>
      </c>
      <c r="Z29" s="42" t="str">
        <v>cp_wat_JkgC</v>
      </c>
      <c r="AA29" s="42" t="str">
        <v>z</v>
      </c>
      <c r="AB29" s="43" t="str">
        <v>sal_ppm</v>
      </c>
    </row>
    <row r="30" spans="2:28" x14ac:dyDescent="0.2">
      <c r="D30" s="48"/>
      <c r="E30" s="49"/>
      <c r="F30" s="44">
        <v>120</v>
      </c>
      <c r="G30" s="44">
        <v>169.55790619854201</v>
      </c>
      <c r="H30" s="44">
        <v>1.3073279268703599</v>
      </c>
      <c r="I30" s="44">
        <v>3.5204376471127102E-3</v>
      </c>
      <c r="J30" s="44">
        <v>1.00906772183023</v>
      </c>
      <c r="K30" s="44">
        <v>2.3744493712355901</v>
      </c>
      <c r="L30" s="44">
        <v>3.7317782657639999E-2</v>
      </c>
      <c r="M30" s="44">
        <v>0.83496697383839202</v>
      </c>
      <c r="N30" s="44">
        <v>789.35328985925798</v>
      </c>
      <c r="O30" s="44">
        <v>312.32764508747402</v>
      </c>
      <c r="P30" s="44">
        <v>1090.11513915522</v>
      </c>
      <c r="Q30" s="44">
        <v>1.3608425925925899E-4</v>
      </c>
      <c r="R30" s="44">
        <v>1.7817046839307001E-3</v>
      </c>
      <c r="S30" s="44">
        <v>3.31880766327554E-5</v>
      </c>
      <c r="T30" s="44">
        <v>4.88505242195722E-2</v>
      </c>
      <c r="U30" s="44">
        <v>4.88505242195722E-2</v>
      </c>
      <c r="V30" s="44">
        <v>6.1049484341587197E-2</v>
      </c>
      <c r="W30" s="44">
        <v>2427.4</v>
      </c>
      <c r="X30" s="44">
        <v>1408.5329495710801</v>
      </c>
      <c r="Y30" s="44">
        <v>1165.4929408359999</v>
      </c>
      <c r="Z30" s="44">
        <v>4176</v>
      </c>
      <c r="AA30" s="44">
        <v>0.76333865559390501</v>
      </c>
      <c r="AB30" s="45">
        <v>136861.03231316101</v>
      </c>
    </row>
    <row r="31" spans="2:28" x14ac:dyDescent="0.2">
      <c r="D31" s="50"/>
      <c r="E31" s="50"/>
    </row>
    <row r="33" spans="2:26" x14ac:dyDescent="0.2">
      <c r="D33" t="str" cm="1">
        <f t="array" aca="1" ref="D33" ca="1">[1]!decode_json([1]!PVT_calc(B38,C38,PVT_str_,param),1,,)</f>
        <v>error</v>
      </c>
    </row>
    <row r="35" spans="2:26" x14ac:dyDescent="0.2">
      <c r="B35" t="s">
        <v>55</v>
      </c>
    </row>
    <row r="37" spans="2:26" s="31" customFormat="1" ht="38.25" x14ac:dyDescent="0.2">
      <c r="B37" s="32" t="s">
        <v>0</v>
      </c>
      <c r="C37" s="32" t="s">
        <v>4</v>
      </c>
      <c r="D37" s="32" t="str">
        <f t="shared" ref="D37:Z37" si="0">F29</f>
        <v>rs_m3m3</v>
      </c>
      <c r="E37" s="32" t="str">
        <f t="shared" si="0"/>
        <v>pb_atma</v>
      </c>
      <c r="F37" s="32" t="str">
        <f t="shared" si="0"/>
        <v>bo_m3m3</v>
      </c>
      <c r="G37" s="32" t="str">
        <f t="shared" si="0"/>
        <v>bg_m3m3</v>
      </c>
      <c r="H37" s="32" t="str">
        <f t="shared" si="0"/>
        <v>bw_m3m3</v>
      </c>
      <c r="I37" s="32" t="str">
        <f t="shared" si="0"/>
        <v>mu_oil_cP</v>
      </c>
      <c r="J37" s="32" t="str">
        <f t="shared" si="0"/>
        <v>mu_gas_cP</v>
      </c>
      <c r="K37" s="32" t="str">
        <f t="shared" si="0"/>
        <v>mu_wat_cP</v>
      </c>
      <c r="L37" s="32" t="str">
        <f t="shared" si="0"/>
        <v>rho_oil_rc_kgm3</v>
      </c>
      <c r="M37" s="32" t="str">
        <f t="shared" si="0"/>
        <v>rho_gas_rc_kgm3</v>
      </c>
      <c r="N37" s="32" t="str">
        <f t="shared" si="0"/>
        <v>rho_wat_rc_kgm3</v>
      </c>
      <c r="O37" s="32" t="str">
        <f t="shared" si="0"/>
        <v>compressibility_oil_1atm</v>
      </c>
      <c r="P37" s="32" t="str">
        <f t="shared" si="0"/>
        <v>compressibility_gas_1atm</v>
      </c>
      <c r="Q37" s="32" t="str">
        <f t="shared" si="0"/>
        <v>compressibility_wat_1atm</v>
      </c>
      <c r="R37" s="32" t="str">
        <f t="shared" si="0"/>
        <v>sigma_liq_Nm</v>
      </c>
      <c r="S37" s="32" t="str">
        <f t="shared" si="0"/>
        <v>sigma_oil_gas_Nm</v>
      </c>
      <c r="T37" s="32" t="str">
        <f t="shared" si="0"/>
        <v>sigma_wat_gas_Nm</v>
      </c>
      <c r="U37" s="32" t="str">
        <f t="shared" si="0"/>
        <v>cp_oil_JkgC</v>
      </c>
      <c r="V37" s="32" t="str">
        <f t="shared" si="0"/>
        <v>cp_gas_JkgC</v>
      </c>
      <c r="W37" s="32" t="str">
        <f t="shared" si="0"/>
        <v>cv_gas_JkgC</v>
      </c>
      <c r="X37" s="32" t="str">
        <f t="shared" si="0"/>
        <v>cp_wat_JkgC</v>
      </c>
      <c r="Y37" s="32" t="str">
        <f t="shared" si="0"/>
        <v>z</v>
      </c>
      <c r="Z37" s="32" t="str">
        <f t="shared" si="0"/>
        <v>sal_ppm</v>
      </c>
    </row>
    <row r="38" spans="2:26" x14ac:dyDescent="0.2">
      <c r="B38" s="12">
        <v>1</v>
      </c>
      <c r="C38" s="12">
        <v>80</v>
      </c>
      <c r="D38" s="33" cm="1">
        <f t="array" ref="D38:Z38">[1]!decode_json([1]!json_PVT_calc(B38,C38,PVT_str_),1,,1)</f>
        <v>0.62154268592315998</v>
      </c>
      <c r="E38" s="33">
        <v>192.76501965387601</v>
      </c>
      <c r="F38" s="34">
        <v>1.0556111252313001</v>
      </c>
      <c r="G38" s="34">
        <v>1.20678289749209</v>
      </c>
      <c r="H38" s="34">
        <v>1.0303260611056</v>
      </c>
      <c r="I38" s="34">
        <v>5.8817089283756099</v>
      </c>
      <c r="J38" s="34">
        <v>1.1660919395050101E-2</v>
      </c>
      <c r="K38" s="34">
        <v>0.49450516561346203</v>
      </c>
      <c r="L38" s="33">
        <v>853.23409663014002</v>
      </c>
      <c r="M38" s="33">
        <v>0.91112494408482303</v>
      </c>
      <c r="N38" s="33">
        <v>1067.62319378745</v>
      </c>
      <c r="O38" s="33">
        <v>0.43838494718684901</v>
      </c>
      <c r="P38" s="36">
        <v>1.0023857707950601</v>
      </c>
      <c r="Q38" s="36">
        <v>3.78374620279512E-5</v>
      </c>
      <c r="R38" s="36">
        <v>6.6414592185628799E-2</v>
      </c>
      <c r="S38" s="35">
        <v>6.6414592185628799E-2</v>
      </c>
      <c r="T38" s="35">
        <v>6.4550360938274307E-2</v>
      </c>
      <c r="U38" s="33">
        <v>2561.5</v>
      </c>
      <c r="V38" s="33">
        <v>1925.7003792225801</v>
      </c>
      <c r="W38" s="33">
        <v>1608.06648621774</v>
      </c>
      <c r="X38" s="33">
        <v>4176</v>
      </c>
      <c r="Y38" s="37">
        <v>0.99762269644121004</v>
      </c>
      <c r="Z38" s="33">
        <v>136861.03231316101</v>
      </c>
    </row>
    <row r="39" spans="2:26" x14ac:dyDescent="0.2">
      <c r="B39" s="12">
        <v>5</v>
      </c>
      <c r="C39" s="12">
        <v>80</v>
      </c>
      <c r="D39" s="33" cm="1">
        <f t="array" ref="D39:Z39">[1]!decode_json([1]!json_PVT_calc(B39,C39,PVT_str_),1,,1)</f>
        <v>15.487817519266899</v>
      </c>
      <c r="E39" s="33">
        <v>192.76501965387601</v>
      </c>
      <c r="F39" s="34">
        <v>1.0921604322983101</v>
      </c>
      <c r="G39" s="34">
        <v>0.23903855309019001</v>
      </c>
      <c r="H39" s="34">
        <v>1.0302822084479599</v>
      </c>
      <c r="I39" s="34">
        <v>4.3614318264026997</v>
      </c>
      <c r="J39" s="34">
        <v>1.1716093611280801E-2</v>
      </c>
      <c r="K39" s="34">
        <v>0.49568448521335701</v>
      </c>
      <c r="L39" s="33">
        <v>839.64708194673199</v>
      </c>
      <c r="M39" s="33">
        <v>4.59980193899995</v>
      </c>
      <c r="N39" s="33">
        <v>1067.6686358168499</v>
      </c>
      <c r="O39" s="33">
        <v>4.2496105065731003E-2</v>
      </c>
      <c r="P39" s="36">
        <v>0.20244469970579701</v>
      </c>
      <c r="Q39" s="36">
        <v>3.7796696500802801E-5</v>
      </c>
      <c r="R39" s="36">
        <v>6.6074056436752404E-2</v>
      </c>
      <c r="S39" s="35">
        <v>6.6074056436752404E-2</v>
      </c>
      <c r="T39" s="35">
        <v>6.4490148206199902E-2</v>
      </c>
      <c r="U39" s="33">
        <v>2561.5</v>
      </c>
      <c r="V39" s="33">
        <v>1907.2056510380501</v>
      </c>
      <c r="W39" s="33">
        <v>1592.6223637124201</v>
      </c>
      <c r="X39" s="33">
        <v>4176</v>
      </c>
      <c r="Y39" s="37">
        <v>0.98804137174476503</v>
      </c>
      <c r="Z39" s="33">
        <v>136861.03231316101</v>
      </c>
    </row>
    <row r="40" spans="2:26" x14ac:dyDescent="0.2">
      <c r="B40" s="12">
        <v>10</v>
      </c>
      <c r="C40" s="12">
        <v>80</v>
      </c>
      <c r="D40" s="33" cm="1">
        <f t="array" ref="D40:Z40">[1]!decode_json([1]!json_PVT_calc(B40,C40,PVT_str_),1,,1)</f>
        <v>22.4476034799494</v>
      </c>
      <c r="E40" s="33">
        <v>192.76501965387601</v>
      </c>
      <c r="F40" s="34">
        <v>1.1093843017264899</v>
      </c>
      <c r="G40" s="34">
        <v>0.11803796882989601</v>
      </c>
      <c r="H40" s="34">
        <v>1.03022483252763</v>
      </c>
      <c r="I40" s="34">
        <v>3.86523611398637</v>
      </c>
      <c r="J40" s="34">
        <v>1.1808987320130899E-2</v>
      </c>
      <c r="K40" s="34">
        <v>0.49717356350540998</v>
      </c>
      <c r="L40" s="33">
        <v>833.50901217482703</v>
      </c>
      <c r="M40" s="33">
        <v>9.3150535450549103</v>
      </c>
      <c r="N40" s="33">
        <v>1067.7280970806901</v>
      </c>
      <c r="O40" s="33">
        <v>1.55544848900348E-2</v>
      </c>
      <c r="P40" s="36">
        <v>0.102550553019295</v>
      </c>
      <c r="Q40" s="36">
        <v>3.7745862951246003E-5</v>
      </c>
      <c r="R40" s="36">
        <v>6.5650841112889297E-2</v>
      </c>
      <c r="S40" s="35">
        <v>6.5650841112889297E-2</v>
      </c>
      <c r="T40" s="35">
        <v>6.4414961269221194E-2</v>
      </c>
      <c r="U40" s="33">
        <v>2561.5</v>
      </c>
      <c r="V40" s="33">
        <v>1883.56797076571</v>
      </c>
      <c r="W40" s="33">
        <v>1572.88359133224</v>
      </c>
      <c r="X40" s="33">
        <v>4176</v>
      </c>
      <c r="Y40" s="37">
        <v>0.97579570435780005</v>
      </c>
      <c r="Z40" s="33">
        <v>136861.03231316101</v>
      </c>
    </row>
    <row r="41" spans="2:26" x14ac:dyDescent="0.2">
      <c r="B41" s="12">
        <v>20</v>
      </c>
      <c r="C41" s="12">
        <v>80</v>
      </c>
      <c r="D41" s="33" cm="1">
        <f t="array" ref="D41:Z41">[1]!decode_json([1]!json_PVT_calc(B41,C41,PVT_str_),1,,1)</f>
        <v>31.8601846313639</v>
      </c>
      <c r="E41" s="33">
        <v>192.76501965387601</v>
      </c>
      <c r="F41" s="34">
        <v>1.1327469419179701</v>
      </c>
      <c r="G41" s="34">
        <v>5.7455586750081597E-2</v>
      </c>
      <c r="H41" s="34">
        <v>1.03010154702602</v>
      </c>
      <c r="I41" s="34">
        <v>3.3298018270592502</v>
      </c>
      <c r="J41" s="34">
        <v>1.20480710401587E-2</v>
      </c>
      <c r="K41" s="34">
        <v>0.50020148273013199</v>
      </c>
      <c r="L41" s="33">
        <v>825.45464852416796</v>
      </c>
      <c r="M41" s="33">
        <v>19.137042404295698</v>
      </c>
      <c r="N41" s="33">
        <v>1067.85588583551</v>
      </c>
      <c r="O41" s="33">
        <v>5.6932747088255702E-3</v>
      </c>
      <c r="P41" s="36">
        <v>5.2831960881571098E-2</v>
      </c>
      <c r="Q41" s="36">
        <v>3.7644604954190997E-5</v>
      </c>
      <c r="R41" s="36">
        <v>6.4812525395937307E-2</v>
      </c>
      <c r="S41" s="35">
        <v>6.4812525395937307E-2</v>
      </c>
      <c r="T41" s="35">
        <v>6.4264850266977203E-2</v>
      </c>
      <c r="U41" s="33">
        <v>2561.5</v>
      </c>
      <c r="V41" s="33">
        <v>1833.67274135261</v>
      </c>
      <c r="W41" s="33">
        <v>1531.2183109454099</v>
      </c>
      <c r="X41" s="33">
        <v>4176</v>
      </c>
      <c r="Y41" s="37">
        <v>0.94994712799373304</v>
      </c>
      <c r="Z41" s="33">
        <v>136861.03231316101</v>
      </c>
    </row>
    <row r="42" spans="2:26" x14ac:dyDescent="0.2">
      <c r="B42" s="12">
        <v>40</v>
      </c>
      <c r="C42" s="12">
        <v>80</v>
      </c>
      <c r="D42" s="33" cm="1">
        <f t="array" ref="D42:Z42">[1]!decode_json([1]!json_PVT_calc(B42,C42,PVT_str_),1,,1)</f>
        <v>45.406792313410797</v>
      </c>
      <c r="E42" s="33">
        <v>192.76501965387601</v>
      </c>
      <c r="F42" s="34">
        <v>1.16650388854763</v>
      </c>
      <c r="G42" s="34">
        <v>2.6984423776092701E-2</v>
      </c>
      <c r="H42" s="34">
        <v>1.029820841379</v>
      </c>
      <c r="I42" s="34">
        <v>2.74751104782864</v>
      </c>
      <c r="J42" s="34">
        <v>1.27184512770108E-2</v>
      </c>
      <c r="K42" s="34">
        <v>0.50645637174203595</v>
      </c>
      <c r="L42" s="33">
        <v>814.33601694639799</v>
      </c>
      <c r="M42" s="33">
        <v>40.746840070535299</v>
      </c>
      <c r="N42" s="33">
        <v>1068.1469589671799</v>
      </c>
      <c r="O42" s="33">
        <v>2.0838605160701301E-3</v>
      </c>
      <c r="P42" s="36">
        <v>2.8396434090459399E-2</v>
      </c>
      <c r="Q42" s="36">
        <v>3.7443710085765802E-5</v>
      </c>
      <c r="R42" s="36">
        <v>6.3167871401489106E-2</v>
      </c>
      <c r="S42" s="35">
        <v>6.3167871401489106E-2</v>
      </c>
      <c r="T42" s="35">
        <v>6.3965676891978004E-2</v>
      </c>
      <c r="U42" s="33">
        <v>2561.5</v>
      </c>
      <c r="V42" s="33">
        <v>1722.3948137387399</v>
      </c>
      <c r="W42" s="33">
        <v>1438.29507741317</v>
      </c>
      <c r="X42" s="33">
        <v>4176</v>
      </c>
      <c r="Y42" s="37">
        <v>0.89229881084205298</v>
      </c>
      <c r="Z42" s="33">
        <v>136861.03231316101</v>
      </c>
    </row>
    <row r="43" spans="2:26" x14ac:dyDescent="0.2">
      <c r="B43" s="12">
        <v>60</v>
      </c>
      <c r="C43" s="12">
        <v>80</v>
      </c>
      <c r="D43" s="33" cm="1">
        <f t="array" ref="D43:Z43">[1]!decode_json([1]!json_PVT_calc(B43,C43,PVT_str_),1,,1)</f>
        <v>56.516487498725901</v>
      </c>
      <c r="E43" s="33">
        <v>192.76501965387601</v>
      </c>
      <c r="F43" s="34">
        <v>1.19434666194396</v>
      </c>
      <c r="G43" s="34">
        <v>1.67700345889196E-2</v>
      </c>
      <c r="H43" s="34">
        <v>1.02949462287358</v>
      </c>
      <c r="I43" s="34">
        <v>2.3833798490418201</v>
      </c>
      <c r="J43" s="34">
        <v>1.3682645275706401E-2</v>
      </c>
      <c r="K43" s="34">
        <v>0.51297666150388799</v>
      </c>
      <c r="L43" s="33">
        <v>805.579823812173</v>
      </c>
      <c r="M43" s="33">
        <v>65.565159938697207</v>
      </c>
      <c r="N43" s="33">
        <v>1068.4854253338599</v>
      </c>
      <c r="O43" s="33">
        <v>1.1575408339028401E-3</v>
      </c>
      <c r="P43" s="36">
        <v>2.0184164865056101E-2</v>
      </c>
      <c r="Q43" s="36">
        <v>3.7244948033572399E-5</v>
      </c>
      <c r="R43" s="36">
        <v>6.1564951419794199E-2</v>
      </c>
      <c r="S43" s="35">
        <v>6.1564951419794199E-2</v>
      </c>
      <c r="T43" s="35">
        <v>6.3667896264459595E-2</v>
      </c>
      <c r="U43" s="33">
        <v>2561.5</v>
      </c>
      <c r="V43" s="33">
        <v>1605.6274265025399</v>
      </c>
      <c r="W43" s="33">
        <v>1340.78784102079</v>
      </c>
      <c r="X43" s="33">
        <v>4176</v>
      </c>
      <c r="Y43" s="37">
        <v>0.83180664032173401</v>
      </c>
      <c r="Z43" s="33">
        <v>136861.03231316101</v>
      </c>
    </row>
    <row r="44" spans="2:26" x14ac:dyDescent="0.2">
      <c r="B44" s="12">
        <v>80</v>
      </c>
      <c r="C44" s="12">
        <v>80</v>
      </c>
      <c r="D44" s="33" cm="1">
        <f t="array" ref="D44:Z44">[1]!decode_json([1]!json_PVT_calc(B44,C44,PVT_str_),1,,1)</f>
        <v>66.643685440116201</v>
      </c>
      <c r="E44" s="33">
        <v>192.76501965387601</v>
      </c>
      <c r="F44" s="34">
        <v>1.21989550506308</v>
      </c>
      <c r="G44" s="34">
        <v>1.17732486968916E-2</v>
      </c>
      <c r="H44" s="34">
        <v>1.0291228915097701</v>
      </c>
      <c r="I44" s="34">
        <v>2.1144840427529599</v>
      </c>
      <c r="J44" s="34">
        <v>1.49958249568269E-2</v>
      </c>
      <c r="K44" s="34">
        <v>0.51976235201568799</v>
      </c>
      <c r="L44" s="33">
        <v>797.83614859835302</v>
      </c>
      <c r="M44" s="33">
        <v>93.392234234404697</v>
      </c>
      <c r="N44" s="33">
        <v>1068.87137491058</v>
      </c>
      <c r="O44" s="33">
        <v>7.62737593481036E-4</v>
      </c>
      <c r="P44" s="36">
        <v>1.5484849037100601E-2</v>
      </c>
      <c r="Q44" s="36">
        <v>3.7048285012135802E-5</v>
      </c>
      <c r="R44" s="36">
        <v>6.0002706426993402E-2</v>
      </c>
      <c r="S44" s="35">
        <v>6.0002706426993402E-2</v>
      </c>
      <c r="T44" s="35">
        <v>6.3371501900738203E-2</v>
      </c>
      <c r="U44" s="33">
        <v>2561.5</v>
      </c>
      <c r="V44" s="33">
        <v>1502.9546426222601</v>
      </c>
      <c r="W44" s="33">
        <v>1255.05037916745</v>
      </c>
      <c r="X44" s="33">
        <v>4176</v>
      </c>
      <c r="Y44" s="37">
        <v>0.77861627872086803</v>
      </c>
      <c r="Z44" s="33">
        <v>136861.03231316101</v>
      </c>
    </row>
    <row r="45" spans="2:26" x14ac:dyDescent="0.2">
      <c r="B45" s="12">
        <v>100</v>
      </c>
      <c r="C45" s="12">
        <v>80</v>
      </c>
      <c r="D45" s="33" cm="1">
        <f t="array" ref="D45:Z45">[1]!decode_json([1]!json_PVT_calc(B45,C45,PVT_str_),1,,1)</f>
        <v>76.306188018086303</v>
      </c>
      <c r="E45" s="33">
        <v>192.76501965387601</v>
      </c>
      <c r="F45" s="34">
        <v>1.2444494388296199</v>
      </c>
      <c r="G45" s="34">
        <v>8.9561993641654007E-3</v>
      </c>
      <c r="H45" s="34">
        <v>1.02870564728755</v>
      </c>
      <c r="I45" s="34">
        <v>1.9006398144438601</v>
      </c>
      <c r="J45" s="34">
        <v>1.6662090323001599E-2</v>
      </c>
      <c r="K45" s="34">
        <v>0.52681344327743596</v>
      </c>
      <c r="L45" s="33">
        <v>790.63151319097904</v>
      </c>
      <c r="M45" s="33">
        <v>122.767477061679</v>
      </c>
      <c r="N45" s="33">
        <v>1069.30491039923</v>
      </c>
      <c r="O45" s="33">
        <v>5.5189395016156805E-4</v>
      </c>
      <c r="P45" s="36">
        <v>1.1997369744629199E-2</v>
      </c>
      <c r="Q45" s="36">
        <v>3.6853687945817697E-5</v>
      </c>
      <c r="R45" s="36">
        <v>5.84801042725486E-2</v>
      </c>
      <c r="S45" s="35">
        <v>5.84801042725486E-2</v>
      </c>
      <c r="T45" s="35">
        <v>6.3076487347313706E-2</v>
      </c>
      <c r="U45" s="33">
        <v>2561.5</v>
      </c>
      <c r="V45" s="33">
        <v>1429.1681252533999</v>
      </c>
      <c r="W45" s="33">
        <v>1193.4345499368001</v>
      </c>
      <c r="X45" s="33">
        <v>4176</v>
      </c>
      <c r="Y45" s="37">
        <v>0.74039065171639995</v>
      </c>
      <c r="Z45" s="33">
        <v>136861.03231316101</v>
      </c>
    </row>
    <row r="46" spans="2:26" x14ac:dyDescent="0.2">
      <c r="B46" s="12">
        <v>120</v>
      </c>
      <c r="C46" s="12">
        <v>80</v>
      </c>
      <c r="D46" s="33" cm="1">
        <f t="array" ref="D46:Z46">[1]!decode_json([1]!json_PVT_calc(B46,C46,PVT_str_),1,,1)</f>
        <v>85.752103255594307</v>
      </c>
      <c r="E46" s="33">
        <v>192.76501965387601</v>
      </c>
      <c r="F46" s="34">
        <v>1.26863502667848</v>
      </c>
      <c r="G46" s="34">
        <v>7.2502223943708803E-3</v>
      </c>
      <c r="H46" s="34">
        <v>1.02824289020694</v>
      </c>
      <c r="I46" s="34">
        <v>1.7234904651246299</v>
      </c>
      <c r="J46" s="34">
        <v>1.8612671003194099E-2</v>
      </c>
      <c r="K46" s="34">
        <v>0.534129935289131</v>
      </c>
      <c r="L46" s="33">
        <v>783.745513235472</v>
      </c>
      <c r="M46" s="33">
        <v>151.65465832519601</v>
      </c>
      <c r="N46" s="33">
        <v>1069.7861472969801</v>
      </c>
      <c r="O46" s="33">
        <v>4.2368474434752997E-4</v>
      </c>
      <c r="P46" s="36">
        <v>9.2380104232467897E-3</v>
      </c>
      <c r="Q46" s="36">
        <v>3.6661124450270998E-5</v>
      </c>
      <c r="R46" s="36">
        <v>5.6996138997317598E-2</v>
      </c>
      <c r="S46" s="35">
        <v>5.6996138997317598E-2</v>
      </c>
      <c r="T46" s="35">
        <v>6.2782846180729004E-2</v>
      </c>
      <c r="U46" s="33">
        <v>2561.5</v>
      </c>
      <c r="V46" s="33">
        <v>1388.32819490264</v>
      </c>
      <c r="W46" s="33">
        <v>1159.33094586365</v>
      </c>
      <c r="X46" s="33">
        <v>4176</v>
      </c>
      <c r="Y46" s="37">
        <v>0.71923323705387299</v>
      </c>
      <c r="Z46" s="33">
        <v>136861.03231316101</v>
      </c>
    </row>
    <row r="47" spans="2:26" x14ac:dyDescent="0.2">
      <c r="B47" s="12">
        <v>140</v>
      </c>
      <c r="C47" s="12">
        <v>80</v>
      </c>
      <c r="D47" s="33" cm="1">
        <f t="array" ref="D47:Z47">[1]!decode_json([1]!json_PVT_calc(B47,C47,PVT_str_),1,,1)</f>
        <v>95.119689445078095</v>
      </c>
      <c r="E47" s="33">
        <v>192.76501965387601</v>
      </c>
      <c r="F47" s="34">
        <v>1.2928028403701299</v>
      </c>
      <c r="G47" s="34">
        <v>6.1630510635802402E-3</v>
      </c>
      <c r="H47" s="34">
        <v>1.02773462026794</v>
      </c>
      <c r="I47" s="34">
        <v>1.5730301289491899</v>
      </c>
      <c r="J47" s="34">
        <v>2.0733492057591601E-2</v>
      </c>
      <c r="K47" s="34">
        <v>0.541711828050775</v>
      </c>
      <c r="L47" s="33">
        <v>777.06121982833099</v>
      </c>
      <c r="M47" s="33">
        <v>178.40676454841201</v>
      </c>
      <c r="N47" s="33">
        <v>1070.31521397345</v>
      </c>
      <c r="O47" s="33">
        <v>3.3882073609868199E-4</v>
      </c>
      <c r="P47" s="36">
        <v>7.1009336693922996E-3</v>
      </c>
      <c r="Q47" s="36">
        <v>3.6470562814473901E-5</v>
      </c>
      <c r="R47" s="36">
        <v>5.5549830168932703E-2</v>
      </c>
      <c r="S47" s="35">
        <v>5.5549830168932703E-2</v>
      </c>
      <c r="T47" s="35">
        <v>6.2490572007430398E-2</v>
      </c>
      <c r="U47" s="33">
        <v>2561.5</v>
      </c>
      <c r="V47" s="33">
        <v>1376.83967124131</v>
      </c>
      <c r="W47" s="33">
        <v>1149.7373922271499</v>
      </c>
      <c r="X47" s="33">
        <v>4176</v>
      </c>
      <c r="Y47" s="37">
        <v>0.71328152614557006</v>
      </c>
      <c r="Z47" s="33">
        <v>136861.03231316101</v>
      </c>
    </row>
    <row r="48" spans="2:26" x14ac:dyDescent="0.2">
      <c r="B48" s="12">
        <v>160</v>
      </c>
      <c r="C48" s="12">
        <v>80</v>
      </c>
      <c r="D48" s="33" cm="1">
        <f t="array" ref="D48:Z48">[1]!decode_json([1]!json_PVT_calc(B48,C48,PVT_str_),1,,1)</f>
        <v>104.493467668992</v>
      </c>
      <c r="E48" s="33">
        <v>192.76501965387601</v>
      </c>
      <c r="F48" s="34">
        <v>1.3171669749430699</v>
      </c>
      <c r="G48" s="34">
        <v>5.4374919465490796E-3</v>
      </c>
      <c r="H48" s="34">
        <v>1.02718083747053</v>
      </c>
      <c r="I48" s="34">
        <v>1.44314579802133</v>
      </c>
      <c r="J48" s="34">
        <v>2.2911561151152698E-2</v>
      </c>
      <c r="K48" s="34">
        <v>0.54955912156236597</v>
      </c>
      <c r="L48" s="33">
        <v>770.51256356465501</v>
      </c>
      <c r="M48" s="33">
        <v>202.21271328922501</v>
      </c>
      <c r="N48" s="33">
        <v>1070.89225175655</v>
      </c>
      <c r="O48" s="33">
        <v>2.7917830009389298E-4</v>
      </c>
      <c r="P48" s="36">
        <v>5.50208439050409E-3</v>
      </c>
      <c r="Q48" s="36">
        <v>3.6281971983320802E-5</v>
      </c>
      <c r="R48" s="36">
        <v>5.4140222234044501E-2</v>
      </c>
      <c r="S48" s="35">
        <v>5.4140222234044501E-2</v>
      </c>
      <c r="T48" s="35">
        <v>6.2199658463628099E-2</v>
      </c>
      <c r="U48" s="33">
        <v>2561.5</v>
      </c>
      <c r="V48" s="33">
        <v>1388.28355294061</v>
      </c>
      <c r="W48" s="33">
        <v>1159.2936673525201</v>
      </c>
      <c r="X48" s="33">
        <v>4176</v>
      </c>
      <c r="Y48" s="37">
        <v>0.71921010996982104</v>
      </c>
      <c r="Z48" s="33">
        <v>136861.03231316101</v>
      </c>
    </row>
    <row r="49" spans="2:26" x14ac:dyDescent="0.2">
      <c r="B49" s="12">
        <v>180</v>
      </c>
      <c r="C49" s="12">
        <v>80</v>
      </c>
      <c r="D49" s="33" cm="1">
        <f t="array" ref="D49:Z49">[1]!decode_json([1]!json_PVT_calc(B49,C49,PVT_str_),1,,1)</f>
        <v>113.928430410008</v>
      </c>
      <c r="E49" s="33">
        <v>192.76501965387601</v>
      </c>
      <c r="F49" s="34">
        <v>1.34186534551035</v>
      </c>
      <c r="G49" s="34">
        <v>4.9311135009249404E-3</v>
      </c>
      <c r="H49" s="34">
        <v>1.0265815418147299</v>
      </c>
      <c r="I49" s="34">
        <v>1.32978593899882</v>
      </c>
      <c r="J49" s="34">
        <v>2.5065367115478101E-2</v>
      </c>
      <c r="K49" s="34">
        <v>0.55767181582390601</v>
      </c>
      <c r="L49" s="33">
        <v>764.06155842617204</v>
      </c>
      <c r="M49" s="33">
        <v>222.978035243715</v>
      </c>
      <c r="N49" s="33">
        <v>1071.5174150272401</v>
      </c>
      <c r="O49" s="33">
        <v>2.3534799402449399E-4</v>
      </c>
      <c r="P49" s="36">
        <v>4.33287881754486E-3</v>
      </c>
      <c r="Q49" s="36">
        <v>3.60953215407505E-5</v>
      </c>
      <c r="R49" s="36">
        <v>5.2766383887002999E-2</v>
      </c>
      <c r="S49" s="35">
        <v>5.2766383887002999E-2</v>
      </c>
      <c r="T49" s="35">
        <v>6.1910099215157902E-2</v>
      </c>
      <c r="U49" s="33">
        <v>2561.5</v>
      </c>
      <c r="V49" s="33">
        <v>1416.3711538520099</v>
      </c>
      <c r="W49" s="33">
        <v>1182.74836995901</v>
      </c>
      <c r="X49" s="33">
        <v>4176</v>
      </c>
      <c r="Y49" s="37">
        <v>0.73376109020543701</v>
      </c>
      <c r="Z49" s="33">
        <v>136861.03231316101</v>
      </c>
    </row>
    <row r="50" spans="2:26" x14ac:dyDescent="0.2">
      <c r="B50" s="12">
        <v>200</v>
      </c>
      <c r="C50" s="12">
        <v>80</v>
      </c>
      <c r="D50" s="33" cm="1">
        <f t="array" ref="D50:Z50">[1]!decode_json([1]!json_PVT_calc(B50,C50,PVT_str_),1,,1)</f>
        <v>120</v>
      </c>
      <c r="E50" s="33">
        <v>192.76501965387601</v>
      </c>
      <c r="F50" s="34">
        <v>1.3557936651117599</v>
      </c>
      <c r="G50" s="34">
        <v>4.5623354978271899E-3</v>
      </c>
      <c r="H50" s="34">
        <v>1.02593673330054</v>
      </c>
      <c r="I50" s="34">
        <v>1.2730498856894299</v>
      </c>
      <c r="J50" s="34">
        <v>2.7149989853059699E-2</v>
      </c>
      <c r="K50" s="34">
        <v>0.56604991083539302</v>
      </c>
      <c r="L50" s="33">
        <v>761.13617178977904</v>
      </c>
      <c r="M50" s="33">
        <v>241.00156608904601</v>
      </c>
      <c r="N50" s="33">
        <v>1072.1908713232201</v>
      </c>
      <c r="O50" s="33">
        <v>2.0920111111111101E-4</v>
      </c>
      <c r="P50" s="36">
        <v>3.4834166523360801E-3</v>
      </c>
      <c r="Q50" s="36">
        <v>3.5910581693392998E-5</v>
      </c>
      <c r="R50" s="36">
        <v>5.1427407454558802E-2</v>
      </c>
      <c r="S50" s="35">
        <v>5.1427407454558802E-2</v>
      </c>
      <c r="T50" s="35">
        <v>6.1621887957342997E-2</v>
      </c>
      <c r="U50" s="33">
        <v>2561.5</v>
      </c>
      <c r="V50" s="33">
        <v>1456.0516587639299</v>
      </c>
      <c r="W50" s="33">
        <v>1215.88378956713</v>
      </c>
      <c r="X50" s="33">
        <v>4176</v>
      </c>
      <c r="Y50" s="37">
        <v>0.75431785632206405</v>
      </c>
      <c r="Z50" s="33">
        <v>136861.03231316101</v>
      </c>
    </row>
    <row r="51" spans="2:26" x14ac:dyDescent="0.2">
      <c r="B51" s="12">
        <v>220</v>
      </c>
      <c r="C51" s="12">
        <v>80</v>
      </c>
      <c r="D51" s="33" cm="1">
        <f t="array" ref="D51:Z51">[1]!decode_json([1]!json_PVT_calc(B51,C51,PVT_str_),1,,1)</f>
        <v>120</v>
      </c>
      <c r="E51" s="33">
        <v>192.76501965387601</v>
      </c>
      <c r="F51" s="34">
        <v>1.3508323444499599</v>
      </c>
      <c r="G51" s="34">
        <v>4.28314918594955E-3</v>
      </c>
      <c r="H51" s="34">
        <v>1.0252464119279401</v>
      </c>
      <c r="I51" s="34">
        <v>1.29606054553033</v>
      </c>
      <c r="J51" s="34">
        <v>2.9147599743131501E-2</v>
      </c>
      <c r="K51" s="34">
        <v>0.57469340659682799</v>
      </c>
      <c r="L51" s="33">
        <v>763.93166349610601</v>
      </c>
      <c r="M51" s="33">
        <v>256.71064729823098</v>
      </c>
      <c r="N51" s="33">
        <v>1072.9128014517901</v>
      </c>
      <c r="O51" s="33">
        <v>1.9018282828282799E-4</v>
      </c>
      <c r="P51" s="36">
        <v>2.8616167448859099E-3</v>
      </c>
      <c r="Q51" s="36">
        <v>3.5727723254715299E-5</v>
      </c>
      <c r="R51" s="36">
        <v>5.0122408296177597E-2</v>
      </c>
      <c r="S51" s="35">
        <v>5.0122408296177597E-2</v>
      </c>
      <c r="T51" s="35">
        <v>6.1335018414857001E-2</v>
      </c>
      <c r="U51" s="33">
        <v>2561.5</v>
      </c>
      <c r="V51" s="33">
        <v>1503.6454745373001</v>
      </c>
      <c r="W51" s="33">
        <v>1255.62726208349</v>
      </c>
      <c r="X51" s="33">
        <v>4176</v>
      </c>
      <c r="Y51" s="37">
        <v>0.77897416907873795</v>
      </c>
      <c r="Z51" s="33">
        <v>136861.03231316101</v>
      </c>
    </row>
    <row r="52" spans="2:26" x14ac:dyDescent="0.2">
      <c r="B52" s="12">
        <v>240</v>
      </c>
      <c r="C52" s="12">
        <v>80</v>
      </c>
      <c r="D52" s="33" cm="1">
        <f t="array" ref="D52:Z52">[1]!decode_json([1]!json_PVT_calc(B52,C52,PVT_str_),1,,1)</f>
        <v>120</v>
      </c>
      <c r="E52" s="33">
        <v>192.76501965387601</v>
      </c>
      <c r="F52" s="34">
        <v>1.34671178194175</v>
      </c>
      <c r="G52" s="34">
        <v>4.0645327163799597E-3</v>
      </c>
      <c r="H52" s="34">
        <v>1.0245105776969501</v>
      </c>
      <c r="I52" s="34">
        <v>1.3190712053712399</v>
      </c>
      <c r="J52" s="34">
        <v>3.10555308872686E-2</v>
      </c>
      <c r="K52" s="34">
        <v>0.58360230310821104</v>
      </c>
      <c r="L52" s="33">
        <v>766.26908135614303</v>
      </c>
      <c r="M52" s="33">
        <v>270.51818172576702</v>
      </c>
      <c r="N52" s="33">
        <v>1073.6833996118901</v>
      </c>
      <c r="O52" s="33">
        <v>1.74334259259259E-4</v>
      </c>
      <c r="P52" s="36">
        <v>2.3984982248809999E-3</v>
      </c>
      <c r="Q52" s="36">
        <v>3.5546717629650001E-5</v>
      </c>
      <c r="R52" s="36">
        <v>4.88505242195722E-2</v>
      </c>
      <c r="S52" s="35">
        <v>4.88505242195722E-2</v>
      </c>
      <c r="T52" s="35">
        <v>6.1049484341587197E-2</v>
      </c>
      <c r="U52" s="33">
        <v>2561.5</v>
      </c>
      <c r="V52" s="33">
        <v>1556.6158008161799</v>
      </c>
      <c r="W52" s="33">
        <v>1299.8604186908899</v>
      </c>
      <c r="X52" s="33">
        <v>4176</v>
      </c>
      <c r="Y52" s="37">
        <v>0.80641582111551102</v>
      </c>
      <c r="Z52" s="33">
        <v>136861.03231316101</v>
      </c>
    </row>
    <row r="53" spans="2:26" x14ac:dyDescent="0.2">
      <c r="B53" s="12">
        <v>260</v>
      </c>
      <c r="C53" s="12">
        <v>80</v>
      </c>
      <c r="D53" s="33" cm="1">
        <f t="array" ref="D53:Z53">[1]!decode_json([1]!json_PVT_calc(B53,C53,PVT_str_),1,,1)</f>
        <v>120</v>
      </c>
      <c r="E53" s="33">
        <v>192.76501965387601</v>
      </c>
      <c r="F53" s="34">
        <v>1.3432349711162701</v>
      </c>
      <c r="G53" s="34">
        <v>3.8884304460332498E-3</v>
      </c>
      <c r="H53" s="34">
        <v>1.02372923060756</v>
      </c>
      <c r="I53" s="34">
        <v>1.34208186521215</v>
      </c>
      <c r="J53" s="34">
        <v>3.2877589940684501E-2</v>
      </c>
      <c r="K53" s="34">
        <v>0.59277660036954205</v>
      </c>
      <c r="L53" s="33">
        <v>768.25248165063897</v>
      </c>
      <c r="M53" s="33">
        <v>282.76962009740299</v>
      </c>
      <c r="N53" s="33">
        <v>1074.5028735256301</v>
      </c>
      <c r="O53" s="33">
        <v>1.6092393162393199E-4</v>
      </c>
      <c r="P53" s="36">
        <v>2.0455644724820198E-3</v>
      </c>
      <c r="Q53" s="36">
        <v>3.5367536799687602E-5</v>
      </c>
      <c r="R53" s="36">
        <v>4.7610914911065803E-2</v>
      </c>
      <c r="S53" s="35">
        <v>4.7610914911065803E-2</v>
      </c>
      <c r="T53" s="35">
        <v>6.0765279520498303E-2</v>
      </c>
      <c r="U53" s="33">
        <v>2561.5</v>
      </c>
      <c r="V53" s="33">
        <v>1613.27072169959</v>
      </c>
      <c r="W53" s="33">
        <v>1347.1704158923901</v>
      </c>
      <c r="X53" s="33">
        <v>4176</v>
      </c>
      <c r="Y53" s="37">
        <v>0.83576630343778802</v>
      </c>
      <c r="Z53" s="33">
        <v>136861.03231316101</v>
      </c>
    </row>
    <row r="54" spans="2:26" x14ac:dyDescent="0.2">
      <c r="B54" s="12">
        <v>280</v>
      </c>
      <c r="C54" s="12">
        <v>80</v>
      </c>
      <c r="D54" s="33" cm="1">
        <f t="array" ref="D54:Z54">[1]!decode_json([1]!json_PVT_calc(B54,C54,PVT_str_),1,,1)</f>
        <v>120</v>
      </c>
      <c r="E54" s="33">
        <v>192.76501965387601</v>
      </c>
      <c r="F54" s="34">
        <v>1.3402619926697701</v>
      </c>
      <c r="G54" s="34">
        <v>3.7432561410045101E-3</v>
      </c>
      <c r="H54" s="34">
        <v>1.02290237065977</v>
      </c>
      <c r="I54" s="34">
        <v>1.3650925250530499</v>
      </c>
      <c r="J54" s="34">
        <v>3.4619250690228802E-2</v>
      </c>
      <c r="K54" s="34">
        <v>0.60221629838082102</v>
      </c>
      <c r="L54" s="33">
        <v>769.95662463306303</v>
      </c>
      <c r="M54" s="33">
        <v>293.736244216763</v>
      </c>
      <c r="N54" s="33">
        <v>1075.37144457931</v>
      </c>
      <c r="O54" s="33">
        <v>1.4942936507936501E-4</v>
      </c>
      <c r="P54" s="36">
        <v>1.76983791015114E-3</v>
      </c>
      <c r="Q54" s="36">
        <v>3.5190153308418302E-5</v>
      </c>
      <c r="R54" s="36">
        <v>4.6402761380410003E-2</v>
      </c>
      <c r="S54" s="35">
        <v>4.6402761380410003E-2</v>
      </c>
      <c r="T54" s="35">
        <v>6.0482397763497599E-2</v>
      </c>
      <c r="U54" s="33">
        <v>2561.5</v>
      </c>
      <c r="V54" s="33">
        <v>1672.50392748123</v>
      </c>
      <c r="W54" s="33">
        <v>1396.6334238018301</v>
      </c>
      <c r="X54" s="33">
        <v>4176</v>
      </c>
      <c r="Y54" s="37">
        <v>0.86645248448044498</v>
      </c>
      <c r="Z54" s="33">
        <v>136861.03231316101</v>
      </c>
    </row>
    <row r="55" spans="2:26" x14ac:dyDescent="0.2">
      <c r="B55" s="12">
        <v>300</v>
      </c>
      <c r="C55" s="12">
        <v>80</v>
      </c>
      <c r="D55" s="33" cm="1">
        <f t="array" ref="D55:Z55">[1]!decode_json([1]!json_PVT_calc(B55,C55,PVT_str_),1,,1)</f>
        <v>120</v>
      </c>
      <c r="E55" s="33">
        <v>192.76501965387601</v>
      </c>
      <c r="F55" s="34">
        <v>1.33769073443135</v>
      </c>
      <c r="G55" s="34">
        <v>3.6213280108057101E-3</v>
      </c>
      <c r="H55" s="34">
        <v>1.0220299978535801</v>
      </c>
      <c r="I55" s="34">
        <v>1.38810318489396</v>
      </c>
      <c r="J55" s="34">
        <v>3.6285578432125397E-2</v>
      </c>
      <c r="K55" s="34">
        <v>0.61192139714204796</v>
      </c>
      <c r="L55" s="33">
        <v>771.43660596458801</v>
      </c>
      <c r="M55" s="33">
        <v>303.62618263772401</v>
      </c>
      <c r="N55" s="33">
        <v>1076.28934797429</v>
      </c>
      <c r="O55" s="33">
        <v>1.3946740740740699E-4</v>
      </c>
      <c r="P55" s="36">
        <v>1.5492036754003299E-3</v>
      </c>
      <c r="Q55" s="36">
        <v>3.5014540247507002E-5</v>
      </c>
      <c r="R55" s="36">
        <v>4.5225265419690901E-2</v>
      </c>
      <c r="S55" s="35">
        <v>4.5225265419690901E-2</v>
      </c>
      <c r="T55" s="35">
        <v>6.0200832911299601E-2</v>
      </c>
      <c r="U55" s="33">
        <v>2561.5</v>
      </c>
      <c r="V55" s="33">
        <v>1733.5991597636</v>
      </c>
      <c r="W55" s="33">
        <v>1447.6513269818799</v>
      </c>
      <c r="X55" s="33">
        <v>4176</v>
      </c>
      <c r="Y55" s="37">
        <v>0.898103301516608</v>
      </c>
      <c r="Z55" s="33">
        <v>136861.03231316101</v>
      </c>
    </row>
    <row r="56" spans="2:26" x14ac:dyDescent="0.2">
      <c r="B56" s="12">
        <v>320</v>
      </c>
      <c r="C56" s="12">
        <v>80</v>
      </c>
      <c r="D56" s="33" cm="1">
        <f t="array" ref="D56:Z56">[1]!decode_json([1]!json_PVT_calc(B56,C56,PVT_str_),1,,1)</f>
        <v>120</v>
      </c>
      <c r="E56" s="33">
        <v>192.76501965387601</v>
      </c>
      <c r="F56" s="34">
        <v>1.3354449303101199</v>
      </c>
      <c r="G56" s="34">
        <v>3.5173793984972202E-3</v>
      </c>
      <c r="H56" s="34">
        <v>1.0211121121890001</v>
      </c>
      <c r="I56" s="34">
        <v>1.4111138447348699</v>
      </c>
      <c r="J56" s="34">
        <v>3.7880656112842699E-2</v>
      </c>
      <c r="K56" s="34">
        <v>0.62189189665322298</v>
      </c>
      <c r="L56" s="33">
        <v>772.733923038189</v>
      </c>
      <c r="M56" s="33">
        <v>312.59920396126898</v>
      </c>
      <c r="N56" s="33">
        <v>1077.2568328877101</v>
      </c>
      <c r="O56" s="33">
        <v>1.3075069444444401E-4</v>
      </c>
      <c r="P56" s="36">
        <v>1.36884526687346E-3</v>
      </c>
      <c r="Q56" s="36">
        <v>3.4840671243084599E-5</v>
      </c>
      <c r="R56" s="36">
        <v>4.40776490759658E-2</v>
      </c>
      <c r="S56" s="35">
        <v>4.40776490759658E-2</v>
      </c>
      <c r="T56" s="35">
        <v>5.9920578833292597E-2</v>
      </c>
      <c r="U56" s="33">
        <v>2561.5</v>
      </c>
      <c r="V56" s="33">
        <v>1796.09276349731</v>
      </c>
      <c r="W56" s="33">
        <v>1499.83694778324</v>
      </c>
      <c r="X56" s="33">
        <v>4176</v>
      </c>
      <c r="Y56" s="37">
        <v>0.930478554769824</v>
      </c>
      <c r="Z56" s="33">
        <v>136861.03231316101</v>
      </c>
    </row>
    <row r="57" spans="2:26" x14ac:dyDescent="0.2">
      <c r="B57" s="12">
        <v>340</v>
      </c>
      <c r="C57" s="12">
        <v>80</v>
      </c>
      <c r="D57" s="33" cm="1">
        <f t="array" ref="D57:Z57">[1]!decode_json([1]!json_PVT_calc(B57,C57,PVT_str_),1,,1)</f>
        <v>120</v>
      </c>
      <c r="E57" s="33">
        <v>192.76501965387601</v>
      </c>
      <c r="F57" s="34">
        <v>1.33346646977706</v>
      </c>
      <c r="G57" s="34">
        <v>3.4276773068663302E-3</v>
      </c>
      <c r="H57" s="34">
        <v>1.0201487136660199</v>
      </c>
      <c r="I57" s="34">
        <v>1.43412450457577</v>
      </c>
      <c r="J57" s="34">
        <v>3.9407689305848002E-2</v>
      </c>
      <c r="K57" s="34">
        <v>0.63212779691434595</v>
      </c>
      <c r="L57" s="33">
        <v>773.88042623413401</v>
      </c>
      <c r="M57" s="33">
        <v>320.77990474698998</v>
      </c>
      <c r="N57" s="33">
        <v>1078.2741626434299</v>
      </c>
      <c r="O57" s="33">
        <v>1.2305947712418301E-4</v>
      </c>
      <c r="P57" s="36">
        <v>1.21875500329505E-3</v>
      </c>
      <c r="Q57" s="36">
        <v>3.4668520442544801E-5</v>
      </c>
      <c r="R57" s="36">
        <v>4.2959154137281901E-2</v>
      </c>
      <c r="S57" s="35">
        <v>4.2959154137281901E-2</v>
      </c>
      <c r="T57" s="35">
        <v>5.9641629427404502E-2</v>
      </c>
      <c r="U57" s="33">
        <v>2561.5</v>
      </c>
      <c r="V57" s="33">
        <v>1859.6808350175199</v>
      </c>
      <c r="W57" s="33">
        <v>1552.9365098117501</v>
      </c>
      <c r="X57" s="33">
        <v>4176</v>
      </c>
      <c r="Y57" s="37">
        <v>0.96342080479788705</v>
      </c>
      <c r="Z57" s="33">
        <v>136861.03231316101</v>
      </c>
    </row>
    <row r="58" spans="2:26" x14ac:dyDescent="0.2">
      <c r="B58" s="12">
        <v>360</v>
      </c>
      <c r="C58" s="12">
        <v>80</v>
      </c>
      <c r="D58" s="33" cm="1">
        <f t="array" ref="D58:Z58">[1]!decode_json([1]!json_PVT_calc(B58,C58,PVT_str_),1,,1)</f>
        <v>120</v>
      </c>
      <c r="E58" s="33">
        <v>192.76501965387601</v>
      </c>
      <c r="F58" s="34">
        <v>1.33171029899334</v>
      </c>
      <c r="G58" s="34">
        <v>3.3494898123093801E-3</v>
      </c>
      <c r="H58" s="34">
        <v>1.0191398022846501</v>
      </c>
      <c r="I58" s="34">
        <v>1.4571351644166799</v>
      </c>
      <c r="J58" s="34">
        <v>4.0869339901965202E-2</v>
      </c>
      <c r="K58" s="34">
        <v>0.642629097925416</v>
      </c>
      <c r="L58" s="33">
        <v>774.900968161067</v>
      </c>
      <c r="M58" s="33">
        <v>328.26790395338003</v>
      </c>
      <c r="N58" s="33">
        <v>1079.34161489335</v>
      </c>
      <c r="O58" s="33">
        <v>1.1622283950617301E-4</v>
      </c>
      <c r="P58" s="36">
        <v>1.0920730564827699E-3</v>
      </c>
      <c r="Q58" s="36">
        <v>3.4498062501728701E-5</v>
      </c>
      <c r="R58" s="36">
        <v>4.1869041631737901E-2</v>
      </c>
      <c r="S58" s="35">
        <v>4.1869041631737901E-2</v>
      </c>
      <c r="T58" s="35">
        <v>5.93639786199706E-2</v>
      </c>
      <c r="U58" s="33">
        <v>2561.5</v>
      </c>
      <c r="V58" s="33">
        <v>1924.1580017926201</v>
      </c>
      <c r="W58" s="33">
        <v>1606.7785156274099</v>
      </c>
      <c r="X58" s="33">
        <v>4176</v>
      </c>
      <c r="Y58" s="37">
        <v>0.99682365690878305</v>
      </c>
      <c r="Z58" s="33">
        <v>136861.03231316101</v>
      </c>
    </row>
    <row r="59" spans="2:26" x14ac:dyDescent="0.2">
      <c r="B59" s="12">
        <v>380</v>
      </c>
      <c r="C59" s="12">
        <v>80</v>
      </c>
      <c r="D59" s="33" cm="1">
        <f t="array" ref="D59:Z59">[1]!decode_json([1]!json_PVT_calc(B59,C59,PVT_str_),1,,1)</f>
        <v>120</v>
      </c>
      <c r="E59" s="33">
        <v>192.76501965387601</v>
      </c>
      <c r="F59" s="34">
        <v>1.3301409488772</v>
      </c>
      <c r="G59" s="34">
        <v>3.2807571595750099E-3</v>
      </c>
      <c r="H59" s="34">
        <v>1.01808537804487</v>
      </c>
      <c r="I59" s="34">
        <v>1.48014582425758</v>
      </c>
      <c r="J59" s="34">
        <v>4.2268075916358401E-2</v>
      </c>
      <c r="K59" s="34">
        <v>0.65339579968643502</v>
      </c>
      <c r="L59" s="33">
        <v>775.81522534967996</v>
      </c>
      <c r="M59" s="33">
        <v>335.14519561162302</v>
      </c>
      <c r="N59" s="33">
        <v>1080.4594818093101</v>
      </c>
      <c r="O59" s="33">
        <v>1.10105847953216E-4</v>
      </c>
      <c r="P59" s="36">
        <v>9.8400370785263003E-4</v>
      </c>
      <c r="Q59" s="36">
        <v>3.4329272572486801E-5</v>
      </c>
      <c r="R59" s="36">
        <v>4.0806591339256702E-2</v>
      </c>
      <c r="S59" s="35">
        <v>4.0806591339256702E-2</v>
      </c>
      <c r="T59" s="35">
        <v>5.9087620365600897E-2</v>
      </c>
      <c r="U59" s="33">
        <v>2561.5</v>
      </c>
      <c r="V59" s="33">
        <v>1989.3777260142499</v>
      </c>
      <c r="W59" s="33">
        <v>1661.2405980431099</v>
      </c>
      <c r="X59" s="33">
        <v>4176</v>
      </c>
      <c r="Y59" s="37">
        <v>1.0306111961548401</v>
      </c>
      <c r="Z59" s="33">
        <v>136861.03231316101</v>
      </c>
    </row>
    <row r="60" spans="2:26" x14ac:dyDescent="0.2">
      <c r="B60" s="12">
        <v>400</v>
      </c>
      <c r="C60" s="12">
        <v>80</v>
      </c>
      <c r="D60" s="33" cm="1">
        <f t="array" ref="D60:Z60">[1]!decode_json([1]!json_PVT_calc(B60,C60,PVT_str_),1,,1)</f>
        <v>120</v>
      </c>
      <c r="E60" s="33">
        <v>192.76501965387601</v>
      </c>
      <c r="F60" s="34">
        <v>1.3287301150684401</v>
      </c>
      <c r="G60" s="34">
        <v>3.2198839584322201E-3</v>
      </c>
      <c r="H60" s="34">
        <v>1.0169854409467001</v>
      </c>
      <c r="I60" s="34">
        <v>1.5031564840984899</v>
      </c>
      <c r="J60" s="34">
        <v>4.3606453351793903E-2</v>
      </c>
      <c r="K60" s="34">
        <v>0.664427902197401</v>
      </c>
      <c r="L60" s="33">
        <v>776.63897905019201</v>
      </c>
      <c r="M60" s="33">
        <v>341.48125031666302</v>
      </c>
      <c r="N60" s="33">
        <v>1081.6280702858701</v>
      </c>
      <c r="O60" s="33">
        <v>1.0460055555555599E-4</v>
      </c>
      <c r="P60" s="36">
        <v>8.9111441181083004E-4</v>
      </c>
      <c r="Q60" s="36">
        <v>3.41621262906035E-5</v>
      </c>
      <c r="R60" s="36">
        <v>3.9771101315747501E-2</v>
      </c>
      <c r="S60" s="35">
        <v>3.9771101315747501E-2</v>
      </c>
      <c r="T60" s="35">
        <v>5.8812548647048601E-2</v>
      </c>
      <c r="U60" s="33">
        <v>2561.5</v>
      </c>
      <c r="V60" s="33">
        <v>2055.22692530411</v>
      </c>
      <c r="W60" s="33">
        <v>1716.22832700905</v>
      </c>
      <c r="X60" s="33">
        <v>4176</v>
      </c>
      <c r="Y60" s="37">
        <v>1.06472483941048</v>
      </c>
      <c r="Z60" s="33">
        <v>136861.03231316101</v>
      </c>
    </row>
    <row r="61" spans="2:26" x14ac:dyDescent="0.2">
      <c r="B61" s="12">
        <v>420</v>
      </c>
      <c r="C61" s="12">
        <v>80</v>
      </c>
      <c r="D61" s="33" cm="1">
        <f t="array" ref="D61:Z61">[1]!decode_json([1]!json_PVT_calc(B61,C61,PVT_str_),1,,1)</f>
        <v>120</v>
      </c>
      <c r="E61" s="33">
        <v>192.76501965387601</v>
      </c>
      <c r="F61" s="34">
        <v>1.3274549358615899</v>
      </c>
      <c r="G61" s="34">
        <v>3.1656047937475098E-3</v>
      </c>
      <c r="H61" s="34">
        <v>1.0158399909901299</v>
      </c>
      <c r="I61" s="34">
        <v>1.5261671439394</v>
      </c>
      <c r="J61" s="34">
        <v>4.4887308467026897E-2</v>
      </c>
      <c r="K61" s="34">
        <v>0.67572540545831505</v>
      </c>
      <c r="L61" s="33">
        <v>777.38503366233795</v>
      </c>
      <c r="M61" s="33">
        <v>347.33647174521502</v>
      </c>
      <c r="N61" s="33">
        <v>1082.8477021541901</v>
      </c>
      <c r="O61" s="33">
        <v>9.96195767195767E-5</v>
      </c>
      <c r="P61" s="36">
        <v>8.1088268028920699E-4</v>
      </c>
      <c r="Q61" s="36">
        <v>3.3996599764072998E-5</v>
      </c>
      <c r="R61" s="36">
        <v>3.8761887429342598E-2</v>
      </c>
      <c r="S61" s="35">
        <v>3.8761887429342598E-2</v>
      </c>
      <c r="T61" s="35">
        <v>5.8538757475079098E-2</v>
      </c>
      <c r="U61" s="33">
        <v>2561.5</v>
      </c>
      <c r="V61" s="33">
        <v>2121.6100038142199</v>
      </c>
      <c r="W61" s="33">
        <v>1771.66187469686</v>
      </c>
      <c r="X61" s="33">
        <v>4176</v>
      </c>
      <c r="Y61" s="37">
        <v>1.09911506257077</v>
      </c>
      <c r="Z61" s="33">
        <v>136861.03231316101</v>
      </c>
    </row>
    <row r="62" spans="2:26" x14ac:dyDescent="0.2">
      <c r="B62" s="12">
        <v>440</v>
      </c>
      <c r="C62" s="12">
        <v>80</v>
      </c>
      <c r="D62" s="33" cm="1">
        <f t="array" ref="D62:Z62">[1]!decode_json([1]!json_PVT_calc(B62,C62,PVT_str_),1,,1)</f>
        <v>120</v>
      </c>
      <c r="E62" s="33">
        <v>192.76501965387601</v>
      </c>
      <c r="F62" s="34">
        <v>1.32629674403159</v>
      </c>
      <c r="G62" s="34">
        <v>3.1168952511056499E-3</v>
      </c>
      <c r="H62" s="34">
        <v>1.0146490281751701</v>
      </c>
      <c r="I62" s="34">
        <v>1.5491778037802999</v>
      </c>
      <c r="J62" s="34">
        <v>4.6113865949030899E-2</v>
      </c>
      <c r="K62" s="34">
        <v>0.68728830946917696</v>
      </c>
      <c r="L62" s="33">
        <v>778.06388701759704</v>
      </c>
      <c r="M62" s="33">
        <v>352.76450166554798</v>
      </c>
      <c r="N62" s="33">
        <v>1084.1187144074199</v>
      </c>
      <c r="O62" s="33">
        <v>9.5091414141414198E-5</v>
      </c>
      <c r="P62" s="36">
        <v>7.4140176232851405E-4</v>
      </c>
      <c r="Q62" s="36">
        <v>3.3832669561714799E-5</v>
      </c>
      <c r="R62" s="36">
        <v>3.7778282908402003E-2</v>
      </c>
      <c r="S62" s="35">
        <v>3.7778282908402003E-2</v>
      </c>
      <c r="T62" s="35">
        <v>5.8266240888339697E-2</v>
      </c>
      <c r="U62" s="33">
        <v>2561.5</v>
      </c>
      <c r="V62" s="33">
        <v>2188.4390365416598</v>
      </c>
      <c r="W62" s="33">
        <v>1827.46781885871</v>
      </c>
      <c r="X62" s="33">
        <v>4176</v>
      </c>
      <c r="Y62" s="37">
        <v>1.13373631546631</v>
      </c>
      <c r="Z62" s="33">
        <v>136861.03231316101</v>
      </c>
    </row>
    <row r="63" spans="2:26" x14ac:dyDescent="0.2">
      <c r="B63" s="12">
        <v>460</v>
      </c>
      <c r="C63" s="12">
        <v>80</v>
      </c>
      <c r="D63" s="33" cm="1">
        <f t="array" ref="D63:Z63">[1]!decode_json([1]!json_PVT_calc(B63,C63,PVT_str_),1,,1)</f>
        <v>120</v>
      </c>
      <c r="E63" s="33">
        <v>192.76501965387601</v>
      </c>
      <c r="F63" s="34">
        <v>1.32524014708295</v>
      </c>
      <c r="G63" s="34">
        <v>3.0729116310616198E-3</v>
      </c>
      <c r="H63" s="34">
        <v>1.0134125525018001</v>
      </c>
      <c r="I63" s="34">
        <v>1.57218846362121</v>
      </c>
      <c r="J63" s="34">
        <v>4.7289778277559397E-2</v>
      </c>
      <c r="K63" s="34">
        <v>0.69911661422998705</v>
      </c>
      <c r="L63" s="33">
        <v>778.68422736170305</v>
      </c>
      <c r="M63" s="33">
        <v>357.81373889366898</v>
      </c>
      <c r="N63" s="33">
        <v>1085.4414594376599</v>
      </c>
      <c r="O63" s="33">
        <v>9.0957004830917896E-5</v>
      </c>
      <c r="P63" s="36">
        <v>6.8118786493963303E-4</v>
      </c>
      <c r="Q63" s="36">
        <v>3.3670312702116297E-5</v>
      </c>
      <c r="R63" s="36">
        <v>3.6819637900988099E-2</v>
      </c>
      <c r="S63" s="35">
        <v>3.6819637900988099E-2</v>
      </c>
      <c r="T63" s="35">
        <v>5.7994992953229699E-2</v>
      </c>
      <c r="U63" s="33">
        <v>2561.5</v>
      </c>
      <c r="V63" s="33">
        <v>2255.62797463671</v>
      </c>
      <c r="W63" s="33">
        <v>1883.57430393861</v>
      </c>
      <c r="X63" s="33">
        <v>4176</v>
      </c>
      <c r="Y63" s="37">
        <v>1.16854401988213</v>
      </c>
      <c r="Z63" s="33">
        <v>136861.03231316101</v>
      </c>
    </row>
    <row r="68" spans="2:22" x14ac:dyDescent="0.2">
      <c r="B68" t="s">
        <v>56</v>
      </c>
    </row>
    <row r="70" spans="2:22" ht="15.75" x14ac:dyDescent="0.2">
      <c r="B70" s="9" t="s">
        <v>0</v>
      </c>
      <c r="C70" s="9" t="s">
        <v>4</v>
      </c>
      <c r="D70" s="9" t="s">
        <v>22</v>
      </c>
      <c r="E70" s="9" t="s">
        <v>23</v>
      </c>
      <c r="F70" s="10" t="s">
        <v>24</v>
      </c>
      <c r="G70" s="11" t="s">
        <v>25</v>
      </c>
      <c r="H70" s="11" t="s">
        <v>26</v>
      </c>
      <c r="I70" s="9" t="s">
        <v>27</v>
      </c>
      <c r="J70" s="9" t="s">
        <v>28</v>
      </c>
      <c r="K70" s="9" t="s">
        <v>29</v>
      </c>
      <c r="L70" s="9" t="s">
        <v>33</v>
      </c>
      <c r="M70" s="9" t="s">
        <v>52</v>
      </c>
      <c r="N70" s="9" t="s">
        <v>36</v>
      </c>
      <c r="O70" s="9" t="s">
        <v>34</v>
      </c>
      <c r="P70" s="9" t="s">
        <v>35</v>
      </c>
      <c r="Q70" s="9" t="s">
        <v>47</v>
      </c>
      <c r="R70" s="9" t="s">
        <v>48</v>
      </c>
      <c r="S70" s="9" t="s">
        <v>49</v>
      </c>
      <c r="T70" s="9" t="s">
        <v>50</v>
      </c>
      <c r="U70" s="9" t="s">
        <v>46</v>
      </c>
      <c r="V70" s="9" t="s">
        <v>51</v>
      </c>
    </row>
    <row r="71" spans="2:22" x14ac:dyDescent="0.2">
      <c r="B71" s="12">
        <v>100</v>
      </c>
      <c r="C71" s="12">
        <v>5</v>
      </c>
      <c r="D71" s="13">
        <f>[1]!PVT_rs_m3m3(B71,C71,[1]!encode_PVT(gamma_gas_,gamma_oil_,gamma_wat_,Rsb_,Pb_,Tres_,Bob_,muob_))</f>
        <v>70.184870518309296</v>
      </c>
      <c r="E71" s="14" t="str">
        <f>[1]!PVT_bo_m3m3(B71,C71,PVT_str_)</f>
        <v xml:space="preserve">error </v>
      </c>
      <c r="F71" s="46">
        <f>[1]!PVT_mu_oil_cP(B71,C71,[1]!encode_PVT(gamma_gas_,gamma_oil_,gamma_wat_,Rsb_,Pb_,Tres_,Bob_,muob_))</f>
        <v>292.85134948546454</v>
      </c>
      <c r="G71" s="15">
        <f>[1]!PVT_mu_gas_cP(B71,C71,[1]!encode_PVT(gamma_gas_,gamma_oil_,gamma_wat_,Rsb_,Pb_,Tres_,Bob_,muob_))</f>
        <v>3.0198994747965269E-2</v>
      </c>
      <c r="H71" s="14">
        <f>[1]!PVT_mu_wat_cP(B71,C71,[1]!encode_PVT(gamma_gas_,gamma_oil_,gamma_wat_,Rsb_,Pb_,Tres_,Bob_,muob_))</f>
        <v>2.1994453718087152</v>
      </c>
      <c r="I71" s="46">
        <f>[1]!PVT_rho_gas_kgm3(B71,C71,[1]!encode_PVT(gamma_gas_,gamma_oil_,gamma_wat_,Rsb_,Pb_,Tres_,Bob_,muob_))</f>
        <v>272.15795293382928</v>
      </c>
      <c r="J71" s="46">
        <f>[1]!PVT_rho_wat_kgm3(B71,C71,[1]!encode_PVT(gamma_gas_,gamma_oil_,gamma_wat_,Rsb_,Pb_,Tres_,Bob_,muob_))</f>
        <v>1105.3656614989422</v>
      </c>
      <c r="K71" s="46">
        <f>[1]!PVT_rho_oil_kgm3(B71,C71,[1]!encode_PVT(gamma_gas_,gamma_oil_,gamma_wat_,Rsb_,Pb_,Tres_,Bob_,muob_))</f>
        <v>840.96554282570116</v>
      </c>
      <c r="L71" s="20">
        <f>[1]!PVT_bg_m3m3(B71,C71,[1]!encode_PVT(gamma_gas_,gamma_oil_,gamma_wat_,Rsb_,Pb_,Tres_,Bob_,muob_))</f>
        <v>4.0400436149199458E-3</v>
      </c>
      <c r="M71" s="20">
        <f>[1]!PVT_bw_m3m3(B71,C71,[1]!encode_PVT(gamma_gas_,gamma_oil_,gamma_wat_,Rsb_,Pb_,Tres_,Bob_,muob_))</f>
        <v>0.99514580406662356</v>
      </c>
      <c r="N71" s="15">
        <f>[1]!PVT_ST_liqgas_Nm(B71,C71,[1]!encode_PVT(gamma_gas_,gamma_oil_,gamma_wat_,Rsb_,Pb_,Tres_,Bob_,muob_))</f>
        <v>5.8480104272548641E-2</v>
      </c>
      <c r="O71" s="15">
        <f>[1]!PVT_ST_oilgas_Nm(B71,C71,[1]!encode_PVT(gamma_gas_,gamma_oil_,gamma_wat_,Rsb_,Pb_,Tres_,Bob_,muob_))</f>
        <v>5.8480104272548641E-2</v>
      </c>
      <c r="P71" s="20">
        <f>[1]!PVT_ST_watgas_Nm(B71,C71,[1]!encode_PVT(gamma_gas_,gamma_oil_,gamma_wat_,Rsb_,Pb_,Tres_,Bob_,muob_))</f>
        <v>6.3076487347313664E-2</v>
      </c>
      <c r="Q71" s="29">
        <f>[1]!PVT_cp_oil_JkgC(B71,C71,[1]!encode_PVT(gamma_gas_,gamma_oil_,gamma_wat_,Rsb_,Pb_,Tres_,Bob_,muob_))</f>
        <v>2226.25</v>
      </c>
      <c r="R71" s="29">
        <f>[1]!PVT_cp_gas_JkgC(B71,C71,[1]!encode_PVT(gamma_gas_,gamma_oil_,gamma_wat_,Rsb_,Pb_,Tres_,Bob_,muob_))</f>
        <v>735.03794173772542</v>
      </c>
      <c r="S71" s="29">
        <f>[1]!PVT_cp_wat_JkgC(B71,C71,[1]!encode_PVT(gamma_gas_,gamma_oil_,gamma_wat_,Rsb_,Pb_,Tres_,Bob_,muob_))</f>
        <v>4176</v>
      </c>
      <c r="T71" s="30">
        <f>[1]!PVT_compressibility_wat_1atm(B71,C71,[1]!encode_PVT(gamma_gas_,gamma_oil_,gamma_wat_,Rsb_,Pb_,Tres_,Bob_,muob_))</f>
        <v>3.112103947135794E-5</v>
      </c>
      <c r="U71" s="30">
        <f>[1]!PVT_compressibility_oil_1atm(B71,C71,[1]!encode_PVT(gamma_gas_,gamma_oil_,gamma_wat_,Rsb_,Pb_,Tres_,Bob_,muob_))</f>
        <v>8.8798025930093946E-4</v>
      </c>
      <c r="V71" s="30">
        <f>[1]!PVT_compressibility_gas_1atm(B71,C71,[1]!encode_PVT(gamma_gas_,gamma_oil_,gamma_wat_,Rsb_,Pb_,Tres_,Bob_,muob_))</f>
        <v>1.1512081162726668E-2</v>
      </c>
    </row>
    <row r="72" spans="2:22" x14ac:dyDescent="0.2">
      <c r="B72" s="12">
        <v>100</v>
      </c>
      <c r="C72" s="12">
        <v>10</v>
      </c>
      <c r="D72" s="13">
        <f>[1]!PVT_rs_m3m3(B72,C72,[1]!encode_PVT(gamma_gas_,gamma_oil_,gamma_wat_,Rsb_,Pb_,Tres_,Bob_,muob_))</f>
        <v>68.599751585157563</v>
      </c>
      <c r="E72" s="14" t="str">
        <f>[1]!PVT_bo_m3m3(B72,C72,PVT_str_)</f>
        <v xml:space="preserve">error </v>
      </c>
      <c r="F72" s="46">
        <f>[1]!PVT_mu_oil_cP(B72,C72,[1]!encode_PVT(gamma_gas_,gamma_oil_,gamma_wat_,Rsb_,Pb_,Tres_,Bob_,muob_))</f>
        <v>79.070238867470337</v>
      </c>
      <c r="G72" s="15">
        <f>[1]!PVT_mu_gas_cP(B72,C72,[1]!encode_PVT(gamma_gas_,gamma_oil_,gamma_wat_,Rsb_,Pb_,Tres_,Bob_,muob_))</f>
        <v>2.7085833396063644E-2</v>
      </c>
      <c r="H72" s="14">
        <f>[1]!PVT_mu_wat_cP(B72,C72,[1]!encode_PVT(gamma_gas_,gamma_oil_,gamma_wat_,Rsb_,Pb_,Tres_,Bob_,muob_))</f>
        <v>1.8084027532807621</v>
      </c>
      <c r="I72" s="46">
        <f>[1]!PVT_rho_gas_kgm3(B72,C72,[1]!encode_PVT(gamma_gas_,gamma_oil_,gamma_wat_,Rsb_,Pb_,Tres_,Bob_,muob_))</f>
        <v>251.05283331184572</v>
      </c>
      <c r="J72" s="46">
        <f>[1]!PVT_rho_wat_kgm3(B72,C72,[1]!encode_PVT(gamma_gas_,gamma_oil_,gamma_wat_,Rsb_,Pb_,Tres_,Bob_,muob_))</f>
        <v>1103.575201434599</v>
      </c>
      <c r="K72" s="46">
        <f>[1]!PVT_rho_oil_kgm3(B72,C72,[1]!encode_PVT(gamma_gas_,gamma_oil_,gamma_wat_,Rsb_,Pb_,Tres_,Bob_,muob_))</f>
        <v>838.61385803822009</v>
      </c>
      <c r="L72" s="20">
        <f>[1]!PVT_bg_m3m3(B72,C72,[1]!encode_PVT(gamma_gas_,gamma_oil_,gamma_wat_,Rsb_,Pb_,Tres_,Bob_,muob_))</f>
        <v>4.3796757260023307E-3</v>
      </c>
      <c r="M72" s="20">
        <f>[1]!PVT_bw_m3m3(B72,C72,[1]!encode_PVT(gamma_gas_,gamma_oil_,gamma_wat_,Rsb_,Pb_,Tres_,Bob_,muob_))</f>
        <v>0.99676034634526822</v>
      </c>
      <c r="N72" s="15">
        <f>[1]!PVT_ST_liqgas_Nm(B72,C72,[1]!encode_PVT(gamma_gas_,gamma_oil_,gamma_wat_,Rsb_,Pb_,Tres_,Bob_,muob_))</f>
        <v>5.8480104272548641E-2</v>
      </c>
      <c r="O72" s="15">
        <f>[1]!PVT_ST_oilgas_Nm(B72,C72,[1]!encode_PVT(gamma_gas_,gamma_oil_,gamma_wat_,Rsb_,Pb_,Tres_,Bob_,muob_))</f>
        <v>5.8480104272548641E-2</v>
      </c>
      <c r="P72" s="20">
        <f>[1]!PVT_ST_watgas_Nm(B72,C72,[1]!encode_PVT(gamma_gas_,gamma_oil_,gamma_wat_,Rsb_,Pb_,Tres_,Bob_,muob_))</f>
        <v>6.3076487347313664E-2</v>
      </c>
      <c r="Q72" s="29">
        <f>[1]!PVT_cp_oil_JkgC(B72,C72,[1]!encode_PVT(gamma_gas_,gamma_oil_,gamma_wat_,Rsb_,Pb_,Tres_,Bob_,muob_))</f>
        <v>2248.6000000000004</v>
      </c>
      <c r="R72" s="29">
        <f>[1]!PVT_cp_gas_JkgC(B72,C72,[1]!encode_PVT(gamma_gas_,gamma_oil_,gamma_wat_,Rsb_,Pb_,Tres_,Bob_,muob_))</f>
        <v>788.00211209883264</v>
      </c>
      <c r="S72" s="29">
        <f>[1]!PVT_cp_wat_JkgC(B72,C72,[1]!encode_PVT(gamma_gas_,gamma_oil_,gamma_wat_,Rsb_,Pb_,Tres_,Bob_,muob_))</f>
        <v>4176</v>
      </c>
      <c r="T72" s="30">
        <f>[1]!PVT_compressibility_wat_1atm(B72,C72,[1]!encode_PVT(gamma_gas_,gamma_oil_,gamma_wat_,Rsb_,Pb_,Tres_,Bob_,muob_))</f>
        <v>3.1447149673895801E-5</v>
      </c>
      <c r="U72" s="30">
        <f>[1]!PVT_compressibility_oil_1atm(B72,C72,[1]!encode_PVT(gamma_gas_,gamma_oil_,gamma_wat_,Rsb_,Pb_,Tres_,Bob_,muob_))</f>
        <v>1.1063682587319555E-3</v>
      </c>
      <c r="V72" s="30">
        <f>[1]!PVT_compressibility_gas_1atm(B72,C72,[1]!encode_PVT(gamma_gas_,gamma_oil_,gamma_wat_,Rsb_,Pb_,Tres_,Bob_,muob_))</f>
        <v>1.1902209511441098E-2</v>
      </c>
    </row>
    <row r="73" spans="2:22" x14ac:dyDescent="0.2">
      <c r="B73" s="12">
        <v>100</v>
      </c>
      <c r="C73" s="12">
        <v>15</v>
      </c>
      <c r="D73" s="13">
        <f>[1]!PVT_rs_m3m3(B73,C73,[1]!encode_PVT(gamma_gas_,gamma_oil_,gamma_wat_,Rsb_,Pb_,Tres_,Bob_,muob_))</f>
        <v>67.050432419301558</v>
      </c>
      <c r="E73" s="14" t="str">
        <f>[1]!PVT_bo_m3m3(B73,C73,PVT_str_)</f>
        <v xml:space="preserve">error </v>
      </c>
      <c r="F73" s="46">
        <f>[1]!PVT_mu_oil_cP(B73,C73,[1]!encode_PVT(gamma_gas_,gamma_oil_,gamma_wat_,Rsb_,Pb_,Tres_,Bob_,muob_))</f>
        <v>32.814228770694015</v>
      </c>
      <c r="G73" s="15">
        <f>[1]!PVT_mu_gas_cP(B73,C73,[1]!encode_PVT(gamma_gas_,gamma_oil_,gamma_wat_,Rsb_,Pb_,Tres_,Bob_,muob_))</f>
        <v>2.4754694313003187E-2</v>
      </c>
      <c r="H73" s="14">
        <f>[1]!PVT_mu_wat_cP(B73,C73,[1]!encode_PVT(gamma_gas_,gamma_oil_,gamma_wat_,Rsb_,Pb_,Tres_,Bob_,muob_))</f>
        <v>1.5365481614970042</v>
      </c>
      <c r="I73" s="46">
        <f>[1]!PVT_rho_gas_kgm3(B73,C73,[1]!encode_PVT(gamma_gas_,gamma_oil_,gamma_wat_,Rsb_,Pb_,Tres_,Bob_,muob_))</f>
        <v>232.83769314894161</v>
      </c>
      <c r="J73" s="46">
        <f>[1]!PVT_rho_wat_kgm3(B73,C73,[1]!encode_PVT(gamma_gas_,gamma_oil_,gamma_wat_,Rsb_,Pb_,Tres_,Bob_,muob_))</f>
        <v>1101.692319339603</v>
      </c>
      <c r="K73" s="46">
        <f>[1]!PVT_rho_oil_kgm3(B73,C73,[1]!encode_PVT(gamma_gas_,gamma_oil_,gamma_wat_,Rsb_,Pb_,Tres_,Bob_,muob_))</f>
        <v>836.22734986934017</v>
      </c>
      <c r="L73" s="20">
        <f>[1]!PVT_bg_m3m3(B73,C73,[1]!encode_PVT(gamma_gas_,gamma_oil_,gamma_wat_,Rsb_,Pb_,Tres_,Bob_,muob_))</f>
        <v>4.7223024121642223E-3</v>
      </c>
      <c r="M73" s="20">
        <f>[1]!PVT_bw_m3m3(B73,C73,[1]!encode_PVT(gamma_gas_,gamma_oil_,gamma_wat_,Rsb_,Pb_,Tres_,Bob_,muob_))</f>
        <v>0.99846389113376288</v>
      </c>
      <c r="N73" s="15">
        <f>[1]!PVT_ST_liqgas_Nm(B73,C73,[1]!encode_PVT(gamma_gas_,gamma_oil_,gamma_wat_,Rsb_,Pb_,Tres_,Bob_,muob_))</f>
        <v>5.8480104272548641E-2</v>
      </c>
      <c r="O73" s="15">
        <f>[1]!PVT_ST_oilgas_Nm(B73,C73,[1]!encode_PVT(gamma_gas_,gamma_oil_,gamma_wat_,Rsb_,Pb_,Tres_,Bob_,muob_))</f>
        <v>5.8480104272548641E-2</v>
      </c>
      <c r="P73" s="20">
        <f>[1]!PVT_ST_watgas_Nm(B73,C73,[1]!encode_PVT(gamma_gas_,gamma_oil_,gamma_wat_,Rsb_,Pb_,Tres_,Bob_,muob_))</f>
        <v>6.3076487347313664E-2</v>
      </c>
      <c r="Q73" s="29">
        <f>[1]!PVT_cp_oil_JkgC(B73,C73,[1]!encode_PVT(gamma_gas_,gamma_oil_,gamma_wat_,Rsb_,Pb_,Tres_,Bob_,muob_))</f>
        <v>2270.9500000000003</v>
      </c>
      <c r="R73" s="29">
        <f>[1]!PVT_cp_gas_JkgC(B73,C73,[1]!encode_PVT(gamma_gas_,gamma_oil_,gamma_wat_,Rsb_,Pb_,Tres_,Bob_,muob_))</f>
        <v>840.55256562393652</v>
      </c>
      <c r="S73" s="29">
        <f>[1]!PVT_cp_wat_JkgC(B73,C73,[1]!encode_PVT(gamma_gas_,gamma_oil_,gamma_wat_,Rsb_,Pb_,Tres_,Bob_,muob_))</f>
        <v>4176</v>
      </c>
      <c r="T73" s="30">
        <f>[1]!PVT_compressibility_wat_1atm(B73,C73,[1]!encode_PVT(gamma_gas_,gamma_oil_,gamma_wat_,Rsb_,Pb_,Tres_,Bob_,muob_))</f>
        <v>3.1780166719003156E-5</v>
      </c>
      <c r="U73" s="30">
        <f>[1]!PVT_compressibility_oil_1atm(B73,C73,[1]!encode_PVT(gamma_gas_,gamma_oil_,gamma_wat_,Rsb_,Pb_,Tres_,Bob_,muob_))</f>
        <v>1.3157816484236653E-3</v>
      </c>
      <c r="V73" s="30">
        <f>[1]!PVT_compressibility_gas_1atm(B73,C73,[1]!encode_PVT(gamma_gas_,gamma_oil_,gamma_wat_,Rsb_,Pb_,Tres_,Bob_,muob_))</f>
        <v>1.216884055669824E-2</v>
      </c>
    </row>
    <row r="74" spans="2:22" x14ac:dyDescent="0.2">
      <c r="B74" s="12">
        <v>100</v>
      </c>
      <c r="C74" s="12">
        <v>20</v>
      </c>
      <c r="D74" s="13">
        <f>[1]!PVT_rs_m3m3(B74,C74,[1]!encode_PVT(gamma_gas_,gamma_oil_,gamma_wat_,Rsb_,Pb_,Tres_,Bob_,muob_))</f>
        <v>65.536104486244838</v>
      </c>
      <c r="E74" s="14">
        <f>[1]!PVT_bo_m3m3(B74,C74,PVT_str_)</f>
        <v>1.2260297734777394</v>
      </c>
      <c r="F74" s="46">
        <f>[1]!PVT_mu_oil_cP(B74,C74,[1]!encode_PVT(gamma_gas_,gamma_oil_,gamma_wat_,Rsb_,Pb_,Tres_,Bob_,muob_))</f>
        <v>17.500028910882023</v>
      </c>
      <c r="G74" s="15">
        <f>[1]!PVT_mu_gas_cP(B74,C74,[1]!encode_PVT(gamma_gas_,gamma_oil_,gamma_wat_,Rsb_,Pb_,Tres_,Bob_,muob_))</f>
        <v>2.2976605035117101E-2</v>
      </c>
      <c r="H74" s="14">
        <f>[1]!PVT_mu_wat_cP(B74,C74,[1]!encode_PVT(gamma_gas_,gamma_oil_,gamma_wat_,Rsb_,Pb_,Tres_,Bob_,muob_))</f>
        <v>1.3364658684825443</v>
      </c>
      <c r="I74" s="46">
        <f>[1]!PVT_rho_gas_kgm3(B74,C74,[1]!encode_PVT(gamma_gas_,gamma_oil_,gamma_wat_,Rsb_,Pb_,Tres_,Bob_,muob_))</f>
        <v>217.04100712468832</v>
      </c>
      <c r="J74" s="46">
        <f>[1]!PVT_rho_wat_kgm3(B74,C74,[1]!encode_PVT(gamma_gas_,gamma_oil_,gamma_wat_,Rsb_,Pb_,Tres_,Bob_,muob_))</f>
        <v>1099.7179986317472</v>
      </c>
      <c r="K74" s="46">
        <f>[1]!PVT_rho_oil_kgm3(B74,C74,[1]!encode_PVT(gamma_gas_,gamma_oil_,gamma_wat_,Rsb_,Pb_,Tres_,Bob_,muob_))</f>
        <v>833.80742170322776</v>
      </c>
      <c r="L74" s="20">
        <f>[1]!PVT_bg_m3m3(B74,C74,[1]!encode_PVT(gamma_gas_,gamma_oil_,gamma_wat_,Rsb_,Pb_,Tres_,Bob_,muob_))</f>
        <v>5.0660011882838751E-3</v>
      </c>
      <c r="M74" s="20">
        <f>[1]!PVT_bw_m3m3(B74,C74,[1]!encode_PVT(gamma_gas_,gamma_oil_,gamma_wat_,Rsb_,Pb_,Tres_,Bob_,muob_))</f>
        <v>1.0002564306200352</v>
      </c>
      <c r="N74" s="15">
        <f>[1]!PVT_ST_liqgas_Nm(B74,C74,[1]!encode_PVT(gamma_gas_,gamma_oil_,gamma_wat_,Rsb_,Pb_,Tres_,Bob_,muob_))</f>
        <v>5.8480104272548641E-2</v>
      </c>
      <c r="O74" s="15">
        <f>[1]!PVT_ST_oilgas_Nm(B74,C74,[1]!encode_PVT(gamma_gas_,gamma_oil_,gamma_wat_,Rsb_,Pb_,Tres_,Bob_,muob_))</f>
        <v>5.8480104272548641E-2</v>
      </c>
      <c r="P74" s="20">
        <f>[1]!PVT_ST_watgas_Nm(B74,C74,[1]!encode_PVT(gamma_gas_,gamma_oil_,gamma_wat_,Rsb_,Pb_,Tres_,Bob_,muob_))</f>
        <v>6.3076487347313664E-2</v>
      </c>
      <c r="Q74" s="29">
        <f>[1]!PVT_cp_oil_JkgC(B74,C74,[1]!encode_PVT(gamma_gas_,gamma_oil_,gamma_wat_,Rsb_,Pb_,Tres_,Bob_,muob_))</f>
        <v>2293.3000000000002</v>
      </c>
      <c r="R74" s="29">
        <f>[1]!PVT_cp_gas_JkgC(B74,C74,[1]!encode_PVT(gamma_gas_,gamma_oil_,gamma_wat_,Rsb_,Pb_,Tres_,Bob_,muob_))</f>
        <v>892.40455916893188</v>
      </c>
      <c r="S74" s="29">
        <f>[1]!PVT_cp_wat_JkgC(B74,C74,[1]!encode_PVT(gamma_gas_,gamma_oil_,gamma_wat_,Rsb_,Pb_,Tres_,Bob_,muob_))</f>
        <v>4176</v>
      </c>
      <c r="T74" s="30">
        <f>[1]!PVT_compressibility_wat_1atm(B74,C74,[1]!encode_PVT(gamma_gas_,gamma_oil_,gamma_wat_,Rsb_,Pb_,Tres_,Bob_,muob_))</f>
        <v>3.2120312380142028E-5</v>
      </c>
      <c r="U74" s="30">
        <f>[1]!PVT_compressibility_oil_1atm(B74,C74,[1]!encode_PVT(gamma_gas_,gamma_oil_,gamma_wat_,Rsb_,Pb_,Tres_,Bob_,muob_))</f>
        <v>1.5151262753620271E-3</v>
      </c>
      <c r="V74" s="30">
        <f>[1]!PVT_compressibility_gas_1atm(B74,C74,[1]!encode_PVT(gamma_gas_,gamma_oil_,gamma_wat_,Rsb_,Pb_,Tres_,Bob_,muob_))</f>
        <v>1.2347923799557826E-2</v>
      </c>
    </row>
    <row r="75" spans="2:22" x14ac:dyDescent="0.2">
      <c r="B75" s="12">
        <v>100</v>
      </c>
      <c r="C75" s="12">
        <v>25</v>
      </c>
      <c r="D75" s="13">
        <f>[1]!PVT_rs_m3m3(B75,C75,[1]!encode_PVT(gamma_gas_,gamma_oil_,gamma_wat_,Rsb_,Pb_,Tres_,Bob_,muob_))</f>
        <v>64.055977512169193</v>
      </c>
      <c r="E75" s="14">
        <f>[1]!PVT_bo_m3m3(B75,C75,PVT_str_)</f>
        <v>1.227249663084476</v>
      </c>
      <c r="F75" s="46">
        <f>[1]!PVT_mu_oil_cP(B75,C75,[1]!encode_PVT(gamma_gas_,gamma_oil_,gamma_wat_,Rsb_,Pb_,Tres_,Bob_,muob_))</f>
        <v>10.931360976657029</v>
      </c>
      <c r="G75" s="15">
        <f>[1]!PVT_mu_gas_cP(B75,C75,[1]!encode_PVT(gamma_gas_,gamma_oil_,gamma_wat_,Rsb_,Pb_,Tres_,Bob_,muob_))</f>
        <v>2.1598761714010022E-2</v>
      </c>
      <c r="H75" s="14">
        <f>[1]!PVT_mu_wat_cP(B75,C75,[1]!encode_PVT(gamma_gas_,gamma_oil_,gamma_wat_,Rsb_,Pb_,Tres_,Bob_,muob_))</f>
        <v>1.182973291286566</v>
      </c>
      <c r="I75" s="46">
        <f>[1]!PVT_rho_gas_kgm3(B75,C75,[1]!encode_PVT(gamma_gas_,gamma_oil_,gamma_wat_,Rsb_,Pb_,Tres_,Bob_,muob_))</f>
        <v>203.26532243583782</v>
      </c>
      <c r="J75" s="46">
        <f>[1]!PVT_rho_wat_kgm3(B75,C75,[1]!encode_PVT(gamma_gas_,gamma_oil_,gamma_wat_,Rsb_,Pb_,Tres_,Bob_,muob_))</f>
        <v>1097.6532645282964</v>
      </c>
      <c r="K75" s="46">
        <f>[1]!PVT_rho_oil_kgm3(B75,C75,[1]!encode_PVT(gamma_gas_,gamma_oil_,gamma_wat_,Rsb_,Pb_,Tres_,Bob_,muob_))</f>
        <v>831.35544434980613</v>
      </c>
      <c r="L75" s="20">
        <f>[1]!PVT_bg_m3m3(B75,C75,[1]!encode_PVT(gamma_gas_,gamma_oil_,gamma_wat_,Rsb_,Pb_,Tres_,Bob_,muob_))</f>
        <v>5.4093339032144786E-3</v>
      </c>
      <c r="M75" s="20">
        <f>[1]!PVT_bw_m3m3(B75,C75,[1]!encode_PVT(gamma_gas_,gamma_oil_,gamma_wat_,Rsb_,Pb_,Tres_,Bob_,muob_))</f>
        <v>1.0021379569920126</v>
      </c>
      <c r="N75" s="15">
        <f>[1]!PVT_ST_liqgas_Nm(B75,C75,[1]!encode_PVT(gamma_gas_,gamma_oil_,gamma_wat_,Rsb_,Pb_,Tres_,Bob_,muob_))</f>
        <v>5.8480104272548641E-2</v>
      </c>
      <c r="O75" s="15">
        <f>[1]!PVT_ST_oilgas_Nm(B75,C75,[1]!encode_PVT(gamma_gas_,gamma_oil_,gamma_wat_,Rsb_,Pb_,Tres_,Bob_,muob_))</f>
        <v>5.8480104272548641E-2</v>
      </c>
      <c r="P75" s="20">
        <f>[1]!PVT_ST_watgas_Nm(B75,C75,[1]!encode_PVT(gamma_gas_,gamma_oil_,gamma_wat_,Rsb_,Pb_,Tres_,Bob_,muob_))</f>
        <v>6.3076487347313664E-2</v>
      </c>
      <c r="Q75" s="29">
        <f>[1]!PVT_cp_oil_JkgC(B75,C75,[1]!encode_PVT(gamma_gas_,gamma_oil_,gamma_wat_,Rsb_,Pb_,Tres_,Bob_,muob_))</f>
        <v>2315.65</v>
      </c>
      <c r="R75" s="29">
        <f>[1]!PVT_cp_gas_JkgC(B75,C75,[1]!encode_PVT(gamma_gas_,gamma_oil_,gamma_wat_,Rsb_,Pb_,Tres_,Bob_,muob_))</f>
        <v>943.36880958380561</v>
      </c>
      <c r="S75" s="29">
        <f>[1]!PVT_cp_wat_JkgC(B75,C75,[1]!encode_PVT(gamma_gas_,gamma_oil_,gamma_wat_,Rsb_,Pb_,Tres_,Bob_,muob_))</f>
        <v>4176</v>
      </c>
      <c r="T75" s="30">
        <f>[1]!PVT_compressibility_wat_1atm(B75,C75,[1]!encode_PVT(gamma_gas_,gamma_oil_,gamma_wat_,Rsb_,Pb_,Tres_,Bob_,muob_))</f>
        <v>3.246781802813196E-5</v>
      </c>
      <c r="U75" s="30">
        <f>[1]!PVT_compressibility_oil_1atm(B75,C75,[1]!encode_PVT(gamma_gas_,gamma_oil_,gamma_wat_,Rsb_,Pb_,Tres_,Bob_,muob_))</f>
        <v>1.7037514941651293E-3</v>
      </c>
      <c r="V75" s="30">
        <f>[1]!PVT_compressibility_gas_1atm(B75,C75,[1]!encode_PVT(gamma_gas_,gamma_oil_,gamma_wat_,Rsb_,Pb_,Tres_,Bob_,muob_))</f>
        <v>1.2462000778035347E-2</v>
      </c>
    </row>
    <row r="76" spans="2:22" x14ac:dyDescent="0.2">
      <c r="B76" s="12">
        <v>100</v>
      </c>
      <c r="C76" s="12">
        <v>30</v>
      </c>
      <c r="D76" s="13">
        <f>[1]!PVT_rs_m3m3(B76,C76,[1]!encode_PVT(gamma_gas_,gamma_oil_,gamma_wat_,Rsb_,Pb_,Tres_,Bob_,muob_))</f>
        <v>62.609279071518884</v>
      </c>
      <c r="E76" s="14">
        <f>[1]!PVT_bo_m3m3(B76,C76,PVT_str_)</f>
        <v>1.2284815290127347</v>
      </c>
      <c r="F76" s="46">
        <f>[1]!PVT_mu_oil_cP(B76,C76,[1]!encode_PVT(gamma_gas_,gamma_oil_,gamma_wat_,Rsb_,Pb_,Tres_,Bob_,muob_))</f>
        <v>7.587858487207555</v>
      </c>
      <c r="G76" s="15">
        <f>[1]!PVT_mu_gas_cP(B76,C76,[1]!encode_PVT(gamma_gas_,gamma_oil_,gamma_wat_,Rsb_,Pb_,Tres_,Bob_,muob_))</f>
        <v>2.0517118294942314E-2</v>
      </c>
      <c r="H76" s="14">
        <f>[1]!PVT_mu_wat_cP(B76,C76,[1]!encode_PVT(gamma_gas_,gamma_oil_,gamma_wat_,Rsb_,Pb_,Tres_,Bob_,muob_))</f>
        <v>1.0614492460754488</v>
      </c>
      <c r="I76" s="46">
        <f>[1]!PVT_rho_gas_kgm3(B76,C76,[1]!encode_PVT(gamma_gas_,gamma_oil_,gamma_wat_,Rsb_,Pb_,Tres_,Bob_,muob_))</f>
        <v>191.18376153792863</v>
      </c>
      <c r="J76" s="46">
        <f>[1]!PVT_rho_wat_kgm3(B76,C76,[1]!encode_PVT(gamma_gas_,gamma_oil_,gamma_wat_,Rsb_,Pb_,Tres_,Bob_,muob_))</f>
        <v>1095.4991827571962</v>
      </c>
      <c r="K76" s="46">
        <f>[1]!PVT_rho_oil_kgm3(B76,C76,[1]!encode_PVT(gamma_gas_,gamma_oil_,gamma_wat_,Rsb_,Pb_,Tres_,Bob_,muob_))</f>
        <v>828.87275688388922</v>
      </c>
      <c r="L76" s="20">
        <f>[1]!PVT_bg_m3m3(B76,C76,[1]!encode_PVT(gamma_gas_,gamma_oil_,gamma_wat_,Rsb_,Pb_,Tres_,Bob_,muob_))</f>
        <v>5.751168358416602E-3</v>
      </c>
      <c r="M76" s="20">
        <f>[1]!PVT_bw_m3m3(B76,C76,[1]!encode_PVT(gamma_gas_,gamma_oil_,gamma_wat_,Rsb_,Pb_,Tres_,Bob_,muob_))</f>
        <v>1.0041084624376224</v>
      </c>
      <c r="N76" s="15">
        <f>[1]!PVT_ST_liqgas_Nm(B76,C76,[1]!encode_PVT(gamma_gas_,gamma_oil_,gamma_wat_,Rsb_,Pb_,Tres_,Bob_,muob_))</f>
        <v>5.8480104272548641E-2</v>
      </c>
      <c r="O76" s="15">
        <f>[1]!PVT_ST_oilgas_Nm(B76,C76,[1]!encode_PVT(gamma_gas_,gamma_oil_,gamma_wat_,Rsb_,Pb_,Tres_,Bob_,muob_))</f>
        <v>5.8480104272548641E-2</v>
      </c>
      <c r="P76" s="20">
        <f>[1]!PVT_ST_watgas_Nm(B76,C76,[1]!encode_PVT(gamma_gas_,gamma_oil_,gamma_wat_,Rsb_,Pb_,Tres_,Bob_,muob_))</f>
        <v>6.3076487347313664E-2</v>
      </c>
      <c r="Q76" s="29">
        <f>[1]!PVT_cp_oil_JkgC(B76,C76,[1]!encode_PVT(gamma_gas_,gamma_oil_,gamma_wat_,Rsb_,Pb_,Tres_,Bob_,muob_))</f>
        <v>2338</v>
      </c>
      <c r="R76" s="29">
        <f>[1]!PVT_cp_gas_JkgC(B76,C76,[1]!encode_PVT(gamma_gas_,gamma_oil_,gamma_wat_,Rsb_,Pb_,Tres_,Bob_,muob_))</f>
        <v>993.31536729000095</v>
      </c>
      <c r="S76" s="29">
        <f>[1]!PVT_cp_wat_JkgC(B76,C76,[1]!encode_PVT(gamma_gas_,gamma_oil_,gamma_wat_,Rsb_,Pb_,Tres_,Bob_,muob_))</f>
        <v>4176</v>
      </c>
      <c r="T76" s="30">
        <f>[1]!PVT_compressibility_wat_1atm(B76,C76,[1]!encode_PVT(gamma_gas_,gamma_oil_,gamma_wat_,Rsb_,Pb_,Tres_,Bob_,muob_))</f>
        <v>3.2822925155991331E-5</v>
      </c>
      <c r="U76" s="30">
        <f>[1]!PVT_compressibility_oil_1atm(B76,C76,[1]!encode_PVT(gamma_gas_,gamma_oil_,gamma_wat_,Rsb_,Pb_,Tres_,Bob_,muob_))</f>
        <v>1.8812902339552988E-3</v>
      </c>
      <c r="V76" s="30">
        <f>[1]!PVT_compressibility_gas_1atm(B76,C76,[1]!encode_PVT(gamma_gas_,gamma_oil_,gamma_wat_,Rsb_,Pb_,Tres_,Bob_,muob_))</f>
        <v>1.2526322886288995E-2</v>
      </c>
    </row>
    <row r="77" spans="2:22" x14ac:dyDescent="0.2">
      <c r="B77" s="12">
        <v>100</v>
      </c>
      <c r="C77" s="12">
        <v>35</v>
      </c>
      <c r="D77" s="13">
        <f>[1]!PVT_rs_m3m3(B77,C77,[1]!encode_PVT(gamma_gas_,gamma_oil_,gamma_wat_,Rsb_,Pb_,Tres_,Bob_,muob_))</f>
        <v>61.195254183899337</v>
      </c>
      <c r="E77" s="14">
        <f>[1]!PVT_bo_m3m3(B77,C77,PVT_str_)</f>
        <v>1.2297492079619461</v>
      </c>
      <c r="F77" s="46">
        <f>[1]!PVT_mu_oil_cP(B77,C77,[1]!encode_PVT(gamma_gas_,gamma_oil_,gamma_wat_,Rsb_,Pb_,Tres_,Bob_,muob_))</f>
        <v>5.6689889767855046</v>
      </c>
      <c r="G77" s="15">
        <f>[1]!PVT_mu_gas_cP(B77,C77,[1]!encode_PVT(gamma_gas_,gamma_oil_,gamma_wat_,Rsb_,Pb_,Tres_,Bob_,muob_))</f>
        <v>1.965920998618774E-2</v>
      </c>
      <c r="H77" s="14">
        <f>[1]!PVT_mu_wat_cP(B77,C77,[1]!encode_PVT(gamma_gas_,gamma_oil_,gamma_wat_,Rsb_,Pb_,Tres_,Bob_,muob_))</f>
        <v>0.96281902444305845</v>
      </c>
      <c r="I77" s="46">
        <f>[1]!PVT_rho_gas_kgm3(B77,C77,[1]!encode_PVT(gamma_gas_,gamma_oil_,gamma_wat_,Rsb_,Pb_,Tres_,Bob_,muob_))</f>
        <v>180.52923286241813</v>
      </c>
      <c r="J77" s="46">
        <f>[1]!PVT_rho_wat_kgm3(B77,C77,[1]!encode_PVT(gamma_gas_,gamma_oil_,gamma_wat_,Rsb_,Pb_,Tres_,Bob_,muob_))</f>
        <v>1093.2568582288181</v>
      </c>
      <c r="K77" s="46">
        <f>[1]!PVT_rho_oil_kgm3(B77,C77,[1]!encode_PVT(gamma_gas_,gamma_oil_,gamma_wat_,Rsb_,Pb_,Tres_,Bob_,muob_))</f>
        <v>826.36066746218853</v>
      </c>
      <c r="L77" s="20">
        <f>[1]!PVT_bg_m3m3(B77,C77,[1]!encode_PVT(gamma_gas_,gamma_oil_,gamma_wat_,Rsb_,Pb_,Tres_,Bob_,muob_))</f>
        <v>6.0905925459615465E-3</v>
      </c>
      <c r="M77" s="20">
        <f>[1]!PVT_bw_m3m3(B77,C77,[1]!encode_PVT(gamma_gas_,gamma_oil_,gamma_wat_,Rsb_,Pb_,Tres_,Bob_,muob_))</f>
        <v>1.0061679391447922</v>
      </c>
      <c r="N77" s="15">
        <f>[1]!PVT_ST_liqgas_Nm(B77,C77,[1]!encode_PVT(gamma_gas_,gamma_oil_,gamma_wat_,Rsb_,Pb_,Tres_,Bob_,muob_))</f>
        <v>5.8480104272548641E-2</v>
      </c>
      <c r="O77" s="15">
        <f>[1]!PVT_ST_oilgas_Nm(B77,C77,[1]!encode_PVT(gamma_gas_,gamma_oil_,gamma_wat_,Rsb_,Pb_,Tres_,Bob_,muob_))</f>
        <v>5.8480104272548641E-2</v>
      </c>
      <c r="P77" s="20">
        <f>[1]!PVT_ST_watgas_Nm(B77,C77,[1]!encode_PVT(gamma_gas_,gamma_oil_,gamma_wat_,Rsb_,Pb_,Tres_,Bob_,muob_))</f>
        <v>6.3076487347313664E-2</v>
      </c>
      <c r="Q77" s="29">
        <f>[1]!PVT_cp_oil_JkgC(B77,C77,[1]!encode_PVT(gamma_gas_,gamma_oil_,gamma_wat_,Rsb_,Pb_,Tres_,Bob_,muob_))</f>
        <v>2360.3500000000004</v>
      </c>
      <c r="R77" s="29">
        <f>[1]!PVT_cp_gas_JkgC(B77,C77,[1]!encode_PVT(gamma_gas_,gamma_oil_,gamma_wat_,Rsb_,Pb_,Tres_,Bob_,muob_))</f>
        <v>1042.155704446737</v>
      </c>
      <c r="S77" s="29">
        <f>[1]!PVT_cp_wat_JkgC(B77,C77,[1]!encode_PVT(gamma_gas_,gamma_oil_,gamma_wat_,Rsb_,Pb_,Tres_,Bob_,muob_))</f>
        <v>4176</v>
      </c>
      <c r="T77" s="30">
        <f>[1]!PVT_compressibility_wat_1atm(B77,C77,[1]!encode_PVT(gamma_gas_,gamma_oil_,gamma_wat_,Rsb_,Pb_,Tres_,Bob_,muob_))</f>
        <v>3.3185885938601189E-5</v>
      </c>
      <c r="U77" s="30">
        <f>[1]!PVT_compressibility_oil_1atm(B77,C77,[1]!encode_PVT(gamma_gas_,gamma_oil_,gamma_wat_,Rsb_,Pb_,Tres_,Bob_,muob_))</f>
        <v>2.0475764802059468E-3</v>
      </c>
      <c r="V77" s="30">
        <f>[1]!PVT_compressibility_gas_1atm(B77,C77,[1]!encode_PVT(gamma_gas_,gamma_oil_,gamma_wat_,Rsb_,Pb_,Tres_,Bob_,muob_))</f>
        <v>1.2551914505274134E-2</v>
      </c>
    </row>
    <row r="78" spans="2:22" x14ac:dyDescent="0.2">
      <c r="B78" s="12">
        <v>100</v>
      </c>
      <c r="C78" s="12">
        <v>40</v>
      </c>
      <c r="D78" s="13">
        <f>[1]!PVT_rs_m3m3(B78,C78,[1]!encode_PVT(gamma_gas_,gamma_oil_,gamma_wat_,Rsb_,Pb_,Tres_,Bob_,muob_))</f>
        <v>59.813164920079643</v>
      </c>
      <c r="E78" s="14">
        <f>[1]!PVT_bo_m3m3(B78,C78,PVT_str_)</f>
        <v>1.2310695382959889</v>
      </c>
      <c r="F78" s="46">
        <f>[1]!PVT_mu_oil_cP(B78,C78,[1]!encode_PVT(gamma_gas_,gamma_oil_,gamma_wat_,Rsb_,Pb_,Tres_,Bob_,muob_))</f>
        <v>4.466511481989544</v>
      </c>
      <c r="G78" s="15">
        <f>[1]!PVT_mu_gas_cP(B78,C78,[1]!encode_PVT(gamma_gas_,gamma_oil_,gamma_wat_,Rsb_,Pb_,Tres_,Bob_,muob_))</f>
        <v>1.8973435258931207E-2</v>
      </c>
      <c r="H78" s="14">
        <f>[1]!PVT_mu_wat_cP(B78,C78,[1]!encode_PVT(gamma_gas_,gamma_oil_,gamma_wat_,Rsb_,Pb_,Tres_,Bob_,muob_))</f>
        <v>0.88115031005874744</v>
      </c>
      <c r="I78" s="46">
        <f>[1]!PVT_rho_gas_kgm3(B78,C78,[1]!encode_PVT(gamma_gas_,gamma_oil_,gamma_wat_,Rsb_,Pb_,Tres_,Bob_,muob_))</f>
        <v>171.08329460331936</v>
      </c>
      <c r="J78" s="46">
        <f>[1]!PVT_rho_wat_kgm3(B78,C78,[1]!encode_PVT(gamma_gas_,gamma_oil_,gamma_wat_,Rsb_,Pb_,Tres_,Bob_,muob_))</f>
        <v>1090.9274336712331</v>
      </c>
      <c r="K78" s="46">
        <f>[1]!PVT_rho_oil_kgm3(B78,C78,[1]!encode_PVT(gamma_gas_,gamma_oil_,gamma_wat_,Rsb_,Pb_,Tres_,Bob_,muob_))</f>
        <v>823.82045411466345</v>
      </c>
      <c r="L78" s="20">
        <f>[1]!PVT_bg_m3m3(B78,C78,[1]!encode_PVT(gamma_gas_,gamma_oil_,gamma_wat_,Rsb_,Pb_,Tres_,Bob_,muob_))</f>
        <v>6.4268694529726863E-3</v>
      </c>
      <c r="M78" s="20">
        <f>[1]!PVT_bw_m3m3(B78,C78,[1]!encode_PVT(gamma_gas_,gamma_oil_,gamma_wat_,Rsb_,Pb_,Tres_,Bob_,muob_))</f>
        <v>1.0083163793014496</v>
      </c>
      <c r="N78" s="15">
        <f>[1]!PVT_ST_liqgas_Nm(B78,C78,[1]!encode_PVT(gamma_gas_,gamma_oil_,gamma_wat_,Rsb_,Pb_,Tres_,Bob_,muob_))</f>
        <v>5.8480104272548641E-2</v>
      </c>
      <c r="O78" s="15">
        <f>[1]!PVT_ST_oilgas_Nm(B78,C78,[1]!encode_PVT(gamma_gas_,gamma_oil_,gamma_wat_,Rsb_,Pb_,Tres_,Bob_,muob_))</f>
        <v>5.8480104272548641E-2</v>
      </c>
      <c r="P78" s="20">
        <f>[1]!PVT_ST_watgas_Nm(B78,C78,[1]!encode_PVT(gamma_gas_,gamma_oil_,gamma_wat_,Rsb_,Pb_,Tres_,Bob_,muob_))</f>
        <v>6.3076487347313664E-2</v>
      </c>
      <c r="Q78" s="29">
        <f>[1]!PVT_cp_oil_JkgC(B78,C78,[1]!encode_PVT(gamma_gas_,gamma_oil_,gamma_wat_,Rsb_,Pb_,Tres_,Bob_,muob_))</f>
        <v>2382.7000000000003</v>
      </c>
      <c r="R78" s="29">
        <f>[1]!PVT_cp_gas_JkgC(B78,C78,[1]!encode_PVT(gamma_gas_,gamma_oil_,gamma_wat_,Rsb_,Pb_,Tres_,Bob_,muob_))</f>
        <v>1089.8328626702933</v>
      </c>
      <c r="S78" s="29">
        <f>[1]!PVT_cp_wat_JkgC(B78,C78,[1]!encode_PVT(gamma_gas_,gamma_oil_,gamma_wat_,Rsb_,Pb_,Tres_,Bob_,muob_))</f>
        <v>4176</v>
      </c>
      <c r="T78" s="30">
        <f>[1]!PVT_compressibility_wat_1atm(B78,C78,[1]!encode_PVT(gamma_gas_,gamma_oil_,gamma_wat_,Rsb_,Pb_,Tres_,Bob_,muob_))</f>
        <v>3.3556963829917477E-5</v>
      </c>
      <c r="U78" s="30">
        <f>[1]!PVT_compressibility_oil_1atm(B78,C78,[1]!encode_PVT(gamma_gas_,gamma_oil_,gamma_wat_,Rsb_,Pb_,Tres_,Bob_,muob_))</f>
        <v>2.2025970978768014E-3</v>
      </c>
      <c r="V78" s="30">
        <f>[1]!PVT_compressibility_gas_1atm(B78,C78,[1]!encode_PVT(gamma_gas_,gamma_oil_,gamma_wat_,Rsb_,Pb_,Tres_,Bob_,muob_))</f>
        <v>1.2547159115542619E-2</v>
      </c>
    </row>
    <row r="79" spans="2:22" x14ac:dyDescent="0.2">
      <c r="B79" s="12">
        <v>100</v>
      </c>
      <c r="C79" s="12">
        <v>45</v>
      </c>
      <c r="D79" s="13">
        <f>[1]!PVT_rs_m3m3(B79,C79,[1]!encode_PVT(gamma_gas_,gamma_oil_,gamma_wat_,Rsb_,Pb_,Tres_,Bob_,muob_))</f>
        <v>58.462290016893597</v>
      </c>
      <c r="E79" s="14">
        <f>[1]!PVT_bo_m3m3(B79,C79,PVT_str_)</f>
        <v>1.2324541732873886</v>
      </c>
      <c r="F79" s="46">
        <f>[1]!PVT_mu_oil_cP(B79,C79,[1]!encode_PVT(gamma_gas_,gamma_oil_,gamma_wat_,Rsb_,Pb_,Tres_,Bob_,muob_))</f>
        <v>3.6610093408310043</v>
      </c>
      <c r="G79" s="15">
        <f>[1]!PVT_mu_gas_cP(B79,C79,[1]!encode_PVT(gamma_gas_,gamma_oil_,gamma_wat_,Rsb_,Pb_,Tres_,Bob_,muob_))</f>
        <v>1.8422279955101227E-2</v>
      </c>
      <c r="H79" s="14">
        <f>[1]!PVT_mu_wat_cP(B79,C79,[1]!encode_PVT(gamma_gas_,gamma_oil_,gamma_wat_,Rsb_,Pb_,Tres_,Bob_,muob_))</f>
        <v>0.81240033595733574</v>
      </c>
      <c r="I79" s="46">
        <f>[1]!PVT_rho_gas_kgm3(B79,C79,[1]!encode_PVT(gamma_gas_,gamma_oil_,gamma_wat_,Rsb_,Pb_,Tres_,Bob_,muob_))</f>
        <v>162.66657196674777</v>
      </c>
      <c r="J79" s="46">
        <f>[1]!PVT_rho_wat_kgm3(B79,C79,[1]!encode_PVT(gamma_gas_,gamma_oil_,gamma_wat_,Rsb_,Pb_,Tres_,Bob_,muob_))</f>
        <v>1088.5120882320423</v>
      </c>
      <c r="K79" s="46">
        <f>[1]!PVT_rho_oil_kgm3(B79,C79,[1]!encode_PVT(gamma_gas_,gamma_oil_,gamma_wat_,Rsb_,Pb_,Tres_,Bob_,muob_))</f>
        <v>821.2533655075091</v>
      </c>
      <c r="L79" s="20">
        <f>[1]!PVT_bg_m3m3(B79,C79,[1]!encode_PVT(gamma_gas_,gamma_oil_,gamma_wat_,Rsb_,Pb_,Tres_,Bob_,muob_))</f>
        <v>6.7594096728414823E-3</v>
      </c>
      <c r="M79" s="20">
        <f>[1]!PVT_bw_m3m3(B79,C79,[1]!encode_PVT(gamma_gas_,gamma_oil_,gamma_wat_,Rsb_,Pb_,Tres_,Bob_,muob_))</f>
        <v>1.0105537750955218</v>
      </c>
      <c r="N79" s="15">
        <f>[1]!PVT_ST_liqgas_Nm(B79,C79,[1]!encode_PVT(gamma_gas_,gamma_oil_,gamma_wat_,Rsb_,Pb_,Tres_,Bob_,muob_))</f>
        <v>5.8480104272548641E-2</v>
      </c>
      <c r="O79" s="15">
        <f>[1]!PVT_ST_oilgas_Nm(B79,C79,[1]!encode_PVT(gamma_gas_,gamma_oil_,gamma_wat_,Rsb_,Pb_,Tres_,Bob_,muob_))</f>
        <v>5.8480104272548641E-2</v>
      </c>
      <c r="P79" s="20">
        <f>[1]!PVT_ST_watgas_Nm(B79,C79,[1]!encode_PVT(gamma_gas_,gamma_oil_,gamma_wat_,Rsb_,Pb_,Tres_,Bob_,muob_))</f>
        <v>6.3076487347313664E-2</v>
      </c>
      <c r="Q79" s="29">
        <f>[1]!PVT_cp_oil_JkgC(B79,C79,[1]!encode_PVT(gamma_gas_,gamma_oil_,gamma_wat_,Rsb_,Pb_,Tres_,Bob_,muob_))</f>
        <v>2405.0500000000002</v>
      </c>
      <c r="R79" s="29">
        <f>[1]!PVT_cp_gas_JkgC(B79,C79,[1]!encode_PVT(gamma_gas_,gamma_oil_,gamma_wat_,Rsb_,Pb_,Tres_,Bob_,muob_))</f>
        <v>1136.3152558289164</v>
      </c>
      <c r="S79" s="29">
        <f>[1]!PVT_cp_wat_JkgC(B79,C79,[1]!encode_PVT(gamma_gas_,gamma_oil_,gamma_wat_,Rsb_,Pb_,Tres_,Bob_,muob_))</f>
        <v>4176</v>
      </c>
      <c r="T79" s="30">
        <f>[1]!PVT_compressibility_wat_1atm(B79,C79,[1]!encode_PVT(gamma_gas_,gamma_oil_,gamma_wat_,Rsb_,Pb_,Tres_,Bob_,muob_))</f>
        <v>3.3936434200703727E-5</v>
      </c>
      <c r="U79" s="30">
        <f>[1]!PVT_compressibility_oil_1atm(B79,C79,[1]!encode_PVT(gamma_gas_,gamma_oil_,gamma_wat_,Rsb_,Pb_,Tres_,Bob_,muob_))</f>
        <v>2.3464595233595462E-3</v>
      </c>
      <c r="V79" s="30">
        <f>[1]!PVT_compressibility_gas_1atm(B79,C79,[1]!encode_PVT(gamma_gas_,gamma_oil_,gamma_wat_,Rsb_,Pb_,Tres_,Bob_,muob_))</f>
        <v>1.2518657799230917E-2</v>
      </c>
    </row>
    <row r="80" spans="2:22" x14ac:dyDescent="0.2">
      <c r="B80" s="12">
        <v>100</v>
      </c>
      <c r="C80" s="12">
        <v>50</v>
      </c>
      <c r="D80" s="13">
        <f>[1]!PVT_rs_m3m3(B80,C80,[1]!encode_PVT(gamma_gas_,gamma_oil_,gamma_wat_,Rsb_,Pb_,Tres_,Bob_,muob_))</f>
        <v>57.141924500838272</v>
      </c>
      <c r="E80" s="14">
        <f>[1]!PVT_bo_m3m3(B80,C80,PVT_str_)</f>
        <v>1.2339115584795428</v>
      </c>
      <c r="F80" s="46">
        <f>[1]!PVT_mu_oil_cP(B80,C80,[1]!encode_PVT(gamma_gas_,gamma_oil_,gamma_wat_,Rsb_,Pb_,Tres_,Bob_,muob_))</f>
        <v>3.0926413455624804</v>
      </c>
      <c r="G80" s="15">
        <f>[1]!PVT_mu_gas_cP(B80,C80,[1]!encode_PVT(gamma_gas_,gamma_oil_,gamma_wat_,Rsb_,Pb_,Tres_,Bob_,muob_))</f>
        <v>1.7977950118666337E-2</v>
      </c>
      <c r="H80" s="14">
        <f>[1]!PVT_mu_wat_cP(B80,C80,[1]!encode_PVT(gamma_gas_,gamma_oil_,gamma_wat_,Rsb_,Pb_,Tres_,Bob_,muob_))</f>
        <v>0.7537184554756341</v>
      </c>
      <c r="I80" s="46">
        <f>[1]!PVT_rho_gas_kgm3(B80,C80,[1]!encode_PVT(gamma_gas_,gamma_oil_,gamma_wat_,Rsb_,Pb_,Tres_,Bob_,muob_))</f>
        <v>155.13099595231341</v>
      </c>
      <c r="J80" s="46">
        <f>[1]!PVT_rho_wat_kgm3(B80,C80,[1]!encode_PVT(gamma_gas_,gamma_oil_,gamma_wat_,Rsb_,Pb_,Tres_,Bob_,muob_))</f>
        <v>1086.0120360498286</v>
      </c>
      <c r="K80" s="46">
        <f>[1]!PVT_rho_oil_kgm3(B80,C80,[1]!encode_PVT(gamma_gas_,gamma_oil_,gamma_wat_,Rsb_,Pb_,Tres_,Bob_,muob_))</f>
        <v>818.66062167581367</v>
      </c>
      <c r="L80" s="20">
        <f>[1]!PVT_bg_m3m3(B80,C80,[1]!encode_PVT(gamma_gas_,gamma_oil_,gamma_wat_,Rsb_,Pb_,Tres_,Bob_,muob_))</f>
        <v>7.0877518270945081E-3</v>
      </c>
      <c r="M80" s="20">
        <f>[1]!PVT_bw_m3m3(B80,C80,[1]!encode_PVT(gamma_gas_,gamma_oil_,gamma_wat_,Rsb_,Pb_,Tres_,Bob_,muob_))</f>
        <v>1.0128801187149363</v>
      </c>
      <c r="N80" s="15">
        <f>[1]!PVT_ST_liqgas_Nm(B80,C80,[1]!encode_PVT(gamma_gas_,gamma_oil_,gamma_wat_,Rsb_,Pb_,Tres_,Bob_,muob_))</f>
        <v>5.8480104272548641E-2</v>
      </c>
      <c r="O80" s="15">
        <f>[1]!PVT_ST_oilgas_Nm(B80,C80,[1]!encode_PVT(gamma_gas_,gamma_oil_,gamma_wat_,Rsb_,Pb_,Tres_,Bob_,muob_))</f>
        <v>5.8480104272548641E-2</v>
      </c>
      <c r="P80" s="20">
        <f>[1]!PVT_ST_watgas_Nm(B80,C80,[1]!encode_PVT(gamma_gas_,gamma_oil_,gamma_wat_,Rsb_,Pb_,Tres_,Bob_,muob_))</f>
        <v>6.3076487347313664E-2</v>
      </c>
      <c r="Q80" s="29">
        <f>[1]!PVT_cp_oil_JkgC(B80,C80,[1]!encode_PVT(gamma_gas_,gamma_oil_,gamma_wat_,Rsb_,Pb_,Tres_,Bob_,muob_))</f>
        <v>2427.4</v>
      </c>
      <c r="R80" s="29">
        <f>[1]!PVT_cp_gas_JkgC(B80,C80,[1]!encode_PVT(gamma_gas_,gamma_oil_,gamma_wat_,Rsb_,Pb_,Tres_,Bob_,muob_))</f>
        <v>1181.5921990827189</v>
      </c>
      <c r="S80" s="29">
        <f>[1]!PVT_cp_wat_JkgC(B80,C80,[1]!encode_PVT(gamma_gas_,gamma_oil_,gamma_wat_,Rsb_,Pb_,Tres_,Bob_,muob_))</f>
        <v>4176</v>
      </c>
      <c r="T80" s="30">
        <f>[1]!PVT_compressibility_wat_1atm(B80,C80,[1]!encode_PVT(gamma_gas_,gamma_oil_,gamma_wat_,Rsb_,Pb_,Tres_,Bob_,muob_))</f>
        <v>3.43245850200285E-5</v>
      </c>
      <c r="U80" s="30">
        <f>[1]!PVT_compressibility_oil_1atm(B80,C80,[1]!encode_PVT(gamma_gas_,gamma_oil_,gamma_wat_,Rsb_,Pb_,Tres_,Bob_,muob_))</f>
        <v>2.4793673374051885E-3</v>
      </c>
      <c r="V80" s="30">
        <f>[1]!PVT_compressibility_gas_1atm(B80,C80,[1]!encode_PVT(gamma_gas_,gamma_oil_,gamma_wat_,Rsb_,Pb_,Tres_,Bob_,muob_))</f>
        <v>1.2471721556447749E-2</v>
      </c>
    </row>
    <row r="81" spans="2:22" x14ac:dyDescent="0.2">
      <c r="B81" s="12">
        <v>100</v>
      </c>
      <c r="C81" s="12">
        <v>55</v>
      </c>
      <c r="D81" s="13">
        <f>[1]!PVT_rs_m3m3(B81,C81,[1]!encode_PVT(gamma_gas_,gamma_oil_,gamma_wat_,Rsb_,Pb_,Tres_,Bob_,muob_))</f>
        <v>55.851379320173208</v>
      </c>
      <c r="E81" s="14">
        <f>[1]!PVT_bo_m3m3(B81,C81,PVT_str_)</f>
        <v>1.2354480195097308</v>
      </c>
      <c r="F81" s="46">
        <f>[1]!PVT_mu_oil_cP(B81,C81,[1]!encode_PVT(gamma_gas_,gamma_oil_,gamma_wat_,Rsb_,Pb_,Tres_,Bob_,muob_))</f>
        <v>2.6746267629313349</v>
      </c>
      <c r="G81" s="15">
        <f>[1]!PVT_mu_gas_cP(B81,C81,[1]!encode_PVT(gamma_gas_,gamma_oil_,gamma_wat_,Rsb_,Pb_,Tres_,Bob_,muob_))</f>
        <v>1.7619497322027347E-2</v>
      </c>
      <c r="H81" s="14">
        <f>[1]!PVT_mu_wat_cP(B81,C81,[1]!encode_PVT(gamma_gas_,gamma_oil_,gamma_wat_,Rsb_,Pb_,Tres_,Bob_,muob_))</f>
        <v>0.70303653518157661</v>
      </c>
      <c r="I81" s="46">
        <f>[1]!PVT_rho_gas_kgm3(B81,C81,[1]!encode_PVT(gamma_gas_,gamma_oil_,gamma_wat_,Rsb_,Pb_,Tres_,Bob_,muob_))</f>
        <v>148.35365348422445</v>
      </c>
      <c r="J81" s="46">
        <f>[1]!PVT_rho_wat_kgm3(B81,C81,[1]!encode_PVT(gamma_gas_,gamma_oil_,gamma_wat_,Rsb_,Pb_,Tres_,Bob_,muob_))</f>
        <v>1083.4285247983205</v>
      </c>
      <c r="K81" s="46">
        <f>[1]!PVT_rho_oil_kgm3(B81,C81,[1]!encode_PVT(gamma_gas_,gamma_oil_,gamma_wat_,Rsb_,Pb_,Tres_,Bob_,muob_))</f>
        <v>816.04341472459078</v>
      </c>
      <c r="L81" s="20">
        <f>[1]!PVT_bg_m3m3(B81,C81,[1]!encode_PVT(gamma_gas_,gamma_oil_,gamma_wat_,Rsb_,Pb_,Tres_,Bob_,muob_))</f>
        <v>7.4115464916199129E-3</v>
      </c>
      <c r="M81" s="20">
        <f>[1]!PVT_bw_m3m3(B81,C81,[1]!encode_PVT(gamma_gas_,gamma_oil_,gamma_wat_,Rsb_,Pb_,Tres_,Bob_,muob_))</f>
        <v>1.0152954023476208</v>
      </c>
      <c r="N81" s="15">
        <f>[1]!PVT_ST_liqgas_Nm(B81,C81,[1]!encode_PVT(gamma_gas_,gamma_oil_,gamma_wat_,Rsb_,Pb_,Tres_,Bob_,muob_))</f>
        <v>5.8480104272548641E-2</v>
      </c>
      <c r="O81" s="15">
        <f>[1]!PVT_ST_oilgas_Nm(B81,C81,[1]!encode_PVT(gamma_gas_,gamma_oil_,gamma_wat_,Rsb_,Pb_,Tres_,Bob_,muob_))</f>
        <v>5.8480104272548641E-2</v>
      </c>
      <c r="P81" s="20">
        <f>[1]!PVT_ST_watgas_Nm(B81,C81,[1]!encode_PVT(gamma_gas_,gamma_oil_,gamma_wat_,Rsb_,Pb_,Tres_,Bob_,muob_))</f>
        <v>6.3076487347313664E-2</v>
      </c>
      <c r="Q81" s="29">
        <f>[1]!PVT_cp_oil_JkgC(B81,C81,[1]!encode_PVT(gamma_gas_,gamma_oil_,gamma_wat_,Rsb_,Pb_,Tres_,Bob_,muob_))</f>
        <v>2449.75</v>
      </c>
      <c r="R81" s="29">
        <f>[1]!PVT_cp_gas_JkgC(B81,C81,[1]!encode_PVT(gamma_gas_,gamma_oil_,gamma_wat_,Rsb_,Pb_,Tres_,Bob_,muob_))</f>
        <v>1225.6703244594989</v>
      </c>
      <c r="S81" s="29">
        <f>[1]!PVT_cp_wat_JkgC(B81,C81,[1]!encode_PVT(gamma_gas_,gamma_oil_,gamma_wat_,Rsb_,Pb_,Tres_,Bob_,muob_))</f>
        <v>4176</v>
      </c>
      <c r="T81" s="30">
        <f>[1]!PVT_compressibility_wat_1atm(B81,C81,[1]!encode_PVT(gamma_gas_,gamma_oil_,gamma_wat_,Rsb_,Pb_,Tres_,Bob_,muob_))</f>
        <v>3.4721717584072053E-5</v>
      </c>
      <c r="U81" s="30">
        <f>[1]!PVT_compressibility_oil_1atm(B81,C81,[1]!encode_PVT(gamma_gas_,gamma_oil_,gamma_wat_,Rsb_,Pb_,Tres_,Bob_,muob_))</f>
        <v>2.601600278920852E-3</v>
      </c>
      <c r="V81" s="30">
        <f>[1]!PVT_compressibility_gas_1atm(B81,C81,[1]!encode_PVT(gamma_gas_,gamma_oil_,gamma_wat_,Rsb_,Pb_,Tres_,Bob_,muob_))</f>
        <v>1.2410674355708919E-2</v>
      </c>
    </row>
    <row r="82" spans="2:22" x14ac:dyDescent="0.2">
      <c r="B82" s="12">
        <v>100</v>
      </c>
      <c r="C82" s="12">
        <v>60</v>
      </c>
      <c r="D82" s="13">
        <f>[1]!PVT_rs_m3m3(B82,C82,[1]!encode_PVT(gamma_gas_,gamma_oil_,gamma_wat_,Rsb_,Pb_,Tres_,Bob_,muob_))</f>
        <v>54.589980985329092</v>
      </c>
      <c r="E82" s="14">
        <f>[1]!PVT_bo_m3m3(B82,C82,PVT_str_)</f>
        <v>1.2370683742798521</v>
      </c>
      <c r="F82" s="46">
        <f>[1]!PVT_mu_oil_cP(B82,C82,[1]!encode_PVT(gamma_gas_,gamma_oil_,gamma_wat_,Rsb_,Pb_,Tres_,Bob_,muob_))</f>
        <v>2.3566616524454256</v>
      </c>
      <c r="G82" s="15">
        <f>[1]!PVT_mu_gas_cP(B82,C82,[1]!encode_PVT(gamma_gas_,gamma_oil_,gamma_wat_,Rsb_,Pb_,Tres_,Bob_,muob_))</f>
        <v>1.7330886371796111E-2</v>
      </c>
      <c r="H82" s="14">
        <f>[1]!PVT_mu_wat_cP(B82,C82,[1]!encode_PVT(gamma_gas_,gamma_oil_,gamma_wat_,Rsb_,Pb_,Tres_,Bob_,muob_))</f>
        <v>0.65881746332317026</v>
      </c>
      <c r="I82" s="46">
        <f>[1]!PVT_rho_gas_kgm3(B82,C82,[1]!encode_PVT(gamma_gas_,gamma_oil_,gamma_wat_,Rsb_,Pb_,Tres_,Bob_,muob_))</f>
        <v>142.23194416616252</v>
      </c>
      <c r="J82" s="46">
        <f>[1]!PVT_rho_wat_kgm3(B82,C82,[1]!encode_PVT(gamma_gas_,gamma_oil_,gamma_wat_,Rsb_,Pb_,Tres_,Bob_,muob_))</f>
        <v>1080.7628342063676</v>
      </c>
      <c r="K82" s="46">
        <f>[1]!PVT_rho_oil_kgm3(B82,C82,[1]!encode_PVT(gamma_gas_,gamma_oil_,gamma_wat_,Rsb_,Pb_,Tres_,Bob_,muob_))</f>
        <v>813.40290949747794</v>
      </c>
      <c r="L82" s="20">
        <f>[1]!PVT_bg_m3m3(B82,C82,[1]!encode_PVT(gamma_gas_,gamma_oil_,gamma_wat_,Rsb_,Pb_,Tres_,Bob_,muob_))</f>
        <v>7.7305418726152939E-3</v>
      </c>
      <c r="M82" s="20">
        <f>[1]!PVT_bw_m3m3(B82,C82,[1]!encode_PVT(gamma_gas_,gamma_oil_,gamma_wat_,Rsb_,Pb_,Tres_,Bob_,muob_))</f>
        <v>1.017799618181503</v>
      </c>
      <c r="N82" s="15">
        <f>[1]!PVT_ST_liqgas_Nm(B82,C82,[1]!encode_PVT(gamma_gas_,gamma_oil_,gamma_wat_,Rsb_,Pb_,Tres_,Bob_,muob_))</f>
        <v>5.8480104272548641E-2</v>
      </c>
      <c r="O82" s="15">
        <f>[1]!PVT_ST_oilgas_Nm(B82,C82,[1]!encode_PVT(gamma_gas_,gamma_oil_,gamma_wat_,Rsb_,Pb_,Tres_,Bob_,muob_))</f>
        <v>5.8480104272548641E-2</v>
      </c>
      <c r="P82" s="20">
        <f>[1]!PVT_ST_watgas_Nm(B82,C82,[1]!encode_PVT(gamma_gas_,gamma_oil_,gamma_wat_,Rsb_,Pb_,Tres_,Bob_,muob_))</f>
        <v>6.3076487347313664E-2</v>
      </c>
      <c r="Q82" s="29">
        <f>[1]!PVT_cp_oil_JkgC(B82,C82,[1]!encode_PVT(gamma_gas_,gamma_oil_,gamma_wat_,Rsb_,Pb_,Tres_,Bob_,muob_))</f>
        <v>2472.1000000000004</v>
      </c>
      <c r="R82" s="29">
        <f>[1]!PVT_cp_gas_JkgC(B82,C82,[1]!encode_PVT(gamma_gas_,gamma_oil_,gamma_wat_,Rsb_,Pb_,Tres_,Bob_,muob_))</f>
        <v>1268.5705252077025</v>
      </c>
      <c r="S82" s="29">
        <f>[1]!PVT_cp_wat_JkgC(B82,C82,[1]!encode_PVT(gamma_gas_,gamma_oil_,gamma_wat_,Rsb_,Pb_,Tres_,Bob_,muob_))</f>
        <v>4176</v>
      </c>
      <c r="T82" s="30">
        <f>[1]!PVT_compressibility_wat_1atm(B82,C82,[1]!encode_PVT(gamma_gas_,gamma_oil_,gamma_wat_,Rsb_,Pb_,Tres_,Bob_,muob_))</f>
        <v>3.51281472961186E-5</v>
      </c>
      <c r="U82" s="30">
        <f>[1]!PVT_compressibility_oil_1atm(B82,C82,[1]!encode_PVT(gamma_gas_,gamma_oil_,gamma_wat_,Rsb_,Pb_,Tres_,Bob_,muob_))</f>
        <v>2.7134972319928321E-3</v>
      </c>
      <c r="V82" s="30">
        <f>[1]!PVT_compressibility_gas_1atm(B82,C82,[1]!encode_PVT(gamma_gas_,gamma_oil_,gamma_wat_,Rsb_,Pb_,Tres_,Bob_,muob_))</f>
        <v>1.2339054807150069E-2</v>
      </c>
    </row>
    <row r="83" spans="2:22" x14ac:dyDescent="0.2">
      <c r="B83" s="12">
        <v>100</v>
      </c>
      <c r="C83" s="12">
        <v>65</v>
      </c>
      <c r="D83" s="13">
        <f>[1]!PVT_rs_m3m3(B83,C83,[1]!encode_PVT(gamma_gas_,gamma_oil_,gamma_wat_,Rsb_,Pb_,Tres_,Bob_,muob_))</f>
        <v>53.357071217437394</v>
      </c>
      <c r="E83" s="14">
        <f>[1]!PVT_bo_m3m3(B83,C83,PVT_str_)</f>
        <v>1.2387762982021189</v>
      </c>
      <c r="F83" s="46">
        <f>[1]!PVT_mu_oil_cP(B83,C83,[1]!encode_PVT(gamma_gas_,gamma_oil_,gamma_wat_,Rsb_,Pb_,Tres_,Bob_,muob_))</f>
        <v>2.1079785628620287</v>
      </c>
      <c r="G83" s="15">
        <f>[1]!PVT_mu_gas_cP(B83,C83,[1]!encode_PVT(gamma_gas_,gamma_oil_,gamma_wat_,Rsb_,Pb_,Tres_,Bob_,muob_))</f>
        <v>1.7099670249355835E-2</v>
      </c>
      <c r="H83" s="14">
        <f>[1]!PVT_mu_wat_cP(B83,C83,[1]!encode_PVT(gamma_gas_,gamma_oil_,gamma_wat_,Rsb_,Pb_,Tres_,Bob_,muob_))</f>
        <v>0.61989484507193982</v>
      </c>
      <c r="I83" s="46">
        <f>[1]!PVT_rho_gas_kgm3(B83,C83,[1]!encode_PVT(gamma_gas_,gamma_oil_,gamma_wat_,Rsb_,Pb_,Tres_,Bob_,muob_))</f>
        <v>136.6797625717783</v>
      </c>
      <c r="J83" s="46">
        <f>[1]!PVT_rho_wat_kgm3(B83,C83,[1]!encode_PVT(gamma_gas_,gamma_oil_,gamma_wat_,Rsb_,Pb_,Tres_,Bob_,muob_))</f>
        <v>1078.0162745568332</v>
      </c>
      <c r="K83" s="46">
        <f>[1]!PVT_rho_oil_kgm3(B83,C83,[1]!encode_PVT(gamma_gas_,gamma_oil_,gamma_wat_,Rsb_,Pb_,Tres_,Bob_,muob_))</f>
        <v>810.7402442129096</v>
      </c>
      <c r="L83" s="20">
        <f>[1]!PVT_bg_m3m3(B83,C83,[1]!encode_PVT(gamma_gas_,gamma_oil_,gamma_wat_,Rsb_,Pb_,Tres_,Bob_,muob_))</f>
        <v>8.0445706029272212E-3</v>
      </c>
      <c r="M83" s="20">
        <f>[1]!PVT_bw_m3m3(B83,C83,[1]!encode_PVT(gamma_gas_,gamma_oil_,gamma_wat_,Rsb_,Pb_,Tres_,Bob_,muob_))</f>
        <v>1.0203927584045096</v>
      </c>
      <c r="N83" s="15">
        <f>[1]!PVT_ST_liqgas_Nm(B83,C83,[1]!encode_PVT(gamma_gas_,gamma_oil_,gamma_wat_,Rsb_,Pb_,Tres_,Bob_,muob_))</f>
        <v>5.8480104272548641E-2</v>
      </c>
      <c r="O83" s="15">
        <f>[1]!PVT_ST_oilgas_Nm(B83,C83,[1]!encode_PVT(gamma_gas_,gamma_oil_,gamma_wat_,Rsb_,Pb_,Tres_,Bob_,muob_))</f>
        <v>5.8480104272548641E-2</v>
      </c>
      <c r="P83" s="20">
        <f>[1]!PVT_ST_watgas_Nm(B83,C83,[1]!encode_PVT(gamma_gas_,gamma_oil_,gamma_wat_,Rsb_,Pb_,Tres_,Bob_,muob_))</f>
        <v>6.3076487347313664E-2</v>
      </c>
      <c r="Q83" s="29">
        <f>[1]!PVT_cp_oil_JkgC(B83,C83,[1]!encode_PVT(gamma_gas_,gamma_oil_,gamma_wat_,Rsb_,Pb_,Tres_,Bob_,muob_))</f>
        <v>2494.4500000000003</v>
      </c>
      <c r="R83" s="29">
        <f>[1]!PVT_cp_gas_JkgC(B83,C83,[1]!encode_PVT(gamma_gas_,gamma_oil_,gamma_wat_,Rsb_,Pb_,Tres_,Bob_,muob_))</f>
        <v>1310.3252814476407</v>
      </c>
      <c r="S83" s="29">
        <f>[1]!PVT_cp_wat_JkgC(B83,C83,[1]!encode_PVT(gamma_gas_,gamma_oil_,gamma_wat_,Rsb_,Pb_,Tres_,Bob_,muob_))</f>
        <v>4176</v>
      </c>
      <c r="T83" s="30">
        <f>[1]!PVT_compressibility_wat_1atm(B83,C83,[1]!encode_PVT(gamma_gas_,gamma_oil_,gamma_wat_,Rsb_,Pb_,Tres_,Bob_,muob_))</f>
        <v>3.5544204501977835E-5</v>
      </c>
      <c r="U83" s="30">
        <f>[1]!PVT_compressibility_oil_1atm(B83,C83,[1]!encode_PVT(gamma_gas_,gamma_oil_,gamma_wat_,Rsb_,Pb_,Tres_,Bob_,muob_))</f>
        <v>2.8154415545823849E-3</v>
      </c>
      <c r="V83" s="30">
        <f>[1]!PVT_compressibility_gas_1atm(B83,C83,[1]!encode_PVT(gamma_gas_,gamma_oil_,gamma_wat_,Rsb_,Pb_,Tres_,Bob_,muob_))</f>
        <v>1.2259760803761567E-2</v>
      </c>
    </row>
    <row r="84" spans="2:22" x14ac:dyDescent="0.2">
      <c r="B84" s="12">
        <v>100</v>
      </c>
      <c r="C84" s="12">
        <v>70</v>
      </c>
      <c r="D84" s="13">
        <f>[1]!PVT_rs_m3m3(B84,C84,[1]!encode_PVT(gamma_gas_,gamma_oil_,gamma_wat_,Rsb_,Pb_,Tres_,Bob_,muob_))</f>
        <v>52.152006604798096</v>
      </c>
      <c r="E84" s="14">
        <f>[1]!PVT_bo_m3m3(B84,C84,PVT_str_)</f>
        <v>1.2405745549844414</v>
      </c>
      <c r="F84" s="46">
        <f>[1]!PVT_mu_oil_cP(B84,C84,[1]!encode_PVT(gamma_gas_,gamma_oil_,gamma_wat_,Rsb_,Pb_,Tres_,Bob_,muob_))</f>
        <v>1.9088985420024489</v>
      </c>
      <c r="G84" s="15">
        <f>[1]!PVT_mu_gas_cP(B84,C84,[1]!encode_PVT(gamma_gas_,gamma_oil_,gamma_wat_,Rsb_,Pb_,Tres_,Bob_,muob_))</f>
        <v>1.6916064316377571E-2</v>
      </c>
      <c r="H84" s="14">
        <f>[1]!PVT_mu_wat_cP(B84,C84,[1]!encode_PVT(gamma_gas_,gamma_oil_,gamma_wat_,Rsb_,Pb_,Tres_,Bob_,muob_))</f>
        <v>0.58536749520170428</v>
      </c>
      <c r="I84" s="46">
        <f>[1]!PVT_rho_gas_kgm3(B84,C84,[1]!encode_PVT(gamma_gas_,gamma_oil_,gamma_wat_,Rsb_,Pb_,Tres_,Bob_,muob_))</f>
        <v>131.62447647065545</v>
      </c>
      <c r="J84" s="46">
        <f>[1]!PVT_rho_wat_kgm3(B84,C84,[1]!encode_PVT(gamma_gas_,gamma_oil_,gamma_wat_,Rsb_,Pb_,Tres_,Bob_,muob_))</f>
        <v>1075.1901851674941</v>
      </c>
      <c r="K84" s="46">
        <f>[1]!PVT_rho_oil_kgm3(B84,C84,[1]!encode_PVT(gamma_gas_,gamma_oil_,gamma_wat_,Rsb_,Pb_,Tres_,Bob_,muob_))</f>
        <v>808.05653106802401</v>
      </c>
      <c r="L84" s="20">
        <f>[1]!PVT_bg_m3m3(B84,C84,[1]!encode_PVT(gamma_gas_,gamma_oil_,gamma_wat_,Rsb_,Pb_,Tres_,Bob_,muob_))</f>
        <v>8.3535374991225951E-3</v>
      </c>
      <c r="M84" s="20">
        <f>[1]!PVT_bw_m3m3(B84,C84,[1]!encode_PVT(gamma_gas_,gamma_oil_,gamma_wat_,Rsb_,Pb_,Tres_,Bob_,muob_))</f>
        <v>1.0230748152045688</v>
      </c>
      <c r="N84" s="15">
        <f>[1]!PVT_ST_liqgas_Nm(B84,C84,[1]!encode_PVT(gamma_gas_,gamma_oil_,gamma_wat_,Rsb_,Pb_,Tres_,Bob_,muob_))</f>
        <v>5.8480104272548641E-2</v>
      </c>
      <c r="O84" s="15">
        <f>[1]!PVT_ST_oilgas_Nm(B84,C84,[1]!encode_PVT(gamma_gas_,gamma_oil_,gamma_wat_,Rsb_,Pb_,Tres_,Bob_,muob_))</f>
        <v>5.8480104272548641E-2</v>
      </c>
      <c r="P84" s="20">
        <f>[1]!PVT_ST_watgas_Nm(B84,C84,[1]!encode_PVT(gamma_gas_,gamma_oil_,gamma_wat_,Rsb_,Pb_,Tres_,Bob_,muob_))</f>
        <v>6.3076487347313664E-2</v>
      </c>
      <c r="Q84" s="29">
        <f>[1]!PVT_cp_oil_JkgC(B84,C84,[1]!encode_PVT(gamma_gas_,gamma_oil_,gamma_wat_,Rsb_,Pb_,Tres_,Bob_,muob_))</f>
        <v>2516.8000000000002</v>
      </c>
      <c r="R84" s="29">
        <f>[1]!PVT_cp_gas_JkgC(B84,C84,[1]!encode_PVT(gamma_gas_,gamma_oil_,gamma_wat_,Rsb_,Pb_,Tres_,Bob_,muob_))</f>
        <v>1350.9763073777533</v>
      </c>
      <c r="S84" s="29">
        <f>[1]!PVT_cp_wat_JkgC(B84,C84,[1]!encode_PVT(gamma_gas_,gamma_oil_,gamma_wat_,Rsb_,Pb_,Tres_,Bob_,muob_))</f>
        <v>4176</v>
      </c>
      <c r="T84" s="30">
        <f>[1]!PVT_compressibility_wat_1atm(B84,C84,[1]!encode_PVT(gamma_gas_,gamma_oil_,gamma_wat_,Rsb_,Pb_,Tres_,Bob_,muob_))</f>
        <v>3.5970235385486394E-5</v>
      </c>
      <c r="U84" s="30">
        <f>[1]!PVT_compressibility_oil_1atm(B84,C84,[1]!encode_PVT(gamma_gas_,gamma_oil_,gamma_wat_,Rsb_,Pb_,Tres_,Bob_,muob_))</f>
        <v>2.9078484514560147E-3</v>
      </c>
      <c r="V84" s="30">
        <f>[1]!PVT_compressibility_gas_1atm(B84,C84,[1]!encode_PVT(gamma_gas_,gamma_oil_,gamma_wat_,Rsb_,Pb_,Tres_,Bob_,muob_))</f>
        <v>1.2175159924771826E-2</v>
      </c>
    </row>
    <row r="85" spans="2:22" x14ac:dyDescent="0.2">
      <c r="B85" s="12">
        <v>100</v>
      </c>
      <c r="C85" s="12">
        <v>75</v>
      </c>
      <c r="D85" s="13">
        <f>[1]!PVT_rs_m3m3(B85,C85,[1]!encode_PVT(gamma_gas_,gamma_oil_,gamma_wat_,Rsb_,Pb_,Tres_,Bob_,muob_))</f>
        <v>50.974158267106091</v>
      </c>
      <c r="E85" s="14">
        <f>[1]!PVT_bo_m3m3(B85,C85,PVT_str_)</f>
        <v>1.2424651502684256</v>
      </c>
      <c r="F85" s="46">
        <f>[1]!PVT_mu_oil_cP(B85,C85,[1]!encode_PVT(gamma_gas_,gamma_oil_,gamma_wat_,Rsb_,Pb_,Tres_,Bob_,muob_))</f>
        <v>1.7463502904893278</v>
      </c>
      <c r="G85" s="15">
        <f>[1]!PVT_mu_gas_cP(B85,C85,[1]!encode_PVT(gamma_gas_,gamma_oil_,gamma_wat_,Rsb_,Pb_,Tres_,Bob_,muob_))</f>
        <v>1.6772288182805652E-2</v>
      </c>
      <c r="H85" s="14">
        <f>[1]!PVT_mu_wat_cP(B85,C85,[1]!encode_PVT(gamma_gas_,gamma_oil_,gamma_wat_,Rsb_,Pb_,Tres_,Bob_,muob_))</f>
        <v>0.55452804430628244</v>
      </c>
      <c r="I85" s="46">
        <f>[1]!PVT_rho_gas_kgm3(B85,C85,[1]!encode_PVT(gamma_gas_,gamma_oil_,gamma_wat_,Rsb_,Pb_,Tres_,Bob_,muob_))</f>
        <v>127.00452181394776</v>
      </c>
      <c r="J85" s="46">
        <f>[1]!PVT_rho_wat_kgm3(B85,C85,[1]!encode_PVT(gamma_gas_,gamma_oil_,gamma_wat_,Rsb_,Pb_,Tres_,Bob_,muob_))</f>
        <v>1072.2859328570426</v>
      </c>
      <c r="K85" s="46">
        <f>[1]!PVT_rho_oil_kgm3(B85,C85,[1]!encode_PVT(gamma_gas_,gamma_oil_,gamma_wat_,Rsb_,Pb_,Tres_,Bob_,muob_))</f>
        <v>805.35285681093444</v>
      </c>
      <c r="L85" s="20">
        <f>[1]!PVT_bg_m3m3(B85,C85,[1]!encode_PVT(gamma_gas_,gamma_oil_,gamma_wat_,Rsb_,Pb_,Tres_,Bob_,muob_))</f>
        <v>8.6574082898460119E-3</v>
      </c>
      <c r="M85" s="20">
        <f>[1]!PVT_bw_m3m3(B85,C85,[1]!encode_PVT(gamma_gas_,gamma_oil_,gamma_wat_,Rsb_,Pb_,Tres_,Bob_,muob_))</f>
        <v>1.0258457807696078</v>
      </c>
      <c r="N85" s="15">
        <f>[1]!PVT_ST_liqgas_Nm(B85,C85,[1]!encode_PVT(gamma_gas_,gamma_oil_,gamma_wat_,Rsb_,Pb_,Tres_,Bob_,muob_))</f>
        <v>5.8480104272548641E-2</v>
      </c>
      <c r="O85" s="15">
        <f>[1]!PVT_ST_oilgas_Nm(B85,C85,[1]!encode_PVT(gamma_gas_,gamma_oil_,gamma_wat_,Rsb_,Pb_,Tres_,Bob_,muob_))</f>
        <v>5.8480104272548641E-2</v>
      </c>
      <c r="P85" s="20">
        <f>[1]!PVT_ST_watgas_Nm(B85,C85,[1]!encode_PVT(gamma_gas_,gamma_oil_,gamma_wat_,Rsb_,Pb_,Tres_,Bob_,muob_))</f>
        <v>6.3076487347313664E-2</v>
      </c>
      <c r="Q85" s="29">
        <f>[1]!PVT_cp_oil_JkgC(B85,C85,[1]!encode_PVT(gamma_gas_,gamma_oil_,gamma_wat_,Rsb_,Pb_,Tres_,Bob_,muob_))</f>
        <v>2539.15</v>
      </c>
      <c r="R85" s="29">
        <f>[1]!PVT_cp_gas_JkgC(B85,C85,[1]!encode_PVT(gamma_gas_,gamma_oil_,gamma_wat_,Rsb_,Pb_,Tres_,Bob_,muob_))</f>
        <v>1390.5724933022948</v>
      </c>
      <c r="S85" s="29">
        <f>[1]!PVT_cp_wat_JkgC(B85,C85,[1]!encode_PVT(gamma_gas_,gamma_oil_,gamma_wat_,Rsb_,Pb_,Tres_,Bob_,muob_))</f>
        <v>4176</v>
      </c>
      <c r="T85" s="30">
        <f>[1]!PVT_compressibility_wat_1atm(B85,C85,[1]!encode_PVT(gamma_gas_,gamma_oil_,gamma_wat_,Rsb_,Pb_,Tres_,Bob_,muob_))</f>
        <v>3.6406602929191183E-5</v>
      </c>
      <c r="U85" s="30">
        <f>[1]!PVT_compressibility_oil_1atm(B85,C85,[1]!encode_PVT(gamma_gas_,gamma_oil_,gamma_wat_,Rsb_,Pb_,Tres_,Bob_,muob_))</f>
        <v>2.9911542111353768E-3</v>
      </c>
      <c r="V85" s="30">
        <f>[1]!PVT_compressibility_gas_1atm(B85,C85,[1]!encode_PVT(gamma_gas_,gamma_oil_,gamma_wat_,Rsb_,Pb_,Tres_,Bob_,muob_))</f>
        <v>1.2087177618637916E-2</v>
      </c>
    </row>
    <row r="86" spans="2:22" x14ac:dyDescent="0.2">
      <c r="B86" s="12">
        <v>100</v>
      </c>
      <c r="C86" s="12">
        <v>80</v>
      </c>
      <c r="D86" s="13">
        <f>[1]!PVT_rs_m3m3(B86,C86,[1]!encode_PVT(gamma_gas_,gamma_oil_,gamma_wat_,Rsb_,Pb_,Tres_,Bob_,muob_))</f>
        <v>49.822911527260871</v>
      </c>
      <c r="E86" s="14">
        <f>[1]!PVT_bo_m3m3(B86,C86,PVT_str_)</f>
        <v>1.2444494388296186</v>
      </c>
      <c r="F86" s="46">
        <f>[1]!PVT_mu_oil_cP(B86,C86,[1]!encode_PVT(gamma_gas_,gamma_oil_,gamma_wat_,Rsb_,Pb_,Tres_,Bob_,muob_))</f>
        <v>1.6113665266728412</v>
      </c>
      <c r="G86" s="15">
        <f>[1]!PVT_mu_gas_cP(B86,C86,[1]!encode_PVT(gamma_gas_,gamma_oil_,gamma_wat_,Rsb_,Pb_,Tres_,Bob_,muob_))</f>
        <v>1.6662090323001578E-2</v>
      </c>
      <c r="H86" s="14">
        <f>[1]!PVT_mu_wat_cP(B86,C86,[1]!encode_PVT(gamma_gas_,gamma_oil_,gamma_wat_,Rsb_,Pb_,Tres_,Bob_,muob_))</f>
        <v>0.52681344327743551</v>
      </c>
      <c r="I86" s="46">
        <f>[1]!PVT_rho_gas_kgm3(B86,C86,[1]!encode_PVT(gamma_gas_,gamma_oil_,gamma_wat_,Rsb_,Pb_,Tres_,Bob_,muob_))</f>
        <v>122.76747706167906</v>
      </c>
      <c r="J86" s="46">
        <f>[1]!PVT_rho_wat_kgm3(B86,C86,[1]!encode_PVT(gamma_gas_,gamma_oil_,gamma_wat_,Rsb_,Pb_,Tres_,Bob_,muob_))</f>
        <v>1069.30491039923</v>
      </c>
      <c r="K86" s="46">
        <f>[1]!PVT_rho_oil_kgm3(B86,C86,[1]!encode_PVT(gamma_gas_,gamma_oil_,gamma_wat_,Rsb_,Pb_,Tres_,Bob_,muob_))</f>
        <v>802.63028328231849</v>
      </c>
      <c r="L86" s="20">
        <f>[1]!PVT_bg_m3m3(B86,C86,[1]!encode_PVT(gamma_gas_,gamma_oil_,gamma_wat_,Rsb_,Pb_,Tres_,Bob_,muob_))</f>
        <v>8.9561993641653972E-3</v>
      </c>
      <c r="M86" s="20">
        <f>[1]!PVT_bw_m3m3(B86,C86,[1]!encode_PVT(gamma_gas_,gamma_oil_,gamma_wat_,Rsb_,Pb_,Tres_,Bob_,muob_))</f>
        <v>1.0287056472875542</v>
      </c>
      <c r="N86" s="15">
        <f>[1]!PVT_ST_liqgas_Nm(B86,C86,[1]!encode_PVT(gamma_gas_,gamma_oil_,gamma_wat_,Rsb_,Pb_,Tres_,Bob_,muob_))</f>
        <v>5.8480104272548641E-2</v>
      </c>
      <c r="O86" s="15">
        <f>[1]!PVT_ST_oilgas_Nm(B86,C86,[1]!encode_PVT(gamma_gas_,gamma_oil_,gamma_wat_,Rsb_,Pb_,Tres_,Bob_,muob_))</f>
        <v>5.8480104272548641E-2</v>
      </c>
      <c r="P86" s="20">
        <f>[1]!PVT_ST_watgas_Nm(B86,C86,[1]!encode_PVT(gamma_gas_,gamma_oil_,gamma_wat_,Rsb_,Pb_,Tres_,Bob_,muob_))</f>
        <v>6.3076487347313664E-2</v>
      </c>
      <c r="Q86" s="29">
        <f>[1]!PVT_cp_oil_JkgC(B86,C86,[1]!encode_PVT(gamma_gas_,gamma_oil_,gamma_wat_,Rsb_,Pb_,Tres_,Bob_,muob_))</f>
        <v>2561.5</v>
      </c>
      <c r="R86" s="29">
        <f>[1]!PVT_cp_gas_JkgC(B86,C86,[1]!encode_PVT(gamma_gas_,gamma_oil_,gamma_wat_,Rsb_,Pb_,Tres_,Bob_,muob_))</f>
        <v>1429.1681252534001</v>
      </c>
      <c r="S86" s="29">
        <f>[1]!PVT_cp_wat_JkgC(B86,C86,[1]!encode_PVT(gamma_gas_,gamma_oil_,gamma_wat_,Rsb_,Pb_,Tres_,Bob_,muob_))</f>
        <v>4176</v>
      </c>
      <c r="T86" s="30">
        <f>[1]!PVT_compressibility_wat_1atm(B86,C86,[1]!encode_PVT(gamma_gas_,gamma_oil_,gamma_wat_,Rsb_,Pb_,Tres_,Bob_,muob_))</f>
        <v>3.6853687945817684E-5</v>
      </c>
      <c r="U86" s="30">
        <f>[1]!PVT_compressibility_oil_1atm(B86,C86,[1]!encode_PVT(gamma_gas_,gamma_oil_,gamma_wat_,Rsb_,Pb_,Tres_,Bob_,muob_))</f>
        <v>3.0658071558473431E-3</v>
      </c>
      <c r="V86" s="30">
        <f>[1]!PVT_compressibility_gas_1atm(B86,C86,[1]!encode_PVT(gamma_gas_,gamma_oil_,gamma_wat_,Rsb_,Pb_,Tres_,Bob_,muob_))</f>
        <v>1.1997369744629205E-2</v>
      </c>
    </row>
    <row r="87" spans="2:22" x14ac:dyDescent="0.2">
      <c r="B87" s="12">
        <v>100</v>
      </c>
      <c r="C87" s="12">
        <v>85</v>
      </c>
      <c r="D87" s="13">
        <f>[1]!PVT_rs_m3m3(B87,C87,[1]!encode_PVT(gamma_gas_,gamma_oil_,gamma_wat_,Rsb_,Pb_,Tres_,Bob_,muob_))</f>
        <v>48.6976655905885</v>
      </c>
      <c r="E87" s="14">
        <f>[1]!PVT_bo_m3m3(B87,C87,PVT_str_)</f>
        <v>1.2465282025743014</v>
      </c>
      <c r="F87" s="46">
        <f>[1]!PVT_mu_oil_cP(B87,C87,[1]!encode_PVT(gamma_gas_,gamma_oil_,gamma_wat_,Rsb_,Pb_,Tres_,Bob_,muob_))</f>
        <v>1.4976214355103918</v>
      </c>
      <c r="G87" s="15">
        <f>[1]!PVT_mu_gas_cP(B87,C87,[1]!encode_PVT(gamma_gas_,gamma_oil_,gamma_wat_,Rsb_,Pb_,Tres_,Bob_,muob_))</f>
        <v>1.6580399612709643E-2</v>
      </c>
      <c r="H87" s="14">
        <f>[1]!PVT_mu_wat_cP(B87,C87,[1]!encode_PVT(gamma_gas_,gamma_oil_,gamma_wat_,Rsb_,Pb_,Tres_,Bob_,muob_))</f>
        <v>0.50176990777957309</v>
      </c>
      <c r="I87" s="46">
        <f>[1]!PVT_rho_gas_kgm3(B87,C87,[1]!encode_PVT(gamma_gas_,gamma_oil_,gamma_wat_,Rsb_,Pb_,Tres_,Bob_,muob_))</f>
        <v>118.86851195677362</v>
      </c>
      <c r="J87" s="46">
        <f>[1]!PVT_rho_wat_kgm3(B87,C87,[1]!encode_PVT(gamma_gas_,gamma_oil_,gamma_wat_,Rsb_,Pb_,Tres_,Bob_,muob_))</f>
        <v>1066.2485349681835</v>
      </c>
      <c r="K87" s="46">
        <f>[1]!PVT_rho_oil_kgm3(B87,C87,[1]!encode_PVT(gamma_gas_,gamma_oil_,gamma_wat_,Rsb_,Pb_,Tres_,Bob_,muob_))</f>
        <v>799.88984792753547</v>
      </c>
      <c r="L87" s="20">
        <f>[1]!PVT_bg_m3m3(B87,C87,[1]!encode_PVT(gamma_gas_,gamma_oil_,gamma_wat_,Rsb_,Pb_,Tres_,Bob_,muob_))</f>
        <v>9.2499685736778022E-3</v>
      </c>
      <c r="M87" s="20">
        <f>[1]!PVT_bw_m3m3(B87,C87,[1]!encode_PVT(gamma_gas_,gamma_oil_,gamma_wat_,Rsb_,Pb_,Tres_,Bob_,muob_))</f>
        <v>1.0316544069463351</v>
      </c>
      <c r="N87" s="15">
        <f>[1]!PVT_ST_liqgas_Nm(B87,C87,[1]!encode_PVT(gamma_gas_,gamma_oil_,gamma_wat_,Rsb_,Pb_,Tres_,Bob_,muob_))</f>
        <v>5.8480104272548641E-2</v>
      </c>
      <c r="O87" s="15">
        <f>[1]!PVT_ST_oilgas_Nm(B87,C87,[1]!encode_PVT(gamma_gas_,gamma_oil_,gamma_wat_,Rsb_,Pb_,Tres_,Bob_,muob_))</f>
        <v>5.8480104272548641E-2</v>
      </c>
      <c r="P87" s="20">
        <f>[1]!PVT_ST_watgas_Nm(B87,C87,[1]!encode_PVT(gamma_gas_,gamma_oil_,gamma_wat_,Rsb_,Pb_,Tres_,Bob_,muob_))</f>
        <v>6.3076487347313664E-2</v>
      </c>
      <c r="Q87" s="29">
        <f>[1]!PVT_cp_oil_JkgC(B87,C87,[1]!encode_PVT(gamma_gas_,gamma_oil_,gamma_wat_,Rsb_,Pb_,Tres_,Bob_,muob_))</f>
        <v>2583.8500000000004</v>
      </c>
      <c r="R87" s="29">
        <f>[1]!PVT_cp_gas_JkgC(B87,C87,[1]!encode_PVT(gamma_gas_,gamma_oil_,gamma_wat_,Rsb_,Pb_,Tres_,Bob_,muob_))</f>
        <v>1466.8213653305124</v>
      </c>
      <c r="S87" s="29">
        <f>[1]!PVT_cp_wat_JkgC(B87,C87,[1]!encode_PVT(gamma_gas_,gamma_oil_,gamma_wat_,Rsb_,Pb_,Tres_,Bob_,muob_))</f>
        <v>4176</v>
      </c>
      <c r="T87" s="30">
        <f>[1]!PVT_compressibility_wat_1atm(B87,C87,[1]!encode_PVT(gamma_gas_,gamma_oil_,gamma_wat_,Rsb_,Pb_,Tres_,Bob_,muob_))</f>
        <v>3.7311890186683836E-5</v>
      </c>
      <c r="U87" s="30">
        <f>[1]!PVT_compressibility_oil_1atm(B87,C87,[1]!encode_PVT(gamma_gas_,gamma_oil_,gamma_wat_,Rsb_,Pb_,Tres_,Bob_,muob_))</f>
        <v>3.1322601521091547E-3</v>
      </c>
      <c r="V87" s="30">
        <f>[1]!PVT_compressibility_gas_1atm(B87,C87,[1]!encode_PVT(gamma_gas_,gamma_oil_,gamma_wat_,Rsb_,Pb_,Tres_,Bob_,muob_))</f>
        <v>1.1906983280891894E-2</v>
      </c>
    </row>
    <row r="88" spans="2:22" x14ac:dyDescent="0.2">
      <c r="B88" s="12">
        <v>100</v>
      </c>
      <c r="C88" s="12">
        <v>90</v>
      </c>
      <c r="D88" s="13">
        <f>[1]!PVT_rs_m3m3(B88,C88,[1]!encode_PVT(gamma_gas_,gamma_oil_,gamma_wat_,Rsb_,Pb_,Tres_,Bob_,muob_))</f>
        <v>47.597833231308208</v>
      </c>
      <c r="E88" s="14">
        <f>[1]!PVT_bo_m3m3(B88,C88,PVT_str_)</f>
        <v>1.2487017093991832</v>
      </c>
      <c r="F88" s="46">
        <f>[1]!PVT_mu_oil_cP(B88,C88,[1]!encode_PVT(gamma_gas_,gamma_oil_,gamma_wat_,Rsb_,Pb_,Tres_,Bob_,muob_))</f>
        <v>1.4005427751568014</v>
      </c>
      <c r="G88" s="15">
        <f>[1]!PVT_mu_gas_cP(B88,C88,[1]!encode_PVT(gamma_gas_,gamma_oil_,gamma_wat_,Rsb_,Pb_,Tres_,Bob_,muob_))</f>
        <v>1.6523066423902662E-2</v>
      </c>
      <c r="H88" s="14">
        <f>[1]!PVT_mu_wat_cP(B88,C88,[1]!encode_PVT(gamma_gas_,gamma_oil_,gamma_wat_,Rsb_,Pb_,Tres_,Bob_,muob_))</f>
        <v>0.47902761367794261</v>
      </c>
      <c r="I88" s="46">
        <f>[1]!PVT_rho_gas_kgm3(B88,C88,[1]!encode_PVT(gamma_gas_,gamma_oil_,gamma_wat_,Rsb_,Pb_,Tres_,Bob_,muob_))</f>
        <v>115.26913056625548</v>
      </c>
      <c r="J88" s="46">
        <f>[1]!PVT_rho_wat_kgm3(B88,C88,[1]!encode_PVT(gamma_gas_,gamma_oil_,gamma_wat_,Rsb_,Pb_,Tres_,Bob_,muob_))</f>
        <v>1063.118246577867</v>
      </c>
      <c r="K88" s="46">
        <f>[1]!PVT_rho_oil_kgm3(B88,C88,[1]!encode_PVT(gamma_gas_,gamma_oil_,gamma_wat_,Rsb_,Pb_,Tres_,Bob_,muob_))</f>
        <v>797.132564280682</v>
      </c>
      <c r="L88" s="20">
        <f>[1]!PVT_bg_m3m3(B88,C88,[1]!encode_PVT(gamma_gas_,gamma_oil_,gamma_wat_,Rsb_,Pb_,Tres_,Bob_,muob_))</f>
        <v>9.5388070908368813E-3</v>
      </c>
      <c r="M88" s="20">
        <f>[1]!PVT_bw_m3m3(B88,C88,[1]!encode_PVT(gamma_gas_,gamma_oil_,gamma_wat_,Rsb_,Pb_,Tres_,Bob_,muob_))</f>
        <v>1.0346920519338785</v>
      </c>
      <c r="N88" s="15">
        <f>[1]!PVT_ST_liqgas_Nm(B88,C88,[1]!encode_PVT(gamma_gas_,gamma_oil_,gamma_wat_,Rsb_,Pb_,Tres_,Bob_,muob_))</f>
        <v>5.8480104272548641E-2</v>
      </c>
      <c r="O88" s="15">
        <f>[1]!PVT_ST_oilgas_Nm(B88,C88,[1]!encode_PVT(gamma_gas_,gamma_oil_,gamma_wat_,Rsb_,Pb_,Tres_,Bob_,muob_))</f>
        <v>5.8480104272548641E-2</v>
      </c>
      <c r="P88" s="20">
        <f>[1]!PVT_ST_watgas_Nm(B88,C88,[1]!encode_PVT(gamma_gas_,gamma_oil_,gamma_wat_,Rsb_,Pb_,Tres_,Bob_,muob_))</f>
        <v>6.3076487347313664E-2</v>
      </c>
      <c r="Q88" s="29">
        <f>[1]!PVT_cp_oil_JkgC(B88,C88,[1]!encode_PVT(gamma_gas_,gamma_oil_,gamma_wat_,Rsb_,Pb_,Tres_,Bob_,muob_))</f>
        <v>2606.2000000000003</v>
      </c>
      <c r="R88" s="29">
        <f>[1]!PVT_cp_gas_JkgC(B88,C88,[1]!encode_PVT(gamma_gas_,gamma_oil_,gamma_wat_,Rsb_,Pb_,Tres_,Bob_,muob_))</f>
        <v>1503.5929735049735</v>
      </c>
      <c r="S88" s="29">
        <f>[1]!PVT_cp_wat_JkgC(B88,C88,[1]!encode_PVT(gamma_gas_,gamma_oil_,gamma_wat_,Rsb_,Pb_,Tres_,Bob_,muob_))</f>
        <v>4176</v>
      </c>
      <c r="T88" s="30">
        <f>[1]!PVT_compressibility_wat_1atm(B88,C88,[1]!encode_PVT(gamma_gas_,gamma_oil_,gamma_wat_,Rsb_,Pb_,Tres_,Bob_,muob_))</f>
        <v>3.7781629533840404E-5</v>
      </c>
      <c r="U88" s="30">
        <f>[1]!PVT_compressibility_oil_1atm(B88,C88,[1]!encode_PVT(gamma_gas_,gamma_oil_,gamma_wat_,Rsb_,Pb_,Tres_,Bob_,muob_))</f>
        <v>3.1909645221943491E-3</v>
      </c>
      <c r="V88" s="30">
        <f>[1]!PVT_compressibility_gas_1atm(B88,C88,[1]!encode_PVT(gamma_gas_,gamma_oil_,gamma_wat_,Rsb_,Pb_,Tres_,Bob_,muob_))</f>
        <v>1.181700757648421E-2</v>
      </c>
    </row>
    <row r="89" spans="2:22" x14ac:dyDescent="0.2">
      <c r="B89" s="12">
        <v>100</v>
      </c>
      <c r="C89" s="12">
        <v>95</v>
      </c>
      <c r="D89" s="13">
        <f>[1]!PVT_rs_m3m3(B89,C89,[1]!encode_PVT(gamma_gas_,gamma_oil_,gamma_wat_,Rsb_,Pb_,Tres_,Bob_,muob_))</f>
        <v>46.522840486080263</v>
      </c>
      <c r="E89" s="14">
        <f>[1]!PVT_bo_m3m3(B89,C89,PVT_str_)</f>
        <v>1.2509697590001392</v>
      </c>
      <c r="F89" s="46">
        <f>[1]!PVT_mu_oil_cP(B89,C89,[1]!encode_PVT(gamma_gas_,gamma_oil_,gamma_wat_,Rsb_,Pb_,Tres_,Bob_,muob_))</f>
        <v>1.3167544434030043</v>
      </c>
      <c r="G89" s="15">
        <f>[1]!PVT_mu_gas_cP(B89,C89,[1]!encode_PVT(gamma_gas_,gamma_oil_,gamma_wat_,Rsb_,Pb_,Tres_,Bob_,muob_))</f>
        <v>1.6486667850269695E-2</v>
      </c>
      <c r="H89" s="14">
        <f>[1]!PVT_mu_wat_cP(B89,C89,[1]!encode_PVT(gamma_gas_,gamma_oil_,gamma_wat_,Rsb_,Pb_,Tres_,Bob_,muob_))</f>
        <v>0.45828211792642376</v>
      </c>
      <c r="I89" s="46">
        <f>[1]!PVT_rho_gas_kgm3(B89,C89,[1]!encode_PVT(gamma_gas_,gamma_oil_,gamma_wat_,Rsb_,Pb_,Tres_,Bob_,muob_))</f>
        <v>111.93614703335258</v>
      </c>
      <c r="J89" s="46">
        <f>[1]!PVT_rho_wat_kgm3(B89,C89,[1]!encode_PVT(gamma_gas_,gamma_oil_,gamma_wat_,Rsb_,Pb_,Tres_,Bob_,muob_))</f>
        <v>1059.9155065186171</v>
      </c>
      <c r="K89" s="46">
        <f>[1]!PVT_rho_oil_kgm3(B89,C89,[1]!encode_PVT(gamma_gas_,gamma_oil_,gamma_wat_,Rsb_,Pb_,Tres_,Bob_,muob_))</f>
        <v>794.3594224221622</v>
      </c>
      <c r="L89" s="20">
        <f>[1]!PVT_bg_m3m3(B89,C89,[1]!encode_PVT(gamma_gas_,gamma_oil_,gamma_wat_,Rsb_,Pb_,Tres_,Bob_,muob_))</f>
        <v>9.8228322944900297E-3</v>
      </c>
      <c r="M89" s="20">
        <f>[1]!PVT_bw_m3m3(B89,C89,[1]!encode_PVT(gamma_gas_,gamma_oil_,gamma_wat_,Rsb_,Pb_,Tres_,Bob_,muob_))</f>
        <v>1.0378185744381114</v>
      </c>
      <c r="N89" s="15">
        <f>[1]!PVT_ST_liqgas_Nm(B89,C89,[1]!encode_PVT(gamma_gas_,gamma_oil_,gamma_wat_,Rsb_,Pb_,Tres_,Bob_,muob_))</f>
        <v>5.8480104272548641E-2</v>
      </c>
      <c r="O89" s="15">
        <f>[1]!PVT_ST_oilgas_Nm(B89,C89,[1]!encode_PVT(gamma_gas_,gamma_oil_,gamma_wat_,Rsb_,Pb_,Tres_,Bob_,muob_))</f>
        <v>5.8480104272548641E-2</v>
      </c>
      <c r="P89" s="20">
        <f>[1]!PVT_ST_watgas_Nm(B89,C89,[1]!encode_PVT(gamma_gas_,gamma_oil_,gamma_wat_,Rsb_,Pb_,Tres_,Bob_,muob_))</f>
        <v>6.3076487347313664E-2</v>
      </c>
      <c r="Q89" s="29">
        <f>[1]!PVT_cp_oil_JkgC(B89,C89,[1]!encode_PVT(gamma_gas_,gamma_oil_,gamma_wat_,Rsb_,Pb_,Tres_,Bob_,muob_))</f>
        <v>2628.55</v>
      </c>
      <c r="R89" s="29">
        <f>[1]!PVT_cp_gas_JkgC(B89,C89,[1]!encode_PVT(gamma_gas_,gamma_oil_,gamma_wat_,Rsb_,Pb_,Tres_,Bob_,muob_))</f>
        <v>1539.5452492362815</v>
      </c>
      <c r="S89" s="29">
        <f>[1]!PVT_cp_wat_JkgC(B89,C89,[1]!encode_PVT(gamma_gas_,gamma_oil_,gamma_wat_,Rsb_,Pb_,Tres_,Bob_,muob_))</f>
        <v>4176</v>
      </c>
      <c r="T89" s="30">
        <f>[1]!PVT_compressibility_wat_1atm(B89,C89,[1]!encode_PVT(gamma_gas_,gamma_oil_,gamma_wat_,Rsb_,Pb_,Tres_,Bob_,muob_))</f>
        <v>3.8263347283410467E-5</v>
      </c>
      <c r="U89" s="30">
        <f>[1]!PVT_compressibility_oil_1atm(B89,C89,[1]!encode_PVT(gamma_gas_,gamma_oil_,gamma_wat_,Rsb_,Pb_,Tres_,Bob_,muob_))</f>
        <v>3.2423651925898109E-3</v>
      </c>
      <c r="V89" s="30">
        <f>[1]!PVT_compressibility_gas_1atm(B89,C89,[1]!encode_PVT(gamma_gas_,gamma_oil_,gamma_wat_,Rsb_,Pb_,Tres_,Bob_,muob_))</f>
        <v>1.1728217769099625E-2</v>
      </c>
    </row>
    <row r="90" spans="2:22" x14ac:dyDescent="0.2">
      <c r="B90" s="12">
        <v>100</v>
      </c>
      <c r="C90" s="12">
        <v>100</v>
      </c>
      <c r="D90" s="13">
        <f>[1]!PVT_rs_m3m3(B90,C90,[1]!encode_PVT(gamma_gas_,gamma_oil_,gamma_wat_,Rsb_,Pb_,Tres_,Bob_,muob_))</f>
        <v>45.47212635447486</v>
      </c>
      <c r="E90" s="14">
        <f>[1]!PVT_bo_m3m3(B90,C90,PVT_str_)</f>
        <v>1.2533317194242077</v>
      </c>
      <c r="F90" s="46">
        <f>[1]!PVT_mu_oil_cP(B90,C90,[1]!encode_PVT(gamma_gas_,gamma_oil_,gamma_wat_,Rsb_,Pb_,Tres_,Bob_,muob_))</f>
        <v>1.2437160177243574</v>
      </c>
      <c r="G90" s="15">
        <f>[1]!PVT_mu_gas_cP(B90,C90,[1]!encode_PVT(gamma_gas_,gamma_oil_,gamma_wat_,Rsb_,Pb_,Tres_,Bob_,muob_))</f>
        <v>1.6468359486019924E-2</v>
      </c>
      <c r="H90" s="14">
        <f>[1]!PVT_mu_wat_cP(B90,C90,[1]!encode_PVT(gamma_gas_,gamma_oil_,gamma_wat_,Rsb_,Pb_,Tres_,Bob_,muob_))</f>
        <v>0.43928050705948396</v>
      </c>
      <c r="I90" s="46">
        <f>[1]!PVT_rho_gas_kgm3(B90,C90,[1]!encode_PVT(gamma_gas_,gamma_oil_,gamma_wat_,Rsb_,Pb_,Tres_,Bob_,muob_))</f>
        <v>108.84084650804186</v>
      </c>
      <c r="J90" s="46">
        <f>[1]!PVT_rho_wat_kgm3(B90,C90,[1]!encode_PVT(gamma_gas_,gamma_oil_,gamma_wat_,Rsb_,Pb_,Tres_,Bob_,muob_))</f>
        <v>1056.6417957936189</v>
      </c>
      <c r="K90" s="46">
        <f>[1]!PVT_rho_oil_kgm3(B90,C90,[1]!encode_PVT(gamma_gas_,gamma_oil_,gamma_wat_,Rsb_,Pb_,Tres_,Bob_,muob_))</f>
        <v>791.57138941144945</v>
      </c>
      <c r="L90" s="20">
        <f>[1]!PVT_bg_m3m3(B90,C90,[1]!encode_PVT(gamma_gas_,gamma_oil_,gamma_wat_,Rsb_,Pb_,Tres_,Bob_,muob_))</f>
        <v>1.0102181628280148E-2</v>
      </c>
      <c r="M90" s="20">
        <f>[1]!PVT_bw_m3m3(B90,C90,[1]!encode_PVT(gamma_gas_,gamma_oil_,gamma_wat_,Rsb_,Pb_,Tres_,Bob_,muob_))</f>
        <v>1.0410339666469617</v>
      </c>
      <c r="N90" s="15">
        <f>[1]!PVT_ST_liqgas_Nm(B90,C90,[1]!encode_PVT(gamma_gas_,gamma_oil_,gamma_wat_,Rsb_,Pb_,Tres_,Bob_,muob_))</f>
        <v>5.8480104272548641E-2</v>
      </c>
      <c r="O90" s="15">
        <f>[1]!PVT_ST_oilgas_Nm(B90,C90,[1]!encode_PVT(gamma_gas_,gamma_oil_,gamma_wat_,Rsb_,Pb_,Tres_,Bob_,muob_))</f>
        <v>5.8480104272548641E-2</v>
      </c>
      <c r="P90" s="20">
        <f>[1]!PVT_ST_watgas_Nm(B90,C90,[1]!encode_PVT(gamma_gas_,gamma_oil_,gamma_wat_,Rsb_,Pb_,Tres_,Bob_,muob_))</f>
        <v>6.3076487347313664E-2</v>
      </c>
      <c r="Q90" s="29">
        <f>[1]!PVT_cp_oil_JkgC(B90,C90,[1]!encode_PVT(gamma_gas_,gamma_oil_,gamma_wat_,Rsb_,Pb_,Tres_,Bob_,muob_))</f>
        <v>2650.9</v>
      </c>
      <c r="R90" s="29">
        <f>[1]!PVT_cp_gas_JkgC(B90,C90,[1]!encode_PVT(gamma_gas_,gamma_oil_,gamma_wat_,Rsb_,Pb_,Tres_,Bob_,muob_))</f>
        <v>1574.7411697751866</v>
      </c>
      <c r="S90" s="29">
        <f>[1]!PVT_cp_wat_JkgC(B90,C90,[1]!encode_PVT(gamma_gas_,gamma_oil_,gamma_wat_,Rsb_,Pb_,Tres_,Bob_,muob_))</f>
        <v>4176</v>
      </c>
      <c r="T90" s="30">
        <f>[1]!PVT_compressibility_wat_1atm(B90,C90,[1]!encode_PVT(gamma_gas_,gamma_oil_,gamma_wat_,Rsb_,Pb_,Tres_,Bob_,muob_))</f>
        <v>3.8757507528372629E-5</v>
      </c>
      <c r="U90" s="30">
        <f>[1]!PVT_compressibility_oil_1atm(B90,C90,[1]!encode_PVT(gamma_gas_,gamma_oil_,gamma_wat_,Rsb_,Pb_,Tres_,Bob_,muob_))</f>
        <v>3.2868969171510535E-3</v>
      </c>
      <c r="V90" s="30">
        <f>[1]!PVT_compressibility_gas_1atm(B90,C90,[1]!encode_PVT(gamma_gas_,gamma_oil_,gamma_wat_,Rsb_,Pb_,Tres_,Bob_,muob_))</f>
        <v>1.1641211575034414E-2</v>
      </c>
    </row>
    <row r="91" spans="2:22" x14ac:dyDescent="0.2">
      <c r="B91" s="12">
        <v>100</v>
      </c>
      <c r="C91" s="12">
        <v>105</v>
      </c>
      <c r="D91" s="13">
        <f>[1]!PVT_rs_m3m3(B91,C91,[1]!encode_PVT(gamma_gas_,gamma_oil_,gamma_wat_,Rsb_,Pb_,Tres_,Bob_,muob_))</f>
        <v>44.44514250620599</v>
      </c>
      <c r="E91" s="14">
        <f>[1]!PVT_bo_m3m3(B91,C91,PVT_str_)</f>
        <v>1.2557865567987296</v>
      </c>
      <c r="F91" s="46">
        <f>[1]!PVT_mu_oil_cP(B91,C91,[1]!encode_PVT(gamma_gas_,gamma_oil_,gamma_wat_,Rsb_,Pb_,Tres_,Bob_,muob_))</f>
        <v>1.1794834818312014</v>
      </c>
      <c r="G91" s="15">
        <f>[1]!PVT_mu_gas_cP(B91,C91,[1]!encode_PVT(gamma_gas_,gamma_oil_,gamma_wat_,Rsb_,Pb_,Tres_,Bob_,muob_))</f>
        <v>1.6465761428406795E-2</v>
      </c>
      <c r="H91" s="14">
        <f>[1]!PVT_mu_wat_cP(B91,C91,[1]!encode_PVT(gamma_gas_,gamma_oil_,gamma_wat_,Rsb_,Pb_,Tres_,Bob_,muob_))</f>
        <v>0.42181092629609002</v>
      </c>
      <c r="I91" s="46">
        <f>[1]!PVT_rho_gas_kgm3(B91,C91,[1]!encode_PVT(gamma_gas_,gamma_oil_,gamma_wat_,Rsb_,Pb_,Tres_,Bob_,muob_))</f>
        <v>105.9582943190434</v>
      </c>
      <c r="J91" s="46">
        <f>[1]!PVT_rho_wat_kgm3(B91,C91,[1]!encode_PVT(gamma_gas_,gamma_oil_,gamma_wat_,Rsb_,Pb_,Tres_,Bob_,muob_))</f>
        <v>1053.298613558122</v>
      </c>
      <c r="K91" s="46">
        <f>[1]!PVT_rho_oil_kgm3(B91,C91,[1]!encode_PVT(gamma_gas_,gamma_oil_,gamma_wat_,Rsb_,Pb_,Tres_,Bob_,muob_))</f>
        <v>788.769409696803</v>
      </c>
      <c r="L91" s="20">
        <f>[1]!PVT_bg_m3m3(B91,C91,[1]!encode_PVT(gamma_gas_,gamma_oil_,gamma_wat_,Rsb_,Pb_,Tres_,Bob_,muob_))</f>
        <v>1.0377007359983394E-2</v>
      </c>
      <c r="M91" s="20">
        <f>[1]!PVT_bw_m3m3(B91,C91,[1]!encode_PVT(gamma_gas_,gamma_oil_,gamma_wat_,Rsb_,Pb_,Tres_,Bob_,muob_))</f>
        <v>1.0443382207483567</v>
      </c>
      <c r="N91" s="15">
        <f>[1]!PVT_ST_liqgas_Nm(B91,C91,[1]!encode_PVT(gamma_gas_,gamma_oil_,gamma_wat_,Rsb_,Pb_,Tres_,Bob_,muob_))</f>
        <v>5.8480104272548641E-2</v>
      </c>
      <c r="O91" s="15">
        <f>[1]!PVT_ST_oilgas_Nm(B91,C91,[1]!encode_PVT(gamma_gas_,gamma_oil_,gamma_wat_,Rsb_,Pb_,Tres_,Bob_,muob_))</f>
        <v>5.8480104272548641E-2</v>
      </c>
      <c r="P91" s="20">
        <f>[1]!PVT_ST_watgas_Nm(B91,C91,[1]!encode_PVT(gamma_gas_,gamma_oil_,gamma_wat_,Rsb_,Pb_,Tres_,Bob_,muob_))</f>
        <v>6.3076487347313664E-2</v>
      </c>
      <c r="Q91" s="29">
        <f>[1]!PVT_cp_oil_JkgC(B91,C91,[1]!encode_PVT(gamma_gas_,gamma_oil_,gamma_wat_,Rsb_,Pb_,Tres_,Bob_,muob_))</f>
        <v>2673.25</v>
      </c>
      <c r="R91" s="29">
        <f>[1]!PVT_cp_gas_JkgC(B91,C91,[1]!encode_PVT(gamma_gas_,gamma_oil_,gamma_wat_,Rsb_,Pb_,Tres_,Bob_,muob_))</f>
        <v>1609.2437016610927</v>
      </c>
      <c r="S91" s="29">
        <f>[1]!PVT_cp_wat_JkgC(B91,C91,[1]!encode_PVT(gamma_gas_,gamma_oil_,gamma_wat_,Rsb_,Pb_,Tres_,Bob_,muob_))</f>
        <v>4176</v>
      </c>
      <c r="T91" s="30">
        <f>[1]!PVT_compressibility_wat_1atm(B91,C91,[1]!encode_PVT(gamma_gas_,gamma_oil_,gamma_wat_,Rsb_,Pb_,Tres_,Bob_,muob_))</f>
        <v>3.9264598649895757E-5</v>
      </c>
      <c r="U91" s="30">
        <f>[1]!PVT_compressibility_oil_1atm(B91,C91,[1]!encode_PVT(gamma_gas_,gamma_oil_,gamma_wat_,Rsb_,Pb_,Tres_,Bob_,muob_))</f>
        <v>3.3249814196207022E-3</v>
      </c>
      <c r="V91" s="30">
        <f>[1]!PVT_compressibility_gas_1atm(B91,C91,[1]!encode_PVT(gamma_gas_,gamma_oil_,gamma_wat_,Rsb_,Pb_,Tres_,Bob_,muob_))</f>
        <v>1.1556440413326369E-2</v>
      </c>
    </row>
    <row r="92" spans="2:22" x14ac:dyDescent="0.2">
      <c r="B92" s="12">
        <v>100</v>
      </c>
      <c r="C92" s="12">
        <v>110</v>
      </c>
      <c r="D92" s="13">
        <f>[1]!PVT_rs_m3m3(B92,C92,[1]!encode_PVT(gamma_gas_,gamma_oil_,gamma_wat_,Rsb_,Pb_,Tres_,Bob_,muob_))</f>
        <v>43.441352994977422</v>
      </c>
      <c r="E92" s="14">
        <f>[1]!PVT_bo_m3m3(B92,C92,PVT_str_)</f>
        <v>1.2583328598434629</v>
      </c>
      <c r="F92" s="46">
        <f>[1]!PVT_mu_oil_cP(B92,C92,[1]!encode_PVT(gamma_gas_,gamma_oil_,gamma_wat_,Rsb_,Pb_,Tres_,Bob_,muob_))</f>
        <v>1.122546641297995</v>
      </c>
      <c r="G92" s="15">
        <f>[1]!PVT_mu_gas_cP(B92,C92,[1]!encode_PVT(gamma_gas_,gamma_oil_,gamma_wat_,Rsb_,Pb_,Tres_,Bob_,muob_))</f>
        <v>1.6476869736805396E-2</v>
      </c>
      <c r="H92" s="14">
        <f>[1]!PVT_mu_wat_cP(B92,C92,[1]!encode_PVT(gamma_gas_,gamma_oil_,gamma_wat_,Rsb_,Pb_,Tres_,Bob_,muob_))</f>
        <v>0.40569456386102942</v>
      </c>
      <c r="I92" s="46">
        <f>[1]!PVT_rho_gas_kgm3(B92,C92,[1]!encode_PVT(gamma_gas_,gamma_oil_,gamma_wat_,Rsb_,Pb_,Tres_,Bob_,muob_))</f>
        <v>103.26676449817219</v>
      </c>
      <c r="J92" s="46">
        <f>[1]!PVT_rho_wat_kgm3(B92,C92,[1]!encode_PVT(gamma_gas_,gamma_oil_,gamma_wat_,Rsb_,Pb_,Tres_,Bob_,muob_))</f>
        <v>1049.8874755641266</v>
      </c>
      <c r="K92" s="46">
        <f>[1]!PVT_rho_oil_kgm3(B92,C92,[1]!encode_PVT(gamma_gas_,gamma_oil_,gamma_wat_,Rsb_,Pb_,Tres_,Bob_,muob_))</f>
        <v>785.95440550373007</v>
      </c>
      <c r="L92" s="20">
        <f>[1]!PVT_bg_m3m3(B92,C92,[1]!encode_PVT(gamma_gas_,gamma_oil_,gamma_wat_,Rsb_,Pb_,Tres_,Bob_,muob_))</f>
        <v>1.0647472159539399E-2</v>
      </c>
      <c r="M92" s="20">
        <f>[1]!PVT_bw_m3m3(B92,C92,[1]!encode_PVT(gamma_gas_,gamma_oil_,gamma_wat_,Rsb_,Pb_,Tres_,Bob_,muob_))</f>
        <v>1.0477313289302237</v>
      </c>
      <c r="N92" s="15">
        <f>[1]!PVT_ST_liqgas_Nm(B92,C92,[1]!encode_PVT(gamma_gas_,gamma_oil_,gamma_wat_,Rsb_,Pb_,Tres_,Bob_,muob_))</f>
        <v>5.8480104272548641E-2</v>
      </c>
      <c r="O92" s="15">
        <f>[1]!PVT_ST_oilgas_Nm(B92,C92,[1]!encode_PVT(gamma_gas_,gamma_oil_,gamma_wat_,Rsb_,Pb_,Tres_,Bob_,muob_))</f>
        <v>5.8480104272548641E-2</v>
      </c>
      <c r="P92" s="20">
        <f>[1]!PVT_ST_watgas_Nm(B92,C92,[1]!encode_PVT(gamma_gas_,gamma_oil_,gamma_wat_,Rsb_,Pb_,Tres_,Bob_,muob_))</f>
        <v>6.3076487347313664E-2</v>
      </c>
      <c r="Q92" s="29">
        <f>[1]!PVT_cp_oil_JkgC(B92,C92,[1]!encode_PVT(gamma_gas_,gamma_oil_,gamma_wat_,Rsb_,Pb_,Tres_,Bob_,muob_))</f>
        <v>2695.6000000000004</v>
      </c>
      <c r="R92" s="29">
        <f>[1]!PVT_cp_gas_JkgC(B92,C92,[1]!encode_PVT(gamma_gas_,gamma_oil_,gamma_wat_,Rsb_,Pb_,Tres_,Bob_,muob_))</f>
        <v>1643.1152625101522</v>
      </c>
      <c r="S92" s="29">
        <f>[1]!PVT_cp_wat_JkgC(B92,C92,[1]!encode_PVT(gamma_gas_,gamma_oil_,gamma_wat_,Rsb_,Pb_,Tres_,Bob_,muob_))</f>
        <v>4176</v>
      </c>
      <c r="T92" s="30">
        <f>[1]!PVT_compressibility_wat_1atm(B92,C92,[1]!encode_PVT(gamma_gas_,gamma_oil_,gamma_wat_,Rsb_,Pb_,Tres_,Bob_,muob_))</f>
        <v>3.9785134927298622E-5</v>
      </c>
      <c r="U92" s="30">
        <f>[1]!PVT_compressibility_oil_1atm(B92,C92,[1]!encode_PVT(gamma_gas_,gamma_oil_,gamma_wat_,Rsb_,Pb_,Tres_,Bob_,muob_))</f>
        <v>3.3570253111360384E-3</v>
      </c>
      <c r="V92" s="30">
        <f>[1]!PVT_compressibility_gas_1atm(B92,C92,[1]!encode_PVT(gamma_gas_,gamma_oil_,gamma_wat_,Rsb_,Pb_,Tres_,Bob_,muob_))</f>
        <v>1.1474235668156245E-2</v>
      </c>
    </row>
    <row r="93" spans="2:22" x14ac:dyDescent="0.2">
      <c r="B93" s="12">
        <v>100</v>
      </c>
      <c r="C93" s="12">
        <v>115</v>
      </c>
      <c r="D93" s="13">
        <f>[1]!PVT_rs_m3m3(B93,C93,[1]!encode_PVT(gamma_gas_,gamma_oil_,gamma_wat_,Rsb_,Pb_,Tres_,Bob_,muob_))</f>
        <v>42.460233978791415</v>
      </c>
      <c r="E93" s="14">
        <f>[1]!PVT_bo_m3m3(B93,C93,PVT_str_)</f>
        <v>1.2609688602566704</v>
      </c>
      <c r="F93" s="46">
        <f>[1]!PVT_mu_oil_cP(B93,C93,[1]!encode_PVT(gamma_gas_,gamma_oil_,gamma_wat_,Rsb_,Pb_,Tres_,Bob_,muob_))</f>
        <v>1.0717163082285277</v>
      </c>
      <c r="G93" s="15">
        <f>[1]!PVT_mu_gas_cP(B93,C93,[1]!encode_PVT(gamma_gas_,gamma_oil_,gamma_wat_,Rsb_,Pb_,Tres_,Bob_,muob_))</f>
        <v>1.6499987034628804E-2</v>
      </c>
      <c r="H93" s="14">
        <f>[1]!PVT_mu_wat_cP(B93,C93,[1]!encode_PVT(gamma_gas_,gamma_oil_,gamma_wat_,Rsb_,Pb_,Tres_,Bob_,muob_))</f>
        <v>0.39077944382932017</v>
      </c>
      <c r="I93" s="46">
        <f>[1]!PVT_rho_gas_kgm3(B93,C93,[1]!encode_PVT(gamma_gas_,gamma_oil_,gamma_wat_,Rsb_,Pb_,Tres_,Bob_,muob_))</f>
        <v>100.74726491904742</v>
      </c>
      <c r="J93" s="46">
        <f>[1]!PVT_rho_wat_kgm3(B93,C93,[1]!encode_PVT(gamma_gas_,gamma_oil_,gamma_wat_,Rsb_,Pb_,Tres_,Bob_,muob_))</f>
        <v>1046.4099126131866</v>
      </c>
      <c r="K93" s="46">
        <f>[1]!PVT_rho_oil_kgm3(B93,C93,[1]!encode_PVT(gamma_gas_,gamma_oil_,gamma_wat_,Rsb_,Pb_,Tres_,Bob_,muob_))</f>
        <v>783.12727720400801</v>
      </c>
      <c r="L93" s="20">
        <f>[1]!PVT_bg_m3m3(B93,C93,[1]!encode_PVT(gamma_gas_,gamma_oil_,gamma_wat_,Rsb_,Pb_,Tres_,Bob_,muob_))</f>
        <v>1.0913745409202879E-2</v>
      </c>
      <c r="M93" s="20">
        <f>[1]!PVT_bw_m3m3(B93,C93,[1]!encode_PVT(gamma_gas_,gamma_oil_,gamma_wat_,Rsb_,Pb_,Tres_,Bob_,muob_))</f>
        <v>1.0512132833804906</v>
      </c>
      <c r="N93" s="15">
        <f>[1]!PVT_ST_liqgas_Nm(B93,C93,[1]!encode_PVT(gamma_gas_,gamma_oil_,gamma_wat_,Rsb_,Pb_,Tres_,Bob_,muob_))</f>
        <v>5.8480104272548641E-2</v>
      </c>
      <c r="O93" s="15">
        <f>[1]!PVT_ST_oilgas_Nm(B93,C93,[1]!encode_PVT(gamma_gas_,gamma_oil_,gamma_wat_,Rsb_,Pb_,Tres_,Bob_,muob_))</f>
        <v>5.8480104272548641E-2</v>
      </c>
      <c r="P93" s="20">
        <f>[1]!PVT_ST_watgas_Nm(B93,C93,[1]!encode_PVT(gamma_gas_,gamma_oil_,gamma_wat_,Rsb_,Pb_,Tres_,Bob_,muob_))</f>
        <v>6.3076487347313664E-2</v>
      </c>
      <c r="Q93" s="29">
        <f>[1]!PVT_cp_oil_JkgC(B93,C93,[1]!encode_PVT(gamma_gas_,gamma_oil_,gamma_wat_,Rsb_,Pb_,Tres_,Bob_,muob_))</f>
        <v>2717.9500000000003</v>
      </c>
      <c r="R93" s="29">
        <f>[1]!PVT_cp_gas_JkgC(B93,C93,[1]!encode_PVT(gamma_gas_,gamma_oil_,gamma_wat_,Rsb_,Pb_,Tres_,Bob_,muob_))</f>
        <v>1676.4173114885052</v>
      </c>
      <c r="S93" s="29">
        <f>[1]!PVT_cp_wat_JkgC(B93,C93,[1]!encode_PVT(gamma_gas_,gamma_oil_,gamma_wat_,Rsb_,Pb_,Tres_,Bob_,muob_))</f>
        <v>4176</v>
      </c>
      <c r="T93" s="30">
        <f>[1]!PVT_compressibility_wat_1atm(B93,C93,[1]!encode_PVT(gamma_gas_,gamma_oil_,gamma_wat_,Rsb_,Pb_,Tres_,Bob_,muob_))</f>
        <v>4.0319658277790904E-5</v>
      </c>
      <c r="U93" s="30">
        <f>[1]!PVT_compressibility_oil_1atm(B93,C93,[1]!encode_PVT(gamma_gas_,gamma_oil_,gamma_wat_,Rsb_,Pb_,Tres_,Bob_,muob_))</f>
        <v>3.3834186518075303E-3</v>
      </c>
      <c r="V93" s="30">
        <f>[1]!PVT_compressibility_gas_1atm(B93,C93,[1]!encode_PVT(gamma_gas_,gamma_oil_,gamma_wat_,Rsb_,Pb_,Tres_,Bob_,muob_))</f>
        <v>1.1394830779358956E-2</v>
      </c>
    </row>
    <row r="94" spans="2:22" x14ac:dyDescent="0.2">
      <c r="B94" s="12">
        <v>100</v>
      </c>
      <c r="C94" s="12">
        <v>120</v>
      </c>
      <c r="D94" s="13">
        <f>[1]!PVT_rs_m3m3(B94,C94,[1]!encode_PVT(gamma_gas_,gamma_oil_,gamma_wat_,Rsb_,Pb_,Tres_,Bob_,muob_))</f>
        <v>41.501273446574189</v>
      </c>
      <c r="E94" s="14">
        <f>[1]!PVT_bo_m3m3(B94,C94,PVT_str_)</f>
        <v>1.2636924499132252</v>
      </c>
      <c r="F94" s="46">
        <f>[1]!PVT_mu_oil_cP(B94,C94,[1]!encode_PVT(gamma_gas_,gamma_oil_,gamma_wat_,Rsb_,Pb_,Tres_,Bob_,muob_))</f>
        <v>1.026044525554644</v>
      </c>
      <c r="G94" s="15">
        <f>[1]!PVT_mu_gas_cP(B94,C94,[1]!encode_PVT(gamma_gas_,gamma_oil_,gamma_wat_,Rsb_,Pb_,Tres_,Bob_,muob_))</f>
        <v>1.6533667653038278E-2</v>
      </c>
      <c r="H94" s="14">
        <f>[1]!PVT_mu_wat_cP(B94,C94,[1]!encode_PVT(gamma_gas_,gamma_oil_,gamma_wat_,Rsb_,Pb_,Tres_,Bob_,muob_))</f>
        <v>0.37693556847459486</v>
      </c>
      <c r="I94" s="46">
        <f>[1]!PVT_rho_gas_kgm3(B94,C94,[1]!encode_PVT(gamma_gas_,gamma_oil_,gamma_wat_,Rsb_,Pb_,Tres_,Bob_,muob_))</f>
        <v>98.383141044414174</v>
      </c>
      <c r="J94" s="46">
        <f>[1]!PVT_rho_wat_kgm3(B94,C94,[1]!encode_PVT(gamma_gas_,gamma_oil_,gamma_wat_,Rsb_,Pb_,Tres_,Bob_,muob_))</f>
        <v>1042.8674690198955</v>
      </c>
      <c r="K94" s="46">
        <f>[1]!PVT_rho_oil_kgm3(B94,C94,[1]!encode_PVT(gamma_gas_,gamma_oil_,gamma_wat_,Rsb_,Pb_,Tres_,Bob_,muob_))</f>
        <v>780.28890366705343</v>
      </c>
      <c r="L94" s="20">
        <f>[1]!PVT_bg_m3m3(B94,C94,[1]!encode_PVT(gamma_gas_,gamma_oil_,gamma_wat_,Rsb_,Pb_,Tres_,Bob_,muob_))</f>
        <v>1.1176000159454426E-2</v>
      </c>
      <c r="M94" s="20">
        <f>[1]!PVT_bw_m3m3(B94,C94,[1]!encode_PVT(gamma_gas_,gamma_oil_,gamma_wat_,Rsb_,Pb_,Tres_,Bob_,muob_))</f>
        <v>1.0547840762870844</v>
      </c>
      <c r="N94" s="15">
        <f>[1]!PVT_ST_liqgas_Nm(B94,C94,[1]!encode_PVT(gamma_gas_,gamma_oil_,gamma_wat_,Rsb_,Pb_,Tres_,Bob_,muob_))</f>
        <v>5.8480104272548641E-2</v>
      </c>
      <c r="O94" s="15">
        <f>[1]!PVT_ST_oilgas_Nm(B94,C94,[1]!encode_PVT(gamma_gas_,gamma_oil_,gamma_wat_,Rsb_,Pb_,Tres_,Bob_,muob_))</f>
        <v>5.8480104272548641E-2</v>
      </c>
      <c r="P94" s="20">
        <f>[1]!PVT_ST_watgas_Nm(B94,C94,[1]!encode_PVT(gamma_gas_,gamma_oil_,gamma_wat_,Rsb_,Pb_,Tres_,Bob_,muob_))</f>
        <v>6.3076487347313664E-2</v>
      </c>
      <c r="Q94" s="29">
        <f>[1]!PVT_cp_oil_JkgC(B94,C94,[1]!encode_PVT(gamma_gas_,gamma_oil_,gamma_wat_,Rsb_,Pb_,Tres_,Bob_,muob_))</f>
        <v>2740.3</v>
      </c>
      <c r="R94" s="29">
        <f>[1]!PVT_cp_gas_JkgC(B94,C94,[1]!encode_PVT(gamma_gas_,gamma_oil_,gamma_wat_,Rsb_,Pb_,Tres_,Bob_,muob_))</f>
        <v>1709.2100486226275</v>
      </c>
      <c r="S94" s="29">
        <f>[1]!PVT_cp_wat_JkgC(B94,C94,[1]!encode_PVT(gamma_gas_,gamma_oil_,gamma_wat_,Rsb_,Pb_,Tres_,Bob_,muob_))</f>
        <v>4176</v>
      </c>
      <c r="T94" s="30">
        <f>[1]!PVT_compressibility_wat_1atm(B94,C94,[1]!encode_PVT(gamma_gas_,gamma_oil_,gamma_wat_,Rsb_,Pb_,Tres_,Bob_,muob_))</f>
        <v>4.0868740138367162E-5</v>
      </c>
      <c r="U94" s="30">
        <f>[1]!PVT_compressibility_oil_1atm(B94,C94,[1]!encode_PVT(gamma_gas_,gamma_oil_,gamma_wat_,Rsb_,Pb_,Tres_,Bob_,muob_))</f>
        <v>3.4045340400887599E-3</v>
      </c>
      <c r="V94" s="30">
        <f>[1]!PVT_compressibility_gas_1atm(B94,C94,[1]!encode_PVT(gamma_gas_,gamma_oil_,gamma_wat_,Rsb_,Pb_,Tres_,Bob_,muob_))</f>
        <v>1.1318379760619179E-2</v>
      </c>
    </row>
    <row r="95" spans="2:22" x14ac:dyDescent="0.2">
      <c r="B95" s="12">
        <v>100</v>
      </c>
      <c r="C95" s="12">
        <v>125</v>
      </c>
      <c r="D95" s="13">
        <f>[1]!PVT_rs_m3m3(B95,C95,[1]!encode_PVT(gamma_gas_,gamma_oil_,gamma_wat_,Rsb_,Pb_,Tres_,Bob_,muob_))</f>
        <v>40.563970950975651</v>
      </c>
      <c r="E95" s="14">
        <f>[1]!PVT_bo_m3m3(B95,C95,PVT_str_)</f>
        <v>1.2665011943754036</v>
      </c>
      <c r="F95" s="46">
        <f>[1]!PVT_mu_oil_cP(B95,C95,[1]!encode_PVT(gamma_gas_,gamma_oil_,gamma_wat_,Rsb_,Pb_,Tres_,Bob_,muob_))</f>
        <v>0.98476717958060678</v>
      </c>
      <c r="G95" s="15">
        <f>[1]!PVT_mu_gas_cP(B95,C95,[1]!encode_PVT(gamma_gas_,gamma_oil_,gamma_wat_,Rsb_,Pb_,Tres_,Bob_,muob_))</f>
        <v>1.6576673926182253E-2</v>
      </c>
      <c r="H95" s="14">
        <f>[1]!PVT_mu_wat_cP(B95,C95,[1]!encode_PVT(gamma_gas_,gamma_oil_,gamma_wat_,Rsb_,Pb_,Tres_,Bob_,muob_))</f>
        <v>0.36405107963452304</v>
      </c>
      <c r="I95" s="46">
        <f>[1]!PVT_rho_gas_kgm3(B95,C95,[1]!encode_PVT(gamma_gas_,gamma_oil_,gamma_wat_,Rsb_,Pb_,Tres_,Bob_,muob_))</f>
        <v>96.159743940986573</v>
      </c>
      <c r="J95" s="46">
        <f>[1]!PVT_rho_wat_kgm3(B95,C95,[1]!encode_PVT(gamma_gas_,gamma_oil_,gamma_wat_,Rsb_,Pb_,Tres_,Bob_,muob_))</f>
        <v>1039.2617010885228</v>
      </c>
      <c r="K95" s="46">
        <f>[1]!PVT_rho_oil_kgm3(B95,C95,[1]!encode_PVT(gamma_gas_,gamma_oil_,gamma_wat_,Rsb_,Pb_,Tres_,Bob_,muob_))</f>
        <v>777.44014259539756</v>
      </c>
      <c r="L95" s="20">
        <f>[1]!PVT_bg_m3m3(B95,C95,[1]!encode_PVT(gamma_gas_,gamma_oil_,gamma_wat_,Rsb_,Pb_,Tres_,Bob_,muob_))</f>
        <v>1.1434410647711207E-2</v>
      </c>
      <c r="M95" s="20">
        <f>[1]!PVT_bw_m3m3(B95,C95,[1]!encode_PVT(gamma_gas_,gamma_oil_,gamma_wat_,Rsb_,Pb_,Tres_,Bob_,muob_))</f>
        <v>1.058443699837933</v>
      </c>
      <c r="N95" s="15">
        <f>[1]!PVT_ST_liqgas_Nm(B95,C95,[1]!encode_PVT(gamma_gas_,gamma_oil_,gamma_wat_,Rsb_,Pb_,Tres_,Bob_,muob_))</f>
        <v>5.8480104272548641E-2</v>
      </c>
      <c r="O95" s="15">
        <f>[1]!PVT_ST_oilgas_Nm(B95,C95,[1]!encode_PVT(gamma_gas_,gamma_oil_,gamma_wat_,Rsb_,Pb_,Tres_,Bob_,muob_))</f>
        <v>5.8480104272548641E-2</v>
      </c>
      <c r="P95" s="20">
        <f>[1]!PVT_ST_watgas_Nm(B95,C95,[1]!encode_PVT(gamma_gas_,gamma_oil_,gamma_wat_,Rsb_,Pb_,Tres_,Bob_,muob_))</f>
        <v>6.3076487347313664E-2</v>
      </c>
      <c r="Q95" s="29">
        <f>[1]!PVT_cp_oil_JkgC(B95,C95,[1]!encode_PVT(gamma_gas_,gamma_oil_,gamma_wat_,Rsb_,Pb_,Tres_,Bob_,muob_))</f>
        <v>2762.65</v>
      </c>
      <c r="R95" s="29">
        <f>[1]!PVT_cp_gas_JkgC(B95,C95,[1]!encode_PVT(gamma_gas_,gamma_oil_,gamma_wat_,Rsb_,Pb_,Tres_,Bob_,muob_))</f>
        <v>1741.5522051040189</v>
      </c>
      <c r="S95" s="29">
        <f>[1]!PVT_cp_wat_JkgC(B95,C95,[1]!encode_PVT(gamma_gas_,gamma_oil_,gamma_wat_,Rsb_,Pb_,Tres_,Bob_,muob_))</f>
        <v>4176</v>
      </c>
      <c r="T95" s="30">
        <f>[1]!PVT_compressibility_wat_1atm(B95,C95,[1]!encode_PVT(gamma_gas_,gamma_oil_,gamma_wat_,Rsb_,Pb_,Tres_,Bob_,muob_))</f>
        <v>4.1432983503592036E-5</v>
      </c>
      <c r="U95" s="30">
        <f>[1]!PVT_compressibility_oil_1atm(B95,C95,[1]!encode_PVT(gamma_gas_,gamma_oil_,gamma_wat_,Rsb_,Pb_,Tres_,Bob_,muob_))</f>
        <v>3.4207261284660063E-3</v>
      </c>
      <c r="V95" s="30">
        <f>[1]!PVT_compressibility_gas_1atm(B95,C95,[1]!encode_PVT(gamma_gas_,gamma_oil_,gamma_wat_,Rsb_,Pb_,Tres_,Bob_,muob_))</f>
        <v>1.1244972668323793E-2</v>
      </c>
    </row>
    <row r="96" spans="2:22" x14ac:dyDescent="0.2">
      <c r="B96" s="12">
        <v>100</v>
      </c>
      <c r="C96" s="12">
        <v>130</v>
      </c>
      <c r="D96" s="13">
        <f>[1]!PVT_rs_m3m3(B96,C96,[1]!encode_PVT(gamma_gas_,gamma_oil_,gamma_wat_,Rsb_,Pb_,Tres_,Bob_,muob_))</f>
        <v>39.647837347203676</v>
      </c>
      <c r="E96" s="14">
        <f>[1]!PVT_bo_m3m3(B96,C96,PVT_str_)</f>
        <v>1.2693923458154672</v>
      </c>
      <c r="F96" s="46">
        <f>[1]!PVT_mu_oil_cP(B96,C96,[1]!encode_PVT(gamma_gas_,gamma_oil_,gamma_wat_,Rsb_,Pb_,Tres_,Bob_,muob_))</f>
        <v>0.9472620686063814</v>
      </c>
      <c r="G96" s="15">
        <f>[1]!PVT_mu_gas_cP(B96,C96,[1]!encode_PVT(gamma_gas_,gamma_oil_,gamma_wat_,Rsb_,Pb_,Tres_,Bob_,muob_))</f>
        <v>1.6627941113881453E-2</v>
      </c>
      <c r="H96" s="14">
        <f>[1]!PVT_mu_wat_cP(B96,C96,[1]!encode_PVT(gamma_gas_,gamma_oil_,gamma_wat_,Rsb_,Pb_,Tres_,Bob_,muob_))</f>
        <v>0.35202919800782212</v>
      </c>
      <c r="I96" s="46">
        <f>[1]!PVT_rho_gas_kgm3(B96,C96,[1]!encode_PVT(gamma_gas_,gamma_oil_,gamma_wat_,Rsb_,Pb_,Tres_,Bob_,muob_))</f>
        <v>94.064151076791262</v>
      </c>
      <c r="J96" s="46">
        <f>[1]!PVT_rho_wat_kgm3(B96,C96,[1]!encode_PVT(gamma_gas_,gamma_oil_,gamma_wat_,Rsb_,Pb_,Tres_,Bob_,muob_))</f>
        <v>1035.5941756051845</v>
      </c>
      <c r="K96" s="46">
        <f>[1]!PVT_rho_oil_kgm3(B96,C96,[1]!encode_PVT(gamma_gas_,gamma_oil_,gamma_wat_,Rsb_,Pb_,Tres_,Bob_,muob_))</f>
        <v>774.58183084596931</v>
      </c>
      <c r="L96" s="20">
        <f>[1]!PVT_bg_m3m3(B96,C96,[1]!encode_PVT(gamma_gas_,gamma_oil_,gamma_wat_,Rsb_,Pb_,Tres_,Bob_,muob_))</f>
        <v>1.1689150302354564E-2</v>
      </c>
      <c r="M96" s="20">
        <f>[1]!PVT_bw_m3m3(B96,C96,[1]!encode_PVT(gamma_gas_,gamma_oil_,gamma_wat_,Rsb_,Pb_,Tres_,Bob_,muob_))</f>
        <v>1.0621921462209634</v>
      </c>
      <c r="N96" s="15">
        <f>[1]!PVT_ST_liqgas_Nm(B96,C96,[1]!encode_PVT(gamma_gas_,gamma_oil_,gamma_wat_,Rsb_,Pb_,Tres_,Bob_,muob_))</f>
        <v>5.8480104272548641E-2</v>
      </c>
      <c r="O96" s="15">
        <f>[1]!PVT_ST_oilgas_Nm(B96,C96,[1]!encode_PVT(gamma_gas_,gamma_oil_,gamma_wat_,Rsb_,Pb_,Tres_,Bob_,muob_))</f>
        <v>5.8480104272548641E-2</v>
      </c>
      <c r="P96" s="20">
        <f>[1]!PVT_ST_watgas_Nm(B96,C96,[1]!encode_PVT(gamma_gas_,gamma_oil_,gamma_wat_,Rsb_,Pb_,Tres_,Bob_,muob_))</f>
        <v>6.3076487347313664E-2</v>
      </c>
      <c r="Q96" s="29">
        <f>[1]!PVT_cp_oil_JkgC(B96,C96,[1]!encode_PVT(gamma_gas_,gamma_oil_,gamma_wat_,Rsb_,Pb_,Tres_,Bob_,muob_))</f>
        <v>2785</v>
      </c>
      <c r="R96" s="29">
        <f>[1]!PVT_cp_gas_JkgC(B96,C96,[1]!encode_PVT(gamma_gas_,gamma_oil_,gamma_wat_,Rsb_,Pb_,Tres_,Bob_,muob_))</f>
        <v>1773.5009088349148</v>
      </c>
      <c r="S96" s="29">
        <f>[1]!PVT_cp_wat_JkgC(B96,C96,[1]!encode_PVT(gamma_gas_,gamma_oil_,gamma_wat_,Rsb_,Pb_,Tres_,Bob_,muob_))</f>
        <v>4176</v>
      </c>
      <c r="T96" s="30">
        <f>[1]!PVT_compressibility_wat_1atm(B96,C96,[1]!encode_PVT(gamma_gas_,gamma_oil_,gamma_wat_,Rsb_,Pb_,Tres_,Bob_,muob_))</f>
        <v>4.2013025134553468E-5</v>
      </c>
      <c r="U96" s="30">
        <f>[1]!PVT_compressibility_oil_1atm(B96,C96,[1]!encode_PVT(gamma_gas_,gamma_oil_,gamma_wat_,Rsb_,Pb_,Tres_,Bob_,muob_))</f>
        <v>3.432331478260304E-3</v>
      </c>
      <c r="V96" s="30">
        <f>[1]!PVT_compressibility_gas_1atm(B96,C96,[1]!encode_PVT(gamma_gas_,gamma_oil_,gamma_wat_,Rsb_,Pb_,Tres_,Bob_,muob_))</f>
        <v>1.1174648476630215E-2</v>
      </c>
    </row>
    <row r="100" spans="15:15" x14ac:dyDescent="0.2">
      <c r="O100">
        <f>O98</f>
        <v>0</v>
      </c>
    </row>
    <row r="155" spans="11:11" x14ac:dyDescent="0.2">
      <c r="K155" t="s">
        <v>5</v>
      </c>
    </row>
    <row r="166" spans="11:11" x14ac:dyDescent="0.2">
      <c r="K166" s="3"/>
    </row>
  </sheetData>
  <dataConsolidate link="1"/>
  <mergeCells count="11">
    <mergeCell ref="B3:E3"/>
    <mergeCell ref="I3:L3"/>
    <mergeCell ref="B4:E4"/>
    <mergeCell ref="I4:L4"/>
    <mergeCell ref="B5:E5"/>
    <mergeCell ref="I5:L5"/>
    <mergeCell ref="B21:C21"/>
    <mergeCell ref="A6:A8"/>
    <mergeCell ref="B6:E8"/>
    <mergeCell ref="H6:H8"/>
    <mergeCell ref="I6:L8"/>
  </mergeCell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24</vt:i4>
      </vt:variant>
    </vt:vector>
  </HeadingPairs>
  <TitlesOfParts>
    <vt:vector size="25" baseType="lpstr">
      <vt:lpstr>exercise_PVT</vt:lpstr>
      <vt:lpstr>exercise_PVT!Bob_</vt:lpstr>
      <vt:lpstr>exercise_PVT!Course</vt:lpstr>
      <vt:lpstr>exercise_PVT!gamma_gas_</vt:lpstr>
      <vt:lpstr>exercise_PVT!gamma_oil_</vt:lpstr>
      <vt:lpstr>exercise_PVT!gamma_wat_</vt:lpstr>
      <vt:lpstr>exercise_PVT!Group</vt:lpstr>
      <vt:lpstr>exercise_PVT!input_0</vt:lpstr>
      <vt:lpstr>exercise_PVT!input_1</vt:lpstr>
      <vt:lpstr>exercise_PVT!input_Course</vt:lpstr>
      <vt:lpstr>exercise_PVT!input_Date</vt:lpstr>
      <vt:lpstr>exercise_PVT!input_Group</vt:lpstr>
      <vt:lpstr>exercise_PVT!input_Notes</vt:lpstr>
      <vt:lpstr>exercise_PVT!input_Student_Name</vt:lpstr>
      <vt:lpstr>exercise_PVT!input_Version</vt:lpstr>
      <vt:lpstr>exercise_PVT!muob_</vt:lpstr>
      <vt:lpstr>exercise_PVT!Notes</vt:lpstr>
      <vt:lpstr>exercise_PVT!output_0</vt:lpstr>
      <vt:lpstr>param</vt:lpstr>
      <vt:lpstr>exercise_PVT!Pb_</vt:lpstr>
      <vt:lpstr>exercise_PVT!PVT_str_</vt:lpstr>
      <vt:lpstr>exercise_PVT!Rsb_</vt:lpstr>
      <vt:lpstr>exercise_PVT!Student_Name</vt:lpstr>
      <vt:lpstr>exercise_PVT!Tres_</vt:lpstr>
      <vt:lpstr>exercise_PVT!unf_version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Ринат Хабибуллин</dc:creator>
  <cp:lastModifiedBy>rnt</cp:lastModifiedBy>
  <dcterms:created xsi:type="dcterms:W3CDTF">2020-04-13T13:26:12Z</dcterms:created>
  <dcterms:modified xsi:type="dcterms:W3CDTF">2023-01-24T03:44:40Z</dcterms:modified>
</cp:coreProperties>
</file>