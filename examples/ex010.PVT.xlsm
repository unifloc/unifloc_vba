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03C14549-75EA-4092-A019-A43CF31E4135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N75" i="113"/>
  <c r="I75" i="113"/>
  <c r="F75" i="113"/>
  <c r="L71" i="113"/>
  <c r="L72" i="113"/>
  <c r="D26" i="113"/>
  <c r="E71" i="113" s="1"/>
  <c r="J75" i="113"/>
  <c r="V73" i="113"/>
  <c r="L84" i="113"/>
  <c r="U74" i="113"/>
  <c r="H92" i="113"/>
  <c r="D94" i="113"/>
  <c r="M88" i="113"/>
  <c r="G88" i="113"/>
  <c r="N83" i="113"/>
  <c r="K85" i="113"/>
  <c r="S73" i="113"/>
  <c r="V95" i="113"/>
  <c r="U84" i="113"/>
  <c r="F74" i="113"/>
  <c r="M82" i="113"/>
  <c r="D77" i="113"/>
  <c r="O71" i="113"/>
  <c r="N92" i="113"/>
  <c r="E74" i="113"/>
  <c r="I83" i="113"/>
  <c r="F81" i="113"/>
  <c r="Q82" i="113"/>
  <c r="U90" i="113"/>
  <c r="D90" i="113"/>
  <c r="D75" i="113"/>
  <c r="P96" i="113"/>
  <c r="D96" i="113"/>
  <c r="K79" i="113"/>
  <c r="L86" i="113"/>
  <c r="G86" i="113"/>
  <c r="O90" i="113"/>
  <c r="Q96" i="113"/>
  <c r="G74" i="113"/>
  <c r="I87" i="113"/>
  <c r="K74" i="113"/>
  <c r="R78" i="113"/>
  <c r="T87" i="113"/>
  <c r="F94" i="113"/>
  <c r="S81" i="113"/>
  <c r="T84" i="113"/>
  <c r="M80" i="113"/>
  <c r="F90" i="113"/>
  <c r="N96" i="113"/>
  <c r="V79" i="113"/>
  <c r="F95" i="113"/>
  <c r="S94" i="113"/>
  <c r="V93" i="113"/>
  <c r="L76" i="113"/>
  <c r="L93" i="113"/>
  <c r="H84" i="113"/>
  <c r="D86" i="113"/>
  <c r="G75" i="113"/>
  <c r="J95" i="113"/>
  <c r="K77" i="113"/>
  <c r="F91" i="113"/>
  <c r="L94" i="113"/>
  <c r="I77" i="113"/>
  <c r="U89" i="113"/>
  <c r="G95" i="113"/>
  <c r="I76" i="113"/>
  <c r="O75" i="113"/>
  <c r="L89" i="113"/>
  <c r="N84" i="113"/>
  <c r="E77" i="113"/>
  <c r="V94" i="113"/>
  <c r="M91" i="113"/>
  <c r="P90" i="113"/>
  <c r="K94" i="113"/>
  <c r="D88" i="113"/>
  <c r="T72" i="113"/>
  <c r="Q74" i="113"/>
  <c r="L88" i="113"/>
  <c r="U95" i="113"/>
  <c r="H80" i="113"/>
  <c r="D82" i="113"/>
  <c r="R95" i="113"/>
  <c r="V92" i="113"/>
  <c r="M89" i="113"/>
  <c r="P88" i="113"/>
  <c r="K92" i="113"/>
  <c r="N72" i="113"/>
  <c r="G72" i="113"/>
  <c r="J77" i="113"/>
  <c r="F85" i="113"/>
  <c r="U75" i="113"/>
  <c r="K84" i="113"/>
  <c r="M95" i="113"/>
  <c r="F77" i="113"/>
  <c r="H87" i="113"/>
  <c r="U91" i="113"/>
  <c r="H94" i="113"/>
  <c r="T83" i="113"/>
  <c r="G82" i="113"/>
  <c r="E80" i="113"/>
  <c r="S72" i="113"/>
  <c r="T73" i="113"/>
  <c r="Q80" i="113"/>
  <c r="N74" i="113"/>
  <c r="P76" i="113"/>
  <c r="H89" i="113"/>
  <c r="S95" i="113"/>
  <c r="G84" i="113"/>
  <c r="K72" i="113"/>
  <c r="K71" i="113"/>
  <c r="K95" i="113"/>
  <c r="J90" i="113"/>
  <c r="S86" i="113"/>
  <c r="V85" i="113"/>
  <c r="Q89" i="113"/>
  <c r="P78" i="113"/>
  <c r="H76" i="113"/>
  <c r="D78" i="113"/>
  <c r="R91" i="113"/>
  <c r="R85" i="113"/>
  <c r="U93" i="113"/>
  <c r="I91" i="113"/>
  <c r="F83" i="113"/>
  <c r="P75" i="113"/>
  <c r="T90" i="113"/>
  <c r="Q92" i="113"/>
  <c r="G87" i="113"/>
  <c r="J73" i="113"/>
  <c r="U94" i="113"/>
  <c r="L81" i="113"/>
  <c r="N76" i="113"/>
  <c r="V86" i="113"/>
  <c r="M83" i="113"/>
  <c r="P82" i="113"/>
  <c r="K86" i="113"/>
  <c r="G73" i="113"/>
  <c r="O78" i="113"/>
  <c r="I73" i="113"/>
  <c r="L80" i="113"/>
  <c r="V77" i="113"/>
  <c r="H72" i="113"/>
  <c r="D74" i="113"/>
  <c r="R87" i="113"/>
  <c r="V84" i="113"/>
  <c r="M81" i="113"/>
  <c r="P80" i="113"/>
  <c r="E94" i="113"/>
  <c r="P94" i="113"/>
  <c r="L85" i="113"/>
  <c r="P89" i="113"/>
  <c r="M77" i="113"/>
  <c r="O86" i="113"/>
  <c r="M86" i="113"/>
  <c r="J78" i="113"/>
  <c r="J81" i="113"/>
  <c r="V74" i="113"/>
  <c r="Q88" i="113"/>
  <c r="O81" i="113"/>
  <c r="G85" i="113"/>
  <c r="N87" i="113"/>
  <c r="Q86" i="113"/>
  <c r="O82" i="113"/>
  <c r="E73" i="113"/>
  <c r="N81" i="113"/>
  <c r="T96" i="113"/>
  <c r="J79" i="113"/>
  <c r="F86" i="113"/>
  <c r="J82" i="113"/>
  <c r="S78" i="113"/>
  <c r="P72" i="113"/>
  <c r="Q81" i="113"/>
  <c r="R93" i="113"/>
  <c r="U71" i="113"/>
  <c r="I95" i="113"/>
  <c r="R83" i="113"/>
  <c r="V96" i="113"/>
  <c r="M93" i="113"/>
  <c r="P92" i="113"/>
  <c r="K96" i="113"/>
  <c r="G96" i="113"/>
  <c r="T82" i="113"/>
  <c r="Q84" i="113"/>
  <c r="M72" i="113"/>
  <c r="V87" i="113"/>
  <c r="O83" i="113"/>
  <c r="L73" i="113"/>
  <c r="G81" i="113"/>
  <c r="J84" i="113"/>
  <c r="V78" i="113"/>
  <c r="M75" i="113"/>
  <c r="I79" i="113"/>
  <c r="K78" i="113"/>
  <c r="J94" i="113"/>
  <c r="S90" i="113"/>
  <c r="V89" i="113"/>
  <c r="Q93" i="113"/>
  <c r="R77" i="113"/>
  <c r="U73" i="113"/>
  <c r="Q71" i="113"/>
  <c r="R79" i="113"/>
  <c r="V76" i="113"/>
  <c r="P71" i="113"/>
  <c r="K76" i="113"/>
  <c r="V90" i="113"/>
  <c r="M87" i="113"/>
  <c r="P86" i="113"/>
  <c r="K90" i="113"/>
  <c r="N88" i="113"/>
  <c r="T89" i="113"/>
  <c r="V82" i="113"/>
  <c r="V75" i="113"/>
  <c r="D83" i="113"/>
  <c r="F92" i="113"/>
  <c r="V80" i="113"/>
  <c r="L82" i="113"/>
  <c r="I74" i="113"/>
  <c r="R86" i="113"/>
  <c r="T95" i="113"/>
  <c r="I92" i="113"/>
  <c r="R92" i="113"/>
  <c r="F72" i="113"/>
  <c r="K89" i="113"/>
  <c r="O91" i="113"/>
  <c r="L75" i="113"/>
  <c r="U76" i="113"/>
  <c r="D87" i="113"/>
  <c r="G93" i="113"/>
  <c r="K81" i="113"/>
  <c r="J74" i="113"/>
  <c r="O88" i="113"/>
  <c r="H95" i="113"/>
  <c r="D71" i="113"/>
  <c r="D72" i="113"/>
  <c r="G94" i="113"/>
  <c r="J93" i="113"/>
  <c r="F73" i="113"/>
  <c r="V88" i="113"/>
  <c r="M85" i="113"/>
  <c r="P84" i="113"/>
  <c r="K88" i="113"/>
  <c r="J87" i="113"/>
  <c r="T74" i="113"/>
  <c r="Q76" i="113"/>
  <c r="L90" i="113"/>
  <c r="Q91" i="113"/>
  <c r="O72" i="113"/>
  <c r="I85" i="113"/>
  <c r="M94" i="113"/>
  <c r="S74" i="113"/>
  <c r="I90" i="113"/>
  <c r="R96" i="113"/>
  <c r="T91" i="113"/>
  <c r="E78" i="113"/>
  <c r="J86" i="113"/>
  <c r="S82" i="113"/>
  <c r="V81" i="113"/>
  <c r="Q85" i="113"/>
  <c r="P93" i="113"/>
  <c r="G90" i="113"/>
  <c r="J89" i="113"/>
  <c r="E93" i="113"/>
  <c r="O85" i="113"/>
  <c r="R94" i="113"/>
  <c r="E81" i="113"/>
  <c r="M79" i="113"/>
  <c r="K82" i="113"/>
  <c r="I80" i="113"/>
  <c r="D89" i="113"/>
  <c r="D91" i="113"/>
  <c r="D92" i="113"/>
  <c r="E75" i="113"/>
  <c r="P85" i="113"/>
  <c r="T81" i="113"/>
  <c r="H85" i="113"/>
  <c r="G91" i="113"/>
  <c r="G77" i="113"/>
  <c r="S89" i="113"/>
  <c r="Q73" i="113"/>
  <c r="F84" i="113"/>
  <c r="H79" i="113"/>
  <c r="E76" i="113"/>
  <c r="P81" i="113"/>
  <c r="G78" i="113"/>
  <c r="O94" i="113"/>
  <c r="D81" i="113"/>
  <c r="V72" i="113"/>
  <c r="U79" i="113"/>
  <c r="T93" i="113"/>
  <c r="E84" i="113"/>
  <c r="J96" i="113"/>
  <c r="S92" i="113"/>
  <c r="V91" i="113"/>
  <c r="Q95" i="113"/>
  <c r="G80" i="113"/>
  <c r="H82" i="113"/>
  <c r="D84" i="113"/>
  <c r="F71" i="113"/>
  <c r="H73" i="113"/>
  <c r="I94" i="113"/>
  <c r="R80" i="113"/>
  <c r="T75" i="113"/>
  <c r="Q77" i="113"/>
  <c r="I88" i="113"/>
  <c r="F96" i="113"/>
  <c r="H91" i="113"/>
  <c r="E79" i="113"/>
  <c r="P77" i="113"/>
  <c r="U88" i="113"/>
  <c r="F76" i="113"/>
  <c r="G71" i="113"/>
  <c r="E90" i="113"/>
  <c r="P73" i="113"/>
  <c r="O84" i="113"/>
  <c r="N94" i="113"/>
  <c r="I84" i="113"/>
  <c r="O77" i="113"/>
  <c r="R90" i="113"/>
  <c r="T85" i="113"/>
  <c r="E92" i="113"/>
  <c r="J88" i="113"/>
  <c r="S84" i="113"/>
  <c r="V83" i="113"/>
  <c r="Q87" i="113"/>
  <c r="D80" i="113"/>
  <c r="H74" i="113"/>
  <c r="D76" i="113"/>
  <c r="R89" i="113"/>
  <c r="Q75" i="113"/>
  <c r="I82" i="113"/>
  <c r="R72" i="113"/>
  <c r="S79" i="113"/>
  <c r="D85" i="113"/>
  <c r="U72" i="113"/>
  <c r="F88" i="113"/>
  <c r="H83" i="113"/>
  <c r="D93" i="113"/>
  <c r="U86" i="113"/>
  <c r="L95" i="113"/>
  <c r="N90" i="113"/>
  <c r="M74" i="113"/>
  <c r="I78" i="113"/>
  <c r="Q72" i="113"/>
  <c r="S75" i="113"/>
  <c r="S96" i="113"/>
  <c r="H71" i="113"/>
  <c r="R84" i="113"/>
  <c r="T79" i="113"/>
  <c r="E95" i="113"/>
  <c r="L77" i="113"/>
  <c r="K91" i="113"/>
  <c r="U92" i="113"/>
  <c r="H81" i="113"/>
  <c r="M76" i="113"/>
  <c r="S85" i="113"/>
  <c r="J76" i="113"/>
  <c r="J83" i="113"/>
  <c r="O76" i="113"/>
  <c r="N79" i="113"/>
  <c r="I72" i="113"/>
  <c r="P74" i="113"/>
  <c r="L74" i="113"/>
  <c r="O80" i="113"/>
  <c r="U78" i="113"/>
  <c r="L91" i="113"/>
  <c r="N86" i="113"/>
  <c r="S88" i="113"/>
  <c r="I96" i="113"/>
  <c r="R82" i="113"/>
  <c r="T77" i="113"/>
  <c r="E88" i="113"/>
  <c r="J80" i="113"/>
  <c r="S76" i="113"/>
  <c r="U87" i="113"/>
  <c r="Q79" i="113"/>
  <c r="G79" i="113"/>
  <c r="U85" i="113"/>
  <c r="U81" i="113"/>
  <c r="R81" i="113"/>
  <c r="H86" i="113"/>
  <c r="D73" i="113"/>
  <c r="I81" i="113"/>
  <c r="S93" i="113"/>
  <c r="T86" i="113"/>
  <c r="O93" i="113"/>
  <c r="F80" i="113"/>
  <c r="H75" i="113"/>
  <c r="T94" i="113"/>
  <c r="N71" i="113"/>
  <c r="L87" i="113"/>
  <c r="N82" i="113"/>
  <c r="E86" i="113"/>
  <c r="N95" i="113"/>
  <c r="S91" i="113"/>
  <c r="J71" i="113"/>
  <c r="O89" i="113"/>
  <c r="R76" i="113"/>
  <c r="S71" i="113"/>
  <c r="E91" i="113"/>
  <c r="T92" i="113"/>
  <c r="Q94" i="113"/>
  <c r="G89" i="113"/>
  <c r="F78" i="113"/>
  <c r="U96" i="113"/>
  <c r="L83" i="113"/>
  <c r="N78" i="113"/>
  <c r="V71" i="113"/>
  <c r="I86" i="113"/>
  <c r="R74" i="113"/>
  <c r="S83" i="113"/>
  <c r="E96" i="113"/>
  <c r="J72" i="113"/>
  <c r="O74" i="113"/>
  <c r="H93" i="113"/>
  <c r="E85" i="113"/>
  <c r="P95" i="113"/>
  <c r="G92" i="113"/>
  <c r="J91" i="113"/>
  <c r="D95" i="113"/>
  <c r="N89" i="113"/>
  <c r="U80" i="113"/>
  <c r="L79" i="113"/>
  <c r="O73" i="113"/>
  <c r="O87" i="113"/>
  <c r="I93" i="113"/>
  <c r="P87" i="113"/>
  <c r="K83" i="113"/>
  <c r="O79" i="113"/>
  <c r="N93" i="113"/>
  <c r="T76" i="113"/>
  <c r="Q78" i="113"/>
  <c r="L92" i="113"/>
  <c r="Q83" i="113"/>
  <c r="I89" i="113"/>
  <c r="I71" i="113"/>
  <c r="M96" i="113"/>
  <c r="P83" i="113"/>
  <c r="N91" i="113"/>
  <c r="K93" i="113"/>
  <c r="S87" i="113"/>
  <c r="S80" i="113"/>
  <c r="O95" i="113"/>
  <c r="F82" i="113"/>
  <c r="H77" i="113"/>
  <c r="E82" i="113"/>
  <c r="P79" i="113"/>
  <c r="G76" i="113"/>
  <c r="U83" i="113"/>
  <c r="D79" i="113"/>
  <c r="M90" i="113"/>
  <c r="N73" i="113"/>
  <c r="K75" i="113"/>
  <c r="F89" i="113"/>
  <c r="P91" i="113"/>
  <c r="T88" i="113"/>
  <c r="Q90" i="113"/>
  <c r="M84" i="113"/>
  <c r="L78" i="113"/>
  <c r="H96" i="113"/>
  <c r="T71" i="113"/>
  <c r="M92" i="113"/>
  <c r="N80" i="113"/>
  <c r="M71" i="113"/>
  <c r="K73" i="113"/>
  <c r="F87" i="113"/>
  <c r="H78" i="113"/>
  <c r="N85" i="113"/>
  <c r="K87" i="113"/>
  <c r="S77" i="113"/>
  <c r="O96" i="113"/>
  <c r="E72" i="113"/>
  <c r="U77" i="113"/>
  <c r="M73" i="113"/>
  <c r="T80" i="113"/>
  <c r="L96" i="113"/>
  <c r="H88" i="113"/>
  <c r="G83" i="113"/>
  <c r="R73" i="113"/>
  <c r="F79" i="113"/>
  <c r="N77" i="113"/>
  <c r="F93" i="113"/>
  <c r="E89" i="113"/>
  <c r="J85" i="113"/>
  <c r="K80" i="113"/>
  <c r="H90" i="113"/>
  <c r="R88" i="113"/>
  <c r="E83" i="113"/>
  <c r="T78" i="113"/>
  <c r="O92" i="113"/>
  <c r="R75" i="113"/>
  <c r="J92" i="113"/>
  <c r="E87" i="113"/>
  <c r="M78" i="113"/>
  <c r="U82" i="113"/>
  <c r="R71" i="113"/>
  <c r="D21" i="113" a="1"/>
  <c r="D21" i="113" l="1"/>
  <c r="E16" i="113"/>
  <c r="E15" i="113"/>
  <c r="E14" i="113"/>
  <c r="E13" i="113"/>
  <c r="E12" i="113"/>
  <c r="E11" i="113"/>
  <c r="D29" i="113" a="1"/>
  <c r="D38" i="113" a="1"/>
  <c r="D33" i="113" a="1"/>
  <c r="D39" i="113" a="1"/>
  <c r="D59" i="113" a="1"/>
  <c r="D41" i="113" a="1"/>
  <c r="D46" i="113" a="1"/>
  <c r="D40" i="113" a="1"/>
  <c r="D63" i="113" a="1"/>
  <c r="D57" i="113" a="1"/>
  <c r="D51" i="113" a="1"/>
  <c r="D45" i="113" a="1"/>
  <c r="D47" i="113" a="1"/>
  <c r="D58" i="113" a="1"/>
  <c r="D56" i="113" a="1"/>
  <c r="D50" i="113" a="1"/>
  <c r="D55" i="113" a="1"/>
  <c r="D43" i="113" a="1"/>
  <c r="D53" i="113" a="1"/>
  <c r="D52" i="113" a="1"/>
  <c r="D62" i="113" a="1"/>
  <c r="D44" i="113" a="1"/>
  <c r="D61" i="113" a="1"/>
  <c r="D49" i="113" a="1"/>
  <c r="D60" i="113" a="1"/>
  <c r="D54" i="113" a="1"/>
  <c r="D48" i="113" a="1"/>
  <c r="D42" i="113" a="1"/>
  <c r="G1" i="113"/>
  <c r="D29" i="113" l="1"/>
  <c r="D42" i="113"/>
  <c r="D48" i="113"/>
  <c r="D54" i="113"/>
  <c r="D60" i="113"/>
  <c r="D49" i="113"/>
  <c r="D61" i="113"/>
  <c r="D44" i="113"/>
  <c r="D62" i="113"/>
  <c r="D52" i="113"/>
  <c r="D53" i="113"/>
  <c r="D43" i="113"/>
  <c r="D55" i="113"/>
  <c r="D50" i="113"/>
  <c r="D56" i="113"/>
  <c r="D58" i="113"/>
  <c r="D47" i="113"/>
  <c r="D45" i="113"/>
  <c r="D51" i="113"/>
  <c r="D57" i="113"/>
  <c r="D63" i="113"/>
  <c r="D40" i="113"/>
  <c r="D46" i="113"/>
  <c r="D41" i="113"/>
  <c r="D59" i="113"/>
  <c r="D39" i="113"/>
  <c r="D33" i="113"/>
  <c r="D38" i="113"/>
  <c r="E29" i="113" a="1"/>
  <c r="R6" i="113" a="1"/>
  <c r="G37" i="113" l="1"/>
  <c r="S37" i="113"/>
  <c r="H37" i="113"/>
  <c r="I37" i="113"/>
  <c r="U37" i="113"/>
  <c r="J37" i="113"/>
  <c r="V37" i="113"/>
  <c r="K37" i="113"/>
  <c r="W37" i="113"/>
  <c r="L37" i="113"/>
  <c r="X37" i="113"/>
  <c r="M37" i="113"/>
  <c r="Y37" i="113"/>
  <c r="Z37" i="113"/>
  <c r="T37" i="113"/>
  <c r="O37" i="113"/>
  <c r="E37" i="113"/>
  <c r="Q37" i="113"/>
  <c r="R37" i="113"/>
  <c r="N37" i="113"/>
  <c r="P37" i="113"/>
  <c r="F37" i="113"/>
  <c r="E29" i="113"/>
  <c r="D37" i="113" s="1"/>
  <c r="R6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<sst xmlns="http://schemas.openxmlformats.org/spreadsheetml/2006/main" count="74" uniqueCount="60">
  <si>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</si>
  <si>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</si>
  <si>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</si>
  <si>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</si>
  <si>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</si>
  <si>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</si>
  <si>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</si>
  <si>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</si>
  <si>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</si>
  <si>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</si>
  <si>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</si>
  <si>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</si>
  <si>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</si>
  <si>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</si>
  <si>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</si>
  <si>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</si>
  <si>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</si>
  <si>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</si>
  <si>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</si>
  <si>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</si>
  <si>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</si>
  <si>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</si>
  <si>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</si>
  <si>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</si>
  <si>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</si>
  <si>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</si>
  <si>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</si>
  <si>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</si>
  <si>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</si>
  <si>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</si>
  <si>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</si>
  <si>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</si>
  <si>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</si>
  <si>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</si>
  <si>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</si>
  <si>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</si>
  <si>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</si>
  <si>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</si>
  <si>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</si>
  <si>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</si>
  <si>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</si>
  <si>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</si>
  <si>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</si>
  <si>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</si>
  <si>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</si>
  <si>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</si>
  <si>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</si>
  <si>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</si>
  <si>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</si>
  <si>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</si>
  <si>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</si>
  <si>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</si>
  <si>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</si>
  <si>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</si>
  <si>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</si>
  <si>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</si>
  <si>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</si>
  <si>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</si>
  <si>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</si>
  <si>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Расшифровка лога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</si>
</sst>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18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6.5661875063976596E-2</c:v>
                </c:pt>
                <c:pt idx="1">
                  <c:v>6.2413684458147198E-2</c:v>
                </c:pt>
                <c:pt idx="2">
                  <c:v>5.8578466280318202E-2</c:v>
                </c:pt>
                <c:pt idx="3">
                  <c:v>5.1600552056456798E-2</c:v>
                </c:pt>
                <c:pt idx="4">
                  <c:v>4.0039352970392503E-2</c:v>
                </c:pt>
                <c:pt idx="5">
                  <c:v>3.1068461913617899E-2</c:v>
                </c:pt>
                <c:pt idx="6">
                  <c:v>2.4107515583273401E-2</c:v>
                </c:pt>
                <c:pt idx="7">
                  <c:v>1.8706182147466801E-2</c:v>
                </c:pt>
                <c:pt idx="8">
                  <c:v>1.4515027453803399E-2</c:v>
                </c:pt>
                <c:pt idx="9">
                  <c:v>1.12629087177576E-2</c:v>
                </c:pt>
                <c:pt idx="10">
                  <c:v>8.7394331969589591E-3</c:v>
                </c:pt>
                <c:pt idx="11">
                  <c:v>6.7813470319339399E-3</c:v>
                </c:pt>
                <c:pt idx="12">
                  <c:v>5.26197369224369E-3</c:v>
                </c:pt>
                <c:pt idx="13">
                  <c:v>4.0830187582906298E-3</c:v>
                </c:pt>
                <c:pt idx="14">
                  <c:v>3.1682108569122602E-3</c:v>
                </c:pt>
                <c:pt idx="15">
                  <c:v>2.4583673571117702E-3</c:v>
                </c:pt>
                <c:pt idx="16">
                  <c:v>1.9075656057825499E-3</c:v>
                </c:pt>
                <c:pt idx="17">
                  <c:v>1.4801720051472E-3</c:v>
                </c:pt>
                <c:pt idx="18">
                  <c:v>1.14853673088885E-3</c:v>
                </c:pt>
                <c:pt idx="19">
                  <c:v>8.9120495294710603E-4</c:v>
                </c:pt>
                <c:pt idx="20">
                  <c:v>6.9152883560179301E-4</c:v>
                </c:pt>
                <c:pt idx="21">
                  <c:v>5.3659052150392802E-4</c:v>
                </c:pt>
                <c:pt idx="22">
                  <c:v>4.1636642312578597E-4</c:v>
                </c:pt>
                <c:pt idx="23">
                  <c:v>3.2307875625658402E-4</c:v>
                </c:pt>
                <c:pt idx="24">
                  <c:v>2.5069236361734099E-4</c:v>
                </c:pt>
                <c:pt idx="25">
                  <c:v>1.9452427607507901E-4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6.4416926551517706E-2</c:v>
                </c:pt>
                <c:pt idx="1">
                  <c:v>6.3826348619054896E-2</c:v>
                </c:pt>
                <c:pt idx="2">
                  <c:v>6.3095734448019303E-2</c:v>
                </c:pt>
                <c:pt idx="3">
                  <c:v>6.16595001861482E-2</c:v>
                </c:pt>
                <c:pt idx="4">
                  <c:v>5.8884365535558897E-2</c:v>
                </c:pt>
                <c:pt idx="5">
                  <c:v>5.6234132519034898E-2</c:v>
                </c:pt>
                <c:pt idx="6">
                  <c:v>5.3703179637025297E-2</c:v>
                </c:pt>
                <c:pt idx="7">
                  <c:v>5.1286138399136497E-2</c:v>
                </c:pt>
                <c:pt idx="8">
                  <c:v>4.8977881936844603E-2</c:v>
                </c:pt>
                <c:pt idx="9">
                  <c:v>4.6773514128719801E-2</c:v>
                </c:pt>
                <c:pt idx="10">
                  <c:v>4.46683592150963E-2</c:v>
                </c:pt>
                <c:pt idx="11">
                  <c:v>4.2657951880159299E-2</c:v>
                </c:pt>
                <c:pt idx="12">
                  <c:v>4.0738027780411301E-2</c:v>
                </c:pt>
                <c:pt idx="13">
                  <c:v>3.8904514499428097E-2</c:v>
                </c:pt>
                <c:pt idx="14">
                  <c:v>3.7153522909717303E-2</c:v>
                </c:pt>
                <c:pt idx="15">
                  <c:v>3.54813389233576E-2</c:v>
                </c:pt>
                <c:pt idx="16">
                  <c:v>3.3884415613920298E-2</c:v>
                </c:pt>
                <c:pt idx="17">
                  <c:v>3.2359365692962799E-2</c:v>
                </c:pt>
                <c:pt idx="18">
                  <c:v>3.0902954325135901E-2</c:v>
                </c:pt>
                <c:pt idx="19">
                  <c:v>2.9512092266663899E-2</c:v>
                </c:pt>
                <c:pt idx="20">
                  <c:v>2.8183829312644501E-2</c:v>
                </c:pt>
                <c:pt idx="21">
                  <c:v>2.6915348039269201E-2</c:v>
                </c:pt>
                <c:pt idx="22">
                  <c:v>2.5703957827688601E-2</c:v>
                </c:pt>
                <c:pt idx="23">
                  <c:v>2.4547089156850301E-2</c:v>
                </c:pt>
                <c:pt idx="24">
                  <c:v>2.3442288153199198E-2</c:v>
                </c:pt>
                <c:pt idx="25">
                  <c:v>2.2387211385683399E-2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1925.7003792225801</c:v>
                </c:pt>
                <c:pt idx="1">
                  <c:v>1907.2056510380501</c:v>
                </c:pt>
                <c:pt idx="2">
                  <c:v>1883.56797076571</c:v>
                </c:pt>
                <c:pt idx="3">
                  <c:v>1833.67274135261</c:v>
                </c:pt>
                <c:pt idx="4">
                  <c:v>1722.3948137387399</c:v>
                </c:pt>
                <c:pt idx="5">
                  <c:v>1605.6274265025399</c:v>
                </c:pt>
                <c:pt idx="6">
                  <c:v>1502.9546426222601</c:v>
                </c:pt>
                <c:pt idx="7">
                  <c:v>1429.1681252533999</c:v>
                </c:pt>
                <c:pt idx="8">
                  <c:v>1388.32819490264</c:v>
                </c:pt>
                <c:pt idx="9">
                  <c:v>1376.83967124131</c:v>
                </c:pt>
                <c:pt idx="10">
                  <c:v>1388.28355294061</c:v>
                </c:pt>
                <c:pt idx="11">
                  <c:v>1416.3711538520099</c:v>
                </c:pt>
                <c:pt idx="12">
                  <c:v>1456.0516587639299</c:v>
                </c:pt>
                <c:pt idx="13">
                  <c:v>1503.6454745373001</c:v>
                </c:pt>
                <c:pt idx="14">
                  <c:v>1556.6158008161799</c:v>
                </c:pt>
                <c:pt idx="15">
                  <c:v>1613.27072169959</c:v>
                </c:pt>
                <c:pt idx="16">
                  <c:v>1672.50392748123</c:v>
                </c:pt>
                <c:pt idx="17">
                  <c:v>1733.5991597636</c:v>
                </c:pt>
                <c:pt idx="18">
                  <c:v>1796.09276349731</c:v>
                </c:pt>
                <c:pt idx="19">
                  <c:v>1859.6808350175199</c:v>
                </c:pt>
                <c:pt idx="20">
                  <c:v>1924.1580017926201</c:v>
                </c:pt>
                <c:pt idx="21">
                  <c:v>1989.3777260142499</c:v>
                </c:pt>
                <c:pt idx="22">
                  <c:v>2055.22692530411</c:v>
                </c:pt>
                <c:pt idx="23">
                  <c:v>2121.6100038142199</c:v>
                </c:pt>
                <c:pt idx="24">
                  <c:v>2188.4390365416598</c:v>
                </c:pt>
                <c:pt idx="25">
                  <c:v>2255.62797463671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66"/>
  <sheetViews>
    <sheetView tabSelected="1" topLeftCell="E84" zoomScale="70" zoomScaleNormal="70" workbookViewId="0">
      <selection activeCell="AB130" sqref="AB130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12.33203125" bestFit="1" customWidth="1"/>
    <col min="19" max="19" width="12.6640625" bestFit="1" customWidth="1"/>
    <col min="20" max="21" width="10.5546875" bestFit="1" customWidth="1"/>
    <col min="22" max="25" width="9.109375" customWidth="1"/>
    <col min="26" max="26" width="11.21875" customWidth="1"/>
    <col min="27" max="32" width="9.109375" customWidth="1"/>
  </cols>
  <sheetData>
    <row r="1" spans="1:18" x14ac:dyDescent="0.25">
      <c r="A1" s="1" t="s">
        <v>20</v>
      </c>
      <c r="F1" t="s">
        <v>30</v>
      </c>
      <c r="G1" t="str">
        <f>[1]!unf_Version()</f>
        <v>7.26</v>
      </c>
      <c r="H1" s="21" t="s">
        <v>44</v>
      </c>
      <c r="I1" s="25">
        <v>44265</v>
      </c>
      <c r="J1" s="26"/>
      <c r="K1" s="26"/>
      <c r="L1" s="27"/>
    </row>
    <row r="2" spans="1:18" x14ac:dyDescent="0.25">
      <c r="A2" t="s">
        <v>21</v>
      </c>
      <c r="H2" s="21" t="s">
        <v>45</v>
      </c>
      <c r="I2" s="28">
        <v>7.26</v>
      </c>
      <c r="J2" s="23"/>
      <c r="K2" s="23"/>
      <c r="L2" s="24"/>
    </row>
    <row r="3" spans="1:18" ht="14.4" x14ac:dyDescent="0.3">
      <c r="A3" s="22" t="s">
        <v>37</v>
      </c>
      <c r="B3" s="44" t="s">
        <v>39</v>
      </c>
      <c r="C3" s="44"/>
      <c r="D3" s="44"/>
      <c r="E3" s="45"/>
      <c r="H3" s="22" t="s">
        <v>37</v>
      </c>
      <c r="I3" s="46" t="s">
        <v>39</v>
      </c>
      <c r="J3" s="46"/>
      <c r="K3" s="46"/>
      <c r="L3" s="46"/>
    </row>
    <row r="4" spans="1:18" ht="14.4" x14ac:dyDescent="0.3">
      <c r="A4" s="22" t="s">
        <v>41</v>
      </c>
      <c r="B4" s="44" t="s">
        <v>42</v>
      </c>
      <c r="C4" s="44"/>
      <c r="D4" s="44"/>
      <c r="E4" s="45"/>
      <c r="H4" s="22" t="s">
        <v>41</v>
      </c>
      <c r="I4" s="47" t="s">
        <v>42</v>
      </c>
      <c r="J4" s="47"/>
      <c r="K4" s="47"/>
      <c r="L4" s="47"/>
      <c r="R4" t="s">
        <v>59</v>
      </c>
    </row>
    <row r="5" spans="1:18" ht="14.4" x14ac:dyDescent="0.3">
      <c r="A5" s="22" t="s">
        <v>46</v>
      </c>
      <c r="B5" s="44" t="s">
        <v>40</v>
      </c>
      <c r="C5" s="44"/>
      <c r="D5" s="44"/>
      <c r="E5" s="45"/>
      <c r="H5" s="22" t="s">
        <v>46</v>
      </c>
      <c r="I5" s="47" t="s">
        <v>40</v>
      </c>
      <c r="J5" s="47"/>
      <c r="K5" s="47"/>
      <c r="L5" s="47"/>
    </row>
    <row r="6" spans="1:18" x14ac:dyDescent="0.25">
      <c r="A6" s="50" t="s">
        <v>38</v>
      </c>
      <c r="B6" s="53" t="s">
        <v>43</v>
      </c>
      <c r="C6" s="54"/>
      <c r="D6" s="54"/>
      <c r="E6" s="55"/>
      <c r="H6" s="62" t="s">
        <v>38</v>
      </c>
      <c r="I6" s="63" t="s">
        <v>43</v>
      </c>
      <c r="J6" s="63"/>
      <c r="K6" s="63"/>
      <c r="L6" s="63"/>
      <c r="R6" t="str" cm="1">
        <f t="array" ref="R6">[1]!decode_json(D31)</f>
        <v xml:space="preserve">CPVT object created </v>
      </c>
    </row>
    <row r="7" spans="1:18" x14ac:dyDescent="0.25">
      <c r="A7" s="51"/>
      <c r="B7" s="56"/>
      <c r="C7" s="57"/>
      <c r="D7" s="57"/>
      <c r="E7" s="58"/>
      <c r="H7" s="62"/>
      <c r="I7" s="63"/>
      <c r="J7" s="63"/>
      <c r="K7" s="63"/>
      <c r="L7" s="63"/>
    </row>
    <row r="8" spans="1:18" x14ac:dyDescent="0.25">
      <c r="A8" s="52"/>
      <c r="B8" s="59"/>
      <c r="C8" s="60"/>
      <c r="D8" s="60"/>
      <c r="E8" s="61"/>
      <c r="H8" s="62"/>
      <c r="I8" s="63"/>
      <c r="J8" s="63"/>
      <c r="K8" s="63"/>
      <c r="L8" s="63"/>
    </row>
    <row r="10" spans="1:18" x14ac:dyDescent="0.25">
      <c r="A10" s="1" t="s">
        <v>1</v>
      </c>
    </row>
    <row r="11" spans="1:18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8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8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8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8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8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7" ht="15.6" x14ac:dyDescent="0.35">
      <c r="B17" s="7" t="s">
        <v>17</v>
      </c>
      <c r="C17" s="2"/>
      <c r="D17" s="4" t="s">
        <v>2</v>
      </c>
      <c r="E17" s="19"/>
      <c r="F17" s="6"/>
    </row>
    <row r="18" spans="2:27" ht="15.6" x14ac:dyDescent="0.35">
      <c r="B18" s="8" t="s">
        <v>18</v>
      </c>
      <c r="C18" s="2"/>
      <c r="D18" s="4" t="s">
        <v>6</v>
      </c>
      <c r="E18" s="19"/>
      <c r="F18" s="6"/>
    </row>
    <row r="21" spans="2:27" x14ac:dyDescent="0.25">
      <c r="B21" s="48" t="s">
        <v>54</v>
      </c>
      <c r="C21" s="49"/>
      <c r="D21" s="39" t="str" cm="1">
        <f t="array" ref="D21">[1]!encode_json(B22:C24)</f>
        <v>{"show_log":1,"PVT_correlation":1}</v>
      </c>
      <c r="E21" s="18"/>
      <c r="F21" s="18"/>
    </row>
    <row r="22" spans="2:27" x14ac:dyDescent="0.25">
      <c r="B22" s="38" t="s">
        <v>55</v>
      </c>
      <c r="C22" s="38">
        <v>1</v>
      </c>
    </row>
    <row r="23" spans="2:27" x14ac:dyDescent="0.25">
      <c r="B23" s="38" t="s">
        <v>58</v>
      </c>
      <c r="C23" s="38">
        <v>1</v>
      </c>
    </row>
    <row r="24" spans="2:27" x14ac:dyDescent="0.25">
      <c r="B24" s="38"/>
      <c r="C24" s="38"/>
    </row>
    <row r="26" spans="2:27" ht="15" customHeight="1" x14ac:dyDescent="0.25">
      <c r="B26" s="40" t="s">
        <v>31</v>
      </c>
      <c r="C26" s="42"/>
      <c r="D26" s="41" t="str">
        <f>[1]!encode_PVT(gamma_gas_,gamma_oil_,gamma_wat_,Rsb_,Pb_,Tres_,Bob_,muob_,C23)</f>
        <v>{"gamma_gas":0.9,"gamma_oil":0.9,"gamma_wat":1.1,"rsb_m3m3":120,"t_res_C":100,"PVT_corr_set":1}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7" x14ac:dyDescent="0.25">
      <c r="B28" s="9" t="s">
        <v>0</v>
      </c>
      <c r="C28" s="9" t="s">
        <v>4</v>
      </c>
    </row>
    <row r="29" spans="2:27" x14ac:dyDescent="0.25">
      <c r="B29" s="12">
        <v>240</v>
      </c>
      <c r="C29" s="43">
        <v>50</v>
      </c>
      <c r="D29" s="64" t="str" cm="1">
        <f t="array" ref="D29:D31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E29" s="67" t="str" cm="1">
        <f t="array" ref="E29:AA30">[1]!decode_json(D29,1,)</f>
        <v>rs_m3m3</v>
      </c>
      <c r="F29" s="68" t="str">
        <v>pb_atma</v>
      </c>
      <c r="G29" s="68" t="str">
        <v>bo_m3m3</v>
      </c>
      <c r="H29" s="68" t="str">
        <v>bg_m3m3</v>
      </c>
      <c r="I29" s="68" t="str">
        <v>bw_m3m3</v>
      </c>
      <c r="J29" s="68" t="str">
        <v>mu_oil_cP</v>
      </c>
      <c r="K29" s="68" t="str">
        <v>mu_gas_cP</v>
      </c>
      <c r="L29" s="68" t="str">
        <v>mu_wat_cP</v>
      </c>
      <c r="M29" s="68" t="str">
        <v>rho_oil_rc_kgm3</v>
      </c>
      <c r="N29" s="68" t="str">
        <v>rho_gas_rc_kgm3</v>
      </c>
      <c r="O29" s="68" t="str">
        <v>rho_wat_rc_kgm3</v>
      </c>
      <c r="P29" s="68" t="str">
        <v>compressibility_oil_1atm</v>
      </c>
      <c r="Q29" s="68" t="str">
        <v>compressibility_gas_1atm</v>
      </c>
      <c r="R29" s="68" t="str">
        <v>compressibility_wat_1atm</v>
      </c>
      <c r="S29" s="68" t="str">
        <v>sigma_liq_Nm</v>
      </c>
      <c r="T29" s="68" t="str">
        <v>sigma_oil_gas_Nm</v>
      </c>
      <c r="U29" s="68" t="str">
        <v>sigma_wat_gas_Nm</v>
      </c>
      <c r="V29" s="68" t="str">
        <v>cp_oil_JkgC</v>
      </c>
      <c r="W29" s="68" t="str">
        <v>cp_gas_JkgC</v>
      </c>
      <c r="X29" s="68" t="str">
        <v>cv_gas_JkgC</v>
      </c>
      <c r="Y29" s="68" t="str">
        <v>cp_wat_JkgC</v>
      </c>
      <c r="Z29" s="68" t="str">
        <v>z</v>
      </c>
      <c r="AA29" s="69" t="str">
        <v>sal_ppm</v>
      </c>
    </row>
    <row r="30" spans="2:27" x14ac:dyDescent="0.25">
      <c r="D30" s="65" t="str">
        <v>json</v>
      </c>
      <c r="E30" s="70">
        <v>120</v>
      </c>
      <c r="F30" s="71">
        <v>169.55790619854201</v>
      </c>
      <c r="G30" s="71">
        <v>1.3073279268703599</v>
      </c>
      <c r="H30" s="71">
        <v>3.5204376471127102E-3</v>
      </c>
      <c r="I30" s="71">
        <v>1.00906772183023</v>
      </c>
      <c r="J30" s="71">
        <v>2.3744493712355901</v>
      </c>
      <c r="K30" s="71">
        <v>3.7317782657639999E-2</v>
      </c>
      <c r="L30" s="71">
        <v>0.83496697383839202</v>
      </c>
      <c r="M30" s="71">
        <v>789.35328985925798</v>
      </c>
      <c r="N30" s="71">
        <v>312.32764508747402</v>
      </c>
      <c r="O30" s="71">
        <v>1090.11513915522</v>
      </c>
      <c r="P30" s="71">
        <v>1.3608425925925899E-4</v>
      </c>
      <c r="Q30" s="71">
        <v>1.7817046839307001E-3</v>
      </c>
      <c r="R30" s="71">
        <v>3.31880766327554E-5</v>
      </c>
      <c r="S30" s="71">
        <v>3.1682108569122602E-3</v>
      </c>
      <c r="T30" s="71">
        <v>3.1682108569122602E-3</v>
      </c>
      <c r="U30" s="71">
        <v>3.7153522909717303E-2</v>
      </c>
      <c r="V30" s="71">
        <v>2427.4</v>
      </c>
      <c r="W30" s="71">
        <v>1408.5329495710801</v>
      </c>
      <c r="X30" s="71">
        <v>1165.4929408359999</v>
      </c>
      <c r="Y30" s="71">
        <v>4176</v>
      </c>
      <c r="Z30" s="71">
        <v>0.76333865559390501</v>
      </c>
      <c r="AA30" s="72">
        <v>136861.03231316101</v>
      </c>
    </row>
    <row r="31" spans="2:27" x14ac:dyDescent="0.25">
      <c r="D31" s="66" t="str">
        <v>["CPVT object created "]</v>
      </c>
    </row>
    <row r="33" spans="2:26" x14ac:dyDescent="0.2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2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6.5661875063976596E-2</v>
      </c>
      <c r="S34">
        <v>6.5661875063976596E-2</v>
      </c>
      <c r="T34">
        <v>6.4416926551517706E-2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25">
      <c r="B35" t="s">
        <v>56</v>
      </c>
    </row>
    <row r="37" spans="2:26" s="31" customFormat="1" ht="39.6" x14ac:dyDescent="0.25">
      <c r="B37" s="32" t="s">
        <v>0</v>
      </c>
      <c r="C37" s="32" t="s">
        <v>4</v>
      </c>
      <c r="D37" s="32" t="str">
        <f>E29</f>
        <v>rs_m3m3</v>
      </c>
      <c r="E37" s="32" t="str">
        <f t="shared" ref="E37:AA37" si="0">F29</f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2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6.5661875063976596E-2</v>
      </c>
      <c r="S38" s="35">
        <v>6.5661875063976596E-2</v>
      </c>
      <c r="T38" s="35">
        <v>6.4416926551517706E-2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2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6.2413684458147198E-2</v>
      </c>
      <c r="S39" s="35">
        <v>6.2413684458147198E-2</v>
      </c>
      <c r="T39" s="35">
        <v>6.3826348619054896E-2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2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5.8578466280318202E-2</v>
      </c>
      <c r="S40" s="35">
        <v>5.8578466280318202E-2</v>
      </c>
      <c r="T40" s="35">
        <v>6.3095734448019303E-2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2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5.1600552056456798E-2</v>
      </c>
      <c r="S41" s="35">
        <v>5.1600552056456798E-2</v>
      </c>
      <c r="T41" s="35">
        <v>6.16595001861482E-2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2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4.0039352970392503E-2</v>
      </c>
      <c r="S42" s="35">
        <v>4.0039352970392503E-2</v>
      </c>
      <c r="T42" s="35">
        <v>5.8884365535558897E-2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2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3.1068461913617899E-2</v>
      </c>
      <c r="S43" s="35">
        <v>3.1068461913617899E-2</v>
      </c>
      <c r="T43" s="35">
        <v>5.6234132519034898E-2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2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2.4107515583273401E-2</v>
      </c>
      <c r="S44" s="35">
        <v>2.4107515583273401E-2</v>
      </c>
      <c r="T44" s="35">
        <v>5.3703179637025297E-2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2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1.8706182147466801E-2</v>
      </c>
      <c r="S45" s="35">
        <v>1.8706182147466801E-2</v>
      </c>
      <c r="T45" s="35">
        <v>5.1286138399136497E-2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2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1.4515027453803399E-2</v>
      </c>
      <c r="S46" s="35">
        <v>1.4515027453803399E-2</v>
      </c>
      <c r="T46" s="35">
        <v>4.8977881936844603E-2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2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1.12629087177576E-2</v>
      </c>
      <c r="S47" s="35">
        <v>1.12629087177576E-2</v>
      </c>
      <c r="T47" s="35">
        <v>4.6773514128719801E-2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2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8.7394331969589591E-3</v>
      </c>
      <c r="S48" s="35">
        <v>8.7394331969589591E-3</v>
      </c>
      <c r="T48" s="35">
        <v>4.46683592150963E-2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2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6.7813470319339399E-3</v>
      </c>
      <c r="S49" s="35">
        <v>6.7813470319339399E-3</v>
      </c>
      <c r="T49" s="35">
        <v>4.2657951880159299E-2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2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5.26197369224369E-3</v>
      </c>
      <c r="S50" s="35">
        <v>5.26197369224369E-3</v>
      </c>
      <c r="T50" s="35">
        <v>4.0738027780411301E-2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2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4.0830187582906298E-3</v>
      </c>
      <c r="S51" s="35">
        <v>4.0830187582906298E-3</v>
      </c>
      <c r="T51" s="35">
        <v>3.8904514499428097E-2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2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3.1682108569122602E-3</v>
      </c>
      <c r="S52" s="35">
        <v>3.1682108569122602E-3</v>
      </c>
      <c r="T52" s="35">
        <v>3.7153522909717303E-2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2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2.4583673571117702E-3</v>
      </c>
      <c r="S53" s="35">
        <v>2.4583673571117702E-3</v>
      </c>
      <c r="T53" s="35">
        <v>3.54813389233576E-2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2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1.9075656057825499E-3</v>
      </c>
      <c r="S54" s="35">
        <v>1.9075656057825499E-3</v>
      </c>
      <c r="T54" s="35">
        <v>3.3884415613920298E-2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2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1.4801720051472E-3</v>
      </c>
      <c r="S55" s="35">
        <v>1.4801720051472E-3</v>
      </c>
      <c r="T55" s="35">
        <v>3.2359365692962799E-2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2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1.14853673088885E-3</v>
      </c>
      <c r="S56" s="35">
        <v>1.14853673088885E-3</v>
      </c>
      <c r="T56" s="35">
        <v>3.0902954325135901E-2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2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8.9120495294710603E-4</v>
      </c>
      <c r="S57" s="35">
        <v>8.9120495294710603E-4</v>
      </c>
      <c r="T57" s="35">
        <v>2.9512092266663899E-2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2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6.9152883560179301E-4</v>
      </c>
      <c r="S58" s="35">
        <v>6.9152883560179301E-4</v>
      </c>
      <c r="T58" s="35">
        <v>2.8183829312644501E-2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2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5.3659052150392802E-4</v>
      </c>
      <c r="S59" s="35">
        <v>5.3659052150392802E-4</v>
      </c>
      <c r="T59" s="35">
        <v>2.6915348039269201E-2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2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4.1636642312578597E-4</v>
      </c>
      <c r="S60" s="35">
        <v>4.1636642312578597E-4</v>
      </c>
      <c r="T60" s="35">
        <v>2.5703957827688601E-2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2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3.2307875625658402E-4</v>
      </c>
      <c r="S61" s="35">
        <v>3.2307875625658402E-4</v>
      </c>
      <c r="T61" s="35">
        <v>2.4547089156850301E-2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2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2.5069236361734099E-4</v>
      </c>
      <c r="S62" s="35">
        <v>2.5069236361734099E-4</v>
      </c>
      <c r="T62" s="35">
        <v>2.3442288153199198E-2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2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1.9452427607507901E-4</v>
      </c>
      <c r="S63" s="35">
        <v>1.9452427607507901E-4</v>
      </c>
      <c r="T63" s="35">
        <v>2.2387211385683399E-2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[1]!PVT_rs_m3m3(B71,C71,[1]!encode_PVT(gamma_gas_,gamma_oil_,gamma_wat_,Rsb_,Pb_,Tres_,Bob_,muob_))</f>
        <v>0.19472831372300201</v>
      </c>
      <c r="E71" s="14">
        <f>[1]!PVT_bo_m3m3(B71,C71,PVT_str_)</f>
        <v>1.0556111252313001</v>
      </c>
      <c r="F71" s="73">
        <f>[1]!PVT_mu_oil_cP(B71,C71,[1]!encode_PVT(gamma_gas_,gamma_oil_,gamma_wat_,Rsb_,Pb_,Tres_,Bob_,muob_))</f>
        <v>5.2427784166943301</v>
      </c>
      <c r="G71" s="15">
        <f>[1]!PVT_mu_gas_cP(B71,C71,[1]!encode_PVT(gamma_gas_,gamma_oil_,gamma_wat_,Rsb_,Pb_,Tres_,Bob_,muob_))</f>
        <v>1.1660919395050101E-2</v>
      </c>
      <c r="H71" s="14">
        <f>[1]!PVT_mu_wat_cP(B71,C71,[1]!encode_PVT(gamma_gas_,gamma_oil_,gamma_wat_,Rsb_,Pb_,Tres_,Bob_,muob_))</f>
        <v>0.49450516561346203</v>
      </c>
      <c r="I71" s="73">
        <f>[1]!PVT_rho_gas_kgm3(B71,C71,[1]!encode_PVT(gamma_gas_,gamma_oil_,gamma_wat_,Rsb_,Pb_,Tres_,Bob_,muob_))</f>
        <v>0.91112494408482303</v>
      </c>
      <c r="J71" s="73">
        <f>[1]!PVT_rho_wat_kgm3(B71,C71,[1]!encode_PVT(gamma_gas_,gamma_oil_,gamma_wat_,Rsb_,Pb_,Tres_,Bob_,muob_))</f>
        <v>1067.62319378745</v>
      </c>
      <c r="K71" s="73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1.20678289749209</v>
      </c>
      <c r="M71" s="20">
        <f>[1]!PVT_bw_m3m3(B71,C71,[1]!encode_PVT(gamma_gas_,gamma_oil_,gamma_wat_,Rsb_,Pb_,Tres_,Bob_,muob_))</f>
        <v>1.0303260611056</v>
      </c>
      <c r="N71" s="15">
        <f>[1]!PVT_ST_liqgas_Nm(B71,C71,[1]!encode_PVT(gamma_gas_,gamma_oil_,gamma_wat_,Rsb_,Pb_,Tres_,Bob_,muob_))</f>
        <v>6.5661875063976596E-2</v>
      </c>
      <c r="O71" s="15">
        <f>[1]!PVT_ST_oilgas_Nm(B71,C71,[1]!encode_PVT(gamma_gas_,gamma_oil_,gamma_wat_,Rsb_,Pb_,Tres_,Bob_,muob_))</f>
        <v>6.5661875063976596E-2</v>
      </c>
      <c r="P71" s="20">
        <f>[1]!PVT_ST_watgas_Nm(B71,C71,[1]!encode_PVT(gamma_gas_,gamma_oil_,gamma_wat_,Rsb_,Pb_,Tres_,Bob_,muob_))</f>
        <v>6.4416926551517706E-2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1925.7003792225801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3.78374620279512E-5</v>
      </c>
      <c r="U71" s="30">
        <f>[1]!PVT_compressibility_oil_1atm(B71,C71,[1]!encode_PVT(gamma_gas_,gamma_oil_,gamma_wat_,Rsb_,Pb_,Tres_,Bob_,muob_))</f>
        <v>0.26756250411835097</v>
      </c>
      <c r="V71" s="30">
        <f>[1]!PVT_compressibility_gas_1atm(B71,C71,[1]!encode_PVT(gamma_gas_,gamma_oil_,gamma_wat_,Rsb_,Pb_,Tres_,Bob_,muob_))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[1]!PVT_rs_m3m3(B72,C72,[1]!encode_PVT(gamma_gas_,gamma_oil_,gamma_wat_,Rsb_,Pb_,Tres_,Bob_,muob_))</f>
        <v>1.3520382811770599</v>
      </c>
      <c r="E72" s="14">
        <f>[1]!PVT_bo_m3m3(B72,C72,PVT_str_)</f>
        <v>1.0921604322983101</v>
      </c>
      <c r="F72" s="73">
        <f>[1]!PVT_mu_oil_cP(B72,C72,[1]!encode_PVT(gamma_gas_,gamma_oil_,gamma_wat_,Rsb_,Pb_,Tres_,Bob_,muob_))</f>
        <v>4.9593443922187896</v>
      </c>
      <c r="G72" s="15">
        <f>[1]!PVT_mu_gas_cP(B72,C72,[1]!encode_PVT(gamma_gas_,gamma_oil_,gamma_wat_,Rsb_,Pb_,Tres_,Bob_,muob_))</f>
        <v>1.1716093611280801E-2</v>
      </c>
      <c r="H72" s="14">
        <f>[1]!PVT_mu_wat_cP(B72,C72,[1]!encode_PVT(gamma_gas_,gamma_oil_,gamma_wat_,Rsb_,Pb_,Tres_,Bob_,muob_))</f>
        <v>0.49568448521335701</v>
      </c>
      <c r="I72" s="73">
        <f>[1]!PVT_rho_gas_kgm3(B72,C72,[1]!encode_PVT(gamma_gas_,gamma_oil_,gamma_wat_,Rsb_,Pb_,Tres_,Bob_,muob_))</f>
        <v>4.59980193899995</v>
      </c>
      <c r="J72" s="73">
        <f>[1]!PVT_rho_wat_kgm3(B72,C72,[1]!encode_PVT(gamma_gas_,gamma_oil_,gamma_wat_,Rsb_,Pb_,Tres_,Bob_,muob_))</f>
        <v>1067.6686358168499</v>
      </c>
      <c r="K72" s="73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0.23903855309019001</v>
      </c>
      <c r="M72" s="20">
        <f>[1]!PVT_bw_m3m3(B72,C72,[1]!encode_PVT(gamma_gas_,gamma_oil_,gamma_wat_,Rsb_,Pb_,Tres_,Bob_,muob_))</f>
        <v>1.0302822084479599</v>
      </c>
      <c r="N72" s="15">
        <f>[1]!PVT_ST_liqgas_Nm(B72,C72,[1]!encode_PVT(gamma_gas_,gamma_oil_,gamma_wat_,Rsb_,Pb_,Tres_,Bob_,muob_))</f>
        <v>6.2413684458147198E-2</v>
      </c>
      <c r="O72" s="15">
        <f>[1]!PVT_ST_oilgas_Nm(B72,C72,[1]!encode_PVT(gamma_gas_,gamma_oil_,gamma_wat_,Rsb_,Pb_,Tres_,Bob_,muob_))</f>
        <v>6.2413684458147198E-2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1907.2056510380501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3.7796696500802801E-5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0.20244469970579701</v>
      </c>
    </row>
    <row r="73" spans="2:22" x14ac:dyDescent="0.25">
      <c r="B73" s="12">
        <v>10</v>
      </c>
      <c r="C73" s="12">
        <v>80</v>
      </c>
      <c r="D73" s="13">
        <f>[1]!PVT_rs_m3m3(B73,C73,[1]!encode_PVT(gamma_gas_,gamma_oil_,gamma_wat_,Rsb_,Pb_,Tres_,Bob_,muob_))</f>
        <v>3.11479237614224</v>
      </c>
      <c r="E73" s="14">
        <f>[1]!PVT_bo_m3m3(B73,C73,PVT_str_)</f>
        <v>1.1093843017264899</v>
      </c>
      <c r="F73" s="73">
        <f>[1]!PVT_mu_oil_cP(B73,C73,[1]!encode_PVT(gamma_gas_,gamma_oil_,gamma_wat_,Rsb_,Pb_,Tres_,Bob_,muob_))</f>
        <v>4.5839036449172896</v>
      </c>
      <c r="G73" s="15">
        <f>[1]!PVT_mu_gas_cP(B73,C73,[1]!encode_PVT(gamma_gas_,gamma_oil_,gamma_wat_,Rsb_,Pb_,Tres_,Bob_,muob_))</f>
        <v>1.1808987320130899E-2</v>
      </c>
      <c r="H73" s="14">
        <f>[1]!PVT_mu_wat_cP(B73,C73,[1]!encode_PVT(gamma_gas_,gamma_oil_,gamma_wat_,Rsb_,Pb_,Tres_,Bob_,muob_))</f>
        <v>0.49717356350540998</v>
      </c>
      <c r="I73" s="73">
        <f>[1]!PVT_rho_gas_kgm3(B73,C73,[1]!encode_PVT(gamma_gas_,gamma_oil_,gamma_wat_,Rsb_,Pb_,Tres_,Bob_,muob_))</f>
        <v>9.3150535450549103</v>
      </c>
      <c r="J73" s="73">
        <f>[1]!PVT_rho_wat_kgm3(B73,C73,[1]!encode_PVT(gamma_gas_,gamma_oil_,gamma_wat_,Rsb_,Pb_,Tres_,Bob_,muob_))</f>
        <v>1067.7280970806901</v>
      </c>
      <c r="K73" s="73">
        <f>[1]!PVT_rho_oil_kgm3(B73,C73,[1]!encode_PVT(gamma_gas_,gamma_oil_,gamma_wat_,Rsb_,Pb_,Tres_,Bob_,muob_))</f>
        <v>850.209268577138</v>
      </c>
      <c r="L73" s="20">
        <f>[1]!PVT_bg_m3m3(B73,C73,[1]!encode_PVT(gamma_gas_,gamma_oil_,gamma_wat_,Rsb_,Pb_,Tres_,Bob_,muob_))</f>
        <v>0.11803796882989601</v>
      </c>
      <c r="M73" s="20">
        <f>[1]!PVT_bw_m3m3(B73,C73,[1]!encode_PVT(gamma_gas_,gamma_oil_,gamma_wat_,Rsb_,Pb_,Tres_,Bob_,muob_))</f>
        <v>1.03022483252763</v>
      </c>
      <c r="N73" s="15">
        <f>[1]!PVT_ST_liqgas_Nm(B73,C73,[1]!encode_PVT(gamma_gas_,gamma_oil_,gamma_wat_,Rsb_,Pb_,Tres_,Bob_,muob_))</f>
        <v>5.8578466280318202E-2</v>
      </c>
      <c r="O73" s="15">
        <f>[1]!PVT_ST_oilgas_Nm(B73,C73,[1]!encode_PVT(gamma_gas_,gamma_oil_,gamma_wat_,Rsb_,Pb_,Tres_,Bob_,muob_))</f>
        <v>5.8578466280318202E-2</v>
      </c>
      <c r="P73" s="20">
        <f>[1]!PVT_ST_watgas_Nm(B73,C73,[1]!encode_PVT(gamma_gas_,gamma_oil_,gamma_wat_,Rsb_,Pb_,Tres_,Bob_,muob_))</f>
        <v>6.3095734448019303E-2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1883.56797076571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3.7745862951246003E-5</v>
      </c>
      <c r="U73" s="30">
        <f>[1]!PVT_compressibility_oil_1atm(B73,C73,[1]!encode_PVT(gamma_gas_,gamma_oil_,gamma_wat_,Rsb_,Pb_,Tres_,Bob_,muob_))</f>
        <v>4.07681917690281E-2</v>
      </c>
      <c r="V73" s="30">
        <f>[1]!PVT_compressibility_gas_1atm(B73,C73,[1]!encode_PVT(gamma_gas_,gamma_oil_,gamma_wat_,Rsb_,Pb_,Tres_,Bob_,muob_))</f>
        <v>0.102550553019295</v>
      </c>
    </row>
    <row r="74" spans="2:22" x14ac:dyDescent="0.25">
      <c r="B74" s="12">
        <v>20</v>
      </c>
      <c r="C74" s="12">
        <v>80</v>
      </c>
      <c r="D74" s="13">
        <f>[1]!PVT_rs_m3m3(B74,C74,[1]!encode_PVT(gamma_gas_,gamma_oil_,gamma_wat_,Rsb_,Pb_,Tres_,Bob_,muob_))</f>
        <v>7.1757816931244802</v>
      </c>
      <c r="E74" s="14">
        <f>[1]!PVT_bo_m3m3(B74,C74,PVT_str_)</f>
        <v>1.1327469419179701</v>
      </c>
      <c r="F74" s="73">
        <f>[1]!PVT_mu_oil_cP(B74,C74,[1]!encode_PVT(gamma_gas_,gamma_oil_,gamma_wat_,Rsb_,Pb_,Tres_,Bob_,muob_))</f>
        <v>3.9094914165022399</v>
      </c>
      <c r="G74" s="15">
        <f>[1]!PVT_mu_gas_cP(B74,C74,[1]!encode_PVT(gamma_gas_,gamma_oil_,gamma_wat_,Rsb_,Pb_,Tres_,Bob_,muob_))</f>
        <v>1.20480710401587E-2</v>
      </c>
      <c r="H74" s="14">
        <f>[1]!PVT_mu_wat_cP(B74,C74,[1]!encode_PVT(gamma_gas_,gamma_oil_,gamma_wat_,Rsb_,Pb_,Tres_,Bob_,muob_))</f>
        <v>0.50020148273013199</v>
      </c>
      <c r="I74" s="73">
        <f>[1]!PVT_rho_gas_kgm3(B74,C74,[1]!encode_PVT(gamma_gas_,gamma_oil_,gamma_wat_,Rsb_,Pb_,Tres_,Bob_,muob_))</f>
        <v>19.137042404295698</v>
      </c>
      <c r="J74" s="73">
        <f>[1]!PVT_rho_wat_kgm3(B74,C74,[1]!encode_PVT(gamma_gas_,gamma_oil_,gamma_wat_,Rsb_,Pb_,Tres_,Bob_,muob_))</f>
        <v>1067.85588583551</v>
      </c>
      <c r="K74" s="73">
        <f>[1]!PVT_rho_oil_kgm3(B74,C74,[1]!encode_PVT(gamma_gas_,gamma_oil_,gamma_wat_,Rsb_,Pb_,Tres_,Bob_,muob_))</f>
        <v>846.17984624433404</v>
      </c>
      <c r="L74" s="20">
        <f>[1]!PVT_bg_m3m3(B74,C74,[1]!encode_PVT(gamma_gas_,gamma_oil_,gamma_wat_,Rsb_,Pb_,Tres_,Bob_,muob_))</f>
        <v>5.7455586750081597E-2</v>
      </c>
      <c r="M74" s="20">
        <f>[1]!PVT_bw_m3m3(B74,C74,[1]!encode_PVT(gamma_gas_,gamma_oil_,gamma_wat_,Rsb_,Pb_,Tres_,Bob_,muob_))</f>
        <v>1.03010154702602</v>
      </c>
      <c r="N74" s="15">
        <f>[1]!PVT_ST_liqgas_Nm(B74,C74,[1]!encode_PVT(gamma_gas_,gamma_oil_,gamma_wat_,Rsb_,Pb_,Tres_,Bob_,muob_))</f>
        <v>5.1600552056456798E-2</v>
      </c>
      <c r="O74" s="15">
        <f>[1]!PVT_ST_oilgas_Nm(B74,C74,[1]!encode_PVT(gamma_gas_,gamma_oil_,gamma_wat_,Rsb_,Pb_,Tres_,Bob_,muob_))</f>
        <v>5.1600552056456798E-2</v>
      </c>
      <c r="P74" s="20">
        <f>[1]!PVT_ST_watgas_Nm(B74,C74,[1]!encode_PVT(gamma_gas_,gamma_oil_,gamma_wat_,Rsb_,Pb_,Tres_,Bob_,muob_))</f>
        <v>6.16595001861482E-2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1833.67274135261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3.7644604954190997E-5</v>
      </c>
      <c r="U74" s="30">
        <f>[1]!PVT_compressibility_oil_1atm(B74,C74,[1]!encode_PVT(gamma_gas_,gamma_oil_,gamma_wat_,Rsb_,Pb_,Tres_,Bob_,muob_))</f>
        <v>2.2099791468487801E-2</v>
      </c>
      <c r="V74" s="30">
        <f>[1]!PVT_compressibility_gas_1atm(B74,C74,[1]!encode_PVT(gamma_gas_,gamma_oil_,gamma_wat_,Rsb_,Pb_,Tres_,Bob_,muob_))</f>
        <v>5.2831960881571098E-2</v>
      </c>
    </row>
    <row r="75" spans="2:22" x14ac:dyDescent="0.25">
      <c r="B75" s="12">
        <v>40</v>
      </c>
      <c r="C75" s="12">
        <v>80</v>
      </c>
      <c r="D75" s="13">
        <f>[1]!PVT_rs_m3m3(B75,C75,[1]!encode_PVT(gamma_gas_,gamma_oil_,gamma_wat_,Rsb_,Pb_,Tres_,Bob_,muob_))</f>
        <v>16.531388513013699</v>
      </c>
      <c r="E75" s="14">
        <f>[1]!PVT_bo_m3m3(B75,C75,PVT_str_)</f>
        <v>1.16650388854763</v>
      </c>
      <c r="F75" s="73">
        <f>[1]!PVT_mu_oil_cP(B75,C75,[1]!encode_PVT(gamma_gas_,gamma_oil_,gamma_wat_,Rsb_,Pb_,Tres_,Bob_,muob_))</f>
        <v>2.9387473734982299</v>
      </c>
      <c r="G75" s="15">
        <f>[1]!PVT_mu_gas_cP(B75,C75,[1]!encode_PVT(gamma_gas_,gamma_oil_,gamma_wat_,Rsb_,Pb_,Tres_,Bob_,muob_))</f>
        <v>1.27184512770108E-2</v>
      </c>
      <c r="H75" s="14">
        <f>[1]!PVT_mu_wat_cP(B75,C75,[1]!encode_PVT(gamma_gas_,gamma_oil_,gamma_wat_,Rsb_,Pb_,Tres_,Bob_,muob_))</f>
        <v>0.50645637174203595</v>
      </c>
      <c r="I75" s="73">
        <f>[1]!PVT_rho_gas_kgm3(B75,C75,[1]!encode_PVT(gamma_gas_,gamma_oil_,gamma_wat_,Rsb_,Pb_,Tres_,Bob_,muob_))</f>
        <v>40.746840070535299</v>
      </c>
      <c r="J75" s="73">
        <f>[1]!PVT_rho_wat_kgm3(B75,C75,[1]!encode_PVT(gamma_gas_,gamma_oil_,gamma_wat_,Rsb_,Pb_,Tres_,Bob_,muob_))</f>
        <v>1068.1469589671799</v>
      </c>
      <c r="K75" s="73">
        <f>[1]!PVT_rho_oil_kgm3(B75,C75,[1]!encode_PVT(gamma_gas_,gamma_oil_,gamma_wat_,Rsb_,Pb_,Tres_,Bob_,muob_))</f>
        <v>836.73393162313903</v>
      </c>
      <c r="L75" s="20">
        <f>[1]!PVT_bg_m3m3(B75,C75,[1]!encode_PVT(gamma_gas_,gamma_oil_,gamma_wat_,Rsb_,Pb_,Tres_,Bob_,muob_))</f>
        <v>2.6984423776092701E-2</v>
      </c>
      <c r="M75" s="20">
        <f>[1]!PVT_bw_m3m3(B75,C75,[1]!encode_PVT(gamma_gas_,gamma_oil_,gamma_wat_,Rsb_,Pb_,Tres_,Bob_,muob_))</f>
        <v>1.029820841379</v>
      </c>
      <c r="N75" s="15">
        <f>[1]!PVT_ST_liqgas_Nm(B75,C75,[1]!encode_PVT(gamma_gas_,gamma_oil_,gamma_wat_,Rsb_,Pb_,Tres_,Bob_,muob_))</f>
        <v>4.0039352970392503E-2</v>
      </c>
      <c r="O75" s="15">
        <f>[1]!PVT_ST_oilgas_Nm(B75,C75,[1]!encode_PVT(gamma_gas_,gamma_oil_,gamma_wat_,Rsb_,Pb_,Tres_,Bob_,muob_))</f>
        <v>4.0039352970392503E-2</v>
      </c>
      <c r="P75" s="20">
        <f>[1]!PVT_ST_watgas_Nm(B75,C75,[1]!encode_PVT(gamma_gas_,gamma_oil_,gamma_wat_,Rsb_,Pb_,Tres_,Bob_,muob_))</f>
        <v>5.8884365535558897E-2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1722.3948137387399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3.7443710085765802E-5</v>
      </c>
      <c r="U75" s="30">
        <f>[1]!PVT_compressibility_oil_1atm(B75,C75,[1]!encode_PVT(gamma_gas_,gamma_oil_,gamma_wat_,Rsb_,Pb_,Tres_,Bob_,muob_))</f>
        <v>1.10347622086198E-2</v>
      </c>
      <c r="V75" s="30">
        <f>[1]!PVT_compressibility_gas_1atm(B75,C75,[1]!encode_PVT(gamma_gas_,gamma_oil_,gamma_wat_,Rsb_,Pb_,Tres_,Bob_,muob_))</f>
        <v>2.8396434090459399E-2</v>
      </c>
    </row>
    <row r="76" spans="2:22" x14ac:dyDescent="0.25">
      <c r="B76" s="12">
        <v>60</v>
      </c>
      <c r="C76" s="12">
        <v>80</v>
      </c>
      <c r="D76" s="13">
        <f>[1]!PVT_rs_m3m3(B76,C76,[1]!encode_PVT(gamma_gas_,gamma_oil_,gamma_wat_,Rsb_,Pb_,Tres_,Bob_,muob_))</f>
        <v>26.935386302176699</v>
      </c>
      <c r="E76" s="14">
        <f>[1]!PVT_bo_m3m3(B76,C76,PVT_str_)</f>
        <v>1.19434666194396</v>
      </c>
      <c r="F76" s="73">
        <f>[1]!PVT_mu_oil_cP(B76,C76,[1]!encode_PVT(gamma_gas_,gamma_oil_,gamma_wat_,Rsb_,Pb_,Tres_,Bob_,muob_))</f>
        <v>2.32140888524519</v>
      </c>
      <c r="G76" s="15">
        <f>[1]!PVT_mu_gas_cP(B76,C76,[1]!encode_PVT(gamma_gas_,gamma_oil_,gamma_wat_,Rsb_,Pb_,Tres_,Bob_,muob_))</f>
        <v>1.3682645275706401E-2</v>
      </c>
      <c r="H76" s="14">
        <f>[1]!PVT_mu_wat_cP(B76,C76,[1]!encode_PVT(gamma_gas_,gamma_oil_,gamma_wat_,Rsb_,Pb_,Tres_,Bob_,muob_))</f>
        <v>0.51297666150388799</v>
      </c>
      <c r="I76" s="73">
        <f>[1]!PVT_rho_gas_kgm3(B76,C76,[1]!encode_PVT(gamma_gas_,gamma_oil_,gamma_wat_,Rsb_,Pb_,Tres_,Bob_,muob_))</f>
        <v>65.565159938697207</v>
      </c>
      <c r="J76" s="73">
        <f>[1]!PVT_rho_wat_kgm3(B76,C76,[1]!encode_PVT(gamma_gas_,gamma_oil_,gamma_wat_,Rsb_,Pb_,Tres_,Bob_,muob_))</f>
        <v>1068.4854253338599</v>
      </c>
      <c r="K76" s="73">
        <f>[1]!PVT_rho_oil_kgm3(B76,C76,[1]!encode_PVT(gamma_gas_,gamma_oil_,gamma_wat_,Rsb_,Pb_,Tres_,Bob_,muob_))</f>
        <v>826.081800759565</v>
      </c>
      <c r="L76" s="20">
        <f>[1]!PVT_bg_m3m3(B76,C76,[1]!encode_PVT(gamma_gas_,gamma_oil_,gamma_wat_,Rsb_,Pb_,Tres_,Bob_,muob_))</f>
        <v>1.67700345889196E-2</v>
      </c>
      <c r="M76" s="20">
        <f>[1]!PVT_bw_m3m3(B76,C76,[1]!encode_PVT(gamma_gas_,gamma_oil_,gamma_wat_,Rsb_,Pb_,Tres_,Bob_,muob_))</f>
        <v>1.02949462287358</v>
      </c>
      <c r="N76" s="15">
        <f>[1]!PVT_ST_liqgas_Nm(B76,C76,[1]!encode_PVT(gamma_gas_,gamma_oil_,gamma_wat_,Rsb_,Pb_,Tres_,Bob_,muob_))</f>
        <v>3.1068461913617899E-2</v>
      </c>
      <c r="O76" s="15">
        <f>[1]!PVT_ST_oilgas_Nm(B76,C76,[1]!encode_PVT(gamma_gas_,gamma_oil_,gamma_wat_,Rsb_,Pb_,Tres_,Bob_,muob_))</f>
        <v>3.1068461913617899E-2</v>
      </c>
      <c r="P76" s="20">
        <f>[1]!PVT_ST_watgas_Nm(B76,C76,[1]!encode_PVT(gamma_gas_,gamma_oil_,gamma_wat_,Rsb_,Pb_,Tres_,Bob_,muob_))</f>
        <v>5.6234132519034898E-2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1605.6274265025399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3.7244948033572399E-5</v>
      </c>
      <c r="U76" s="30">
        <f>[1]!PVT_compressibility_oil_1atm(B76,C76,[1]!encode_PVT(gamma_gas_,gamma_oil_,gamma_wat_,Rsb_,Pb_,Tres_,Bob_,muob_))</f>
        <v>6.7432718527497002E-3</v>
      </c>
      <c r="V76" s="30">
        <f>[1]!PVT_compressibility_gas_1atm(B76,C76,[1]!encode_PVT(gamma_gas_,gamma_oil_,gamma_wat_,Rsb_,Pb_,Tres_,Bob_,muob_))</f>
        <v>2.0184164865056101E-2</v>
      </c>
    </row>
    <row r="77" spans="2:22" x14ac:dyDescent="0.25">
      <c r="B77" s="12">
        <v>80</v>
      </c>
      <c r="C77" s="12">
        <v>80</v>
      </c>
      <c r="D77" s="13">
        <f>[1]!PVT_rs_m3m3(B77,C77,[1]!encode_PVT(gamma_gas_,gamma_oil_,gamma_wat_,Rsb_,Pb_,Tres_,Bob_,muob_))</f>
        <v>38.084604278033197</v>
      </c>
      <c r="E77" s="14">
        <f>[1]!PVT_bo_m3m3(B77,C77,PVT_str_)</f>
        <v>1.21989550506308</v>
      </c>
      <c r="F77" s="73">
        <f>[1]!PVT_mu_oil_cP(B77,C77,[1]!encode_PVT(gamma_gas_,gamma_oil_,gamma_wat_,Rsb_,Pb_,Tres_,Bob_,muob_))</f>
        <v>1.90826580150889</v>
      </c>
      <c r="G77" s="15">
        <f>[1]!PVT_mu_gas_cP(B77,C77,[1]!encode_PVT(gamma_gas_,gamma_oil_,gamma_wat_,Rsb_,Pb_,Tres_,Bob_,muob_))</f>
        <v>1.49958249568269E-2</v>
      </c>
      <c r="H77" s="14">
        <f>[1]!PVT_mu_wat_cP(B77,C77,[1]!encode_PVT(gamma_gas_,gamma_oil_,gamma_wat_,Rsb_,Pb_,Tres_,Bob_,muob_))</f>
        <v>0.51976235201568799</v>
      </c>
      <c r="I77" s="73">
        <f>[1]!PVT_rho_gas_kgm3(B77,C77,[1]!encode_PVT(gamma_gas_,gamma_oil_,gamma_wat_,Rsb_,Pb_,Tres_,Bob_,muob_))</f>
        <v>93.392234234404697</v>
      </c>
      <c r="J77" s="73">
        <f>[1]!PVT_rho_wat_kgm3(B77,C77,[1]!encode_PVT(gamma_gas_,gamma_oil_,gamma_wat_,Rsb_,Pb_,Tres_,Bob_,muob_))</f>
        <v>1068.87137491058</v>
      </c>
      <c r="K77" s="73">
        <f>[1]!PVT_rho_oil_kgm3(B77,C77,[1]!encode_PVT(gamma_gas_,gamma_oil_,gamma_wat_,Rsb_,Pb_,Tres_,Bob_,muob_))</f>
        <v>814.62608077655</v>
      </c>
      <c r="L77" s="20">
        <f>[1]!PVT_bg_m3m3(B77,C77,[1]!encode_PVT(gamma_gas_,gamma_oil_,gamma_wat_,Rsb_,Pb_,Tres_,Bob_,muob_))</f>
        <v>1.17732486968916E-2</v>
      </c>
      <c r="M77" s="20">
        <f>[1]!PVT_bw_m3m3(B77,C77,[1]!encode_PVT(gamma_gas_,gamma_oil_,gamma_wat_,Rsb_,Pb_,Tres_,Bob_,muob_))</f>
        <v>1.0291228915097701</v>
      </c>
      <c r="N77" s="15">
        <f>[1]!PVT_ST_liqgas_Nm(B77,C77,[1]!encode_PVT(gamma_gas_,gamma_oil_,gamma_wat_,Rsb_,Pb_,Tres_,Bob_,muob_))</f>
        <v>2.4107515583273401E-2</v>
      </c>
      <c r="O77" s="15">
        <f>[1]!PVT_ST_oilgas_Nm(B77,C77,[1]!encode_PVT(gamma_gas_,gamma_oil_,gamma_wat_,Rsb_,Pb_,Tres_,Bob_,muob_))</f>
        <v>2.4107515583273401E-2</v>
      </c>
      <c r="P77" s="20">
        <f>[1]!PVT_ST_watgas_Nm(B77,C77,[1]!encode_PVT(gamma_gas_,gamma_oil_,gamma_wat_,Rsb_,Pb_,Tres_,Bob_,muob_))</f>
        <v>5.3703179637025297E-2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1502.9546426222601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3.7048285012135802E-5</v>
      </c>
      <c r="U77" s="30">
        <f>[1]!PVT_compressibility_oil_1atm(B77,C77,[1]!encode_PVT(gamma_gas_,gamma_oil_,gamma_wat_,Rsb_,Pb_,Tres_,Bob_,muob_))</f>
        <v>4.4453306338302703E-3</v>
      </c>
      <c r="V77" s="30">
        <f>[1]!PVT_compressibility_gas_1atm(B77,C77,[1]!encode_PVT(gamma_gas_,gamma_oil_,gamma_wat_,Rsb_,Pb_,Tres_,Bob_,muob_))</f>
        <v>1.5484849037100601E-2</v>
      </c>
    </row>
    <row r="78" spans="2:22" x14ac:dyDescent="0.2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49.822911527260899</v>
      </c>
      <c r="E78" s="14">
        <f>[1]!PVT_bo_m3m3(B78,C78,PVT_str_)</f>
        <v>1.2444494388296199</v>
      </c>
      <c r="F78" s="73">
        <f>[1]!PVT_mu_oil_cP(B78,C78,[1]!encode_PVT(gamma_gas_,gamma_oil_,gamma_wat_,Rsb_,Pb_,Tres_,Bob_,muob_))</f>
        <v>1.6167698518945399</v>
      </c>
      <c r="G78" s="15">
        <f>[1]!PVT_mu_gas_cP(B78,C78,[1]!encode_PVT(gamma_gas_,gamma_oil_,gamma_wat_,Rsb_,Pb_,Tres_,Bob_,muob_))</f>
        <v>1.6662090323001599E-2</v>
      </c>
      <c r="H78" s="14">
        <f>[1]!PVT_mu_wat_cP(B78,C78,[1]!encode_PVT(gamma_gas_,gamma_oil_,gamma_wat_,Rsb_,Pb_,Tres_,Bob_,muob_))</f>
        <v>0.52681344327743596</v>
      </c>
      <c r="I78" s="73">
        <f>[1]!PVT_rho_gas_kgm3(B78,C78,[1]!encode_PVT(gamma_gas_,gamma_oil_,gamma_wat_,Rsb_,Pb_,Tres_,Bob_,muob_))</f>
        <v>122.767477061679</v>
      </c>
      <c r="J78" s="73">
        <f>[1]!PVT_rho_wat_kgm3(B78,C78,[1]!encode_PVT(gamma_gas_,gamma_oil_,gamma_wat_,Rsb_,Pb_,Tres_,Bob_,muob_))</f>
        <v>1069.30491039923</v>
      </c>
      <c r="K78" s="73">
        <f>[1]!PVT_rho_oil_kgm3(B78,C78,[1]!encode_PVT(gamma_gas_,gamma_oil_,gamma_wat_,Rsb_,Pb_,Tres_,Bob_,muob_))</f>
        <v>802.63028328231803</v>
      </c>
      <c r="L78" s="20">
        <f>[1]!PVT_bg_m3m3(B78,C78,[1]!encode_PVT(gamma_gas_,gamma_oil_,gamma_wat_,Rsb_,Pb_,Tres_,Bob_,muob_))</f>
        <v>8.9561993641654007E-3</v>
      </c>
      <c r="M78" s="20">
        <f>[1]!PVT_bw_m3m3(B78,C78,[1]!encode_PVT(gamma_gas_,gamma_oil_,gamma_wat_,Rsb_,Pb_,Tres_,Bob_,muob_))</f>
        <v>1.02870564728755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5.1286138399136497E-2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1429.1681252533999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3.6853687945817697E-5</v>
      </c>
      <c r="U78" s="30">
        <f>[1]!PVT_compressibility_oil_1atm(B78,C78,[1]!encode_PVT(gamma_gas_,gamma_oil_,gamma_wat_,Rsb_,Pb_,Tres_,Bob_,muob_))</f>
        <v>3.0658071558473401E-3</v>
      </c>
      <c r="V78" s="30">
        <f>[1]!PVT_compressibility_gas_1atm(B78,C78,[1]!encode_PVT(gamma_gas_,gamma_oil_,gamma_wat_,Rsb_,Pb_,Tres_,Bob_,muob_))</f>
        <v>1.1997369744629199E-2</v>
      </c>
    </row>
    <row r="79" spans="2:22" x14ac:dyDescent="0.2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62.053077246767003</v>
      </c>
      <c r="E79" s="14">
        <f>[1]!PVT_bo_m3m3(B79,C79,PVT_str_)</f>
        <v>1.26863502667848</v>
      </c>
      <c r="F79" s="73">
        <f>[1]!PVT_mu_oil_cP(B79,C79,[1]!encode_PVT(gamma_gas_,gamma_oil_,gamma_wat_,Rsb_,Pb_,Tres_,Bob_,muob_))</f>
        <v>1.40180766117156</v>
      </c>
      <c r="G79" s="15">
        <f>[1]!PVT_mu_gas_cP(B79,C79,[1]!encode_PVT(gamma_gas_,gamma_oil_,gamma_wat_,Rsb_,Pb_,Tres_,Bob_,muob_))</f>
        <v>1.8612671003194099E-2</v>
      </c>
      <c r="H79" s="14">
        <f>[1]!PVT_mu_wat_cP(B79,C79,[1]!encode_PVT(gamma_gas_,gamma_oil_,gamma_wat_,Rsb_,Pb_,Tres_,Bob_,muob_))</f>
        <v>0.534129935289131</v>
      </c>
      <c r="I79" s="73">
        <f>[1]!PVT_rho_gas_kgm3(B79,C79,[1]!encode_PVT(gamma_gas_,gamma_oil_,gamma_wat_,Rsb_,Pb_,Tres_,Bob_,muob_))</f>
        <v>151.65465832519601</v>
      </c>
      <c r="J79" s="73">
        <f>[1]!PVT_rho_wat_kgm3(B79,C79,[1]!encode_PVT(gamma_gas_,gamma_oil_,gamma_wat_,Rsb_,Pb_,Tres_,Bob_,muob_))</f>
        <v>1069.7861472969801</v>
      </c>
      <c r="K79" s="73">
        <f>[1]!PVT_rho_oil_kgm3(B79,C79,[1]!encode_PVT(gamma_gas_,gamma_oil_,gamma_wat_,Rsb_,Pb_,Tres_,Bob_,muob_))</f>
        <v>790.29091219368797</v>
      </c>
      <c r="L79" s="20">
        <f>[1]!PVT_bg_m3m3(B79,C79,[1]!encode_PVT(gamma_gas_,gamma_oil_,gamma_wat_,Rsb_,Pb_,Tres_,Bob_,muob_))</f>
        <v>7.2502223943708803E-3</v>
      </c>
      <c r="M79" s="20">
        <f>[1]!PVT_bw_m3m3(B79,C79,[1]!encode_PVT(gamma_gas_,gamma_oil_,gamma_wat_,Rsb_,Pb_,Tres_,Bob_,muob_))</f>
        <v>1.02824289020694</v>
      </c>
      <c r="N79" s="15">
        <f>[1]!PVT_ST_liqgas_Nm(B79,C79,[1]!encode_PVT(gamma_gas_,gamma_oil_,gamma_wat_,Rsb_,Pb_,Tres_,Bob_,muob_))</f>
        <v>1.4515027453803399E-2</v>
      </c>
      <c r="O79" s="15">
        <f>[1]!PVT_ST_oilgas_Nm(B79,C79,[1]!encode_PVT(gamma_gas_,gamma_oil_,gamma_wat_,Rsb_,Pb_,Tres_,Bob_,muob_))</f>
        <v>1.4515027453803399E-2</v>
      </c>
      <c r="P79" s="20">
        <f>[1]!PVT_ST_watgas_Nm(B79,C79,[1]!encode_PVT(gamma_gas_,gamma_oil_,gamma_wat_,Rsb_,Pb_,Tres_,Bob_,muob_))</f>
        <v>4.8977881936844603E-2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1388.32819490264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3.6661124450270998E-5</v>
      </c>
      <c r="U79" s="30">
        <f>[1]!PVT_compressibility_oil_1atm(B79,C79,[1]!encode_PVT(gamma_gas_,gamma_oil_,gamma_wat_,Rsb_,Pb_,Tres_,Bob_,muob_))</f>
        <v>2.1892476137987602E-3</v>
      </c>
      <c r="V79" s="30">
        <f>[1]!PVT_compressibility_gas_1atm(B79,C79,[1]!encode_PVT(gamma_gas_,gamma_oil_,gamma_wat_,Rsb_,Pb_,Tres_,Bob_,muob_))</f>
        <v>9.2380104232467897E-3</v>
      </c>
    </row>
    <row r="80" spans="2:22" x14ac:dyDescent="0.25">
      <c r="B80" s="12">
        <v>140</v>
      </c>
      <c r="C80" s="12">
        <v>80</v>
      </c>
      <c r="D80" s="13">
        <f>[1]!PVT_rs_m3m3(B80,C80,[1]!encode_PVT(gamma_gas_,gamma_oil_,gamma_wat_,Rsb_,Pb_,Tres_,Bob_,muob_))</f>
        <v>74.708025438047301</v>
      </c>
      <c r="E80" s="14">
        <f>[1]!PVT_bo_m3m3(B80,C80,PVT_str_)</f>
        <v>1.2928028403701299</v>
      </c>
      <c r="F80" s="73">
        <f>[1]!PVT_mu_oil_cP(B80,C80,[1]!encode_PVT(gamma_gas_,gamma_oil_,gamma_wat_,Rsb_,Pb_,Tres_,Bob_,muob_))</f>
        <v>1.2374997414676401</v>
      </c>
      <c r="G80" s="15">
        <f>[1]!PVT_mu_gas_cP(B80,C80,[1]!encode_PVT(gamma_gas_,gamma_oil_,gamma_wat_,Rsb_,Pb_,Tres_,Bob_,muob_))</f>
        <v>2.0733492057591601E-2</v>
      </c>
      <c r="H80" s="14">
        <f>[1]!PVT_mu_wat_cP(B80,C80,[1]!encode_PVT(gamma_gas_,gamma_oil_,gamma_wat_,Rsb_,Pb_,Tres_,Bob_,muob_))</f>
        <v>0.541711828050775</v>
      </c>
      <c r="I80" s="73">
        <f>[1]!PVT_rho_gas_kgm3(B80,C80,[1]!encode_PVT(gamma_gas_,gamma_oil_,gamma_wat_,Rsb_,Pb_,Tres_,Bob_,muob_))</f>
        <v>178.40676454841201</v>
      </c>
      <c r="J80" s="73">
        <f>[1]!PVT_rho_wat_kgm3(B80,C80,[1]!encode_PVT(gamma_gas_,gamma_oil_,gamma_wat_,Rsb_,Pb_,Tres_,Bob_,muob_))</f>
        <v>1070.31521397345</v>
      </c>
      <c r="K80" s="73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6.1630510635802402E-3</v>
      </c>
      <c r="M80" s="20">
        <f>[1]!PVT_bw_m3m3(B80,C80,[1]!encode_PVT(gamma_gas_,gamma_oil_,gamma_wat_,Rsb_,Pb_,Tres_,Bob_,muob_))</f>
        <v>1.02773462026794</v>
      </c>
      <c r="N80" s="15">
        <f>[1]!PVT_ST_liqgas_Nm(B80,C80,[1]!encode_PVT(gamma_gas_,gamma_oil_,gamma_wat_,Rsb_,Pb_,Tres_,Bob_,muob_))</f>
        <v>1.12629087177576E-2</v>
      </c>
      <c r="O80" s="15">
        <f>[1]!PVT_ST_oilgas_Nm(B80,C80,[1]!encode_PVT(gamma_gas_,gamma_oil_,gamma_wat_,Rsb_,Pb_,Tres_,Bob_,muob_))</f>
        <v>1.12629087177576E-2</v>
      </c>
      <c r="P80" s="20">
        <f>[1]!PVT_ST_watgas_Nm(B80,C80,[1]!encode_PVT(gamma_gas_,gamma_oil_,gamma_wat_,Rsb_,Pb_,Tres_,Bob_,muob_))</f>
        <v>4.6773514128719801E-2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3.6470562814473901E-5</v>
      </c>
      <c r="U80" s="30">
        <f>[1]!PVT_compressibility_oil_1atm(B80,C80,[1]!encode_PVT(gamma_gas_,gamma_oil_,gamma_wat_,Rsb_,Pb_,Tres_,Bob_,muob_))</f>
        <v>1.60751162942023E-3</v>
      </c>
      <c r="V80" s="30">
        <f>[1]!PVT_compressibility_gas_1atm(B80,C80,[1]!encode_PVT(gamma_gas_,gamma_oil_,gamma_wat_,Rsb_,Pb_,Tres_,Bob_,muob_))</f>
        <v>7.1009336693922996E-3</v>
      </c>
    </row>
    <row r="81" spans="2:22" x14ac:dyDescent="0.2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73">
        <f>[1]!PVT_mu_oil_cP(B81,C81,[1]!encode_PVT(gamma_gas_,gamma_oil_,gamma_wat_,Rsb_,Pb_,Tres_,Bob_,muob_))</f>
        <v>1.1081973685397599</v>
      </c>
      <c r="G81" s="15">
        <f>[1]!PVT_mu_gas_cP(B81,C81,[1]!encode_PVT(gamma_gas_,gamma_oil_,gamma_wat_,Rsb_,Pb_,Tres_,Bob_,muob_))</f>
        <v>2.2911561151152698E-2</v>
      </c>
      <c r="H81" s="14">
        <f>[1]!PVT_mu_wat_cP(B81,C81,[1]!encode_PVT(gamma_gas_,gamma_oil_,gamma_wat_,Rsb_,Pb_,Tres_,Bob_,muob_))</f>
        <v>0.54955912156236597</v>
      </c>
      <c r="I81" s="73">
        <f>[1]!PVT_rho_gas_kgm3(B81,C81,[1]!encode_PVT(gamma_gas_,gamma_oil_,gamma_wat_,Rsb_,Pb_,Tres_,Bob_,muob_))</f>
        <v>202.21271328922501</v>
      </c>
      <c r="J81" s="73">
        <f>[1]!PVT_rho_wat_kgm3(B81,C81,[1]!encode_PVT(gamma_gas_,gamma_oil_,gamma_wat_,Rsb_,Pb_,Tres_,Bob_,muob_))</f>
        <v>1070.89225175655</v>
      </c>
      <c r="K81" s="73">
        <f>[1]!PVT_rho_oil_kgm3(B81,C81,[1]!encode_PVT(gamma_gas_,gamma_oil_,gamma_wat_,Rsb_,Pb_,Tres_,Bob_,muob_))</f>
        <v>765.16159674159201</v>
      </c>
      <c r="L81" s="20">
        <f>[1]!PVT_bg_m3m3(B81,C81,[1]!encode_PVT(gamma_gas_,gamma_oil_,gamma_wat_,Rsb_,Pb_,Tres_,Bob_,muob_))</f>
        <v>5.4374919465490796E-3</v>
      </c>
      <c r="M81" s="20">
        <f>[1]!PVT_bw_m3m3(B81,C81,[1]!encode_PVT(gamma_gas_,gamma_oil_,gamma_wat_,Rsb_,Pb_,Tres_,Bob_,muob_))</f>
        <v>1.02718083747053</v>
      </c>
      <c r="N81" s="15">
        <f>[1]!PVT_ST_liqgas_Nm(B81,C81,[1]!encode_PVT(gamma_gas_,gamma_oil_,gamma_wat_,Rsb_,Pb_,Tres_,Bob_,muob_))</f>
        <v>8.7394331969589591E-3</v>
      </c>
      <c r="O81" s="15">
        <f>[1]!PVT_ST_oilgas_Nm(B81,C81,[1]!encode_PVT(gamma_gas_,gamma_oil_,gamma_wat_,Rsb_,Pb_,Tres_,Bob_,muob_))</f>
        <v>8.7394331969589591E-3</v>
      </c>
      <c r="P81" s="20">
        <f>[1]!PVT_ST_watgas_Nm(B81,C81,[1]!encode_PVT(gamma_gas_,gamma_oil_,gamma_wat_,Rsb_,Pb_,Tres_,Bob_,muob_))</f>
        <v>4.46683592150963E-2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3.6281971983320802E-5</v>
      </c>
      <c r="U81" s="30">
        <f>[1]!PVT_compressibility_oil_1atm(B81,C81,[1]!encode_PVT(gamma_gas_,gamma_oil_,gamma_wat_,Rsb_,Pb_,Tres_,Bob_,muob_))</f>
        <v>1.2047627523541901E-3</v>
      </c>
      <c r="V81" s="30">
        <f>[1]!PVT_compressibility_gas_1atm(B81,C81,[1]!encode_PVT(gamma_gas_,gamma_oil_,gamma_wat_,Rsb_,Pb_,Tres_,Bob_,muob_))</f>
        <v>5.50208439050409E-3</v>
      </c>
    </row>
    <row r="82" spans="2:22" x14ac:dyDescent="0.2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</v>
      </c>
      <c r="E82" s="14">
        <f>[1]!PVT_bo_m3m3(B82,C82,PVT_str_)</f>
        <v>1.34186534551035</v>
      </c>
      <c r="F82" s="73">
        <f>[1]!PVT_mu_oil_cP(B82,C82,[1]!encode_PVT(gamma_gas_,gamma_oil_,gamma_wat_,Rsb_,Pb_,Tres_,Bob_,muob_))</f>
        <v>1.0039784134301899</v>
      </c>
      <c r="G82" s="15">
        <f>[1]!PVT_mu_gas_cP(B82,C82,[1]!encode_PVT(gamma_gas_,gamma_oil_,gamma_wat_,Rsb_,Pb_,Tres_,Bob_,muob_))</f>
        <v>2.5065367115478101E-2</v>
      </c>
      <c r="H82" s="14">
        <f>[1]!PVT_mu_wat_cP(B82,C82,[1]!encode_PVT(gamma_gas_,gamma_oil_,gamma_wat_,Rsb_,Pb_,Tres_,Bob_,muob_))</f>
        <v>0.55767181582390601</v>
      </c>
      <c r="I82" s="73">
        <f>[1]!PVT_rho_gas_kgm3(B82,C82,[1]!encode_PVT(gamma_gas_,gamma_oil_,gamma_wat_,Rsb_,Pb_,Tres_,Bob_,muob_))</f>
        <v>222.978035243715</v>
      </c>
      <c r="J82" s="73">
        <f>[1]!PVT_rho_wat_kgm3(B82,C82,[1]!encode_PVT(gamma_gas_,gamma_oil_,gamma_wat_,Rsb_,Pb_,Tres_,Bob_,muob_))</f>
        <v>1071.5174150272401</v>
      </c>
      <c r="K82" s="73">
        <f>[1]!PVT_rho_oil_kgm3(B82,C82,[1]!encode_PVT(gamma_gas_,gamma_oil_,gamma_wat_,Rsb_,Pb_,Tres_,Bob_,muob_))</f>
        <v>752.58852014989998</v>
      </c>
      <c r="L82" s="20">
        <f>[1]!PVT_bg_m3m3(B82,C82,[1]!encode_PVT(gamma_gas_,gamma_oil_,gamma_wat_,Rsb_,Pb_,Tres_,Bob_,muob_))</f>
        <v>4.9311135009249404E-3</v>
      </c>
      <c r="M82" s="20">
        <f>[1]!PVT_bw_m3m3(B82,C82,[1]!encode_PVT(gamma_gas_,gamma_oil_,gamma_wat_,Rsb_,Pb_,Tres_,Bob_,muob_))</f>
        <v>1.0265815418147299</v>
      </c>
      <c r="N82" s="15">
        <f>[1]!PVT_ST_liqgas_Nm(B82,C82,[1]!encode_PVT(gamma_gas_,gamma_oil_,gamma_wat_,Rsb_,Pb_,Tres_,Bob_,muob_))</f>
        <v>6.7813470319339399E-3</v>
      </c>
      <c r="O82" s="15">
        <f>[1]!PVT_ST_oilgas_Nm(B82,C82,[1]!encode_PVT(gamma_gas_,gamma_oil_,gamma_wat_,Rsb_,Pb_,Tres_,Bob_,muob_))</f>
        <v>6.7813470319339399E-3</v>
      </c>
      <c r="P82" s="20">
        <f>[1]!PVT_ST_watgas_Nm(B82,C82,[1]!encode_PVT(gamma_gas_,gamma_oil_,gamma_wat_,Rsb_,Pb_,Tres_,Bob_,muob_))</f>
        <v>4.2657951880159299E-2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1416.3711538520099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3.60953215407505E-5</v>
      </c>
      <c r="U82" s="30">
        <f>[1]!PVT_compressibility_oil_1atm(B82,C82,[1]!encode_PVT(gamma_gas_,gamma_oil_,gamma_wat_,Rsb_,Pb_,Tres_,Bob_,muob_))</f>
        <v>9.1399032133917602E-4</v>
      </c>
      <c r="V82" s="30">
        <f>[1]!PVT_compressibility_gas_1atm(B82,C82,[1]!encode_PVT(gamma_gas_,gamma_oil_,gamma_wat_,Rsb_,Pb_,Tres_,Bob_,muob_))</f>
        <v>4.33287881754486E-3</v>
      </c>
    </row>
    <row r="83" spans="2:22" x14ac:dyDescent="0.2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</v>
      </c>
      <c r="E83" s="14">
        <f>[1]!PVT_bo_m3m3(B83,C83,PVT_str_)</f>
        <v>1.3557936651117599</v>
      </c>
      <c r="F83" s="73">
        <f>[1]!PVT_mu_oil_cP(B83,C83,[1]!encode_PVT(gamma_gas_,gamma_oil_,gamma_wat_,Rsb_,Pb_,Tres_,Bob_,muob_))</f>
        <v>0.91828840536155898</v>
      </c>
      <c r="G83" s="15">
        <f>[1]!PVT_mu_gas_cP(B83,C83,[1]!encode_PVT(gamma_gas_,gamma_oil_,gamma_wat_,Rsb_,Pb_,Tres_,Bob_,muob_))</f>
        <v>2.7149989853059699E-2</v>
      </c>
      <c r="H83" s="14">
        <f>[1]!PVT_mu_wat_cP(B83,C83,[1]!encode_PVT(gamma_gas_,gamma_oil_,gamma_wat_,Rsb_,Pb_,Tres_,Bob_,muob_))</f>
        <v>0.56604991083539302</v>
      </c>
      <c r="I83" s="73">
        <f>[1]!PVT_rho_gas_kgm3(B83,C83,[1]!encode_PVT(gamma_gas_,gamma_oil_,gamma_wat_,Rsb_,Pb_,Tres_,Bob_,muob_))</f>
        <v>241.00156608904601</v>
      </c>
      <c r="J83" s="73">
        <f>[1]!PVT_rho_wat_kgm3(B83,C83,[1]!encode_PVT(gamma_gas_,gamma_oil_,gamma_wat_,Rsb_,Pb_,Tres_,Bob_,muob_))</f>
        <v>1072.1908713232201</v>
      </c>
      <c r="K83" s="73">
        <f>[1]!PVT_rho_oil_kgm3(B83,C83,[1]!encode_PVT(gamma_gas_,gamma_oil_,gamma_wat_,Rsb_,Pb_,Tres_,Bob_,muob_))</f>
        <v>740.11750016679503</v>
      </c>
      <c r="L83" s="20">
        <f>[1]!PVT_bg_m3m3(B83,C83,[1]!encode_PVT(gamma_gas_,gamma_oil_,gamma_wat_,Rsb_,Pb_,Tres_,Bob_,muob_))</f>
        <v>4.5623354978271899E-3</v>
      </c>
      <c r="M83" s="20">
        <f>[1]!PVT_bw_m3m3(B83,C83,[1]!encode_PVT(gamma_gas_,gamma_oil_,gamma_wat_,Rsb_,Pb_,Tres_,Bob_,muob_))</f>
        <v>1.02593673330054</v>
      </c>
      <c r="N83" s="15">
        <f>[1]!PVT_ST_liqgas_Nm(B83,C83,[1]!encode_PVT(gamma_gas_,gamma_oil_,gamma_wat_,Rsb_,Pb_,Tres_,Bob_,muob_))</f>
        <v>5.26197369224369E-3</v>
      </c>
      <c r="O83" s="15">
        <f>[1]!PVT_ST_oilgas_Nm(B83,C83,[1]!encode_PVT(gamma_gas_,gamma_oil_,gamma_wat_,Rsb_,Pb_,Tres_,Bob_,muob_))</f>
        <v>5.26197369224369E-3</v>
      </c>
      <c r="P83" s="20">
        <f>[1]!PVT_ST_watgas_Nm(B83,C83,[1]!encode_PVT(gamma_gas_,gamma_oil_,gamma_wat_,Rsb_,Pb_,Tres_,Bob_,muob_))</f>
        <v>4.0738027780411301E-2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1456.0516587639299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3.5910581693392998E-5</v>
      </c>
      <c r="U83" s="30">
        <f>[1]!PVT_compressibility_oil_1atm(B83,C83,[1]!encode_PVT(gamma_gas_,gamma_oil_,gamma_wat_,Rsb_,Pb_,Tres_,Bob_,muob_))</f>
        <v>6.95637061283948E-4</v>
      </c>
      <c r="V83" s="30">
        <f>[1]!PVT_compressibility_gas_1atm(B83,C83,[1]!encode_PVT(gamma_gas_,gamma_oil_,gamma_wat_,Rsb_,Pb_,Tres_,Bob_,muob_))</f>
        <v>3.4834166523360801E-3</v>
      </c>
    </row>
    <row r="84" spans="2:22" x14ac:dyDescent="0.2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1.3508323444499599</v>
      </c>
      <c r="F84" s="73">
        <f>[1]!PVT_mu_oil_cP(B84,C84,[1]!encode_PVT(gamma_gas_,gamma_oil_,gamma_wat_,Rsb_,Pb_,Tres_,Bob_,muob_))</f>
        <v>0.90609108577935205</v>
      </c>
      <c r="G84" s="15">
        <f>[1]!PVT_mu_gas_cP(B84,C84,[1]!encode_PVT(gamma_gas_,gamma_oil_,gamma_wat_,Rsb_,Pb_,Tres_,Bob_,muob_))</f>
        <v>2.9147599743131501E-2</v>
      </c>
      <c r="H84" s="14">
        <f>[1]!PVT_mu_wat_cP(B84,C84,[1]!encode_PVT(gamma_gas_,gamma_oil_,gamma_wat_,Rsb_,Pb_,Tres_,Bob_,muob_))</f>
        <v>0.57469340659682799</v>
      </c>
      <c r="I84" s="73">
        <f>[1]!PVT_rho_gas_kgm3(B84,C84,[1]!encode_PVT(gamma_gas_,gamma_oil_,gamma_wat_,Rsb_,Pb_,Tres_,Bob_,muob_))</f>
        <v>256.71064729823098</v>
      </c>
      <c r="J84" s="73">
        <f>[1]!PVT_rho_wat_kgm3(B84,C84,[1]!encode_PVT(gamma_gas_,gamma_oil_,gamma_wat_,Rsb_,Pb_,Tres_,Bob_,muob_))</f>
        <v>1072.9128014517901</v>
      </c>
      <c r="K84" s="73">
        <f>[1]!PVT_rho_oil_kgm3(B84,C84,[1]!encode_PVT(gamma_gas_,gamma_oil_,gamma_wat_,Rsb_,Pb_,Tres_,Bob_,muob_))</f>
        <v>737.35493999900996</v>
      </c>
      <c r="L84" s="20">
        <f>[1]!PVT_bg_m3m3(B84,C84,[1]!encode_PVT(gamma_gas_,gamma_oil_,gamma_wat_,Rsb_,Pb_,Tres_,Bob_,muob_))</f>
        <v>4.28314918594955E-3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4.0830187582906298E-3</v>
      </c>
      <c r="O84" s="15">
        <f>[1]!PVT_ST_oilgas_Nm(B84,C84,[1]!encode_PVT(gamma_gas_,gamma_oil_,gamma_wat_,Rsb_,Pb_,Tres_,Bob_,muob_))</f>
        <v>4.0830187582906298E-3</v>
      </c>
      <c r="P84" s="20">
        <f>[1]!PVT_ST_watgas_Nm(B84,C84,[1]!encode_PVT(gamma_gas_,gamma_oil_,gamma_wat_,Rsb_,Pb_,Tres_,Bob_,muob_))</f>
        <v>3.8904514499428097E-2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1503.6454745373001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3.5727723254715299E-5</v>
      </c>
      <c r="U84" s="30">
        <f>[1]!PVT_compressibility_oil_1atm(B84,C84,[1]!encode_PVT(gamma_gas_,gamma_oil_,gamma_wat_,Rsb_,Pb_,Tres_,Bob_,muob_))</f>
        <v>1.9018282828282799E-4</v>
      </c>
      <c r="V84" s="30">
        <f>[1]!PVT_compressibility_gas_1atm(B84,C84,[1]!encode_PVT(gamma_gas_,gamma_oil_,gamma_wat_,Rsb_,Pb_,Tres_,Bob_,muob_))</f>
        <v>2.8616167448859099E-3</v>
      </c>
    </row>
    <row r="85" spans="2:22" x14ac:dyDescent="0.2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</v>
      </c>
      <c r="F85" s="73">
        <f>[1]!PVT_mu_oil_cP(B85,C85,[1]!encode_PVT(gamma_gas_,gamma_oil_,gamma_wat_,Rsb_,Pb_,Tres_,Bob_,muob_))</f>
        <v>0.93204166134992406</v>
      </c>
      <c r="G85" s="15">
        <f>[1]!PVT_mu_gas_cP(B85,C85,[1]!encode_PVT(gamma_gas_,gamma_oil_,gamma_wat_,Rsb_,Pb_,Tres_,Bob_,muob_))</f>
        <v>3.10555308872686E-2</v>
      </c>
      <c r="H85" s="14">
        <f>[1]!PVT_mu_wat_cP(B85,C85,[1]!encode_PVT(gamma_gas_,gamma_oil_,gamma_wat_,Rsb_,Pb_,Tres_,Bob_,muob_))</f>
        <v>0.58360230310821104</v>
      </c>
      <c r="I85" s="73">
        <f>[1]!PVT_rho_gas_kgm3(B85,C85,[1]!encode_PVT(gamma_gas_,gamma_oil_,gamma_wat_,Rsb_,Pb_,Tres_,Bob_,muob_))</f>
        <v>270.51818172576702</v>
      </c>
      <c r="J85" s="73">
        <f>[1]!PVT_rho_wat_kgm3(B85,C85,[1]!encode_PVT(gamma_gas_,gamma_oil_,gamma_wat_,Rsb_,Pb_,Tres_,Bob_,muob_))</f>
        <v>1073.6833996118901</v>
      </c>
      <c r="K85" s="73">
        <f>[1]!PVT_rho_oil_kgm3(B85,C85,[1]!encode_PVT(gamma_gas_,gamma_oil_,gamma_wat_,Rsb_,Pb_,Tres_,Bob_,muob_))</f>
        <v>739.77207670800396</v>
      </c>
      <c r="L85" s="20">
        <f>[1]!PVT_bg_m3m3(B85,C85,[1]!encode_PVT(gamma_gas_,gamma_oil_,gamma_wat_,Rsb_,Pb_,Tres_,Bob_,muob_))</f>
        <v>4.0645327163799597E-3</v>
      </c>
      <c r="M85" s="20">
        <f>[1]!PVT_bw_m3m3(B85,C85,[1]!encode_PVT(gamma_gas_,gamma_oil_,gamma_wat_,Rsb_,Pb_,Tres_,Bob_,muob_))</f>
        <v>1.0245105776969501</v>
      </c>
      <c r="N85" s="15">
        <f>[1]!PVT_ST_liqgas_Nm(B85,C85,[1]!encode_PVT(gamma_gas_,gamma_oil_,gamma_wat_,Rsb_,Pb_,Tres_,Bob_,muob_))</f>
        <v>3.1682108569122602E-3</v>
      </c>
      <c r="O85" s="15">
        <f>[1]!PVT_ST_oilgas_Nm(B85,C85,[1]!encode_PVT(gamma_gas_,gamma_oil_,gamma_wat_,Rsb_,Pb_,Tres_,Bob_,muob_))</f>
        <v>3.1682108569122602E-3</v>
      </c>
      <c r="P85" s="20">
        <f>[1]!PVT_ST_watgas_Nm(B85,C85,[1]!encode_PVT(gamma_gas_,gamma_oil_,gamma_wat_,Rsb_,Pb_,Tres_,Bob_,muob_))</f>
        <v>3.7153522909717303E-2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1556.6158008161799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1.74334259259259E-4</v>
      </c>
      <c r="V85" s="30">
        <f>[1]!PVT_compressibility_gas_1atm(B85,C85,[1]!encode_PVT(gamma_gas_,gamma_oil_,gamma_wat_,Rsb_,Pb_,Tres_,Bob_,muob_))</f>
        <v>2.3984982248809999E-3</v>
      </c>
    </row>
    <row r="86" spans="2:22" x14ac:dyDescent="0.2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1.3432349711162701</v>
      </c>
      <c r="F86" s="73">
        <f>[1]!PVT_mu_oil_cP(B86,C86,[1]!encode_PVT(gamma_gas_,gamma_oil_,gamma_wat_,Rsb_,Pb_,Tres_,Bob_,muob_))</f>
        <v>0.96012684344625399</v>
      </c>
      <c r="G86" s="15">
        <f>[1]!PVT_mu_gas_cP(B86,C86,[1]!encode_PVT(gamma_gas_,gamma_oil_,gamma_wat_,Rsb_,Pb_,Tres_,Bob_,muob_))</f>
        <v>3.2877589940684501E-2</v>
      </c>
      <c r="H86" s="14">
        <f>[1]!PVT_mu_wat_cP(B86,C86,[1]!encode_PVT(gamma_gas_,gamma_oil_,gamma_wat_,Rsb_,Pb_,Tres_,Bob_,muob_))</f>
        <v>0.59277660036954205</v>
      </c>
      <c r="I86" s="73">
        <f>[1]!PVT_rho_gas_kgm3(B86,C86,[1]!encode_PVT(gamma_gas_,gamma_oil_,gamma_wat_,Rsb_,Pb_,Tres_,Bob_,muob_))</f>
        <v>282.76962009740299</v>
      </c>
      <c r="J86" s="73">
        <f>[1]!PVT_rho_wat_kgm3(B86,C86,[1]!encode_PVT(gamma_gas_,gamma_oil_,gamma_wat_,Rsb_,Pb_,Tres_,Bob_,muob_))</f>
        <v>1074.5028735256301</v>
      </c>
      <c r="K86" s="73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3.8884304460332498E-3</v>
      </c>
      <c r="M86" s="20">
        <f>[1]!PVT_bw_m3m3(B86,C86,[1]!encode_PVT(gamma_gas_,gamma_oil_,gamma_wat_,Rsb_,Pb_,Tres_,Bob_,muob_))</f>
        <v>1.02372923060756</v>
      </c>
      <c r="N86" s="15">
        <f>[1]!PVT_ST_liqgas_Nm(B86,C86,[1]!encode_PVT(gamma_gas_,gamma_oil_,gamma_wat_,Rsb_,Pb_,Tres_,Bob_,muob_))</f>
        <v>2.4583673571117702E-3</v>
      </c>
      <c r="O86" s="15">
        <f>[1]!PVT_ST_oilgas_Nm(B86,C86,[1]!encode_PVT(gamma_gas_,gamma_oil_,gamma_wat_,Rsb_,Pb_,Tres_,Bob_,muob_))</f>
        <v>2.4583673571117702E-3</v>
      </c>
      <c r="P86" s="20">
        <f>[1]!PVT_ST_watgas_Nm(B86,C86,[1]!encode_PVT(gamma_gas_,gamma_oil_,gamma_wat_,Rsb_,Pb_,Tres_,Bob_,muob_))</f>
        <v>3.54813389233576E-2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3.5367536799687602E-5</v>
      </c>
      <c r="U86" s="30">
        <f>[1]!PVT_compressibility_oil_1atm(B86,C86,[1]!encode_PVT(gamma_gas_,gamma_oil_,gamma_wat_,Rsb_,Pb_,Tres_,Bob_,muob_))</f>
        <v>1.6092393162393199E-4</v>
      </c>
      <c r="V86" s="30">
        <f>[1]!PVT_compressibility_gas_1atm(B86,C86,[1]!encode_PVT(gamma_gas_,gamma_oil_,gamma_wat_,Rsb_,Pb_,Tres_,Bob_,muob_))</f>
        <v>2.0455644724820198E-3</v>
      </c>
    </row>
    <row r="87" spans="2:22" x14ac:dyDescent="0.2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1.3402619926697701</v>
      </c>
      <c r="F87" s="73">
        <f>[1]!PVT_mu_oil_cP(B87,C87,[1]!encode_PVT(gamma_gas_,gamma_oil_,gamma_wat_,Rsb_,Pb_,Tres_,Bob_,muob_))</f>
        <v>0.99017928933969801</v>
      </c>
      <c r="G87" s="15">
        <f>[1]!PVT_mu_gas_cP(B87,C87,[1]!encode_PVT(gamma_gas_,gamma_oil_,gamma_wat_,Rsb_,Pb_,Tres_,Bob_,muob_))</f>
        <v>3.4619250690228802E-2</v>
      </c>
      <c r="H87" s="14">
        <f>[1]!PVT_mu_wat_cP(B87,C87,[1]!encode_PVT(gamma_gas_,gamma_oil_,gamma_wat_,Rsb_,Pb_,Tres_,Bob_,muob_))</f>
        <v>0.60221629838082102</v>
      </c>
      <c r="I87" s="73">
        <f>[1]!PVT_rho_gas_kgm3(B87,C87,[1]!encode_PVT(gamma_gas_,gamma_oil_,gamma_wat_,Rsb_,Pb_,Tres_,Bob_,muob_))</f>
        <v>293.736244216763</v>
      </c>
      <c r="J87" s="73">
        <f>[1]!PVT_rho_wat_kgm3(B87,C87,[1]!encode_PVT(gamma_gas_,gamma_oil_,gamma_wat_,Rsb_,Pb_,Tres_,Bob_,muob_))</f>
        <v>1075.37144457931</v>
      </c>
      <c r="K87" s="73">
        <f>[1]!PVT_rho_oil_kgm3(B87,C87,[1]!encode_PVT(gamma_gas_,gamma_oil_,gamma_wat_,Rsb_,Pb_,Tres_,Bob_,muob_))</f>
        <v>743.58645341356805</v>
      </c>
      <c r="L87" s="20">
        <f>[1]!PVT_bg_m3m3(B87,C87,[1]!encode_PVT(gamma_gas_,gamma_oil_,gamma_wat_,Rsb_,Pb_,Tres_,Bob_,muob_))</f>
        <v>3.7432561410045101E-3</v>
      </c>
      <c r="M87" s="20">
        <f>[1]!PVT_bw_m3m3(B87,C87,[1]!encode_PVT(gamma_gas_,gamma_oil_,gamma_wat_,Rsb_,Pb_,Tres_,Bob_,muob_))</f>
        <v>1.02290237065977</v>
      </c>
      <c r="N87" s="15">
        <f>[1]!PVT_ST_liqgas_Nm(B87,C87,[1]!encode_PVT(gamma_gas_,gamma_oil_,gamma_wat_,Rsb_,Pb_,Tres_,Bob_,muob_))</f>
        <v>1.9075656057825499E-3</v>
      </c>
      <c r="O87" s="15">
        <f>[1]!PVT_ST_oilgas_Nm(B87,C87,[1]!encode_PVT(gamma_gas_,gamma_oil_,gamma_wat_,Rsb_,Pb_,Tres_,Bob_,muob_))</f>
        <v>1.9075656057825499E-3</v>
      </c>
      <c r="P87" s="20">
        <f>[1]!PVT_ST_watgas_Nm(B87,C87,[1]!encode_PVT(gamma_gas_,gamma_oil_,gamma_wat_,Rsb_,Pb_,Tres_,Bob_,muob_))</f>
        <v>3.3884415613920298E-2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3.5190153308418302E-5</v>
      </c>
      <c r="U87" s="30">
        <f>[1]!PVT_compressibility_oil_1atm(B87,C87,[1]!encode_PVT(gamma_gas_,gamma_oil_,gamma_wat_,Rsb_,Pb_,Tres_,Bob_,muob_))</f>
        <v>1.4942936507936501E-4</v>
      </c>
      <c r="V87" s="30">
        <f>[1]!PVT_compressibility_gas_1atm(B87,C87,[1]!encode_PVT(gamma_gas_,gamma_oil_,gamma_wat_,Rsb_,Pb_,Tres_,Bob_,muob_))</f>
        <v>1.76983791015114E-3</v>
      </c>
    </row>
    <row r="88" spans="2:22" x14ac:dyDescent="0.2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</v>
      </c>
      <c r="F88" s="73">
        <f>[1]!PVT_mu_oil_cP(B88,C88,[1]!encode_PVT(gamma_gas_,gamma_oil_,gamma_wat_,Rsb_,Pb_,Tres_,Bob_,muob_))</f>
        <v>1.0220481154230801</v>
      </c>
      <c r="G88" s="15">
        <f>[1]!PVT_mu_gas_cP(B88,C88,[1]!encode_PVT(gamma_gas_,gamma_oil_,gamma_wat_,Rsb_,Pb_,Tres_,Bob_,muob_))</f>
        <v>3.6285578432125397E-2</v>
      </c>
      <c r="H88" s="14">
        <f>[1]!PVT_mu_wat_cP(B88,C88,[1]!encode_PVT(gamma_gas_,gamma_oil_,gamma_wat_,Rsb_,Pb_,Tres_,Bob_,muob_))</f>
        <v>0.61192139714204796</v>
      </c>
      <c r="I88" s="73">
        <f>[1]!PVT_rho_gas_kgm3(B88,C88,[1]!encode_PVT(gamma_gas_,gamma_oil_,gamma_wat_,Rsb_,Pb_,Tres_,Bob_,muob_))</f>
        <v>303.62618263772401</v>
      </c>
      <c r="J88" s="73">
        <f>[1]!PVT_rho_wat_kgm3(B88,C88,[1]!encode_PVT(gamma_gas_,gamma_oil_,gamma_wat_,Rsb_,Pb_,Tres_,Bob_,muob_))</f>
        <v>1076.28934797429</v>
      </c>
      <c r="K88" s="73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1.0220299978535801</v>
      </c>
      <c r="N88" s="15">
        <f>[1]!PVT_ST_liqgas_Nm(B88,C88,[1]!encode_PVT(gamma_gas_,gamma_oil_,gamma_wat_,Rsb_,Pb_,Tres_,Bob_,muob_))</f>
        <v>1.4801720051472E-3</v>
      </c>
      <c r="O88" s="15">
        <f>[1]!PVT_ST_oilgas_Nm(B88,C88,[1]!encode_PVT(gamma_gas_,gamma_oil_,gamma_wat_,Rsb_,Pb_,Tres_,Bob_,muob_))</f>
        <v>1.4801720051472E-3</v>
      </c>
      <c r="P88" s="20">
        <f>[1]!PVT_ST_watgas_Nm(B88,C88,[1]!encode_PVT(gamma_gas_,gamma_oil_,gamma_wat_,Rsb_,Pb_,Tres_,Bob_,muob_))</f>
        <v>3.2359365692962799E-2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3.5014540247507002E-5</v>
      </c>
      <c r="U88" s="30">
        <f>[1]!PVT_compressibility_oil_1atm(B88,C88,[1]!encode_PVT(gamma_gas_,gamma_oil_,gamma_wat_,Rsb_,Pb_,Tres_,Bob_,muob_))</f>
        <v>1.3946740740740699E-4</v>
      </c>
      <c r="V88" s="30">
        <f>[1]!PVT_compressibility_gas_1atm(B88,C88,[1]!encode_PVT(gamma_gas_,gamma_oil_,gamma_wat_,Rsb_,Pb_,Tres_,Bob_,muob_))</f>
        <v>1.5492036754003299E-3</v>
      </c>
    </row>
    <row r="89" spans="2:22" x14ac:dyDescent="0.2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1.3354449303101199</v>
      </c>
      <c r="F89" s="73">
        <f>[1]!PVT_mu_oil_cP(B89,C89,[1]!encode_PVT(gamma_gas_,gamma_oil_,gamma_wat_,Rsb_,Pb_,Tres_,Bob_,muob_))</f>
        <v>1.05559384395037</v>
      </c>
      <c r="G89" s="15">
        <f>[1]!PVT_mu_gas_cP(B89,C89,[1]!encode_PVT(gamma_gas_,gamma_oil_,gamma_wat_,Rsb_,Pb_,Tres_,Bob_,muob_))</f>
        <v>3.7880656112842699E-2</v>
      </c>
      <c r="H89" s="14">
        <f>[1]!PVT_mu_wat_cP(B89,C89,[1]!encode_PVT(gamma_gas_,gamma_oil_,gamma_wat_,Rsb_,Pb_,Tres_,Bob_,muob_))</f>
        <v>0.62189189665322298</v>
      </c>
      <c r="I89" s="73">
        <f>[1]!PVT_rho_gas_kgm3(B89,C89,[1]!encode_PVT(gamma_gas_,gamma_oil_,gamma_wat_,Rsb_,Pb_,Tres_,Bob_,muob_))</f>
        <v>312.59920396126898</v>
      </c>
      <c r="J89" s="73">
        <f>[1]!PVT_rho_wat_kgm3(B89,C89,[1]!encode_PVT(gamma_gas_,gamma_oil_,gamma_wat_,Rsb_,Pb_,Tres_,Bob_,muob_))</f>
        <v>1077.2568328877101</v>
      </c>
      <c r="K89" s="73">
        <f>[1]!PVT_rho_oil_kgm3(B89,C89,[1]!encode_PVT(gamma_gas_,gamma_oil_,gamma_wat_,Rsb_,Pb_,Tres_,Bob_,muob_))</f>
        <v>746.46013720481801</v>
      </c>
      <c r="L89" s="20">
        <f>[1]!PVT_bg_m3m3(B89,C89,[1]!encode_PVT(gamma_gas_,gamma_oil_,gamma_wat_,Rsb_,Pb_,Tres_,Bob_,muob_))</f>
        <v>3.5173793984972202E-3</v>
      </c>
      <c r="M89" s="20">
        <f>[1]!PVT_bw_m3m3(B89,C89,[1]!encode_PVT(gamma_gas_,gamma_oil_,gamma_wat_,Rsb_,Pb_,Tres_,Bob_,muob_))</f>
        <v>1.0211121121890001</v>
      </c>
      <c r="N89" s="15">
        <f>[1]!PVT_ST_liqgas_Nm(B89,C89,[1]!encode_PVT(gamma_gas_,gamma_oil_,gamma_wat_,Rsb_,Pb_,Tres_,Bob_,muob_))</f>
        <v>1.14853673088885E-3</v>
      </c>
      <c r="O89" s="15">
        <f>[1]!PVT_ST_oilgas_Nm(B89,C89,[1]!encode_PVT(gamma_gas_,gamma_oil_,gamma_wat_,Rsb_,Pb_,Tres_,Bob_,muob_))</f>
        <v>1.14853673088885E-3</v>
      </c>
      <c r="P89" s="20">
        <f>[1]!PVT_ST_watgas_Nm(B89,C89,[1]!encode_PVT(gamma_gas_,gamma_oil_,gamma_wat_,Rsb_,Pb_,Tres_,Bob_,muob_))</f>
        <v>3.0902954325135901E-2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1796.09276349731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1.3075069444444401E-4</v>
      </c>
      <c r="V89" s="30">
        <f>[1]!PVT_compressibility_gas_1atm(B89,C89,[1]!encode_PVT(gamma_gas_,gamma_oil_,gamma_wat_,Rsb_,Pb_,Tres_,Bob_,muob_))</f>
        <v>1.36884526687346E-3</v>
      </c>
    </row>
    <row r="90" spans="2:22" x14ac:dyDescent="0.2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</v>
      </c>
      <c r="F90" s="73">
        <f>[1]!PVT_mu_oil_cP(B90,C90,[1]!encode_PVT(gamma_gas_,gamma_oil_,gamma_wat_,Rsb_,Pb_,Tres_,Bob_,muob_))</f>
        <v>1.09068471229096</v>
      </c>
      <c r="G90" s="15">
        <f>[1]!PVT_mu_gas_cP(B90,C90,[1]!encode_PVT(gamma_gas_,gamma_oil_,gamma_wat_,Rsb_,Pb_,Tres_,Bob_,muob_))</f>
        <v>3.9407689305848002E-2</v>
      </c>
      <c r="H90" s="14">
        <f>[1]!PVT_mu_wat_cP(B90,C90,[1]!encode_PVT(gamma_gas_,gamma_oil_,gamma_wat_,Rsb_,Pb_,Tres_,Bob_,muob_))</f>
        <v>0.63212779691434595</v>
      </c>
      <c r="I90" s="73">
        <f>[1]!PVT_rho_gas_kgm3(B90,C90,[1]!encode_PVT(gamma_gas_,gamma_oil_,gamma_wat_,Rsb_,Pb_,Tres_,Bob_,muob_))</f>
        <v>320.77990474698998</v>
      </c>
      <c r="J90" s="73">
        <f>[1]!PVT_rho_wat_kgm3(B90,C90,[1]!encode_PVT(gamma_gas_,gamma_oil_,gamma_wat_,Rsb_,Pb_,Tres_,Bob_,muob_))</f>
        <v>1078.2741626434299</v>
      </c>
      <c r="K90" s="73">
        <f>[1]!PVT_rho_oil_kgm3(B90,C90,[1]!encode_PVT(gamma_gas_,gamma_oil_,gamma_wat_,Rsb_,Pb_,Tres_,Bob_,muob_))</f>
        <v>747.64664428203002</v>
      </c>
      <c r="L90" s="20">
        <f>[1]!PVT_bg_m3m3(B90,C90,[1]!encode_PVT(gamma_gas_,gamma_oil_,gamma_wat_,Rsb_,Pb_,Tres_,Bob_,muob_))</f>
        <v>3.4276773068663302E-3</v>
      </c>
      <c r="M90" s="20">
        <f>[1]!PVT_bw_m3m3(B90,C90,[1]!encode_PVT(gamma_gas_,gamma_oil_,gamma_wat_,Rsb_,Pb_,Tres_,Bob_,muob_))</f>
        <v>1.0201487136660199</v>
      </c>
      <c r="N90" s="15">
        <f>[1]!PVT_ST_liqgas_Nm(B90,C90,[1]!encode_PVT(gamma_gas_,gamma_oil_,gamma_wat_,Rsb_,Pb_,Tres_,Bob_,muob_))</f>
        <v>8.9120495294710603E-4</v>
      </c>
      <c r="O90" s="15">
        <f>[1]!PVT_ST_oilgas_Nm(B90,C90,[1]!encode_PVT(gamma_gas_,gamma_oil_,gamma_wat_,Rsb_,Pb_,Tres_,Bob_,muob_))</f>
        <v>8.9120495294710603E-4</v>
      </c>
      <c r="P90" s="20">
        <f>[1]!PVT_ST_watgas_Nm(B90,C90,[1]!encode_PVT(gamma_gas_,gamma_oil_,gamma_wat_,Rsb_,Pb_,Tres_,Bob_,muob_))</f>
        <v>2.9512092266663899E-2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1859.6808350175199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3.4668520442544801E-5</v>
      </c>
      <c r="U90" s="30">
        <f>[1]!PVT_compressibility_oil_1atm(B90,C90,[1]!encode_PVT(gamma_gas_,gamma_oil_,gamma_wat_,Rsb_,Pb_,Tres_,Bob_,muob_))</f>
        <v>1.2305947712418301E-4</v>
      </c>
      <c r="V90" s="30">
        <f>[1]!PVT_compressibility_gas_1atm(B90,C90,[1]!encode_PVT(gamma_gas_,gamma_oil_,gamma_wat_,Rsb_,Pb_,Tres_,Bob_,muob_))</f>
        <v>1.21875500329505E-3</v>
      </c>
    </row>
    <row r="91" spans="2:22" x14ac:dyDescent="0.2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1.33171029899334</v>
      </c>
      <c r="F91" s="73">
        <f>[1]!PVT_mu_oil_cP(B91,C91,[1]!encode_PVT(gamma_gas_,gamma_oil_,gamma_wat_,Rsb_,Pb_,Tres_,Bob_,muob_))</f>
        <v>1.12719397388292</v>
      </c>
      <c r="G91" s="15">
        <f>[1]!PVT_mu_gas_cP(B91,C91,[1]!encode_PVT(gamma_gas_,gamma_oil_,gamma_wat_,Rsb_,Pb_,Tres_,Bob_,muob_))</f>
        <v>4.0869339901965202E-2</v>
      </c>
      <c r="H91" s="14">
        <f>[1]!PVT_mu_wat_cP(B91,C91,[1]!encode_PVT(gamma_gas_,gamma_oil_,gamma_wat_,Rsb_,Pb_,Tres_,Bob_,muob_))</f>
        <v>0.642629097925416</v>
      </c>
      <c r="I91" s="73">
        <f>[1]!PVT_rho_gas_kgm3(B91,C91,[1]!encode_PVT(gamma_gas_,gamma_oil_,gamma_wat_,Rsb_,Pb_,Tres_,Bob_,muob_))</f>
        <v>328.26790395338003</v>
      </c>
      <c r="J91" s="73">
        <f>[1]!PVT_rho_wat_kgm3(B91,C91,[1]!encode_PVT(gamma_gas_,gamma_oil_,gamma_wat_,Rsb_,Pb_,Tres_,Bob_,muob_))</f>
        <v>1079.34161489335</v>
      </c>
      <c r="K91" s="73">
        <f>[1]!PVT_rho_oil_kgm3(B91,C91,[1]!encode_PVT(gamma_gas_,gamma_oil_,gamma_wat_,Rsb_,Pb_,Tres_,Bob_,muob_))</f>
        <v>748.70290042716294</v>
      </c>
      <c r="L91" s="20">
        <f>[1]!PVT_bg_m3m3(B91,C91,[1]!encode_PVT(gamma_gas_,gamma_oil_,gamma_wat_,Rsb_,Pb_,Tres_,Bob_,muob_))</f>
        <v>3.3494898123093801E-3</v>
      </c>
      <c r="M91" s="20">
        <f>[1]!PVT_bw_m3m3(B91,C91,[1]!encode_PVT(gamma_gas_,gamma_oil_,gamma_wat_,Rsb_,Pb_,Tres_,Bob_,muob_))</f>
        <v>1.0191398022846501</v>
      </c>
      <c r="N91" s="15">
        <f>[1]!PVT_ST_liqgas_Nm(B91,C91,[1]!encode_PVT(gamma_gas_,gamma_oil_,gamma_wat_,Rsb_,Pb_,Tres_,Bob_,muob_))</f>
        <v>6.9152883560179301E-4</v>
      </c>
      <c r="O91" s="15">
        <f>[1]!PVT_ST_oilgas_Nm(B91,C91,[1]!encode_PVT(gamma_gas_,gamma_oil_,gamma_wat_,Rsb_,Pb_,Tres_,Bob_,muob_))</f>
        <v>6.9152883560179301E-4</v>
      </c>
      <c r="P91" s="20">
        <f>[1]!PVT_ST_watgas_Nm(B91,C91,[1]!encode_PVT(gamma_gas_,gamma_oil_,gamma_wat_,Rsb_,Pb_,Tres_,Bob_,muob_))</f>
        <v>2.8183829312644501E-2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1924.1580017926201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3.4498062501728701E-5</v>
      </c>
      <c r="U91" s="30">
        <f>[1]!PVT_compressibility_oil_1atm(B91,C91,[1]!encode_PVT(gamma_gas_,gamma_oil_,gamma_wat_,Rsb_,Pb_,Tres_,Bob_,muob_))</f>
        <v>1.1622283950617301E-4</v>
      </c>
      <c r="V91" s="30">
        <f>[1]!PVT_compressibility_gas_1atm(B91,C91,[1]!encode_PVT(gamma_gas_,gamma_oil_,gamma_wat_,Rsb_,Pb_,Tres_,Bob_,muob_))</f>
        <v>1.0920730564827699E-3</v>
      </c>
    </row>
    <row r="92" spans="2:22" x14ac:dyDescent="0.2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1.3301409488772</v>
      </c>
      <c r="F92" s="73">
        <f>[1]!PVT_mu_oil_cP(B92,C92,[1]!encode_PVT(gamma_gas_,gamma_oil_,gamma_wat_,Rsb_,Pb_,Tres_,Bob_,muob_))</f>
        <v>1.16499793748908</v>
      </c>
      <c r="G92" s="15">
        <f>[1]!PVT_mu_gas_cP(B92,C92,[1]!encode_PVT(gamma_gas_,gamma_oil_,gamma_wat_,Rsb_,Pb_,Tres_,Bob_,muob_))</f>
        <v>4.2268075916358401E-2</v>
      </c>
      <c r="H92" s="14">
        <f>[1]!PVT_mu_wat_cP(B92,C92,[1]!encode_PVT(gamma_gas_,gamma_oil_,gamma_wat_,Rsb_,Pb_,Tres_,Bob_,muob_))</f>
        <v>0.65339579968643502</v>
      </c>
      <c r="I92" s="73">
        <f>[1]!PVT_rho_gas_kgm3(B92,C92,[1]!encode_PVT(gamma_gas_,gamma_oil_,gamma_wat_,Rsb_,Pb_,Tres_,Bob_,muob_))</f>
        <v>335.14519561162302</v>
      </c>
      <c r="J92" s="73">
        <f>[1]!PVT_rho_wat_kgm3(B92,C92,[1]!encode_PVT(gamma_gas_,gamma_oil_,gamma_wat_,Rsb_,Pb_,Tres_,Bob_,muob_))</f>
        <v>1080.4594818093101</v>
      </c>
      <c r="K92" s="73">
        <f>[1]!PVT_rho_oil_kgm3(B92,C92,[1]!encode_PVT(gamma_gas_,gamma_oil_,gamma_wat_,Rsb_,Pb_,Tres_,Bob_,muob_))</f>
        <v>749.64923655264602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</v>
      </c>
      <c r="N92" s="15">
        <f>[1]!PVT_ST_liqgas_Nm(B92,C92,[1]!encode_PVT(gamma_gas_,gamma_oil_,gamma_wat_,Rsb_,Pb_,Tres_,Bob_,muob_))</f>
        <v>5.3659052150392802E-4</v>
      </c>
      <c r="O92" s="15">
        <f>[1]!PVT_ST_oilgas_Nm(B92,C92,[1]!encode_PVT(gamma_gas_,gamma_oil_,gamma_wat_,Rsb_,Pb_,Tres_,Bob_,muob_))</f>
        <v>5.3659052150392802E-4</v>
      </c>
      <c r="P92" s="20">
        <f>[1]!PVT_ST_watgas_Nm(B92,C92,[1]!encode_PVT(gamma_gas_,gamma_oil_,gamma_wat_,Rsb_,Pb_,Tres_,Bob_,muob_))</f>
        <v>2.6915348039269201E-2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1989.3777260142499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3.4329272572486801E-5</v>
      </c>
      <c r="U92" s="30">
        <f>[1]!PVT_compressibility_oil_1atm(B92,C92,[1]!encode_PVT(gamma_gas_,gamma_oil_,gamma_wat_,Rsb_,Pb_,Tres_,Bob_,muob_))</f>
        <v>1.10105847953216E-4</v>
      </c>
      <c r="V92" s="30">
        <f>[1]!PVT_compressibility_gas_1atm(B92,C92,[1]!encode_PVT(gamma_gas_,gamma_oil_,gamma_wat_,Rsb_,Pb_,Tres_,Bob_,muob_))</f>
        <v>9.8400370785263003E-4</v>
      </c>
    </row>
    <row r="93" spans="2:22" x14ac:dyDescent="0.2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1.3287301150684401</v>
      </c>
      <c r="F93" s="73">
        <f>[1]!PVT_mu_oil_cP(B93,C93,[1]!encode_PVT(gamma_gas_,gamma_oil_,gamma_wat_,Rsb_,Pb_,Tres_,Bob_,muob_))</f>
        <v>1.2039745671498701</v>
      </c>
      <c r="G93" s="15">
        <f>[1]!PVT_mu_gas_cP(B93,C93,[1]!encode_PVT(gamma_gas_,gamma_oil_,gamma_wat_,Rsb_,Pb_,Tres_,Bob_,muob_))</f>
        <v>4.3606453351793903E-2</v>
      </c>
      <c r="H93" s="14">
        <f>[1]!PVT_mu_wat_cP(B93,C93,[1]!encode_PVT(gamma_gas_,gamma_oil_,gamma_wat_,Rsb_,Pb_,Tres_,Bob_,muob_))</f>
        <v>0.664427902197401</v>
      </c>
      <c r="I93" s="73">
        <f>[1]!PVT_rho_gas_kgm3(B93,C93,[1]!encode_PVT(gamma_gas_,gamma_oil_,gamma_wat_,Rsb_,Pb_,Tres_,Bob_,muob_))</f>
        <v>341.48125031666302</v>
      </c>
      <c r="J93" s="73">
        <f>[1]!PVT_rho_wat_kgm3(B93,C93,[1]!encode_PVT(gamma_gas_,gamma_oil_,gamma_wat_,Rsb_,Pb_,Tres_,Bob_,muob_))</f>
        <v>1081.6280702858701</v>
      </c>
      <c r="K93" s="73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3.2198839584322201E-3</v>
      </c>
      <c r="M93" s="20">
        <f>[1]!PVT_bw_m3m3(B93,C93,[1]!encode_PVT(gamma_gas_,gamma_oil_,gamma_wat_,Rsb_,Pb_,Tres_,Bob_,muob_))</f>
        <v>1.0169854409467001</v>
      </c>
      <c r="N93" s="15">
        <f>[1]!PVT_ST_liqgas_Nm(B93,C93,[1]!encode_PVT(gamma_gas_,gamma_oil_,gamma_wat_,Rsb_,Pb_,Tres_,Bob_,muob_))</f>
        <v>4.1636642312578597E-4</v>
      </c>
      <c r="O93" s="15">
        <f>[1]!PVT_ST_oilgas_Nm(B93,C93,[1]!encode_PVT(gamma_gas_,gamma_oil_,gamma_wat_,Rsb_,Pb_,Tres_,Bob_,muob_))</f>
        <v>4.1636642312578597E-4</v>
      </c>
      <c r="P93" s="20">
        <f>[1]!PVT_ST_watgas_Nm(B93,C93,[1]!encode_PVT(gamma_gas_,gamma_oil_,gamma_wat_,Rsb_,Pb_,Tres_,Bob_,muob_))</f>
        <v>2.5703957827688601E-2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2055.22692530411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3.41621262906035E-5</v>
      </c>
      <c r="U93" s="30">
        <f>[1]!PVT_compressibility_oil_1atm(B93,C93,[1]!encode_PVT(gamma_gas_,gamma_oil_,gamma_wat_,Rsb_,Pb_,Tres_,Bob_,muob_))</f>
        <v>1.0460055555555599E-4</v>
      </c>
      <c r="V93" s="30">
        <f>[1]!PVT_compressibility_gas_1atm(B93,C93,[1]!encode_PVT(gamma_gas_,gamma_oil_,gamma_wat_,Rsb_,Pb_,Tres_,Bob_,muob_))</f>
        <v>8.9111441181083004E-4</v>
      </c>
    </row>
    <row r="94" spans="2:22" x14ac:dyDescent="0.2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1.3274549358615899</v>
      </c>
      <c r="F94" s="73">
        <f>[1]!PVT_mu_oil_cP(B94,C94,[1]!encode_PVT(gamma_gas_,gamma_oil_,gamma_wat_,Rsb_,Pb_,Tres_,Bob_,muob_))</f>
        <v>1.2440025152726999</v>
      </c>
      <c r="G94" s="15">
        <f>[1]!PVT_mu_gas_cP(B94,C94,[1]!encode_PVT(gamma_gas_,gamma_oil_,gamma_wat_,Rsb_,Pb_,Tres_,Bob_,muob_))</f>
        <v>4.4887308467026897E-2</v>
      </c>
      <c r="H94" s="14">
        <f>[1]!PVT_mu_wat_cP(B94,C94,[1]!encode_PVT(gamma_gas_,gamma_oil_,gamma_wat_,Rsb_,Pb_,Tres_,Bob_,muob_))</f>
        <v>0.67572540545831505</v>
      </c>
      <c r="I94" s="73">
        <f>[1]!PVT_rho_gas_kgm3(B94,C94,[1]!encode_PVT(gamma_gas_,gamma_oil_,gamma_wat_,Rsb_,Pb_,Tres_,Bob_,muob_))</f>
        <v>347.33647174521502</v>
      </c>
      <c r="J94" s="73">
        <f>[1]!PVT_rho_wat_kgm3(B94,C94,[1]!encode_PVT(gamma_gas_,gamma_oil_,gamma_wat_,Rsb_,Pb_,Tres_,Bob_,muob_))</f>
        <v>1082.8477021541901</v>
      </c>
      <c r="K94" s="73">
        <f>[1]!PVT_rho_oil_kgm3(B94,C94,[1]!encode_PVT(gamma_gas_,gamma_oil_,gamma_wat_,Rsb_,Pb_,Tres_,Bob_,muob_))</f>
        <v>751.27431074278195</v>
      </c>
      <c r="L94" s="20">
        <f>[1]!PVT_bg_m3m3(B94,C94,[1]!encode_PVT(gamma_gas_,gamma_oil_,gamma_wat_,Rsb_,Pb_,Tres_,Bob_,muob_))</f>
        <v>3.1656047937475098E-3</v>
      </c>
      <c r="M94" s="20">
        <f>[1]!PVT_bw_m3m3(B94,C94,[1]!encode_PVT(gamma_gas_,gamma_oil_,gamma_wat_,Rsb_,Pb_,Tres_,Bob_,muob_))</f>
        <v>1.0158399909901299</v>
      </c>
      <c r="N94" s="15">
        <f>[1]!PVT_ST_liqgas_Nm(B94,C94,[1]!encode_PVT(gamma_gas_,gamma_oil_,gamma_wat_,Rsb_,Pb_,Tres_,Bob_,muob_))</f>
        <v>3.2307875625658402E-4</v>
      </c>
      <c r="O94" s="15">
        <f>[1]!PVT_ST_oilgas_Nm(B94,C94,[1]!encode_PVT(gamma_gas_,gamma_oil_,gamma_wat_,Rsb_,Pb_,Tres_,Bob_,muob_))</f>
        <v>3.2307875625658402E-4</v>
      </c>
      <c r="P94" s="20">
        <f>[1]!PVT_ST_watgas_Nm(B94,C94,[1]!encode_PVT(gamma_gas_,gamma_oil_,gamma_wat_,Rsb_,Pb_,Tres_,Bob_,muob_))</f>
        <v>2.4547089156850301E-2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2121.6100038142199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3.3996599764072998E-5</v>
      </c>
      <c r="U94" s="30">
        <f>[1]!PVT_compressibility_oil_1atm(B94,C94,[1]!encode_PVT(gamma_gas_,gamma_oil_,gamma_wat_,Rsb_,Pb_,Tres_,Bob_,muob_))</f>
        <v>9.96195767195767E-5</v>
      </c>
      <c r="V94" s="30">
        <f>[1]!PVT_compressibility_gas_1atm(B94,C94,[1]!encode_PVT(gamma_gas_,gamma_oil_,gamma_wat_,Rsb_,Pb_,Tres_,Bob_,muob_))</f>
        <v>8.1088268028920699E-4</v>
      </c>
    </row>
    <row r="95" spans="2:22" x14ac:dyDescent="0.2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1.32629674403159</v>
      </c>
      <c r="F95" s="73">
        <f>[1]!PVT_mu_oil_cP(B95,C95,[1]!encode_PVT(gamma_gas_,gamma_oil_,gamma_wat_,Rsb_,Pb_,Tres_,Bob_,muob_))</f>
        <v>1.28496049500715</v>
      </c>
      <c r="G95" s="15">
        <f>[1]!PVT_mu_gas_cP(B95,C95,[1]!encode_PVT(gamma_gas_,gamma_oil_,gamma_wat_,Rsb_,Pb_,Tres_,Bob_,muob_))</f>
        <v>4.6113865949030899E-2</v>
      </c>
      <c r="H95" s="14">
        <f>[1]!PVT_mu_wat_cP(B95,C95,[1]!encode_PVT(gamma_gas_,gamma_oil_,gamma_wat_,Rsb_,Pb_,Tres_,Bob_,muob_))</f>
        <v>0.68728830946917696</v>
      </c>
      <c r="I95" s="73">
        <f>[1]!PVT_rho_gas_kgm3(B95,C95,[1]!encode_PVT(gamma_gas_,gamma_oil_,gamma_wat_,Rsb_,Pb_,Tres_,Bob_,muob_))</f>
        <v>352.76450166554798</v>
      </c>
      <c r="J95" s="73">
        <f>[1]!PVT_rho_wat_kgm3(B95,C95,[1]!encode_PVT(gamma_gas_,gamma_oil_,gamma_wat_,Rsb_,Pb_,Tres_,Bob_,muob_))</f>
        <v>1084.1187144074199</v>
      </c>
      <c r="K95" s="73">
        <f>[1]!PVT_rho_oil_kgm3(B95,C95,[1]!encode_PVT(gamma_gas_,gamma_oil_,gamma_wat_,Rsb_,Pb_,Tres_,Bob_,muob_))</f>
        <v>751.97713592629702</v>
      </c>
      <c r="L95" s="20">
        <f>[1]!PVT_bg_m3m3(B95,C95,[1]!encode_PVT(gamma_gas_,gamma_oil_,gamma_wat_,Rsb_,Pb_,Tres_,Bob_,muob_))</f>
        <v>3.1168952511056499E-3</v>
      </c>
      <c r="M95" s="20">
        <f>[1]!PVT_bw_m3m3(B95,C95,[1]!encode_PVT(gamma_gas_,gamma_oil_,gamma_wat_,Rsb_,Pb_,Tres_,Bob_,muob_))</f>
        <v>1.0146490281751701</v>
      </c>
      <c r="N95" s="15">
        <f>[1]!PVT_ST_liqgas_Nm(B95,C95,[1]!encode_PVT(gamma_gas_,gamma_oil_,gamma_wat_,Rsb_,Pb_,Tres_,Bob_,muob_))</f>
        <v>2.5069236361734099E-4</v>
      </c>
      <c r="O95" s="15">
        <f>[1]!PVT_ST_oilgas_Nm(B95,C95,[1]!encode_PVT(gamma_gas_,gamma_oil_,gamma_wat_,Rsb_,Pb_,Tres_,Bob_,muob_))</f>
        <v>2.5069236361734099E-4</v>
      </c>
      <c r="P95" s="20">
        <f>[1]!PVT_ST_watgas_Nm(B95,C95,[1]!encode_PVT(gamma_gas_,gamma_oil_,gamma_wat_,Rsb_,Pb_,Tres_,Bob_,muob_))</f>
        <v>2.3442288153199198E-2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2188.4390365416598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3.3832669561714799E-5</v>
      </c>
      <c r="U95" s="30">
        <f>[1]!PVT_compressibility_oil_1atm(B95,C95,[1]!encode_PVT(gamma_gas_,gamma_oil_,gamma_wat_,Rsb_,Pb_,Tres_,Bob_,muob_))</f>
        <v>9.5091414141414198E-5</v>
      </c>
      <c r="V95" s="30">
        <f>[1]!PVT_compressibility_gas_1atm(B95,C95,[1]!encode_PVT(gamma_gas_,gamma_oil_,gamma_wat_,Rsb_,Pb_,Tres_,Bob_,muob_))</f>
        <v>7.4140176232851405E-4</v>
      </c>
    </row>
    <row r="96" spans="2:22" x14ac:dyDescent="0.2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</v>
      </c>
      <c r="F96" s="73">
        <f>[1]!PVT_mu_oil_cP(B96,C96,[1]!encode_PVT(gamma_gas_,gamma_oil_,gamma_wat_,Rsb_,Pb_,Tres_,Bob_,muob_))</f>
        <v>1.32672692117161</v>
      </c>
      <c r="G96" s="15">
        <f>[1]!PVT_mu_gas_cP(B96,C96,[1]!encode_PVT(gamma_gas_,gamma_oil_,gamma_wat_,Rsb_,Pb_,Tres_,Bob_,muob_))</f>
        <v>4.7289778277559397E-2</v>
      </c>
      <c r="H96" s="14">
        <f>[1]!PVT_mu_wat_cP(B96,C96,[1]!encode_PVT(gamma_gas_,gamma_oil_,gamma_wat_,Rsb_,Pb_,Tres_,Bob_,muob_))</f>
        <v>0.69911661422998705</v>
      </c>
      <c r="I96" s="73">
        <f>[1]!PVT_rho_gas_kgm3(B96,C96,[1]!encode_PVT(gamma_gas_,gamma_oil_,gamma_wat_,Rsb_,Pb_,Tres_,Bob_,muob_))</f>
        <v>357.81373889366898</v>
      </c>
      <c r="J96" s="73">
        <f>[1]!PVT_rho_wat_kgm3(B96,C96,[1]!encode_PVT(gamma_gas_,gamma_oil_,gamma_wat_,Rsb_,Pb_,Tres_,Bob_,muob_))</f>
        <v>1085.4414594376599</v>
      </c>
      <c r="K96" s="73">
        <f>[1]!PVT_rho_oil_kgm3(B96,C96,[1]!encode_PVT(gamma_gas_,gamma_oil_,gamma_wat_,Rsb_,Pb_,Tres_,Bob_,muob_))</f>
        <v>752.61942008629103</v>
      </c>
      <c r="L96" s="20">
        <f>[1]!PVT_bg_m3m3(B96,C96,[1]!encode_PVT(gamma_gas_,gamma_oil_,gamma_wat_,Rsb_,Pb_,Tres_,Bob_,muob_))</f>
        <v>3.0729116310616198E-3</v>
      </c>
      <c r="M96" s="20">
        <f>[1]!PVT_bw_m3m3(B96,C96,[1]!encode_PVT(gamma_gas_,gamma_oil_,gamma_wat_,Rsb_,Pb_,Tres_,Bob_,muob_))</f>
        <v>1.0134125525018001</v>
      </c>
      <c r="N96" s="15">
        <f>[1]!PVT_ST_liqgas_Nm(B96,C96,[1]!encode_PVT(gamma_gas_,gamma_oil_,gamma_wat_,Rsb_,Pb_,Tres_,Bob_,muob_))</f>
        <v>1.9452427607507901E-4</v>
      </c>
      <c r="O96" s="15">
        <f>[1]!PVT_ST_oilgas_Nm(B96,C96,[1]!encode_PVT(gamma_gas_,gamma_oil_,gamma_wat_,Rsb_,Pb_,Tres_,Bob_,muob_))</f>
        <v>1.9452427607507901E-4</v>
      </c>
      <c r="P96" s="20">
        <f>[1]!PVT_ST_watgas_Nm(B96,C96,[1]!encode_PVT(gamma_gas_,gamma_oil_,gamma_wat_,Rsb_,Pb_,Tres_,Bob_,muob_))</f>
        <v>2.2387211385683399E-2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3.3670312702116297E-5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6.8118786493963303E-4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/>
  <mergeCells count="11">
    <mergeCell ref="B21:C21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2021-03-10T17:32:32Z</dcterms:modified>
</cp:coreProperties>
</file>