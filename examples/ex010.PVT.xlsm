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68F995E8-1B9C-490C-A4A4-C6961CCB7A77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E16" i="113"/>
  <c r="E15" i="113"/>
  <c r="E14" i="113"/>
  <c r="E13" i="113"/>
  <c r="E12" i="113"/>
  <c r="E11" i="113"/>
  <c r="H93" i="113"/>
  <c r="D85" i="113"/>
  <c r="S76" i="113"/>
  <c r="J72" i="113"/>
  <c r="U91" i="113"/>
  <c r="J84" i="113"/>
  <c r="M75" i="113"/>
  <c r="K94" i="113"/>
  <c r="G86" i="113"/>
  <c r="J77" i="113"/>
  <c r="S91" i="113"/>
  <c r="H84" i="113"/>
  <c r="D76" i="113"/>
  <c r="S96" i="113"/>
  <c r="H89" i="113"/>
  <c r="D81" i="113"/>
  <c r="S72" i="113"/>
  <c r="V92" i="113"/>
  <c r="R84" i="113"/>
  <c r="N76" i="113"/>
  <c r="S94" i="113"/>
  <c r="H87" i="113"/>
  <c r="D79" i="113"/>
  <c r="R6" i="113" a="1"/>
  <c r="H92" i="113"/>
  <c r="D84" i="113"/>
  <c r="S75" i="113"/>
  <c r="Q94" i="113"/>
  <c r="M86" i="113"/>
  <c r="I78" i="113"/>
  <c r="D26" i="113"/>
  <c r="M91" i="113"/>
  <c r="U83" i="113"/>
  <c r="J76" i="113"/>
  <c r="G95" i="113"/>
  <c r="M96" i="113"/>
  <c r="U88" i="113"/>
  <c r="J81" i="113"/>
  <c r="R73" i="113"/>
  <c r="U81" i="113"/>
  <c r="E91" i="113"/>
  <c r="E74" i="113"/>
  <c r="J89" i="113"/>
  <c r="N78" i="113"/>
  <c r="D80" i="113"/>
  <c r="D89" i="113"/>
  <c r="T83" i="113"/>
  <c r="I77" i="113"/>
  <c r="S77" i="113"/>
  <c r="N79" i="113"/>
  <c r="G90" i="113"/>
  <c r="O92" i="113"/>
  <c r="K84" i="113"/>
  <c r="G76" i="113"/>
  <c r="T79" i="113"/>
  <c r="I91" i="113"/>
  <c r="Q83" i="113"/>
  <c r="T74" i="113"/>
  <c r="R93" i="113"/>
  <c r="N85" i="113"/>
  <c r="Q76" i="113"/>
  <c r="G91" i="113"/>
  <c r="O83" i="113"/>
  <c r="K75" i="113"/>
  <c r="G96" i="113"/>
  <c r="O88" i="113"/>
  <c r="K80" i="113"/>
  <c r="G72" i="113"/>
  <c r="J92" i="113"/>
  <c r="F84" i="113"/>
  <c r="U75" i="113"/>
  <c r="G94" i="113"/>
  <c r="O86" i="113"/>
  <c r="K78" i="113"/>
  <c r="H88" i="113"/>
  <c r="O91" i="113"/>
  <c r="K83" i="113"/>
  <c r="G75" i="113"/>
  <c r="L93" i="113"/>
  <c r="T85" i="113"/>
  <c r="P77" i="113"/>
  <c r="V86" i="113"/>
  <c r="T90" i="113"/>
  <c r="I83" i="113"/>
  <c r="Q75" i="113"/>
  <c r="N94" i="113"/>
  <c r="T95" i="113"/>
  <c r="I88" i="113"/>
  <c r="Q80" i="113"/>
  <c r="F73" i="113"/>
  <c r="M77" i="113"/>
  <c r="E73" i="113"/>
  <c r="V79" i="113"/>
  <c r="N83" i="113"/>
  <c r="V73" i="113"/>
  <c r="L86" i="113"/>
  <c r="I76" i="113"/>
  <c r="M85" i="113"/>
  <c r="Q74" i="113"/>
  <c r="Q77" i="113"/>
  <c r="T76" i="113"/>
  <c r="V91" i="113"/>
  <c r="R83" i="113"/>
  <c r="N75" i="113"/>
  <c r="L75" i="113"/>
  <c r="P90" i="113"/>
  <c r="L82" i="113"/>
  <c r="H74" i="113"/>
  <c r="F93" i="113"/>
  <c r="U84" i="113"/>
  <c r="G74" i="113"/>
  <c r="N90" i="113"/>
  <c r="V82" i="113"/>
  <c r="R74" i="113"/>
  <c r="N95" i="113"/>
  <c r="V87" i="113"/>
  <c r="R79" i="113"/>
  <c r="N71" i="113"/>
  <c r="Q91" i="113"/>
  <c r="M83" i="113"/>
  <c r="I75" i="113"/>
  <c r="N93" i="113"/>
  <c r="V85" i="113"/>
  <c r="R77" i="113"/>
  <c r="I81" i="113"/>
  <c r="V90" i="113"/>
  <c r="R82" i="113"/>
  <c r="N74" i="113"/>
  <c r="S92" i="113"/>
  <c r="H85" i="113"/>
  <c r="D77" i="113"/>
  <c r="F78" i="113"/>
  <c r="H90" i="113"/>
  <c r="P82" i="113"/>
  <c r="E75" i="113"/>
  <c r="I93" i="113"/>
  <c r="H95" i="113"/>
  <c r="P87" i="113"/>
  <c r="E80" i="113"/>
  <c r="M72" i="113"/>
  <c r="J74" i="113"/>
  <c r="E86" i="113"/>
  <c r="L94" i="113"/>
  <c r="R91" i="113"/>
  <c r="R89" i="113"/>
  <c r="S80" i="113"/>
  <c r="L91" i="113"/>
  <c r="P80" i="113"/>
  <c r="D86" i="113"/>
  <c r="V95" i="113"/>
  <c r="O82" i="113"/>
  <c r="J91" i="113"/>
  <c r="F83" i="113"/>
  <c r="U74" i="113"/>
  <c r="N73" i="113"/>
  <c r="D90" i="113"/>
  <c r="S81" i="113"/>
  <c r="V72" i="113"/>
  <c r="M92" i="113"/>
  <c r="I84" i="113"/>
  <c r="U72" i="113"/>
  <c r="U89" i="113"/>
  <c r="J82" i="113"/>
  <c r="F74" i="113"/>
  <c r="U94" i="113"/>
  <c r="J87" i="113"/>
  <c r="F79" i="113"/>
  <c r="F72" i="113"/>
  <c r="L90" i="113"/>
  <c r="T82" i="113"/>
  <c r="P74" i="113"/>
  <c r="U92" i="113"/>
  <c r="J85" i="113"/>
  <c r="F77" i="113"/>
  <c r="H76" i="113"/>
  <c r="J90" i="113"/>
  <c r="F82" i="113"/>
  <c r="U73" i="113"/>
  <c r="G92" i="113"/>
  <c r="O84" i="113"/>
  <c r="K76" i="113"/>
  <c r="V74" i="113"/>
  <c r="O89" i="113"/>
  <c r="D82" i="113"/>
  <c r="L74" i="113"/>
  <c r="D92" i="113"/>
  <c r="O94" i="113"/>
  <c r="D87" i="113"/>
  <c r="L79" i="113"/>
  <c r="T71" i="113"/>
  <c r="S71" i="113"/>
  <c r="E81" i="113"/>
  <c r="T86" i="113"/>
  <c r="F81" i="113"/>
  <c r="V75" i="113"/>
  <c r="R94" i="113"/>
  <c r="I71" i="113"/>
  <c r="E72" i="113"/>
  <c r="Q93" i="113"/>
  <c r="H94" i="113"/>
  <c r="R87" i="113"/>
  <c r="E85" i="113"/>
  <c r="Q90" i="113"/>
  <c r="M82" i="113"/>
  <c r="I74" i="113"/>
  <c r="D71" i="113"/>
  <c r="K89" i="113"/>
  <c r="G81" i="113"/>
  <c r="Q71" i="113"/>
  <c r="T91" i="113"/>
  <c r="P83" i="113"/>
  <c r="P71" i="113"/>
  <c r="I89" i="113"/>
  <c r="Q81" i="113"/>
  <c r="M73" i="113"/>
  <c r="I94" i="113"/>
  <c r="Q86" i="113"/>
  <c r="M78" i="113"/>
  <c r="M89" i="113"/>
  <c r="S89" i="113"/>
  <c r="H82" i="113"/>
  <c r="D74" i="113"/>
  <c r="I92" i="113"/>
  <c r="Q84" i="113"/>
  <c r="M76" i="113"/>
  <c r="G71" i="113"/>
  <c r="Q89" i="113"/>
  <c r="M81" i="113"/>
  <c r="I73" i="113"/>
  <c r="N91" i="113"/>
  <c r="V83" i="113"/>
  <c r="R75" i="113"/>
  <c r="N96" i="113"/>
  <c r="V88" i="113"/>
  <c r="K81" i="113"/>
  <c r="S73" i="113"/>
  <c r="K91" i="113"/>
  <c r="V93" i="113"/>
  <c r="K86" i="113"/>
  <c r="S78" i="113"/>
  <c r="H71" i="113"/>
  <c r="E82" i="113"/>
  <c r="E93" i="113"/>
  <c r="N87" i="113"/>
  <c r="I87" i="113"/>
  <c r="H73" i="113"/>
  <c r="O78" i="113"/>
  <c r="M88" i="113"/>
  <c r="O77" i="113"/>
  <c r="L89" i="113"/>
  <c r="T81" i="113"/>
  <c r="P73" i="113"/>
  <c r="V96" i="113"/>
  <c r="R88" i="113"/>
  <c r="N80" i="113"/>
  <c r="H79" i="113"/>
  <c r="H91" i="113"/>
  <c r="D83" i="113"/>
  <c r="T96" i="113"/>
  <c r="P88" i="113"/>
  <c r="L80" i="113"/>
  <c r="T72" i="113"/>
  <c r="P93" i="113"/>
  <c r="L85" i="113"/>
  <c r="T77" i="113"/>
  <c r="K79" i="113"/>
  <c r="G89" i="113"/>
  <c r="O81" i="113"/>
  <c r="K73" i="113"/>
  <c r="P91" i="113"/>
  <c r="L83" i="113"/>
  <c r="T75" i="113"/>
  <c r="P96" i="113"/>
  <c r="L88" i="113"/>
  <c r="T80" i="113"/>
  <c r="P72" i="113"/>
  <c r="U90" i="113"/>
  <c r="J83" i="113"/>
  <c r="F75" i="113"/>
  <c r="U95" i="113"/>
  <c r="J88" i="113"/>
  <c r="R80" i="113"/>
  <c r="G73" i="113"/>
  <c r="O87" i="113"/>
  <c r="J93" i="113"/>
  <c r="R85" i="113"/>
  <c r="G78" i="113"/>
  <c r="S95" i="113"/>
  <c r="E94" i="113"/>
  <c r="E76" i="113"/>
  <c r="R71" i="113"/>
  <c r="V94" i="113"/>
  <c r="M95" i="113"/>
  <c r="N86" i="113"/>
  <c r="T78" i="113"/>
  <c r="E95" i="113"/>
  <c r="P95" i="113"/>
  <c r="I80" i="113"/>
  <c r="G85" i="113"/>
  <c r="S88" i="113"/>
  <c r="H81" i="113"/>
  <c r="D73" i="113"/>
  <c r="J96" i="113"/>
  <c r="F88" i="113"/>
  <c r="U79" i="113"/>
  <c r="S74" i="113"/>
  <c r="O90" i="113"/>
  <c r="K82" i="113"/>
  <c r="H96" i="113"/>
  <c r="D88" i="113"/>
  <c r="S79" i="113"/>
  <c r="H72" i="113"/>
  <c r="D93" i="113"/>
  <c r="S84" i="113"/>
  <c r="H77" i="113"/>
  <c r="R96" i="113"/>
  <c r="N88" i="113"/>
  <c r="V80" i="113"/>
  <c r="M71" i="113"/>
  <c r="D91" i="113"/>
  <c r="S82" i="113"/>
  <c r="H75" i="113"/>
  <c r="D96" i="113"/>
  <c r="S87" i="113"/>
  <c r="H80" i="113"/>
  <c r="D72" i="113"/>
  <c r="I90" i="113"/>
  <c r="Q82" i="113"/>
  <c r="M74" i="113"/>
  <c r="I95" i="113"/>
  <c r="Q87" i="113"/>
  <c r="F80" i="113"/>
  <c r="N72" i="113"/>
  <c r="Q85" i="113"/>
  <c r="Q92" i="113"/>
  <c r="F85" i="113"/>
  <c r="N77" i="113"/>
  <c r="U93" i="113"/>
  <c r="E77" i="113"/>
  <c r="E88" i="113"/>
  <c r="P78" i="113"/>
  <c r="R72" i="113"/>
  <c r="N81" i="113"/>
  <c r="D94" i="113"/>
  <c r="R90" i="113"/>
  <c r="M90" i="113"/>
  <c r="M93" i="113"/>
  <c r="G1" i="113"/>
  <c r="K96" i="113"/>
  <c r="G88" i="113"/>
  <c r="O80" i="113"/>
  <c r="K72" i="113"/>
  <c r="Q95" i="113"/>
  <c r="M87" i="113"/>
  <c r="I79" i="113"/>
  <c r="I72" i="113"/>
  <c r="V89" i="113"/>
  <c r="R81" i="113"/>
  <c r="O95" i="113"/>
  <c r="K87" i="113"/>
  <c r="G79" i="113"/>
  <c r="O71" i="113"/>
  <c r="K92" i="113"/>
  <c r="G84" i="113"/>
  <c r="O76" i="113"/>
  <c r="F96" i="113"/>
  <c r="U87" i="113"/>
  <c r="J80" i="113"/>
  <c r="F90" i="113"/>
  <c r="K90" i="113"/>
  <c r="G82" i="113"/>
  <c r="O74" i="113"/>
  <c r="K95" i="113"/>
  <c r="G87" i="113"/>
  <c r="O79" i="113"/>
  <c r="K71" i="113"/>
  <c r="P89" i="113"/>
  <c r="L81" i="113"/>
  <c r="T73" i="113"/>
  <c r="P94" i="113"/>
  <c r="E87" i="113"/>
  <c r="M79" i="113"/>
  <c r="U71" i="113"/>
  <c r="L84" i="113"/>
  <c r="E92" i="113"/>
  <c r="M84" i="113"/>
  <c r="U76" i="113"/>
  <c r="P92" i="113"/>
  <c r="E89" i="113"/>
  <c r="E83" i="113"/>
  <c r="R95" i="113"/>
  <c r="G83" i="113"/>
  <c r="I85" i="113"/>
  <c r="E78" i="113"/>
  <c r="F95" i="113"/>
  <c r="U86" i="113"/>
  <c r="J79" i="113"/>
  <c r="F71" i="113"/>
  <c r="S93" i="113"/>
  <c r="H86" i="113"/>
  <c r="D78" i="113"/>
  <c r="I96" i="113"/>
  <c r="Q88" i="113"/>
  <c r="M80" i="113"/>
  <c r="J94" i="113"/>
  <c r="F86" i="113"/>
  <c r="U77" i="113"/>
  <c r="T88" i="113"/>
  <c r="F91" i="113"/>
  <c r="U82" i="113"/>
  <c r="J75" i="113"/>
  <c r="T94" i="113"/>
  <c r="P86" i="113"/>
  <c r="L78" i="113"/>
  <c r="Q73" i="113"/>
  <c r="F89" i="113"/>
  <c r="U80" i="113"/>
  <c r="J73" i="113"/>
  <c r="F94" i="113"/>
  <c r="U85" i="113"/>
  <c r="J78" i="113"/>
  <c r="O96" i="113"/>
  <c r="K88" i="113"/>
  <c r="G80" i="113"/>
  <c r="O72" i="113"/>
  <c r="K93" i="113"/>
  <c r="S85" i="113"/>
  <c r="H78" i="113"/>
  <c r="D21" i="113" a="1"/>
  <c r="R78" i="113"/>
  <c r="S90" i="113"/>
  <c r="H83" i="113"/>
  <c r="P75" i="113"/>
  <c r="J86" i="113"/>
  <c r="E84" i="113"/>
  <c r="E71" i="113"/>
  <c r="M94" i="113"/>
  <c r="I86" i="113"/>
  <c r="Q78" i="113"/>
  <c r="R76" i="113"/>
  <c r="G93" i="113"/>
  <c r="O85" i="113"/>
  <c r="K77" i="113"/>
  <c r="I82" i="113"/>
  <c r="Q72" i="113"/>
  <c r="R92" i="113"/>
  <c r="E96" i="113"/>
  <c r="T93" i="113"/>
  <c r="P85" i="113"/>
  <c r="L77" i="113"/>
  <c r="O73" i="113"/>
  <c r="N92" i="113"/>
  <c r="V84" i="113"/>
  <c r="F76" i="113"/>
  <c r="D95" i="113"/>
  <c r="S86" i="113"/>
  <c r="V77" i="113"/>
  <c r="L92" i="113"/>
  <c r="T84" i="113"/>
  <c r="P76" i="113"/>
  <c r="O75" i="113"/>
  <c r="T89" i="113"/>
  <c r="P81" i="113"/>
  <c r="L73" i="113"/>
  <c r="O93" i="113"/>
  <c r="K85" i="113"/>
  <c r="G77" i="113"/>
  <c r="L95" i="113"/>
  <c r="T87" i="113"/>
  <c r="P79" i="113"/>
  <c r="L71" i="113"/>
  <c r="T92" i="113"/>
  <c r="P84" i="113"/>
  <c r="L76" i="113"/>
  <c r="J95" i="113"/>
  <c r="F87" i="113"/>
  <c r="U78" i="113"/>
  <c r="J71" i="113"/>
  <c r="F92" i="113"/>
  <c r="N84" i="113"/>
  <c r="V76" i="113"/>
  <c r="L96" i="113"/>
  <c r="L72" i="113"/>
  <c r="N89" i="113"/>
  <c r="V81" i="113"/>
  <c r="K74" i="113"/>
  <c r="S83" i="113"/>
  <c r="E79" i="113"/>
  <c r="E90" i="113"/>
  <c r="U96" i="113"/>
  <c r="R86" i="113"/>
  <c r="Q79" i="113"/>
  <c r="V78" i="113"/>
  <c r="N82" i="113"/>
  <c r="L87" i="113"/>
  <c r="Q96" i="113"/>
  <c r="V71" i="113"/>
  <c r="D75" i="113"/>
  <c r="D21" i="113" l="1"/>
  <c r="R6" i="113"/>
  <c r="R17" i="113" a="1"/>
  <c r="D47" i="113" a="1"/>
  <c r="D39" i="113" a="1"/>
  <c r="D51" i="113" a="1"/>
  <c r="D63" i="113" a="1"/>
  <c r="D33" i="113" a="1"/>
  <c r="D44" i="113" a="1"/>
  <c r="D61" i="113" a="1"/>
  <c r="D38" i="113" a="1"/>
  <c r="D54" i="113" a="1"/>
  <c r="D58" i="113" a="1"/>
  <c r="D59" i="113" a="1"/>
  <c r="D40" i="113" a="1"/>
  <c r="D52" i="113" a="1"/>
  <c r="D49" i="113" a="1"/>
  <c r="D53" i="113" a="1"/>
  <c r="D45" i="113" a="1"/>
  <c r="D50" i="113" a="1"/>
  <c r="R14" i="113" a="1"/>
  <c r="D48" i="113" a="1"/>
  <c r="D56" i="113" a="1"/>
  <c r="D57" i="113" a="1"/>
  <c r="D55" i="113" a="1"/>
  <c r="D60" i="113" a="1"/>
  <c r="D43" i="113" a="1"/>
  <c r="D29" i="113" a="1"/>
  <c r="D62" i="113" a="1"/>
  <c r="D42" i="113" a="1"/>
  <c r="D41" i="113" a="1"/>
  <c r="D46" i="113" a="1"/>
  <c r="R17" i="113" l="1"/>
  <c r="D29" i="113"/>
  <c r="R23" i="113" s="1"/>
  <c r="D54" i="113"/>
  <c r="D42" i="113"/>
  <c r="D41" i="113"/>
  <c r="D53" i="113"/>
  <c r="D52" i="113"/>
  <c r="D40" i="113"/>
  <c r="D63" i="113"/>
  <c r="D51" i="113"/>
  <c r="D39" i="113"/>
  <c r="R14" i="113"/>
  <c r="D55" i="113"/>
  <c r="D62" i="113"/>
  <c r="D50" i="113"/>
  <c r="D38" i="113"/>
  <c r="D61" i="113"/>
  <c r="D49" i="113"/>
  <c r="D33" i="113"/>
  <c r="D60" i="113"/>
  <c r="D48" i="113"/>
  <c r="D59" i="113"/>
  <c r="D47" i="113"/>
  <c r="D58" i="113"/>
  <c r="D46" i="113"/>
  <c r="D43" i="113"/>
  <c r="D57" i="113"/>
  <c r="D45" i="113"/>
  <c r="D56" i="113"/>
  <c r="D44" i="113"/>
  <c r="F29" i="113" a="1"/>
  <c r="R20" i="113" a="1"/>
  <c r="S37" i="113" l="1"/>
  <c r="E37" i="113"/>
  <c r="G37" i="113"/>
  <c r="Q37" i="113"/>
  <c r="K37" i="113"/>
  <c r="U37" i="113"/>
  <c r="I37" i="113"/>
  <c r="V37" i="113"/>
  <c r="N37" i="113"/>
  <c r="W37" i="113"/>
  <c r="T37" i="113"/>
  <c r="O37" i="113"/>
  <c r="X37" i="113"/>
  <c r="R37" i="113"/>
  <c r="J37" i="113"/>
  <c r="Y37" i="113"/>
  <c r="L37" i="113"/>
  <c r="H37" i="113"/>
  <c r="F37" i="113"/>
  <c r="M37" i="113"/>
  <c r="Z37" i="113"/>
  <c r="P37" i="113"/>
  <c r="F29" i="113"/>
  <c r="D37" i="113" s="1"/>
  <c r="R20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<sst xmlns="http://schemas.openxmlformats.org/spreadsheetml/2006/main" count="74" uniqueCount="60">
  <si>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</si>
  <si>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</si>
  <si>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</si>
  <si>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</si>
  <si>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</si>
  <si>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</si>
  <si>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</si>
  <si>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</si>
  <si>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</si>
  <si>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</si>
  <si>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</si>
  <si>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</si>
  <si>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</si>
  <si>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</si>
  <si>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</si>
  <si>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</si>
  <si>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</si>
  <si>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</si>
  <si>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</si>
  <si>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</si>
  <si>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</si>
  <si>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</si>
  <si>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</si>
  <si>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</si>
  <si>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</si>
  <si>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</si>
  <si>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</si>
  <si>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</si>
  <si>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</si>
  <si>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</si>
  <si>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</si>
  <si>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</si>
  <si>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</si>
  <si>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</si>
  <si>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</si>
  <si>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</si>
  <si>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</si>
  <si>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</si>
  <si>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</si>
  <si>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</si>
  <si>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</si>
  <si>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</si>
  <si>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</si>
  <si>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</si>
  <si>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</si>
  <si>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</si>
  <si>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</si>
  <si>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</si>
  <si>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</si>
  <si>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</si>
  <si>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</si>
  <si>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</si>
  <si>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</si>
  <si>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</si>
  <si>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</si>
  <si>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</si>
  <si>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</si>
  <si>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</si>
  <si>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</si>
  <si>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t>Расшифровка лога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</si>
</sst>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1.0556111252312994</c:v>
                </c:pt>
                <c:pt idx="1">
                  <c:v>1.0921604322983123</c:v>
                </c:pt>
                <c:pt idx="2">
                  <c:v>1.1093843017264917</c:v>
                </c:pt>
                <c:pt idx="3">
                  <c:v>1.132746941917969</c:v>
                </c:pt>
                <c:pt idx="4">
                  <c:v>1.1665038885476338</c:v>
                </c:pt>
                <c:pt idx="5">
                  <c:v>1.194346661943962</c:v>
                </c:pt>
                <c:pt idx="6">
                  <c:v>1.2198955050630811</c:v>
                </c:pt>
                <c:pt idx="7">
                  <c:v>1.2444494388296186</c:v>
                </c:pt>
                <c:pt idx="8">
                  <c:v>1.2686350266784816</c:v>
                </c:pt>
                <c:pt idx="9">
                  <c:v>1.2928028403701328</c:v>
                </c:pt>
                <c:pt idx="10">
                  <c:v>1.3171669749430699</c:v>
                </c:pt>
                <c:pt idx="11">
                  <c:v>1.3418653455103544</c:v>
                </c:pt>
                <c:pt idx="12">
                  <c:v>1.355793665111761</c:v>
                </c:pt>
                <c:pt idx="13">
                  <c:v>1.3508323444499564</c:v>
                </c:pt>
                <c:pt idx="14">
                  <c:v>1.3467117819417511</c:v>
                </c:pt>
                <c:pt idx="15">
                  <c:v>1.3432349711162719</c:v>
                </c:pt>
                <c:pt idx="16">
                  <c:v>1.3402619926697708</c:v>
                </c:pt>
                <c:pt idx="17">
                  <c:v>1.3376907344313524</c:v>
                </c:pt>
                <c:pt idx="18">
                  <c:v>1.3354449303101192</c:v>
                </c:pt>
                <c:pt idx="19">
                  <c:v>1.333466469777064</c:v>
                </c:pt>
                <c:pt idx="20">
                  <c:v>1.3317102989933356</c:v>
                </c:pt>
                <c:pt idx="21">
                  <c:v>1.3301409488771978</c:v>
                </c:pt>
                <c:pt idx="22">
                  <c:v>1.3287301150684432</c:v>
                </c:pt>
                <c:pt idx="23">
                  <c:v>1.3274549358615921</c:v>
                </c:pt>
                <c:pt idx="24">
                  <c:v>1.3262967440315871</c:v>
                </c:pt>
                <c:pt idx="25">
                  <c:v>1.325240147082954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66"/>
  <sheetViews>
    <sheetView tabSelected="1" topLeftCell="A49" zoomScale="55" zoomScaleNormal="55" workbookViewId="0">
      <selection activeCell="L26" sqref="L26"/>
    </sheetView>
  </sheetViews>
  <sheetFormatPr defaultRowHeight="13.2" x14ac:dyDescent="0.25"/>
  <cols>
    <col min="1" max="1" width="12.33203125" customWidth="1"/>
    <col min="2" max="2" width="13.109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7" width="9" bestFit="1" customWidth="1"/>
    <col min="18" max="18" width="21" customWidth="1"/>
    <col min="19" max="19" width="12.6640625" bestFit="1" customWidth="1"/>
    <col min="20" max="21" width="10.5546875" bestFit="1" customWidth="1"/>
    <col min="22" max="25" width="9.109375" customWidth="1"/>
    <col min="26" max="26" width="11.21875" customWidth="1"/>
    <col min="27" max="32" width="9.109375" customWidth="1"/>
  </cols>
  <sheetData>
    <row r="1" spans="1:18" x14ac:dyDescent="0.25">
      <c r="A1" s="1" t="s">
        <v>20</v>
      </c>
      <c r="F1" t="s">
        <v>30</v>
      </c>
      <c r="G1" t="str">
        <f>[1]!unf_Version()</f>
        <v>7.31</v>
      </c>
      <c r="H1" s="21" t="s">
        <v>44</v>
      </c>
      <c r="I1" s="25">
        <v>44411</v>
      </c>
      <c r="J1" s="26"/>
      <c r="K1" s="26"/>
      <c r="L1" s="27"/>
    </row>
    <row r="2" spans="1:18" x14ac:dyDescent="0.25">
      <c r="A2" t="s">
        <v>21</v>
      </c>
      <c r="H2" s="21" t="s">
        <v>45</v>
      </c>
      <c r="I2" s="28">
        <v>7.31</v>
      </c>
      <c r="J2" s="23"/>
      <c r="K2" s="23"/>
      <c r="L2" s="24"/>
    </row>
    <row r="3" spans="1:18" ht="14.4" x14ac:dyDescent="0.3">
      <c r="A3" s="22" t="s">
        <v>37</v>
      </c>
      <c r="B3" s="69" t="s">
        <v>39</v>
      </c>
      <c r="C3" s="69"/>
      <c r="D3" s="69"/>
      <c r="E3" s="70"/>
      <c r="H3" s="22" t="s">
        <v>37</v>
      </c>
      <c r="I3" s="71" t="s">
        <v>39</v>
      </c>
      <c r="J3" s="71"/>
      <c r="K3" s="71"/>
      <c r="L3" s="71"/>
    </row>
    <row r="4" spans="1:18" ht="14.4" x14ac:dyDescent="0.3">
      <c r="A4" s="22" t="s">
        <v>41</v>
      </c>
      <c r="B4" s="69" t="s">
        <v>42</v>
      </c>
      <c r="C4" s="69"/>
      <c r="D4" s="69"/>
      <c r="E4" s="70"/>
      <c r="H4" s="22" t="s">
        <v>41</v>
      </c>
      <c r="I4" s="72" t="s">
        <v>42</v>
      </c>
      <c r="J4" s="72"/>
      <c r="K4" s="72"/>
      <c r="L4" s="72"/>
      <c r="R4" t="s">
        <v>59</v>
      </c>
    </row>
    <row r="5" spans="1:18" ht="14.4" x14ac:dyDescent="0.3">
      <c r="A5" s="22" t="s">
        <v>46</v>
      </c>
      <c r="B5" s="69" t="s">
        <v>40</v>
      </c>
      <c r="C5" s="69"/>
      <c r="D5" s="69"/>
      <c r="E5" s="70"/>
      <c r="H5" s="22" t="s">
        <v>46</v>
      </c>
      <c r="I5" s="72" t="s">
        <v>40</v>
      </c>
      <c r="J5" s="72"/>
      <c r="K5" s="72"/>
      <c r="L5" s="72"/>
    </row>
    <row r="6" spans="1:18" x14ac:dyDescent="0.25">
      <c r="A6" s="55" t="s">
        <v>38</v>
      </c>
      <c r="B6" s="58" t="s">
        <v>43</v>
      </c>
      <c r="C6" s="59"/>
      <c r="D6" s="59"/>
      <c r="E6" s="60"/>
      <c r="H6" s="67" t="s">
        <v>38</v>
      </c>
      <c r="I6" s="68" t="s">
        <v>43</v>
      </c>
      <c r="J6" s="68"/>
      <c r="K6" s="68"/>
      <c r="L6" s="68"/>
      <c r="R6" t="str" cm="1">
        <f t="array" ref="R6">[1]!decode_json(D31)</f>
        <v>error</v>
      </c>
    </row>
    <row r="7" spans="1:18" x14ac:dyDescent="0.25">
      <c r="A7" s="56"/>
      <c r="B7" s="61"/>
      <c r="C7" s="62"/>
      <c r="D7" s="62"/>
      <c r="E7" s="63"/>
      <c r="H7" s="67"/>
      <c r="I7" s="68"/>
      <c r="J7" s="68"/>
      <c r="K7" s="68"/>
      <c r="L7" s="68"/>
    </row>
    <row r="8" spans="1:18" x14ac:dyDescent="0.25">
      <c r="A8" s="57"/>
      <c r="B8" s="64"/>
      <c r="C8" s="65"/>
      <c r="D8" s="65"/>
      <c r="E8" s="66"/>
      <c r="H8" s="67"/>
      <c r="I8" s="68"/>
      <c r="J8" s="68"/>
      <c r="K8" s="68"/>
      <c r="L8" s="68"/>
    </row>
    <row r="10" spans="1:18" x14ac:dyDescent="0.25">
      <c r="A10" s="1" t="s">
        <v>1</v>
      </c>
    </row>
    <row r="11" spans="1:18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8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8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8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  <c r="R14" t="str" cm="1">
        <f t="array" ref="R14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</row>
    <row r="15" spans="1:18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8" ht="15.6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8" ht="15.6" x14ac:dyDescent="0.35">
      <c r="B17" s="7" t="s">
        <v>17</v>
      </c>
      <c r="C17" s="2"/>
      <c r="D17" s="4" t="s">
        <v>2</v>
      </c>
      <c r="E17" s="19"/>
      <c r="F17" s="6"/>
      <c r="R17" cm="1">
        <f t="array" ref="R17">[1]!PVT_bg_m3m3(B29,C29,PVT_str_)</f>
        <v>3.5204376471127123E-3</v>
      </c>
    </row>
    <row r="18" spans="2:28" ht="15.6" x14ac:dyDescent="0.35">
      <c r="B18" s="8" t="s">
        <v>18</v>
      </c>
      <c r="C18" s="2"/>
      <c r="D18" s="4" t="s">
        <v>6</v>
      </c>
      <c r="E18" s="19"/>
      <c r="F18" s="6"/>
    </row>
    <row r="20" spans="2:28" x14ac:dyDescent="0.25">
      <c r="R20" cm="1">
        <f t="array" ref="R20">[1]!decode_json(D29,,"bg_m3m3",1)</f>
        <v>3.5204376471127102E-3</v>
      </c>
    </row>
    <row r="21" spans="2:28" x14ac:dyDescent="0.25">
      <c r="B21" s="53" t="s">
        <v>54</v>
      </c>
      <c r="C21" s="54"/>
      <c r="D21" s="39" t="str" cm="1">
        <f t="array" ref="D21">[1]!encode_json(B22:C24)</f>
        <v>{"show_log":1,"PVT_correlation":1}</v>
      </c>
      <c r="E21" s="18"/>
      <c r="F21" s="18"/>
    </row>
    <row r="22" spans="2:28" x14ac:dyDescent="0.25">
      <c r="B22" s="38" t="s">
        <v>55</v>
      </c>
      <c r="C22" s="38">
        <v>1</v>
      </c>
    </row>
    <row r="23" spans="2:28" x14ac:dyDescent="0.25">
      <c r="B23" s="38" t="s">
        <v>58</v>
      </c>
      <c r="C23" s="38">
        <v>1</v>
      </c>
      <c r="R23" t="str">
        <f>D29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</row>
    <row r="24" spans="2:28" x14ac:dyDescent="0.25">
      <c r="B24" s="38"/>
      <c r="C24" s="38"/>
    </row>
    <row r="26" spans="2:28" ht="15" customHeight="1" x14ac:dyDescent="0.25">
      <c r="B26" s="51" t="s">
        <v>31</v>
      </c>
      <c r="C26" s="52"/>
      <c r="D26" s="40" t="str">
        <f>[1]!encode_PVT(gamma_gas_,gamma_oil_,gamma_wat_,Rsb_,Pb_,Tres_,Bob_,muob_,C23)</f>
        <v>{"gamma_gas":0.9,"gamma_oil":0.9,"gamma_wat":1.1,"rsb_m3m3":120,"t_res_C":100,"PVT_corr_set":1}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8" x14ac:dyDescent="0.25">
      <c r="B28" s="9" t="s">
        <v>0</v>
      </c>
      <c r="C28" s="9" t="s">
        <v>4</v>
      </c>
    </row>
    <row r="29" spans="2:28" x14ac:dyDescent="0.25">
      <c r="B29" s="12">
        <v>240</v>
      </c>
      <c r="C29" s="41">
        <v>50</v>
      </c>
      <c r="D29" s="47" t="str" cm="1">
        <f t="array" ref="D29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  <c r="E29" s="27"/>
      <c r="F29" s="42" t="str" cm="1">
        <f t="array" ref="F29:AB30">[1]!decode_json(D29,1,)</f>
        <v>rs_m3m3</v>
      </c>
      <c r="G29" s="42" t="str">
        <v>pb_atma</v>
      </c>
      <c r="H29" s="42" t="str">
        <v>bo_m3m3</v>
      </c>
      <c r="I29" s="42" t="str">
        <v>bg_m3m3</v>
      </c>
      <c r="J29" s="42" t="str">
        <v>bw_m3m3</v>
      </c>
      <c r="K29" s="42" t="str">
        <v>mu_oil_cP</v>
      </c>
      <c r="L29" s="42" t="str">
        <v>mu_gas_cP</v>
      </c>
      <c r="M29" s="42" t="str">
        <v>mu_wat_cP</v>
      </c>
      <c r="N29" s="42" t="str">
        <v>rho_oil_rc_kgm3</v>
      </c>
      <c r="O29" s="42" t="str">
        <v>rho_gas_rc_kgm3</v>
      </c>
      <c r="P29" s="42" t="str">
        <v>rho_wat_rc_kgm3</v>
      </c>
      <c r="Q29" s="42" t="str">
        <v>compressibility_oil_1atm</v>
      </c>
      <c r="R29" s="42" t="str">
        <v>compressibility_gas_1atm</v>
      </c>
      <c r="S29" s="42" t="str">
        <v>compressibility_wat_1atm</v>
      </c>
      <c r="T29" s="42" t="str">
        <v>sigma_liq_Nm</v>
      </c>
      <c r="U29" s="42" t="str">
        <v>sigma_oil_gas_Nm</v>
      </c>
      <c r="V29" s="42" t="str">
        <v>sigma_wat_gas_Nm</v>
      </c>
      <c r="W29" s="42" t="str">
        <v>cp_oil_JkgC</v>
      </c>
      <c r="X29" s="42" t="str">
        <v>cp_gas_JkgC</v>
      </c>
      <c r="Y29" s="42" t="str">
        <v>cv_gas_JkgC</v>
      </c>
      <c r="Z29" s="42" t="str">
        <v>cp_wat_JkgC</v>
      </c>
      <c r="AA29" s="42" t="str">
        <v>z</v>
      </c>
      <c r="AB29" s="43" t="str">
        <v>sal_ppm</v>
      </c>
    </row>
    <row r="30" spans="2:28" x14ac:dyDescent="0.25">
      <c r="D30" s="48"/>
      <c r="E30" s="49"/>
      <c r="F30" s="44">
        <v>120</v>
      </c>
      <c r="G30" s="44">
        <v>169.55790619854201</v>
      </c>
      <c r="H30" s="44">
        <v>1.3073279268703599</v>
      </c>
      <c r="I30" s="44">
        <v>3.5204376471127102E-3</v>
      </c>
      <c r="J30" s="44">
        <v>1.00906772183023</v>
      </c>
      <c r="K30" s="44">
        <v>2.3744493712355901</v>
      </c>
      <c r="L30" s="44">
        <v>3.7317782657639999E-2</v>
      </c>
      <c r="M30" s="44">
        <v>0.83496697383839202</v>
      </c>
      <c r="N30" s="44">
        <v>789.35328985925798</v>
      </c>
      <c r="O30" s="44">
        <v>312.32764508747402</v>
      </c>
      <c r="P30" s="44">
        <v>1090.11513915522</v>
      </c>
      <c r="Q30" s="44">
        <v>1.3608425925925899E-4</v>
      </c>
      <c r="R30" s="44">
        <v>1.7817046839307001E-3</v>
      </c>
      <c r="S30" s="44">
        <v>3.31880766327554E-5</v>
      </c>
      <c r="T30" s="44">
        <v>3.1682108569122602E-3</v>
      </c>
      <c r="U30" s="44">
        <v>3.1682108569122602E-3</v>
      </c>
      <c r="V30" s="44">
        <v>3.7153522909717303E-2</v>
      </c>
      <c r="W30" s="44">
        <v>2427.4</v>
      </c>
      <c r="X30" s="44">
        <v>1408.5329495710801</v>
      </c>
      <c r="Y30" s="44">
        <v>1165.4929408359999</v>
      </c>
      <c r="Z30" s="44">
        <v>4176</v>
      </c>
      <c r="AA30" s="44">
        <v>0.76333865559390501</v>
      </c>
      <c r="AB30" s="45">
        <v>136861.03231316101</v>
      </c>
    </row>
    <row r="31" spans="2:28" x14ac:dyDescent="0.25">
      <c r="D31" s="50"/>
      <c r="E31" s="50"/>
    </row>
    <row r="33" spans="2:26" x14ac:dyDescent="0.25">
      <c r="D33" t="str" cm="1">
        <f t="array" ref="D33:Z34">[1]!decode_json([1]!PVT_calc(B38,C38,PVT_str_,param),1,,)</f>
        <v>rs_m3m3</v>
      </c>
      <c r="E33" t="str">
        <v>pb_atma</v>
      </c>
      <c r="F33" t="str">
        <v>bo_m3m3</v>
      </c>
      <c r="G33" t="str">
        <v>bg_m3m3</v>
      </c>
      <c r="H33" t="str">
        <v>bw_m3m3</v>
      </c>
      <c r="I33" t="str">
        <v>mu_oil_cP</v>
      </c>
      <c r="J33" t="str">
        <v>mu_gas_cP</v>
      </c>
      <c r="K33" t="str">
        <v>mu_wat_cP</v>
      </c>
      <c r="L33" t="str">
        <v>rho_oil_rc_kgm3</v>
      </c>
      <c r="M33" t="str">
        <v>rho_gas_rc_kgm3</v>
      </c>
      <c r="N33" t="str">
        <v>rho_wat_rc_kgm3</v>
      </c>
      <c r="O33" t="str">
        <v>compressibility_oil_1atm</v>
      </c>
      <c r="P33" t="str">
        <v>compressibility_gas_1atm</v>
      </c>
      <c r="Q33" t="str">
        <v>compressibility_wat_1atm</v>
      </c>
      <c r="R33" t="str">
        <v>sigma_liq_Nm</v>
      </c>
      <c r="S33" t="str">
        <v>sigma_oil_gas_Nm</v>
      </c>
      <c r="T33" t="str">
        <v>sigma_wat_gas_Nm</v>
      </c>
      <c r="U33" t="str">
        <v>cp_oil_JkgC</v>
      </c>
      <c r="V33" t="str">
        <v>cp_gas_JkgC</v>
      </c>
      <c r="W33" t="str">
        <v>cv_gas_JkgC</v>
      </c>
      <c r="X33" t="str">
        <v>cp_wat_JkgC</v>
      </c>
      <c r="Y33" t="str">
        <v>z</v>
      </c>
      <c r="Z33" t="str">
        <v>sal_ppm</v>
      </c>
    </row>
    <row r="34" spans="2:26" x14ac:dyDescent="0.25">
      <c r="D34">
        <v>0.62154268592315998</v>
      </c>
      <c r="E34">
        <v>192.76501965387601</v>
      </c>
      <c r="F34">
        <v>1.0556111252313001</v>
      </c>
      <c r="G34">
        <v>1.20678289749209</v>
      </c>
      <c r="H34">
        <v>1.0303260611056</v>
      </c>
      <c r="I34">
        <v>5.8817089283756099</v>
      </c>
      <c r="J34">
        <v>1.1660919395050101E-2</v>
      </c>
      <c r="K34">
        <v>0.49450516561346203</v>
      </c>
      <c r="L34">
        <v>853.23409663014002</v>
      </c>
      <c r="M34">
        <v>0.91112494408482303</v>
      </c>
      <c r="N34">
        <v>1067.62319378745</v>
      </c>
      <c r="O34">
        <v>0.43838494718684901</v>
      </c>
      <c r="P34">
        <v>1.0023857707950601</v>
      </c>
      <c r="Q34">
        <v>3.78374620279512E-5</v>
      </c>
      <c r="R34">
        <v>6.5661875063976596E-2</v>
      </c>
      <c r="S34">
        <v>6.5661875063976596E-2</v>
      </c>
      <c r="T34">
        <v>6.4416926551517706E-2</v>
      </c>
      <c r="U34">
        <v>2561.5</v>
      </c>
      <c r="V34">
        <v>1925.7003792225801</v>
      </c>
      <c r="W34">
        <v>1608.06648621774</v>
      </c>
      <c r="X34">
        <v>4176</v>
      </c>
      <c r="Y34">
        <v>0.99762269644121004</v>
      </c>
      <c r="Z34">
        <v>136861.03231316101</v>
      </c>
    </row>
    <row r="35" spans="2:26" x14ac:dyDescent="0.25">
      <c r="B35" t="s">
        <v>56</v>
      </c>
    </row>
    <row r="37" spans="2:26" s="31" customFormat="1" ht="39.6" x14ac:dyDescent="0.25">
      <c r="B37" s="32" t="s">
        <v>0</v>
      </c>
      <c r="C37" s="32" t="s">
        <v>4</v>
      </c>
      <c r="D37" s="32" t="str">
        <f t="shared" ref="D37:Z37" si="0">F29</f>
        <v>rs_m3m3</v>
      </c>
      <c r="E37" s="32" t="str">
        <f t="shared" si="0"/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25">
      <c r="B38" s="12">
        <v>1</v>
      </c>
      <c r="C38" s="12">
        <v>80</v>
      </c>
      <c r="D38" s="33" cm="1">
        <f t="array" ref="D38:Z38">[1]!decode_json([1]!PVT_calc(B38,C38,PVT_str_,param),1,,1)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6.5661875063976596E-2</v>
      </c>
      <c r="S38" s="35">
        <v>6.5661875063976596E-2</v>
      </c>
      <c r="T38" s="35">
        <v>6.4416926551517706E-2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25">
      <c r="B39" s="12">
        <v>5</v>
      </c>
      <c r="C39" s="12">
        <v>80</v>
      </c>
      <c r="D39" s="33" cm="1">
        <f t="array" ref="D39:Z39">[1]!decode_json([1]!PVT_calc(B39,C39,PVT_str_,param),1,,1)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6.2413684458147198E-2</v>
      </c>
      <c r="S39" s="35">
        <v>6.2413684458147198E-2</v>
      </c>
      <c r="T39" s="35">
        <v>6.3826348619054896E-2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25">
      <c r="B40" s="12">
        <v>10</v>
      </c>
      <c r="C40" s="12">
        <v>80</v>
      </c>
      <c r="D40" s="33" cm="1">
        <f t="array" ref="D40:Z40">[1]!decode_json([1]!PVT_calc(B40,C40,PVT_str_,param),1,,1)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5.8578466280318202E-2</v>
      </c>
      <c r="S40" s="35">
        <v>5.8578466280318202E-2</v>
      </c>
      <c r="T40" s="35">
        <v>6.3095734448019303E-2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25">
      <c r="B41" s="12">
        <v>20</v>
      </c>
      <c r="C41" s="12">
        <v>80</v>
      </c>
      <c r="D41" s="33" cm="1">
        <f t="array" ref="D41:Z41">[1]!decode_json([1]!PVT_calc(B41,C41,PVT_str_,param),1,,1)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5.1600552056456798E-2</v>
      </c>
      <c r="S41" s="35">
        <v>5.1600552056456798E-2</v>
      </c>
      <c r="T41" s="35">
        <v>6.16595001861482E-2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25">
      <c r="B42" s="12">
        <v>40</v>
      </c>
      <c r="C42" s="12">
        <v>80</v>
      </c>
      <c r="D42" s="33" cm="1">
        <f t="array" ref="D42:Z42">[1]!decode_json([1]!PVT_calc(B42,C42,PVT_str_,param),1,,1)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4.0039352970392503E-2</v>
      </c>
      <c r="S42" s="35">
        <v>4.0039352970392503E-2</v>
      </c>
      <c r="T42" s="35">
        <v>5.8884365535558897E-2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25">
      <c r="B43" s="12">
        <v>60</v>
      </c>
      <c r="C43" s="12">
        <v>80</v>
      </c>
      <c r="D43" s="33" cm="1">
        <f t="array" ref="D43:Z43">[1]!decode_json([1]!PVT_calc(B43,C43,PVT_str_,param),1,,1)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3.1068461913617899E-2</v>
      </c>
      <c r="S43" s="35">
        <v>3.1068461913617899E-2</v>
      </c>
      <c r="T43" s="35">
        <v>5.6234132519034898E-2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25">
      <c r="B44" s="12">
        <v>80</v>
      </c>
      <c r="C44" s="12">
        <v>80</v>
      </c>
      <c r="D44" s="33" cm="1">
        <f t="array" ref="D44:Z44">[1]!decode_json([1]!PVT_calc(B44,C44,PVT_str_,param),1,,1)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2.4107515583273401E-2</v>
      </c>
      <c r="S44" s="35">
        <v>2.4107515583273401E-2</v>
      </c>
      <c r="T44" s="35">
        <v>5.3703179637025297E-2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25">
      <c r="B45" s="12">
        <v>100</v>
      </c>
      <c r="C45" s="12">
        <v>80</v>
      </c>
      <c r="D45" s="33" cm="1">
        <f t="array" ref="D45:Z45">[1]!decode_json([1]!PVT_calc(B45,C45,PVT_str_,param),1,,1)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1.8706182147466801E-2</v>
      </c>
      <c r="S45" s="35">
        <v>1.8706182147466801E-2</v>
      </c>
      <c r="T45" s="35">
        <v>5.1286138399136497E-2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25">
      <c r="B46" s="12">
        <v>120</v>
      </c>
      <c r="C46" s="12">
        <v>80</v>
      </c>
      <c r="D46" s="33" cm="1">
        <f t="array" ref="D46:Z46">[1]!decode_json([1]!PVT_calc(B46,C46,PVT_str_,param),1,,1)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1.4515027453803399E-2</v>
      </c>
      <c r="S46" s="35">
        <v>1.4515027453803399E-2</v>
      </c>
      <c r="T46" s="35">
        <v>4.8977881936844603E-2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25">
      <c r="B47" s="12">
        <v>140</v>
      </c>
      <c r="C47" s="12">
        <v>80</v>
      </c>
      <c r="D47" s="33" cm="1">
        <f t="array" ref="D47:Z47">[1]!decode_json([1]!PVT_calc(B47,C47,PVT_str_,param),1,,1)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1.12629087177576E-2</v>
      </c>
      <c r="S47" s="35">
        <v>1.12629087177576E-2</v>
      </c>
      <c r="T47" s="35">
        <v>4.6773514128719801E-2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25">
      <c r="B48" s="12">
        <v>160</v>
      </c>
      <c r="C48" s="12">
        <v>80</v>
      </c>
      <c r="D48" s="33" cm="1">
        <f t="array" ref="D48:Z48">[1]!decode_json([1]!PVT_calc(B48,C48,PVT_str_,param),1,,1)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8.7394331969589591E-3</v>
      </c>
      <c r="S48" s="35">
        <v>8.7394331969589591E-3</v>
      </c>
      <c r="T48" s="35">
        <v>4.46683592150963E-2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25">
      <c r="B49" s="12">
        <v>180</v>
      </c>
      <c r="C49" s="12">
        <v>80</v>
      </c>
      <c r="D49" s="33" cm="1">
        <f t="array" ref="D49:Z49">[1]!decode_json([1]!PVT_calc(B49,C49,PVT_str_,param),1,,1)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6.7813470319339399E-3</v>
      </c>
      <c r="S49" s="35">
        <v>6.7813470319339399E-3</v>
      </c>
      <c r="T49" s="35">
        <v>4.2657951880159299E-2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25">
      <c r="B50" s="12">
        <v>200</v>
      </c>
      <c r="C50" s="12">
        <v>80</v>
      </c>
      <c r="D50" s="33" cm="1">
        <f t="array" ref="D50:Z50">[1]!decode_json([1]!PVT_calc(B50,C50,PVT_str_,param),1,,1)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5.26197369224369E-3</v>
      </c>
      <c r="S50" s="35">
        <v>5.26197369224369E-3</v>
      </c>
      <c r="T50" s="35">
        <v>4.0738027780411301E-2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25">
      <c r="B51" s="12">
        <v>220</v>
      </c>
      <c r="C51" s="12">
        <v>80</v>
      </c>
      <c r="D51" s="33" cm="1">
        <f t="array" ref="D51:Z51">[1]!decode_json([1]!PVT_calc(B51,C51,PVT_str_,param),1,,1)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4.0830187582906298E-3</v>
      </c>
      <c r="S51" s="35">
        <v>4.0830187582906298E-3</v>
      </c>
      <c r="T51" s="35">
        <v>3.8904514499428097E-2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25">
      <c r="B52" s="12">
        <v>240</v>
      </c>
      <c r="C52" s="12">
        <v>80</v>
      </c>
      <c r="D52" s="33" cm="1">
        <f t="array" ref="D52:Z52">[1]!decode_json([1]!PVT_calc(B52,C52,PVT_str_,param),1,,1)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3.1682108569122602E-3</v>
      </c>
      <c r="S52" s="35">
        <v>3.1682108569122602E-3</v>
      </c>
      <c r="T52" s="35">
        <v>3.7153522909717303E-2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25">
      <c r="B53" s="12">
        <v>260</v>
      </c>
      <c r="C53" s="12">
        <v>80</v>
      </c>
      <c r="D53" s="33" cm="1">
        <f t="array" ref="D53:Z53">[1]!decode_json([1]!PVT_calc(B53,C53,PVT_str_,param),1,,1)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2.4583673571117702E-3</v>
      </c>
      <c r="S53" s="35">
        <v>2.4583673571117702E-3</v>
      </c>
      <c r="T53" s="35">
        <v>3.54813389233576E-2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25">
      <c r="B54" s="12">
        <v>280</v>
      </c>
      <c r="C54" s="12">
        <v>80</v>
      </c>
      <c r="D54" s="33" cm="1">
        <f t="array" ref="D54:Z54">[1]!decode_json([1]!PVT_calc(B54,C54,PVT_str_,param),1,,1)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1.9075656057825499E-3</v>
      </c>
      <c r="S54" s="35">
        <v>1.9075656057825499E-3</v>
      </c>
      <c r="T54" s="35">
        <v>3.3884415613920298E-2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25">
      <c r="B55" s="12">
        <v>300</v>
      </c>
      <c r="C55" s="12">
        <v>80</v>
      </c>
      <c r="D55" s="33" cm="1">
        <f t="array" ref="D55:Z55">[1]!decode_json([1]!PVT_calc(B55,C55,PVT_str_,param),1,,1)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1.4801720051472E-3</v>
      </c>
      <c r="S55" s="35">
        <v>1.4801720051472E-3</v>
      </c>
      <c r="T55" s="35">
        <v>3.2359365692962799E-2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25">
      <c r="B56" s="12">
        <v>320</v>
      </c>
      <c r="C56" s="12">
        <v>80</v>
      </c>
      <c r="D56" s="33" cm="1">
        <f t="array" ref="D56:Z56">[1]!decode_json([1]!PVT_calc(B56,C56,PVT_str_,param),1,,1)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1.14853673088885E-3</v>
      </c>
      <c r="S56" s="35">
        <v>1.14853673088885E-3</v>
      </c>
      <c r="T56" s="35">
        <v>3.0902954325135901E-2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25">
      <c r="B57" s="12">
        <v>340</v>
      </c>
      <c r="C57" s="12">
        <v>80</v>
      </c>
      <c r="D57" s="33" cm="1">
        <f t="array" ref="D57:Z57">[1]!decode_json([1]!PVT_calc(B57,C57,PVT_str_,param),1,,1)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8.9120495294710603E-4</v>
      </c>
      <c r="S57" s="35">
        <v>8.9120495294710603E-4</v>
      </c>
      <c r="T57" s="35">
        <v>2.9512092266663899E-2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25">
      <c r="B58" s="12">
        <v>360</v>
      </c>
      <c r="C58" s="12">
        <v>80</v>
      </c>
      <c r="D58" s="33" cm="1">
        <f t="array" ref="D58:Z58">[1]!decode_json([1]!PVT_calc(B58,C58,PVT_str_,param),1,,1)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6.9152883560179301E-4</v>
      </c>
      <c r="S58" s="35">
        <v>6.9152883560179301E-4</v>
      </c>
      <c r="T58" s="35">
        <v>2.8183829312644501E-2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25">
      <c r="B59" s="12">
        <v>380</v>
      </c>
      <c r="C59" s="12">
        <v>80</v>
      </c>
      <c r="D59" s="33" cm="1">
        <f t="array" ref="D59:Z59">[1]!decode_json([1]!PVT_calc(B59,C59,PVT_str_,param),1,,1)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5.3659052150392802E-4</v>
      </c>
      <c r="S59" s="35">
        <v>5.3659052150392802E-4</v>
      </c>
      <c r="T59" s="35">
        <v>2.6915348039269201E-2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25">
      <c r="B60" s="12">
        <v>400</v>
      </c>
      <c r="C60" s="12">
        <v>80</v>
      </c>
      <c r="D60" s="33" cm="1">
        <f t="array" ref="D60:Z60">[1]!decode_json([1]!PVT_calc(B60,C60,PVT_str_,param),1,,1)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4.1636642312578597E-4</v>
      </c>
      <c r="S60" s="35">
        <v>4.1636642312578597E-4</v>
      </c>
      <c r="T60" s="35">
        <v>2.5703957827688601E-2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25">
      <c r="B61" s="12">
        <v>420</v>
      </c>
      <c r="C61" s="12">
        <v>80</v>
      </c>
      <c r="D61" s="33" cm="1">
        <f t="array" ref="D61:Z61">[1]!decode_json([1]!PVT_calc(B61,C61,PVT_str_,param),1,,1)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3.2307875625658402E-4</v>
      </c>
      <c r="S61" s="35">
        <v>3.2307875625658402E-4</v>
      </c>
      <c r="T61" s="35">
        <v>2.4547089156850301E-2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25">
      <c r="B62" s="12">
        <v>440</v>
      </c>
      <c r="C62" s="12">
        <v>80</v>
      </c>
      <c r="D62" s="33" cm="1">
        <f t="array" ref="D62:Z62">[1]!decode_json([1]!PVT_calc(B62,C62,PVT_str_,param),1,,1)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2.5069236361734099E-4</v>
      </c>
      <c r="S62" s="35">
        <v>2.5069236361734099E-4</v>
      </c>
      <c r="T62" s="35">
        <v>2.3442288153199198E-2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25">
      <c r="B63" s="12">
        <v>460</v>
      </c>
      <c r="C63" s="12">
        <v>80</v>
      </c>
      <c r="D63" s="33" cm="1">
        <f t="array" ref="D63:Z63">[1]!decode_json([1]!PVT_calc(B63,C63,PVT_str_,param),1,,1)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1.9452427607507901E-4</v>
      </c>
      <c r="S63" s="35">
        <v>1.9452427607507901E-4</v>
      </c>
      <c r="T63" s="35">
        <v>2.2387211385683399E-2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25">
      <c r="B68" t="s">
        <v>57</v>
      </c>
    </row>
    <row r="70" spans="2:22" ht="15.6" x14ac:dyDescent="0.2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25">
      <c r="B71" s="12">
        <v>1</v>
      </c>
      <c r="C71" s="12">
        <v>80</v>
      </c>
      <c r="D71" s="13">
        <f>[1]!PVT_rs_m3m3(B71,C71,[1]!encode_PVT(gamma_gas_,gamma_oil_,gamma_wat_,Rsb_,Pb_,Tres_,Bob_,muob_))</f>
        <v>0.19472831372300234</v>
      </c>
      <c r="E71" s="14">
        <f>[1]!PVT_bo_m3m3(B71,C71,PVT_str_)</f>
        <v>1.0556111252312994</v>
      </c>
      <c r="F71" s="46">
        <f>[1]!PVT_mu_oil_cP(B71,C71,[1]!encode_PVT(gamma_gas_,gamma_oil_,gamma_wat_,Rsb_,Pb_,Tres_,Bob_,muob_))</f>
        <v>5.242778416694331</v>
      </c>
      <c r="G71" s="15">
        <f>[1]!PVT_mu_gas_cP(B71,C71,[1]!encode_PVT(gamma_gas_,gamma_oil_,gamma_wat_,Rsb_,Pb_,Tres_,Bob_,muob_))</f>
        <v>1.1660919395050064E-2</v>
      </c>
      <c r="H71" s="14">
        <f>[1]!PVT_mu_wat_cP(B71,C71,[1]!encode_PVT(gamma_gas_,gamma_oil_,gamma_wat_,Rsb_,Pb_,Tres_,Bob_,muob_))</f>
        <v>0.49450516561346208</v>
      </c>
      <c r="I71" s="46">
        <f>[1]!PVT_rho_gas_kgm3(B71,C71,[1]!encode_PVT(gamma_gas_,gamma_oil_,gamma_wat_,Rsb_,Pb_,Tres_,Bob_,muob_))</f>
        <v>0.91112494408482325</v>
      </c>
      <c r="J71" s="46">
        <f>[1]!PVT_rho_wat_kgm3(B71,C71,[1]!encode_PVT(gamma_gas_,gamma_oil_,gamma_wat_,Rsb_,Pb_,Tres_,Bob_,muob_))</f>
        <v>1067.6231937874506</v>
      </c>
      <c r="K71" s="46">
        <f>[1]!PVT_rho_oil_kgm3(B71,C71,[1]!encode_PVT(gamma_gas_,gamma_oil_,gamma_wat_,Rsb_,Pb_,Tres_,Bob_,muob_))</f>
        <v>853.069640864804</v>
      </c>
      <c r="L71" s="20">
        <f>[1]!PVT_bg_m3m3(B71,C71,[1]!encode_PVT(gamma_gas_,gamma_oil_,gamma_wat_,Rsb_,Pb_,Tres_,Bob_,muob_))</f>
        <v>1.2067828974920884</v>
      </c>
      <c r="M71" s="20">
        <f>[1]!PVT_bw_m3m3(B71,C71,[1]!encode_PVT(gamma_gas_,gamma_oil_,gamma_wat_,Rsb_,Pb_,Tres_,Bob_,muob_))</f>
        <v>1.0303260611055958</v>
      </c>
      <c r="N71" s="15">
        <f>[1]!PVT_ST_liqgas_Nm(B71,C71,[1]!encode_PVT(gamma_gas_,gamma_oil_,gamma_wat_,Rsb_,Pb_,Tres_,Bob_,muob_))</f>
        <v>6.5661875063976624E-2</v>
      </c>
      <c r="O71" s="15">
        <f>[1]!PVT_ST_oilgas_Nm(B71,C71,[1]!encode_PVT(gamma_gas_,gamma_oil_,gamma_wat_,Rsb_,Pb_,Tres_,Bob_,muob_))</f>
        <v>6.5661875063976624E-2</v>
      </c>
      <c r="P71" s="20">
        <f>[1]!PVT_ST_watgas_Nm(B71,C71,[1]!encode_PVT(gamma_gas_,gamma_oil_,gamma_wat_,Rsb_,Pb_,Tres_,Bob_,muob_))</f>
        <v>6.4416926551517747E-2</v>
      </c>
      <c r="Q71" s="29">
        <f>[1]!PVT_cp_oil_JkgC(B71,C71,[1]!encode_PVT(gamma_gas_,gamma_oil_,gamma_wat_,Rsb_,Pb_,Tres_,Bob_,muob_))</f>
        <v>2561.5</v>
      </c>
      <c r="R71" s="29">
        <f>[1]!PVT_cp_gas_JkgC(B71,C71,[1]!encode_PVT(gamma_gas_,gamma_oil_,gamma_wat_,Rsb_,Pb_,Tres_,Bob_,muob_))</f>
        <v>1925.7003792225805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3.7837462027951241E-5</v>
      </c>
      <c r="U71" s="30">
        <f>[1]!PVT_compressibility_oil_1atm(B71,C71,[1]!encode_PVT(gamma_gas_,gamma_oil_,gamma_wat_,Rsb_,Pb_,Tres_,Bob_,muob_))</f>
        <v>0.2675625041183507</v>
      </c>
      <c r="V71" s="30">
        <f>[1]!PVT_compressibility_gas_1atm(B71,C71,[1]!encode_PVT(gamma_gas_,gamma_oil_,gamma_wat_,Rsb_,Pb_,Tres_,Bob_,muob_))</f>
        <v>1.0023857707950601</v>
      </c>
    </row>
    <row r="72" spans="2:22" x14ac:dyDescent="0.25">
      <c r="B72" s="12">
        <v>5</v>
      </c>
      <c r="C72" s="12">
        <v>80</v>
      </c>
      <c r="D72" s="13">
        <f>[1]!PVT_rs_m3m3(B72,C72,[1]!encode_PVT(gamma_gas_,gamma_oil_,gamma_wat_,Rsb_,Pb_,Tres_,Bob_,muob_))</f>
        <v>1.3520382811770602</v>
      </c>
      <c r="E72" s="14">
        <f>[1]!PVT_bo_m3m3(B72,C72,PVT_str_)</f>
        <v>1.0921604322983123</v>
      </c>
      <c r="F72" s="46">
        <f>[1]!PVT_mu_oil_cP(B72,C72,[1]!encode_PVT(gamma_gas_,gamma_oil_,gamma_wat_,Rsb_,Pb_,Tres_,Bob_,muob_))</f>
        <v>4.9593443922187861</v>
      </c>
      <c r="G72" s="15">
        <f>[1]!PVT_mu_gas_cP(B72,C72,[1]!encode_PVT(gamma_gas_,gamma_oil_,gamma_wat_,Rsb_,Pb_,Tres_,Bob_,muob_))</f>
        <v>1.1716093611280813E-2</v>
      </c>
      <c r="H72" s="14">
        <f>[1]!PVT_mu_wat_cP(B72,C72,[1]!encode_PVT(gamma_gas_,gamma_oil_,gamma_wat_,Rsb_,Pb_,Tres_,Bob_,muob_))</f>
        <v>0.49568448521335695</v>
      </c>
      <c r="I72" s="46">
        <f>[1]!PVT_rho_gas_kgm3(B72,C72,[1]!encode_PVT(gamma_gas_,gamma_oil_,gamma_wat_,Rsb_,Pb_,Tres_,Bob_,muob_))</f>
        <v>4.5998019389999483</v>
      </c>
      <c r="J72" s="46">
        <f>[1]!PVT_rho_wat_kgm3(B72,C72,[1]!encode_PVT(gamma_gas_,gamma_oil_,gamma_wat_,Rsb_,Pb_,Tres_,Bob_,muob_))</f>
        <v>1067.6686358168463</v>
      </c>
      <c r="K72" s="46">
        <f>[1]!PVT_rho_oil_kgm3(B72,C72,[1]!encode_PVT(gamma_gas_,gamma_oil_,gamma_wat_,Rsb_,Pb_,Tres_,Bob_,muob_))</f>
        <v>851.94012939133302</v>
      </c>
      <c r="L72" s="20">
        <f>[1]!PVT_bg_m3m3(B72,C72,[1]!encode_PVT(gamma_gas_,gamma_oil_,gamma_wat_,Rsb_,Pb_,Tres_,Bob_,muob_))</f>
        <v>0.23903855309019043</v>
      </c>
      <c r="M72" s="20">
        <f>[1]!PVT_bw_m3m3(B72,C72,[1]!encode_PVT(gamma_gas_,gamma_oil_,gamma_wat_,Rsb_,Pb_,Tres_,Bob_,muob_))</f>
        <v>1.030282208447959</v>
      </c>
      <c r="N72" s="15">
        <f>[1]!PVT_ST_liqgas_Nm(B72,C72,[1]!encode_PVT(gamma_gas_,gamma_oil_,gamma_wat_,Rsb_,Pb_,Tres_,Bob_,muob_))</f>
        <v>6.2413684458147156E-2</v>
      </c>
      <c r="O72" s="15">
        <f>[1]!PVT_ST_oilgas_Nm(B72,C72,[1]!encode_PVT(gamma_gas_,gamma_oil_,gamma_wat_,Rsb_,Pb_,Tres_,Bob_,muob_))</f>
        <v>6.2413684458147156E-2</v>
      </c>
      <c r="P72" s="20">
        <f>[1]!PVT_ST_watgas_Nm(B72,C72,[1]!encode_PVT(gamma_gas_,gamma_oil_,gamma_wat_,Rsb_,Pb_,Tres_,Bob_,muob_))</f>
        <v>6.3826348619054896E-2</v>
      </c>
      <c r="Q72" s="29">
        <f>[1]!PVT_cp_oil_JkgC(B72,C72,[1]!encode_PVT(gamma_gas_,gamma_oil_,gamma_wat_,Rsb_,Pb_,Tres_,Bob_,muob_))</f>
        <v>2561.5</v>
      </c>
      <c r="R72" s="29">
        <f>[1]!PVT_cp_gas_JkgC(B72,C72,[1]!encode_PVT(gamma_gas_,gamma_oil_,gamma_wat_,Rsb_,Pb_,Tres_,Bob_,muob_))</f>
        <v>1907.2056510380505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3.7796696500802808E-5</v>
      </c>
      <c r="U72" s="30">
        <f>[1]!PVT_compressibility_oil_1atm(B72,C72,[1]!encode_PVT(gamma_gas_,gamma_oil_,gamma_wat_,Rsb_,Pb_,Tres_,Bob_,muob_))</f>
        <v>7.2775709427816707E-2</v>
      </c>
      <c r="V72" s="30">
        <f>[1]!PVT_compressibility_gas_1atm(B72,C72,[1]!encode_PVT(gamma_gas_,gamma_oil_,gamma_wat_,Rsb_,Pb_,Tres_,Bob_,muob_))</f>
        <v>0.20244469970579745</v>
      </c>
    </row>
    <row r="73" spans="2:22" x14ac:dyDescent="0.25">
      <c r="B73" s="12">
        <v>10</v>
      </c>
      <c r="C73" s="12">
        <v>80</v>
      </c>
      <c r="D73" s="13">
        <f>[1]!PVT_rs_m3m3(B73,C73,[1]!encode_PVT(gamma_gas_,gamma_oil_,gamma_wat_,Rsb_,Pb_,Tres_,Bob_,muob_))</f>
        <v>3.1147923761422436</v>
      </c>
      <c r="E73" s="14">
        <f>[1]!PVT_bo_m3m3(B73,C73,PVT_str_)</f>
        <v>1.1093843017264917</v>
      </c>
      <c r="F73" s="46">
        <f>[1]!PVT_mu_oil_cP(B73,C73,[1]!encode_PVT(gamma_gas_,gamma_oil_,gamma_wat_,Rsb_,Pb_,Tres_,Bob_,muob_))</f>
        <v>4.5839036449172914</v>
      </c>
      <c r="G73" s="15">
        <f>[1]!PVT_mu_gas_cP(B73,C73,[1]!encode_PVT(gamma_gas_,gamma_oil_,gamma_wat_,Rsb_,Pb_,Tres_,Bob_,muob_))</f>
        <v>1.1808987320130901E-2</v>
      </c>
      <c r="H73" s="14">
        <f>[1]!PVT_mu_wat_cP(B73,C73,[1]!encode_PVT(gamma_gas_,gamma_oil_,gamma_wat_,Rsb_,Pb_,Tres_,Bob_,muob_))</f>
        <v>0.49717356350541014</v>
      </c>
      <c r="I73" s="46">
        <f>[1]!PVT_rho_gas_kgm3(B73,C73,[1]!encode_PVT(gamma_gas_,gamma_oil_,gamma_wat_,Rsb_,Pb_,Tres_,Bob_,muob_))</f>
        <v>9.3150535450549121</v>
      </c>
      <c r="J73" s="46">
        <f>[1]!PVT_rho_wat_kgm3(B73,C73,[1]!encode_PVT(gamma_gas_,gamma_oil_,gamma_wat_,Rsb_,Pb_,Tres_,Bob_,muob_))</f>
        <v>1067.7280970806928</v>
      </c>
      <c r="K73" s="46">
        <f>[1]!PVT_rho_oil_kgm3(B73,C73,[1]!encode_PVT(gamma_gas_,gamma_oil_,gamma_wat_,Rsb_,Pb_,Tres_,Bob_,muob_))</f>
        <v>850.20926857713846</v>
      </c>
      <c r="L73" s="20">
        <f>[1]!PVT_bg_m3m3(B73,C73,[1]!encode_PVT(gamma_gas_,gamma_oil_,gamma_wat_,Rsb_,Pb_,Tres_,Bob_,muob_))</f>
        <v>0.11803796882989559</v>
      </c>
      <c r="M73" s="20">
        <f>[1]!PVT_bw_m3m3(B73,C73,[1]!encode_PVT(gamma_gas_,gamma_oil_,gamma_wat_,Rsb_,Pb_,Tres_,Bob_,muob_))</f>
        <v>1.0302248325276284</v>
      </c>
      <c r="N73" s="15">
        <f>[1]!PVT_ST_liqgas_Nm(B73,C73,[1]!encode_PVT(gamma_gas_,gamma_oil_,gamma_wat_,Rsb_,Pb_,Tres_,Bob_,muob_))</f>
        <v>5.8578466280318188E-2</v>
      </c>
      <c r="O73" s="15">
        <f>[1]!PVT_ST_oilgas_Nm(B73,C73,[1]!encode_PVT(gamma_gas_,gamma_oil_,gamma_wat_,Rsb_,Pb_,Tres_,Bob_,muob_))</f>
        <v>5.8578466280318188E-2</v>
      </c>
      <c r="P73" s="20">
        <f>[1]!PVT_ST_watgas_Nm(B73,C73,[1]!encode_PVT(gamma_gas_,gamma_oil_,gamma_wat_,Rsb_,Pb_,Tres_,Bob_,muob_))</f>
        <v>6.3095734448019331E-2</v>
      </c>
      <c r="Q73" s="29">
        <f>[1]!PVT_cp_oil_JkgC(B73,C73,[1]!encode_PVT(gamma_gas_,gamma_oil_,gamma_wat_,Rsb_,Pb_,Tres_,Bob_,muob_))</f>
        <v>2561.5</v>
      </c>
      <c r="R73" s="29">
        <f>[1]!PVT_cp_gas_JkgC(B73,C73,[1]!encode_PVT(gamma_gas_,gamma_oil_,gamma_wat_,Rsb_,Pb_,Tres_,Bob_,muob_))</f>
        <v>1883.5679707657052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3.7745862951246043E-5</v>
      </c>
      <c r="U73" s="30">
        <f>[1]!PVT_compressibility_oil_1atm(B73,C73,[1]!encode_PVT(gamma_gas_,gamma_oil_,gamma_wat_,Rsb_,Pb_,Tres_,Bob_,muob_))</f>
        <v>4.0768191769028087E-2</v>
      </c>
      <c r="V73" s="30">
        <f>[1]!PVT_compressibility_gas_1atm(B73,C73,[1]!encode_PVT(gamma_gas_,gamma_oil_,gamma_wat_,Rsb_,Pb_,Tres_,Bob_,muob_))</f>
        <v>0.10255055301929512</v>
      </c>
    </row>
    <row r="74" spans="2:22" x14ac:dyDescent="0.25">
      <c r="B74" s="12">
        <v>20</v>
      </c>
      <c r="C74" s="12">
        <v>80</v>
      </c>
      <c r="D74" s="13">
        <f>[1]!PVT_rs_m3m3(B74,C74,[1]!encode_PVT(gamma_gas_,gamma_oil_,gamma_wat_,Rsb_,Pb_,Tres_,Bob_,muob_))</f>
        <v>7.1757816931244847</v>
      </c>
      <c r="E74" s="14">
        <f>[1]!PVT_bo_m3m3(B74,C74,PVT_str_)</f>
        <v>1.132746941917969</v>
      </c>
      <c r="F74" s="46">
        <f>[1]!PVT_mu_oil_cP(B74,C74,[1]!encode_PVT(gamma_gas_,gamma_oil_,gamma_wat_,Rsb_,Pb_,Tres_,Bob_,muob_))</f>
        <v>3.9094914165022416</v>
      </c>
      <c r="G74" s="15">
        <f>[1]!PVT_mu_gas_cP(B74,C74,[1]!encode_PVT(gamma_gas_,gamma_oil_,gamma_wat_,Rsb_,Pb_,Tres_,Bob_,muob_))</f>
        <v>1.2048071040158715E-2</v>
      </c>
      <c r="H74" s="14">
        <f>[1]!PVT_mu_wat_cP(B74,C74,[1]!encode_PVT(gamma_gas_,gamma_oil_,gamma_wat_,Rsb_,Pb_,Tres_,Bob_,muob_))</f>
        <v>0.50020148273013165</v>
      </c>
      <c r="I74" s="46">
        <f>[1]!PVT_rho_gas_kgm3(B74,C74,[1]!encode_PVT(gamma_gas_,gamma_oil_,gamma_wat_,Rsb_,Pb_,Tres_,Bob_,muob_))</f>
        <v>19.137042404295681</v>
      </c>
      <c r="J74" s="46">
        <f>[1]!PVT_rho_wat_kgm3(B74,C74,[1]!encode_PVT(gamma_gas_,gamma_oil_,gamma_wat_,Rsb_,Pb_,Tres_,Bob_,muob_))</f>
        <v>1067.8558858355127</v>
      </c>
      <c r="K74" s="46">
        <f>[1]!PVT_rho_oil_kgm3(B74,C74,[1]!encode_PVT(gamma_gas_,gamma_oil_,gamma_wat_,Rsb_,Pb_,Tres_,Bob_,muob_))</f>
        <v>846.17984624433427</v>
      </c>
      <c r="L74" s="20">
        <f>[1]!PVT_bg_m3m3(B74,C74,[1]!encode_PVT(gamma_gas_,gamma_oil_,gamma_wat_,Rsb_,Pb_,Tres_,Bob_,muob_))</f>
        <v>5.7455586750081569E-2</v>
      </c>
      <c r="M74" s="20">
        <f>[1]!PVT_bw_m3m3(B74,C74,[1]!encode_PVT(gamma_gas_,gamma_oil_,gamma_wat_,Rsb_,Pb_,Tres_,Bob_,muob_))</f>
        <v>1.0301015470260175</v>
      </c>
      <c r="N74" s="15">
        <f>[1]!PVT_ST_liqgas_Nm(B74,C74,[1]!encode_PVT(gamma_gas_,gamma_oil_,gamma_wat_,Rsb_,Pb_,Tres_,Bob_,muob_))</f>
        <v>5.1600552056456757E-2</v>
      </c>
      <c r="O74" s="15">
        <f>[1]!PVT_ST_oilgas_Nm(B74,C74,[1]!encode_PVT(gamma_gas_,gamma_oil_,gamma_wat_,Rsb_,Pb_,Tres_,Bob_,muob_))</f>
        <v>5.1600552056456757E-2</v>
      </c>
      <c r="P74" s="20">
        <f>[1]!PVT_ST_watgas_Nm(B74,C74,[1]!encode_PVT(gamma_gas_,gamma_oil_,gamma_wat_,Rsb_,Pb_,Tres_,Bob_,muob_))</f>
        <v>6.1659500186148221E-2</v>
      </c>
      <c r="Q74" s="29">
        <f>[1]!PVT_cp_oil_JkgC(B74,C74,[1]!encode_PVT(gamma_gas_,gamma_oil_,gamma_wat_,Rsb_,Pb_,Tres_,Bob_,muob_))</f>
        <v>2561.5</v>
      </c>
      <c r="R74" s="29">
        <f>[1]!PVT_cp_gas_JkgC(B74,C74,[1]!encode_PVT(gamma_gas_,gamma_oil_,gamma_wat_,Rsb_,Pb_,Tres_,Bob_,muob_))</f>
        <v>1833.6727413526064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3.7644604954191038E-5</v>
      </c>
      <c r="U74" s="30">
        <f>[1]!PVT_compressibility_oil_1atm(B74,C74,[1]!encode_PVT(gamma_gas_,gamma_oil_,gamma_wat_,Rsb_,Pb_,Tres_,Bob_,muob_))</f>
        <v>2.2099791468487822E-2</v>
      </c>
      <c r="V74" s="30">
        <f>[1]!PVT_compressibility_gas_1atm(B74,C74,[1]!encode_PVT(gamma_gas_,gamma_oil_,gamma_wat_,Rsb_,Pb_,Tres_,Bob_,muob_))</f>
        <v>5.283196088157114E-2</v>
      </c>
    </row>
    <row r="75" spans="2:22" x14ac:dyDescent="0.25">
      <c r="B75" s="12">
        <v>40</v>
      </c>
      <c r="C75" s="12">
        <v>80</v>
      </c>
      <c r="D75" s="13">
        <f>[1]!PVT_rs_m3m3(B75,C75,[1]!encode_PVT(gamma_gas_,gamma_oil_,gamma_wat_,Rsb_,Pb_,Tres_,Bob_,muob_))</f>
        <v>16.531388513013688</v>
      </c>
      <c r="E75" s="14">
        <f>[1]!PVT_bo_m3m3(B75,C75,PVT_str_)</f>
        <v>1.1665038885476338</v>
      </c>
      <c r="F75" s="46">
        <f>[1]!PVT_mu_oil_cP(B75,C75,[1]!encode_PVT(gamma_gas_,gamma_oil_,gamma_wat_,Rsb_,Pb_,Tres_,Bob_,muob_))</f>
        <v>2.9387473734982326</v>
      </c>
      <c r="G75" s="15">
        <f>[1]!PVT_mu_gas_cP(B75,C75,[1]!encode_PVT(gamma_gas_,gamma_oil_,gamma_wat_,Rsb_,Pb_,Tres_,Bob_,muob_))</f>
        <v>1.2718451277010821E-2</v>
      </c>
      <c r="H75" s="14">
        <f>[1]!PVT_mu_wat_cP(B75,C75,[1]!encode_PVT(gamma_gas_,gamma_oil_,gamma_wat_,Rsb_,Pb_,Tres_,Bob_,muob_))</f>
        <v>0.50645637174203584</v>
      </c>
      <c r="I75" s="46">
        <f>[1]!PVT_rho_gas_kgm3(B75,C75,[1]!encode_PVT(gamma_gas_,gamma_oil_,gamma_wat_,Rsb_,Pb_,Tres_,Bob_,muob_))</f>
        <v>40.746840070535264</v>
      </c>
      <c r="J75" s="46">
        <f>[1]!PVT_rho_wat_kgm3(B75,C75,[1]!encode_PVT(gamma_gas_,gamma_oil_,gamma_wat_,Rsb_,Pb_,Tres_,Bob_,muob_))</f>
        <v>1068.1469589671813</v>
      </c>
      <c r="K75" s="46">
        <f>[1]!PVT_rho_oil_kgm3(B75,C75,[1]!encode_PVT(gamma_gas_,gamma_oil_,gamma_wat_,Rsb_,Pb_,Tres_,Bob_,muob_))</f>
        <v>836.73393162313869</v>
      </c>
      <c r="L75" s="20">
        <f>[1]!PVT_bg_m3m3(B75,C75,[1]!encode_PVT(gamma_gas_,gamma_oil_,gamma_wat_,Rsb_,Pb_,Tres_,Bob_,muob_))</f>
        <v>2.6984423776092736E-2</v>
      </c>
      <c r="M75" s="20">
        <f>[1]!PVT_bw_m3m3(B75,C75,[1]!encode_PVT(gamma_gas_,gamma_oil_,gamma_wat_,Rsb_,Pb_,Tres_,Bob_,muob_))</f>
        <v>1.0298208413789975</v>
      </c>
      <c r="N75" s="15">
        <f>[1]!PVT_ST_liqgas_Nm(B75,C75,[1]!encode_PVT(gamma_gas_,gamma_oil_,gamma_wat_,Rsb_,Pb_,Tres_,Bob_,muob_))</f>
        <v>4.0039352970392544E-2</v>
      </c>
      <c r="O75" s="15">
        <f>[1]!PVT_ST_oilgas_Nm(B75,C75,[1]!encode_PVT(gamma_gas_,gamma_oil_,gamma_wat_,Rsb_,Pb_,Tres_,Bob_,muob_))</f>
        <v>4.0039352970392544E-2</v>
      </c>
      <c r="P75" s="20">
        <f>[1]!PVT_ST_watgas_Nm(B75,C75,[1]!encode_PVT(gamma_gas_,gamma_oil_,gamma_wat_,Rsb_,Pb_,Tres_,Bob_,muob_))</f>
        <v>5.8884365535558904E-2</v>
      </c>
      <c r="Q75" s="29">
        <f>[1]!PVT_cp_oil_JkgC(B75,C75,[1]!encode_PVT(gamma_gas_,gamma_oil_,gamma_wat_,Rsb_,Pb_,Tres_,Bob_,muob_))</f>
        <v>2561.5</v>
      </c>
      <c r="R75" s="29">
        <f>[1]!PVT_cp_gas_JkgC(B75,C75,[1]!encode_PVT(gamma_gas_,gamma_oil_,gamma_wat_,Rsb_,Pb_,Tres_,Bob_,muob_))</f>
        <v>1722.3948137387415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3.7443710085765843E-5</v>
      </c>
      <c r="U75" s="30">
        <f>[1]!PVT_compressibility_oil_1atm(B75,C75,[1]!encode_PVT(gamma_gas_,gamma_oil_,gamma_wat_,Rsb_,Pb_,Tres_,Bob_,muob_))</f>
        <v>1.1034762208619779E-2</v>
      </c>
      <c r="V75" s="30">
        <f>[1]!PVT_compressibility_gas_1atm(B75,C75,[1]!encode_PVT(gamma_gas_,gamma_oil_,gamma_wat_,Rsb_,Pb_,Tres_,Bob_,muob_))</f>
        <v>2.8396434090459444E-2</v>
      </c>
    </row>
    <row r="76" spans="2:22" x14ac:dyDescent="0.25">
      <c r="B76" s="12">
        <v>60</v>
      </c>
      <c r="C76" s="12">
        <v>80</v>
      </c>
      <c r="D76" s="13">
        <f>[1]!PVT_rs_m3m3(B76,C76,[1]!encode_PVT(gamma_gas_,gamma_oil_,gamma_wat_,Rsb_,Pb_,Tres_,Bob_,muob_))</f>
        <v>26.93538630217672</v>
      </c>
      <c r="E76" s="14">
        <f>[1]!PVT_bo_m3m3(B76,C76,PVT_str_)</f>
        <v>1.194346661943962</v>
      </c>
      <c r="F76" s="46">
        <f>[1]!PVT_mu_oil_cP(B76,C76,[1]!encode_PVT(gamma_gas_,gamma_oil_,gamma_wat_,Rsb_,Pb_,Tres_,Bob_,muob_))</f>
        <v>2.321408885245186</v>
      </c>
      <c r="G76" s="15">
        <f>[1]!PVT_mu_gas_cP(B76,C76,[1]!encode_PVT(gamma_gas_,gamma_oil_,gamma_wat_,Rsb_,Pb_,Tres_,Bob_,muob_))</f>
        <v>1.3682645275706399E-2</v>
      </c>
      <c r="H76" s="14">
        <f>[1]!PVT_mu_wat_cP(B76,C76,[1]!encode_PVT(gamma_gas_,gamma_oil_,gamma_wat_,Rsb_,Pb_,Tres_,Bob_,muob_))</f>
        <v>0.51297666150388777</v>
      </c>
      <c r="I76" s="46">
        <f>[1]!PVT_rho_gas_kgm3(B76,C76,[1]!encode_PVT(gamma_gas_,gamma_oil_,gamma_wat_,Rsb_,Pb_,Tres_,Bob_,muob_))</f>
        <v>65.565159938697178</v>
      </c>
      <c r="J76" s="46">
        <f>[1]!PVT_rho_wat_kgm3(B76,C76,[1]!encode_PVT(gamma_gas_,gamma_oil_,gamma_wat_,Rsb_,Pb_,Tres_,Bob_,muob_))</f>
        <v>1068.4854253338608</v>
      </c>
      <c r="K76" s="46">
        <f>[1]!PVT_rho_oil_kgm3(B76,C76,[1]!encode_PVT(gamma_gas_,gamma_oil_,gamma_wat_,Rsb_,Pb_,Tres_,Bob_,muob_))</f>
        <v>826.08180075956534</v>
      </c>
      <c r="L76" s="20">
        <f>[1]!PVT_bg_m3m3(B76,C76,[1]!encode_PVT(gamma_gas_,gamma_oil_,gamma_wat_,Rsb_,Pb_,Tres_,Bob_,muob_))</f>
        <v>1.6770034588919642E-2</v>
      </c>
      <c r="M76" s="20">
        <f>[1]!PVT_bw_m3m3(B76,C76,[1]!encode_PVT(gamma_gas_,gamma_oil_,gamma_wat_,Rsb_,Pb_,Tres_,Bob_,muob_))</f>
        <v>1.0294946228735804</v>
      </c>
      <c r="N76" s="15">
        <f>[1]!PVT_ST_liqgas_Nm(B76,C76,[1]!encode_PVT(gamma_gas_,gamma_oil_,gamma_wat_,Rsb_,Pb_,Tres_,Bob_,muob_))</f>
        <v>3.106846191361785E-2</v>
      </c>
      <c r="O76" s="15">
        <f>[1]!PVT_ST_oilgas_Nm(B76,C76,[1]!encode_PVT(gamma_gas_,gamma_oil_,gamma_wat_,Rsb_,Pb_,Tres_,Bob_,muob_))</f>
        <v>3.106846191361785E-2</v>
      </c>
      <c r="P76" s="20">
        <f>[1]!PVT_ST_watgas_Nm(B76,C76,[1]!encode_PVT(gamma_gas_,gamma_oil_,gamma_wat_,Rsb_,Pb_,Tres_,Bob_,muob_))</f>
        <v>5.6234132519034911E-2</v>
      </c>
      <c r="Q76" s="29">
        <f>[1]!PVT_cp_oil_JkgC(B76,C76,[1]!encode_PVT(gamma_gas_,gamma_oil_,gamma_wat_,Rsb_,Pb_,Tres_,Bob_,muob_))</f>
        <v>2561.5</v>
      </c>
      <c r="R76" s="29">
        <f>[1]!PVT_cp_gas_JkgC(B76,C76,[1]!encode_PVT(gamma_gas_,gamma_oil_,gamma_wat_,Rsb_,Pb_,Tres_,Bob_,muob_))</f>
        <v>1605.6274265025404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3.7244948033572365E-5</v>
      </c>
      <c r="U76" s="30">
        <f>[1]!PVT_compressibility_oil_1atm(B76,C76,[1]!encode_PVT(gamma_gas_,gamma_oil_,gamma_wat_,Rsb_,Pb_,Tres_,Bob_,muob_))</f>
        <v>6.7432718527497037E-3</v>
      </c>
      <c r="V76" s="30">
        <f>[1]!PVT_compressibility_gas_1atm(B76,C76,[1]!encode_PVT(gamma_gas_,gamma_oil_,gamma_wat_,Rsb_,Pb_,Tres_,Bob_,muob_))</f>
        <v>2.0184164865056059E-2</v>
      </c>
    </row>
    <row r="77" spans="2:22" x14ac:dyDescent="0.25">
      <c r="B77" s="12">
        <v>80</v>
      </c>
      <c r="C77" s="12">
        <v>80</v>
      </c>
      <c r="D77" s="13">
        <f>[1]!PVT_rs_m3m3(B77,C77,[1]!encode_PVT(gamma_gas_,gamma_oil_,gamma_wat_,Rsb_,Pb_,Tres_,Bob_,muob_))</f>
        <v>38.084604278033183</v>
      </c>
      <c r="E77" s="14">
        <f>[1]!PVT_bo_m3m3(B77,C77,PVT_str_)</f>
        <v>1.2198955050630811</v>
      </c>
      <c r="F77" s="46">
        <f>[1]!PVT_mu_oil_cP(B77,C77,[1]!encode_PVT(gamma_gas_,gamma_oil_,gamma_wat_,Rsb_,Pb_,Tres_,Bob_,muob_))</f>
        <v>1.9082658015088878</v>
      </c>
      <c r="G77" s="15">
        <f>[1]!PVT_mu_gas_cP(B77,C77,[1]!encode_PVT(gamma_gas_,gamma_oil_,gamma_wat_,Rsb_,Pb_,Tres_,Bob_,muob_))</f>
        <v>1.499582495682693E-2</v>
      </c>
      <c r="H77" s="14">
        <f>[1]!PVT_mu_wat_cP(B77,C77,[1]!encode_PVT(gamma_gas_,gamma_oil_,gamma_wat_,Rsb_,Pb_,Tres_,Bob_,muob_))</f>
        <v>0.51976235201568766</v>
      </c>
      <c r="I77" s="46">
        <f>[1]!PVT_rho_gas_kgm3(B77,C77,[1]!encode_PVT(gamma_gas_,gamma_oil_,gamma_wat_,Rsb_,Pb_,Tres_,Bob_,muob_))</f>
        <v>93.392234234404668</v>
      </c>
      <c r="J77" s="46">
        <f>[1]!PVT_rho_wat_kgm3(B77,C77,[1]!encode_PVT(gamma_gas_,gamma_oil_,gamma_wat_,Rsb_,Pb_,Tres_,Bob_,muob_))</f>
        <v>1068.8713749105848</v>
      </c>
      <c r="K77" s="46">
        <f>[1]!PVT_rho_oil_kgm3(B77,C77,[1]!encode_PVT(gamma_gas_,gamma_oil_,gamma_wat_,Rsb_,Pb_,Tres_,Bob_,muob_))</f>
        <v>814.62608077655022</v>
      </c>
      <c r="L77" s="20">
        <f>[1]!PVT_bg_m3m3(B77,C77,[1]!encode_PVT(gamma_gas_,gamma_oil_,gamma_wat_,Rsb_,Pb_,Tres_,Bob_,muob_))</f>
        <v>1.1773248696891602E-2</v>
      </c>
      <c r="M77" s="20">
        <f>[1]!PVT_bw_m3m3(B77,C77,[1]!encode_PVT(gamma_gas_,gamma_oil_,gamma_wat_,Rsb_,Pb_,Tres_,Bob_,muob_))</f>
        <v>1.0291228915097659</v>
      </c>
      <c r="N77" s="15">
        <f>[1]!PVT_ST_liqgas_Nm(B77,C77,[1]!encode_PVT(gamma_gas_,gamma_oil_,gamma_wat_,Rsb_,Pb_,Tres_,Bob_,muob_))</f>
        <v>2.4107515583273419E-2</v>
      </c>
      <c r="O77" s="15">
        <f>[1]!PVT_ST_oilgas_Nm(B77,C77,[1]!encode_PVT(gamma_gas_,gamma_oil_,gamma_wat_,Rsb_,Pb_,Tres_,Bob_,muob_))</f>
        <v>2.4107515583273419E-2</v>
      </c>
      <c r="P77" s="20">
        <f>[1]!PVT_ST_watgas_Nm(B77,C77,[1]!encode_PVT(gamma_gas_,gamma_oil_,gamma_wat_,Rsb_,Pb_,Tres_,Bob_,muob_))</f>
        <v>5.3703179637025276E-2</v>
      </c>
      <c r="Q77" s="29">
        <f>[1]!PVT_cp_oil_JkgC(B77,C77,[1]!encode_PVT(gamma_gas_,gamma_oil_,gamma_wat_,Rsb_,Pb_,Tres_,Bob_,muob_))</f>
        <v>2561.5</v>
      </c>
      <c r="R77" s="29">
        <f>[1]!PVT_cp_gas_JkgC(B77,C77,[1]!encode_PVT(gamma_gas_,gamma_oil_,gamma_wat_,Rsb_,Pb_,Tres_,Bob_,muob_))</f>
        <v>1502.9546426222566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3.7048285012135808E-5</v>
      </c>
      <c r="U77" s="30">
        <f>[1]!PVT_compressibility_oil_1atm(B77,C77,[1]!encode_PVT(gamma_gas_,gamma_oil_,gamma_wat_,Rsb_,Pb_,Tres_,Bob_,muob_))</f>
        <v>4.4453306338302747E-3</v>
      </c>
      <c r="V77" s="30">
        <f>[1]!PVT_compressibility_gas_1atm(B77,C77,[1]!encode_PVT(gamma_gas_,gamma_oil_,gamma_wat_,Rsb_,Pb_,Tres_,Bob_,muob_))</f>
        <v>1.5484849037100604E-2</v>
      </c>
    </row>
    <row r="78" spans="2:22" x14ac:dyDescent="0.25">
      <c r="B78" s="12">
        <v>100</v>
      </c>
      <c r="C78" s="12">
        <v>80</v>
      </c>
      <c r="D78" s="13">
        <f>[1]!PVT_rs_m3m3(B78,C78,[1]!encode_PVT(gamma_gas_,gamma_oil_,gamma_wat_,Rsb_,Pb_,Tres_,Bob_,muob_))</f>
        <v>49.822911527260871</v>
      </c>
      <c r="E78" s="14">
        <f>[1]!PVT_bo_m3m3(B78,C78,PVT_str_)</f>
        <v>1.2444494388296186</v>
      </c>
      <c r="F78" s="46">
        <f>[1]!PVT_mu_oil_cP(B78,C78,[1]!encode_PVT(gamma_gas_,gamma_oil_,gamma_wat_,Rsb_,Pb_,Tres_,Bob_,muob_))</f>
        <v>1.6167698518945395</v>
      </c>
      <c r="G78" s="15">
        <f>[1]!PVT_mu_gas_cP(B78,C78,[1]!encode_PVT(gamma_gas_,gamma_oil_,gamma_wat_,Rsb_,Pb_,Tres_,Bob_,muob_))</f>
        <v>1.6662090323001578E-2</v>
      </c>
      <c r="H78" s="14">
        <f>[1]!PVT_mu_wat_cP(B78,C78,[1]!encode_PVT(gamma_gas_,gamma_oil_,gamma_wat_,Rsb_,Pb_,Tres_,Bob_,muob_))</f>
        <v>0.52681344327743551</v>
      </c>
      <c r="I78" s="46">
        <f>[1]!PVT_rho_gas_kgm3(B78,C78,[1]!encode_PVT(gamma_gas_,gamma_oil_,gamma_wat_,Rsb_,Pb_,Tres_,Bob_,muob_))</f>
        <v>122.76747706167906</v>
      </c>
      <c r="J78" s="46">
        <f>[1]!PVT_rho_wat_kgm3(B78,C78,[1]!encode_PVT(gamma_gas_,gamma_oil_,gamma_wat_,Rsb_,Pb_,Tres_,Bob_,muob_))</f>
        <v>1069.30491039923</v>
      </c>
      <c r="K78" s="46">
        <f>[1]!PVT_rho_oil_kgm3(B78,C78,[1]!encode_PVT(gamma_gas_,gamma_oil_,gamma_wat_,Rsb_,Pb_,Tres_,Bob_,muob_))</f>
        <v>802.63028328231849</v>
      </c>
      <c r="L78" s="20">
        <f>[1]!PVT_bg_m3m3(B78,C78,[1]!encode_PVT(gamma_gas_,gamma_oil_,gamma_wat_,Rsb_,Pb_,Tres_,Bob_,muob_))</f>
        <v>8.9561993641653972E-3</v>
      </c>
      <c r="M78" s="20">
        <f>[1]!PVT_bw_m3m3(B78,C78,[1]!encode_PVT(gamma_gas_,gamma_oil_,gamma_wat_,Rsb_,Pb_,Tres_,Bob_,muob_))</f>
        <v>1.0287056472875542</v>
      </c>
      <c r="N78" s="15">
        <f>[1]!PVT_ST_liqgas_Nm(B78,C78,[1]!encode_PVT(gamma_gas_,gamma_oil_,gamma_wat_,Rsb_,Pb_,Tres_,Bob_,muob_))</f>
        <v>1.8706182147466801E-2</v>
      </c>
      <c r="O78" s="15">
        <f>[1]!PVT_ST_oilgas_Nm(B78,C78,[1]!encode_PVT(gamma_gas_,gamma_oil_,gamma_wat_,Rsb_,Pb_,Tres_,Bob_,muob_))</f>
        <v>1.8706182147466801E-2</v>
      </c>
      <c r="P78" s="20">
        <f>[1]!PVT_ST_watgas_Nm(B78,C78,[1]!encode_PVT(gamma_gas_,gamma_oil_,gamma_wat_,Rsb_,Pb_,Tres_,Bob_,muob_))</f>
        <v>5.1286138399136483E-2</v>
      </c>
      <c r="Q78" s="29">
        <f>[1]!PVT_cp_oil_JkgC(B78,C78,[1]!encode_PVT(gamma_gas_,gamma_oil_,gamma_wat_,Rsb_,Pb_,Tres_,Bob_,muob_))</f>
        <v>2561.5</v>
      </c>
      <c r="R78" s="29">
        <f>[1]!PVT_cp_gas_JkgC(B78,C78,[1]!encode_PVT(gamma_gas_,gamma_oil_,gamma_wat_,Rsb_,Pb_,Tres_,Bob_,muob_))</f>
        <v>1429.1681252534001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3.6853687945817684E-5</v>
      </c>
      <c r="U78" s="30">
        <f>[1]!PVT_compressibility_oil_1atm(B78,C78,[1]!encode_PVT(gamma_gas_,gamma_oil_,gamma_wat_,Rsb_,Pb_,Tres_,Bob_,muob_))</f>
        <v>3.0658071558473431E-3</v>
      </c>
      <c r="V78" s="30">
        <f>[1]!PVT_compressibility_gas_1atm(B78,C78,[1]!encode_PVT(gamma_gas_,gamma_oil_,gamma_wat_,Rsb_,Pb_,Tres_,Bob_,muob_))</f>
        <v>1.1997369744629205E-2</v>
      </c>
    </row>
    <row r="79" spans="2:22" x14ac:dyDescent="0.25">
      <c r="B79" s="12">
        <v>120</v>
      </c>
      <c r="C79" s="12">
        <v>80</v>
      </c>
      <c r="D79" s="13">
        <f>[1]!PVT_rs_m3m3(B79,C79,[1]!encode_PVT(gamma_gas_,gamma_oil_,gamma_wat_,Rsb_,Pb_,Tres_,Bob_,muob_))</f>
        <v>62.053077246767046</v>
      </c>
      <c r="E79" s="14">
        <f>[1]!PVT_bo_m3m3(B79,C79,PVT_str_)</f>
        <v>1.2686350266784816</v>
      </c>
      <c r="F79" s="46">
        <f>[1]!PVT_mu_oil_cP(B79,C79,[1]!encode_PVT(gamma_gas_,gamma_oil_,gamma_wat_,Rsb_,Pb_,Tres_,Bob_,muob_))</f>
        <v>1.4018076611715624</v>
      </c>
      <c r="G79" s="15">
        <f>[1]!PVT_mu_gas_cP(B79,C79,[1]!encode_PVT(gamma_gas_,gamma_oil_,gamma_wat_,Rsb_,Pb_,Tres_,Bob_,muob_))</f>
        <v>1.8612671003194109E-2</v>
      </c>
      <c r="H79" s="14">
        <f>[1]!PVT_mu_wat_cP(B79,C79,[1]!encode_PVT(gamma_gas_,gamma_oil_,gamma_wat_,Rsb_,Pb_,Tres_,Bob_,muob_))</f>
        <v>0.53412993528913122</v>
      </c>
      <c r="I79" s="46">
        <f>[1]!PVT_rho_gas_kgm3(B79,C79,[1]!encode_PVT(gamma_gas_,gamma_oil_,gamma_wat_,Rsb_,Pb_,Tres_,Bob_,muob_))</f>
        <v>151.6546583251959</v>
      </c>
      <c r="J79" s="46">
        <f>[1]!PVT_rho_wat_kgm3(B79,C79,[1]!encode_PVT(gamma_gas_,gamma_oil_,gamma_wat_,Rsb_,Pb_,Tres_,Bob_,muob_))</f>
        <v>1069.7861472969807</v>
      </c>
      <c r="K79" s="46">
        <f>[1]!PVT_rho_oil_kgm3(B79,C79,[1]!encode_PVT(gamma_gas_,gamma_oil_,gamma_wat_,Rsb_,Pb_,Tres_,Bob_,muob_))</f>
        <v>790.2909121936882</v>
      </c>
      <c r="L79" s="20">
        <f>[1]!PVT_bg_m3m3(B79,C79,[1]!encode_PVT(gamma_gas_,gamma_oil_,gamma_wat_,Rsb_,Pb_,Tres_,Bob_,muob_))</f>
        <v>7.2502223943708829E-3</v>
      </c>
      <c r="M79" s="20">
        <f>[1]!PVT_bw_m3m3(B79,C79,[1]!encode_PVT(gamma_gas_,gamma_oil_,gamma_wat_,Rsb_,Pb_,Tres_,Bob_,muob_))</f>
        <v>1.0282428902069449</v>
      </c>
      <c r="N79" s="15">
        <f>[1]!PVT_ST_liqgas_Nm(B79,C79,[1]!encode_PVT(gamma_gas_,gamma_oil_,gamma_wat_,Rsb_,Pb_,Tres_,Bob_,muob_))</f>
        <v>1.4515027453803352E-2</v>
      </c>
      <c r="O79" s="15">
        <f>[1]!PVT_ST_oilgas_Nm(B79,C79,[1]!encode_PVT(gamma_gas_,gamma_oil_,gamma_wat_,Rsb_,Pb_,Tres_,Bob_,muob_))</f>
        <v>1.4515027453803352E-2</v>
      </c>
      <c r="P79" s="20">
        <f>[1]!PVT_ST_watgas_Nm(B79,C79,[1]!encode_PVT(gamma_gas_,gamma_oil_,gamma_wat_,Rsb_,Pb_,Tres_,Bob_,muob_))</f>
        <v>4.8977881936844617E-2</v>
      </c>
      <c r="Q79" s="29">
        <f>[1]!PVT_cp_oil_JkgC(B79,C79,[1]!encode_PVT(gamma_gas_,gamma_oil_,gamma_wat_,Rsb_,Pb_,Tres_,Bob_,muob_))</f>
        <v>2561.5</v>
      </c>
      <c r="R79" s="29">
        <f>[1]!PVT_cp_gas_JkgC(B79,C79,[1]!encode_PVT(gamma_gas_,gamma_oil_,gamma_wat_,Rsb_,Pb_,Tres_,Bob_,muob_))</f>
        <v>1388.3281949026382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3.6661124450271005E-5</v>
      </c>
      <c r="U79" s="30">
        <f>[1]!PVT_compressibility_oil_1atm(B79,C79,[1]!encode_PVT(gamma_gas_,gamma_oil_,gamma_wat_,Rsb_,Pb_,Tres_,Bob_,muob_))</f>
        <v>2.1892476137987558E-3</v>
      </c>
      <c r="V79" s="30">
        <f>[1]!PVT_compressibility_gas_1atm(B79,C79,[1]!encode_PVT(gamma_gas_,gamma_oil_,gamma_wat_,Rsb_,Pb_,Tres_,Bob_,muob_))</f>
        <v>9.2380104232467862E-3</v>
      </c>
    </row>
    <row r="80" spans="2:22" x14ac:dyDescent="0.25">
      <c r="B80" s="12">
        <v>140</v>
      </c>
      <c r="C80" s="12">
        <v>80</v>
      </c>
      <c r="D80" s="13">
        <f>[1]!PVT_rs_m3m3(B80,C80,[1]!encode_PVT(gamma_gas_,gamma_oil_,gamma_wat_,Rsb_,Pb_,Tres_,Bob_,muob_))</f>
        <v>74.708025438047258</v>
      </c>
      <c r="E80" s="14">
        <f>[1]!PVT_bo_m3m3(B80,C80,PVT_str_)</f>
        <v>1.2928028403701328</v>
      </c>
      <c r="F80" s="46">
        <f>[1]!PVT_mu_oil_cP(B80,C80,[1]!encode_PVT(gamma_gas_,gamma_oil_,gamma_wat_,Rsb_,Pb_,Tres_,Bob_,muob_))</f>
        <v>1.2374997414676407</v>
      </c>
      <c r="G80" s="15">
        <f>[1]!PVT_mu_gas_cP(B80,C80,[1]!encode_PVT(gamma_gas_,gamma_oil_,gamma_wat_,Rsb_,Pb_,Tres_,Bob_,muob_))</f>
        <v>2.0733492057591552E-2</v>
      </c>
      <c r="H80" s="14">
        <f>[1]!PVT_mu_wat_cP(B80,C80,[1]!encode_PVT(gamma_gas_,gamma_oil_,gamma_wat_,Rsb_,Pb_,Tres_,Bob_,muob_))</f>
        <v>0.54171182805077478</v>
      </c>
      <c r="I80" s="46">
        <f>[1]!PVT_rho_gas_kgm3(B80,C80,[1]!encode_PVT(gamma_gas_,gamma_oil_,gamma_wat_,Rsb_,Pb_,Tres_,Bob_,muob_))</f>
        <v>178.40676454841207</v>
      </c>
      <c r="J80" s="46">
        <f>[1]!PVT_rho_wat_kgm3(B80,C80,[1]!encode_PVT(gamma_gas_,gamma_oil_,gamma_wat_,Rsb_,Pb_,Tres_,Bob_,muob_))</f>
        <v>1070.3152139734489</v>
      </c>
      <c r="K80" s="46">
        <f>[1]!PVT_rho_oil_kgm3(B80,C80,[1]!encode_PVT(gamma_gas_,gamma_oil_,gamma_wat_,Rsb_,Pb_,Tres_,Bob_,muob_))</f>
        <v>777.76102234712801</v>
      </c>
      <c r="L80" s="20">
        <f>[1]!PVT_bg_m3m3(B80,C80,[1]!encode_PVT(gamma_gas_,gamma_oil_,gamma_wat_,Rsb_,Pb_,Tres_,Bob_,muob_))</f>
        <v>6.1630510635802375E-3</v>
      </c>
      <c r="M80" s="20">
        <f>[1]!PVT_bw_m3m3(B80,C80,[1]!encode_PVT(gamma_gas_,gamma_oil_,gamma_wat_,Rsb_,Pb_,Tres_,Bob_,muob_))</f>
        <v>1.0277346202679387</v>
      </c>
      <c r="N80" s="15">
        <f>[1]!PVT_ST_liqgas_Nm(B80,C80,[1]!encode_PVT(gamma_gas_,gamma_oil_,gamma_wat_,Rsb_,Pb_,Tres_,Bob_,muob_))</f>
        <v>1.1262908717757576E-2</v>
      </c>
      <c r="O80" s="15">
        <f>[1]!PVT_ST_oilgas_Nm(B80,C80,[1]!encode_PVT(gamma_gas_,gamma_oil_,gamma_wat_,Rsb_,Pb_,Tres_,Bob_,muob_))</f>
        <v>1.1262908717757576E-2</v>
      </c>
      <c r="P80" s="20">
        <f>[1]!PVT_ST_watgas_Nm(B80,C80,[1]!encode_PVT(gamma_gas_,gamma_oil_,gamma_wat_,Rsb_,Pb_,Tres_,Bob_,muob_))</f>
        <v>4.6773514128719842E-2</v>
      </c>
      <c r="Q80" s="29">
        <f>[1]!PVT_cp_oil_JkgC(B80,C80,[1]!encode_PVT(gamma_gas_,gamma_oil_,gamma_wat_,Rsb_,Pb_,Tres_,Bob_,muob_))</f>
        <v>2561.5</v>
      </c>
      <c r="R80" s="29">
        <f>[1]!PVT_cp_gas_JkgC(B80,C80,[1]!encode_PVT(gamma_gas_,gamma_oil_,gamma_wat_,Rsb_,Pb_,Tres_,Bob_,muob_))</f>
        <v>1376.8396712413103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3.6470562814473928E-5</v>
      </c>
      <c r="U80" s="30">
        <f>[1]!PVT_compressibility_oil_1atm(B80,C80,[1]!encode_PVT(gamma_gas_,gamma_oil_,gamma_wat_,Rsb_,Pb_,Tres_,Bob_,muob_))</f>
        <v>1.6075116294202306E-3</v>
      </c>
      <c r="V80" s="30">
        <f>[1]!PVT_compressibility_gas_1atm(B80,C80,[1]!encode_PVT(gamma_gas_,gamma_oil_,gamma_wat_,Rsb_,Pb_,Tres_,Bob_,muob_))</f>
        <v>7.1009336693922962E-3</v>
      </c>
    </row>
    <row r="81" spans="2:22" x14ac:dyDescent="0.25">
      <c r="B81" s="12">
        <v>160</v>
      </c>
      <c r="C81" s="12">
        <v>80</v>
      </c>
      <c r="D81" s="13">
        <f>[1]!PVT_rs_m3m3(B81,C81,[1]!encode_PVT(gamma_gas_,gamma_oil_,gamma_wat_,Rsb_,Pb_,Tres_,Bob_,muob_))</f>
        <v>87.738370063263801</v>
      </c>
      <c r="E81" s="14">
        <f>[1]!PVT_bo_m3m3(B81,C81,PVT_str_)</f>
        <v>1.3171669749430699</v>
      </c>
      <c r="F81" s="46">
        <f>[1]!PVT_mu_oil_cP(B81,C81,[1]!encode_PVT(gamma_gas_,gamma_oil_,gamma_wat_,Rsb_,Pb_,Tres_,Bob_,muob_))</f>
        <v>1.1081973685397559</v>
      </c>
      <c r="G81" s="15">
        <f>[1]!PVT_mu_gas_cP(B81,C81,[1]!encode_PVT(gamma_gas_,gamma_oil_,gamma_wat_,Rsb_,Pb_,Tres_,Bob_,muob_))</f>
        <v>2.2911561151152695E-2</v>
      </c>
      <c r="H81" s="14">
        <f>[1]!PVT_mu_wat_cP(B81,C81,[1]!encode_PVT(gamma_gas_,gamma_oil_,gamma_wat_,Rsb_,Pb_,Tres_,Bob_,muob_))</f>
        <v>0.5495591215623663</v>
      </c>
      <c r="I81" s="46">
        <f>[1]!PVT_rho_gas_kgm3(B81,C81,[1]!encode_PVT(gamma_gas_,gamma_oil_,gamma_wat_,Rsb_,Pb_,Tres_,Bob_,muob_))</f>
        <v>202.21271328922532</v>
      </c>
      <c r="J81" s="46">
        <f>[1]!PVT_rho_wat_kgm3(B81,C81,[1]!encode_PVT(gamma_gas_,gamma_oil_,gamma_wat_,Rsb_,Pb_,Tres_,Bob_,muob_))</f>
        <v>1070.8922517565502</v>
      </c>
      <c r="K81" s="46">
        <f>[1]!PVT_rho_oil_kgm3(B81,C81,[1]!encode_PVT(gamma_gas_,gamma_oil_,gamma_wat_,Rsb_,Pb_,Tres_,Bob_,muob_))</f>
        <v>765.16159674159223</v>
      </c>
      <c r="L81" s="20">
        <f>[1]!PVT_bg_m3m3(B81,C81,[1]!encode_PVT(gamma_gas_,gamma_oil_,gamma_wat_,Rsb_,Pb_,Tres_,Bob_,muob_))</f>
        <v>5.4374919465490761E-3</v>
      </c>
      <c r="M81" s="20">
        <f>[1]!PVT_bw_m3m3(B81,C81,[1]!encode_PVT(gamma_gas_,gamma_oil_,gamma_wat_,Rsb_,Pb_,Tres_,Bob_,muob_))</f>
        <v>1.0271808374705349</v>
      </c>
      <c r="N81" s="15">
        <f>[1]!PVT_ST_liqgas_Nm(B81,C81,[1]!encode_PVT(gamma_gas_,gamma_oil_,gamma_wat_,Rsb_,Pb_,Tres_,Bob_,muob_))</f>
        <v>8.7394331969589574E-3</v>
      </c>
      <c r="O81" s="15">
        <f>[1]!PVT_ST_oilgas_Nm(B81,C81,[1]!encode_PVT(gamma_gas_,gamma_oil_,gamma_wat_,Rsb_,Pb_,Tres_,Bob_,muob_))</f>
        <v>8.7394331969589574E-3</v>
      </c>
      <c r="P81" s="20">
        <f>[1]!PVT_ST_watgas_Nm(B81,C81,[1]!encode_PVT(gamma_gas_,gamma_oil_,gamma_wat_,Rsb_,Pb_,Tres_,Bob_,muob_))</f>
        <v>4.4668359215096334E-2</v>
      </c>
      <c r="Q81" s="29">
        <f>[1]!PVT_cp_oil_JkgC(B81,C81,[1]!encode_PVT(gamma_gas_,gamma_oil_,gamma_wat_,Rsb_,Pb_,Tres_,Bob_,muob_))</f>
        <v>2561.5</v>
      </c>
      <c r="R81" s="29">
        <f>[1]!PVT_cp_gas_JkgC(B81,C81,[1]!encode_PVT(gamma_gas_,gamma_oil_,gamma_wat_,Rsb_,Pb_,Tres_,Bob_,muob_))</f>
        <v>1388.2835529406143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3.6281971983320796E-5</v>
      </c>
      <c r="U81" s="30">
        <f>[1]!PVT_compressibility_oil_1atm(B81,C81,[1]!encode_PVT(gamma_gas_,gamma_oil_,gamma_wat_,Rsb_,Pb_,Tres_,Bob_,muob_))</f>
        <v>1.2047627523541862E-3</v>
      </c>
      <c r="V81" s="30">
        <f>[1]!PVT_compressibility_gas_1atm(B81,C81,[1]!encode_PVT(gamma_gas_,gamma_oil_,gamma_wat_,Rsb_,Pb_,Tres_,Bob_,muob_))</f>
        <v>5.5020843905040934E-3</v>
      </c>
    </row>
    <row r="82" spans="2:22" x14ac:dyDescent="0.25">
      <c r="B82" s="12">
        <v>180</v>
      </c>
      <c r="C82" s="12">
        <v>80</v>
      </c>
      <c r="D82" s="13">
        <f>[1]!PVT_rs_m3m3(B82,C82,[1]!encode_PVT(gamma_gas_,gamma_oil_,gamma_wat_,Rsb_,Pb_,Tres_,Bob_,muob_))</f>
        <v>101.10606290359216</v>
      </c>
      <c r="E82" s="14">
        <f>[1]!PVT_bo_m3m3(B82,C82,PVT_str_)</f>
        <v>1.3418653455103544</v>
      </c>
      <c r="F82" s="46">
        <f>[1]!PVT_mu_oil_cP(B82,C82,[1]!encode_PVT(gamma_gas_,gamma_oil_,gamma_wat_,Rsb_,Pb_,Tres_,Bob_,muob_))</f>
        <v>1.0039784134301895</v>
      </c>
      <c r="G82" s="15">
        <f>[1]!PVT_mu_gas_cP(B82,C82,[1]!encode_PVT(gamma_gas_,gamma_oil_,gamma_wat_,Rsb_,Pb_,Tres_,Bob_,muob_))</f>
        <v>2.5065367115478056E-2</v>
      </c>
      <c r="H82" s="14">
        <f>[1]!PVT_mu_wat_cP(B82,C82,[1]!encode_PVT(gamma_gas_,gamma_oil_,gamma_wat_,Rsb_,Pb_,Tres_,Bob_,muob_))</f>
        <v>0.55767181582390579</v>
      </c>
      <c r="I82" s="46">
        <f>[1]!PVT_rho_gas_kgm3(B82,C82,[1]!encode_PVT(gamma_gas_,gamma_oil_,gamma_wat_,Rsb_,Pb_,Tres_,Bob_,muob_))</f>
        <v>222.97803524371486</v>
      </c>
      <c r="J82" s="46">
        <f>[1]!PVT_rho_wat_kgm3(B82,C82,[1]!encode_PVT(gamma_gas_,gamma_oil_,gamma_wat_,Rsb_,Pb_,Tres_,Bob_,muob_))</f>
        <v>1071.517415027238</v>
      </c>
      <c r="K82" s="46">
        <f>[1]!PVT_rho_oil_kgm3(B82,C82,[1]!encode_PVT(gamma_gas_,gamma_oil_,gamma_wat_,Rsb_,Pb_,Tres_,Bob_,muob_))</f>
        <v>752.58852014990021</v>
      </c>
      <c r="L82" s="20">
        <f>[1]!PVT_bg_m3m3(B82,C82,[1]!encode_PVT(gamma_gas_,gamma_oil_,gamma_wat_,Rsb_,Pb_,Tres_,Bob_,muob_))</f>
        <v>4.931113500924943E-3</v>
      </c>
      <c r="M82" s="20">
        <f>[1]!PVT_bw_m3m3(B82,C82,[1]!encode_PVT(gamma_gas_,gamma_oil_,gamma_wat_,Rsb_,Pb_,Tres_,Bob_,muob_))</f>
        <v>1.0265815418147339</v>
      </c>
      <c r="N82" s="15">
        <f>[1]!PVT_ST_liqgas_Nm(B82,C82,[1]!encode_PVT(gamma_gas_,gamma_oil_,gamma_wat_,Rsb_,Pb_,Tres_,Bob_,muob_))</f>
        <v>6.7813470319339365E-3</v>
      </c>
      <c r="O82" s="15">
        <f>[1]!PVT_ST_oilgas_Nm(B82,C82,[1]!encode_PVT(gamma_gas_,gamma_oil_,gamma_wat_,Rsb_,Pb_,Tres_,Bob_,muob_))</f>
        <v>6.7813470319339365E-3</v>
      </c>
      <c r="P82" s="20">
        <f>[1]!PVT_ST_watgas_Nm(B82,C82,[1]!encode_PVT(gamma_gas_,gamma_oil_,gamma_wat_,Rsb_,Pb_,Tres_,Bob_,muob_))</f>
        <v>4.2657951880159285E-2</v>
      </c>
      <c r="Q82" s="29">
        <f>[1]!PVT_cp_oil_JkgC(B82,C82,[1]!encode_PVT(gamma_gas_,gamma_oil_,gamma_wat_,Rsb_,Pb_,Tres_,Bob_,muob_))</f>
        <v>2561.5</v>
      </c>
      <c r="R82" s="29">
        <f>[1]!PVT_cp_gas_JkgC(B82,C82,[1]!encode_PVT(gamma_gas_,gamma_oil_,gamma_wat_,Rsb_,Pb_,Tres_,Bob_,muob_))</f>
        <v>1416.3711538520051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3.6095321540750486E-5</v>
      </c>
      <c r="U82" s="30">
        <f>[1]!PVT_compressibility_oil_1atm(B82,C82,[1]!encode_PVT(gamma_gas_,gamma_oil_,gamma_wat_,Rsb_,Pb_,Tres_,Bob_,muob_))</f>
        <v>9.1399032133917635E-4</v>
      </c>
      <c r="V82" s="30">
        <f>[1]!PVT_compressibility_gas_1atm(B82,C82,[1]!encode_PVT(gamma_gas_,gamma_oil_,gamma_wat_,Rsb_,Pb_,Tres_,Bob_,muob_))</f>
        <v>4.3328788175448565E-3</v>
      </c>
    </row>
    <row r="83" spans="2:22" x14ac:dyDescent="0.25">
      <c r="B83" s="12">
        <v>200</v>
      </c>
      <c r="C83" s="12">
        <v>80</v>
      </c>
      <c r="D83" s="13">
        <f>[1]!PVT_rs_m3m3(B83,C83,[1]!encode_PVT(gamma_gas_,gamma_oil_,gamma_wat_,Rsb_,Pb_,Tres_,Bob_,muob_))</f>
        <v>114.7807921882343</v>
      </c>
      <c r="E83" s="14">
        <f>[1]!PVT_bo_m3m3(B83,C83,PVT_str_)</f>
        <v>1.355793665111761</v>
      </c>
      <c r="F83" s="46">
        <f>[1]!PVT_mu_oil_cP(B83,C83,[1]!encode_PVT(gamma_gas_,gamma_oil_,gamma_wat_,Rsb_,Pb_,Tres_,Bob_,muob_))</f>
        <v>0.91828840536155909</v>
      </c>
      <c r="G83" s="15">
        <f>[1]!PVT_mu_gas_cP(B83,C83,[1]!encode_PVT(gamma_gas_,gamma_oil_,gamma_wat_,Rsb_,Pb_,Tres_,Bob_,muob_))</f>
        <v>2.7149989853059744E-2</v>
      </c>
      <c r="H83" s="14">
        <f>[1]!PVT_mu_wat_cP(B83,C83,[1]!encode_PVT(gamma_gas_,gamma_oil_,gamma_wat_,Rsb_,Pb_,Tres_,Bob_,muob_))</f>
        <v>0.56604991083539313</v>
      </c>
      <c r="I83" s="46">
        <f>[1]!PVT_rho_gas_kgm3(B83,C83,[1]!encode_PVT(gamma_gas_,gamma_oil_,gamma_wat_,Rsb_,Pb_,Tres_,Bob_,muob_))</f>
        <v>241.00156608904609</v>
      </c>
      <c r="J83" s="46">
        <f>[1]!PVT_rho_wat_kgm3(B83,C83,[1]!encode_PVT(gamma_gas_,gamma_oil_,gamma_wat_,Rsb_,Pb_,Tres_,Bob_,muob_))</f>
        <v>1072.1908713232208</v>
      </c>
      <c r="K83" s="46">
        <f>[1]!PVT_rho_oil_kgm3(B83,C83,[1]!encode_PVT(gamma_gas_,gamma_oil_,gamma_wat_,Rsb_,Pb_,Tres_,Bob_,muob_))</f>
        <v>740.1175001667948</v>
      </c>
      <c r="L83" s="20">
        <f>[1]!PVT_bg_m3m3(B83,C83,[1]!encode_PVT(gamma_gas_,gamma_oil_,gamma_wat_,Rsb_,Pb_,Tres_,Bob_,muob_))</f>
        <v>4.5623354978271882E-3</v>
      </c>
      <c r="M83" s="20">
        <f>[1]!PVT_bw_m3m3(B83,C83,[1]!encode_PVT(gamma_gas_,gamma_oil_,gamma_wat_,Rsb_,Pb_,Tres_,Bob_,muob_))</f>
        <v>1.0259367333005356</v>
      </c>
      <c r="N83" s="15">
        <f>[1]!PVT_ST_liqgas_Nm(B83,C83,[1]!encode_PVT(gamma_gas_,gamma_oil_,gamma_wat_,Rsb_,Pb_,Tres_,Bob_,muob_))</f>
        <v>5.2619736922436943E-3</v>
      </c>
      <c r="O83" s="15">
        <f>[1]!PVT_ST_oilgas_Nm(B83,C83,[1]!encode_PVT(gamma_gas_,gamma_oil_,gamma_wat_,Rsb_,Pb_,Tres_,Bob_,muob_))</f>
        <v>5.2619736922436943E-3</v>
      </c>
      <c r="P83" s="20">
        <f>[1]!PVT_ST_watgas_Nm(B83,C83,[1]!encode_PVT(gamma_gas_,gamma_oil_,gamma_wat_,Rsb_,Pb_,Tres_,Bob_,muob_))</f>
        <v>4.073802778041128E-2</v>
      </c>
      <c r="Q83" s="29">
        <f>[1]!PVT_cp_oil_JkgC(B83,C83,[1]!encode_PVT(gamma_gas_,gamma_oil_,gamma_wat_,Rsb_,Pb_,Tres_,Bob_,muob_))</f>
        <v>2561.5</v>
      </c>
      <c r="R83" s="29">
        <f>[1]!PVT_cp_gas_JkgC(B83,C83,[1]!encode_PVT(gamma_gas_,gamma_oil_,gamma_wat_,Rsb_,Pb_,Tres_,Bob_,muob_))</f>
        <v>1456.0516587639254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3.5910581693392951E-5</v>
      </c>
      <c r="U83" s="30">
        <f>[1]!PVT_compressibility_oil_1atm(B83,C83,[1]!encode_PVT(gamma_gas_,gamma_oil_,gamma_wat_,Rsb_,Pb_,Tres_,Bob_,muob_))</f>
        <v>6.9563706128394768E-4</v>
      </c>
      <c r="V83" s="30">
        <f>[1]!PVT_compressibility_gas_1atm(B83,C83,[1]!encode_PVT(gamma_gas_,gamma_oil_,gamma_wat_,Rsb_,Pb_,Tres_,Bob_,muob_))</f>
        <v>3.4834166523360775E-3</v>
      </c>
    </row>
    <row r="84" spans="2:22" x14ac:dyDescent="0.25">
      <c r="B84" s="12">
        <v>220</v>
      </c>
      <c r="C84" s="12">
        <v>80</v>
      </c>
      <c r="D84" s="13">
        <f>[1]!PVT_rs_m3m3(B84,C84,[1]!encode_PVT(gamma_gas_,gamma_oil_,gamma_wat_,Rsb_,Pb_,Tres_,Bob_,muob_))</f>
        <v>120</v>
      </c>
      <c r="E84" s="14">
        <f>[1]!PVT_bo_m3m3(B84,C84,PVT_str_)</f>
        <v>1.3508323444499564</v>
      </c>
      <c r="F84" s="46">
        <f>[1]!PVT_mu_oil_cP(B84,C84,[1]!encode_PVT(gamma_gas_,gamma_oil_,gamma_wat_,Rsb_,Pb_,Tres_,Bob_,muob_))</f>
        <v>0.90609108577935238</v>
      </c>
      <c r="G84" s="15">
        <f>[1]!PVT_mu_gas_cP(B84,C84,[1]!encode_PVT(gamma_gas_,gamma_oil_,gamma_wat_,Rsb_,Pb_,Tres_,Bob_,muob_))</f>
        <v>2.9147599743131497E-2</v>
      </c>
      <c r="H84" s="14">
        <f>[1]!PVT_mu_wat_cP(B84,C84,[1]!encode_PVT(gamma_gas_,gamma_oil_,gamma_wat_,Rsb_,Pb_,Tres_,Bob_,muob_))</f>
        <v>0.57469340659682833</v>
      </c>
      <c r="I84" s="46">
        <f>[1]!PVT_rho_gas_kgm3(B84,C84,[1]!encode_PVT(gamma_gas_,gamma_oil_,gamma_wat_,Rsb_,Pb_,Tres_,Bob_,muob_))</f>
        <v>256.71064729823104</v>
      </c>
      <c r="J84" s="46">
        <f>[1]!PVT_rho_wat_kgm3(B84,C84,[1]!encode_PVT(gamma_gas_,gamma_oil_,gamma_wat_,Rsb_,Pb_,Tres_,Bob_,muob_))</f>
        <v>1072.912801451788</v>
      </c>
      <c r="K84" s="46">
        <f>[1]!PVT_rho_oil_kgm3(B84,C84,[1]!encode_PVT(gamma_gas_,gamma_oil_,gamma_wat_,Rsb_,Pb_,Tres_,Bob_,muob_))</f>
        <v>737.3549399990095</v>
      </c>
      <c r="L84" s="20">
        <f>[1]!PVT_bg_m3m3(B84,C84,[1]!encode_PVT(gamma_gas_,gamma_oil_,gamma_wat_,Rsb_,Pb_,Tres_,Bob_,muob_))</f>
        <v>4.2831491859495491E-3</v>
      </c>
      <c r="M84" s="20">
        <f>[1]!PVT_bw_m3m3(B84,C84,[1]!encode_PVT(gamma_gas_,gamma_oil_,gamma_wat_,Rsb_,Pb_,Tres_,Bob_,muob_))</f>
        <v>1.0252464119279401</v>
      </c>
      <c r="N84" s="15">
        <f>[1]!PVT_ST_liqgas_Nm(B84,C84,[1]!encode_PVT(gamma_gas_,gamma_oil_,gamma_wat_,Rsb_,Pb_,Tres_,Bob_,muob_))</f>
        <v>4.083018758290629E-3</v>
      </c>
      <c r="O84" s="15">
        <f>[1]!PVT_ST_oilgas_Nm(B84,C84,[1]!encode_PVT(gamma_gas_,gamma_oil_,gamma_wat_,Rsb_,Pb_,Tres_,Bob_,muob_))</f>
        <v>4.083018758290629E-3</v>
      </c>
      <c r="P84" s="20">
        <f>[1]!PVT_ST_watgas_Nm(B84,C84,[1]!encode_PVT(gamma_gas_,gamma_oil_,gamma_wat_,Rsb_,Pb_,Tres_,Bob_,muob_))</f>
        <v>3.8904514499428069E-2</v>
      </c>
      <c r="Q84" s="29">
        <f>[1]!PVT_cp_oil_JkgC(B84,C84,[1]!encode_PVT(gamma_gas_,gamma_oil_,gamma_wat_,Rsb_,Pb_,Tres_,Bob_,muob_))</f>
        <v>2561.5</v>
      </c>
      <c r="R84" s="29">
        <f>[1]!PVT_cp_gas_JkgC(B84,C84,[1]!encode_PVT(gamma_gas_,gamma_oil_,gamma_wat_,Rsb_,Pb_,Tres_,Bob_,muob_))</f>
        <v>1503.6454745372969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3.5727723254715326E-5</v>
      </c>
      <c r="U84" s="30">
        <f>[1]!PVT_compressibility_oil_1atm(B84,C84,[1]!encode_PVT(gamma_gas_,gamma_oil_,gamma_wat_,Rsb_,Pb_,Tres_,Bob_,muob_))</f>
        <v>1.9018282828282831E-4</v>
      </c>
      <c r="V84" s="30">
        <f>[1]!PVT_compressibility_gas_1atm(B84,C84,[1]!encode_PVT(gamma_gas_,gamma_oil_,gamma_wat_,Rsb_,Pb_,Tres_,Bob_,muob_))</f>
        <v>2.8616167448859095E-3</v>
      </c>
    </row>
    <row r="85" spans="2:22" x14ac:dyDescent="0.25">
      <c r="B85" s="12">
        <v>240</v>
      </c>
      <c r="C85" s="12">
        <v>80</v>
      </c>
      <c r="D85" s="13">
        <f>[1]!PVT_rs_m3m3(B85,C85,[1]!encode_PVT(gamma_gas_,gamma_oil_,gamma_wat_,Rsb_,Pb_,Tres_,Bob_,muob_))</f>
        <v>120</v>
      </c>
      <c r="E85" s="14">
        <f>[1]!PVT_bo_m3m3(B85,C85,PVT_str_)</f>
        <v>1.3467117819417511</v>
      </c>
      <c r="F85" s="46">
        <f>[1]!PVT_mu_oil_cP(B85,C85,[1]!encode_PVT(gamma_gas_,gamma_oil_,gamma_wat_,Rsb_,Pb_,Tres_,Bob_,muob_))</f>
        <v>0.9320416613499245</v>
      </c>
      <c r="G85" s="15">
        <f>[1]!PVT_mu_gas_cP(B85,C85,[1]!encode_PVT(gamma_gas_,gamma_oil_,gamma_wat_,Rsb_,Pb_,Tres_,Bob_,muob_))</f>
        <v>3.1055530887268586E-2</v>
      </c>
      <c r="H85" s="14">
        <f>[1]!PVT_mu_wat_cP(B85,C85,[1]!encode_PVT(gamma_gas_,gamma_oil_,gamma_wat_,Rsb_,Pb_,Tres_,Bob_,muob_))</f>
        <v>0.58360230310821137</v>
      </c>
      <c r="I85" s="46">
        <f>[1]!PVT_rho_gas_kgm3(B85,C85,[1]!encode_PVT(gamma_gas_,gamma_oil_,gamma_wat_,Rsb_,Pb_,Tres_,Bob_,muob_))</f>
        <v>270.51818172576708</v>
      </c>
      <c r="J85" s="46">
        <f>[1]!PVT_rho_wat_kgm3(B85,C85,[1]!encode_PVT(gamma_gas_,gamma_oil_,gamma_wat_,Rsb_,Pb_,Tres_,Bob_,muob_))</f>
        <v>1073.6833996118905</v>
      </c>
      <c r="K85" s="46">
        <f>[1]!PVT_rho_oil_kgm3(B85,C85,[1]!encode_PVT(gamma_gas_,gamma_oil_,gamma_wat_,Rsb_,Pb_,Tres_,Bob_,muob_))</f>
        <v>739.77207670800351</v>
      </c>
      <c r="L85" s="20">
        <f>[1]!PVT_bg_m3m3(B85,C85,[1]!encode_PVT(gamma_gas_,gamma_oil_,gamma_wat_,Rsb_,Pb_,Tres_,Bob_,muob_))</f>
        <v>4.0645327163799615E-3</v>
      </c>
      <c r="M85" s="20">
        <f>[1]!PVT_bw_m3m3(B85,C85,[1]!encode_PVT(gamma_gas_,gamma_oil_,gamma_wat_,Rsb_,Pb_,Tres_,Bob_,muob_))</f>
        <v>1.0245105776969472</v>
      </c>
      <c r="N85" s="15">
        <f>[1]!PVT_ST_liqgas_Nm(B85,C85,[1]!encode_PVT(gamma_gas_,gamma_oil_,gamma_wat_,Rsb_,Pb_,Tres_,Bob_,muob_))</f>
        <v>3.1682108569122563E-3</v>
      </c>
      <c r="O85" s="15">
        <f>[1]!PVT_ST_oilgas_Nm(B85,C85,[1]!encode_PVT(gamma_gas_,gamma_oil_,gamma_wat_,Rsb_,Pb_,Tres_,Bob_,muob_))</f>
        <v>3.1682108569122563E-3</v>
      </c>
      <c r="P85" s="20">
        <f>[1]!PVT_ST_watgas_Nm(B85,C85,[1]!encode_PVT(gamma_gas_,gamma_oil_,gamma_wat_,Rsb_,Pb_,Tres_,Bob_,muob_))</f>
        <v>3.7153522909717261E-2</v>
      </c>
      <c r="Q85" s="29">
        <f>[1]!PVT_cp_oil_JkgC(B85,C85,[1]!encode_PVT(gamma_gas_,gamma_oil_,gamma_wat_,Rsb_,Pb_,Tres_,Bob_,muob_))</f>
        <v>2561.5</v>
      </c>
      <c r="R85" s="29">
        <f>[1]!PVT_cp_gas_JkgC(B85,C85,[1]!encode_PVT(gamma_gas_,gamma_oil_,gamma_wat_,Rsb_,Pb_,Tres_,Bob_,muob_))</f>
        <v>1556.6158008161776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3.5546717629650001E-5</v>
      </c>
      <c r="U85" s="30">
        <f>[1]!PVT_compressibility_oil_1atm(B85,C85,[1]!encode_PVT(gamma_gas_,gamma_oil_,gamma_wat_,Rsb_,Pb_,Tres_,Bob_,muob_))</f>
        <v>1.743342592592593E-4</v>
      </c>
      <c r="V85" s="30">
        <f>[1]!PVT_compressibility_gas_1atm(B85,C85,[1]!encode_PVT(gamma_gas_,gamma_oil_,gamma_wat_,Rsb_,Pb_,Tres_,Bob_,muob_))</f>
        <v>2.398498224880996E-3</v>
      </c>
    </row>
    <row r="86" spans="2:22" x14ac:dyDescent="0.25">
      <c r="B86" s="12">
        <v>260</v>
      </c>
      <c r="C86" s="12">
        <v>80</v>
      </c>
      <c r="D86" s="13">
        <f>[1]!PVT_rs_m3m3(B86,C86,[1]!encode_PVT(gamma_gas_,gamma_oil_,gamma_wat_,Rsb_,Pb_,Tres_,Bob_,muob_))</f>
        <v>120</v>
      </c>
      <c r="E86" s="14">
        <f>[1]!PVT_bo_m3m3(B86,C86,PVT_str_)</f>
        <v>1.3432349711162719</v>
      </c>
      <c r="F86" s="46">
        <f>[1]!PVT_mu_oil_cP(B86,C86,[1]!encode_PVT(gamma_gas_,gamma_oil_,gamma_wat_,Rsb_,Pb_,Tres_,Bob_,muob_))</f>
        <v>0.96012684344625387</v>
      </c>
      <c r="G86" s="15">
        <f>[1]!PVT_mu_gas_cP(B86,C86,[1]!encode_PVT(gamma_gas_,gamma_oil_,gamma_wat_,Rsb_,Pb_,Tres_,Bob_,muob_))</f>
        <v>3.2877589940684453E-2</v>
      </c>
      <c r="H86" s="14">
        <f>[1]!PVT_mu_wat_cP(B86,C86,[1]!encode_PVT(gamma_gas_,gamma_oil_,gamma_wat_,Rsb_,Pb_,Tres_,Bob_,muob_))</f>
        <v>0.59277660036954249</v>
      </c>
      <c r="I86" s="46">
        <f>[1]!PVT_rho_gas_kgm3(B86,C86,[1]!encode_PVT(gamma_gas_,gamma_oil_,gamma_wat_,Rsb_,Pb_,Tres_,Bob_,muob_))</f>
        <v>282.76962009740339</v>
      </c>
      <c r="J86" s="46">
        <f>[1]!PVT_rho_wat_kgm3(B86,C86,[1]!encode_PVT(gamma_gas_,gamma_oil_,gamma_wat_,Rsb_,Pb_,Tres_,Bob_,muob_))</f>
        <v>1074.5028735256278</v>
      </c>
      <c r="K86" s="46">
        <f>[1]!PVT_rho_oil_kgm3(B86,C86,[1]!encode_PVT(gamma_gas_,gamma_oil_,gamma_wat_,Rsb_,Pb_,Tres_,Bob_,muob_))</f>
        <v>741.82353408580298</v>
      </c>
      <c r="L86" s="20">
        <f>[1]!PVT_bg_m3m3(B86,C86,[1]!encode_PVT(gamma_gas_,gamma_oil_,gamma_wat_,Rsb_,Pb_,Tres_,Bob_,muob_))</f>
        <v>3.8884304460332542E-3</v>
      </c>
      <c r="M86" s="20">
        <f>[1]!PVT_bw_m3m3(B86,C86,[1]!encode_PVT(gamma_gas_,gamma_oil_,gamma_wat_,Rsb_,Pb_,Tres_,Bob_,muob_))</f>
        <v>1.0237292306075569</v>
      </c>
      <c r="N86" s="15">
        <f>[1]!PVT_ST_liqgas_Nm(B86,C86,[1]!encode_PVT(gamma_gas_,gamma_oil_,gamma_wat_,Rsb_,Pb_,Tres_,Bob_,muob_))</f>
        <v>2.458367357111765E-3</v>
      </c>
      <c r="O86" s="15">
        <f>[1]!PVT_ST_oilgas_Nm(B86,C86,[1]!encode_PVT(gamma_gas_,gamma_oil_,gamma_wat_,Rsb_,Pb_,Tres_,Bob_,muob_))</f>
        <v>2.458367357111765E-3</v>
      </c>
      <c r="P86" s="20">
        <f>[1]!PVT_ST_watgas_Nm(B86,C86,[1]!encode_PVT(gamma_gas_,gamma_oil_,gamma_wat_,Rsb_,Pb_,Tres_,Bob_,muob_))</f>
        <v>3.5481338923357551E-2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1613.2707216995911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3.5367536799687554E-5</v>
      </c>
      <c r="U86" s="30">
        <f>[1]!PVT_compressibility_oil_1atm(B86,C86,[1]!encode_PVT(gamma_gas_,gamma_oil_,gamma_wat_,Rsb_,Pb_,Tres_,Bob_,muob_))</f>
        <v>1.6092393162393164E-4</v>
      </c>
      <c r="V86" s="30">
        <f>[1]!PVT_compressibility_gas_1atm(B86,C86,[1]!encode_PVT(gamma_gas_,gamma_oil_,gamma_wat_,Rsb_,Pb_,Tres_,Bob_,muob_))</f>
        <v>2.0455644724820237E-3</v>
      </c>
    </row>
    <row r="87" spans="2:22" x14ac:dyDescent="0.25">
      <c r="B87" s="12">
        <v>280</v>
      </c>
      <c r="C87" s="12">
        <v>80</v>
      </c>
      <c r="D87" s="13">
        <f>[1]!PVT_rs_m3m3(B87,C87,[1]!encode_PVT(gamma_gas_,gamma_oil_,gamma_wat_,Rsb_,Pb_,Tres_,Bob_,muob_))</f>
        <v>120</v>
      </c>
      <c r="E87" s="14">
        <f>[1]!PVT_bo_m3m3(B87,C87,PVT_str_)</f>
        <v>1.3402619926697708</v>
      </c>
      <c r="F87" s="46">
        <f>[1]!PVT_mu_oil_cP(B87,C87,[1]!encode_PVT(gamma_gas_,gamma_oil_,gamma_wat_,Rsb_,Pb_,Tres_,Bob_,muob_))</f>
        <v>0.99017928933969779</v>
      </c>
      <c r="G87" s="15">
        <f>[1]!PVT_mu_gas_cP(B87,C87,[1]!encode_PVT(gamma_gas_,gamma_oil_,gamma_wat_,Rsb_,Pb_,Tres_,Bob_,muob_))</f>
        <v>3.4619250690228753E-2</v>
      </c>
      <c r="H87" s="14">
        <f>[1]!PVT_mu_wat_cP(B87,C87,[1]!encode_PVT(gamma_gas_,gamma_oil_,gamma_wat_,Rsb_,Pb_,Tres_,Bob_,muob_))</f>
        <v>0.60221629838082136</v>
      </c>
      <c r="I87" s="46">
        <f>[1]!PVT_rho_gas_kgm3(B87,C87,[1]!encode_PVT(gamma_gas_,gamma_oil_,gamma_wat_,Rsb_,Pb_,Tres_,Bob_,muob_))</f>
        <v>293.73624421676334</v>
      </c>
      <c r="J87" s="46">
        <f>[1]!PVT_rho_wat_kgm3(B87,C87,[1]!encode_PVT(gamma_gas_,gamma_oil_,gamma_wat_,Rsb_,Pb_,Tres_,Bob_,muob_))</f>
        <v>1075.3714445793128</v>
      </c>
      <c r="K87" s="46">
        <f>[1]!PVT_rho_oil_kgm3(B87,C87,[1]!encode_PVT(gamma_gas_,gamma_oil_,gamma_wat_,Rsb_,Pb_,Tres_,Bob_,muob_))</f>
        <v>743.58645341356839</v>
      </c>
      <c r="L87" s="20">
        <f>[1]!PVT_bg_m3m3(B87,C87,[1]!encode_PVT(gamma_gas_,gamma_oil_,gamma_wat_,Rsb_,Pb_,Tres_,Bob_,muob_))</f>
        <v>3.7432561410045105E-3</v>
      </c>
      <c r="M87" s="20">
        <f>[1]!PVT_bw_m3m3(B87,C87,[1]!encode_PVT(gamma_gas_,gamma_oil_,gamma_wat_,Rsb_,Pb_,Tres_,Bob_,muob_))</f>
        <v>1.0229023706597695</v>
      </c>
      <c r="N87" s="15">
        <f>[1]!PVT_ST_liqgas_Nm(B87,C87,[1]!encode_PVT(gamma_gas_,gamma_oil_,gamma_wat_,Rsb_,Pb_,Tres_,Bob_,muob_))</f>
        <v>1.9075656057825508E-3</v>
      </c>
      <c r="O87" s="15">
        <f>[1]!PVT_ST_oilgas_Nm(B87,C87,[1]!encode_PVT(gamma_gas_,gamma_oil_,gamma_wat_,Rsb_,Pb_,Tres_,Bob_,muob_))</f>
        <v>1.9075656057825508E-3</v>
      </c>
      <c r="P87" s="20">
        <f>[1]!PVT_ST_watgas_Nm(B87,C87,[1]!encode_PVT(gamma_gas_,gamma_oil_,gamma_wat_,Rsb_,Pb_,Tres_,Bob_,muob_))</f>
        <v>3.3884415613920256E-2</v>
      </c>
      <c r="Q87" s="29">
        <f>[1]!PVT_cp_oil_JkgC(B87,C87,[1]!encode_PVT(gamma_gas_,gamma_oil_,gamma_wat_,Rsb_,Pb_,Tres_,Bob_,muob_))</f>
        <v>2561.5</v>
      </c>
      <c r="R87" s="29">
        <f>[1]!PVT_cp_gas_JkgC(B87,C87,[1]!encode_PVT(gamma_gas_,gamma_oil_,gamma_wat_,Rsb_,Pb_,Tres_,Bob_,muob_))</f>
        <v>1672.5039274812323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3.5190153308418342E-5</v>
      </c>
      <c r="U87" s="30">
        <f>[1]!PVT_compressibility_oil_1atm(B87,C87,[1]!encode_PVT(gamma_gas_,gamma_oil_,gamma_wat_,Rsb_,Pb_,Tres_,Bob_,muob_))</f>
        <v>1.4942936507936509E-4</v>
      </c>
      <c r="V87" s="30">
        <f>[1]!PVT_compressibility_gas_1atm(B87,C87,[1]!encode_PVT(gamma_gas_,gamma_oil_,gamma_wat_,Rsb_,Pb_,Tres_,Bob_,muob_))</f>
        <v>1.7698379101511389E-3</v>
      </c>
    </row>
    <row r="88" spans="2:22" x14ac:dyDescent="0.25">
      <c r="B88" s="12">
        <v>300</v>
      </c>
      <c r="C88" s="12">
        <v>80</v>
      </c>
      <c r="D88" s="13">
        <f>[1]!PVT_rs_m3m3(B88,C88,[1]!encode_PVT(gamma_gas_,gamma_oil_,gamma_wat_,Rsb_,Pb_,Tres_,Bob_,muob_))</f>
        <v>120</v>
      </c>
      <c r="E88" s="14">
        <f>[1]!PVT_bo_m3m3(B88,C88,PVT_str_)</f>
        <v>1.3376907344313524</v>
      </c>
      <c r="F88" s="46">
        <f>[1]!PVT_mu_oil_cP(B88,C88,[1]!encode_PVT(gamma_gas_,gamma_oil_,gamma_wat_,Rsb_,Pb_,Tres_,Bob_,muob_))</f>
        <v>1.0220481154230805</v>
      </c>
      <c r="G88" s="15">
        <f>[1]!PVT_mu_gas_cP(B88,C88,[1]!encode_PVT(gamma_gas_,gamma_oil_,gamma_wat_,Rsb_,Pb_,Tres_,Bob_,muob_))</f>
        <v>3.6285578432125411E-2</v>
      </c>
      <c r="H88" s="14">
        <f>[1]!PVT_mu_wat_cP(B88,C88,[1]!encode_PVT(gamma_gas_,gamma_oil_,gamma_wat_,Rsb_,Pb_,Tres_,Bob_,muob_))</f>
        <v>0.6119213971420483</v>
      </c>
      <c r="I88" s="46">
        <f>[1]!PVT_rho_gas_kgm3(B88,C88,[1]!encode_PVT(gamma_gas_,gamma_oil_,gamma_wat_,Rsb_,Pb_,Tres_,Bob_,muob_))</f>
        <v>303.62618263772396</v>
      </c>
      <c r="J88" s="46">
        <f>[1]!PVT_rho_wat_kgm3(B88,C88,[1]!encode_PVT(gamma_gas_,gamma_oil_,gamma_wat_,Rsb_,Pb_,Tres_,Bob_,muob_))</f>
        <v>1076.2893479742904</v>
      </c>
      <c r="K88" s="46">
        <f>[1]!PVT_rho_oil_kgm3(B88,C88,[1]!encode_PVT(gamma_gas_,gamma_oil_,gamma_wat_,Rsb_,Pb_,Tres_,Bob_,muob_))</f>
        <v>745.11770532947605</v>
      </c>
      <c r="L88" s="20">
        <f>[1]!PVT_bg_m3m3(B88,C88,[1]!encode_PVT(gamma_gas_,gamma_oil_,gamma_wat_,Rsb_,Pb_,Tres_,Bob_,muob_))</f>
        <v>3.6213280108057101E-3</v>
      </c>
      <c r="M88" s="20">
        <f>[1]!PVT_bw_m3m3(B88,C88,[1]!encode_PVT(gamma_gas_,gamma_oil_,gamma_wat_,Rsb_,Pb_,Tres_,Bob_,muob_))</f>
        <v>1.0220299978535847</v>
      </c>
      <c r="N88" s="15">
        <f>[1]!PVT_ST_liqgas_Nm(B88,C88,[1]!encode_PVT(gamma_gas_,gamma_oil_,gamma_wat_,Rsb_,Pb_,Tres_,Bob_,muob_))</f>
        <v>1.4801720051472031E-3</v>
      </c>
      <c r="O88" s="15">
        <f>[1]!PVT_ST_oilgas_Nm(B88,C88,[1]!encode_PVT(gamma_gas_,gamma_oil_,gamma_wat_,Rsb_,Pb_,Tres_,Bob_,muob_))</f>
        <v>1.4801720051472031E-3</v>
      </c>
      <c r="P88" s="20">
        <f>[1]!PVT_ST_watgas_Nm(B88,C88,[1]!encode_PVT(gamma_gas_,gamma_oil_,gamma_wat_,Rsb_,Pb_,Tres_,Bob_,muob_))</f>
        <v>3.2359365692962827E-2</v>
      </c>
      <c r="Q88" s="29">
        <f>[1]!PVT_cp_oil_JkgC(B88,C88,[1]!encode_PVT(gamma_gas_,gamma_oil_,gamma_wat_,Rsb_,Pb_,Tres_,Bob_,muob_))</f>
        <v>2561.5</v>
      </c>
      <c r="R88" s="29">
        <f>[1]!PVT_cp_gas_JkgC(B88,C88,[1]!encode_PVT(gamma_gas_,gamma_oil_,gamma_wat_,Rsb_,Pb_,Tres_,Bob_,muob_))</f>
        <v>1733.5991597636048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3.5014540247506962E-5</v>
      </c>
      <c r="U88" s="30">
        <f>[1]!PVT_compressibility_oil_1atm(B88,C88,[1]!encode_PVT(gamma_gas_,gamma_oil_,gamma_wat_,Rsb_,Pb_,Tres_,Bob_,muob_))</f>
        <v>1.3946740740740742E-4</v>
      </c>
      <c r="V88" s="30">
        <f>[1]!PVT_compressibility_gas_1atm(B88,C88,[1]!encode_PVT(gamma_gas_,gamma_oil_,gamma_wat_,Rsb_,Pb_,Tres_,Bob_,muob_))</f>
        <v>1.5492036754003349E-3</v>
      </c>
    </row>
    <row r="89" spans="2:22" x14ac:dyDescent="0.25">
      <c r="B89" s="12">
        <v>320</v>
      </c>
      <c r="C89" s="12">
        <v>80</v>
      </c>
      <c r="D89" s="13">
        <f>[1]!PVT_rs_m3m3(B89,C89,[1]!encode_PVT(gamma_gas_,gamma_oil_,gamma_wat_,Rsb_,Pb_,Tres_,Bob_,muob_))</f>
        <v>120</v>
      </c>
      <c r="E89" s="14">
        <f>[1]!PVT_bo_m3m3(B89,C89,PVT_str_)</f>
        <v>1.3354449303101192</v>
      </c>
      <c r="F89" s="46">
        <f>[1]!PVT_mu_oil_cP(B89,C89,[1]!encode_PVT(gamma_gas_,gamma_oil_,gamma_wat_,Rsb_,Pb_,Tres_,Bob_,muob_))</f>
        <v>1.0555938439503671</v>
      </c>
      <c r="G89" s="15">
        <f>[1]!PVT_mu_gas_cP(B89,C89,[1]!encode_PVT(gamma_gas_,gamma_oil_,gamma_wat_,Rsb_,Pb_,Tres_,Bob_,muob_))</f>
        <v>3.7880656112842734E-2</v>
      </c>
      <c r="H89" s="14">
        <f>[1]!PVT_mu_wat_cP(B89,C89,[1]!encode_PVT(gamma_gas_,gamma_oil_,gamma_wat_,Rsb_,Pb_,Tres_,Bob_,muob_))</f>
        <v>0.62189189665322298</v>
      </c>
      <c r="I89" s="46">
        <f>[1]!PVT_rho_gas_kgm3(B89,C89,[1]!encode_PVT(gamma_gas_,gamma_oil_,gamma_wat_,Rsb_,Pb_,Tres_,Bob_,muob_))</f>
        <v>312.59920396126927</v>
      </c>
      <c r="J89" s="46">
        <f>[1]!PVT_rho_wat_kgm3(B89,C89,[1]!encode_PVT(gamma_gas_,gamma_oil_,gamma_wat_,Rsb_,Pb_,Tres_,Bob_,muob_))</f>
        <v>1077.2568328877053</v>
      </c>
      <c r="K89" s="46">
        <f>[1]!PVT_rho_oil_kgm3(B89,C89,[1]!encode_PVT(gamma_gas_,gamma_oil_,gamma_wat_,Rsb_,Pb_,Tres_,Bob_,muob_))</f>
        <v>746.46013720481847</v>
      </c>
      <c r="L89" s="20">
        <f>[1]!PVT_bg_m3m3(B89,C89,[1]!encode_PVT(gamma_gas_,gamma_oil_,gamma_wat_,Rsb_,Pb_,Tres_,Bob_,muob_))</f>
        <v>3.5173793984972228E-3</v>
      </c>
      <c r="M89" s="20">
        <f>[1]!PVT_bw_m3m3(B89,C89,[1]!encode_PVT(gamma_gas_,gamma_oil_,gamma_wat_,Rsb_,Pb_,Tres_,Bob_,muob_))</f>
        <v>1.0211121121890026</v>
      </c>
      <c r="N89" s="15">
        <f>[1]!PVT_ST_liqgas_Nm(B89,C89,[1]!encode_PVT(gamma_gas_,gamma_oil_,gamma_wat_,Rsb_,Pb_,Tres_,Bob_,muob_))</f>
        <v>1.1485367308888457E-3</v>
      </c>
      <c r="O89" s="15">
        <f>[1]!PVT_ST_oilgas_Nm(B89,C89,[1]!encode_PVT(gamma_gas_,gamma_oil_,gamma_wat_,Rsb_,Pb_,Tres_,Bob_,muob_))</f>
        <v>1.1485367308888457E-3</v>
      </c>
      <c r="P89" s="20">
        <f>[1]!PVT_ST_watgas_Nm(B89,C89,[1]!encode_PVT(gamma_gas_,gamma_oil_,gamma_wat_,Rsb_,Pb_,Tres_,Bob_,muob_))</f>
        <v>3.0902954325135904E-2</v>
      </c>
      <c r="Q89" s="29">
        <f>[1]!PVT_cp_oil_JkgC(B89,C89,[1]!encode_PVT(gamma_gas_,gamma_oil_,gamma_wat_,Rsb_,Pb_,Tres_,Bob_,muob_))</f>
        <v>2561.5</v>
      </c>
      <c r="R89" s="29">
        <f>[1]!PVT_cp_gas_JkgC(B89,C89,[1]!encode_PVT(gamma_gas_,gamma_oil_,gamma_wat_,Rsb_,Pb_,Tres_,Bob_,muob_))</f>
        <v>1796.0927634973086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3.4840671243084599E-5</v>
      </c>
      <c r="U89" s="30">
        <f>[1]!PVT_compressibility_oil_1atm(B89,C89,[1]!encode_PVT(gamma_gas_,gamma_oil_,gamma_wat_,Rsb_,Pb_,Tres_,Bob_,muob_))</f>
        <v>1.3075069444444445E-4</v>
      </c>
      <c r="V89" s="30">
        <f>[1]!PVT_compressibility_gas_1atm(B89,C89,[1]!encode_PVT(gamma_gas_,gamma_oil_,gamma_wat_,Rsb_,Pb_,Tres_,Bob_,muob_))</f>
        <v>1.3688452668734574E-3</v>
      </c>
    </row>
    <row r="90" spans="2:22" x14ac:dyDescent="0.25">
      <c r="B90" s="12">
        <v>340</v>
      </c>
      <c r="C90" s="12">
        <v>80</v>
      </c>
      <c r="D90" s="13">
        <f>[1]!PVT_rs_m3m3(B90,C90,[1]!encode_PVT(gamma_gas_,gamma_oil_,gamma_wat_,Rsb_,Pb_,Tres_,Bob_,muob_))</f>
        <v>120</v>
      </c>
      <c r="E90" s="14">
        <f>[1]!PVT_bo_m3m3(B90,C90,PVT_str_)</f>
        <v>1.333466469777064</v>
      </c>
      <c r="F90" s="46">
        <f>[1]!PVT_mu_oil_cP(B90,C90,[1]!encode_PVT(gamma_gas_,gamma_oil_,gamma_wat_,Rsb_,Pb_,Tres_,Bob_,muob_))</f>
        <v>1.0906847122909555</v>
      </c>
      <c r="G90" s="15">
        <f>[1]!PVT_mu_gas_cP(B90,C90,[1]!encode_PVT(gamma_gas_,gamma_oil_,gamma_wat_,Rsb_,Pb_,Tres_,Bob_,muob_))</f>
        <v>3.9407689305847995E-2</v>
      </c>
      <c r="H90" s="14">
        <f>[1]!PVT_mu_wat_cP(B90,C90,[1]!encode_PVT(gamma_gas_,gamma_oil_,gamma_wat_,Rsb_,Pb_,Tres_,Bob_,muob_))</f>
        <v>0.63212779691434562</v>
      </c>
      <c r="I90" s="46">
        <f>[1]!PVT_rho_gas_kgm3(B90,C90,[1]!encode_PVT(gamma_gas_,gamma_oil_,gamma_wat_,Rsb_,Pb_,Tres_,Bob_,muob_))</f>
        <v>320.77990474698964</v>
      </c>
      <c r="J90" s="46">
        <f>[1]!PVT_rho_wat_kgm3(B90,C90,[1]!encode_PVT(gamma_gas_,gamma_oil_,gamma_wat_,Rsb_,Pb_,Tres_,Bob_,muob_))</f>
        <v>1078.2741626434267</v>
      </c>
      <c r="K90" s="46">
        <f>[1]!PVT_rho_oil_kgm3(B90,C90,[1]!encode_PVT(gamma_gas_,gamma_oil_,gamma_wat_,Rsb_,Pb_,Tres_,Bob_,muob_))</f>
        <v>747.64664428203025</v>
      </c>
      <c r="L90" s="20">
        <f>[1]!PVT_bg_m3m3(B90,C90,[1]!encode_PVT(gamma_gas_,gamma_oil_,gamma_wat_,Rsb_,Pb_,Tres_,Bob_,muob_))</f>
        <v>3.4276773068663323E-3</v>
      </c>
      <c r="M90" s="20">
        <f>[1]!PVT_bw_m3m3(B90,C90,[1]!encode_PVT(gamma_gas_,gamma_oil_,gamma_wat_,Rsb_,Pb_,Tres_,Bob_,muob_))</f>
        <v>1.0201487136660232</v>
      </c>
      <c r="N90" s="15">
        <f>[1]!PVT_ST_liqgas_Nm(B90,C90,[1]!encode_PVT(gamma_gas_,gamma_oil_,gamma_wat_,Rsb_,Pb_,Tres_,Bob_,muob_))</f>
        <v>8.9120495294710614E-4</v>
      </c>
      <c r="O90" s="15">
        <f>[1]!PVT_ST_oilgas_Nm(B90,C90,[1]!encode_PVT(gamma_gas_,gamma_oil_,gamma_wat_,Rsb_,Pb_,Tres_,Bob_,muob_))</f>
        <v>8.9120495294710614E-4</v>
      </c>
      <c r="P90" s="20">
        <f>[1]!PVT_ST_watgas_Nm(B90,C90,[1]!encode_PVT(gamma_gas_,gamma_oil_,gamma_wat_,Rsb_,Pb_,Tres_,Bob_,muob_))</f>
        <v>2.9512092266663854E-2</v>
      </c>
      <c r="Q90" s="29">
        <f>[1]!PVT_cp_oil_JkgC(B90,C90,[1]!encode_PVT(gamma_gas_,gamma_oil_,gamma_wat_,Rsb_,Pb_,Tres_,Bob_,muob_))</f>
        <v>2561.5</v>
      </c>
      <c r="R90" s="29">
        <f>[1]!PVT_cp_gas_JkgC(B90,C90,[1]!encode_PVT(gamma_gas_,gamma_oil_,gamma_wat_,Rsb_,Pb_,Tres_,Bob_,muob_))</f>
        <v>1859.6808350175158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3.4668520442544787E-5</v>
      </c>
      <c r="U90" s="30">
        <f>[1]!PVT_compressibility_oil_1atm(B90,C90,[1]!encode_PVT(gamma_gas_,gamma_oil_,gamma_wat_,Rsb_,Pb_,Tres_,Bob_,muob_))</f>
        <v>1.2305947712418303E-4</v>
      </c>
      <c r="V90" s="30">
        <f>[1]!PVT_compressibility_gas_1atm(B90,C90,[1]!encode_PVT(gamma_gas_,gamma_oil_,gamma_wat_,Rsb_,Pb_,Tres_,Bob_,muob_))</f>
        <v>1.2187550032950539E-3</v>
      </c>
    </row>
    <row r="91" spans="2:22" x14ac:dyDescent="0.25">
      <c r="B91" s="12">
        <v>360</v>
      </c>
      <c r="C91" s="12">
        <v>80</v>
      </c>
      <c r="D91" s="13">
        <f>[1]!PVT_rs_m3m3(B91,C91,[1]!encode_PVT(gamma_gas_,gamma_oil_,gamma_wat_,Rsb_,Pb_,Tres_,Bob_,muob_))</f>
        <v>120</v>
      </c>
      <c r="E91" s="14">
        <f>[1]!PVT_bo_m3m3(B91,C91,PVT_str_)</f>
        <v>1.3317102989933356</v>
      </c>
      <c r="F91" s="46">
        <f>[1]!PVT_mu_oil_cP(B91,C91,[1]!encode_PVT(gamma_gas_,gamma_oil_,gamma_wat_,Rsb_,Pb_,Tres_,Bob_,muob_))</f>
        <v>1.1271939738829215</v>
      </c>
      <c r="G91" s="15">
        <f>[1]!PVT_mu_gas_cP(B91,C91,[1]!encode_PVT(gamma_gas_,gamma_oil_,gamma_wat_,Rsb_,Pb_,Tres_,Bob_,muob_))</f>
        <v>4.0869339901965229E-2</v>
      </c>
      <c r="H91" s="14">
        <f>[1]!PVT_mu_wat_cP(B91,C91,[1]!encode_PVT(gamma_gas_,gamma_oil_,gamma_wat_,Rsb_,Pb_,Tres_,Bob_,muob_))</f>
        <v>0.64262909792541612</v>
      </c>
      <c r="I91" s="46">
        <f>[1]!PVT_rho_gas_kgm3(B91,C91,[1]!encode_PVT(gamma_gas_,gamma_oil_,gamma_wat_,Rsb_,Pb_,Tres_,Bob_,muob_))</f>
        <v>328.26790395337974</v>
      </c>
      <c r="J91" s="46">
        <f>[1]!PVT_rho_wat_kgm3(B91,C91,[1]!encode_PVT(gamma_gas_,gamma_oil_,gamma_wat_,Rsb_,Pb_,Tres_,Bob_,muob_))</f>
        <v>1079.3416148933502</v>
      </c>
      <c r="K91" s="46">
        <f>[1]!PVT_rho_oil_kgm3(B91,C91,[1]!encode_PVT(gamma_gas_,gamma_oil_,gamma_wat_,Rsb_,Pb_,Tres_,Bob_,muob_))</f>
        <v>748.70290042716317</v>
      </c>
      <c r="L91" s="20">
        <f>[1]!PVT_bg_m3m3(B91,C91,[1]!encode_PVT(gamma_gas_,gamma_oil_,gamma_wat_,Rsb_,Pb_,Tres_,Bob_,muob_))</f>
        <v>3.3494898123093814E-3</v>
      </c>
      <c r="M91" s="20">
        <f>[1]!PVT_bw_m3m3(B91,C91,[1]!encode_PVT(gamma_gas_,gamma_oil_,gamma_wat_,Rsb_,Pb_,Tres_,Bob_,muob_))</f>
        <v>1.0191398022846465</v>
      </c>
      <c r="N91" s="15">
        <f>[1]!PVT_ST_liqgas_Nm(B91,C91,[1]!encode_PVT(gamma_gas_,gamma_oil_,gamma_wat_,Rsb_,Pb_,Tres_,Bob_,muob_))</f>
        <v>6.9152883560179268E-4</v>
      </c>
      <c r="O91" s="15">
        <f>[1]!PVT_ST_oilgas_Nm(B91,C91,[1]!encode_PVT(gamma_gas_,gamma_oil_,gamma_wat_,Rsb_,Pb_,Tres_,Bob_,muob_))</f>
        <v>6.9152883560179268E-4</v>
      </c>
      <c r="P91" s="20">
        <f>[1]!PVT_ST_watgas_Nm(B91,C91,[1]!encode_PVT(gamma_gas_,gamma_oil_,gamma_wat_,Rsb_,Pb_,Tres_,Bob_,muob_))</f>
        <v>2.8183829312644539E-2</v>
      </c>
      <c r="Q91" s="29">
        <f>[1]!PVT_cp_oil_JkgC(B91,C91,[1]!encode_PVT(gamma_gas_,gamma_oil_,gamma_wat_,Rsb_,Pb_,Tres_,Bob_,muob_))</f>
        <v>2561.5</v>
      </c>
      <c r="R91" s="29">
        <f>[1]!PVT_cp_gas_JkgC(B91,C91,[1]!encode_PVT(gamma_gas_,gamma_oil_,gamma_wat_,Rsb_,Pb_,Tres_,Bob_,muob_))</f>
        <v>1924.1580017926196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3.4498062501728742E-5</v>
      </c>
      <c r="U91" s="30">
        <f>[1]!PVT_compressibility_oil_1atm(B91,C91,[1]!encode_PVT(gamma_gas_,gamma_oil_,gamma_wat_,Rsb_,Pb_,Tres_,Bob_,muob_))</f>
        <v>1.1622283950617286E-4</v>
      </c>
      <c r="V91" s="30">
        <f>[1]!PVT_compressibility_gas_1atm(B91,C91,[1]!encode_PVT(gamma_gas_,gamma_oil_,gamma_wat_,Rsb_,Pb_,Tres_,Bob_,muob_))</f>
        <v>1.0920730564827666E-3</v>
      </c>
    </row>
    <row r="92" spans="2:22" x14ac:dyDescent="0.25">
      <c r="B92" s="12">
        <v>380</v>
      </c>
      <c r="C92" s="12">
        <v>80</v>
      </c>
      <c r="D92" s="13">
        <f>[1]!PVT_rs_m3m3(B92,C92,[1]!encode_PVT(gamma_gas_,gamma_oil_,gamma_wat_,Rsb_,Pb_,Tres_,Bob_,muob_))</f>
        <v>120</v>
      </c>
      <c r="E92" s="14">
        <f>[1]!PVT_bo_m3m3(B92,C92,PVT_str_)</f>
        <v>1.3301409488771978</v>
      </c>
      <c r="F92" s="46">
        <f>[1]!PVT_mu_oil_cP(B92,C92,[1]!encode_PVT(gamma_gas_,gamma_oil_,gamma_wat_,Rsb_,Pb_,Tres_,Bob_,muob_))</f>
        <v>1.1649979374890773</v>
      </c>
      <c r="G92" s="15">
        <f>[1]!PVT_mu_gas_cP(B92,C92,[1]!encode_PVT(gamma_gas_,gamma_oil_,gamma_wat_,Rsb_,Pb_,Tres_,Bob_,muob_))</f>
        <v>4.2268075916358429E-2</v>
      </c>
      <c r="H92" s="14">
        <f>[1]!PVT_mu_wat_cP(B92,C92,[1]!encode_PVT(gamma_gas_,gamma_oil_,gamma_wat_,Rsb_,Pb_,Tres_,Bob_,muob_))</f>
        <v>0.65339579968643458</v>
      </c>
      <c r="I92" s="46">
        <f>[1]!PVT_rho_gas_kgm3(B92,C92,[1]!encode_PVT(gamma_gas_,gamma_oil_,gamma_wat_,Rsb_,Pb_,Tres_,Bob_,muob_))</f>
        <v>335.14519561162319</v>
      </c>
      <c r="J92" s="46">
        <f>[1]!PVT_rho_wat_kgm3(B92,C92,[1]!encode_PVT(gamma_gas_,gamma_oil_,gamma_wat_,Rsb_,Pb_,Tres_,Bob_,muob_))</f>
        <v>1080.4594818093117</v>
      </c>
      <c r="K92" s="46">
        <f>[1]!PVT_rho_oil_kgm3(B92,C92,[1]!encode_PVT(gamma_gas_,gamma_oil_,gamma_wat_,Rsb_,Pb_,Tres_,Bob_,muob_))</f>
        <v>749.64923655264624</v>
      </c>
      <c r="L92" s="20">
        <f>[1]!PVT_bg_m3m3(B92,C92,[1]!encode_PVT(gamma_gas_,gamma_oil_,gamma_wat_,Rsb_,Pb_,Tres_,Bob_,muob_))</f>
        <v>3.2807571595750099E-3</v>
      </c>
      <c r="M92" s="20">
        <f>[1]!PVT_bw_m3m3(B92,C92,[1]!encode_PVT(gamma_gas_,gamma_oil_,gamma_wat_,Rsb_,Pb_,Tres_,Bob_,muob_))</f>
        <v>1.0180853780448724</v>
      </c>
      <c r="N92" s="15">
        <f>[1]!PVT_ST_liqgas_Nm(B92,C92,[1]!encode_PVT(gamma_gas_,gamma_oil_,gamma_wat_,Rsb_,Pb_,Tres_,Bob_,muob_))</f>
        <v>5.3659052150392835E-4</v>
      </c>
      <c r="O92" s="15">
        <f>[1]!PVT_ST_oilgas_Nm(B92,C92,[1]!encode_PVT(gamma_gas_,gamma_oil_,gamma_wat_,Rsb_,Pb_,Tres_,Bob_,muob_))</f>
        <v>5.3659052150392835E-4</v>
      </c>
      <c r="P92" s="20">
        <f>[1]!PVT_ST_watgas_Nm(B92,C92,[1]!encode_PVT(gamma_gas_,gamma_oil_,gamma_wat_,Rsb_,Pb_,Tres_,Bob_,muob_))</f>
        <v>2.6915348039269153E-2</v>
      </c>
      <c r="Q92" s="29">
        <f>[1]!PVT_cp_oil_JkgC(B92,C92,[1]!encode_PVT(gamma_gas_,gamma_oil_,gamma_wat_,Rsb_,Pb_,Tres_,Bob_,muob_))</f>
        <v>2561.5</v>
      </c>
      <c r="R92" s="29">
        <f>[1]!PVT_cp_gas_JkgC(B92,C92,[1]!encode_PVT(gamma_gas_,gamma_oil_,gamma_wat_,Rsb_,Pb_,Tres_,Bob_,muob_))</f>
        <v>1989.3777260142526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3.4329272572486828E-5</v>
      </c>
      <c r="U92" s="30">
        <f>[1]!PVT_compressibility_oil_1atm(B92,C92,[1]!encode_PVT(gamma_gas_,gamma_oil_,gamma_wat_,Rsb_,Pb_,Tres_,Bob_,muob_))</f>
        <v>1.1010584795321638E-4</v>
      </c>
      <c r="V92" s="30">
        <f>[1]!PVT_compressibility_gas_1atm(B92,C92,[1]!encode_PVT(gamma_gas_,gamma_oil_,gamma_wat_,Rsb_,Pb_,Tres_,Bob_,muob_))</f>
        <v>9.8400370785262981E-4</v>
      </c>
    </row>
    <row r="93" spans="2:22" x14ac:dyDescent="0.25">
      <c r="B93" s="12">
        <v>400</v>
      </c>
      <c r="C93" s="12">
        <v>80</v>
      </c>
      <c r="D93" s="13">
        <f>[1]!PVT_rs_m3m3(B93,C93,[1]!encode_PVT(gamma_gas_,gamma_oil_,gamma_wat_,Rsb_,Pb_,Tres_,Bob_,muob_))</f>
        <v>120</v>
      </c>
      <c r="E93" s="14">
        <f>[1]!PVT_bo_m3m3(B93,C93,PVT_str_)</f>
        <v>1.3287301150684432</v>
      </c>
      <c r="F93" s="46">
        <f>[1]!PVT_mu_oil_cP(B93,C93,[1]!encode_PVT(gamma_gas_,gamma_oil_,gamma_wat_,Rsb_,Pb_,Tres_,Bob_,muob_))</f>
        <v>1.2039745671498669</v>
      </c>
      <c r="G93" s="15">
        <f>[1]!PVT_mu_gas_cP(B93,C93,[1]!encode_PVT(gamma_gas_,gamma_oil_,gamma_wat_,Rsb_,Pb_,Tres_,Bob_,muob_))</f>
        <v>4.3606453351793889E-2</v>
      </c>
      <c r="H93" s="14">
        <f>[1]!PVT_mu_wat_cP(B93,C93,[1]!encode_PVT(gamma_gas_,gamma_oil_,gamma_wat_,Rsb_,Pb_,Tres_,Bob_,muob_))</f>
        <v>0.664427902197401</v>
      </c>
      <c r="I93" s="46">
        <f>[1]!PVT_rho_gas_kgm3(B93,C93,[1]!encode_PVT(gamma_gas_,gamma_oil_,gamma_wat_,Rsb_,Pb_,Tres_,Bob_,muob_))</f>
        <v>341.48125031666325</v>
      </c>
      <c r="J93" s="46">
        <f>[1]!PVT_rho_wat_kgm3(B93,C93,[1]!encode_PVT(gamma_gas_,gamma_oil_,gamma_wat_,Rsb_,Pb_,Tres_,Bob_,muob_))</f>
        <v>1081.6280702858651</v>
      </c>
      <c r="K93" s="46">
        <f>[1]!PVT_rho_oil_kgm3(B93,C93,[1]!encode_PVT(gamma_gas_,gamma_oil_,gamma_wat_,Rsb_,Pb_,Tres_,Bob_,muob_))</f>
        <v>750.50196172057997</v>
      </c>
      <c r="L93" s="20">
        <f>[1]!PVT_bg_m3m3(B93,C93,[1]!encode_PVT(gamma_gas_,gamma_oil_,gamma_wat_,Rsb_,Pb_,Tres_,Bob_,muob_))</f>
        <v>3.2198839584322157E-3</v>
      </c>
      <c r="M93" s="20">
        <f>[1]!PVT_bw_m3m3(B93,C93,[1]!encode_PVT(gamma_gas_,gamma_oil_,gamma_wat_,Rsb_,Pb_,Tres_,Bob_,muob_))</f>
        <v>1.0169854409467012</v>
      </c>
      <c r="N93" s="15">
        <f>[1]!PVT_ST_liqgas_Nm(B93,C93,[1]!encode_PVT(gamma_gas_,gamma_oil_,gamma_wat_,Rsb_,Pb_,Tres_,Bob_,muob_))</f>
        <v>4.1636642312578559E-4</v>
      </c>
      <c r="O93" s="15">
        <f>[1]!PVT_ST_oilgas_Nm(B93,C93,[1]!encode_PVT(gamma_gas_,gamma_oil_,gamma_wat_,Rsb_,Pb_,Tres_,Bob_,muob_))</f>
        <v>4.1636642312578559E-4</v>
      </c>
      <c r="P93" s="20">
        <f>[1]!PVT_ST_watgas_Nm(B93,C93,[1]!encode_PVT(gamma_gas_,gamma_oil_,gamma_wat_,Rsb_,Pb_,Tres_,Bob_,muob_))</f>
        <v>2.5703957827688646E-2</v>
      </c>
      <c r="Q93" s="29">
        <f>[1]!PVT_cp_oil_JkgC(B93,C93,[1]!encode_PVT(gamma_gas_,gamma_oil_,gamma_wat_,Rsb_,Pb_,Tres_,Bob_,muob_))</f>
        <v>2561.5</v>
      </c>
      <c r="R93" s="29">
        <f>[1]!PVT_cp_gas_JkgC(B93,C93,[1]!encode_PVT(gamma_gas_,gamma_oil_,gamma_wat_,Rsb_,Pb_,Tres_,Bob_,muob_))</f>
        <v>2055.2269253041095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3.4162126290603452E-5</v>
      </c>
      <c r="U93" s="30">
        <f>[1]!PVT_compressibility_oil_1atm(B93,C93,[1]!encode_PVT(gamma_gas_,gamma_oil_,gamma_wat_,Rsb_,Pb_,Tres_,Bob_,muob_))</f>
        <v>1.0460055555555556E-4</v>
      </c>
      <c r="V93" s="30">
        <f>[1]!PVT_compressibility_gas_1atm(B93,C93,[1]!encode_PVT(gamma_gas_,gamma_oil_,gamma_wat_,Rsb_,Pb_,Tres_,Bob_,muob_))</f>
        <v>8.9111441181082972E-4</v>
      </c>
    </row>
    <row r="94" spans="2:22" x14ac:dyDescent="0.25">
      <c r="B94" s="12">
        <v>420</v>
      </c>
      <c r="C94" s="12">
        <v>80</v>
      </c>
      <c r="D94" s="13">
        <f>[1]!PVT_rs_m3m3(B94,C94,[1]!encode_PVT(gamma_gas_,gamma_oil_,gamma_wat_,Rsb_,Pb_,Tres_,Bob_,muob_))</f>
        <v>120</v>
      </c>
      <c r="E94" s="14">
        <f>[1]!PVT_bo_m3m3(B94,C94,PVT_str_)</f>
        <v>1.3274549358615921</v>
      </c>
      <c r="F94" s="46">
        <f>[1]!PVT_mu_oil_cP(B94,C94,[1]!encode_PVT(gamma_gas_,gamma_oil_,gamma_wat_,Rsb_,Pb_,Tres_,Bob_,muob_))</f>
        <v>1.2440025152726955</v>
      </c>
      <c r="G94" s="15">
        <f>[1]!PVT_mu_gas_cP(B94,C94,[1]!encode_PVT(gamma_gas_,gamma_oil_,gamma_wat_,Rsb_,Pb_,Tres_,Bob_,muob_))</f>
        <v>4.4887308467026876E-2</v>
      </c>
      <c r="H94" s="14">
        <f>[1]!PVT_mu_wat_cP(B94,C94,[1]!encode_PVT(gamma_gas_,gamma_oil_,gamma_wat_,Rsb_,Pb_,Tres_,Bob_,muob_))</f>
        <v>0.67572540545831516</v>
      </c>
      <c r="I94" s="46">
        <f>[1]!PVT_rho_gas_kgm3(B94,C94,[1]!encode_PVT(gamma_gas_,gamma_oil_,gamma_wat_,Rsb_,Pb_,Tres_,Bob_,muob_))</f>
        <v>347.33647174521536</v>
      </c>
      <c r="J94" s="46">
        <f>[1]!PVT_rho_wat_kgm3(B94,C94,[1]!encode_PVT(gamma_gas_,gamma_oil_,gamma_wat_,Rsb_,Pb_,Tres_,Bob_,muob_))</f>
        <v>1082.8477021541919</v>
      </c>
      <c r="K94" s="46">
        <f>[1]!PVT_rho_oil_kgm3(B94,C94,[1]!encode_PVT(gamma_gas_,gamma_oil_,gamma_wat_,Rsb_,Pb_,Tres_,Bob_,muob_))</f>
        <v>751.27431074278161</v>
      </c>
      <c r="L94" s="20">
        <f>[1]!PVT_bg_m3m3(B94,C94,[1]!encode_PVT(gamma_gas_,gamma_oil_,gamma_wat_,Rsb_,Pb_,Tres_,Bob_,muob_))</f>
        <v>3.1656047937475094E-3</v>
      </c>
      <c r="M94" s="20">
        <f>[1]!PVT_bw_m3m3(B94,C94,[1]!encode_PVT(gamma_gas_,gamma_oil_,gamma_wat_,Rsb_,Pb_,Tres_,Bob_,muob_))</f>
        <v>1.0158399909901326</v>
      </c>
      <c r="N94" s="15">
        <f>[1]!PVT_ST_liqgas_Nm(B94,C94,[1]!encode_PVT(gamma_gas_,gamma_oil_,gamma_wat_,Rsb_,Pb_,Tres_,Bob_,muob_))</f>
        <v>3.2307875625658353E-4</v>
      </c>
      <c r="O94" s="15">
        <f>[1]!PVT_ST_oilgas_Nm(B94,C94,[1]!encode_PVT(gamma_gas_,gamma_oil_,gamma_wat_,Rsb_,Pb_,Tres_,Bob_,muob_))</f>
        <v>3.2307875625658353E-4</v>
      </c>
      <c r="P94" s="20">
        <f>[1]!PVT_ST_watgas_Nm(B94,C94,[1]!encode_PVT(gamma_gas_,gamma_oil_,gamma_wat_,Rsb_,Pb_,Tres_,Bob_,muob_))</f>
        <v>2.4547089156850312E-2</v>
      </c>
      <c r="Q94" s="29">
        <f>[1]!PVT_cp_oil_JkgC(B94,C94,[1]!encode_PVT(gamma_gas_,gamma_oil_,gamma_wat_,Rsb_,Pb_,Tres_,Bob_,muob_))</f>
        <v>2561.5</v>
      </c>
      <c r="R94" s="29">
        <f>[1]!PVT_cp_gas_JkgC(B94,C94,[1]!encode_PVT(gamma_gas_,gamma_oil_,gamma_wat_,Rsb_,Pb_,Tres_,Bob_,muob_))</f>
        <v>2121.6100038142217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3.3996599764072971E-5</v>
      </c>
      <c r="U94" s="30">
        <f>[1]!PVT_compressibility_oil_1atm(B94,C94,[1]!encode_PVT(gamma_gas_,gamma_oil_,gamma_wat_,Rsb_,Pb_,Tres_,Bob_,muob_))</f>
        <v>9.961957671957674E-5</v>
      </c>
      <c r="V94" s="30">
        <f>[1]!PVT_compressibility_gas_1atm(B94,C94,[1]!encode_PVT(gamma_gas_,gamma_oil_,gamma_wat_,Rsb_,Pb_,Tres_,Bob_,muob_))</f>
        <v>8.1088268028920742E-4</v>
      </c>
    </row>
    <row r="95" spans="2:22" x14ac:dyDescent="0.25">
      <c r="B95" s="12">
        <v>440</v>
      </c>
      <c r="C95" s="12">
        <v>80</v>
      </c>
      <c r="D95" s="13">
        <f>[1]!PVT_rs_m3m3(B95,C95,[1]!encode_PVT(gamma_gas_,gamma_oil_,gamma_wat_,Rsb_,Pb_,Tres_,Bob_,muob_))</f>
        <v>120</v>
      </c>
      <c r="E95" s="14">
        <f>[1]!PVT_bo_m3m3(B95,C95,PVT_str_)</f>
        <v>1.3262967440315871</v>
      </c>
      <c r="F95" s="46">
        <f>[1]!PVT_mu_oil_cP(B95,C95,[1]!encode_PVT(gamma_gas_,gamma_oil_,gamma_wat_,Rsb_,Pb_,Tres_,Bob_,muob_))</f>
        <v>1.2849604950071489</v>
      </c>
      <c r="G95" s="15">
        <f>[1]!PVT_mu_gas_cP(B95,C95,[1]!encode_PVT(gamma_gas_,gamma_oil_,gamma_wat_,Rsb_,Pb_,Tres_,Bob_,muob_))</f>
        <v>4.6113865949030879E-2</v>
      </c>
      <c r="H95" s="14">
        <f>[1]!PVT_mu_wat_cP(B95,C95,[1]!encode_PVT(gamma_gas_,gamma_oil_,gamma_wat_,Rsb_,Pb_,Tres_,Bob_,muob_))</f>
        <v>0.68728830946917741</v>
      </c>
      <c r="I95" s="46">
        <f>[1]!PVT_rho_gas_kgm3(B95,C95,[1]!encode_PVT(gamma_gas_,gamma_oil_,gamma_wat_,Rsb_,Pb_,Tres_,Bob_,muob_))</f>
        <v>352.76450166554827</v>
      </c>
      <c r="J95" s="46">
        <f>[1]!PVT_rho_wat_kgm3(B95,C95,[1]!encode_PVT(gamma_gas_,gamma_oil_,gamma_wat_,Rsb_,Pb_,Tres_,Bob_,muob_))</f>
        <v>1084.1187144074204</v>
      </c>
      <c r="K95" s="46">
        <f>[1]!PVT_rho_oil_kgm3(B95,C95,[1]!encode_PVT(gamma_gas_,gamma_oil_,gamma_wat_,Rsb_,Pb_,Tres_,Bob_,muob_))</f>
        <v>751.97713592629748</v>
      </c>
      <c r="L95" s="20">
        <f>[1]!PVT_bg_m3m3(B95,C95,[1]!encode_PVT(gamma_gas_,gamma_oil_,gamma_wat_,Rsb_,Pb_,Tres_,Bob_,muob_))</f>
        <v>3.1168952511056542E-3</v>
      </c>
      <c r="M95" s="20">
        <f>[1]!PVT_bw_m3m3(B95,C95,[1]!encode_PVT(gamma_gas_,gamma_oil_,gamma_wat_,Rsb_,Pb_,Tres_,Bob_,muob_))</f>
        <v>1.0146490281751666</v>
      </c>
      <c r="N95" s="15">
        <f>[1]!PVT_ST_liqgas_Nm(B95,C95,[1]!encode_PVT(gamma_gas_,gamma_oil_,gamma_wat_,Rsb_,Pb_,Tres_,Bob_,muob_))</f>
        <v>2.5069236361734056E-4</v>
      </c>
      <c r="O95" s="15">
        <f>[1]!PVT_ST_oilgas_Nm(B95,C95,[1]!encode_PVT(gamma_gas_,gamma_oil_,gamma_wat_,Rsb_,Pb_,Tres_,Bob_,muob_))</f>
        <v>2.5069236361734056E-4</v>
      </c>
      <c r="P95" s="20">
        <f>[1]!PVT_ST_watgas_Nm(B95,C95,[1]!encode_PVT(gamma_gas_,gamma_oil_,gamma_wat_,Rsb_,Pb_,Tres_,Bob_,muob_))</f>
        <v>2.3442288153199226E-2</v>
      </c>
      <c r="Q95" s="29">
        <f>[1]!PVT_cp_oil_JkgC(B95,C95,[1]!encode_PVT(gamma_gas_,gamma_oil_,gamma_wat_,Rsb_,Pb_,Tres_,Bob_,muob_))</f>
        <v>2561.5</v>
      </c>
      <c r="R95" s="29">
        <f>[1]!PVT_cp_gas_JkgC(B95,C95,[1]!encode_PVT(gamma_gas_,gamma_oil_,gamma_wat_,Rsb_,Pb_,Tres_,Bob_,muob_))</f>
        <v>2188.439036541658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3.3832669561714792E-5</v>
      </c>
      <c r="U95" s="30">
        <f>[1]!PVT_compressibility_oil_1atm(B95,C95,[1]!encode_PVT(gamma_gas_,gamma_oil_,gamma_wat_,Rsb_,Pb_,Tres_,Bob_,muob_))</f>
        <v>9.5091414141414157E-5</v>
      </c>
      <c r="V95" s="30">
        <f>[1]!PVT_compressibility_gas_1atm(B95,C95,[1]!encode_PVT(gamma_gas_,gamma_oil_,gamma_wat_,Rsb_,Pb_,Tres_,Bob_,muob_))</f>
        <v>7.4140176232851383E-4</v>
      </c>
    </row>
    <row r="96" spans="2:22" x14ac:dyDescent="0.25">
      <c r="B96" s="12">
        <v>460</v>
      </c>
      <c r="C96" s="12">
        <v>80</v>
      </c>
      <c r="D96" s="13">
        <f>[1]!PVT_rs_m3m3(B96,C96,[1]!encode_PVT(gamma_gas_,gamma_oil_,gamma_wat_,Rsb_,Pb_,Tres_,Bob_,muob_))</f>
        <v>120</v>
      </c>
      <c r="E96" s="14">
        <f>[1]!PVT_bo_m3m3(B96,C96,PVT_str_)</f>
        <v>1.325240147082954</v>
      </c>
      <c r="F96" s="46">
        <f>[1]!PVT_mu_oil_cP(B96,C96,[1]!encode_PVT(gamma_gas_,gamma_oil_,gamma_wat_,Rsb_,Pb_,Tres_,Bob_,muob_))</f>
        <v>1.3267269211716064</v>
      </c>
      <c r="G96" s="15">
        <f>[1]!PVT_mu_gas_cP(B96,C96,[1]!encode_PVT(gamma_gas_,gamma_oil_,gamma_wat_,Rsb_,Pb_,Tres_,Bob_,muob_))</f>
        <v>4.7289778277559424E-2</v>
      </c>
      <c r="H96" s="14">
        <f>[1]!PVT_mu_wat_cP(B96,C96,[1]!encode_PVT(gamma_gas_,gamma_oil_,gamma_wat_,Rsb_,Pb_,Tres_,Bob_,muob_))</f>
        <v>0.6991166142299875</v>
      </c>
      <c r="I96" s="46">
        <f>[1]!PVT_rho_gas_kgm3(B96,C96,[1]!encode_PVT(gamma_gas_,gamma_oil_,gamma_wat_,Rsb_,Pb_,Tres_,Bob_,muob_))</f>
        <v>357.81373889366904</v>
      </c>
      <c r="J96" s="46">
        <f>[1]!PVT_rho_wat_kgm3(B96,C96,[1]!encode_PVT(gamma_gas_,gamma_oil_,gamma_wat_,Rsb_,Pb_,Tres_,Bob_,muob_))</f>
        <v>1085.4414594376583</v>
      </c>
      <c r="K96" s="46">
        <f>[1]!PVT_rho_oil_kgm3(B96,C96,[1]!encode_PVT(gamma_gas_,gamma_oil_,gamma_wat_,Rsb_,Pb_,Tres_,Bob_,muob_))</f>
        <v>752.61942008629092</v>
      </c>
      <c r="L96" s="20">
        <f>[1]!PVT_bg_m3m3(B96,C96,[1]!encode_PVT(gamma_gas_,gamma_oil_,gamma_wat_,Rsb_,Pb_,Tres_,Bob_,muob_))</f>
        <v>3.0729116310616168E-3</v>
      </c>
      <c r="M96" s="20">
        <f>[1]!PVT_bw_m3m3(B96,C96,[1]!encode_PVT(gamma_gas_,gamma_oil_,gamma_wat_,Rsb_,Pb_,Tres_,Bob_,muob_))</f>
        <v>1.0134125525018034</v>
      </c>
      <c r="N96" s="15">
        <f>[1]!PVT_ST_liqgas_Nm(B96,C96,[1]!encode_PVT(gamma_gas_,gamma_oil_,gamma_wat_,Rsb_,Pb_,Tres_,Bob_,muob_))</f>
        <v>1.945242760750792E-4</v>
      </c>
      <c r="O96" s="15">
        <f>[1]!PVT_ST_oilgas_Nm(B96,C96,[1]!encode_PVT(gamma_gas_,gamma_oil_,gamma_wat_,Rsb_,Pb_,Tres_,Bob_,muob_))</f>
        <v>1.945242760750792E-4</v>
      </c>
      <c r="P96" s="20">
        <f>[1]!PVT_ST_watgas_Nm(B96,C96,[1]!encode_PVT(gamma_gas_,gamma_oil_,gamma_wat_,Rsb_,Pb_,Tres_,Bob_,muob_))</f>
        <v>2.2387211385683402E-2</v>
      </c>
      <c r="Q96" s="29">
        <f>[1]!PVT_cp_oil_JkgC(B96,C96,[1]!encode_PVT(gamma_gas_,gamma_oil_,gamma_wat_,Rsb_,Pb_,Tres_,Bob_,muob_))</f>
        <v>2561.5</v>
      </c>
      <c r="R96" s="29">
        <f>[1]!PVT_cp_gas_JkgC(B96,C96,[1]!encode_PVT(gamma_gas_,gamma_oil_,gamma_wat_,Rsb_,Pb_,Tres_,Bob_,muob_))</f>
        <v>2255.6279746367131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3.3670312702116318E-5</v>
      </c>
      <c r="U96" s="30">
        <f>[1]!PVT_compressibility_oil_1atm(B96,C96,[1]!encode_PVT(gamma_gas_,gamma_oil_,gamma_wat_,Rsb_,Pb_,Tres_,Bob_,muob_))</f>
        <v>9.0957004830917896E-5</v>
      </c>
      <c r="V96" s="30">
        <f>[1]!PVT_compressibility_gas_1atm(B96,C96,[1]!encode_PVT(gamma_gas_,gamma_oil_,gamma_wat_,Rsb_,Pb_,Tres_,Bob_,muob_))</f>
        <v>6.8118786493963292E-4</v>
      </c>
    </row>
    <row r="100" spans="15:15" x14ac:dyDescent="0.25">
      <c r="O100">
        <f>O98</f>
        <v>0</v>
      </c>
    </row>
    <row r="155" spans="11:11" x14ac:dyDescent="0.25">
      <c r="K155" t="s">
        <v>5</v>
      </c>
    </row>
    <row r="166" spans="11:11" x14ac:dyDescent="0.25">
      <c r="K166" s="3"/>
    </row>
  </sheetData>
  <dataConsolidate link="1"/>
  <mergeCells count="11">
    <mergeCell ref="B3:E3"/>
    <mergeCell ref="I3:L3"/>
    <mergeCell ref="B4:E4"/>
    <mergeCell ref="I4:L4"/>
    <mergeCell ref="B5:E5"/>
    <mergeCell ref="I5:L5"/>
    <mergeCell ref="B21:C21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2021-08-03T16:42:00Z</dcterms:modified>
</cp:coreProperties>
</file>